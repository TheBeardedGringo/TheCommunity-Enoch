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hop\NextDays\NextDays_Tools\GameEconomy\"/>
    </mc:Choice>
  </mc:AlternateContent>
  <bookViews>
    <workbookView xWindow="0" yWindow="0" windowWidth="28800" windowHeight="12435" activeTab="1"/>
  </bookViews>
  <sheets>
    <sheet name="Types" sheetId="1" r:id="rId1"/>
    <sheet name="Trader Items" sheetId="5" r:id="rId2"/>
    <sheet name="TraderCategory" sheetId="7" r:id="rId3"/>
    <sheet name="TraderCategoryJSON" sheetId="9" r:id="rId4"/>
    <sheet name="ranks" sheetId="11" state="hidden" r:id="rId5"/>
  </sheets>
  <definedNames>
    <definedName name="_xlnm._FilterDatabase" localSheetId="1" hidden="1">'Trader Items'!$A$2:$N$1364</definedName>
    <definedName name="_xlnm._FilterDatabase" localSheetId="2" hidden="1">TraderCategory!$C$62:$H$62</definedName>
    <definedName name="cat">#REF!</definedName>
    <definedName name="categories">TraderCategory!$D$2:$D$13</definedName>
    <definedName name="group">#REF!</definedName>
    <definedName name="groups">TraderCategory!$C$2:$C$5</definedName>
    <definedName name="subcat">#REF!</definedName>
    <definedName name="subcategories">TraderCategory!$E$2:$E$58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446" i="1" l="1"/>
  <c r="A21445" i="1"/>
  <c r="A21440" i="1"/>
  <c r="A21439" i="1"/>
  <c r="A21435" i="1"/>
  <c r="A21434" i="1"/>
  <c r="A21433" i="1"/>
  <c r="A21432" i="1"/>
  <c r="A21424" i="1"/>
  <c r="A21423" i="1"/>
  <c r="A21419" i="1"/>
  <c r="A21418" i="1"/>
  <c r="A21417" i="1"/>
  <c r="A21416" i="1"/>
  <c r="A21412" i="1"/>
  <c r="A21411" i="1"/>
  <c r="A21407" i="1"/>
  <c r="A21406" i="1"/>
  <c r="A21405" i="1"/>
  <c r="A21404" i="1"/>
  <c r="A21400" i="1"/>
  <c r="A21399" i="1"/>
  <c r="A21395" i="1"/>
  <c r="A21394" i="1"/>
  <c r="A21393" i="1"/>
  <c r="A21392" i="1"/>
  <c r="A21388" i="1"/>
  <c r="A21387" i="1"/>
  <c r="A21383" i="1"/>
  <c r="A21382" i="1"/>
  <c r="A21381" i="1"/>
  <c r="A21380" i="1"/>
  <c r="A21376" i="1"/>
  <c r="A21375" i="1"/>
  <c r="A21371" i="1"/>
  <c r="A21370" i="1"/>
  <c r="A21369" i="1"/>
  <c r="A21368" i="1"/>
  <c r="A21364" i="1"/>
  <c r="A21363" i="1"/>
  <c r="A21359" i="1"/>
  <c r="A21358" i="1"/>
  <c r="A21357" i="1"/>
  <c r="A21356" i="1"/>
  <c r="A21352" i="1"/>
  <c r="A21351" i="1"/>
  <c r="A21347" i="1"/>
  <c r="A21346" i="1"/>
  <c r="A21345" i="1"/>
  <c r="A21344" i="1"/>
  <c r="A21340" i="1"/>
  <c r="A21339" i="1"/>
  <c r="A21335" i="1"/>
  <c r="A21334" i="1"/>
  <c r="A21333" i="1"/>
  <c r="A21332" i="1"/>
  <c r="A21328" i="1"/>
  <c r="A21327" i="1"/>
  <c r="A21323" i="1"/>
  <c r="A21322" i="1"/>
  <c r="A21321" i="1"/>
  <c r="A21320" i="1"/>
  <c r="A21317" i="1"/>
  <c r="A21316" i="1"/>
  <c r="A21313" i="1"/>
  <c r="A21312" i="1"/>
  <c r="A21306" i="1"/>
  <c r="A21305" i="1"/>
  <c r="A21301" i="1"/>
  <c r="A21300" i="1"/>
  <c r="A21299" i="1"/>
  <c r="A21298" i="1"/>
  <c r="A21292" i="1"/>
  <c r="A21291" i="1"/>
  <c r="A21287" i="1"/>
  <c r="A21286" i="1"/>
  <c r="A21285" i="1"/>
  <c r="A21284" i="1"/>
  <c r="A21279" i="1"/>
  <c r="A21278" i="1"/>
  <c r="A21274" i="1"/>
  <c r="A21273" i="1"/>
  <c r="A21272" i="1"/>
  <c r="A21271" i="1"/>
  <c r="A21266" i="1"/>
  <c r="A21265" i="1"/>
  <c r="A21261" i="1"/>
  <c r="A21260" i="1"/>
  <c r="A21259" i="1"/>
  <c r="A21258" i="1"/>
  <c r="A21253" i="1"/>
  <c r="A21252" i="1"/>
  <c r="A21248" i="1"/>
  <c r="A21247" i="1"/>
  <c r="A21246" i="1"/>
  <c r="A21245" i="1"/>
  <c r="A21240" i="1"/>
  <c r="A21239" i="1"/>
  <c r="A21235" i="1"/>
  <c r="A21234" i="1"/>
  <c r="A21233" i="1"/>
  <c r="A21232" i="1"/>
  <c r="A21227" i="1"/>
  <c r="A21226" i="1"/>
  <c r="A21222" i="1"/>
  <c r="A21221" i="1"/>
  <c r="A21220" i="1"/>
  <c r="A21219" i="1"/>
  <c r="A21214" i="1"/>
  <c r="A21213" i="1"/>
  <c r="A21209" i="1"/>
  <c r="A21208" i="1"/>
  <c r="A21207" i="1"/>
  <c r="A21206" i="1"/>
  <c r="A21201" i="1"/>
  <c r="A21200" i="1"/>
  <c r="A21196" i="1"/>
  <c r="A21195" i="1"/>
  <c r="A21194" i="1"/>
  <c r="A21193" i="1"/>
  <c r="A21188" i="1"/>
  <c r="A21187" i="1"/>
  <c r="A21183" i="1"/>
  <c r="A21182" i="1"/>
  <c r="A21181" i="1"/>
  <c r="A21180" i="1"/>
  <c r="A21175" i="1"/>
  <c r="A21174" i="1"/>
  <c r="A21170" i="1"/>
  <c r="A21169" i="1"/>
  <c r="A21168" i="1"/>
  <c r="A21167" i="1"/>
  <c r="A21162" i="1"/>
  <c r="A21161" i="1"/>
  <c r="A21157" i="1"/>
  <c r="A21156" i="1"/>
  <c r="A21155" i="1"/>
  <c r="A21154" i="1"/>
  <c r="A21149" i="1"/>
  <c r="A21148" i="1"/>
  <c r="A21144" i="1"/>
  <c r="A21143" i="1"/>
  <c r="A21142" i="1"/>
  <c r="A21141" i="1"/>
  <c r="A21136" i="1"/>
  <c r="A21135" i="1"/>
  <c r="A21131" i="1"/>
  <c r="A21130" i="1"/>
  <c r="A21129" i="1"/>
  <c r="A21128" i="1"/>
  <c r="A21123" i="1"/>
  <c r="A21122" i="1"/>
  <c r="A21118" i="1"/>
  <c r="A21117" i="1"/>
  <c r="A21116" i="1"/>
  <c r="A21115" i="1"/>
  <c r="A21110" i="1"/>
  <c r="A21109" i="1"/>
  <c r="A21105" i="1"/>
  <c r="A21104" i="1"/>
  <c r="A21103" i="1"/>
  <c r="A21102" i="1"/>
  <c r="A21097" i="1"/>
  <c r="A21096" i="1"/>
  <c r="A21092" i="1"/>
  <c r="A21091" i="1"/>
  <c r="A21090" i="1"/>
  <c r="A21089" i="1"/>
  <c r="A21084" i="1"/>
  <c r="A21083" i="1"/>
  <c r="A21079" i="1"/>
  <c r="A21078" i="1"/>
  <c r="A21077" i="1"/>
  <c r="A21076" i="1"/>
  <c r="A21071" i="1"/>
  <c r="A21070" i="1"/>
  <c r="A21066" i="1"/>
  <c r="A21065" i="1"/>
  <c r="A21064" i="1"/>
  <c r="A21063" i="1"/>
  <c r="A21058" i="1"/>
  <c r="A21057" i="1"/>
  <c r="A21053" i="1"/>
  <c r="A21052" i="1"/>
  <c r="A21051" i="1"/>
  <c r="A21050" i="1"/>
  <c r="A21045" i="1"/>
  <c r="A21044" i="1"/>
  <c r="A21040" i="1"/>
  <c r="A21039" i="1"/>
  <c r="A21038" i="1"/>
  <c r="A21037" i="1"/>
  <c r="A21032" i="1"/>
  <c r="A21031" i="1"/>
  <c r="A21027" i="1"/>
  <c r="A21026" i="1"/>
  <c r="A21025" i="1"/>
  <c r="A21024" i="1"/>
  <c r="A21019" i="1"/>
  <c r="A21018" i="1"/>
  <c r="A21014" i="1"/>
  <c r="A21013" i="1"/>
  <c r="A21012" i="1"/>
  <c r="A21011" i="1"/>
  <c r="A21006" i="1"/>
  <c r="A21005" i="1"/>
  <c r="A21001" i="1"/>
  <c r="A21000" i="1"/>
  <c r="A20999" i="1"/>
  <c r="A20998" i="1"/>
  <c r="A20993" i="1"/>
  <c r="A20992" i="1"/>
  <c r="A20988" i="1"/>
  <c r="A20987" i="1"/>
  <c r="A20986" i="1"/>
  <c r="A20985" i="1"/>
  <c r="A20980" i="1"/>
  <c r="A20979" i="1"/>
  <c r="A20975" i="1"/>
  <c r="A20974" i="1"/>
  <c r="A20973" i="1"/>
  <c r="A20972" i="1"/>
  <c r="A20967" i="1"/>
  <c r="A20966" i="1"/>
  <c r="A20962" i="1"/>
  <c r="A20961" i="1"/>
  <c r="A20960" i="1"/>
  <c r="A20959" i="1"/>
  <c r="A20954" i="1"/>
  <c r="A20953" i="1"/>
  <c r="A20949" i="1"/>
  <c r="A20948" i="1"/>
  <c r="A20947" i="1"/>
  <c r="A20946" i="1"/>
  <c r="A20941" i="1"/>
  <c r="A20940" i="1"/>
  <c r="A20936" i="1"/>
  <c r="A20935" i="1"/>
  <c r="A20934" i="1"/>
  <c r="A20933" i="1"/>
  <c r="A20928" i="1"/>
  <c r="A20927" i="1"/>
  <c r="A20923" i="1"/>
  <c r="A20922" i="1"/>
  <c r="A20921" i="1"/>
  <c r="A20920" i="1"/>
  <c r="A20915" i="1"/>
  <c r="A20914" i="1"/>
  <c r="A20910" i="1"/>
  <c r="A20909" i="1"/>
  <c r="A20908" i="1"/>
  <c r="A20907" i="1"/>
  <c r="A20902" i="1"/>
  <c r="A20901" i="1"/>
  <c r="A20897" i="1"/>
  <c r="A20896" i="1"/>
  <c r="A20895" i="1"/>
  <c r="A20894" i="1"/>
  <c r="A20889" i="1"/>
  <c r="A20888" i="1"/>
  <c r="A20884" i="1"/>
  <c r="A20883" i="1"/>
  <c r="A20882" i="1"/>
  <c r="A20881" i="1"/>
  <c r="A20876" i="1"/>
  <c r="A20875" i="1"/>
  <c r="A20871" i="1"/>
  <c r="A20870" i="1"/>
  <c r="A20869" i="1"/>
  <c r="A20868" i="1"/>
  <c r="A20863" i="1"/>
  <c r="A20862" i="1"/>
  <c r="A20858" i="1"/>
  <c r="A20857" i="1"/>
  <c r="A20856" i="1"/>
  <c r="A20855" i="1"/>
  <c r="A20850" i="1"/>
  <c r="A20849" i="1"/>
  <c r="A20845" i="1"/>
  <c r="A20844" i="1"/>
  <c r="A20843" i="1"/>
  <c r="A20842" i="1"/>
  <c r="A20837" i="1"/>
  <c r="A20836" i="1"/>
  <c r="A20832" i="1"/>
  <c r="A20831" i="1"/>
  <c r="A20830" i="1"/>
  <c r="A20829" i="1"/>
  <c r="A20824" i="1"/>
  <c r="A20823" i="1"/>
  <c r="A20819" i="1"/>
  <c r="A20818" i="1"/>
  <c r="A20817" i="1"/>
  <c r="A20816" i="1"/>
  <c r="A20811" i="1"/>
  <c r="A20810" i="1"/>
  <c r="A20806" i="1"/>
  <c r="A20805" i="1"/>
  <c r="A20804" i="1"/>
  <c r="A20803" i="1"/>
  <c r="A20798" i="1"/>
  <c r="A20797" i="1"/>
  <c r="A20793" i="1"/>
  <c r="A20792" i="1"/>
  <c r="A20791" i="1"/>
  <c r="A20790" i="1"/>
  <c r="A20785" i="1"/>
  <c r="A20784" i="1"/>
  <c r="A20780" i="1"/>
  <c r="A20779" i="1"/>
  <c r="A20778" i="1"/>
  <c r="A20777" i="1"/>
  <c r="A20772" i="1"/>
  <c r="A20771" i="1"/>
  <c r="A20767" i="1"/>
  <c r="A20766" i="1"/>
  <c r="A20765" i="1"/>
  <c r="A20764" i="1"/>
  <c r="A20759" i="1"/>
  <c r="A20758" i="1"/>
  <c r="A20754" i="1"/>
  <c r="A20753" i="1"/>
  <c r="A20752" i="1"/>
  <c r="A20751" i="1"/>
  <c r="A20746" i="1"/>
  <c r="A20745" i="1"/>
  <c r="A20741" i="1"/>
  <c r="A20740" i="1"/>
  <c r="A20739" i="1"/>
  <c r="A20738" i="1"/>
  <c r="A20733" i="1"/>
  <c r="A20732" i="1"/>
  <c r="A20728" i="1"/>
  <c r="A20727" i="1"/>
  <c r="A20726" i="1"/>
  <c r="A20725" i="1"/>
  <c r="A20720" i="1"/>
  <c r="A20719" i="1"/>
  <c r="A20715" i="1"/>
  <c r="A20714" i="1"/>
  <c r="A20713" i="1"/>
  <c r="A20712" i="1"/>
  <c r="A20707" i="1"/>
  <c r="A20706" i="1"/>
  <c r="A20702" i="1"/>
  <c r="A20701" i="1"/>
  <c r="A20700" i="1"/>
  <c r="A20699" i="1"/>
  <c r="A20694" i="1"/>
  <c r="A20693" i="1"/>
  <c r="A20689" i="1"/>
  <c r="A20688" i="1"/>
  <c r="A20687" i="1"/>
  <c r="A20686" i="1"/>
  <c r="A20681" i="1"/>
  <c r="A20680" i="1"/>
  <c r="A20676" i="1"/>
  <c r="A20675" i="1"/>
  <c r="A20674" i="1"/>
  <c r="A20673" i="1"/>
  <c r="A20668" i="1"/>
  <c r="A20667" i="1"/>
  <c r="A20663" i="1"/>
  <c r="A20662" i="1"/>
  <c r="A20661" i="1"/>
  <c r="A20660" i="1"/>
  <c r="A20655" i="1"/>
  <c r="A20654" i="1"/>
  <c r="A20650" i="1"/>
  <c r="A20649" i="1"/>
  <c r="A20648" i="1"/>
  <c r="A20647" i="1"/>
  <c r="A20642" i="1"/>
  <c r="A20641" i="1"/>
  <c r="A20637" i="1"/>
  <c r="A20636" i="1"/>
  <c r="A20635" i="1"/>
  <c r="A20634" i="1"/>
  <c r="A20629" i="1"/>
  <c r="A20628" i="1"/>
  <c r="A20624" i="1"/>
  <c r="A20623" i="1"/>
  <c r="A20622" i="1"/>
  <c r="A20621" i="1"/>
  <c r="A20616" i="1"/>
  <c r="A20615" i="1"/>
  <c r="A20611" i="1"/>
  <c r="A20610" i="1"/>
  <c r="A20609" i="1"/>
  <c r="A20608" i="1"/>
  <c r="A20603" i="1"/>
  <c r="A20602" i="1"/>
  <c r="A20598" i="1"/>
  <c r="A20597" i="1"/>
  <c r="A20596" i="1"/>
  <c r="A20595" i="1"/>
  <c r="A20590" i="1"/>
  <c r="A20589" i="1"/>
  <c r="A20585" i="1"/>
  <c r="A20584" i="1"/>
  <c r="A20583" i="1"/>
  <c r="A20582" i="1"/>
  <c r="A20577" i="1"/>
  <c r="A20576" i="1"/>
  <c r="A20572" i="1"/>
  <c r="A20571" i="1"/>
  <c r="A20570" i="1"/>
  <c r="A20569" i="1"/>
  <c r="A20564" i="1"/>
  <c r="A20563" i="1"/>
  <c r="A20559" i="1"/>
  <c r="A20558" i="1"/>
  <c r="A20557" i="1"/>
  <c r="A20556" i="1"/>
  <c r="A20551" i="1"/>
  <c r="A20550" i="1"/>
  <c r="A20546" i="1"/>
  <c r="A20545" i="1"/>
  <c r="A20544" i="1"/>
  <c r="A20543" i="1"/>
  <c r="A20538" i="1"/>
  <c r="A20537" i="1"/>
  <c r="A20533" i="1"/>
  <c r="A20532" i="1"/>
  <c r="A20531" i="1"/>
  <c r="A20530" i="1"/>
  <c r="A20525" i="1"/>
  <c r="A20524" i="1"/>
  <c r="A20520" i="1"/>
  <c r="A20519" i="1"/>
  <c r="A20518" i="1"/>
  <c r="A20517" i="1"/>
  <c r="A20512" i="1"/>
  <c r="A20511" i="1"/>
  <c r="A20507" i="1"/>
  <c r="A20506" i="1"/>
  <c r="A20505" i="1"/>
  <c r="A20504" i="1"/>
  <c r="A20499" i="1"/>
  <c r="A20498" i="1"/>
  <c r="A20494" i="1"/>
  <c r="A20493" i="1"/>
  <c r="A20492" i="1"/>
  <c r="A20491" i="1"/>
  <c r="A20486" i="1"/>
  <c r="A20485" i="1"/>
  <c r="A20481" i="1"/>
  <c r="A20480" i="1"/>
  <c r="A20479" i="1"/>
  <c r="A20478" i="1"/>
  <c r="A20473" i="1"/>
  <c r="A20472" i="1"/>
  <c r="A20468" i="1"/>
  <c r="A20467" i="1"/>
  <c r="A20466" i="1"/>
  <c r="A20465" i="1"/>
  <c r="A20460" i="1"/>
  <c r="A20459" i="1"/>
  <c r="A20455" i="1"/>
  <c r="A20454" i="1"/>
  <c r="A20453" i="1"/>
  <c r="A20452" i="1"/>
  <c r="A20447" i="1"/>
  <c r="A20446" i="1"/>
  <c r="A20442" i="1"/>
  <c r="A20441" i="1"/>
  <c r="A20440" i="1"/>
  <c r="A20439" i="1"/>
  <c r="A20434" i="1"/>
  <c r="A20433" i="1"/>
  <c r="A20429" i="1"/>
  <c r="A20428" i="1"/>
  <c r="A20427" i="1"/>
  <c r="A20426" i="1"/>
  <c r="A20423" i="1"/>
  <c r="A20419" i="1"/>
  <c r="A20418" i="1"/>
  <c r="A20417" i="1"/>
  <c r="A20416" i="1"/>
  <c r="A20410" i="1"/>
  <c r="A20409" i="1"/>
  <c r="A20405" i="1"/>
  <c r="A20404" i="1"/>
  <c r="A20403" i="1"/>
  <c r="A20402" i="1"/>
  <c r="A20398" i="1"/>
  <c r="A20397" i="1"/>
  <c r="A20393" i="1"/>
  <c r="A20392" i="1"/>
  <c r="A20391" i="1"/>
  <c r="A20390" i="1"/>
  <c r="A20384" i="1"/>
  <c r="A20383" i="1"/>
  <c r="A20379" i="1"/>
  <c r="A20378" i="1"/>
  <c r="A20377" i="1"/>
  <c r="A20376" i="1"/>
  <c r="A20371" i="1"/>
  <c r="A20370" i="1"/>
  <c r="A20366" i="1"/>
  <c r="A20365" i="1"/>
  <c r="A20364" i="1"/>
  <c r="A20363" i="1"/>
  <c r="A20356" i="1"/>
  <c r="A20355" i="1"/>
  <c r="A20351" i="1"/>
  <c r="A20350" i="1"/>
  <c r="A20349" i="1"/>
  <c r="A20348" i="1"/>
  <c r="A20340" i="1"/>
  <c r="A20339" i="1"/>
  <c r="A20335" i="1"/>
  <c r="A20334" i="1"/>
  <c r="A20333" i="1"/>
  <c r="A20332" i="1"/>
  <c r="A20326" i="1"/>
  <c r="A20325" i="1"/>
  <c r="A20321" i="1"/>
  <c r="A20320" i="1"/>
  <c r="A20319" i="1"/>
  <c r="A20318" i="1"/>
  <c r="A20312" i="1"/>
  <c r="A20311" i="1"/>
  <c r="A20307" i="1"/>
  <c r="A20306" i="1"/>
  <c r="A20305" i="1"/>
  <c r="A20304" i="1"/>
  <c r="A20298" i="1"/>
  <c r="A20297" i="1"/>
  <c r="A20293" i="1"/>
  <c r="A20292" i="1"/>
  <c r="A20291" i="1"/>
  <c r="A20290" i="1"/>
  <c r="A20282" i="1"/>
  <c r="A20281" i="1"/>
  <c r="A20277" i="1"/>
  <c r="A20276" i="1"/>
  <c r="A20275" i="1"/>
  <c r="A20274" i="1"/>
  <c r="A20267" i="1"/>
  <c r="A20266" i="1"/>
  <c r="A20262" i="1"/>
  <c r="A20261" i="1"/>
  <c r="A20260" i="1"/>
  <c r="A20259" i="1"/>
  <c r="A20252" i="1"/>
  <c r="A20251" i="1"/>
  <c r="A20247" i="1"/>
  <c r="A20246" i="1"/>
  <c r="A20245" i="1"/>
  <c r="A20244" i="1"/>
  <c r="A20237" i="1"/>
  <c r="A20236" i="1"/>
  <c r="A20232" i="1"/>
  <c r="A20231" i="1"/>
  <c r="A20230" i="1"/>
  <c r="A20229" i="1"/>
  <c r="A20222" i="1"/>
  <c r="A20221" i="1"/>
  <c r="A20217" i="1"/>
  <c r="A20216" i="1"/>
  <c r="A20215" i="1"/>
  <c r="A20214" i="1"/>
  <c r="A20206" i="1"/>
  <c r="A20205" i="1"/>
  <c r="A20201" i="1"/>
  <c r="A20200" i="1"/>
  <c r="A20199" i="1"/>
  <c r="A20198" i="1"/>
  <c r="A20191" i="1"/>
  <c r="A20190" i="1"/>
  <c r="A20186" i="1"/>
  <c r="A20185" i="1"/>
  <c r="A20184" i="1"/>
  <c r="A20183" i="1"/>
  <c r="A20175" i="1"/>
  <c r="A20174" i="1"/>
  <c r="A20170" i="1"/>
  <c r="A20169" i="1"/>
  <c r="A20168" i="1"/>
  <c r="A20167" i="1"/>
  <c r="A20160" i="1"/>
  <c r="A20159" i="1"/>
  <c r="A20155" i="1"/>
  <c r="A20154" i="1"/>
  <c r="A20153" i="1"/>
  <c r="A20152" i="1"/>
  <c r="A20143" i="1"/>
  <c r="A20142" i="1"/>
  <c r="A20138" i="1"/>
  <c r="A20137" i="1"/>
  <c r="A20136" i="1"/>
  <c r="A20135" i="1"/>
  <c r="A20128" i="1"/>
  <c r="A20127" i="1"/>
  <c r="A20123" i="1"/>
  <c r="A20122" i="1"/>
  <c r="A20121" i="1"/>
  <c r="A20120" i="1"/>
  <c r="A20112" i="1"/>
  <c r="A20111" i="1"/>
  <c r="A20107" i="1"/>
  <c r="A20106" i="1"/>
  <c r="A20105" i="1"/>
  <c r="A20104" i="1"/>
  <c r="A20097" i="1"/>
  <c r="A20096" i="1"/>
  <c r="A20092" i="1"/>
  <c r="A20091" i="1"/>
  <c r="A20090" i="1"/>
  <c r="A20089" i="1"/>
  <c r="A20080" i="1"/>
  <c r="A20079" i="1"/>
  <c r="A20075" i="1"/>
  <c r="A20074" i="1"/>
  <c r="A20073" i="1"/>
  <c r="A20072" i="1"/>
  <c r="A20061" i="1"/>
  <c r="A20060" i="1"/>
  <c r="A20056" i="1"/>
  <c r="A20055" i="1"/>
  <c r="A20054" i="1"/>
  <c r="A20053" i="1"/>
  <c r="A20045" i="1"/>
  <c r="A20044" i="1"/>
  <c r="A20040" i="1"/>
  <c r="A20039" i="1"/>
  <c r="A20038" i="1"/>
  <c r="A20037" i="1"/>
  <c r="A20026" i="1"/>
  <c r="A20025" i="1"/>
  <c r="A20021" i="1"/>
  <c r="A20020" i="1"/>
  <c r="A20019" i="1"/>
  <c r="A20018" i="1"/>
  <c r="A20010" i="1"/>
  <c r="A20009" i="1"/>
  <c r="A20005" i="1"/>
  <c r="A20004" i="1"/>
  <c r="A20003" i="1"/>
  <c r="A20002" i="1"/>
  <c r="A19997" i="1"/>
  <c r="A19996" i="1"/>
  <c r="A19992" i="1"/>
  <c r="A19991" i="1"/>
  <c r="A19990" i="1"/>
  <c r="A19989" i="1"/>
  <c r="A19982" i="1"/>
  <c r="A19981" i="1"/>
  <c r="A19977" i="1"/>
  <c r="A19976" i="1"/>
  <c r="A19975" i="1"/>
  <c r="A19974" i="1"/>
  <c r="A19969" i="1"/>
  <c r="A19968" i="1"/>
  <c r="A19964" i="1"/>
  <c r="A19963" i="1"/>
  <c r="A19962" i="1"/>
  <c r="A19961" i="1"/>
  <c r="A19953" i="1"/>
  <c r="A19952" i="1"/>
  <c r="A19948" i="1"/>
  <c r="A19947" i="1"/>
  <c r="A19946" i="1"/>
  <c r="A19945" i="1"/>
  <c r="A19939" i="1"/>
  <c r="A19938" i="1"/>
  <c r="A19934" i="1"/>
  <c r="A19933" i="1"/>
  <c r="A19932" i="1"/>
  <c r="A19931" i="1"/>
  <c r="A19923" i="1"/>
  <c r="A19922" i="1"/>
  <c r="A19918" i="1"/>
  <c r="A19917" i="1"/>
  <c r="A19916" i="1"/>
  <c r="A19915" i="1"/>
  <c r="A19909" i="1"/>
  <c r="A19908" i="1"/>
  <c r="A19904" i="1"/>
  <c r="A19903" i="1"/>
  <c r="A19902" i="1"/>
  <c r="A19901" i="1"/>
  <c r="A19893" i="1"/>
  <c r="A19892" i="1"/>
  <c r="A19888" i="1"/>
  <c r="A19887" i="1"/>
  <c r="A19886" i="1"/>
  <c r="A19885" i="1"/>
  <c r="A19877" i="1"/>
  <c r="A19876" i="1"/>
  <c r="A19872" i="1"/>
  <c r="A19871" i="1"/>
  <c r="A19870" i="1"/>
  <c r="A19869" i="1"/>
  <c r="A19863" i="1"/>
  <c r="A19862" i="1"/>
  <c r="A19858" i="1"/>
  <c r="A19857" i="1"/>
  <c r="A19856" i="1"/>
  <c r="A19855" i="1"/>
  <c r="A19850" i="1"/>
  <c r="A19849" i="1"/>
  <c r="A19845" i="1"/>
  <c r="A19844" i="1"/>
  <c r="A19843" i="1"/>
  <c r="A19842" i="1"/>
  <c r="A19837" i="1"/>
  <c r="A19836" i="1"/>
  <c r="A19832" i="1"/>
  <c r="A19831" i="1"/>
  <c r="A19830" i="1"/>
  <c r="A19829" i="1"/>
  <c r="A19824" i="1"/>
  <c r="A19823" i="1"/>
  <c r="A19819" i="1"/>
  <c r="A19818" i="1"/>
  <c r="A19817" i="1"/>
  <c r="A19816" i="1"/>
  <c r="A19811" i="1"/>
  <c r="A19810" i="1"/>
  <c r="A19806" i="1"/>
  <c r="A19805" i="1"/>
  <c r="A19804" i="1"/>
  <c r="A19803" i="1"/>
  <c r="A19798" i="1"/>
  <c r="A19797" i="1"/>
  <c r="A19793" i="1"/>
  <c r="A19792" i="1"/>
  <c r="A19791" i="1"/>
  <c r="A19790" i="1"/>
  <c r="A19785" i="1"/>
  <c r="A19784" i="1"/>
  <c r="A19780" i="1"/>
  <c r="A19779" i="1"/>
  <c r="A19778" i="1"/>
  <c r="A19777" i="1"/>
  <c r="A19771" i="1"/>
  <c r="A19770" i="1"/>
  <c r="A19766" i="1"/>
  <c r="A19765" i="1"/>
  <c r="A19764" i="1"/>
  <c r="A19763" i="1"/>
  <c r="A19758" i="1"/>
  <c r="A19757" i="1"/>
  <c r="A19753" i="1"/>
  <c r="A19752" i="1"/>
  <c r="A19751" i="1"/>
  <c r="A19750" i="1"/>
  <c r="A19745" i="1"/>
  <c r="A19744" i="1"/>
  <c r="A19740" i="1"/>
  <c r="A19739" i="1"/>
  <c r="A19738" i="1"/>
  <c r="A19737" i="1"/>
  <c r="A19732" i="1"/>
  <c r="A19731" i="1"/>
  <c r="A19727" i="1"/>
  <c r="A19726" i="1"/>
  <c r="A19725" i="1"/>
  <c r="A19724" i="1"/>
  <c r="A19719" i="1"/>
  <c r="A19718" i="1"/>
  <c r="A19714" i="1"/>
  <c r="A19713" i="1"/>
  <c r="A19712" i="1"/>
  <c r="A19711" i="1"/>
  <c r="A19705" i="1"/>
  <c r="A19704" i="1"/>
  <c r="A19700" i="1"/>
  <c r="A19699" i="1"/>
  <c r="A19698" i="1"/>
  <c r="A19697" i="1"/>
  <c r="A19691" i="1"/>
  <c r="A19690" i="1"/>
  <c r="A19686" i="1"/>
  <c r="A19685" i="1"/>
  <c r="A19684" i="1"/>
  <c r="A19683" i="1"/>
  <c r="A19677" i="1"/>
  <c r="A19676" i="1"/>
  <c r="A19672" i="1"/>
  <c r="A19671" i="1"/>
  <c r="A19670" i="1"/>
  <c r="A19669" i="1"/>
  <c r="A19662" i="1"/>
  <c r="A19661" i="1"/>
  <c r="A19657" i="1"/>
  <c r="A19656" i="1"/>
  <c r="A19655" i="1"/>
  <c r="A19654" i="1"/>
  <c r="A19649" i="1"/>
  <c r="A19648" i="1"/>
  <c r="A19644" i="1"/>
  <c r="A19643" i="1"/>
  <c r="A19642" i="1"/>
  <c r="A19641" i="1"/>
  <c r="A19635" i="1"/>
  <c r="A19634" i="1"/>
  <c r="A19630" i="1"/>
  <c r="A19629" i="1"/>
  <c r="A19628" i="1"/>
  <c r="A19627" i="1"/>
  <c r="A19622" i="1"/>
  <c r="A19621" i="1"/>
  <c r="A19617" i="1"/>
  <c r="A19616" i="1"/>
  <c r="A19615" i="1"/>
  <c r="A19614" i="1"/>
  <c r="A19609" i="1"/>
  <c r="A19608" i="1"/>
  <c r="A19604" i="1"/>
  <c r="A19603" i="1"/>
  <c r="A19602" i="1"/>
  <c r="A19601" i="1"/>
  <c r="A19596" i="1"/>
  <c r="A19595" i="1"/>
  <c r="A19591" i="1"/>
  <c r="A19590" i="1"/>
  <c r="A19589" i="1"/>
  <c r="A19588" i="1"/>
  <c r="A19583" i="1"/>
  <c r="A19582" i="1"/>
  <c r="A19578" i="1"/>
  <c r="A19577" i="1"/>
  <c r="A19576" i="1"/>
  <c r="A19575" i="1"/>
  <c r="A19569" i="1"/>
  <c r="A19568" i="1"/>
  <c r="A19564" i="1"/>
  <c r="A19563" i="1"/>
  <c r="A19562" i="1"/>
  <c r="A19561" i="1"/>
  <c r="A19554" i="1"/>
  <c r="A19553" i="1"/>
  <c r="A19549" i="1"/>
  <c r="A19548" i="1"/>
  <c r="A19547" i="1"/>
  <c r="A19546" i="1"/>
  <c r="A19540" i="1"/>
  <c r="A19539" i="1"/>
  <c r="A19535" i="1"/>
  <c r="A19534" i="1"/>
  <c r="A19533" i="1"/>
  <c r="A19532" i="1"/>
  <c r="A19526" i="1"/>
  <c r="A19525" i="1"/>
  <c r="A19521" i="1"/>
  <c r="A19520" i="1"/>
  <c r="A19519" i="1"/>
  <c r="A19518" i="1"/>
  <c r="A19512" i="1"/>
  <c r="A19511" i="1"/>
  <c r="A19507" i="1"/>
  <c r="A19506" i="1"/>
  <c r="A19505" i="1"/>
  <c r="A19504" i="1"/>
  <c r="A19498" i="1"/>
  <c r="A19497" i="1"/>
  <c r="A19493" i="1"/>
  <c r="A19492" i="1"/>
  <c r="A19491" i="1"/>
  <c r="A19490" i="1"/>
  <c r="A19485" i="1"/>
  <c r="A19484" i="1"/>
  <c r="A19480" i="1"/>
  <c r="A19479" i="1"/>
  <c r="A19478" i="1"/>
  <c r="A19477" i="1"/>
  <c r="A19470" i="1"/>
  <c r="A19469" i="1"/>
  <c r="A19465" i="1"/>
  <c r="A19464" i="1"/>
  <c r="A19463" i="1"/>
  <c r="A19462" i="1"/>
  <c r="A19458" i="1"/>
  <c r="A19457" i="1"/>
  <c r="A19453" i="1"/>
  <c r="A19452" i="1"/>
  <c r="A19451" i="1"/>
  <c r="A19450" i="1"/>
  <c r="A19446" i="1"/>
  <c r="A19445" i="1"/>
  <c r="A19441" i="1"/>
  <c r="A19440" i="1"/>
  <c r="A19439" i="1"/>
  <c r="A19438" i="1"/>
  <c r="A19433" i="1"/>
  <c r="A19432" i="1"/>
  <c r="A19428" i="1"/>
  <c r="A19427" i="1"/>
  <c r="A19426" i="1"/>
  <c r="A19425" i="1"/>
  <c r="A19420" i="1"/>
  <c r="A19419" i="1"/>
  <c r="A19415" i="1"/>
  <c r="A19414" i="1"/>
  <c r="A19413" i="1"/>
  <c r="A19412" i="1"/>
  <c r="A19401" i="1"/>
  <c r="A19400" i="1"/>
  <c r="A19396" i="1"/>
  <c r="A19395" i="1"/>
  <c r="A19394" i="1"/>
  <c r="A19393" i="1"/>
  <c r="A19388" i="1"/>
  <c r="A19387" i="1"/>
  <c r="A19383" i="1"/>
  <c r="A19382" i="1"/>
  <c r="A19381" i="1"/>
  <c r="A19380" i="1"/>
  <c r="A19375" i="1"/>
  <c r="A19374" i="1"/>
  <c r="A19370" i="1"/>
  <c r="A19369" i="1"/>
  <c r="A19368" i="1"/>
  <c r="A19367" i="1"/>
  <c r="A19362" i="1"/>
  <c r="A19361" i="1"/>
  <c r="A19357" i="1"/>
  <c r="A19356" i="1"/>
  <c r="A19355" i="1"/>
  <c r="A19354" i="1"/>
  <c r="A19349" i="1"/>
  <c r="A19348" i="1"/>
  <c r="A19344" i="1"/>
  <c r="A19343" i="1"/>
  <c r="A19342" i="1"/>
  <c r="A19341" i="1"/>
  <c r="A19336" i="1"/>
  <c r="A19335" i="1"/>
  <c r="A19331" i="1"/>
  <c r="A19330" i="1"/>
  <c r="A19329" i="1"/>
  <c r="A19328" i="1"/>
  <c r="A19323" i="1"/>
  <c r="A19322" i="1"/>
  <c r="A19318" i="1"/>
  <c r="A19317" i="1"/>
  <c r="A19316" i="1"/>
  <c r="A19315" i="1"/>
  <c r="A19310" i="1"/>
  <c r="A19309" i="1"/>
  <c r="A19305" i="1"/>
  <c r="A19304" i="1"/>
  <c r="A19303" i="1"/>
  <c r="A19302" i="1"/>
  <c r="A19299" i="1"/>
  <c r="A19295" i="1"/>
  <c r="A19294" i="1"/>
  <c r="A19293" i="1"/>
  <c r="A19292" i="1"/>
  <c r="A19288" i="1"/>
  <c r="A19287" i="1"/>
  <c r="A19282" i="1"/>
  <c r="A19281" i="1"/>
  <c r="A19277" i="1"/>
  <c r="A19276" i="1"/>
  <c r="A19275" i="1"/>
  <c r="A19274" i="1"/>
  <c r="A19269" i="1"/>
  <c r="A19268" i="1"/>
  <c r="A19264" i="1"/>
  <c r="A19263" i="1"/>
  <c r="A19262" i="1"/>
  <c r="A19261" i="1"/>
  <c r="A19256" i="1"/>
  <c r="A19255" i="1"/>
  <c r="A19251" i="1"/>
  <c r="A19250" i="1"/>
  <c r="A19249" i="1"/>
  <c r="A19248" i="1"/>
  <c r="A19243" i="1"/>
  <c r="A19242" i="1"/>
  <c r="A19238" i="1"/>
  <c r="A19237" i="1"/>
  <c r="A19236" i="1"/>
  <c r="A19235" i="1"/>
  <c r="A19230" i="1"/>
  <c r="A19229" i="1"/>
  <c r="A19225" i="1"/>
  <c r="A19224" i="1"/>
  <c r="A19223" i="1"/>
  <c r="A19222" i="1"/>
  <c r="A19217" i="1"/>
  <c r="A19216" i="1"/>
  <c r="A19212" i="1"/>
  <c r="A19211" i="1"/>
  <c r="A19210" i="1"/>
  <c r="A19209" i="1"/>
  <c r="A19204" i="1"/>
  <c r="A19203" i="1"/>
  <c r="A19199" i="1"/>
  <c r="A19198" i="1"/>
  <c r="A19197" i="1"/>
  <c r="A19196" i="1"/>
  <c r="A19191" i="1"/>
  <c r="A19190" i="1"/>
  <c r="A19186" i="1"/>
  <c r="A19185" i="1"/>
  <c r="A19184" i="1"/>
  <c r="A19183" i="1"/>
  <c r="A19178" i="1"/>
  <c r="A19177" i="1"/>
  <c r="A19173" i="1"/>
  <c r="A19172" i="1"/>
  <c r="A19171" i="1"/>
  <c r="A19170" i="1"/>
  <c r="A19165" i="1"/>
  <c r="A19164" i="1"/>
  <c r="A19160" i="1"/>
  <c r="A19159" i="1"/>
  <c r="A19158" i="1"/>
  <c r="A19157" i="1"/>
  <c r="A19152" i="1"/>
  <c r="A19151" i="1"/>
  <c r="A19147" i="1"/>
  <c r="A19146" i="1"/>
  <c r="A19145" i="1"/>
  <c r="A19144" i="1"/>
  <c r="A19139" i="1"/>
  <c r="A19138" i="1"/>
  <c r="A19134" i="1"/>
  <c r="A19133" i="1"/>
  <c r="A19132" i="1"/>
  <c r="A19131" i="1"/>
  <c r="A19126" i="1"/>
  <c r="A19125" i="1"/>
  <c r="A19121" i="1"/>
  <c r="A19120" i="1"/>
  <c r="A19119" i="1"/>
  <c r="A19118" i="1"/>
  <c r="A19113" i="1"/>
  <c r="A19112" i="1"/>
  <c r="A19108" i="1"/>
  <c r="A19107" i="1"/>
  <c r="A19106" i="1"/>
  <c r="A19105" i="1"/>
  <c r="A19100" i="1"/>
  <c r="A19099" i="1"/>
  <c r="A19095" i="1"/>
  <c r="A19094" i="1"/>
  <c r="A19093" i="1"/>
  <c r="A19092" i="1"/>
  <c r="A19087" i="1"/>
  <c r="A19086" i="1"/>
  <c r="A19082" i="1"/>
  <c r="A19081" i="1"/>
  <c r="A19080" i="1"/>
  <c r="A19079" i="1"/>
  <c r="A19074" i="1"/>
  <c r="A19073" i="1"/>
  <c r="A19069" i="1"/>
  <c r="A19068" i="1"/>
  <c r="A19067" i="1"/>
  <c r="A19066" i="1"/>
  <c r="A19061" i="1"/>
  <c r="A19060" i="1"/>
  <c r="A19056" i="1"/>
  <c r="A19055" i="1"/>
  <c r="A19054" i="1"/>
  <c r="A19053" i="1"/>
  <c r="A19048" i="1"/>
  <c r="A19047" i="1"/>
  <c r="A19043" i="1"/>
  <c r="A19042" i="1"/>
  <c r="A19041" i="1"/>
  <c r="A19040" i="1"/>
  <c r="A19037" i="1"/>
  <c r="A19033" i="1"/>
  <c r="A19032" i="1"/>
  <c r="A19031" i="1"/>
  <c r="A19030" i="1"/>
  <c r="A19027" i="1"/>
  <c r="A19023" i="1"/>
  <c r="A19022" i="1"/>
  <c r="A19021" i="1"/>
  <c r="A19020" i="1"/>
  <c r="A19017" i="1"/>
  <c r="A19013" i="1"/>
  <c r="A19012" i="1"/>
  <c r="A19011" i="1"/>
  <c r="A19010" i="1"/>
  <c r="A18995" i="1"/>
  <c r="A18994" i="1"/>
  <c r="A18990" i="1"/>
  <c r="A18989" i="1"/>
  <c r="A18988" i="1"/>
  <c r="A18987" i="1"/>
  <c r="A18984" i="1"/>
  <c r="A18983" i="1"/>
  <c r="A18980" i="1"/>
  <c r="A18979" i="1"/>
  <c r="A18976" i="1"/>
  <c r="A18975" i="1"/>
  <c r="A18972" i="1"/>
  <c r="A18971" i="1"/>
  <c r="A18968" i="1"/>
  <c r="A18967" i="1"/>
  <c r="A18959" i="1"/>
  <c r="A18958" i="1"/>
  <c r="A18954" i="1"/>
  <c r="A18953" i="1"/>
  <c r="A18952" i="1"/>
  <c r="A18951" i="1"/>
  <c r="A18944" i="1"/>
  <c r="A18943" i="1"/>
  <c r="A18939" i="1"/>
  <c r="A18938" i="1"/>
  <c r="A18937" i="1"/>
  <c r="A18936" i="1"/>
  <c r="A18933" i="1"/>
  <c r="A18932" i="1"/>
  <c r="A18924" i="1"/>
  <c r="A18923" i="1"/>
  <c r="A18919" i="1"/>
  <c r="A18918" i="1"/>
  <c r="A18917" i="1"/>
  <c r="A18916" i="1"/>
  <c r="A18913" i="1"/>
  <c r="A18912" i="1"/>
  <c r="A18909" i="1"/>
  <c r="A18908" i="1"/>
  <c r="A18905" i="1"/>
  <c r="A18904" i="1"/>
  <c r="A18901" i="1"/>
  <c r="A18900" i="1"/>
  <c r="A18897" i="1"/>
  <c r="A18896" i="1"/>
  <c r="A18893" i="1"/>
  <c r="A18892" i="1"/>
  <c r="A18889" i="1"/>
  <c r="A18888" i="1"/>
  <c r="A18885" i="1"/>
  <c r="A18884" i="1"/>
  <c r="A18881" i="1"/>
  <c r="A18880" i="1"/>
  <c r="A18877" i="1"/>
  <c r="A18876" i="1"/>
  <c r="A18866" i="1"/>
  <c r="A18865" i="1"/>
  <c r="A18861" i="1"/>
  <c r="A18860" i="1"/>
  <c r="A18859" i="1"/>
  <c r="A18858" i="1"/>
  <c r="A18848" i="1"/>
  <c r="A18847" i="1"/>
  <c r="A18843" i="1"/>
  <c r="A18842" i="1"/>
  <c r="A18841" i="1"/>
  <c r="A18840" i="1"/>
  <c r="A18837" i="1"/>
  <c r="A18836" i="1"/>
  <c r="A18826" i="1"/>
  <c r="A18825" i="1"/>
  <c r="A18821" i="1"/>
  <c r="A18820" i="1"/>
  <c r="A18819" i="1"/>
  <c r="A18818" i="1"/>
  <c r="A18805" i="1"/>
  <c r="A18804" i="1"/>
  <c r="A18800" i="1"/>
  <c r="A18799" i="1"/>
  <c r="A18798" i="1"/>
  <c r="A18797" i="1"/>
  <c r="A18788" i="1"/>
  <c r="A18787" i="1"/>
  <c r="A18783" i="1"/>
  <c r="A18782" i="1"/>
  <c r="A18781" i="1"/>
  <c r="A18780" i="1"/>
  <c r="A18776" i="1"/>
  <c r="A18775" i="1"/>
  <c r="A18771" i="1"/>
  <c r="A18770" i="1"/>
  <c r="A18769" i="1"/>
  <c r="A18768" i="1"/>
  <c r="A18764" i="1"/>
  <c r="A18763" i="1"/>
  <c r="A18760" i="1"/>
  <c r="A18759" i="1"/>
  <c r="A18756" i="1"/>
  <c r="A18755" i="1"/>
  <c r="A18747" i="1"/>
  <c r="A18746" i="1"/>
  <c r="A18742" i="1"/>
  <c r="A18741" i="1"/>
  <c r="A18740" i="1"/>
  <c r="A18739" i="1"/>
  <c r="A18725" i="1"/>
  <c r="A18724" i="1"/>
  <c r="A18720" i="1"/>
  <c r="A18719" i="1"/>
  <c r="A18718" i="1"/>
  <c r="A18717" i="1"/>
  <c r="A18704" i="1"/>
  <c r="A18703" i="1"/>
  <c r="A18699" i="1"/>
  <c r="A18698" i="1"/>
  <c r="A18697" i="1"/>
  <c r="A18696" i="1"/>
  <c r="A18690" i="1"/>
  <c r="A18689" i="1"/>
  <c r="A18685" i="1"/>
  <c r="A18684" i="1"/>
  <c r="A18683" i="1"/>
  <c r="A18682" i="1"/>
  <c r="A18679" i="1"/>
  <c r="A18678" i="1"/>
  <c r="A18675" i="1"/>
  <c r="A18674" i="1"/>
  <c r="A18671" i="1"/>
  <c r="A18670" i="1"/>
  <c r="A18667" i="1"/>
  <c r="A18666" i="1"/>
  <c r="A18663" i="1"/>
  <c r="A18662" i="1"/>
  <c r="A18659" i="1"/>
  <c r="A18658" i="1"/>
  <c r="A18655" i="1"/>
  <c r="A18654" i="1"/>
  <c r="A18651" i="1"/>
  <c r="A18650" i="1"/>
  <c r="A18647" i="1"/>
  <c r="A18646" i="1"/>
  <c r="A18643" i="1"/>
  <c r="A18642" i="1"/>
  <c r="A18639" i="1"/>
  <c r="A18638" i="1"/>
  <c r="A18635" i="1"/>
  <c r="A18634" i="1"/>
  <c r="A18631" i="1"/>
  <c r="A18630" i="1"/>
  <c r="A18627" i="1"/>
  <c r="A18626" i="1"/>
  <c r="A18623" i="1"/>
  <c r="A18622" i="1"/>
  <c r="A18619" i="1"/>
  <c r="A18618" i="1"/>
  <c r="A18615" i="1"/>
  <c r="A18614" i="1"/>
  <c r="A18611" i="1"/>
  <c r="A18610" i="1"/>
  <c r="A18607" i="1"/>
  <c r="A18606" i="1"/>
  <c r="A18603" i="1"/>
  <c r="A18602" i="1"/>
  <c r="A18599" i="1"/>
  <c r="A18598" i="1"/>
  <c r="A18595" i="1"/>
  <c r="A18594" i="1"/>
  <c r="A18591" i="1"/>
  <c r="A18590" i="1"/>
  <c r="A18587" i="1"/>
  <c r="A18586" i="1"/>
  <c r="A18583" i="1"/>
  <c r="A18582" i="1"/>
  <c r="A18579" i="1"/>
  <c r="A18578" i="1"/>
  <c r="A18572" i="1"/>
  <c r="A18571" i="1"/>
  <c r="A18567" i="1"/>
  <c r="A18566" i="1"/>
  <c r="A18565" i="1"/>
  <c r="A18564" i="1"/>
  <c r="A18558" i="1"/>
  <c r="A18557" i="1"/>
  <c r="A18553" i="1"/>
  <c r="A18552" i="1"/>
  <c r="A18551" i="1"/>
  <c r="A18550" i="1"/>
  <c r="A18544" i="1"/>
  <c r="A18543" i="1"/>
  <c r="A18539" i="1"/>
  <c r="A18538" i="1"/>
  <c r="A18537" i="1"/>
  <c r="A18536" i="1"/>
  <c r="A18530" i="1"/>
  <c r="A18529" i="1"/>
  <c r="A18525" i="1"/>
  <c r="A18524" i="1"/>
  <c r="A18523" i="1"/>
  <c r="A18522" i="1"/>
  <c r="A18516" i="1"/>
  <c r="A18515" i="1"/>
  <c r="A18511" i="1"/>
  <c r="A18510" i="1"/>
  <c r="A18509" i="1"/>
  <c r="A18508" i="1"/>
  <c r="A18502" i="1"/>
  <c r="A18501" i="1"/>
  <c r="A18497" i="1"/>
  <c r="A18496" i="1"/>
  <c r="A18495" i="1"/>
  <c r="A18494" i="1"/>
  <c r="A18488" i="1"/>
  <c r="A18487" i="1"/>
  <c r="A18483" i="1"/>
  <c r="A18482" i="1"/>
  <c r="A18481" i="1"/>
  <c r="A18480" i="1"/>
  <c r="A18474" i="1"/>
  <c r="A18473" i="1"/>
  <c r="A18469" i="1"/>
  <c r="A18468" i="1"/>
  <c r="A18467" i="1"/>
  <c r="A18466" i="1"/>
  <c r="A18460" i="1"/>
  <c r="A18459" i="1"/>
  <c r="A18455" i="1"/>
  <c r="A18454" i="1"/>
  <c r="A18453" i="1"/>
  <c r="A18452" i="1"/>
  <c r="A18446" i="1"/>
  <c r="A18445" i="1"/>
  <c r="A18441" i="1"/>
  <c r="A18440" i="1"/>
  <c r="A18439" i="1"/>
  <c r="A18438" i="1"/>
  <c r="A18432" i="1"/>
  <c r="A18431" i="1"/>
  <c r="A18427" i="1"/>
  <c r="A18426" i="1"/>
  <c r="A18425" i="1"/>
  <c r="A18424" i="1"/>
  <c r="A18418" i="1"/>
  <c r="A18417" i="1"/>
  <c r="A18413" i="1"/>
  <c r="A18412" i="1"/>
  <c r="A18411" i="1"/>
  <c r="A18410" i="1"/>
  <c r="A18404" i="1"/>
  <c r="A18403" i="1"/>
  <c r="A18399" i="1"/>
  <c r="A18398" i="1"/>
  <c r="A18397" i="1"/>
  <c r="A18396" i="1"/>
  <c r="A18390" i="1"/>
  <c r="A18389" i="1"/>
  <c r="A18385" i="1"/>
  <c r="A18384" i="1"/>
  <c r="A18383" i="1"/>
  <c r="A18382" i="1"/>
  <c r="A18376" i="1"/>
  <c r="A18375" i="1"/>
  <c r="A18371" i="1"/>
  <c r="A18370" i="1"/>
  <c r="A18369" i="1"/>
  <c r="A18368" i="1"/>
  <c r="A18362" i="1"/>
  <c r="A18361" i="1"/>
  <c r="A18357" i="1"/>
  <c r="A18356" i="1"/>
  <c r="A18355" i="1"/>
  <c r="A18354" i="1"/>
  <c r="A18348" i="1"/>
  <c r="A18347" i="1"/>
  <c r="A18343" i="1"/>
  <c r="A18342" i="1"/>
  <c r="A18341" i="1"/>
  <c r="A18340" i="1"/>
  <c r="A18334" i="1"/>
  <c r="A18333" i="1"/>
  <c r="A18329" i="1"/>
  <c r="A18328" i="1"/>
  <c r="A18327" i="1"/>
  <c r="A18326" i="1"/>
  <c r="A18320" i="1"/>
  <c r="A18319" i="1"/>
  <c r="A18315" i="1"/>
  <c r="A18314" i="1"/>
  <c r="A18313" i="1"/>
  <c r="A18312" i="1"/>
  <c r="A18306" i="1"/>
  <c r="A18305" i="1"/>
  <c r="A18301" i="1"/>
  <c r="A18300" i="1"/>
  <c r="A18299" i="1"/>
  <c r="A18298" i="1"/>
  <c r="A18292" i="1"/>
  <c r="A18291" i="1"/>
  <c r="A18287" i="1"/>
  <c r="A18286" i="1"/>
  <c r="A18285" i="1"/>
  <c r="A18284" i="1"/>
  <c r="A18278" i="1"/>
  <c r="A18277" i="1"/>
  <c r="A18273" i="1"/>
  <c r="A18272" i="1"/>
  <c r="A18271" i="1"/>
  <c r="A18270" i="1"/>
  <c r="A18264" i="1"/>
  <c r="A18263" i="1"/>
  <c r="A18259" i="1"/>
  <c r="A18258" i="1"/>
  <c r="A18257" i="1"/>
  <c r="A18256" i="1"/>
  <c r="A18250" i="1"/>
  <c r="A18249" i="1"/>
  <c r="A18245" i="1"/>
  <c r="A18244" i="1"/>
  <c r="A18243" i="1"/>
  <c r="A18242" i="1"/>
  <c r="A18236" i="1"/>
  <c r="A18235" i="1"/>
  <c r="A18231" i="1"/>
  <c r="A18230" i="1"/>
  <c r="A18229" i="1"/>
  <c r="A18228" i="1"/>
  <c r="A18222" i="1"/>
  <c r="A18221" i="1"/>
  <c r="A18217" i="1"/>
  <c r="A18216" i="1"/>
  <c r="A18215" i="1"/>
  <c r="A18214" i="1"/>
  <c r="A18211" i="1"/>
  <c r="A18210" i="1"/>
  <c r="A18197" i="1"/>
  <c r="A18196" i="1"/>
  <c r="A18192" i="1"/>
  <c r="A18191" i="1"/>
  <c r="A18190" i="1"/>
  <c r="A18189" i="1"/>
  <c r="A18176" i="1"/>
  <c r="A18175" i="1"/>
  <c r="A18171" i="1"/>
  <c r="A18170" i="1"/>
  <c r="A18169" i="1"/>
  <c r="A18168" i="1"/>
  <c r="A18165" i="1"/>
  <c r="A18164" i="1"/>
  <c r="A18151" i="1"/>
  <c r="A18150" i="1"/>
  <c r="A18146" i="1"/>
  <c r="A18145" i="1"/>
  <c r="A18144" i="1"/>
  <c r="A18143" i="1"/>
  <c r="A18140" i="1"/>
  <c r="A18139" i="1"/>
  <c r="A18135" i="1"/>
  <c r="A18134" i="1"/>
  <c r="A18130" i="1"/>
  <c r="A18129" i="1"/>
  <c r="A18128" i="1"/>
  <c r="A18127" i="1"/>
  <c r="A18122" i="1"/>
  <c r="A18121" i="1"/>
  <c r="A18117" i="1"/>
  <c r="A18116" i="1"/>
  <c r="A18115" i="1"/>
  <c r="A18114" i="1"/>
  <c r="A18111" i="1"/>
  <c r="A18110" i="1"/>
  <c r="A18107" i="1"/>
  <c r="A18106" i="1"/>
  <c r="A18102" i="1"/>
  <c r="A18101" i="1"/>
  <c r="A18097" i="1"/>
  <c r="A18096" i="1"/>
  <c r="A18095" i="1"/>
  <c r="A18094" i="1"/>
  <c r="A18091" i="1"/>
  <c r="A18090" i="1"/>
  <c r="A18087" i="1"/>
  <c r="A18086" i="1"/>
  <c r="A18083" i="1"/>
  <c r="A18082" i="1"/>
  <c r="A18079" i="1"/>
  <c r="A18078" i="1"/>
  <c r="A18075" i="1"/>
  <c r="A18074" i="1"/>
  <c r="A18071" i="1"/>
  <c r="A18070" i="1"/>
  <c r="A18067" i="1"/>
  <c r="A18066" i="1"/>
  <c r="A18063" i="1"/>
  <c r="A18062" i="1"/>
  <c r="A18059" i="1"/>
  <c r="A18058" i="1"/>
  <c r="A18055" i="1"/>
  <c r="A18054" i="1"/>
  <c r="A18051" i="1"/>
  <c r="A18050" i="1"/>
  <c r="A18047" i="1"/>
  <c r="A18046" i="1"/>
  <c r="A18043" i="1"/>
  <c r="A18042" i="1"/>
  <c r="A18039" i="1"/>
  <c r="A18038" i="1"/>
  <c r="A18035" i="1"/>
  <c r="A18034" i="1"/>
  <c r="A18031" i="1"/>
  <c r="A18030" i="1"/>
  <c r="A18027" i="1"/>
  <c r="A18026" i="1"/>
  <c r="A18023" i="1"/>
  <c r="A18022" i="1"/>
  <c r="A18019" i="1"/>
  <c r="A18018" i="1"/>
  <c r="A18015" i="1"/>
  <c r="A18014" i="1"/>
  <c r="A18011" i="1"/>
  <c r="A18010" i="1"/>
  <c r="A18007" i="1"/>
  <c r="A18006" i="1"/>
  <c r="A18003" i="1"/>
  <c r="A18002" i="1"/>
  <c r="A17999" i="1"/>
  <c r="A17998" i="1"/>
  <c r="A17995" i="1"/>
  <c r="A17994" i="1"/>
  <c r="A17991" i="1"/>
  <c r="A17990" i="1"/>
  <c r="A17987" i="1"/>
  <c r="A17986" i="1"/>
  <c r="A17983" i="1"/>
  <c r="A17982" i="1"/>
  <c r="A17979" i="1"/>
  <c r="A17978" i="1"/>
  <c r="A17975" i="1"/>
  <c r="A17974" i="1"/>
  <c r="A17971" i="1"/>
  <c r="A17970" i="1"/>
  <c r="A17967" i="1"/>
  <c r="A17966" i="1"/>
  <c r="A17963" i="1"/>
  <c r="A17962" i="1"/>
  <c r="A17959" i="1"/>
  <c r="A17958" i="1"/>
  <c r="A17955" i="1"/>
  <c r="A17954" i="1"/>
  <c r="A17951" i="1"/>
  <c r="A17950" i="1"/>
  <c r="A17947" i="1"/>
  <c r="A17946" i="1"/>
  <c r="A17943" i="1"/>
  <c r="A17942" i="1"/>
  <c r="A17939" i="1"/>
  <c r="A17938" i="1"/>
  <c r="A17935" i="1"/>
  <c r="A17934" i="1"/>
  <c r="A17931" i="1"/>
  <c r="A17930" i="1"/>
  <c r="A17927" i="1"/>
  <c r="A17926" i="1"/>
  <c r="A17923" i="1"/>
  <c r="A17922" i="1"/>
  <c r="A17919" i="1"/>
  <c r="A17918" i="1"/>
  <c r="A17915" i="1"/>
  <c r="A17914" i="1"/>
  <c r="A17911" i="1"/>
  <c r="A17910" i="1"/>
  <c r="A17907" i="1"/>
  <c r="A17906" i="1"/>
  <c r="A17903" i="1"/>
  <c r="A17902" i="1"/>
  <c r="A17899" i="1"/>
  <c r="A17898" i="1"/>
  <c r="A17895" i="1"/>
  <c r="A17894" i="1"/>
  <c r="A17891" i="1"/>
  <c r="A17890" i="1"/>
  <c r="A17887" i="1"/>
  <c r="A17886" i="1"/>
  <c r="A17877" i="1"/>
  <c r="A17876" i="1"/>
  <c r="A17872" i="1"/>
  <c r="A17871" i="1"/>
  <c r="A17870" i="1"/>
  <c r="A17869" i="1"/>
  <c r="A17861" i="1"/>
  <c r="A17860" i="1"/>
  <c r="A17856" i="1"/>
  <c r="A17855" i="1"/>
  <c r="A17854" i="1"/>
  <c r="A17853" i="1"/>
  <c r="A17845" i="1"/>
  <c r="A17844" i="1"/>
  <c r="A17840" i="1"/>
  <c r="A17839" i="1"/>
  <c r="A17838" i="1"/>
  <c r="A17837" i="1"/>
  <c r="A17834" i="1"/>
  <c r="A17833" i="1"/>
  <c r="A17830" i="1"/>
  <c r="A17829" i="1"/>
  <c r="A17824" i="1"/>
  <c r="A17823" i="1"/>
  <c r="A17819" i="1"/>
  <c r="A17818" i="1"/>
  <c r="A17817" i="1"/>
  <c r="A17816" i="1"/>
  <c r="A17811" i="1"/>
  <c r="A17810" i="1"/>
  <c r="A17806" i="1"/>
  <c r="A17805" i="1"/>
  <c r="A17804" i="1"/>
  <c r="A17803" i="1"/>
  <c r="A17796" i="1"/>
  <c r="A17795" i="1"/>
  <c r="A17791" i="1"/>
  <c r="A17790" i="1"/>
  <c r="A17789" i="1"/>
  <c r="A17788" i="1"/>
  <c r="A17781" i="1"/>
  <c r="A17780" i="1"/>
  <c r="A17776" i="1"/>
  <c r="A17775" i="1"/>
  <c r="A17774" i="1"/>
  <c r="A17773" i="1"/>
  <c r="A17767" i="1"/>
  <c r="A17766" i="1"/>
  <c r="A17762" i="1"/>
  <c r="A17761" i="1"/>
  <c r="A17760" i="1"/>
  <c r="A17759" i="1"/>
  <c r="A17754" i="1"/>
  <c r="A17753" i="1"/>
  <c r="A17749" i="1"/>
  <c r="A17748" i="1"/>
  <c r="A17747" i="1"/>
  <c r="A17746" i="1"/>
  <c r="A17741" i="1"/>
  <c r="A17740" i="1"/>
  <c r="A17736" i="1"/>
  <c r="A17735" i="1"/>
  <c r="A17734" i="1"/>
  <c r="A17733" i="1"/>
  <c r="A17728" i="1"/>
  <c r="A17727" i="1"/>
  <c r="A17723" i="1"/>
  <c r="A17722" i="1"/>
  <c r="A17721" i="1"/>
  <c r="A17720" i="1"/>
  <c r="A17713" i="1"/>
  <c r="A17712" i="1"/>
  <c r="A17708" i="1"/>
  <c r="A17707" i="1"/>
  <c r="A17706" i="1"/>
  <c r="A17705" i="1"/>
  <c r="A17699" i="1"/>
  <c r="A17698" i="1"/>
  <c r="A17694" i="1"/>
  <c r="A17693" i="1"/>
  <c r="A17692" i="1"/>
  <c r="A17691" i="1"/>
  <c r="A17685" i="1"/>
  <c r="A17684" i="1"/>
  <c r="A17680" i="1"/>
  <c r="A17679" i="1"/>
  <c r="A17678" i="1"/>
  <c r="A17677" i="1"/>
  <c r="A17671" i="1"/>
  <c r="A17670" i="1"/>
  <c r="A17666" i="1"/>
  <c r="A17665" i="1"/>
  <c r="A17664" i="1"/>
  <c r="A17663" i="1"/>
  <c r="A17656" i="1"/>
  <c r="A17655" i="1"/>
  <c r="A17651" i="1"/>
  <c r="A17650" i="1"/>
  <c r="A17649" i="1"/>
  <c r="A17648" i="1"/>
  <c r="A17641" i="1"/>
  <c r="A17640" i="1"/>
  <c r="A17636" i="1"/>
  <c r="A17635" i="1"/>
  <c r="A17634" i="1"/>
  <c r="A17633" i="1"/>
  <c r="A17627" i="1"/>
  <c r="A17626" i="1"/>
  <c r="A17622" i="1"/>
  <c r="A17621" i="1"/>
  <c r="A17620" i="1"/>
  <c r="A17619" i="1"/>
  <c r="A17613" i="1"/>
  <c r="A17612" i="1"/>
  <c r="A17608" i="1"/>
  <c r="A17607" i="1"/>
  <c r="A17606" i="1"/>
  <c r="A17605" i="1"/>
  <c r="A17599" i="1"/>
  <c r="A17598" i="1"/>
  <c r="A17594" i="1"/>
  <c r="A17593" i="1"/>
  <c r="A17592" i="1"/>
  <c r="A17591" i="1"/>
  <c r="A17585" i="1"/>
  <c r="A17584" i="1"/>
  <c r="A17580" i="1"/>
  <c r="A17579" i="1"/>
  <c r="A17578" i="1"/>
  <c r="A17577" i="1"/>
  <c r="A17573" i="1"/>
  <c r="A17572" i="1"/>
  <c r="A17568" i="1"/>
  <c r="A17567" i="1"/>
  <c r="A17566" i="1"/>
  <c r="A17565" i="1"/>
  <c r="A17561" i="1"/>
  <c r="A17560" i="1"/>
  <c r="A17556" i="1"/>
  <c r="A17555" i="1"/>
  <c r="A17554" i="1"/>
  <c r="A17553" i="1"/>
  <c r="A17549" i="1"/>
  <c r="A17548" i="1"/>
  <c r="A17544" i="1"/>
  <c r="A17543" i="1"/>
  <c r="A17542" i="1"/>
  <c r="A17541" i="1"/>
  <c r="A17537" i="1"/>
  <c r="A17536" i="1"/>
  <c r="A17532" i="1"/>
  <c r="A17531" i="1"/>
  <c r="A17530" i="1"/>
  <c r="A17529" i="1"/>
  <c r="A17523" i="1"/>
  <c r="A17522" i="1"/>
  <c r="A17518" i="1"/>
  <c r="A17517" i="1"/>
  <c r="A17516" i="1"/>
  <c r="A17515" i="1"/>
  <c r="A17510" i="1"/>
  <c r="A17509" i="1"/>
  <c r="A17505" i="1"/>
  <c r="A17504" i="1"/>
  <c r="A17503" i="1"/>
  <c r="A17502" i="1"/>
  <c r="A17495" i="1"/>
  <c r="A17494" i="1"/>
  <c r="A17490" i="1"/>
  <c r="A17489" i="1"/>
  <c r="A17488" i="1"/>
  <c r="A17487" i="1"/>
  <c r="A17481" i="1"/>
  <c r="A17480" i="1"/>
  <c r="A17476" i="1"/>
  <c r="A17475" i="1"/>
  <c r="A17474" i="1"/>
  <c r="A17473" i="1"/>
  <c r="A17465" i="1"/>
  <c r="A17464" i="1"/>
  <c r="A17460" i="1"/>
  <c r="A17459" i="1"/>
  <c r="A17458" i="1"/>
  <c r="A17457" i="1"/>
  <c r="A17451" i="1"/>
  <c r="A17450" i="1"/>
  <c r="A17446" i="1"/>
  <c r="A17445" i="1"/>
  <c r="A17444" i="1"/>
  <c r="A17443" i="1"/>
  <c r="A17436" i="1"/>
  <c r="A17435" i="1"/>
  <c r="A17431" i="1"/>
  <c r="A17430" i="1"/>
  <c r="A17429" i="1"/>
  <c r="A17428" i="1"/>
  <c r="A17422" i="1"/>
  <c r="A17421" i="1"/>
  <c r="A17417" i="1"/>
  <c r="A17416" i="1"/>
  <c r="A17415" i="1"/>
  <c r="A17414" i="1"/>
  <c r="A17408" i="1"/>
  <c r="A17407" i="1"/>
  <c r="A17403" i="1"/>
  <c r="A17402" i="1"/>
  <c r="A17401" i="1"/>
  <c r="A17400" i="1"/>
  <c r="A17395" i="1"/>
  <c r="A17394" i="1"/>
  <c r="A17390" i="1"/>
  <c r="A17389" i="1"/>
  <c r="A17388" i="1"/>
  <c r="A17387" i="1"/>
  <c r="A17383" i="1"/>
  <c r="A17382" i="1"/>
  <c r="A17378" i="1"/>
  <c r="A17377" i="1"/>
  <c r="A17376" i="1"/>
  <c r="A17375" i="1"/>
  <c r="A17371" i="1"/>
  <c r="A17370" i="1"/>
  <c r="A17366" i="1"/>
  <c r="A17365" i="1"/>
  <c r="A17364" i="1"/>
  <c r="A17363" i="1"/>
  <c r="A17359" i="1"/>
  <c r="A17358" i="1"/>
  <c r="A17354" i="1"/>
  <c r="A17353" i="1"/>
  <c r="A17352" i="1"/>
  <c r="A17351" i="1"/>
  <c r="A17347" i="1"/>
  <c r="A17346" i="1"/>
  <c r="A17342" i="1"/>
  <c r="A17341" i="1"/>
  <c r="A17340" i="1"/>
  <c r="A17339" i="1"/>
  <c r="A17335" i="1"/>
  <c r="A17334" i="1"/>
  <c r="A17330" i="1"/>
  <c r="A17329" i="1"/>
  <c r="A17328" i="1"/>
  <c r="A17327" i="1"/>
  <c r="A17319" i="1"/>
  <c r="A17318" i="1"/>
  <c r="A17314" i="1"/>
  <c r="A17313" i="1"/>
  <c r="A17312" i="1"/>
  <c r="A17311" i="1"/>
  <c r="A17305" i="1"/>
  <c r="A17304" i="1"/>
  <c r="A17300" i="1"/>
  <c r="A17299" i="1"/>
  <c r="A17298" i="1"/>
  <c r="A17297" i="1"/>
  <c r="A17291" i="1"/>
  <c r="A17290" i="1"/>
  <c r="A17286" i="1"/>
  <c r="A17285" i="1"/>
  <c r="A17284" i="1"/>
  <c r="A17283" i="1"/>
  <c r="A17279" i="1"/>
  <c r="A17278" i="1"/>
  <c r="A17274" i="1"/>
  <c r="A17273" i="1"/>
  <c r="A17272" i="1"/>
  <c r="A17271" i="1"/>
  <c r="A17268" i="1"/>
  <c r="A17267" i="1"/>
  <c r="A17264" i="1"/>
  <c r="A17263" i="1"/>
  <c r="A17260" i="1"/>
  <c r="A17259" i="1"/>
  <c r="A17256" i="1"/>
  <c r="A17255" i="1"/>
  <c r="A17249" i="1"/>
  <c r="A17248" i="1"/>
  <c r="A17244" i="1"/>
  <c r="A17243" i="1"/>
  <c r="A17242" i="1"/>
  <c r="A17241" i="1"/>
  <c r="A17236" i="1"/>
  <c r="A17235" i="1"/>
  <c r="A17231" i="1"/>
  <c r="A17230" i="1"/>
  <c r="A17229" i="1"/>
  <c r="A17228" i="1"/>
  <c r="A17222" i="1"/>
  <c r="A17221" i="1"/>
  <c r="A17217" i="1"/>
  <c r="A17216" i="1"/>
  <c r="A17215" i="1"/>
  <c r="A17214" i="1"/>
  <c r="A17208" i="1"/>
  <c r="A17207" i="1"/>
  <c r="A17203" i="1"/>
  <c r="A17202" i="1"/>
  <c r="A17201" i="1"/>
  <c r="A17200" i="1"/>
  <c r="A17194" i="1"/>
  <c r="A17193" i="1"/>
  <c r="A17189" i="1"/>
  <c r="A17188" i="1"/>
  <c r="A17187" i="1"/>
  <c r="A17186" i="1"/>
  <c r="A17182" i="1"/>
  <c r="A17178" i="1"/>
  <c r="A17177" i="1"/>
  <c r="A17176" i="1"/>
  <c r="A17175" i="1"/>
  <c r="A17169" i="1"/>
  <c r="A17168" i="1"/>
  <c r="A17164" i="1"/>
  <c r="A17163" i="1"/>
  <c r="A17162" i="1"/>
  <c r="A17161" i="1"/>
  <c r="A17155" i="1"/>
  <c r="A17154" i="1"/>
  <c r="A17150" i="1"/>
  <c r="A17149" i="1"/>
  <c r="A17148" i="1"/>
  <c r="A17147" i="1"/>
  <c r="A17141" i="1"/>
  <c r="A17140" i="1"/>
  <c r="A17136" i="1"/>
  <c r="A17135" i="1"/>
  <c r="A17134" i="1"/>
  <c r="A17133" i="1"/>
  <c r="A17127" i="1"/>
  <c r="A17126" i="1"/>
  <c r="A17122" i="1"/>
  <c r="A17121" i="1"/>
  <c r="A17120" i="1"/>
  <c r="A17119" i="1"/>
  <c r="A17113" i="1"/>
  <c r="A17112" i="1"/>
  <c r="A17108" i="1"/>
  <c r="A17107" i="1"/>
  <c r="A17106" i="1"/>
  <c r="A17105" i="1"/>
  <c r="A17099" i="1"/>
  <c r="A17098" i="1"/>
  <c r="A17094" i="1"/>
  <c r="A17093" i="1"/>
  <c r="A17092" i="1"/>
  <c r="A17091" i="1"/>
  <c r="A17085" i="1"/>
  <c r="A17084" i="1"/>
  <c r="A17080" i="1"/>
  <c r="A17079" i="1"/>
  <c r="A17078" i="1"/>
  <c r="A17077" i="1"/>
  <c r="A17071" i="1"/>
  <c r="A17070" i="1"/>
  <c r="A17066" i="1"/>
  <c r="A17065" i="1"/>
  <c r="A17064" i="1"/>
  <c r="A17063" i="1"/>
  <c r="A17057" i="1"/>
  <c r="A17056" i="1"/>
  <c r="A17052" i="1"/>
  <c r="A17051" i="1"/>
  <c r="A17050" i="1"/>
  <c r="A17049" i="1"/>
  <c r="A17040" i="1"/>
  <c r="A17039" i="1"/>
  <c r="A17035" i="1"/>
  <c r="A17034" i="1"/>
  <c r="A17033" i="1"/>
  <c r="A17032" i="1"/>
  <c r="A17026" i="1"/>
  <c r="A17025" i="1"/>
  <c r="A17021" i="1"/>
  <c r="A17020" i="1"/>
  <c r="A17019" i="1"/>
  <c r="A17018" i="1"/>
  <c r="A17012" i="1"/>
  <c r="A17011" i="1"/>
  <c r="A17007" i="1"/>
  <c r="A17006" i="1"/>
  <c r="A17005" i="1"/>
  <c r="A17004" i="1"/>
  <c r="A16998" i="1"/>
  <c r="A16997" i="1"/>
  <c r="A16993" i="1"/>
  <c r="A16992" i="1"/>
  <c r="A16991" i="1"/>
  <c r="A16990" i="1"/>
  <c r="A16984" i="1"/>
  <c r="A16983" i="1"/>
  <c r="A16979" i="1"/>
  <c r="A16978" i="1"/>
  <c r="A16977" i="1"/>
  <c r="A16976" i="1"/>
  <c r="A16970" i="1"/>
  <c r="A16969" i="1"/>
  <c r="A16965" i="1"/>
  <c r="A16964" i="1"/>
  <c r="A16963" i="1"/>
  <c r="A16962" i="1"/>
  <c r="A16955" i="1"/>
  <c r="A16954" i="1"/>
  <c r="A16950" i="1"/>
  <c r="A16949" i="1"/>
  <c r="A16948" i="1"/>
  <c r="A16947" i="1"/>
  <c r="A16942" i="1"/>
  <c r="A16941" i="1"/>
  <c r="A16937" i="1"/>
  <c r="A16936" i="1"/>
  <c r="A16935" i="1"/>
  <c r="A16934" i="1"/>
  <c r="A16924" i="1"/>
  <c r="A16923" i="1"/>
  <c r="A16919" i="1"/>
  <c r="A16918" i="1"/>
  <c r="A16917" i="1"/>
  <c r="A16916" i="1"/>
  <c r="A16911" i="1"/>
  <c r="A16910" i="1"/>
  <c r="A16906" i="1"/>
  <c r="A16905" i="1"/>
  <c r="A16904" i="1"/>
  <c r="A16903" i="1"/>
  <c r="A16898" i="1"/>
  <c r="A16897" i="1"/>
  <c r="A16893" i="1"/>
  <c r="A16892" i="1"/>
  <c r="A16891" i="1"/>
  <c r="A16890" i="1"/>
  <c r="A16885" i="1"/>
  <c r="A16884" i="1"/>
  <c r="A16880" i="1"/>
  <c r="A16879" i="1"/>
  <c r="A16878" i="1"/>
  <c r="A16877" i="1"/>
  <c r="A16872" i="1"/>
  <c r="A16871" i="1"/>
  <c r="A16867" i="1"/>
  <c r="A16866" i="1"/>
  <c r="A16865" i="1"/>
  <c r="A16864" i="1"/>
  <c r="A16859" i="1"/>
  <c r="A16858" i="1"/>
  <c r="A16854" i="1"/>
  <c r="A16853" i="1"/>
  <c r="A16852" i="1"/>
  <c r="A16851" i="1"/>
  <c r="A16846" i="1"/>
  <c r="A16845" i="1"/>
  <c r="A16841" i="1"/>
  <c r="A16840" i="1"/>
  <c r="A16839" i="1"/>
  <c r="A16838" i="1"/>
  <c r="A16833" i="1"/>
  <c r="A16832" i="1"/>
  <c r="A16828" i="1"/>
  <c r="A16827" i="1"/>
  <c r="A16826" i="1"/>
  <c r="A16825" i="1"/>
  <c r="A16820" i="1"/>
  <c r="A16819" i="1"/>
  <c r="A16815" i="1"/>
  <c r="A16814" i="1"/>
  <c r="A16813" i="1"/>
  <c r="A16812" i="1"/>
  <c r="A16807" i="1"/>
  <c r="A16806" i="1"/>
  <c r="A16802" i="1"/>
  <c r="A16801" i="1"/>
  <c r="A16800" i="1"/>
  <c r="A16799" i="1"/>
  <c r="A16794" i="1"/>
  <c r="A16793" i="1"/>
  <c r="A16789" i="1"/>
  <c r="A16788" i="1"/>
  <c r="A16787" i="1"/>
  <c r="A16786" i="1"/>
  <c r="A16781" i="1"/>
  <c r="A16780" i="1"/>
  <c r="A16776" i="1"/>
  <c r="A16775" i="1"/>
  <c r="A16774" i="1"/>
  <c r="A16773" i="1"/>
  <c r="A16767" i="1"/>
  <c r="A16766" i="1"/>
  <c r="A16762" i="1"/>
  <c r="A16761" i="1"/>
  <c r="A16760" i="1"/>
  <c r="A16759" i="1"/>
  <c r="A16753" i="1"/>
  <c r="A16752" i="1"/>
  <c r="A16748" i="1"/>
  <c r="A16747" i="1"/>
  <c r="A16746" i="1"/>
  <c r="A16745" i="1"/>
  <c r="A16737" i="1"/>
  <c r="A16736" i="1"/>
  <c r="A16732" i="1"/>
  <c r="A16731" i="1"/>
  <c r="A16730" i="1"/>
  <c r="A16729" i="1"/>
  <c r="A16722" i="1"/>
  <c r="A16721" i="1"/>
  <c r="A16717" i="1"/>
  <c r="A16716" i="1"/>
  <c r="A16715" i="1"/>
  <c r="A16714" i="1"/>
  <c r="A16708" i="1"/>
  <c r="A16707" i="1"/>
  <c r="A16703" i="1"/>
  <c r="A16702" i="1"/>
  <c r="A16701" i="1"/>
  <c r="A16700" i="1"/>
  <c r="A16692" i="1"/>
  <c r="A16691" i="1"/>
  <c r="A16687" i="1"/>
  <c r="A16686" i="1"/>
  <c r="A16685" i="1"/>
  <c r="A16684" i="1"/>
  <c r="A16676" i="1"/>
  <c r="A16675" i="1"/>
  <c r="A16671" i="1"/>
  <c r="A16670" i="1"/>
  <c r="A16669" i="1"/>
  <c r="A16668" i="1"/>
  <c r="A16660" i="1"/>
  <c r="A16659" i="1"/>
  <c r="A16655" i="1"/>
  <c r="A16654" i="1"/>
  <c r="A16653" i="1"/>
  <c r="A16652" i="1"/>
  <c r="A16644" i="1"/>
  <c r="A16643" i="1"/>
  <c r="A16639" i="1"/>
  <c r="A16638" i="1"/>
  <c r="A16637" i="1"/>
  <c r="A16636" i="1"/>
  <c r="A16628" i="1"/>
  <c r="A16627" i="1"/>
  <c r="A16623" i="1"/>
  <c r="A16622" i="1"/>
  <c r="A16621" i="1"/>
  <c r="A16620" i="1"/>
  <c r="A16612" i="1"/>
  <c r="A16611" i="1"/>
  <c r="A16607" i="1"/>
  <c r="A16606" i="1"/>
  <c r="A16605" i="1"/>
  <c r="A16604" i="1"/>
  <c r="A16598" i="1"/>
  <c r="A16597" i="1"/>
  <c r="A16593" i="1"/>
  <c r="A16592" i="1"/>
  <c r="A16591" i="1"/>
  <c r="A16590" i="1"/>
  <c r="A16585" i="1"/>
  <c r="A16584" i="1"/>
  <c r="A16580" i="1"/>
  <c r="A16579" i="1"/>
  <c r="A16578" i="1"/>
  <c r="A16577" i="1"/>
  <c r="A16572" i="1"/>
  <c r="A16571" i="1"/>
  <c r="A16567" i="1"/>
  <c r="A16566" i="1"/>
  <c r="A16565" i="1"/>
  <c r="A16564" i="1"/>
  <c r="A16559" i="1"/>
  <c r="A16558" i="1"/>
  <c r="A16554" i="1"/>
  <c r="A16553" i="1"/>
  <c r="A16552" i="1"/>
  <c r="A16551" i="1"/>
  <c r="A16546" i="1"/>
  <c r="A16545" i="1"/>
  <c r="A16541" i="1"/>
  <c r="A16540" i="1"/>
  <c r="A16539" i="1"/>
  <c r="A16538" i="1"/>
  <c r="A16533" i="1"/>
  <c r="A16532" i="1"/>
  <c r="A16528" i="1"/>
  <c r="A16527" i="1"/>
  <c r="A16526" i="1"/>
  <c r="A16525" i="1"/>
  <c r="A16520" i="1"/>
  <c r="A16519" i="1"/>
  <c r="A16515" i="1"/>
  <c r="A16514" i="1"/>
  <c r="A16513" i="1"/>
  <c r="A16512" i="1"/>
  <c r="A16507" i="1"/>
  <c r="A16506" i="1"/>
  <c r="A16502" i="1"/>
  <c r="A16501" i="1"/>
  <c r="A16500" i="1"/>
  <c r="A16499" i="1"/>
  <c r="A16494" i="1"/>
  <c r="A16493" i="1"/>
  <c r="A16489" i="1"/>
  <c r="A16488" i="1"/>
  <c r="A16487" i="1"/>
  <c r="A16486" i="1"/>
  <c r="A16481" i="1"/>
  <c r="A16480" i="1"/>
  <c r="A16476" i="1"/>
  <c r="A16475" i="1"/>
  <c r="A16474" i="1"/>
  <c r="A16473" i="1"/>
  <c r="A16468" i="1"/>
  <c r="A16467" i="1"/>
  <c r="A16463" i="1"/>
  <c r="A16462" i="1"/>
  <c r="A16461" i="1"/>
  <c r="A16460" i="1"/>
  <c r="A16453" i="1"/>
  <c r="A16452" i="1"/>
  <c r="A16448" i="1"/>
  <c r="A16447" i="1"/>
  <c r="A16446" i="1"/>
  <c r="A16445" i="1"/>
  <c r="A16440" i="1"/>
  <c r="A16439" i="1"/>
  <c r="A16435" i="1"/>
  <c r="A16434" i="1"/>
  <c r="A16433" i="1"/>
  <c r="A16432" i="1"/>
  <c r="A16427" i="1"/>
  <c r="A16426" i="1"/>
  <c r="A16422" i="1"/>
  <c r="A16421" i="1"/>
  <c r="A16420" i="1"/>
  <c r="A16419" i="1"/>
  <c r="A16414" i="1"/>
  <c r="A16413" i="1"/>
  <c r="A16409" i="1"/>
  <c r="A16408" i="1"/>
  <c r="A16407" i="1"/>
  <c r="A16406" i="1"/>
  <c r="A16401" i="1"/>
  <c r="A16400" i="1"/>
  <c r="A16396" i="1"/>
  <c r="A16395" i="1"/>
  <c r="A16394" i="1"/>
  <c r="A16393" i="1"/>
  <c r="A16388" i="1"/>
  <c r="A16387" i="1"/>
  <c r="A16383" i="1"/>
  <c r="A16382" i="1"/>
  <c r="A16381" i="1"/>
  <c r="A16380" i="1"/>
  <c r="A16375" i="1"/>
  <c r="A16374" i="1"/>
  <c r="A16370" i="1"/>
  <c r="A16369" i="1"/>
  <c r="A16368" i="1"/>
  <c r="A16367" i="1"/>
  <c r="A16360" i="1"/>
  <c r="A16359" i="1"/>
  <c r="A16355" i="1"/>
  <c r="A16354" i="1"/>
  <c r="A16353" i="1"/>
  <c r="A16352" i="1"/>
  <c r="A16349" i="1"/>
  <c r="A16348" i="1"/>
  <c r="A16344" i="1"/>
  <c r="A16343" i="1"/>
  <c r="A16342" i="1"/>
  <c r="A16341" i="1"/>
  <c r="A16334" i="1"/>
  <c r="A16333" i="1"/>
  <c r="A16329" i="1"/>
  <c r="A16328" i="1"/>
  <c r="A16327" i="1"/>
  <c r="A16326" i="1"/>
  <c r="A16318" i="1"/>
  <c r="A16317" i="1"/>
  <c r="A16313" i="1"/>
  <c r="A16312" i="1"/>
  <c r="A16311" i="1"/>
  <c r="A16310" i="1"/>
  <c r="A16302" i="1"/>
  <c r="A16301" i="1"/>
  <c r="A16297" i="1"/>
  <c r="A16296" i="1"/>
  <c r="A16295" i="1"/>
  <c r="A16294" i="1"/>
  <c r="A16286" i="1"/>
  <c r="A16285" i="1"/>
  <c r="A16281" i="1"/>
  <c r="A16280" i="1"/>
  <c r="A16279" i="1"/>
  <c r="A16278" i="1"/>
  <c r="A16270" i="1"/>
  <c r="A16269" i="1"/>
  <c r="A16265" i="1"/>
  <c r="A16264" i="1"/>
  <c r="A16263" i="1"/>
  <c r="A16262" i="1"/>
  <c r="A16254" i="1"/>
  <c r="A16253" i="1"/>
  <c r="A16249" i="1"/>
  <c r="A16248" i="1"/>
  <c r="A16247" i="1"/>
  <c r="A16246" i="1"/>
  <c r="A16243" i="1"/>
  <c r="A16239" i="1"/>
  <c r="A16238" i="1"/>
  <c r="A16237" i="1"/>
  <c r="A16236" i="1"/>
  <c r="A16233" i="1"/>
  <c r="A16229" i="1"/>
  <c r="A16228" i="1"/>
  <c r="A16227" i="1"/>
  <c r="A16226" i="1"/>
  <c r="A16223" i="1"/>
  <c r="A16219" i="1"/>
  <c r="A16218" i="1"/>
  <c r="A16217" i="1"/>
  <c r="A16216" i="1"/>
  <c r="A16213" i="1"/>
  <c r="A16209" i="1"/>
  <c r="A16208" i="1"/>
  <c r="A16207" i="1"/>
  <c r="A16206" i="1"/>
  <c r="A16203" i="1"/>
  <c r="A16199" i="1"/>
  <c r="A16198" i="1"/>
  <c r="A16197" i="1"/>
  <c r="A16196" i="1"/>
  <c r="A16193" i="1"/>
  <c r="A16189" i="1"/>
  <c r="A16188" i="1"/>
  <c r="A16187" i="1"/>
  <c r="A16186" i="1"/>
  <c r="A16183" i="1"/>
  <c r="A16179" i="1"/>
  <c r="A16178" i="1"/>
  <c r="A16177" i="1"/>
  <c r="A16176" i="1"/>
  <c r="A16173" i="1"/>
  <c r="A16169" i="1"/>
  <c r="A16168" i="1"/>
  <c r="A16167" i="1"/>
  <c r="A16166" i="1"/>
  <c r="A16163" i="1"/>
  <c r="A16159" i="1"/>
  <c r="A16158" i="1"/>
  <c r="A16157" i="1"/>
  <c r="A16156" i="1"/>
  <c r="A16153" i="1"/>
  <c r="A16149" i="1"/>
  <c r="A16148" i="1"/>
  <c r="A16147" i="1"/>
  <c r="A16146" i="1"/>
  <c r="A16143" i="1"/>
  <c r="A16139" i="1"/>
  <c r="A16138" i="1"/>
  <c r="A16137" i="1"/>
  <c r="A16136" i="1"/>
  <c r="A16133" i="1"/>
  <c r="A16129" i="1"/>
  <c r="A16128" i="1"/>
  <c r="A16127" i="1"/>
  <c r="A16126" i="1"/>
  <c r="A16123" i="1"/>
  <c r="A16119" i="1"/>
  <c r="A16118" i="1"/>
  <c r="A16117" i="1"/>
  <c r="A16116" i="1"/>
  <c r="A16113" i="1"/>
  <c r="A16109" i="1"/>
  <c r="A16108" i="1"/>
  <c r="A16107" i="1"/>
  <c r="A16106" i="1"/>
  <c r="A16103" i="1"/>
  <c r="A16099" i="1"/>
  <c r="A16098" i="1"/>
  <c r="A16097" i="1"/>
  <c r="A16096" i="1"/>
  <c r="A16093" i="1"/>
  <c r="A16089" i="1"/>
  <c r="A16088" i="1"/>
  <c r="A16087" i="1"/>
  <c r="A16086" i="1"/>
  <c r="A16083" i="1"/>
  <c r="A16079" i="1"/>
  <c r="A16078" i="1"/>
  <c r="A16077" i="1"/>
  <c r="A16076" i="1"/>
  <c r="A16073" i="1"/>
  <c r="A16069" i="1"/>
  <c r="A16068" i="1"/>
  <c r="A16067" i="1"/>
  <c r="A16066" i="1"/>
  <c r="A16063" i="1"/>
  <c r="A16059" i="1"/>
  <c r="A16058" i="1"/>
  <c r="A16057" i="1"/>
  <c r="A16056" i="1"/>
  <c r="A16053" i="1"/>
  <c r="A16049" i="1"/>
  <c r="A16048" i="1"/>
  <c r="A16047" i="1"/>
  <c r="A16046" i="1"/>
  <c r="A16043" i="1"/>
  <c r="A16039" i="1"/>
  <c r="A16038" i="1"/>
  <c r="A16037" i="1"/>
  <c r="A16036" i="1"/>
  <c r="A16033" i="1"/>
  <c r="A16029" i="1"/>
  <c r="A16028" i="1"/>
  <c r="A16027" i="1"/>
  <c r="A16026" i="1"/>
  <c r="A16023" i="1"/>
  <c r="A16019" i="1"/>
  <c r="A16018" i="1"/>
  <c r="A16017" i="1"/>
  <c r="A16016" i="1"/>
  <c r="A16013" i="1"/>
  <c r="A16009" i="1"/>
  <c r="A16008" i="1"/>
  <c r="A16007" i="1"/>
  <c r="A16006" i="1"/>
  <c r="A16003" i="1"/>
  <c r="A15999" i="1"/>
  <c r="A15998" i="1"/>
  <c r="A15997" i="1"/>
  <c r="A15996" i="1"/>
  <c r="A15993" i="1"/>
  <c r="A15989" i="1"/>
  <c r="A15988" i="1"/>
  <c r="A15987" i="1"/>
  <c r="A15986" i="1"/>
  <c r="A15983" i="1"/>
  <c r="A15979" i="1"/>
  <c r="A15978" i="1"/>
  <c r="A15977" i="1"/>
  <c r="A15976" i="1"/>
  <c r="A15973" i="1"/>
  <c r="A15969" i="1"/>
  <c r="A15968" i="1"/>
  <c r="A15967" i="1"/>
  <c r="A15966" i="1"/>
  <c r="A15963" i="1"/>
  <c r="A15959" i="1"/>
  <c r="A15958" i="1"/>
  <c r="A15957" i="1"/>
  <c r="A15956" i="1"/>
  <c r="A15953" i="1"/>
  <c r="A15949" i="1"/>
  <c r="A15948" i="1"/>
  <c r="A15947" i="1"/>
  <c r="A15946" i="1"/>
  <c r="A15943" i="1"/>
  <c r="A15939" i="1"/>
  <c r="A15938" i="1"/>
  <c r="A15937" i="1"/>
  <c r="A15936" i="1"/>
  <c r="A15933" i="1"/>
  <c r="A15929" i="1"/>
  <c r="A15928" i="1"/>
  <c r="A15927" i="1"/>
  <c r="A15926" i="1"/>
  <c r="A15923" i="1"/>
  <c r="A15919" i="1"/>
  <c r="A15918" i="1"/>
  <c r="A15917" i="1"/>
  <c r="A15916" i="1"/>
  <c r="A15913" i="1"/>
  <c r="A15909" i="1"/>
  <c r="A15908" i="1"/>
  <c r="A15907" i="1"/>
  <c r="A15906" i="1"/>
  <c r="A15903" i="1"/>
  <c r="A15899" i="1"/>
  <c r="A15898" i="1"/>
  <c r="A15897" i="1"/>
  <c r="A15896" i="1"/>
  <c r="A15893" i="1"/>
  <c r="A15889" i="1"/>
  <c r="A15888" i="1"/>
  <c r="A15887" i="1"/>
  <c r="A15886" i="1"/>
  <c r="A15883" i="1"/>
  <c r="A15879" i="1"/>
  <c r="A15878" i="1"/>
  <c r="A15877" i="1"/>
  <c r="A15876" i="1"/>
  <c r="A15873" i="1"/>
  <c r="A15869" i="1"/>
  <c r="A15868" i="1"/>
  <c r="A15867" i="1"/>
  <c r="A15866" i="1"/>
  <c r="A15863" i="1"/>
  <c r="A15859" i="1"/>
  <c r="A15858" i="1"/>
  <c r="A15857" i="1"/>
  <c r="A15856" i="1"/>
  <c r="A15853" i="1"/>
  <c r="A15849" i="1"/>
  <c r="A15848" i="1"/>
  <c r="A15847" i="1"/>
  <c r="A15846" i="1"/>
  <c r="A15843" i="1"/>
  <c r="A15839" i="1"/>
  <c r="A15838" i="1"/>
  <c r="A15837" i="1"/>
  <c r="A15836" i="1"/>
  <c r="A15833" i="1"/>
  <c r="A15829" i="1"/>
  <c r="A15828" i="1"/>
  <c r="A15827" i="1"/>
  <c r="A15826" i="1"/>
  <c r="A15823" i="1"/>
  <c r="A15819" i="1"/>
  <c r="A15818" i="1"/>
  <c r="A15817" i="1"/>
  <c r="A15816" i="1"/>
  <c r="A15813" i="1"/>
  <c r="A15809" i="1"/>
  <c r="A15808" i="1"/>
  <c r="A15807" i="1"/>
  <c r="A15806" i="1"/>
  <c r="A15803" i="1"/>
  <c r="A15799" i="1"/>
  <c r="A15798" i="1"/>
  <c r="A15797" i="1"/>
  <c r="A15796" i="1"/>
  <c r="A15793" i="1"/>
  <c r="A15789" i="1"/>
  <c r="A15788" i="1"/>
  <c r="A15787" i="1"/>
  <c r="A15786" i="1"/>
  <c r="A15783" i="1"/>
  <c r="A15779" i="1"/>
  <c r="A15778" i="1"/>
  <c r="A15777" i="1"/>
  <c r="A15776" i="1"/>
  <c r="A15773" i="1"/>
  <c r="A15769" i="1"/>
  <c r="A15768" i="1"/>
  <c r="A15767" i="1"/>
  <c r="A15766" i="1"/>
  <c r="A15763" i="1"/>
  <c r="A15759" i="1"/>
  <c r="A15758" i="1"/>
  <c r="A15757" i="1"/>
  <c r="A15756" i="1"/>
  <c r="A15753" i="1"/>
  <c r="A15749" i="1"/>
  <c r="A15748" i="1"/>
  <c r="A15747" i="1"/>
  <c r="A15746" i="1"/>
  <c r="A15743" i="1"/>
  <c r="A15739" i="1"/>
  <c r="A15738" i="1"/>
  <c r="A15737" i="1"/>
  <c r="A15736" i="1"/>
  <c r="A15733" i="1"/>
  <c r="A15729" i="1"/>
  <c r="A15728" i="1"/>
  <c r="A15727" i="1"/>
  <c r="A15726" i="1"/>
  <c r="A15723" i="1"/>
  <c r="A15719" i="1"/>
  <c r="A15718" i="1"/>
  <c r="A15717" i="1"/>
  <c r="A15716" i="1"/>
  <c r="A15713" i="1"/>
  <c r="A15709" i="1"/>
  <c r="A15708" i="1"/>
  <c r="A15707" i="1"/>
  <c r="A15706" i="1"/>
  <c r="A15703" i="1"/>
  <c r="A15699" i="1"/>
  <c r="A15698" i="1"/>
  <c r="A15697" i="1"/>
  <c r="A15696" i="1"/>
  <c r="A15693" i="1"/>
  <c r="A15689" i="1"/>
  <c r="A15688" i="1"/>
  <c r="A15687" i="1"/>
  <c r="A15686" i="1"/>
  <c r="A15683" i="1"/>
  <c r="A15679" i="1"/>
  <c r="A15678" i="1"/>
  <c r="A15677" i="1"/>
  <c r="A15676" i="1"/>
  <c r="A15673" i="1"/>
  <c r="A15669" i="1"/>
  <c r="A15668" i="1"/>
  <c r="A15667" i="1"/>
  <c r="A15666" i="1"/>
  <c r="A15663" i="1"/>
  <c r="A15659" i="1"/>
  <c r="A15658" i="1"/>
  <c r="A15657" i="1"/>
  <c r="A15656" i="1"/>
  <c r="A15653" i="1"/>
  <c r="A15649" i="1"/>
  <c r="A15648" i="1"/>
  <c r="A15647" i="1"/>
  <c r="A15646" i="1"/>
  <c r="A15643" i="1"/>
  <c r="A15639" i="1"/>
  <c r="A15638" i="1"/>
  <c r="A15637" i="1"/>
  <c r="A15636" i="1"/>
  <c r="A15633" i="1"/>
  <c r="A15629" i="1"/>
  <c r="A15628" i="1"/>
  <c r="A15627" i="1"/>
  <c r="A15626" i="1"/>
  <c r="A15623" i="1"/>
  <c r="A15619" i="1"/>
  <c r="A15618" i="1"/>
  <c r="A15617" i="1"/>
  <c r="A15616" i="1"/>
  <c r="A15613" i="1"/>
  <c r="A15609" i="1"/>
  <c r="A15608" i="1"/>
  <c r="A15607" i="1"/>
  <c r="A15606" i="1"/>
  <c r="A15603" i="1"/>
  <c r="A15599" i="1"/>
  <c r="A15598" i="1"/>
  <c r="A15597" i="1"/>
  <c r="A15596" i="1"/>
  <c r="A15593" i="1"/>
  <c r="A15589" i="1"/>
  <c r="A15588" i="1"/>
  <c r="A15587" i="1"/>
  <c r="A15586" i="1"/>
  <c r="A15583" i="1"/>
  <c r="A15579" i="1"/>
  <c r="A15578" i="1"/>
  <c r="A15577" i="1"/>
  <c r="A15576" i="1"/>
  <c r="A15573" i="1"/>
  <c r="A15569" i="1"/>
  <c r="A15568" i="1"/>
  <c r="A15567" i="1"/>
  <c r="A15566" i="1"/>
  <c r="A15563" i="1"/>
  <c r="A15559" i="1"/>
  <c r="A15558" i="1"/>
  <c r="A15557" i="1"/>
  <c r="A15556" i="1"/>
  <c r="A15553" i="1"/>
  <c r="A15549" i="1"/>
  <c r="A15548" i="1"/>
  <c r="A15547" i="1"/>
  <c r="A15546" i="1"/>
  <c r="A15543" i="1"/>
  <c r="A15539" i="1"/>
  <c r="A15538" i="1"/>
  <c r="A15537" i="1"/>
  <c r="A15536" i="1"/>
  <c r="A15533" i="1"/>
  <c r="A15529" i="1"/>
  <c r="A15528" i="1"/>
  <c r="A15527" i="1"/>
  <c r="A15526" i="1"/>
  <c r="A15523" i="1"/>
  <c r="A15519" i="1"/>
  <c r="A15518" i="1"/>
  <c r="A15517" i="1"/>
  <c r="A15516" i="1"/>
  <c r="A15513" i="1"/>
  <c r="A15509" i="1"/>
  <c r="A15508" i="1"/>
  <c r="A15507" i="1"/>
  <c r="A15506" i="1"/>
  <c r="A15503" i="1"/>
  <c r="A15499" i="1"/>
  <c r="A15498" i="1"/>
  <c r="A15497" i="1"/>
  <c r="A15496" i="1"/>
  <c r="A15493" i="1"/>
  <c r="A15489" i="1"/>
  <c r="A15488" i="1"/>
  <c r="A15487" i="1"/>
  <c r="A15486" i="1"/>
  <c r="A15483" i="1"/>
  <c r="A15479" i="1"/>
  <c r="A15478" i="1"/>
  <c r="A15477" i="1"/>
  <c r="A15476" i="1"/>
  <c r="A15473" i="1"/>
  <c r="A15469" i="1"/>
  <c r="A15468" i="1"/>
  <c r="A15467" i="1"/>
  <c r="A15466" i="1"/>
  <c r="A15463" i="1"/>
  <c r="A15459" i="1"/>
  <c r="A15458" i="1"/>
  <c r="A15457" i="1"/>
  <c r="A15456" i="1"/>
  <c r="A15453" i="1"/>
  <c r="A15449" i="1"/>
  <c r="A15448" i="1"/>
  <c r="A15447" i="1"/>
  <c r="A15446" i="1"/>
  <c r="A15443" i="1"/>
  <c r="A15439" i="1"/>
  <c r="A15438" i="1"/>
  <c r="A15437" i="1"/>
  <c r="A15436" i="1"/>
  <c r="A15433" i="1"/>
  <c r="A15429" i="1"/>
  <c r="A15428" i="1"/>
  <c r="A15427" i="1"/>
  <c r="A15426" i="1"/>
  <c r="A15423" i="1"/>
  <c r="A15419" i="1"/>
  <c r="A15418" i="1"/>
  <c r="A15417" i="1"/>
  <c r="A15416" i="1"/>
  <c r="A15413" i="1"/>
  <c r="A15409" i="1"/>
  <c r="A15408" i="1"/>
  <c r="A15407" i="1"/>
  <c r="A15406" i="1"/>
  <c r="A15403" i="1"/>
  <c r="A15399" i="1"/>
  <c r="A15398" i="1"/>
  <c r="A15397" i="1"/>
  <c r="A15396" i="1"/>
  <c r="A15393" i="1"/>
  <c r="A15389" i="1"/>
  <c r="A15388" i="1"/>
  <c r="A15387" i="1"/>
  <c r="A15386" i="1"/>
  <c r="A15383" i="1"/>
  <c r="A15379" i="1"/>
  <c r="A15378" i="1"/>
  <c r="A15377" i="1"/>
  <c r="A15376" i="1"/>
  <c r="A15373" i="1"/>
  <c r="A15369" i="1"/>
  <c r="A15368" i="1"/>
  <c r="A15367" i="1"/>
  <c r="A15366" i="1"/>
  <c r="A15363" i="1"/>
  <c r="A15359" i="1"/>
  <c r="A15358" i="1"/>
  <c r="A15357" i="1"/>
  <c r="A15356" i="1"/>
  <c r="A15353" i="1"/>
  <c r="A15349" i="1"/>
  <c r="A15348" i="1"/>
  <c r="A15347" i="1"/>
  <c r="A15346" i="1"/>
  <c r="A15343" i="1"/>
  <c r="A15339" i="1"/>
  <c r="A15338" i="1"/>
  <c r="A15337" i="1"/>
  <c r="A15336" i="1"/>
  <c r="A15333" i="1"/>
  <c r="A15329" i="1"/>
  <c r="A15328" i="1"/>
  <c r="A15327" i="1"/>
  <c r="A15326" i="1"/>
  <c r="A15323" i="1"/>
  <c r="A15319" i="1"/>
  <c r="A15318" i="1"/>
  <c r="A15317" i="1"/>
  <c r="A15316" i="1"/>
  <c r="A15313" i="1"/>
  <c r="A15309" i="1"/>
  <c r="A15308" i="1"/>
  <c r="A15307" i="1"/>
  <c r="A15306" i="1"/>
  <c r="A15303" i="1"/>
  <c r="A15299" i="1"/>
  <c r="A15298" i="1"/>
  <c r="A15297" i="1"/>
  <c r="A15296" i="1"/>
  <c r="A15293" i="1"/>
  <c r="A15289" i="1"/>
  <c r="A15288" i="1"/>
  <c r="A15287" i="1"/>
  <c r="A15286" i="1"/>
  <c r="A15283" i="1"/>
  <c r="A15279" i="1"/>
  <c r="A15278" i="1"/>
  <c r="A15277" i="1"/>
  <c r="A15276" i="1"/>
  <c r="A15273" i="1"/>
  <c r="A15269" i="1"/>
  <c r="A15268" i="1"/>
  <c r="A15267" i="1"/>
  <c r="A15266" i="1"/>
  <c r="A15263" i="1"/>
  <c r="A15259" i="1"/>
  <c r="A15258" i="1"/>
  <c r="A15257" i="1"/>
  <c r="A15256" i="1"/>
  <c r="A15253" i="1"/>
  <c r="A15249" i="1"/>
  <c r="A15248" i="1"/>
  <c r="A15247" i="1"/>
  <c r="A15246" i="1"/>
  <c r="A15243" i="1"/>
  <c r="A15239" i="1"/>
  <c r="A15238" i="1"/>
  <c r="A15237" i="1"/>
  <c r="A15236" i="1"/>
  <c r="A15233" i="1"/>
  <c r="A15229" i="1"/>
  <c r="A15228" i="1"/>
  <c r="A15227" i="1"/>
  <c r="A15226" i="1"/>
  <c r="A15223" i="1"/>
  <c r="A15219" i="1"/>
  <c r="A15218" i="1"/>
  <c r="A15217" i="1"/>
  <c r="A15216" i="1"/>
  <c r="A15213" i="1"/>
  <c r="A15209" i="1"/>
  <c r="A15208" i="1"/>
  <c r="A15207" i="1"/>
  <c r="A15206" i="1"/>
  <c r="A15203" i="1"/>
  <c r="A15199" i="1"/>
  <c r="A15198" i="1"/>
  <c r="A15197" i="1"/>
  <c r="A15196" i="1"/>
  <c r="A15193" i="1"/>
  <c r="A15189" i="1"/>
  <c r="A15188" i="1"/>
  <c r="A15187" i="1"/>
  <c r="A15186" i="1"/>
  <c r="A15183" i="1"/>
  <c r="A15179" i="1"/>
  <c r="A15178" i="1"/>
  <c r="A15177" i="1"/>
  <c r="A15176" i="1"/>
  <c r="A15173" i="1"/>
  <c r="A15169" i="1"/>
  <c r="A15168" i="1"/>
  <c r="A15167" i="1"/>
  <c r="A15166" i="1"/>
  <c r="A15163" i="1"/>
  <c r="A15159" i="1"/>
  <c r="A15158" i="1"/>
  <c r="A15157" i="1"/>
  <c r="A15156" i="1"/>
  <c r="A15153" i="1"/>
  <c r="A15149" i="1"/>
  <c r="A15148" i="1"/>
  <c r="A15147" i="1"/>
  <c r="A15146" i="1"/>
  <c r="A15143" i="1"/>
  <c r="A15139" i="1"/>
  <c r="A15138" i="1"/>
  <c r="A15137" i="1"/>
  <c r="A15136" i="1"/>
  <c r="A15133" i="1"/>
  <c r="A15129" i="1"/>
  <c r="A15128" i="1"/>
  <c r="A15127" i="1"/>
  <c r="A15126" i="1"/>
  <c r="A15123" i="1"/>
  <c r="A15119" i="1"/>
  <c r="A15118" i="1"/>
  <c r="A15117" i="1"/>
  <c r="A15116" i="1"/>
  <c r="A15113" i="1"/>
  <c r="A15109" i="1"/>
  <c r="A15108" i="1"/>
  <c r="A15107" i="1"/>
  <c r="A15106" i="1"/>
  <c r="A15103" i="1"/>
  <c r="A15099" i="1"/>
  <c r="A15098" i="1"/>
  <c r="A15097" i="1"/>
  <c r="A15096" i="1"/>
  <c r="A15093" i="1"/>
  <c r="A15089" i="1"/>
  <c r="A15088" i="1"/>
  <c r="A15087" i="1"/>
  <c r="A15086" i="1"/>
  <c r="A15083" i="1"/>
  <c r="A15079" i="1"/>
  <c r="A15078" i="1"/>
  <c r="A15077" i="1"/>
  <c r="A15076" i="1"/>
  <c r="A15073" i="1"/>
  <c r="A15069" i="1"/>
  <c r="A15068" i="1"/>
  <c r="A15067" i="1"/>
  <c r="A15066" i="1"/>
  <c r="A15063" i="1"/>
  <c r="A15059" i="1"/>
  <c r="A15058" i="1"/>
  <c r="A15057" i="1"/>
  <c r="A15056" i="1"/>
  <c r="A15053" i="1"/>
  <c r="A15049" i="1"/>
  <c r="A15048" i="1"/>
  <c r="A15047" i="1"/>
  <c r="A15046" i="1"/>
  <c r="A15043" i="1"/>
  <c r="A15039" i="1"/>
  <c r="A15038" i="1"/>
  <c r="A15037" i="1"/>
  <c r="A15036" i="1"/>
  <c r="A15033" i="1"/>
  <c r="A15029" i="1"/>
  <c r="A15028" i="1"/>
  <c r="A15027" i="1"/>
  <c r="A15026" i="1"/>
  <c r="A15023" i="1"/>
  <c r="A15019" i="1"/>
  <c r="A15018" i="1"/>
  <c r="A15017" i="1"/>
  <c r="A15016" i="1"/>
  <c r="A15013" i="1"/>
  <c r="A15009" i="1"/>
  <c r="A15008" i="1"/>
  <c r="A15007" i="1"/>
  <c r="A15006" i="1"/>
  <c r="A15003" i="1"/>
  <c r="A14999" i="1"/>
  <c r="A14998" i="1"/>
  <c r="A14997" i="1"/>
  <c r="A14996" i="1"/>
  <c r="A14993" i="1"/>
  <c r="A14989" i="1"/>
  <c r="A14988" i="1"/>
  <c r="A14987" i="1"/>
  <c r="A14986" i="1"/>
  <c r="A14983" i="1"/>
  <c r="A14979" i="1"/>
  <c r="A14978" i="1"/>
  <c r="A14977" i="1"/>
  <c r="A14976" i="1"/>
  <c r="A14973" i="1"/>
  <c r="A14969" i="1"/>
  <c r="A14968" i="1"/>
  <c r="A14967" i="1"/>
  <c r="A14966" i="1"/>
  <c r="A14963" i="1"/>
  <c r="A14959" i="1"/>
  <c r="A14958" i="1"/>
  <c r="A14957" i="1"/>
  <c r="A14956" i="1"/>
  <c r="A14953" i="1"/>
  <c r="A14949" i="1"/>
  <c r="A14948" i="1"/>
  <c r="A14947" i="1"/>
  <c r="A14946" i="1"/>
  <c r="A14943" i="1"/>
  <c r="A14939" i="1"/>
  <c r="A14938" i="1"/>
  <c r="A14937" i="1"/>
  <c r="A14936" i="1"/>
  <c r="A14933" i="1"/>
  <c r="A14929" i="1"/>
  <c r="A14928" i="1"/>
  <c r="A14927" i="1"/>
  <c r="A14926" i="1"/>
  <c r="A14923" i="1"/>
  <c r="A14919" i="1"/>
  <c r="A14918" i="1"/>
  <c r="A14917" i="1"/>
  <c r="A14916" i="1"/>
  <c r="A14913" i="1"/>
  <c r="A14909" i="1"/>
  <c r="A14908" i="1"/>
  <c r="A14907" i="1"/>
  <c r="A14906" i="1"/>
  <c r="A14903" i="1"/>
  <c r="A14899" i="1"/>
  <c r="A14898" i="1"/>
  <c r="A14897" i="1"/>
  <c r="A14896" i="1"/>
  <c r="A14893" i="1"/>
  <c r="A14889" i="1"/>
  <c r="A14888" i="1"/>
  <c r="A14887" i="1"/>
  <c r="A14886" i="1"/>
  <c r="A14883" i="1"/>
  <c r="A14879" i="1"/>
  <c r="A14878" i="1"/>
  <c r="A14877" i="1"/>
  <c r="A14876" i="1"/>
  <c r="A14873" i="1"/>
  <c r="A14869" i="1"/>
  <c r="A14868" i="1"/>
  <c r="A14867" i="1"/>
  <c r="A14866" i="1"/>
  <c r="A14863" i="1"/>
  <c r="A14859" i="1"/>
  <c r="A14858" i="1"/>
  <c r="A14857" i="1"/>
  <c r="A14856" i="1"/>
  <c r="A14853" i="1"/>
  <c r="A14849" i="1"/>
  <c r="A14848" i="1"/>
  <c r="A14847" i="1"/>
  <c r="A14846" i="1"/>
  <c r="A14843" i="1"/>
  <c r="A14839" i="1"/>
  <c r="A14838" i="1"/>
  <c r="A14837" i="1"/>
  <c r="A14836" i="1"/>
  <c r="A14833" i="1"/>
  <c r="A14829" i="1"/>
  <c r="A14828" i="1"/>
  <c r="A14827" i="1"/>
  <c r="A14826" i="1"/>
  <c r="A14823" i="1"/>
  <c r="A14819" i="1"/>
  <c r="A14818" i="1"/>
  <c r="A14817" i="1"/>
  <c r="A14816" i="1"/>
  <c r="A14813" i="1"/>
  <c r="A14809" i="1"/>
  <c r="A14808" i="1"/>
  <c r="A14807" i="1"/>
  <c r="A14806" i="1"/>
  <c r="A14803" i="1"/>
  <c r="A14799" i="1"/>
  <c r="A14798" i="1"/>
  <c r="A14797" i="1"/>
  <c r="A14796" i="1"/>
  <c r="A14793" i="1"/>
  <c r="A14789" i="1"/>
  <c r="A14788" i="1"/>
  <c r="A14787" i="1"/>
  <c r="A14786" i="1"/>
  <c r="A14783" i="1"/>
  <c r="A14779" i="1"/>
  <c r="A14778" i="1"/>
  <c r="A14777" i="1"/>
  <c r="A14776" i="1"/>
  <c r="A14773" i="1"/>
  <c r="A14769" i="1"/>
  <c r="A14768" i="1"/>
  <c r="A14767" i="1"/>
  <c r="A14766" i="1"/>
  <c r="A14763" i="1"/>
  <c r="A14759" i="1"/>
  <c r="A14758" i="1"/>
  <c r="A14757" i="1"/>
  <c r="A14756" i="1"/>
  <c r="A14753" i="1"/>
  <c r="A14749" i="1"/>
  <c r="A14748" i="1"/>
  <c r="A14747" i="1"/>
  <c r="A14746" i="1"/>
  <c r="A14743" i="1"/>
  <c r="A14739" i="1"/>
  <c r="A14738" i="1"/>
  <c r="A14737" i="1"/>
  <c r="A14736" i="1"/>
  <c r="A14733" i="1"/>
  <c r="A14729" i="1"/>
  <c r="A14728" i="1"/>
  <c r="A14727" i="1"/>
  <c r="A14726" i="1"/>
  <c r="A14723" i="1"/>
  <c r="A14719" i="1"/>
  <c r="A14718" i="1"/>
  <c r="A14717" i="1"/>
  <c r="A14716" i="1"/>
  <c r="A14713" i="1"/>
  <c r="A14709" i="1"/>
  <c r="A14708" i="1"/>
  <c r="A14707" i="1"/>
  <c r="A14706" i="1"/>
  <c r="A14700" i="1"/>
  <c r="A14699" i="1"/>
  <c r="A14695" i="1"/>
  <c r="A14694" i="1"/>
  <c r="A14693" i="1"/>
  <c r="A14692" i="1"/>
  <c r="A14686" i="1"/>
  <c r="A14685" i="1"/>
  <c r="A14681" i="1"/>
  <c r="A14680" i="1"/>
  <c r="A14679" i="1"/>
  <c r="A14678" i="1"/>
  <c r="A14672" i="1"/>
  <c r="A14671" i="1"/>
  <c r="A14667" i="1"/>
  <c r="A14666" i="1"/>
  <c r="A14665" i="1"/>
  <c r="A14664" i="1"/>
  <c r="A14661" i="1"/>
  <c r="A14657" i="1"/>
  <c r="A14656" i="1"/>
  <c r="A14655" i="1"/>
  <c r="A14654" i="1"/>
  <c r="A14651" i="1"/>
  <c r="A14647" i="1"/>
  <c r="A14646" i="1"/>
  <c r="A14645" i="1"/>
  <c r="A14644" i="1"/>
  <c r="A14639" i="1"/>
  <c r="A14638" i="1"/>
  <c r="A14634" i="1"/>
  <c r="A14633" i="1"/>
  <c r="A14632" i="1"/>
  <c r="A14631" i="1"/>
  <c r="A14626" i="1"/>
  <c r="A14625" i="1"/>
  <c r="A14621" i="1"/>
  <c r="A14620" i="1"/>
  <c r="A14619" i="1"/>
  <c r="A14618" i="1"/>
  <c r="A14613" i="1"/>
  <c r="A14612" i="1"/>
  <c r="A14608" i="1"/>
  <c r="A14607" i="1"/>
  <c r="A14606" i="1"/>
  <c r="A14605" i="1"/>
  <c r="A14600" i="1"/>
  <c r="A14599" i="1"/>
  <c r="A14595" i="1"/>
  <c r="A14594" i="1"/>
  <c r="A14593" i="1"/>
  <c r="A14592" i="1"/>
  <c r="A14585" i="1"/>
  <c r="A14584" i="1"/>
  <c r="A14580" i="1"/>
  <c r="A14579" i="1"/>
  <c r="A14578" i="1"/>
  <c r="A14577" i="1"/>
  <c r="A14570" i="1"/>
  <c r="A14569" i="1"/>
  <c r="A14565" i="1"/>
  <c r="A14564" i="1"/>
  <c r="A14563" i="1"/>
  <c r="A14562" i="1"/>
  <c r="A14555" i="1"/>
  <c r="A14554" i="1"/>
  <c r="A14550" i="1"/>
  <c r="A14549" i="1"/>
  <c r="A14548" i="1"/>
  <c r="A14547" i="1"/>
  <c r="A14540" i="1"/>
  <c r="A14539" i="1"/>
  <c r="A14535" i="1"/>
  <c r="A14534" i="1"/>
  <c r="A14533" i="1"/>
  <c r="A14532" i="1"/>
  <c r="A14525" i="1"/>
  <c r="A14524" i="1"/>
  <c r="A14520" i="1"/>
  <c r="A14519" i="1"/>
  <c r="A14518" i="1"/>
  <c r="A14517" i="1"/>
  <c r="A14512" i="1"/>
  <c r="A14511" i="1"/>
  <c r="A14507" i="1"/>
  <c r="A14506" i="1"/>
  <c r="A14505" i="1"/>
  <c r="A14504" i="1"/>
  <c r="A14499" i="1"/>
  <c r="A14498" i="1"/>
  <c r="A14494" i="1"/>
  <c r="A14493" i="1"/>
  <c r="A14492" i="1"/>
  <c r="A14491" i="1"/>
  <c r="A14486" i="1"/>
  <c r="A14485" i="1"/>
  <c r="A14481" i="1"/>
  <c r="A14480" i="1"/>
  <c r="A14479" i="1"/>
  <c r="A14478" i="1"/>
  <c r="A14473" i="1"/>
  <c r="A14472" i="1"/>
  <c r="A14468" i="1"/>
  <c r="A14467" i="1"/>
  <c r="A14466" i="1"/>
  <c r="A14465" i="1"/>
  <c r="A14460" i="1"/>
  <c r="A14459" i="1"/>
  <c r="A14455" i="1"/>
  <c r="A14454" i="1"/>
  <c r="A14453" i="1"/>
  <c r="A14452" i="1"/>
  <c r="A14447" i="1"/>
  <c r="A14446" i="1"/>
  <c r="A14442" i="1"/>
  <c r="A14441" i="1"/>
  <c r="A14440" i="1"/>
  <c r="A14439" i="1"/>
  <c r="A14434" i="1"/>
  <c r="A14433" i="1"/>
  <c r="A14429" i="1"/>
  <c r="A14428" i="1"/>
  <c r="A14427" i="1"/>
  <c r="A14426" i="1"/>
  <c r="A14421" i="1"/>
  <c r="A14420" i="1"/>
  <c r="A14416" i="1"/>
  <c r="A14415" i="1"/>
  <c r="A14414" i="1"/>
  <c r="A14413" i="1"/>
  <c r="A14408" i="1"/>
  <c r="A14407" i="1"/>
  <c r="A14403" i="1"/>
  <c r="A14402" i="1"/>
  <c r="A14401" i="1"/>
  <c r="A14400" i="1"/>
  <c r="A14395" i="1"/>
  <c r="A14394" i="1"/>
  <c r="A14390" i="1"/>
  <c r="A14389" i="1"/>
  <c r="A14388" i="1"/>
  <c r="A14387" i="1"/>
  <c r="A14384" i="1"/>
  <c r="A14383" i="1"/>
  <c r="A14379" i="1"/>
  <c r="A14378" i="1"/>
  <c r="A14377" i="1"/>
  <c r="A14376" i="1"/>
  <c r="A14373" i="1"/>
  <c r="A14372" i="1"/>
  <c r="A14368" i="1"/>
  <c r="A14367" i="1"/>
  <c r="A14366" i="1"/>
  <c r="A14365" i="1"/>
  <c r="A14362" i="1"/>
  <c r="A14361" i="1"/>
  <c r="A14357" i="1"/>
  <c r="A14356" i="1"/>
  <c r="A14355" i="1"/>
  <c r="A14354" i="1"/>
  <c r="A14348" i="1"/>
  <c r="A14347" i="1"/>
  <c r="A14343" i="1"/>
  <c r="A14342" i="1"/>
  <c r="A14341" i="1"/>
  <c r="A14340" i="1"/>
  <c r="A14336" i="1"/>
  <c r="A14335" i="1"/>
  <c r="A14331" i="1"/>
  <c r="A14330" i="1"/>
  <c r="A14329" i="1"/>
  <c r="A14328" i="1"/>
  <c r="A14324" i="1"/>
  <c r="A14323" i="1"/>
  <c r="A14319" i="1"/>
  <c r="A14318" i="1"/>
  <c r="A14317" i="1"/>
  <c r="A14316" i="1"/>
  <c r="A14312" i="1"/>
  <c r="A14311" i="1"/>
  <c r="A14307" i="1"/>
  <c r="A14306" i="1"/>
  <c r="A14305" i="1"/>
  <c r="A14304" i="1"/>
  <c r="A14300" i="1"/>
  <c r="A14299" i="1"/>
  <c r="A14295" i="1"/>
  <c r="A14294" i="1"/>
  <c r="A14293" i="1"/>
  <c r="A14292" i="1"/>
  <c r="A14288" i="1"/>
  <c r="A14287" i="1"/>
  <c r="A14283" i="1"/>
  <c r="A14282" i="1"/>
  <c r="A14281" i="1"/>
  <c r="A14280" i="1"/>
  <c r="A14276" i="1"/>
  <c r="A14275" i="1"/>
  <c r="A14271" i="1"/>
  <c r="A14270" i="1"/>
  <c r="A14269" i="1"/>
  <c r="A14268" i="1"/>
  <c r="A14264" i="1"/>
  <c r="A14263" i="1"/>
  <c r="A14259" i="1"/>
  <c r="A14258" i="1"/>
  <c r="A14257" i="1"/>
  <c r="A14256" i="1"/>
  <c r="A14252" i="1"/>
  <c r="A14251" i="1"/>
  <c r="A14247" i="1"/>
  <c r="A14246" i="1"/>
  <c r="A14245" i="1"/>
  <c r="A14244" i="1"/>
  <c r="A14241" i="1"/>
  <c r="A14240" i="1"/>
  <c r="A14236" i="1"/>
  <c r="A14235" i="1"/>
  <c r="A14234" i="1"/>
  <c r="A14233" i="1"/>
  <c r="A14230" i="1"/>
  <c r="A14229" i="1"/>
  <c r="A14225" i="1"/>
  <c r="A14224" i="1"/>
  <c r="A14223" i="1"/>
  <c r="A14222" i="1"/>
  <c r="A14218" i="1"/>
  <c r="A14217" i="1"/>
  <c r="A14213" i="1"/>
  <c r="A14212" i="1"/>
  <c r="A14211" i="1"/>
  <c r="A14210" i="1"/>
  <c r="A14203" i="1"/>
  <c r="A14202" i="1"/>
  <c r="A14198" i="1"/>
  <c r="A14197" i="1"/>
  <c r="A14196" i="1"/>
  <c r="A14195" i="1"/>
  <c r="A14192" i="1"/>
  <c r="A14191" i="1"/>
  <c r="A14187" i="1"/>
  <c r="A14186" i="1"/>
  <c r="A14185" i="1"/>
  <c r="A14184" i="1"/>
  <c r="A14179" i="1"/>
  <c r="A14178" i="1"/>
  <c r="A14174" i="1"/>
  <c r="A14173" i="1"/>
  <c r="A14172" i="1"/>
  <c r="A14171" i="1"/>
  <c r="A14166" i="1"/>
  <c r="A14165" i="1"/>
  <c r="A14161" i="1"/>
  <c r="A14160" i="1"/>
  <c r="A14159" i="1"/>
  <c r="A14158" i="1"/>
  <c r="A14153" i="1"/>
  <c r="A14152" i="1"/>
  <c r="A14148" i="1"/>
  <c r="A14147" i="1"/>
  <c r="A14146" i="1"/>
  <c r="A14145" i="1"/>
  <c r="A14140" i="1"/>
  <c r="A14139" i="1"/>
  <c r="A14135" i="1"/>
  <c r="A14134" i="1"/>
  <c r="A14133" i="1"/>
  <c r="A14132" i="1"/>
  <c r="A14127" i="1"/>
  <c r="A14126" i="1"/>
  <c r="A14122" i="1"/>
  <c r="A14121" i="1"/>
  <c r="A14120" i="1"/>
  <c r="A14119" i="1"/>
  <c r="A14112" i="1"/>
  <c r="A14111" i="1"/>
  <c r="A14107" i="1"/>
  <c r="A14106" i="1"/>
  <c r="A14105" i="1"/>
  <c r="A14104" i="1"/>
  <c r="A14098" i="1"/>
  <c r="A14097" i="1"/>
  <c r="A14093" i="1"/>
  <c r="A14092" i="1"/>
  <c r="A14091" i="1"/>
  <c r="A14090" i="1"/>
  <c r="A14086" i="1"/>
  <c r="A14085" i="1"/>
  <c r="A14081" i="1"/>
  <c r="A14080" i="1"/>
  <c r="A14079" i="1"/>
  <c r="A14078" i="1"/>
  <c r="A14074" i="1"/>
  <c r="A14073" i="1"/>
  <c r="A14069" i="1"/>
  <c r="A14068" i="1"/>
  <c r="A14067" i="1"/>
  <c r="A14066" i="1"/>
  <c r="A14062" i="1"/>
  <c r="A14061" i="1"/>
  <c r="A14057" i="1"/>
  <c r="A14056" i="1"/>
  <c r="A14055" i="1"/>
  <c r="A14054" i="1"/>
  <c r="A14051" i="1"/>
  <c r="A14047" i="1"/>
  <c r="A14046" i="1"/>
  <c r="A14045" i="1"/>
  <c r="A14044" i="1"/>
  <c r="A14041" i="1"/>
  <c r="A14040" i="1"/>
  <c r="A14036" i="1"/>
  <c r="A14035" i="1"/>
  <c r="A14034" i="1"/>
  <c r="A14033" i="1"/>
  <c r="A14030" i="1"/>
  <c r="A14029" i="1"/>
  <c r="A14025" i="1"/>
  <c r="A14024" i="1"/>
  <c r="A14023" i="1"/>
  <c r="A14022" i="1"/>
  <c r="A14016" i="1"/>
  <c r="A14015" i="1"/>
  <c r="A14011" i="1"/>
  <c r="A14010" i="1"/>
  <c r="A14009" i="1"/>
  <c r="A14008" i="1"/>
  <c r="A14004" i="1"/>
  <c r="A14003" i="1"/>
  <c r="A13999" i="1"/>
  <c r="A13998" i="1"/>
  <c r="A13997" i="1"/>
  <c r="A13996" i="1"/>
  <c r="A13993" i="1"/>
  <c r="A13989" i="1"/>
  <c r="A13988" i="1"/>
  <c r="A13987" i="1"/>
  <c r="A13986" i="1"/>
  <c r="A13983" i="1"/>
  <c r="A13979" i="1"/>
  <c r="A13978" i="1"/>
  <c r="A13977" i="1"/>
  <c r="A13976" i="1"/>
  <c r="A13973" i="1"/>
  <c r="A13969" i="1"/>
  <c r="A13968" i="1"/>
  <c r="A13967" i="1"/>
  <c r="A13966" i="1"/>
  <c r="A13963" i="1"/>
  <c r="A13959" i="1"/>
  <c r="A13958" i="1"/>
  <c r="A13957" i="1"/>
  <c r="A13956" i="1"/>
  <c r="A13953" i="1"/>
  <c r="A13949" i="1"/>
  <c r="A13948" i="1"/>
  <c r="A13947" i="1"/>
  <c r="A13946" i="1"/>
  <c r="A13943" i="1"/>
  <c r="A13939" i="1"/>
  <c r="A13938" i="1"/>
  <c r="A13937" i="1"/>
  <c r="A13936" i="1"/>
  <c r="A13933" i="1"/>
  <c r="A13929" i="1"/>
  <c r="A13928" i="1"/>
  <c r="A13927" i="1"/>
  <c r="A13926" i="1"/>
  <c r="A13923" i="1"/>
  <c r="A13919" i="1"/>
  <c r="A13918" i="1"/>
  <c r="A13917" i="1"/>
  <c r="A13916" i="1"/>
  <c r="A13913" i="1"/>
  <c r="A13912" i="1"/>
  <c r="A13908" i="1"/>
  <c r="A13907" i="1"/>
  <c r="A13906" i="1"/>
  <c r="A13905" i="1"/>
  <c r="A13902" i="1"/>
  <c r="A13901" i="1"/>
  <c r="A13897" i="1"/>
  <c r="A13896" i="1"/>
  <c r="A13895" i="1"/>
  <c r="A13894" i="1"/>
  <c r="A13889" i="1"/>
  <c r="A13888" i="1"/>
  <c r="A13884" i="1"/>
  <c r="A13883" i="1"/>
  <c r="A13882" i="1"/>
  <c r="A13881" i="1"/>
  <c r="A13876" i="1"/>
  <c r="A13875" i="1"/>
  <c r="A13871" i="1"/>
  <c r="A13870" i="1"/>
  <c r="A13869" i="1"/>
  <c r="A13868" i="1"/>
  <c r="A13863" i="1"/>
  <c r="A13862" i="1"/>
  <c r="A13858" i="1"/>
  <c r="A13857" i="1"/>
  <c r="A13856" i="1"/>
  <c r="A13855" i="1"/>
  <c r="A13850" i="1"/>
  <c r="A13849" i="1"/>
  <c r="A13845" i="1"/>
  <c r="A13844" i="1"/>
  <c r="A13843" i="1"/>
  <c r="A13842" i="1"/>
  <c r="A13837" i="1"/>
  <c r="A13836" i="1"/>
  <c r="A13832" i="1"/>
  <c r="A13831" i="1"/>
  <c r="A13830" i="1"/>
  <c r="A13829" i="1"/>
  <c r="A13822" i="1"/>
  <c r="A13821" i="1"/>
  <c r="A13817" i="1"/>
  <c r="A13816" i="1"/>
  <c r="A13815" i="1"/>
  <c r="A13814" i="1"/>
  <c r="A13807" i="1"/>
  <c r="A13806" i="1"/>
  <c r="A13802" i="1"/>
  <c r="A13801" i="1"/>
  <c r="A13800" i="1"/>
  <c r="A13799" i="1"/>
  <c r="A13792" i="1"/>
  <c r="A13791" i="1"/>
  <c r="A13787" i="1"/>
  <c r="A13786" i="1"/>
  <c r="A13785" i="1"/>
  <c r="A13784" i="1"/>
  <c r="A13775" i="1"/>
  <c r="A13774" i="1"/>
  <c r="A13770" i="1"/>
  <c r="A13769" i="1"/>
  <c r="A13768" i="1"/>
  <c r="A13767" i="1"/>
  <c r="A13764" i="1"/>
  <c r="A13763" i="1"/>
  <c r="A13759" i="1"/>
  <c r="A13758" i="1"/>
  <c r="A13757" i="1"/>
  <c r="A13756" i="1"/>
  <c r="A13752" i="1"/>
  <c r="A13751" i="1"/>
  <c r="A13747" i="1"/>
  <c r="A13746" i="1"/>
  <c r="A13745" i="1"/>
  <c r="A13744" i="1"/>
  <c r="A13740" i="1"/>
  <c r="A13739" i="1"/>
  <c r="A13735" i="1"/>
  <c r="A13734" i="1"/>
  <c r="A13733" i="1"/>
  <c r="A13732" i="1"/>
  <c r="A13728" i="1"/>
  <c r="A13727" i="1"/>
  <c r="A13723" i="1"/>
  <c r="A13722" i="1"/>
  <c r="A13721" i="1"/>
  <c r="A13720" i="1"/>
  <c r="A13716" i="1"/>
  <c r="A13715" i="1"/>
  <c r="A13711" i="1"/>
  <c r="A13710" i="1"/>
  <c r="A13709" i="1"/>
  <c r="A13708" i="1"/>
  <c r="A13701" i="1"/>
  <c r="A13700" i="1"/>
  <c r="A13696" i="1"/>
  <c r="A13695" i="1"/>
  <c r="A13694" i="1"/>
  <c r="A13693" i="1"/>
  <c r="A13686" i="1"/>
  <c r="A13685" i="1"/>
  <c r="A13681" i="1"/>
  <c r="A13680" i="1"/>
  <c r="A13679" i="1"/>
  <c r="A13678" i="1"/>
  <c r="A13671" i="1"/>
  <c r="A13670" i="1"/>
  <c r="A13666" i="1"/>
  <c r="A13665" i="1"/>
  <c r="A13664" i="1"/>
  <c r="A13663" i="1"/>
  <c r="A13656" i="1"/>
  <c r="A13655" i="1"/>
  <c r="A13651" i="1"/>
  <c r="A13650" i="1"/>
  <c r="A13649" i="1"/>
  <c r="A13648" i="1"/>
  <c r="A13644" i="1"/>
  <c r="A13643" i="1"/>
  <c r="A13639" i="1"/>
  <c r="A13638" i="1"/>
  <c r="A13637" i="1"/>
  <c r="A13636" i="1"/>
  <c r="A13632" i="1"/>
  <c r="A13631" i="1"/>
  <c r="A13627" i="1"/>
  <c r="A13626" i="1"/>
  <c r="A13625" i="1"/>
  <c r="A13624" i="1"/>
  <c r="A13620" i="1"/>
  <c r="A13619" i="1"/>
  <c r="A13615" i="1"/>
  <c r="A13614" i="1"/>
  <c r="A13613" i="1"/>
  <c r="A13612" i="1"/>
  <c r="A13608" i="1"/>
  <c r="A13607" i="1"/>
  <c r="A13603" i="1"/>
  <c r="A13602" i="1"/>
  <c r="A13601" i="1"/>
  <c r="A13600" i="1"/>
  <c r="A13597" i="1"/>
  <c r="A13596" i="1"/>
  <c r="A13592" i="1"/>
  <c r="A13591" i="1"/>
  <c r="A13590" i="1"/>
  <c r="A13589" i="1"/>
  <c r="A13582" i="1"/>
  <c r="A13581" i="1"/>
  <c r="A13577" i="1"/>
  <c r="A13576" i="1"/>
  <c r="A13575" i="1"/>
  <c r="A13574" i="1"/>
  <c r="A13570" i="1"/>
  <c r="A13569" i="1"/>
  <c r="A13565" i="1"/>
  <c r="A13564" i="1"/>
  <c r="A13563" i="1"/>
  <c r="A13562" i="1"/>
  <c r="A13556" i="1"/>
  <c r="A13555" i="1"/>
  <c r="A13551" i="1"/>
  <c r="A13550" i="1"/>
  <c r="A13549" i="1"/>
  <c r="A13548" i="1"/>
  <c r="A13545" i="1"/>
  <c r="A13541" i="1"/>
  <c r="A13540" i="1"/>
  <c r="A13539" i="1"/>
  <c r="A13538" i="1"/>
  <c r="A13533" i="1"/>
  <c r="A13532" i="1"/>
  <c r="A13528" i="1"/>
  <c r="A13527" i="1"/>
  <c r="A13526" i="1"/>
  <c r="A13525" i="1"/>
  <c r="A13520" i="1"/>
  <c r="A13519" i="1"/>
  <c r="A13515" i="1"/>
  <c r="A13514" i="1"/>
  <c r="A13513" i="1"/>
  <c r="A13512" i="1"/>
  <c r="A13507" i="1"/>
  <c r="A13506" i="1"/>
  <c r="A13502" i="1"/>
  <c r="A13501" i="1"/>
  <c r="A13500" i="1"/>
  <c r="A13499" i="1"/>
  <c r="A13494" i="1"/>
  <c r="A13493" i="1"/>
  <c r="A13489" i="1"/>
  <c r="A13488" i="1"/>
  <c r="A13487" i="1"/>
  <c r="A13486" i="1"/>
  <c r="A13481" i="1"/>
  <c r="A13480" i="1"/>
  <c r="A13476" i="1"/>
  <c r="A13475" i="1"/>
  <c r="A13474" i="1"/>
  <c r="A13473" i="1"/>
  <c r="A13468" i="1"/>
  <c r="A13467" i="1"/>
  <c r="A13463" i="1"/>
  <c r="A13462" i="1"/>
  <c r="A13461" i="1"/>
  <c r="A13460" i="1"/>
  <c r="A13455" i="1"/>
  <c r="A13454" i="1"/>
  <c r="A13450" i="1"/>
  <c r="A13449" i="1"/>
  <c r="A13448" i="1"/>
  <c r="A13447" i="1"/>
  <c r="A13442" i="1"/>
  <c r="A13441" i="1"/>
  <c r="A13437" i="1"/>
  <c r="A13436" i="1"/>
  <c r="A13435" i="1"/>
  <c r="A13434" i="1"/>
  <c r="A13429" i="1"/>
  <c r="A13428" i="1"/>
  <c r="A13424" i="1"/>
  <c r="A13423" i="1"/>
  <c r="A13422" i="1"/>
  <c r="A13421" i="1"/>
  <c r="A13416" i="1"/>
  <c r="A13415" i="1"/>
  <c r="A13411" i="1"/>
  <c r="A13410" i="1"/>
  <c r="A13409" i="1"/>
  <c r="A13408" i="1"/>
  <c r="A13404" i="1"/>
  <c r="A13403" i="1"/>
  <c r="A13399" i="1"/>
  <c r="A13398" i="1"/>
  <c r="A13397" i="1"/>
  <c r="A13396" i="1"/>
  <c r="A13393" i="1"/>
  <c r="A13392" i="1"/>
  <c r="A13388" i="1"/>
  <c r="A13387" i="1"/>
  <c r="A13386" i="1"/>
  <c r="A13385" i="1"/>
  <c r="A13380" i="1"/>
  <c r="A13379" i="1"/>
  <c r="A13375" i="1"/>
  <c r="A13374" i="1"/>
  <c r="A13373" i="1"/>
  <c r="A13372" i="1"/>
  <c r="A13369" i="1"/>
  <c r="A13368" i="1"/>
  <c r="A13364" i="1"/>
  <c r="A13363" i="1"/>
  <c r="A13362" i="1"/>
  <c r="A13361" i="1"/>
  <c r="A13355" i="1"/>
  <c r="A13354" i="1"/>
  <c r="A13350" i="1"/>
  <c r="A13349" i="1"/>
  <c r="A13348" i="1"/>
  <c r="A13347" i="1"/>
  <c r="A13342" i="1"/>
  <c r="A13341" i="1"/>
  <c r="A13337" i="1"/>
  <c r="A13336" i="1"/>
  <c r="A13335" i="1"/>
  <c r="A13334" i="1"/>
  <c r="A13329" i="1"/>
  <c r="A13328" i="1"/>
  <c r="A13324" i="1"/>
  <c r="A13323" i="1"/>
  <c r="A13322" i="1"/>
  <c r="A13321" i="1"/>
  <c r="A13316" i="1"/>
  <c r="A13315" i="1"/>
  <c r="A13311" i="1"/>
  <c r="A13310" i="1"/>
  <c r="A13309" i="1"/>
  <c r="A13308" i="1"/>
  <c r="A13302" i="1"/>
  <c r="A13301" i="1"/>
  <c r="A13297" i="1"/>
  <c r="A13296" i="1"/>
  <c r="A13295" i="1"/>
  <c r="A13294" i="1"/>
  <c r="A13289" i="1"/>
  <c r="A13288" i="1"/>
  <c r="A13284" i="1"/>
  <c r="A13283" i="1"/>
  <c r="A13282" i="1"/>
  <c r="A13281" i="1"/>
  <c r="A13276" i="1"/>
  <c r="A13275" i="1"/>
  <c r="A13271" i="1"/>
  <c r="A13270" i="1"/>
  <c r="A13269" i="1"/>
  <c r="A13268" i="1"/>
  <c r="A13265" i="1"/>
  <c r="A13264" i="1"/>
  <c r="A13260" i="1"/>
  <c r="A13259" i="1"/>
  <c r="A13258" i="1"/>
  <c r="A13257" i="1"/>
  <c r="A13250" i="1"/>
  <c r="A13249" i="1"/>
  <c r="A13245" i="1"/>
  <c r="A13244" i="1"/>
  <c r="A13243" i="1"/>
  <c r="A13242" i="1"/>
  <c r="A13237" i="1"/>
  <c r="A13236" i="1"/>
  <c r="A13232" i="1"/>
  <c r="A13231" i="1"/>
  <c r="A13230" i="1"/>
  <c r="A13229" i="1"/>
  <c r="A13224" i="1"/>
  <c r="A13223" i="1"/>
  <c r="A13219" i="1"/>
  <c r="A13218" i="1"/>
  <c r="A13217" i="1"/>
  <c r="A13216" i="1"/>
  <c r="A13211" i="1"/>
  <c r="A13210" i="1"/>
  <c r="A13206" i="1"/>
  <c r="A13205" i="1"/>
  <c r="A13204" i="1"/>
  <c r="A13203" i="1"/>
  <c r="A13198" i="1"/>
  <c r="A13197" i="1"/>
  <c r="A13193" i="1"/>
  <c r="A13192" i="1"/>
  <c r="A13191" i="1"/>
  <c r="A13190" i="1"/>
  <c r="A13186" i="1"/>
  <c r="A13185" i="1"/>
  <c r="A13181" i="1"/>
  <c r="A13180" i="1"/>
  <c r="A13179" i="1"/>
  <c r="A13178" i="1"/>
  <c r="A13174" i="1"/>
  <c r="A13173" i="1"/>
  <c r="A13169" i="1"/>
  <c r="A13168" i="1"/>
  <c r="A13167" i="1"/>
  <c r="A13166" i="1"/>
  <c r="A13162" i="1"/>
  <c r="A13161" i="1"/>
  <c r="A13157" i="1"/>
  <c r="A13156" i="1"/>
  <c r="A13155" i="1"/>
  <c r="A13154" i="1"/>
  <c r="A13148" i="1"/>
  <c r="A13147" i="1"/>
  <c r="A13143" i="1"/>
  <c r="A13142" i="1"/>
  <c r="A13141" i="1"/>
  <c r="A13140" i="1"/>
  <c r="A13133" i="1"/>
  <c r="A13132" i="1"/>
  <c r="A13128" i="1"/>
  <c r="A13127" i="1"/>
  <c r="A13126" i="1"/>
  <c r="A13125" i="1"/>
  <c r="A13121" i="1"/>
  <c r="A13120" i="1"/>
  <c r="A13116" i="1"/>
  <c r="A13115" i="1"/>
  <c r="A13114" i="1"/>
  <c r="A13113" i="1"/>
  <c r="A13109" i="1"/>
  <c r="A13108" i="1"/>
  <c r="A13104" i="1"/>
  <c r="A13103" i="1"/>
  <c r="A13102" i="1"/>
  <c r="A13101" i="1"/>
  <c r="A13097" i="1"/>
  <c r="A13096" i="1"/>
  <c r="A13092" i="1"/>
  <c r="A13091" i="1"/>
  <c r="A13090" i="1"/>
  <c r="A13089" i="1"/>
  <c r="A13086" i="1"/>
  <c r="A13085" i="1"/>
  <c r="A13081" i="1"/>
  <c r="A13080" i="1"/>
  <c r="A13079" i="1"/>
  <c r="A13078" i="1"/>
  <c r="A13073" i="1"/>
  <c r="A13072" i="1"/>
  <c r="A13068" i="1"/>
  <c r="A13067" i="1"/>
  <c r="A13066" i="1"/>
  <c r="A13065" i="1"/>
  <c r="A13061" i="1"/>
  <c r="A13060" i="1"/>
  <c r="A13056" i="1"/>
  <c r="A13055" i="1"/>
  <c r="A13054" i="1"/>
  <c r="A13053" i="1"/>
  <c r="A13049" i="1"/>
  <c r="A13048" i="1"/>
  <c r="A13044" i="1"/>
  <c r="A13043" i="1"/>
  <c r="A13042" i="1"/>
  <c r="A13041" i="1"/>
  <c r="A13033" i="1"/>
  <c r="A13032" i="1"/>
  <c r="A13028" i="1"/>
  <c r="A13027" i="1"/>
  <c r="A13026" i="1"/>
  <c r="A13025" i="1"/>
  <c r="A13020" i="1"/>
  <c r="A13019" i="1"/>
  <c r="A13015" i="1"/>
  <c r="A13014" i="1"/>
  <c r="A13013" i="1"/>
  <c r="A13012" i="1"/>
  <c r="A13007" i="1"/>
  <c r="A13006" i="1"/>
  <c r="A13002" i="1"/>
  <c r="A13001" i="1"/>
  <c r="A13000" i="1"/>
  <c r="A12999" i="1"/>
  <c r="A12994" i="1"/>
  <c r="A12993" i="1"/>
  <c r="A12989" i="1"/>
  <c r="A12988" i="1"/>
  <c r="A12987" i="1"/>
  <c r="A12986" i="1"/>
  <c r="A12981" i="1"/>
  <c r="A12980" i="1"/>
  <c r="A12976" i="1"/>
  <c r="A12975" i="1"/>
  <c r="A12974" i="1"/>
  <c r="A12973" i="1"/>
  <c r="A12968" i="1"/>
  <c r="A12967" i="1"/>
  <c r="A12963" i="1"/>
  <c r="A12962" i="1"/>
  <c r="A12961" i="1"/>
  <c r="A12960" i="1"/>
  <c r="A12955" i="1"/>
  <c r="A12954" i="1"/>
  <c r="A12950" i="1"/>
  <c r="A12949" i="1"/>
  <c r="A12948" i="1"/>
  <c r="A12947" i="1"/>
  <c r="A12942" i="1"/>
  <c r="A12941" i="1"/>
  <c r="A12937" i="1"/>
  <c r="A12936" i="1"/>
  <c r="A12935" i="1"/>
  <c r="A12934" i="1"/>
  <c r="A12929" i="1"/>
  <c r="A12928" i="1"/>
  <c r="A12924" i="1"/>
  <c r="A12923" i="1"/>
  <c r="A12922" i="1"/>
  <c r="A12921" i="1"/>
  <c r="A12916" i="1"/>
  <c r="A12915" i="1"/>
  <c r="A12911" i="1"/>
  <c r="A12910" i="1"/>
  <c r="A12909" i="1"/>
  <c r="A12908" i="1"/>
  <c r="A12899" i="1"/>
  <c r="A12898" i="1"/>
  <c r="A12894" i="1"/>
  <c r="A12893" i="1"/>
  <c r="A12892" i="1"/>
  <c r="A12891" i="1"/>
  <c r="A12883" i="1"/>
  <c r="A12882" i="1"/>
  <c r="A12878" i="1"/>
  <c r="A12877" i="1"/>
  <c r="A12876" i="1"/>
  <c r="A12875" i="1"/>
  <c r="A12867" i="1"/>
  <c r="A12866" i="1"/>
  <c r="A12862" i="1"/>
  <c r="A12861" i="1"/>
  <c r="A12860" i="1"/>
  <c r="A12859" i="1"/>
  <c r="A12851" i="1"/>
  <c r="A12850" i="1"/>
  <c r="A12846" i="1"/>
  <c r="A12845" i="1"/>
  <c r="A12844" i="1"/>
  <c r="A12843" i="1"/>
  <c r="A12835" i="1"/>
  <c r="A12834" i="1"/>
  <c r="A12830" i="1"/>
  <c r="A12829" i="1"/>
  <c r="A12828" i="1"/>
  <c r="A12827" i="1"/>
  <c r="A12823" i="1"/>
  <c r="A12822" i="1"/>
  <c r="A12818" i="1"/>
  <c r="A12817" i="1"/>
  <c r="A12816" i="1"/>
  <c r="A12815" i="1"/>
  <c r="A12811" i="1"/>
  <c r="A12810" i="1"/>
  <c r="A12806" i="1"/>
  <c r="A12805" i="1"/>
  <c r="A12804" i="1"/>
  <c r="A12803" i="1"/>
  <c r="A12799" i="1"/>
  <c r="A12798" i="1"/>
  <c r="A12794" i="1"/>
  <c r="A12793" i="1"/>
  <c r="A12792" i="1"/>
  <c r="A12791" i="1"/>
  <c r="A12787" i="1"/>
  <c r="A12786" i="1"/>
  <c r="A12782" i="1"/>
  <c r="A12781" i="1"/>
  <c r="A12780" i="1"/>
  <c r="A12779" i="1"/>
  <c r="A12775" i="1"/>
  <c r="A12774" i="1"/>
  <c r="A12770" i="1"/>
  <c r="A12769" i="1"/>
  <c r="A12768" i="1"/>
  <c r="A12767" i="1"/>
  <c r="A12762" i="1"/>
  <c r="A12761" i="1"/>
  <c r="A12757" i="1"/>
  <c r="A12756" i="1"/>
  <c r="A12755" i="1"/>
  <c r="A12754" i="1"/>
  <c r="A12751" i="1"/>
  <c r="A12750" i="1"/>
  <c r="A12746" i="1"/>
  <c r="A12745" i="1"/>
  <c r="A12744" i="1"/>
  <c r="A12743" i="1"/>
  <c r="A12740" i="1"/>
  <c r="A12739" i="1"/>
  <c r="A12735" i="1"/>
  <c r="A12734" i="1"/>
  <c r="A12733" i="1"/>
  <c r="A12732" i="1"/>
  <c r="A12724" i="1"/>
  <c r="A12723" i="1"/>
  <c r="A12719" i="1"/>
  <c r="A12718" i="1"/>
  <c r="A12717" i="1"/>
  <c r="A12716" i="1"/>
  <c r="A12708" i="1"/>
  <c r="A12707" i="1"/>
  <c r="A12703" i="1"/>
  <c r="A12702" i="1"/>
  <c r="A12701" i="1"/>
  <c r="A12700" i="1"/>
  <c r="A12696" i="1"/>
  <c r="A12695" i="1"/>
  <c r="A12691" i="1"/>
  <c r="A12690" i="1"/>
  <c r="A12689" i="1"/>
  <c r="A12688" i="1"/>
  <c r="A12684" i="1"/>
  <c r="A12683" i="1"/>
  <c r="A12679" i="1"/>
  <c r="A12678" i="1"/>
  <c r="A12677" i="1"/>
  <c r="A12676" i="1"/>
  <c r="A12667" i="1"/>
  <c r="A12666" i="1"/>
  <c r="A12662" i="1"/>
  <c r="A12661" i="1"/>
  <c r="A12660" i="1"/>
  <c r="A12659" i="1"/>
  <c r="A12650" i="1"/>
  <c r="A12649" i="1"/>
  <c r="A12645" i="1"/>
  <c r="A12644" i="1"/>
  <c r="A12643" i="1"/>
  <c r="A12642" i="1"/>
  <c r="A12633" i="1"/>
  <c r="A12632" i="1"/>
  <c r="A12628" i="1"/>
  <c r="A12627" i="1"/>
  <c r="A12626" i="1"/>
  <c r="A12625" i="1"/>
  <c r="A12616" i="1"/>
  <c r="A12615" i="1"/>
  <c r="A12611" i="1"/>
  <c r="A12610" i="1"/>
  <c r="A12609" i="1"/>
  <c r="A12608" i="1"/>
  <c r="A12605" i="1"/>
  <c r="A12604" i="1"/>
  <c r="A12600" i="1"/>
  <c r="A12599" i="1"/>
  <c r="A12598" i="1"/>
  <c r="A12597" i="1"/>
  <c r="A12592" i="1"/>
  <c r="A12591" i="1"/>
  <c r="A12587" i="1"/>
  <c r="A12586" i="1"/>
  <c r="A12585" i="1"/>
  <c r="A12584" i="1"/>
  <c r="A12581" i="1"/>
  <c r="A12580" i="1"/>
  <c r="A12576" i="1"/>
  <c r="A12575" i="1"/>
  <c r="A12574" i="1"/>
  <c r="A12573" i="1"/>
  <c r="A12566" i="1"/>
  <c r="A12565" i="1"/>
  <c r="A12561" i="1"/>
  <c r="A12560" i="1"/>
  <c r="A12559" i="1"/>
  <c r="A12558" i="1"/>
  <c r="A12552" i="1"/>
  <c r="A12551" i="1"/>
  <c r="A12547" i="1"/>
  <c r="A12546" i="1"/>
  <c r="A12545" i="1"/>
  <c r="A12544" i="1"/>
  <c r="A12538" i="1"/>
  <c r="A12537" i="1"/>
  <c r="A12533" i="1"/>
  <c r="A12532" i="1"/>
  <c r="A12531" i="1"/>
  <c r="A12530" i="1"/>
  <c r="A12524" i="1"/>
  <c r="A12523" i="1"/>
  <c r="A12519" i="1"/>
  <c r="A12518" i="1"/>
  <c r="A12517" i="1"/>
  <c r="A12516" i="1"/>
  <c r="A12510" i="1"/>
  <c r="A12509" i="1"/>
  <c r="A12505" i="1"/>
  <c r="A12504" i="1"/>
  <c r="A12503" i="1"/>
  <c r="A12502" i="1"/>
  <c r="A12496" i="1"/>
  <c r="A12495" i="1"/>
  <c r="A12491" i="1"/>
  <c r="A12490" i="1"/>
  <c r="A12489" i="1"/>
  <c r="A12488" i="1"/>
  <c r="A12482" i="1"/>
  <c r="A12481" i="1"/>
  <c r="A12477" i="1"/>
  <c r="A12476" i="1"/>
  <c r="A12475" i="1"/>
  <c r="A12474" i="1"/>
  <c r="A12468" i="1"/>
  <c r="A12467" i="1"/>
  <c r="A12463" i="1"/>
  <c r="A12462" i="1"/>
  <c r="A12461" i="1"/>
  <c r="A12460" i="1"/>
  <c r="A12454" i="1"/>
  <c r="A12453" i="1"/>
  <c r="A12449" i="1"/>
  <c r="A12448" i="1"/>
  <c r="A12447" i="1"/>
  <c r="A12446" i="1"/>
  <c r="A12440" i="1"/>
  <c r="A12439" i="1"/>
  <c r="A12435" i="1"/>
  <c r="A12434" i="1"/>
  <c r="A12433" i="1"/>
  <c r="A12432" i="1"/>
  <c r="A12425" i="1"/>
  <c r="A12424" i="1"/>
  <c r="A12420" i="1"/>
  <c r="A12419" i="1"/>
  <c r="A12418" i="1"/>
  <c r="A12417" i="1"/>
  <c r="A12413" i="1"/>
  <c r="A12412" i="1"/>
  <c r="A12408" i="1"/>
  <c r="A12407" i="1"/>
  <c r="A12406" i="1"/>
  <c r="A12405" i="1"/>
  <c r="A12402" i="1"/>
  <c r="A12398" i="1"/>
  <c r="A12397" i="1"/>
  <c r="A12396" i="1"/>
  <c r="A12395" i="1"/>
  <c r="A12390" i="1"/>
  <c r="A12389" i="1"/>
  <c r="A12385" i="1"/>
  <c r="A12384" i="1"/>
  <c r="A12383" i="1"/>
  <c r="A12382" i="1"/>
  <c r="A12379" i="1"/>
  <c r="A12378" i="1"/>
  <c r="A12374" i="1"/>
  <c r="A12373" i="1"/>
  <c r="A12372" i="1"/>
  <c r="A12371" i="1"/>
  <c r="A12366" i="1"/>
  <c r="A12365" i="1"/>
  <c r="A12361" i="1"/>
  <c r="A12360" i="1"/>
  <c r="A12359" i="1"/>
  <c r="A12358" i="1"/>
  <c r="A12355" i="1"/>
  <c r="A12354" i="1"/>
  <c r="A12350" i="1"/>
  <c r="A12349" i="1"/>
  <c r="A12348" i="1"/>
  <c r="A12347" i="1"/>
  <c r="A12342" i="1"/>
  <c r="A12341" i="1"/>
  <c r="A12337" i="1"/>
  <c r="A12336" i="1"/>
  <c r="A12335" i="1"/>
  <c r="A12334" i="1"/>
  <c r="A12330" i="1"/>
  <c r="A12329" i="1"/>
  <c r="A12325" i="1"/>
  <c r="A12324" i="1"/>
  <c r="A12323" i="1"/>
  <c r="A12322" i="1"/>
  <c r="A12318" i="1"/>
  <c r="A12317" i="1"/>
  <c r="A12313" i="1"/>
  <c r="A12312" i="1"/>
  <c r="A12311" i="1"/>
  <c r="A12310" i="1"/>
  <c r="A12306" i="1"/>
  <c r="A12305" i="1"/>
  <c r="A12301" i="1"/>
  <c r="A12300" i="1"/>
  <c r="A12299" i="1"/>
  <c r="A12298" i="1"/>
  <c r="A12294" i="1"/>
  <c r="A12293" i="1"/>
  <c r="A12289" i="1"/>
  <c r="A12288" i="1"/>
  <c r="A12287" i="1"/>
  <c r="A12286" i="1"/>
  <c r="A12282" i="1"/>
  <c r="A12281" i="1"/>
  <c r="A12277" i="1"/>
  <c r="A12276" i="1"/>
  <c r="A12275" i="1"/>
  <c r="A12274" i="1"/>
  <c r="A12270" i="1"/>
  <c r="A12269" i="1"/>
  <c r="A12265" i="1"/>
  <c r="A12264" i="1"/>
  <c r="A12263" i="1"/>
  <c r="A12262" i="1"/>
  <c r="A12258" i="1"/>
  <c r="A12257" i="1"/>
  <c r="A12253" i="1"/>
  <c r="A12252" i="1"/>
  <c r="A12251" i="1"/>
  <c r="A12250" i="1"/>
  <c r="A12246" i="1"/>
  <c r="A12245" i="1"/>
  <c r="A12241" i="1"/>
  <c r="A12240" i="1"/>
  <c r="A12239" i="1"/>
  <c r="A12238" i="1"/>
  <c r="A12233" i="1"/>
  <c r="A12232" i="1"/>
  <c r="A12228" i="1"/>
  <c r="A12227" i="1"/>
  <c r="A12226" i="1"/>
  <c r="A12225" i="1"/>
  <c r="A12220" i="1"/>
  <c r="A12219" i="1"/>
  <c r="A12215" i="1"/>
  <c r="A12214" i="1"/>
  <c r="A12213" i="1"/>
  <c r="A12212" i="1"/>
  <c r="A12207" i="1"/>
  <c r="A12206" i="1"/>
  <c r="A12202" i="1"/>
  <c r="A12201" i="1"/>
  <c r="A12200" i="1"/>
  <c r="A12199" i="1"/>
  <c r="A12194" i="1"/>
  <c r="A12193" i="1"/>
  <c r="A12189" i="1"/>
  <c r="A12188" i="1"/>
  <c r="A12187" i="1"/>
  <c r="A12186" i="1"/>
  <c r="A12178" i="1"/>
  <c r="A12177" i="1"/>
  <c r="A12173" i="1"/>
  <c r="A12172" i="1"/>
  <c r="A12171" i="1"/>
  <c r="A12170" i="1"/>
  <c r="A12162" i="1"/>
  <c r="A12161" i="1"/>
  <c r="A12157" i="1"/>
  <c r="A12156" i="1"/>
  <c r="A12155" i="1"/>
  <c r="A12154" i="1"/>
  <c r="A12146" i="1"/>
  <c r="A12145" i="1"/>
  <c r="A12141" i="1"/>
  <c r="A12140" i="1"/>
  <c r="A12139" i="1"/>
  <c r="A12138" i="1"/>
  <c r="A12130" i="1"/>
  <c r="A12129" i="1"/>
  <c r="A12125" i="1"/>
  <c r="A12124" i="1"/>
  <c r="A12123" i="1"/>
  <c r="A12122" i="1"/>
  <c r="A12114" i="1"/>
  <c r="A12113" i="1"/>
  <c r="A12109" i="1"/>
  <c r="A12108" i="1"/>
  <c r="A12107" i="1"/>
  <c r="A12106" i="1"/>
  <c r="A12100" i="1"/>
  <c r="A12099" i="1"/>
  <c r="A12095" i="1"/>
  <c r="A12094" i="1"/>
  <c r="A12093" i="1"/>
  <c r="A12092" i="1"/>
  <c r="A12087" i="1"/>
  <c r="A12086" i="1"/>
  <c r="A12082" i="1"/>
  <c r="A12081" i="1"/>
  <c r="A12080" i="1"/>
  <c r="A12079" i="1"/>
  <c r="A12074" i="1"/>
  <c r="A12073" i="1"/>
  <c r="A12069" i="1"/>
  <c r="A12068" i="1"/>
  <c r="A12067" i="1"/>
  <c r="A12066" i="1"/>
  <c r="A12061" i="1"/>
  <c r="A12060" i="1"/>
  <c r="A12056" i="1"/>
  <c r="A12055" i="1"/>
  <c r="A12054" i="1"/>
  <c r="A12053" i="1"/>
  <c r="A12048" i="1"/>
  <c r="A12047" i="1"/>
  <c r="A12043" i="1"/>
  <c r="A12042" i="1"/>
  <c r="A12041" i="1"/>
  <c r="A12040" i="1"/>
  <c r="A12035" i="1"/>
  <c r="A12034" i="1"/>
  <c r="A12030" i="1"/>
  <c r="A12029" i="1"/>
  <c r="A12028" i="1"/>
  <c r="A12027" i="1"/>
  <c r="A12022" i="1"/>
  <c r="A12021" i="1"/>
  <c r="A12017" i="1"/>
  <c r="A12016" i="1"/>
  <c r="A12015" i="1"/>
  <c r="A12014" i="1"/>
  <c r="A12009" i="1"/>
  <c r="A12008" i="1"/>
  <c r="A12004" i="1"/>
  <c r="A12003" i="1"/>
  <c r="A12002" i="1"/>
  <c r="A12001" i="1"/>
  <c r="A11996" i="1"/>
  <c r="A11995" i="1"/>
  <c r="A11991" i="1"/>
  <c r="A11990" i="1"/>
  <c r="A11989" i="1"/>
  <c r="A11988" i="1"/>
  <c r="A11983" i="1"/>
  <c r="A11982" i="1"/>
  <c r="A11978" i="1"/>
  <c r="A11977" i="1"/>
  <c r="A11976" i="1"/>
  <c r="A11975" i="1"/>
  <c r="A11970" i="1"/>
  <c r="A11969" i="1"/>
  <c r="A11965" i="1"/>
  <c r="A11964" i="1"/>
  <c r="A11963" i="1"/>
  <c r="A11962" i="1"/>
  <c r="A11957" i="1"/>
  <c r="A11956" i="1"/>
  <c r="A11952" i="1"/>
  <c r="A11951" i="1"/>
  <c r="A11950" i="1"/>
  <c r="A11949" i="1"/>
  <c r="A11944" i="1"/>
  <c r="A11943" i="1"/>
  <c r="A11939" i="1"/>
  <c r="A11938" i="1"/>
  <c r="A11937" i="1"/>
  <c r="A11936" i="1"/>
  <c r="A11933" i="1"/>
  <c r="A11932" i="1"/>
  <c r="A11928" i="1"/>
  <c r="A11927" i="1"/>
  <c r="A11926" i="1"/>
  <c r="A11925" i="1"/>
  <c r="A11922" i="1"/>
  <c r="A11921" i="1"/>
  <c r="A11917" i="1"/>
  <c r="A11916" i="1"/>
  <c r="A11915" i="1"/>
  <c r="A11914" i="1"/>
  <c r="A11908" i="1"/>
  <c r="A11907" i="1"/>
  <c r="A11903" i="1"/>
  <c r="A11902" i="1"/>
  <c r="A11901" i="1"/>
  <c r="A11900" i="1"/>
  <c r="A11897" i="1"/>
  <c r="A11896" i="1"/>
  <c r="A11892" i="1"/>
  <c r="A11891" i="1"/>
  <c r="A11890" i="1"/>
  <c r="A11889" i="1"/>
  <c r="A11884" i="1"/>
  <c r="A11883" i="1"/>
  <c r="A11879" i="1"/>
  <c r="A11878" i="1"/>
  <c r="A11877" i="1"/>
  <c r="A11876" i="1"/>
  <c r="A11871" i="1"/>
  <c r="A11870" i="1"/>
  <c r="A11866" i="1"/>
  <c r="A11865" i="1"/>
  <c r="A11864" i="1"/>
  <c r="A11863" i="1"/>
  <c r="A11858" i="1"/>
  <c r="A11857" i="1"/>
  <c r="A11853" i="1"/>
  <c r="A11852" i="1"/>
  <c r="A11851" i="1"/>
  <c r="A11850" i="1"/>
  <c r="A11845" i="1"/>
  <c r="A11844" i="1"/>
  <c r="A11840" i="1"/>
  <c r="A11839" i="1"/>
  <c r="A11838" i="1"/>
  <c r="A11837" i="1"/>
  <c r="A11834" i="1"/>
  <c r="A11830" i="1"/>
  <c r="A11829" i="1"/>
  <c r="A11828" i="1"/>
  <c r="A11827" i="1"/>
  <c r="A11822" i="1"/>
  <c r="A11821" i="1"/>
  <c r="A11817" i="1"/>
  <c r="A11816" i="1"/>
  <c r="A11815" i="1"/>
  <c r="A11814" i="1"/>
  <c r="A11809" i="1"/>
  <c r="A11808" i="1"/>
  <c r="A11804" i="1"/>
  <c r="A11803" i="1"/>
  <c r="A11802" i="1"/>
  <c r="A11801" i="1"/>
  <c r="A11796" i="1"/>
  <c r="A11795" i="1"/>
  <c r="A11791" i="1"/>
  <c r="A11790" i="1"/>
  <c r="A11789" i="1"/>
  <c r="A11788" i="1"/>
  <c r="A11785" i="1"/>
  <c r="A11781" i="1"/>
  <c r="A11780" i="1"/>
  <c r="A11779" i="1"/>
  <c r="A11778" i="1"/>
  <c r="A11773" i="1"/>
  <c r="A11772" i="1"/>
  <c r="A11768" i="1"/>
  <c r="A11767" i="1"/>
  <c r="A11766" i="1"/>
  <c r="A11765" i="1"/>
  <c r="A11760" i="1"/>
  <c r="A11759" i="1"/>
  <c r="A11755" i="1"/>
  <c r="A11754" i="1"/>
  <c r="A11753" i="1"/>
  <c r="A11752" i="1"/>
  <c r="A11747" i="1"/>
  <c r="A11746" i="1"/>
  <c r="A11742" i="1"/>
  <c r="A11741" i="1"/>
  <c r="A11740" i="1"/>
  <c r="A11739" i="1"/>
  <c r="A11734" i="1"/>
  <c r="A11733" i="1"/>
  <c r="A11729" i="1"/>
  <c r="A11728" i="1"/>
  <c r="A11727" i="1"/>
  <c r="A11726" i="1"/>
  <c r="A11721" i="1"/>
  <c r="A11720" i="1"/>
  <c r="A11716" i="1"/>
  <c r="A11715" i="1"/>
  <c r="A11714" i="1"/>
  <c r="A11713" i="1"/>
  <c r="A11708" i="1"/>
  <c r="A11707" i="1"/>
  <c r="A11703" i="1"/>
  <c r="A11702" i="1"/>
  <c r="A11701" i="1"/>
  <c r="A11700" i="1"/>
  <c r="A11695" i="1"/>
  <c r="A11694" i="1"/>
  <c r="A11690" i="1"/>
  <c r="A11689" i="1"/>
  <c r="A11688" i="1"/>
  <c r="A11687" i="1"/>
  <c r="A11682" i="1"/>
  <c r="A11681" i="1"/>
  <c r="A11677" i="1"/>
  <c r="A11676" i="1"/>
  <c r="A11675" i="1"/>
  <c r="A11674" i="1"/>
  <c r="A11669" i="1"/>
  <c r="A11668" i="1"/>
  <c r="A11664" i="1"/>
  <c r="A11663" i="1"/>
  <c r="A11662" i="1"/>
  <c r="A11661" i="1"/>
  <c r="A11656" i="1"/>
  <c r="A11655" i="1"/>
  <c r="A11651" i="1"/>
  <c r="A11650" i="1"/>
  <c r="A11649" i="1"/>
  <c r="A11648" i="1"/>
  <c r="A11643" i="1"/>
  <c r="A11642" i="1"/>
  <c r="A11638" i="1"/>
  <c r="A11637" i="1"/>
  <c r="A11636" i="1"/>
  <c r="A11635" i="1"/>
  <c r="A11630" i="1"/>
  <c r="A11629" i="1"/>
  <c r="A11625" i="1"/>
  <c r="A11624" i="1"/>
  <c r="A11623" i="1"/>
  <c r="A11622" i="1"/>
  <c r="A11619" i="1"/>
  <c r="A11615" i="1"/>
  <c r="A11614" i="1"/>
  <c r="A11613" i="1"/>
  <c r="A11612" i="1"/>
  <c r="A11605" i="1"/>
  <c r="A11604" i="1"/>
  <c r="A11600" i="1"/>
  <c r="A11599" i="1"/>
  <c r="A11598" i="1"/>
  <c r="A11597" i="1"/>
  <c r="A11591" i="1"/>
  <c r="A11590" i="1"/>
  <c r="A11586" i="1"/>
  <c r="A11585" i="1"/>
  <c r="A11584" i="1"/>
  <c r="A11583" i="1"/>
  <c r="A11580" i="1"/>
  <c r="A11579" i="1"/>
  <c r="A11575" i="1"/>
  <c r="A11574" i="1"/>
  <c r="A11573" i="1"/>
  <c r="A11572" i="1"/>
  <c r="A11569" i="1"/>
  <c r="A11568" i="1"/>
  <c r="A11564" i="1"/>
  <c r="A11563" i="1"/>
  <c r="A11562" i="1"/>
  <c r="A11561" i="1"/>
  <c r="A11558" i="1"/>
  <c r="A11557" i="1"/>
  <c r="A11553" i="1"/>
  <c r="A11552" i="1"/>
  <c r="A11551" i="1"/>
  <c r="A11550" i="1"/>
  <c r="A11547" i="1"/>
  <c r="A11546" i="1"/>
  <c r="A11542" i="1"/>
  <c r="A11541" i="1"/>
  <c r="A11540" i="1"/>
  <c r="A11539" i="1"/>
  <c r="A11536" i="1"/>
  <c r="A11535" i="1"/>
  <c r="A11531" i="1"/>
  <c r="A11530" i="1"/>
  <c r="A11529" i="1"/>
  <c r="A11528" i="1"/>
  <c r="A11525" i="1"/>
  <c r="A11524" i="1"/>
  <c r="A11520" i="1"/>
  <c r="A11519" i="1"/>
  <c r="A11518" i="1"/>
  <c r="A11517" i="1"/>
  <c r="A11514" i="1"/>
  <c r="A11513" i="1"/>
  <c r="A11509" i="1"/>
  <c r="A11508" i="1"/>
  <c r="A11507" i="1"/>
  <c r="A11506" i="1"/>
  <c r="A11499" i="1"/>
  <c r="A11498" i="1"/>
  <c r="A11494" i="1"/>
  <c r="A11493" i="1"/>
  <c r="A11492" i="1"/>
  <c r="A11491" i="1"/>
  <c r="A11483" i="1"/>
  <c r="A11482" i="1"/>
  <c r="A11478" i="1"/>
  <c r="A11477" i="1"/>
  <c r="A11476" i="1"/>
  <c r="A11475" i="1"/>
  <c r="A11467" i="1"/>
  <c r="A11466" i="1"/>
  <c r="A11462" i="1"/>
  <c r="A11461" i="1"/>
  <c r="A11460" i="1"/>
  <c r="A11459" i="1"/>
  <c r="A11456" i="1"/>
  <c r="A11455" i="1"/>
  <c r="A11451" i="1"/>
  <c r="A11450" i="1"/>
  <c r="A11449" i="1"/>
  <c r="A11448" i="1"/>
  <c r="A11445" i="1"/>
  <c r="A11444" i="1"/>
  <c r="A11440" i="1"/>
  <c r="A11439" i="1"/>
  <c r="A11438" i="1"/>
  <c r="A11437" i="1"/>
  <c r="A11432" i="1"/>
  <c r="A11431" i="1"/>
  <c r="A11427" i="1"/>
  <c r="A11426" i="1"/>
  <c r="A11425" i="1"/>
  <c r="A11424" i="1"/>
  <c r="A11420" i="1"/>
  <c r="A11419" i="1"/>
  <c r="A11415" i="1"/>
  <c r="A11414" i="1"/>
  <c r="A11413" i="1"/>
  <c r="A11412" i="1"/>
  <c r="A11406" i="1"/>
  <c r="A11405" i="1"/>
  <c r="A11401" i="1"/>
  <c r="A11400" i="1"/>
  <c r="A11399" i="1"/>
  <c r="A11398" i="1"/>
  <c r="A11393" i="1"/>
  <c r="A11392" i="1"/>
  <c r="A11388" i="1"/>
  <c r="A11387" i="1"/>
  <c r="A11386" i="1"/>
  <c r="A11385" i="1"/>
  <c r="A11379" i="1"/>
  <c r="A11378" i="1"/>
  <c r="A11374" i="1"/>
  <c r="A11373" i="1"/>
  <c r="A11372" i="1"/>
  <c r="A11371" i="1"/>
  <c r="A11365" i="1"/>
  <c r="A11364" i="1"/>
  <c r="A11360" i="1"/>
  <c r="A11359" i="1"/>
  <c r="A11358" i="1"/>
  <c r="A11357" i="1"/>
  <c r="A11352" i="1"/>
  <c r="A11351" i="1"/>
  <c r="A11347" i="1"/>
  <c r="A11346" i="1"/>
  <c r="A11345" i="1"/>
  <c r="A11344" i="1"/>
  <c r="A11336" i="1"/>
  <c r="A11335" i="1"/>
  <c r="A11331" i="1"/>
  <c r="A11330" i="1"/>
  <c r="A11329" i="1"/>
  <c r="A11328" i="1"/>
  <c r="A11324" i="1"/>
  <c r="A11323" i="1"/>
  <c r="A11319" i="1"/>
  <c r="A11318" i="1"/>
  <c r="A11317" i="1"/>
  <c r="A11316" i="1"/>
  <c r="A11307" i="1"/>
  <c r="A11306" i="1"/>
  <c r="A11302" i="1"/>
  <c r="A11301" i="1"/>
  <c r="A11300" i="1"/>
  <c r="A11299" i="1"/>
  <c r="A11295" i="1"/>
  <c r="A11294" i="1"/>
  <c r="A11290" i="1"/>
  <c r="A11289" i="1"/>
  <c r="A11288" i="1"/>
  <c r="A11287" i="1"/>
  <c r="A11280" i="1"/>
  <c r="A11279" i="1"/>
  <c r="A11275" i="1"/>
  <c r="A11274" i="1"/>
  <c r="A11273" i="1"/>
  <c r="A11272" i="1"/>
  <c r="A11264" i="1"/>
  <c r="A11263" i="1"/>
  <c r="A11259" i="1"/>
  <c r="A11258" i="1"/>
  <c r="A11257" i="1"/>
  <c r="A11256" i="1"/>
  <c r="A11247" i="1"/>
  <c r="A11246" i="1"/>
  <c r="A11242" i="1"/>
  <c r="A11241" i="1"/>
  <c r="A11240" i="1"/>
  <c r="A11239" i="1"/>
  <c r="A11230" i="1"/>
  <c r="A11229" i="1"/>
  <c r="A11225" i="1"/>
  <c r="A11224" i="1"/>
  <c r="A11223" i="1"/>
  <c r="A11222" i="1"/>
  <c r="A11213" i="1"/>
  <c r="A11212" i="1"/>
  <c r="A11208" i="1"/>
  <c r="A11207" i="1"/>
  <c r="A11206" i="1"/>
  <c r="A11205" i="1"/>
  <c r="A11196" i="1"/>
  <c r="A11195" i="1"/>
  <c r="A11191" i="1"/>
  <c r="A11190" i="1"/>
  <c r="A11189" i="1"/>
  <c r="A11188" i="1"/>
  <c r="A11179" i="1"/>
  <c r="A11178" i="1"/>
  <c r="A11174" i="1"/>
  <c r="A11173" i="1"/>
  <c r="A11172" i="1"/>
  <c r="A11171" i="1"/>
  <c r="A11162" i="1"/>
  <c r="A11161" i="1"/>
  <c r="A11157" i="1"/>
  <c r="A11156" i="1"/>
  <c r="A11155" i="1"/>
  <c r="A11154" i="1"/>
  <c r="A11145" i="1"/>
  <c r="A11144" i="1"/>
  <c r="A11140" i="1"/>
  <c r="A11139" i="1"/>
  <c r="A11138" i="1"/>
  <c r="A11137" i="1"/>
  <c r="A11134" i="1"/>
  <c r="A11133" i="1"/>
  <c r="A11129" i="1"/>
  <c r="A11128" i="1"/>
  <c r="A11127" i="1"/>
  <c r="A11126" i="1"/>
  <c r="A11118" i="1"/>
  <c r="A11117" i="1"/>
  <c r="A11113" i="1"/>
  <c r="A11112" i="1"/>
  <c r="A11111" i="1"/>
  <c r="A11110" i="1"/>
  <c r="A11102" i="1"/>
  <c r="A11101" i="1"/>
  <c r="A11097" i="1"/>
  <c r="A11096" i="1"/>
  <c r="A11095" i="1"/>
  <c r="A11094" i="1"/>
  <c r="A11086" i="1"/>
  <c r="A11085" i="1"/>
  <c r="A11081" i="1"/>
  <c r="A11080" i="1"/>
  <c r="A11079" i="1"/>
  <c r="A11078" i="1"/>
  <c r="A11070" i="1"/>
  <c r="A11069" i="1"/>
  <c r="A11065" i="1"/>
  <c r="A11064" i="1"/>
  <c r="A11063" i="1"/>
  <c r="A11062" i="1"/>
  <c r="A11054" i="1"/>
  <c r="A11053" i="1"/>
  <c r="A11049" i="1"/>
  <c r="A11048" i="1"/>
  <c r="A11047" i="1"/>
  <c r="A11046" i="1"/>
  <c r="A11042" i="1"/>
  <c r="A11041" i="1"/>
  <c r="A11037" i="1"/>
  <c r="A11036" i="1"/>
  <c r="A11035" i="1"/>
  <c r="A11034" i="1"/>
  <c r="A11029" i="1"/>
  <c r="A11028" i="1"/>
  <c r="A11024" i="1"/>
  <c r="A11023" i="1"/>
  <c r="A11022" i="1"/>
  <c r="A11021" i="1"/>
  <c r="A11016" i="1"/>
  <c r="A11015" i="1"/>
  <c r="A11011" i="1"/>
  <c r="A11010" i="1"/>
  <c r="A11009" i="1"/>
  <c r="A11008" i="1"/>
  <c r="A11001" i="1"/>
  <c r="A11000" i="1"/>
  <c r="A10996" i="1"/>
  <c r="A10995" i="1"/>
  <c r="A10994" i="1"/>
  <c r="A10993" i="1"/>
  <c r="A10986" i="1"/>
  <c r="A10985" i="1"/>
  <c r="A10981" i="1"/>
  <c r="A10980" i="1"/>
  <c r="A10979" i="1"/>
  <c r="A10978" i="1"/>
  <c r="A10971" i="1"/>
  <c r="A10970" i="1"/>
  <c r="A10966" i="1"/>
  <c r="A10965" i="1"/>
  <c r="A10964" i="1"/>
  <c r="A10963" i="1"/>
  <c r="A10956" i="1"/>
  <c r="A10955" i="1"/>
  <c r="A10951" i="1"/>
  <c r="A10950" i="1"/>
  <c r="A10949" i="1"/>
  <c r="A10948" i="1"/>
  <c r="A10941" i="1"/>
  <c r="A10940" i="1"/>
  <c r="A10936" i="1"/>
  <c r="A10935" i="1"/>
  <c r="A10934" i="1"/>
  <c r="A10933" i="1"/>
  <c r="A10926" i="1"/>
  <c r="A10925" i="1"/>
  <c r="A10921" i="1"/>
  <c r="A10920" i="1"/>
  <c r="A10919" i="1"/>
  <c r="A10918" i="1"/>
  <c r="A10911" i="1"/>
  <c r="A10910" i="1"/>
  <c r="A10906" i="1"/>
  <c r="A10905" i="1"/>
  <c r="A10904" i="1"/>
  <c r="A10903" i="1"/>
  <c r="A10896" i="1"/>
  <c r="A10895" i="1"/>
  <c r="A10891" i="1"/>
  <c r="A10890" i="1"/>
  <c r="A10889" i="1"/>
  <c r="A10888" i="1"/>
  <c r="A10882" i="1"/>
  <c r="A10881" i="1"/>
  <c r="A10877" i="1"/>
  <c r="A10876" i="1"/>
  <c r="A10875" i="1"/>
  <c r="A10874" i="1"/>
  <c r="A10869" i="1"/>
  <c r="A10868" i="1"/>
  <c r="A10864" i="1"/>
  <c r="A10863" i="1"/>
  <c r="A10862" i="1"/>
  <c r="A10861" i="1"/>
  <c r="A10858" i="1"/>
  <c r="A10857" i="1"/>
  <c r="A10853" i="1"/>
  <c r="A10852" i="1"/>
  <c r="A10851" i="1"/>
  <c r="A10850" i="1"/>
  <c r="A10844" i="1"/>
  <c r="A10843" i="1"/>
  <c r="A10839" i="1"/>
  <c r="A10838" i="1"/>
  <c r="A10837" i="1"/>
  <c r="A10836" i="1"/>
  <c r="A10833" i="1"/>
  <c r="A10832" i="1"/>
  <c r="A10828" i="1"/>
  <c r="A10827" i="1"/>
  <c r="A10826" i="1"/>
  <c r="A10825" i="1"/>
  <c r="A10821" i="1"/>
  <c r="A10820" i="1"/>
  <c r="A10816" i="1"/>
  <c r="A10815" i="1"/>
  <c r="A10814" i="1"/>
  <c r="A10813" i="1"/>
  <c r="A10809" i="1"/>
  <c r="A10808" i="1"/>
  <c r="A10804" i="1"/>
  <c r="A10803" i="1"/>
  <c r="A10802" i="1"/>
  <c r="A10801" i="1"/>
  <c r="A10797" i="1"/>
  <c r="A10796" i="1"/>
  <c r="A10792" i="1"/>
  <c r="A10791" i="1"/>
  <c r="A10790" i="1"/>
  <c r="A10789" i="1"/>
  <c r="A10782" i="1"/>
  <c r="A10781" i="1"/>
  <c r="A10777" i="1"/>
  <c r="A10776" i="1"/>
  <c r="A10775" i="1"/>
  <c r="A10774" i="1"/>
  <c r="A10767" i="1"/>
  <c r="A10766" i="1"/>
  <c r="A10762" i="1"/>
  <c r="A10761" i="1"/>
  <c r="A10760" i="1"/>
  <c r="A10759" i="1"/>
  <c r="A10755" i="1"/>
  <c r="A10754" i="1"/>
  <c r="A10750" i="1"/>
  <c r="A10749" i="1"/>
  <c r="A10748" i="1"/>
  <c r="A10747" i="1"/>
  <c r="A10737" i="1"/>
  <c r="A10736" i="1"/>
  <c r="A10732" i="1"/>
  <c r="A10731" i="1"/>
  <c r="A10730" i="1"/>
  <c r="A10729" i="1"/>
  <c r="A10723" i="1"/>
  <c r="A10722" i="1"/>
  <c r="A10718" i="1"/>
  <c r="A10717" i="1"/>
  <c r="A10716" i="1"/>
  <c r="A10715" i="1"/>
  <c r="A10709" i="1"/>
  <c r="A10708" i="1"/>
  <c r="A10704" i="1"/>
  <c r="A10703" i="1"/>
  <c r="A10702" i="1"/>
  <c r="A10701" i="1"/>
  <c r="A10696" i="1"/>
  <c r="A10695" i="1"/>
  <c r="A10691" i="1"/>
  <c r="A10690" i="1"/>
  <c r="A10689" i="1"/>
  <c r="A10688" i="1"/>
  <c r="A10683" i="1"/>
  <c r="A10682" i="1"/>
  <c r="A10678" i="1"/>
  <c r="A10677" i="1"/>
  <c r="A10676" i="1"/>
  <c r="A10675" i="1"/>
  <c r="A10671" i="1"/>
  <c r="A10670" i="1"/>
  <c r="A10666" i="1"/>
  <c r="A10665" i="1"/>
  <c r="A10664" i="1"/>
  <c r="A10663" i="1"/>
  <c r="A10659" i="1"/>
  <c r="A10658" i="1"/>
  <c r="A10654" i="1"/>
  <c r="A10653" i="1"/>
  <c r="A10652" i="1"/>
  <c r="A10651" i="1"/>
  <c r="A10647" i="1"/>
  <c r="A10646" i="1"/>
  <c r="A10642" i="1"/>
  <c r="A10641" i="1"/>
  <c r="A10640" i="1"/>
  <c r="A10639" i="1"/>
  <c r="A10635" i="1"/>
  <c r="A10634" i="1"/>
  <c r="A10630" i="1"/>
  <c r="A10629" i="1"/>
  <c r="A10628" i="1"/>
  <c r="A10627" i="1"/>
  <c r="A10623" i="1"/>
  <c r="A10622" i="1"/>
  <c r="A10618" i="1"/>
  <c r="A10617" i="1"/>
  <c r="A10616" i="1"/>
  <c r="A10615" i="1"/>
  <c r="A10610" i="1"/>
  <c r="A10609" i="1"/>
  <c r="A10605" i="1"/>
  <c r="A10604" i="1"/>
  <c r="A10603" i="1"/>
  <c r="A10602" i="1"/>
  <c r="A10599" i="1"/>
  <c r="A10598" i="1"/>
  <c r="A10594" i="1"/>
  <c r="A10593" i="1"/>
  <c r="A10592" i="1"/>
  <c r="A10591" i="1"/>
  <c r="A10585" i="1"/>
  <c r="A10584" i="1"/>
  <c r="A10580" i="1"/>
  <c r="A10579" i="1"/>
  <c r="A10578" i="1"/>
  <c r="A10577" i="1"/>
  <c r="A10574" i="1"/>
  <c r="A10573" i="1"/>
  <c r="A10569" i="1"/>
  <c r="A10568" i="1"/>
  <c r="A10567" i="1"/>
  <c r="A10566" i="1"/>
  <c r="A10560" i="1"/>
  <c r="A10559" i="1"/>
  <c r="A10555" i="1"/>
  <c r="A10554" i="1"/>
  <c r="A10553" i="1"/>
  <c r="A10552" i="1"/>
  <c r="A10547" i="1"/>
  <c r="A10546" i="1"/>
  <c r="A10542" i="1"/>
  <c r="A10541" i="1"/>
  <c r="A10540" i="1"/>
  <c r="A10539" i="1"/>
  <c r="A10534" i="1"/>
  <c r="A10533" i="1"/>
  <c r="A10529" i="1"/>
  <c r="A10528" i="1"/>
  <c r="A10527" i="1"/>
  <c r="A10526" i="1"/>
  <c r="A10523" i="1"/>
  <c r="A10522" i="1"/>
  <c r="A10518" i="1"/>
  <c r="A10517" i="1"/>
  <c r="A10516" i="1"/>
  <c r="A10515" i="1"/>
  <c r="A10512" i="1"/>
  <c r="A10511" i="1"/>
  <c r="A10507" i="1"/>
  <c r="A10506" i="1"/>
  <c r="A10505" i="1"/>
  <c r="A10504" i="1"/>
  <c r="A10501" i="1"/>
  <c r="A10500" i="1"/>
  <c r="A10496" i="1"/>
  <c r="A10495" i="1"/>
  <c r="A10494" i="1"/>
  <c r="A10493" i="1"/>
  <c r="A10490" i="1"/>
  <c r="A10489" i="1"/>
  <c r="A10485" i="1"/>
  <c r="A10484" i="1"/>
  <c r="A10483" i="1"/>
  <c r="A10482" i="1"/>
  <c r="A10479" i="1"/>
  <c r="A10478" i="1"/>
  <c r="A10474" i="1"/>
  <c r="A10473" i="1"/>
  <c r="A10472" i="1"/>
  <c r="A10471" i="1"/>
  <c r="A10468" i="1"/>
  <c r="A10467" i="1"/>
  <c r="A10463" i="1"/>
  <c r="A10462" i="1"/>
  <c r="A10461" i="1"/>
  <c r="A10460" i="1"/>
  <c r="A10455" i="1"/>
  <c r="A10454" i="1"/>
  <c r="A10450" i="1"/>
  <c r="A10449" i="1"/>
  <c r="A10448" i="1"/>
  <c r="A10447" i="1"/>
  <c r="A10443" i="1"/>
  <c r="A10442" i="1"/>
  <c r="A10438" i="1"/>
  <c r="A10437" i="1"/>
  <c r="A10436" i="1"/>
  <c r="A10435" i="1"/>
  <c r="A10428" i="1"/>
  <c r="A10427" i="1"/>
  <c r="A10423" i="1"/>
  <c r="A10422" i="1"/>
  <c r="A10421" i="1"/>
  <c r="A10420" i="1"/>
  <c r="A10415" i="1"/>
  <c r="A10414" i="1"/>
  <c r="A10410" i="1"/>
  <c r="A10409" i="1"/>
  <c r="A10408" i="1"/>
  <c r="A10407" i="1"/>
  <c r="A10404" i="1"/>
  <c r="A10403" i="1"/>
  <c r="A10399" i="1"/>
  <c r="A10398" i="1"/>
  <c r="A10397" i="1"/>
  <c r="A10396" i="1"/>
  <c r="A10393" i="1"/>
  <c r="A10392" i="1"/>
  <c r="A10388" i="1"/>
  <c r="A10387" i="1"/>
  <c r="A10386" i="1"/>
  <c r="A10385" i="1"/>
  <c r="A10379" i="1"/>
  <c r="A10378" i="1"/>
  <c r="A10374" i="1"/>
  <c r="A10373" i="1"/>
  <c r="A10372" i="1"/>
  <c r="A10371" i="1"/>
  <c r="A10363" i="1"/>
  <c r="A10362" i="1"/>
  <c r="A10358" i="1"/>
  <c r="A10357" i="1"/>
  <c r="A10356" i="1"/>
  <c r="A10355" i="1"/>
  <c r="A10350" i="1"/>
  <c r="A10349" i="1"/>
  <c r="A10345" i="1"/>
  <c r="A10344" i="1"/>
  <c r="A10343" i="1"/>
  <c r="A10342" i="1"/>
  <c r="A10339" i="1"/>
  <c r="A10338" i="1"/>
  <c r="A10334" i="1"/>
  <c r="A10333" i="1"/>
  <c r="A10332" i="1"/>
  <c r="A10331" i="1"/>
  <c r="A10323" i="1"/>
  <c r="A10322" i="1"/>
  <c r="A10318" i="1"/>
  <c r="A10317" i="1"/>
  <c r="A10316" i="1"/>
  <c r="A10315" i="1"/>
  <c r="A10307" i="1"/>
  <c r="A10306" i="1"/>
  <c r="A10302" i="1"/>
  <c r="A10301" i="1"/>
  <c r="A10300" i="1"/>
  <c r="A10299" i="1"/>
  <c r="A10291" i="1"/>
  <c r="A10290" i="1"/>
  <c r="A10286" i="1"/>
  <c r="A10285" i="1"/>
  <c r="A10284" i="1"/>
  <c r="A10283" i="1"/>
  <c r="A10275" i="1"/>
  <c r="A10274" i="1"/>
  <c r="A10270" i="1"/>
  <c r="A10269" i="1"/>
  <c r="A10268" i="1"/>
  <c r="A10267" i="1"/>
  <c r="A10264" i="1"/>
  <c r="A10263" i="1"/>
  <c r="A10259" i="1"/>
  <c r="A10258" i="1"/>
  <c r="A10257" i="1"/>
  <c r="A10256" i="1"/>
  <c r="A10253" i="1"/>
  <c r="A10252" i="1"/>
  <c r="A10248" i="1"/>
  <c r="A10247" i="1"/>
  <c r="A10246" i="1"/>
  <c r="A10245" i="1"/>
  <c r="A10238" i="1"/>
  <c r="A10237" i="1"/>
  <c r="A10233" i="1"/>
  <c r="A10232" i="1"/>
  <c r="A10231" i="1"/>
  <c r="A10230" i="1"/>
  <c r="A10226" i="1"/>
  <c r="A10225" i="1"/>
  <c r="A10221" i="1"/>
  <c r="A10220" i="1"/>
  <c r="A10219" i="1"/>
  <c r="A10218" i="1"/>
  <c r="A10214" i="1"/>
  <c r="A10213" i="1"/>
  <c r="A10209" i="1"/>
  <c r="A10208" i="1"/>
  <c r="A10207" i="1"/>
  <c r="A10206" i="1"/>
  <c r="A10202" i="1"/>
  <c r="A10201" i="1"/>
  <c r="A10197" i="1"/>
  <c r="A10196" i="1"/>
  <c r="A10195" i="1"/>
  <c r="A10194" i="1"/>
  <c r="A10190" i="1"/>
  <c r="A10189" i="1"/>
  <c r="A10185" i="1"/>
  <c r="A10184" i="1"/>
  <c r="A10183" i="1"/>
  <c r="A10182" i="1"/>
  <c r="A10178" i="1"/>
  <c r="A10177" i="1"/>
  <c r="A10173" i="1"/>
  <c r="A10172" i="1"/>
  <c r="A10171" i="1"/>
  <c r="A10170" i="1"/>
  <c r="A10166" i="1"/>
  <c r="A10165" i="1"/>
  <c r="A10161" i="1"/>
  <c r="A10160" i="1"/>
  <c r="A10159" i="1"/>
  <c r="A10158" i="1"/>
  <c r="A10155" i="1"/>
  <c r="A10154" i="1"/>
  <c r="A10150" i="1"/>
  <c r="A10149" i="1"/>
  <c r="A10148" i="1"/>
  <c r="A10147" i="1"/>
  <c r="A10142" i="1"/>
  <c r="A10141" i="1"/>
  <c r="A10137" i="1"/>
  <c r="A10136" i="1"/>
  <c r="A10135" i="1"/>
  <c r="A10134" i="1"/>
  <c r="A10129" i="1"/>
  <c r="A10128" i="1"/>
  <c r="A10124" i="1"/>
  <c r="A10123" i="1"/>
  <c r="A10122" i="1"/>
  <c r="A10121" i="1"/>
  <c r="A10117" i="1"/>
  <c r="A10116" i="1"/>
  <c r="A10112" i="1"/>
  <c r="A10111" i="1"/>
  <c r="A10110" i="1"/>
  <c r="A10109" i="1"/>
  <c r="A10103" i="1"/>
  <c r="A10102" i="1"/>
  <c r="A10098" i="1"/>
  <c r="A10097" i="1"/>
  <c r="A10096" i="1"/>
  <c r="A10095" i="1"/>
  <c r="A10088" i="1"/>
  <c r="A10087" i="1"/>
  <c r="A10083" i="1"/>
  <c r="A10082" i="1"/>
  <c r="A10081" i="1"/>
  <c r="A10080" i="1"/>
  <c r="A10077" i="1"/>
  <c r="A10073" i="1"/>
  <c r="A10072" i="1"/>
  <c r="A10071" i="1"/>
  <c r="A10070" i="1"/>
  <c r="A10067" i="1"/>
  <c r="A10063" i="1"/>
  <c r="A10062" i="1"/>
  <c r="A10061" i="1"/>
  <c r="A10060" i="1"/>
  <c r="A10057" i="1"/>
  <c r="A10053" i="1"/>
  <c r="A10052" i="1"/>
  <c r="A10051" i="1"/>
  <c r="A10050" i="1"/>
  <c r="A10045" i="1"/>
  <c r="A10044" i="1"/>
  <c r="A10040" i="1"/>
  <c r="A10039" i="1"/>
  <c r="A10038" i="1"/>
  <c r="A10037" i="1"/>
  <c r="A10029" i="1"/>
  <c r="A10028" i="1"/>
  <c r="A10024" i="1"/>
  <c r="A10023" i="1"/>
  <c r="A10022" i="1"/>
  <c r="A10021" i="1"/>
  <c r="A10013" i="1"/>
  <c r="A10012" i="1"/>
  <c r="A10008" i="1"/>
  <c r="A10007" i="1"/>
  <c r="A10006" i="1"/>
  <c r="A10005" i="1"/>
  <c r="A10000" i="1"/>
  <c r="A9999" i="1"/>
  <c r="A9995" i="1"/>
  <c r="A9994" i="1"/>
  <c r="A9993" i="1"/>
  <c r="A9992" i="1"/>
  <c r="A9984" i="1"/>
  <c r="A9983" i="1"/>
  <c r="A9979" i="1"/>
  <c r="A9978" i="1"/>
  <c r="A9977" i="1"/>
  <c r="A9976" i="1"/>
  <c r="A9968" i="1"/>
  <c r="A9967" i="1"/>
  <c r="A9963" i="1"/>
  <c r="A9962" i="1"/>
  <c r="A9961" i="1"/>
  <c r="A9960" i="1"/>
  <c r="A9955" i="1"/>
  <c r="A9954" i="1"/>
  <c r="A9950" i="1"/>
  <c r="A9949" i="1"/>
  <c r="A9948" i="1"/>
  <c r="A9947" i="1"/>
  <c r="A9942" i="1"/>
  <c r="A9941" i="1"/>
  <c r="A9937" i="1"/>
  <c r="A9936" i="1"/>
  <c r="A9935" i="1"/>
  <c r="A9934" i="1"/>
  <c r="A9931" i="1"/>
  <c r="A9930" i="1"/>
  <c r="A9926" i="1"/>
  <c r="A9925" i="1"/>
  <c r="A9924" i="1"/>
  <c r="A9923" i="1"/>
  <c r="A9917" i="1"/>
  <c r="A9916" i="1"/>
  <c r="A9912" i="1"/>
  <c r="A9911" i="1"/>
  <c r="A9910" i="1"/>
  <c r="A9909" i="1"/>
  <c r="A9906" i="1"/>
  <c r="A9905" i="1"/>
  <c r="A9901" i="1"/>
  <c r="A9900" i="1"/>
  <c r="A9899" i="1"/>
  <c r="A9898" i="1"/>
  <c r="A9891" i="1"/>
  <c r="A9890" i="1"/>
  <c r="A9886" i="1"/>
  <c r="A9885" i="1"/>
  <c r="A9884" i="1"/>
  <c r="A9883" i="1"/>
  <c r="A9877" i="1"/>
  <c r="A9876" i="1"/>
  <c r="A9872" i="1"/>
  <c r="A9871" i="1"/>
  <c r="A9870" i="1"/>
  <c r="A9869" i="1"/>
  <c r="A9863" i="1"/>
  <c r="A9862" i="1"/>
  <c r="A9858" i="1"/>
  <c r="A9857" i="1"/>
  <c r="A9856" i="1"/>
  <c r="A9855" i="1"/>
  <c r="A9849" i="1"/>
  <c r="A9848" i="1"/>
  <c r="A9844" i="1"/>
  <c r="A9843" i="1"/>
  <c r="A9842" i="1"/>
  <c r="A9841" i="1"/>
  <c r="A9835" i="1"/>
  <c r="A9834" i="1"/>
  <c r="A9830" i="1"/>
  <c r="A9829" i="1"/>
  <c r="A9828" i="1"/>
  <c r="A9827" i="1"/>
  <c r="A9821" i="1"/>
  <c r="A9820" i="1"/>
  <c r="A9816" i="1"/>
  <c r="A9815" i="1"/>
  <c r="A9814" i="1"/>
  <c r="A9813" i="1"/>
  <c r="A9806" i="1"/>
  <c r="A9805" i="1"/>
  <c r="A9801" i="1"/>
  <c r="A9800" i="1"/>
  <c r="A9799" i="1"/>
  <c r="A9798" i="1"/>
  <c r="A9789" i="1"/>
  <c r="A9788" i="1"/>
  <c r="A9784" i="1"/>
  <c r="A9783" i="1"/>
  <c r="A9782" i="1"/>
  <c r="A9781" i="1"/>
  <c r="A9772" i="1"/>
  <c r="A9771" i="1"/>
  <c r="A9767" i="1"/>
  <c r="A9766" i="1"/>
  <c r="A9765" i="1"/>
  <c r="A9764" i="1"/>
  <c r="A9761" i="1"/>
  <c r="A9760" i="1"/>
  <c r="A9756" i="1"/>
  <c r="A9755" i="1"/>
  <c r="A9754" i="1"/>
  <c r="A9753" i="1"/>
  <c r="A9748" i="1"/>
  <c r="A9747" i="1"/>
  <c r="A9743" i="1"/>
  <c r="A9742" i="1"/>
  <c r="A9741" i="1"/>
  <c r="A9740" i="1"/>
  <c r="A9735" i="1"/>
  <c r="A9734" i="1"/>
  <c r="A9730" i="1"/>
  <c r="A9729" i="1"/>
  <c r="A9728" i="1"/>
  <c r="A9727" i="1"/>
  <c r="A9722" i="1"/>
  <c r="A9721" i="1"/>
  <c r="A9717" i="1"/>
  <c r="A9716" i="1"/>
  <c r="A9715" i="1"/>
  <c r="A9714" i="1"/>
  <c r="A9709" i="1"/>
  <c r="A9708" i="1"/>
  <c r="A9704" i="1"/>
  <c r="A9703" i="1"/>
  <c r="A9702" i="1"/>
  <c r="A9701" i="1"/>
  <c r="A9694" i="1"/>
  <c r="A9693" i="1"/>
  <c r="A9689" i="1"/>
  <c r="A9688" i="1"/>
  <c r="A9687" i="1"/>
  <c r="A9686" i="1"/>
  <c r="A9679" i="1"/>
  <c r="A9678" i="1"/>
  <c r="A9674" i="1"/>
  <c r="A9673" i="1"/>
  <c r="A9672" i="1"/>
  <c r="A9671" i="1"/>
  <c r="A9664" i="1"/>
  <c r="A9663" i="1"/>
  <c r="A9659" i="1"/>
  <c r="A9658" i="1"/>
  <c r="A9657" i="1"/>
  <c r="A9656" i="1"/>
  <c r="A9649" i="1"/>
  <c r="A9648" i="1"/>
  <c r="A9644" i="1"/>
  <c r="A9643" i="1"/>
  <c r="A9642" i="1"/>
  <c r="A9641" i="1"/>
  <c r="A9634" i="1"/>
  <c r="A9633" i="1"/>
  <c r="A9629" i="1"/>
  <c r="A9628" i="1"/>
  <c r="A9627" i="1"/>
  <c r="A9626" i="1"/>
  <c r="A9619" i="1"/>
  <c r="A9618" i="1"/>
  <c r="A9614" i="1"/>
  <c r="A9613" i="1"/>
  <c r="A9612" i="1"/>
  <c r="A9611" i="1"/>
  <c r="A9604" i="1"/>
  <c r="A9603" i="1"/>
  <c r="A9599" i="1"/>
  <c r="A9598" i="1"/>
  <c r="A9597" i="1"/>
  <c r="A9596" i="1"/>
  <c r="A9591" i="1"/>
  <c r="A9590" i="1"/>
  <c r="A9586" i="1"/>
  <c r="A9585" i="1"/>
  <c r="A9584" i="1"/>
  <c r="A9583" i="1"/>
  <c r="A9576" i="1"/>
  <c r="A9575" i="1"/>
  <c r="A9571" i="1"/>
  <c r="A9570" i="1"/>
  <c r="A9569" i="1"/>
  <c r="A9568" i="1"/>
  <c r="A9565" i="1"/>
  <c r="A9564" i="1"/>
  <c r="A9560" i="1"/>
  <c r="A9559" i="1"/>
  <c r="A9558" i="1"/>
  <c r="A9557" i="1"/>
  <c r="A9554" i="1"/>
  <c r="A9553" i="1"/>
  <c r="A9549" i="1"/>
  <c r="A9548" i="1"/>
  <c r="A9547" i="1"/>
  <c r="A9546" i="1"/>
  <c r="A9543" i="1"/>
  <c r="A9542" i="1"/>
  <c r="A9538" i="1"/>
  <c r="A9537" i="1"/>
  <c r="A9536" i="1"/>
  <c r="A9535" i="1"/>
  <c r="A9527" i="1"/>
  <c r="A9526" i="1"/>
  <c r="A9522" i="1"/>
  <c r="A9521" i="1"/>
  <c r="A9520" i="1"/>
  <c r="A9519" i="1"/>
  <c r="A9514" i="1"/>
  <c r="A9513" i="1"/>
  <c r="A9509" i="1"/>
  <c r="A9508" i="1"/>
  <c r="A9507" i="1"/>
  <c r="A9506" i="1"/>
  <c r="A9500" i="1"/>
  <c r="A9499" i="1"/>
  <c r="A9495" i="1"/>
  <c r="A9494" i="1"/>
  <c r="A9493" i="1"/>
  <c r="A9492" i="1"/>
  <c r="A9486" i="1"/>
  <c r="A9485" i="1"/>
  <c r="A9481" i="1"/>
  <c r="A9480" i="1"/>
  <c r="A9479" i="1"/>
  <c r="A9478" i="1"/>
  <c r="A9472" i="1"/>
  <c r="A9471" i="1"/>
  <c r="A9467" i="1"/>
  <c r="A9466" i="1"/>
  <c r="A9465" i="1"/>
  <c r="A9464" i="1"/>
  <c r="A9458" i="1"/>
  <c r="A9457" i="1"/>
  <c r="A9453" i="1"/>
  <c r="A9452" i="1"/>
  <c r="A9451" i="1"/>
  <c r="A9450" i="1"/>
  <c r="A9444" i="1"/>
  <c r="A9443" i="1"/>
  <c r="A9439" i="1"/>
  <c r="A9438" i="1"/>
  <c r="A9437" i="1"/>
  <c r="A9436" i="1"/>
  <c r="A9430" i="1"/>
  <c r="A9429" i="1"/>
  <c r="A9425" i="1"/>
  <c r="A9424" i="1"/>
  <c r="A9423" i="1"/>
  <c r="A9422" i="1"/>
  <c r="A9416" i="1"/>
  <c r="A9415" i="1"/>
  <c r="A9411" i="1"/>
  <c r="A9410" i="1"/>
  <c r="A9409" i="1"/>
  <c r="A9408" i="1"/>
  <c r="A9402" i="1"/>
  <c r="A9401" i="1"/>
  <c r="A9397" i="1"/>
  <c r="A9396" i="1"/>
  <c r="A9395" i="1"/>
  <c r="A9394" i="1"/>
  <c r="A9389" i="1"/>
  <c r="A9388" i="1"/>
  <c r="A9384" i="1"/>
  <c r="A9383" i="1"/>
  <c r="A9382" i="1"/>
  <c r="A9381" i="1"/>
  <c r="A9376" i="1"/>
  <c r="A9375" i="1"/>
  <c r="A9371" i="1"/>
  <c r="A9370" i="1"/>
  <c r="A9369" i="1"/>
  <c r="A9368" i="1"/>
  <c r="A9363" i="1"/>
  <c r="A9362" i="1"/>
  <c r="A9358" i="1"/>
  <c r="A9357" i="1"/>
  <c r="A9356" i="1"/>
  <c r="A9355" i="1"/>
  <c r="A9350" i="1"/>
  <c r="A9349" i="1"/>
  <c r="A9345" i="1"/>
  <c r="A9344" i="1"/>
  <c r="A9343" i="1"/>
  <c r="A9342" i="1"/>
  <c r="A9337" i="1"/>
  <c r="A9336" i="1"/>
  <c r="A9332" i="1"/>
  <c r="A9331" i="1"/>
  <c r="A9330" i="1"/>
  <c r="A9329" i="1"/>
  <c r="A9325" i="1"/>
  <c r="A9324" i="1"/>
  <c r="A9320" i="1"/>
  <c r="A9319" i="1"/>
  <c r="A9318" i="1"/>
  <c r="A9317" i="1"/>
  <c r="A9310" i="1"/>
  <c r="A9309" i="1"/>
  <c r="A9305" i="1"/>
  <c r="A9304" i="1"/>
  <c r="A9303" i="1"/>
  <c r="A9302" i="1"/>
  <c r="A9298" i="1"/>
  <c r="A9297" i="1"/>
  <c r="A9293" i="1"/>
  <c r="A9292" i="1"/>
  <c r="A9291" i="1"/>
  <c r="A9290" i="1"/>
  <c r="A9283" i="1"/>
  <c r="A9282" i="1"/>
  <c r="A9278" i="1"/>
  <c r="A9277" i="1"/>
  <c r="A9276" i="1"/>
  <c r="A9275" i="1"/>
  <c r="A9268" i="1"/>
  <c r="A9267" i="1"/>
  <c r="A9263" i="1"/>
  <c r="A9262" i="1"/>
  <c r="A9261" i="1"/>
  <c r="A9260" i="1"/>
  <c r="A9256" i="1"/>
  <c r="A9255" i="1"/>
  <c r="A9251" i="1"/>
  <c r="A9250" i="1"/>
  <c r="A9249" i="1"/>
  <c r="A9248" i="1"/>
  <c r="A9242" i="1"/>
  <c r="A9241" i="1"/>
  <c r="A9237" i="1"/>
  <c r="A9236" i="1"/>
  <c r="A9235" i="1"/>
  <c r="A9234" i="1"/>
  <c r="A9229" i="1"/>
  <c r="A9228" i="1"/>
  <c r="A9224" i="1"/>
  <c r="A9223" i="1"/>
  <c r="A9222" i="1"/>
  <c r="A9221" i="1"/>
  <c r="A9216" i="1"/>
  <c r="A9215" i="1"/>
  <c r="A9211" i="1"/>
  <c r="A9210" i="1"/>
  <c r="A9209" i="1"/>
  <c r="A9208" i="1"/>
  <c r="A9199" i="1"/>
  <c r="A9198" i="1"/>
  <c r="A9194" i="1"/>
  <c r="A9193" i="1"/>
  <c r="A9192" i="1"/>
  <c r="A9191" i="1"/>
  <c r="A9185" i="1"/>
  <c r="A9184" i="1"/>
  <c r="A9180" i="1"/>
  <c r="A9179" i="1"/>
  <c r="A9178" i="1"/>
  <c r="A9177" i="1"/>
  <c r="A9172" i="1"/>
  <c r="A9171" i="1"/>
  <c r="A9167" i="1"/>
  <c r="A9166" i="1"/>
  <c r="A9165" i="1"/>
  <c r="A9164" i="1"/>
  <c r="A9160" i="1"/>
  <c r="A9159" i="1"/>
  <c r="A9155" i="1"/>
  <c r="A9154" i="1"/>
  <c r="A9153" i="1"/>
  <c r="A9152" i="1"/>
  <c r="A9148" i="1"/>
  <c r="A9147" i="1"/>
  <c r="A9143" i="1"/>
  <c r="A9142" i="1"/>
  <c r="A9141" i="1"/>
  <c r="A9140" i="1"/>
  <c r="A9136" i="1"/>
  <c r="A9135" i="1"/>
  <c r="A9131" i="1"/>
  <c r="A9130" i="1"/>
  <c r="A9129" i="1"/>
  <c r="A9128" i="1"/>
  <c r="A9124" i="1"/>
  <c r="A9123" i="1"/>
  <c r="A9119" i="1"/>
  <c r="A9118" i="1"/>
  <c r="A9117" i="1"/>
  <c r="A9116" i="1"/>
  <c r="A9112" i="1"/>
  <c r="A9111" i="1"/>
  <c r="A9107" i="1"/>
  <c r="A9106" i="1"/>
  <c r="A9105" i="1"/>
  <c r="A9104" i="1"/>
  <c r="A9100" i="1"/>
  <c r="A9099" i="1"/>
  <c r="A9095" i="1"/>
  <c r="A9094" i="1"/>
  <c r="A9093" i="1"/>
  <c r="A9092" i="1"/>
  <c r="A9088" i="1"/>
  <c r="A9087" i="1"/>
  <c r="A9083" i="1"/>
  <c r="A9082" i="1"/>
  <c r="A9081" i="1"/>
  <c r="A9080" i="1"/>
  <c r="A9076" i="1"/>
  <c r="A9075" i="1"/>
  <c r="A9071" i="1"/>
  <c r="A9070" i="1"/>
  <c r="A9069" i="1"/>
  <c r="A9068" i="1"/>
  <c r="A9064" i="1"/>
  <c r="A9063" i="1"/>
  <c r="A9059" i="1"/>
  <c r="A9058" i="1"/>
  <c r="A9057" i="1"/>
  <c r="A9056" i="1"/>
  <c r="A9049" i="1"/>
  <c r="A9048" i="1"/>
  <c r="A9044" i="1"/>
  <c r="A9043" i="1"/>
  <c r="A9042" i="1"/>
  <c r="A9041" i="1"/>
  <c r="A9036" i="1"/>
  <c r="A9035" i="1"/>
  <c r="A9031" i="1"/>
  <c r="A9030" i="1"/>
  <c r="A9029" i="1"/>
  <c r="A9028" i="1"/>
  <c r="A9024" i="1"/>
  <c r="A9023" i="1"/>
  <c r="A9019" i="1"/>
  <c r="A9018" i="1"/>
  <c r="A9017" i="1"/>
  <c r="A9016" i="1"/>
  <c r="A9012" i="1"/>
  <c r="A9011" i="1"/>
  <c r="A9007" i="1"/>
  <c r="A9006" i="1"/>
  <c r="A9005" i="1"/>
  <c r="A9004" i="1"/>
  <c r="A9000" i="1"/>
  <c r="A8999" i="1"/>
  <c r="A8995" i="1"/>
  <c r="A8994" i="1"/>
  <c r="A8993" i="1"/>
  <c r="A8992" i="1"/>
  <c r="A8988" i="1"/>
  <c r="A8987" i="1"/>
  <c r="A8983" i="1"/>
  <c r="A8982" i="1"/>
  <c r="A8981" i="1"/>
  <c r="A8980" i="1"/>
  <c r="A8976" i="1"/>
  <c r="A8975" i="1"/>
  <c r="A8971" i="1"/>
  <c r="A8970" i="1"/>
  <c r="A8969" i="1"/>
  <c r="A8968" i="1"/>
  <c r="A8964" i="1"/>
  <c r="A8963" i="1"/>
  <c r="A8959" i="1"/>
  <c r="A8958" i="1"/>
  <c r="A8957" i="1"/>
  <c r="A8956" i="1"/>
  <c r="A8952" i="1"/>
  <c r="A8951" i="1"/>
  <c r="A8947" i="1"/>
  <c r="A8946" i="1"/>
  <c r="A8945" i="1"/>
  <c r="A8944" i="1"/>
  <c r="A8940" i="1"/>
  <c r="A8939" i="1"/>
  <c r="A8935" i="1"/>
  <c r="A8934" i="1"/>
  <c r="A8933" i="1"/>
  <c r="A8932" i="1"/>
  <c r="A8923" i="1"/>
  <c r="A8922" i="1"/>
  <c r="A8918" i="1"/>
  <c r="A8917" i="1"/>
  <c r="A8916" i="1"/>
  <c r="A8915" i="1"/>
  <c r="A8910" i="1"/>
  <c r="A8909" i="1"/>
  <c r="A8905" i="1"/>
  <c r="A8904" i="1"/>
  <c r="A8903" i="1"/>
  <c r="A8902" i="1"/>
  <c r="A8895" i="1"/>
  <c r="A8894" i="1"/>
  <c r="A8890" i="1"/>
  <c r="A8889" i="1"/>
  <c r="A8888" i="1"/>
  <c r="A8887" i="1"/>
  <c r="A8880" i="1"/>
  <c r="A8879" i="1"/>
  <c r="A8875" i="1"/>
  <c r="A8874" i="1"/>
  <c r="A8873" i="1"/>
  <c r="A8872" i="1"/>
  <c r="A8865" i="1"/>
  <c r="A8864" i="1"/>
  <c r="A8860" i="1"/>
  <c r="A8859" i="1"/>
  <c r="A8858" i="1"/>
  <c r="A8857" i="1"/>
  <c r="A8851" i="1"/>
  <c r="A8850" i="1"/>
  <c r="A8846" i="1"/>
  <c r="A8845" i="1"/>
  <c r="A8844" i="1"/>
  <c r="A8843" i="1"/>
  <c r="A8837" i="1"/>
  <c r="A8836" i="1"/>
  <c r="A8832" i="1"/>
  <c r="A8831" i="1"/>
  <c r="A8830" i="1"/>
  <c r="A8829" i="1"/>
  <c r="A8825" i="1"/>
  <c r="A8824" i="1"/>
  <c r="A8820" i="1"/>
  <c r="A8819" i="1"/>
  <c r="A8818" i="1"/>
  <c r="A8817" i="1"/>
  <c r="A8811" i="1"/>
  <c r="A8810" i="1"/>
  <c r="A8806" i="1"/>
  <c r="A8805" i="1"/>
  <c r="A8804" i="1"/>
  <c r="A8803" i="1"/>
  <c r="A8798" i="1"/>
  <c r="A8797" i="1"/>
  <c r="A8793" i="1"/>
  <c r="A8792" i="1"/>
  <c r="A8791" i="1"/>
  <c r="A8790" i="1"/>
  <c r="A8784" i="1"/>
  <c r="A8783" i="1"/>
  <c r="A8779" i="1"/>
  <c r="A8778" i="1"/>
  <c r="A8777" i="1"/>
  <c r="A8776" i="1"/>
  <c r="A8770" i="1"/>
  <c r="A8769" i="1"/>
  <c r="A8765" i="1"/>
  <c r="A8764" i="1"/>
  <c r="A8763" i="1"/>
  <c r="A8762" i="1"/>
  <c r="A8756" i="1"/>
  <c r="A8755" i="1"/>
  <c r="A8751" i="1"/>
  <c r="A8750" i="1"/>
  <c r="A8749" i="1"/>
  <c r="A8748" i="1"/>
  <c r="A8742" i="1"/>
  <c r="A8741" i="1"/>
  <c r="A8737" i="1"/>
  <c r="A8736" i="1"/>
  <c r="A8735" i="1"/>
  <c r="A8734" i="1"/>
  <c r="A8725" i="1"/>
  <c r="A8724" i="1"/>
  <c r="A8720" i="1"/>
  <c r="A8719" i="1"/>
  <c r="A8718" i="1"/>
  <c r="A8717" i="1"/>
  <c r="A8712" i="1"/>
  <c r="A8711" i="1"/>
  <c r="A8707" i="1"/>
  <c r="A8706" i="1"/>
  <c r="A8705" i="1"/>
  <c r="A8704" i="1"/>
  <c r="A8698" i="1"/>
  <c r="A8697" i="1"/>
  <c r="A8693" i="1"/>
  <c r="A8692" i="1"/>
  <c r="A8691" i="1"/>
  <c r="A8690" i="1"/>
  <c r="A8684" i="1"/>
  <c r="A8683" i="1"/>
  <c r="A8679" i="1"/>
  <c r="A8678" i="1"/>
  <c r="A8677" i="1"/>
  <c r="A8676" i="1"/>
  <c r="A8670" i="1"/>
  <c r="A8669" i="1"/>
  <c r="A8665" i="1"/>
  <c r="A8664" i="1"/>
  <c r="A8663" i="1"/>
  <c r="A8662" i="1"/>
  <c r="A8655" i="1"/>
  <c r="A8654" i="1"/>
  <c r="A8650" i="1"/>
  <c r="A8649" i="1"/>
  <c r="A8648" i="1"/>
  <c r="A8647" i="1"/>
  <c r="A8637" i="1"/>
  <c r="A8636" i="1"/>
  <c r="A8632" i="1"/>
  <c r="A8631" i="1"/>
  <c r="A8630" i="1"/>
  <c r="A8629" i="1"/>
  <c r="A8625" i="1"/>
  <c r="A8624" i="1"/>
  <c r="A8620" i="1"/>
  <c r="A8619" i="1"/>
  <c r="A8618" i="1"/>
  <c r="A8617" i="1"/>
  <c r="A8608" i="1"/>
  <c r="A8607" i="1"/>
  <c r="A8603" i="1"/>
  <c r="A8602" i="1"/>
  <c r="A8601" i="1"/>
  <c r="A8600" i="1"/>
  <c r="A8595" i="1"/>
  <c r="A8594" i="1"/>
  <c r="A8590" i="1"/>
  <c r="A8589" i="1"/>
  <c r="A8588" i="1"/>
  <c r="A8587" i="1"/>
  <c r="A8582" i="1"/>
  <c r="A8581" i="1"/>
  <c r="A8577" i="1"/>
  <c r="A8576" i="1"/>
  <c r="A8575" i="1"/>
  <c r="A8574" i="1"/>
  <c r="A8569" i="1"/>
  <c r="A8568" i="1"/>
  <c r="A8564" i="1"/>
  <c r="A8563" i="1"/>
  <c r="A8562" i="1"/>
  <c r="A8561" i="1"/>
  <c r="A8556" i="1"/>
  <c r="A8555" i="1"/>
  <c r="A8551" i="1"/>
  <c r="A8550" i="1"/>
  <c r="A8549" i="1"/>
  <c r="A8548" i="1"/>
  <c r="A8543" i="1"/>
  <c r="A8542" i="1"/>
  <c r="A8538" i="1"/>
  <c r="A8537" i="1"/>
  <c r="A8536" i="1"/>
  <c r="A8535" i="1"/>
  <c r="A8530" i="1"/>
  <c r="A8529" i="1"/>
  <c r="A8525" i="1"/>
  <c r="A8524" i="1"/>
  <c r="A8523" i="1"/>
  <c r="A8522" i="1"/>
  <c r="A8516" i="1"/>
  <c r="A8515" i="1"/>
  <c r="A8511" i="1"/>
  <c r="A8510" i="1"/>
  <c r="A8509" i="1"/>
  <c r="A8508" i="1"/>
  <c r="A8501" i="1"/>
  <c r="A8500" i="1"/>
  <c r="A8496" i="1"/>
  <c r="A8495" i="1"/>
  <c r="A8494" i="1"/>
  <c r="A8493" i="1"/>
  <c r="A8487" i="1"/>
  <c r="A8486" i="1"/>
  <c r="A8482" i="1"/>
  <c r="A8481" i="1"/>
  <c r="A8480" i="1"/>
  <c r="A8479" i="1"/>
  <c r="A8473" i="1"/>
  <c r="A8472" i="1"/>
  <c r="A8468" i="1"/>
  <c r="A8467" i="1"/>
  <c r="A8466" i="1"/>
  <c r="A8465" i="1"/>
  <c r="A8462" i="1"/>
  <c r="A8461" i="1"/>
  <c r="A8457" i="1"/>
  <c r="A8456" i="1"/>
  <c r="A8455" i="1"/>
  <c r="A8454" i="1"/>
  <c r="A8450" i="1"/>
  <c r="A8449" i="1"/>
  <c r="A8445" i="1"/>
  <c r="A8444" i="1"/>
  <c r="A8443" i="1"/>
  <c r="A8442" i="1"/>
  <c r="A8438" i="1"/>
  <c r="A8437" i="1"/>
  <c r="A8433" i="1"/>
  <c r="A8432" i="1"/>
  <c r="A8431" i="1"/>
  <c r="A8430" i="1"/>
  <c r="A8425" i="1"/>
  <c r="A8424" i="1"/>
  <c r="A8420" i="1"/>
  <c r="A8419" i="1"/>
  <c r="A8418" i="1"/>
  <c r="A8417" i="1"/>
  <c r="A8412" i="1"/>
  <c r="A8411" i="1"/>
  <c r="A8407" i="1"/>
  <c r="A8406" i="1"/>
  <c r="A8405" i="1"/>
  <c r="A8404" i="1"/>
  <c r="A8396" i="1"/>
  <c r="A8395" i="1"/>
  <c r="A8391" i="1"/>
  <c r="A8390" i="1"/>
  <c r="A8389" i="1"/>
  <c r="A8388" i="1"/>
  <c r="A8382" i="1"/>
  <c r="A8381" i="1"/>
  <c r="A8377" i="1"/>
  <c r="A8376" i="1"/>
  <c r="A8375" i="1"/>
  <c r="A8374" i="1"/>
  <c r="A8368" i="1"/>
  <c r="A8367" i="1"/>
  <c r="A8363" i="1"/>
  <c r="A8362" i="1"/>
  <c r="A8361" i="1"/>
  <c r="A8360" i="1"/>
  <c r="A8354" i="1"/>
  <c r="A8353" i="1"/>
  <c r="A8349" i="1"/>
  <c r="A8348" i="1"/>
  <c r="A8347" i="1"/>
  <c r="A8346" i="1"/>
  <c r="A8342" i="1"/>
  <c r="A8341" i="1"/>
  <c r="A8337" i="1"/>
  <c r="A8336" i="1"/>
  <c r="A8335" i="1"/>
  <c r="A8334" i="1"/>
  <c r="A8330" i="1"/>
  <c r="A8329" i="1"/>
  <c r="A8325" i="1"/>
  <c r="A8324" i="1"/>
  <c r="A8323" i="1"/>
  <c r="A8322" i="1"/>
  <c r="A8316" i="1"/>
  <c r="A8315" i="1"/>
  <c r="A8311" i="1"/>
  <c r="A8310" i="1"/>
  <c r="A8309" i="1"/>
  <c r="A8308" i="1"/>
  <c r="A8302" i="1"/>
  <c r="A8301" i="1"/>
  <c r="A8297" i="1"/>
  <c r="A8296" i="1"/>
  <c r="A8295" i="1"/>
  <c r="A8294" i="1"/>
  <c r="A8288" i="1"/>
  <c r="A8287" i="1"/>
  <c r="A8283" i="1"/>
  <c r="A8282" i="1"/>
  <c r="A8281" i="1"/>
  <c r="A8280" i="1"/>
  <c r="A8274" i="1"/>
  <c r="A8273" i="1"/>
  <c r="A8269" i="1"/>
  <c r="A8268" i="1"/>
  <c r="A8267" i="1"/>
  <c r="A8266" i="1"/>
  <c r="A8260" i="1"/>
  <c r="A8259" i="1"/>
  <c r="A8255" i="1"/>
  <c r="A8254" i="1"/>
  <c r="A8253" i="1"/>
  <c r="A8252" i="1"/>
  <c r="A8244" i="1"/>
  <c r="A8243" i="1"/>
  <c r="A8239" i="1"/>
  <c r="A8238" i="1"/>
  <c r="A8237" i="1"/>
  <c r="A8236" i="1"/>
  <c r="A8233" i="1"/>
  <c r="A8232" i="1"/>
  <c r="A8228" i="1"/>
  <c r="A8227" i="1"/>
  <c r="A8226" i="1"/>
  <c r="A8225" i="1"/>
  <c r="A8222" i="1"/>
  <c r="A8221" i="1"/>
  <c r="A8217" i="1"/>
  <c r="A8216" i="1"/>
  <c r="A8215" i="1"/>
  <c r="A8214" i="1"/>
  <c r="A8210" i="1"/>
  <c r="A8209" i="1"/>
  <c r="A8205" i="1"/>
  <c r="A8204" i="1"/>
  <c r="A8203" i="1"/>
  <c r="A8202" i="1"/>
  <c r="A8198" i="1"/>
  <c r="A8197" i="1"/>
  <c r="A8193" i="1"/>
  <c r="A8192" i="1"/>
  <c r="A8191" i="1"/>
  <c r="A8190" i="1"/>
  <c r="A8186" i="1"/>
  <c r="A8185" i="1"/>
  <c r="A8181" i="1"/>
  <c r="A8180" i="1"/>
  <c r="A8179" i="1"/>
  <c r="A8178" i="1"/>
  <c r="A8174" i="1"/>
  <c r="A8173" i="1"/>
  <c r="A8169" i="1"/>
  <c r="A8168" i="1"/>
  <c r="A8167" i="1"/>
  <c r="A8166" i="1"/>
  <c r="A8162" i="1"/>
  <c r="A8161" i="1"/>
  <c r="A8157" i="1"/>
  <c r="A8156" i="1"/>
  <c r="A8155" i="1"/>
  <c r="A8154" i="1"/>
  <c r="A8150" i="1"/>
  <c r="A8149" i="1"/>
  <c r="A8145" i="1"/>
  <c r="A8144" i="1"/>
  <c r="A8143" i="1"/>
  <c r="A8142" i="1"/>
  <c r="A8138" i="1"/>
  <c r="A8137" i="1"/>
  <c r="A8133" i="1"/>
  <c r="A8132" i="1"/>
  <c r="A8131" i="1"/>
  <c r="A8130" i="1"/>
  <c r="A8127" i="1"/>
  <c r="A8126" i="1"/>
  <c r="A8122" i="1"/>
  <c r="A8121" i="1"/>
  <c r="A8120" i="1"/>
  <c r="A8119" i="1"/>
  <c r="A8116" i="1"/>
  <c r="A8115" i="1"/>
  <c r="A8111" i="1"/>
  <c r="A8110" i="1"/>
  <c r="A8109" i="1"/>
  <c r="A8108" i="1"/>
  <c r="A8101" i="1"/>
  <c r="A8100" i="1"/>
  <c r="A8096" i="1"/>
  <c r="A8095" i="1"/>
  <c r="A8094" i="1"/>
  <c r="A8093" i="1"/>
  <c r="A8086" i="1"/>
  <c r="A8085" i="1"/>
  <c r="A8081" i="1"/>
  <c r="A8080" i="1"/>
  <c r="A8079" i="1"/>
  <c r="A8078" i="1"/>
  <c r="A8074" i="1"/>
  <c r="A8073" i="1"/>
  <c r="A8069" i="1"/>
  <c r="A8068" i="1"/>
  <c r="A8067" i="1"/>
  <c r="A8066" i="1"/>
  <c r="A8062" i="1"/>
  <c r="A8061" i="1"/>
  <c r="A8057" i="1"/>
  <c r="A8056" i="1"/>
  <c r="A8055" i="1"/>
  <c r="A8054" i="1"/>
  <c r="A8050" i="1"/>
  <c r="A8049" i="1"/>
  <c r="A8045" i="1"/>
  <c r="A8044" i="1"/>
  <c r="A8043" i="1"/>
  <c r="A8042" i="1"/>
  <c r="A8038" i="1"/>
  <c r="A8037" i="1"/>
  <c r="A8033" i="1"/>
  <c r="A8032" i="1"/>
  <c r="A8031" i="1"/>
  <c r="A8030" i="1"/>
  <c r="A8026" i="1"/>
  <c r="A8025" i="1"/>
  <c r="A8021" i="1"/>
  <c r="A8020" i="1"/>
  <c r="A8019" i="1"/>
  <c r="A8018" i="1"/>
  <c r="A8014" i="1"/>
  <c r="A8013" i="1"/>
  <c r="A8009" i="1"/>
  <c r="A8008" i="1"/>
  <c r="A8007" i="1"/>
  <c r="A8006" i="1"/>
  <c r="A8003" i="1"/>
  <c r="A8002" i="1"/>
  <c r="A7998" i="1"/>
  <c r="A7997" i="1"/>
  <c r="A7996" i="1"/>
  <c r="A7995" i="1"/>
  <c r="A7992" i="1"/>
  <c r="A7991" i="1"/>
  <c r="A7987" i="1"/>
  <c r="A7986" i="1"/>
  <c r="A7985" i="1"/>
  <c r="A7984" i="1"/>
  <c r="A7981" i="1"/>
  <c r="A7980" i="1"/>
  <c r="A7976" i="1"/>
  <c r="A7975" i="1"/>
  <c r="A7974" i="1"/>
  <c r="A7973" i="1"/>
  <c r="A7970" i="1"/>
  <c r="A7969" i="1"/>
  <c r="A7965" i="1"/>
  <c r="A7964" i="1"/>
  <c r="A7963" i="1"/>
  <c r="A7962" i="1"/>
  <c r="A7959" i="1"/>
  <c r="A7958" i="1"/>
  <c r="A7954" i="1"/>
  <c r="A7953" i="1"/>
  <c r="A7952" i="1"/>
  <c r="A7951" i="1"/>
  <c r="A7948" i="1"/>
  <c r="A7947" i="1"/>
  <c r="A7943" i="1"/>
  <c r="A7942" i="1"/>
  <c r="A7941" i="1"/>
  <c r="A7940" i="1"/>
  <c r="A7937" i="1"/>
  <c r="A7936" i="1"/>
  <c r="A7932" i="1"/>
  <c r="A7931" i="1"/>
  <c r="A7930" i="1"/>
  <c r="A7929" i="1"/>
  <c r="A7926" i="1"/>
  <c r="A7925" i="1"/>
  <c r="A7921" i="1"/>
  <c r="A7920" i="1"/>
  <c r="A7919" i="1"/>
  <c r="A7918" i="1"/>
  <c r="A7915" i="1"/>
  <c r="A7914" i="1"/>
  <c r="A7910" i="1"/>
  <c r="A7909" i="1"/>
  <c r="A7908" i="1"/>
  <c r="A7907" i="1"/>
  <c r="A7904" i="1"/>
  <c r="A7903" i="1"/>
  <c r="A7899" i="1"/>
  <c r="A7898" i="1"/>
  <c r="A7897" i="1"/>
  <c r="A7896" i="1"/>
  <c r="A7893" i="1"/>
  <c r="A7892" i="1"/>
  <c r="A7888" i="1"/>
  <c r="A7887" i="1"/>
  <c r="A7886" i="1"/>
  <c r="A7885" i="1"/>
  <c r="A7879" i="1"/>
  <c r="A7878" i="1"/>
  <c r="A7874" i="1"/>
  <c r="A7873" i="1"/>
  <c r="A7872" i="1"/>
  <c r="A7871" i="1"/>
  <c r="A7868" i="1"/>
  <c r="A7867" i="1"/>
  <c r="A7863" i="1"/>
  <c r="A7862" i="1"/>
  <c r="A7861" i="1"/>
  <c r="A7860" i="1"/>
  <c r="A7857" i="1"/>
  <c r="A7856" i="1"/>
  <c r="A7852" i="1"/>
  <c r="A7851" i="1"/>
  <c r="A7850" i="1"/>
  <c r="A7849" i="1"/>
  <c r="A7846" i="1"/>
  <c r="A7845" i="1"/>
  <c r="A7841" i="1"/>
  <c r="A7840" i="1"/>
  <c r="A7839" i="1"/>
  <c r="A7838" i="1"/>
  <c r="A7835" i="1"/>
  <c r="A7834" i="1"/>
  <c r="A7830" i="1"/>
  <c r="A7829" i="1"/>
  <c r="A7828" i="1"/>
  <c r="A7827" i="1"/>
  <c r="A7824" i="1"/>
  <c r="A7823" i="1"/>
  <c r="A7819" i="1"/>
  <c r="A7818" i="1"/>
  <c r="A7817" i="1"/>
  <c r="A7816" i="1"/>
  <c r="A7813" i="1"/>
  <c r="A7812" i="1"/>
  <c r="A7808" i="1"/>
  <c r="A7807" i="1"/>
  <c r="A7806" i="1"/>
  <c r="A7805" i="1"/>
  <c r="A7802" i="1"/>
  <c r="A7801" i="1"/>
  <c r="A7797" i="1"/>
  <c r="A7796" i="1"/>
  <c r="A7795" i="1"/>
  <c r="A7794" i="1"/>
  <c r="A7791" i="1"/>
  <c r="A7790" i="1"/>
  <c r="A7786" i="1"/>
  <c r="A7785" i="1"/>
  <c r="A7784" i="1"/>
  <c r="A7783" i="1"/>
  <c r="A7780" i="1"/>
  <c r="A7779" i="1"/>
  <c r="A7775" i="1"/>
  <c r="A7774" i="1"/>
  <c r="A7773" i="1"/>
  <c r="A7772" i="1"/>
  <c r="A7769" i="1"/>
  <c r="A7768" i="1"/>
  <c r="A7764" i="1"/>
  <c r="A7763" i="1"/>
  <c r="A7762" i="1"/>
  <c r="A7761" i="1"/>
  <c r="A7758" i="1"/>
  <c r="A7757" i="1"/>
  <c r="A7753" i="1"/>
  <c r="A7752" i="1"/>
  <c r="A7751" i="1"/>
  <c r="A7750" i="1"/>
  <c r="A7747" i="1"/>
  <c r="A7746" i="1"/>
  <c r="A7742" i="1"/>
  <c r="A7741" i="1"/>
  <c r="A7740" i="1"/>
  <c r="A7739" i="1"/>
  <c r="A7736" i="1"/>
  <c r="A7735" i="1"/>
  <c r="A7731" i="1"/>
  <c r="A7730" i="1"/>
  <c r="A7729" i="1"/>
  <c r="A7728" i="1"/>
  <c r="A7725" i="1"/>
  <c r="A7724" i="1"/>
  <c r="A7720" i="1"/>
  <c r="A7719" i="1"/>
  <c r="A7718" i="1"/>
  <c r="A7717" i="1"/>
  <c r="A7714" i="1"/>
  <c r="A7713" i="1"/>
  <c r="A7709" i="1"/>
  <c r="A7708" i="1"/>
  <c r="A7707" i="1"/>
  <c r="A7706" i="1"/>
  <c r="A7703" i="1"/>
  <c r="A7702" i="1"/>
  <c r="A7698" i="1"/>
  <c r="A7697" i="1"/>
  <c r="A7696" i="1"/>
  <c r="A7695" i="1"/>
  <c r="A7692" i="1"/>
  <c r="A7691" i="1"/>
  <c r="A7687" i="1"/>
  <c r="A7686" i="1"/>
  <c r="A7685" i="1"/>
  <c r="A7684" i="1"/>
  <c r="A7681" i="1"/>
  <c r="A7680" i="1"/>
  <c r="A7676" i="1"/>
  <c r="A7675" i="1"/>
  <c r="A7674" i="1"/>
  <c r="A7673" i="1"/>
  <c r="A7670" i="1"/>
  <c r="A7669" i="1"/>
  <c r="A7665" i="1"/>
  <c r="A7664" i="1"/>
  <c r="A7663" i="1"/>
  <c r="A7662" i="1"/>
  <c r="A7659" i="1"/>
  <c r="A7658" i="1"/>
  <c r="A7654" i="1"/>
  <c r="A7653" i="1"/>
  <c r="A7652" i="1"/>
  <c r="A7651" i="1"/>
  <c r="A7648" i="1"/>
  <c r="A7647" i="1"/>
  <c r="A7643" i="1"/>
  <c r="A7642" i="1"/>
  <c r="A7641" i="1"/>
  <c r="A7640" i="1"/>
  <c r="A7637" i="1"/>
  <c r="A7636" i="1"/>
  <c r="A7632" i="1"/>
  <c r="A7631" i="1"/>
  <c r="A7630" i="1"/>
  <c r="A7629" i="1"/>
  <c r="A7626" i="1"/>
  <c r="A7625" i="1"/>
  <c r="A7621" i="1"/>
  <c r="A7620" i="1"/>
  <c r="A7619" i="1"/>
  <c r="A7618" i="1"/>
  <c r="A7615" i="1"/>
  <c r="A7614" i="1"/>
  <c r="A7610" i="1"/>
  <c r="A7609" i="1"/>
  <c r="A7608" i="1"/>
  <c r="A7607" i="1"/>
  <c r="A7604" i="1"/>
  <c r="A7603" i="1"/>
  <c r="A7599" i="1"/>
  <c r="A7598" i="1"/>
  <c r="A7597" i="1"/>
  <c r="A7596" i="1"/>
  <c r="A7592" i="1"/>
  <c r="A7591" i="1"/>
  <c r="A7587" i="1"/>
  <c r="A7586" i="1"/>
  <c r="A7585" i="1"/>
  <c r="A7584" i="1"/>
  <c r="A7579" i="1"/>
  <c r="A7578" i="1"/>
  <c r="A7574" i="1"/>
  <c r="A7573" i="1"/>
  <c r="A7572" i="1"/>
  <c r="A7571" i="1"/>
  <c r="A7568" i="1"/>
  <c r="A7564" i="1"/>
  <c r="A7563" i="1"/>
  <c r="A7562" i="1"/>
  <c r="A7561" i="1"/>
  <c r="A7557" i="1"/>
  <c r="A7553" i="1"/>
  <c r="A7552" i="1"/>
  <c r="A7551" i="1"/>
  <c r="A7550" i="1"/>
  <c r="A7546" i="1"/>
  <c r="A7545" i="1"/>
  <c r="A7541" i="1"/>
  <c r="A7540" i="1"/>
  <c r="A7539" i="1"/>
  <c r="A7538" i="1"/>
  <c r="A7535" i="1"/>
  <c r="A7534" i="1"/>
  <c r="A7530" i="1"/>
  <c r="A7529" i="1"/>
  <c r="A7528" i="1"/>
  <c r="A7527" i="1"/>
  <c r="A7523" i="1"/>
  <c r="A7522" i="1"/>
  <c r="A7518" i="1"/>
  <c r="A7517" i="1"/>
  <c r="A7516" i="1"/>
  <c r="A7515" i="1"/>
  <c r="A7511" i="1"/>
  <c r="A7510" i="1"/>
  <c r="A7506" i="1"/>
  <c r="A7505" i="1"/>
  <c r="A7504" i="1"/>
  <c r="A7503" i="1"/>
  <c r="A7497" i="1"/>
  <c r="A7496" i="1"/>
  <c r="A7492" i="1"/>
  <c r="A7491" i="1"/>
  <c r="A7490" i="1"/>
  <c r="A7489" i="1"/>
  <c r="A7482" i="1"/>
  <c r="A7481" i="1"/>
  <c r="A7477" i="1"/>
  <c r="A7476" i="1"/>
  <c r="A7475" i="1"/>
  <c r="A7474" i="1"/>
  <c r="A7470" i="1"/>
  <c r="A7469" i="1"/>
  <c r="A7465" i="1"/>
  <c r="A7464" i="1"/>
  <c r="A7463" i="1"/>
  <c r="A7462" i="1"/>
  <c r="A7457" i="1"/>
  <c r="A7456" i="1"/>
  <c r="A7452" i="1"/>
  <c r="A7451" i="1"/>
  <c r="A7450" i="1"/>
  <c r="A7449" i="1"/>
  <c r="A7444" i="1"/>
  <c r="A7443" i="1"/>
  <c r="A7439" i="1"/>
  <c r="A7438" i="1"/>
  <c r="A7437" i="1"/>
  <c r="A7436" i="1"/>
  <c r="A7431" i="1"/>
  <c r="A7430" i="1"/>
  <c r="A7426" i="1"/>
  <c r="A7425" i="1"/>
  <c r="A7424" i="1"/>
  <c r="A7423" i="1"/>
  <c r="A7418" i="1"/>
  <c r="A7417" i="1"/>
  <c r="A7413" i="1"/>
  <c r="A7412" i="1"/>
  <c r="A7411" i="1"/>
  <c r="A7410" i="1"/>
  <c r="A7405" i="1"/>
  <c r="A7404" i="1"/>
  <c r="A7400" i="1"/>
  <c r="A7399" i="1"/>
  <c r="A7398" i="1"/>
  <c r="A7397" i="1"/>
  <c r="A7392" i="1"/>
  <c r="A7391" i="1"/>
  <c r="A7387" i="1"/>
  <c r="A7386" i="1"/>
  <c r="A7385" i="1"/>
  <c r="A7384" i="1"/>
  <c r="A7379" i="1"/>
  <c r="A7378" i="1"/>
  <c r="A7374" i="1"/>
  <c r="A7373" i="1"/>
  <c r="A7372" i="1"/>
  <c r="A7371" i="1"/>
  <c r="A7366" i="1"/>
  <c r="A7365" i="1"/>
  <c r="A7361" i="1"/>
  <c r="A7360" i="1"/>
  <c r="A7359" i="1"/>
  <c r="A7358" i="1"/>
  <c r="A7353" i="1"/>
  <c r="A7352" i="1"/>
  <c r="A7348" i="1"/>
  <c r="A7347" i="1"/>
  <c r="A7346" i="1"/>
  <c r="A7345" i="1"/>
  <c r="A7340" i="1"/>
  <c r="A7339" i="1"/>
  <c r="A7335" i="1"/>
  <c r="A7334" i="1"/>
  <c r="A7333" i="1"/>
  <c r="A7332" i="1"/>
  <c r="A7327" i="1"/>
  <c r="A7326" i="1"/>
  <c r="A7322" i="1"/>
  <c r="A7321" i="1"/>
  <c r="A7320" i="1"/>
  <c r="A7319" i="1"/>
  <c r="A7314" i="1"/>
  <c r="A7313" i="1"/>
  <c r="A7309" i="1"/>
  <c r="A7308" i="1"/>
  <c r="A7307" i="1"/>
  <c r="A7306" i="1"/>
  <c r="A7301" i="1"/>
  <c r="A7300" i="1"/>
  <c r="A7296" i="1"/>
  <c r="A7295" i="1"/>
  <c r="A7294" i="1"/>
  <c r="A7293" i="1"/>
  <c r="A7287" i="1"/>
  <c r="A7286" i="1"/>
  <c r="A7282" i="1"/>
  <c r="A7281" i="1"/>
  <c r="A7280" i="1"/>
  <c r="A7279" i="1"/>
  <c r="A7273" i="1"/>
  <c r="A7272" i="1"/>
  <c r="A7268" i="1"/>
  <c r="A7267" i="1"/>
  <c r="A7266" i="1"/>
  <c r="A7265" i="1"/>
  <c r="A7259" i="1"/>
  <c r="A7258" i="1"/>
  <c r="A7254" i="1"/>
  <c r="A7253" i="1"/>
  <c r="A7252" i="1"/>
  <c r="A7251" i="1"/>
  <c r="A7245" i="1"/>
  <c r="A7244" i="1"/>
  <c r="A7240" i="1"/>
  <c r="A7239" i="1"/>
  <c r="A7238" i="1"/>
  <c r="A7237" i="1"/>
  <c r="A7231" i="1"/>
  <c r="A7230" i="1"/>
  <c r="A7226" i="1"/>
  <c r="A7225" i="1"/>
  <c r="A7224" i="1"/>
  <c r="A7223" i="1"/>
  <c r="A7214" i="1"/>
  <c r="A7213" i="1"/>
  <c r="A7209" i="1"/>
  <c r="A7208" i="1"/>
  <c r="A7207" i="1"/>
  <c r="A7206" i="1"/>
  <c r="A7197" i="1"/>
  <c r="A7196" i="1"/>
  <c r="A7192" i="1"/>
  <c r="A7191" i="1"/>
  <c r="A7190" i="1"/>
  <c r="A7189" i="1"/>
  <c r="A7180" i="1"/>
  <c r="A7179" i="1"/>
  <c r="A7175" i="1"/>
  <c r="A7174" i="1"/>
  <c r="A7173" i="1"/>
  <c r="A7172" i="1"/>
  <c r="A7163" i="1"/>
  <c r="A7162" i="1"/>
  <c r="A7158" i="1"/>
  <c r="A7157" i="1"/>
  <c r="A7156" i="1"/>
  <c r="A7155" i="1"/>
  <c r="A7146" i="1"/>
  <c r="A7145" i="1"/>
  <c r="A7141" i="1"/>
  <c r="A7140" i="1"/>
  <c r="A7139" i="1"/>
  <c r="A7138" i="1"/>
  <c r="A7129" i="1"/>
  <c r="A7128" i="1"/>
  <c r="A7124" i="1"/>
  <c r="A7123" i="1"/>
  <c r="A7122" i="1"/>
  <c r="A7121" i="1"/>
  <c r="A7114" i="1"/>
  <c r="A7113" i="1"/>
  <c r="A7109" i="1"/>
  <c r="A7108" i="1"/>
  <c r="A7107" i="1"/>
  <c r="A7106" i="1"/>
  <c r="A7097" i="1"/>
  <c r="A7096" i="1"/>
  <c r="A7092" i="1"/>
  <c r="A7091" i="1"/>
  <c r="A7090" i="1"/>
  <c r="A7089" i="1"/>
  <c r="A7086" i="1"/>
  <c r="A7085" i="1"/>
  <c r="A7081" i="1"/>
  <c r="A7080" i="1"/>
  <c r="A7079" i="1"/>
  <c r="A7078" i="1"/>
  <c r="A7075" i="1"/>
  <c r="A7071" i="1"/>
  <c r="A7070" i="1"/>
  <c r="A7069" i="1"/>
  <c r="A7068" i="1"/>
  <c r="A7065" i="1"/>
  <c r="A7064" i="1"/>
  <c r="A7060" i="1"/>
  <c r="A7059" i="1"/>
  <c r="A7058" i="1"/>
  <c r="A7057" i="1"/>
  <c r="A7052" i="1"/>
  <c r="A7051" i="1"/>
  <c r="A7047" i="1"/>
  <c r="A7046" i="1"/>
  <c r="A7045" i="1"/>
  <c r="A7044" i="1"/>
  <c r="A7036" i="1"/>
  <c r="A7035" i="1"/>
  <c r="A7031" i="1"/>
  <c r="A7030" i="1"/>
  <c r="A7029" i="1"/>
  <c r="A7028" i="1"/>
  <c r="A7023" i="1"/>
  <c r="A7022" i="1"/>
  <c r="A7018" i="1"/>
  <c r="A7017" i="1"/>
  <c r="A7016" i="1"/>
  <c r="A7015" i="1"/>
  <c r="A7008" i="1"/>
  <c r="A7007" i="1"/>
  <c r="A7003" i="1"/>
  <c r="A7002" i="1"/>
  <c r="A7001" i="1"/>
  <c r="A7000" i="1"/>
  <c r="A6993" i="1"/>
  <c r="A6992" i="1"/>
  <c r="A6988" i="1"/>
  <c r="A6987" i="1"/>
  <c r="A6986" i="1"/>
  <c r="A6985" i="1"/>
  <c r="A6979" i="1"/>
  <c r="A6978" i="1"/>
  <c r="A6974" i="1"/>
  <c r="A6973" i="1"/>
  <c r="A6972" i="1"/>
  <c r="A6971" i="1"/>
  <c r="A6965" i="1"/>
  <c r="A6964" i="1"/>
  <c r="A6960" i="1"/>
  <c r="A6959" i="1"/>
  <c r="A6958" i="1"/>
  <c r="A6957" i="1"/>
  <c r="A6951" i="1"/>
  <c r="A6950" i="1"/>
  <c r="A6946" i="1"/>
  <c r="A6945" i="1"/>
  <c r="A6944" i="1"/>
  <c r="A6943" i="1"/>
  <c r="A6939" i="1"/>
  <c r="A6938" i="1"/>
  <c r="A6934" i="1"/>
  <c r="A6933" i="1"/>
  <c r="A6932" i="1"/>
  <c r="A6931" i="1"/>
  <c r="A6924" i="1"/>
  <c r="A6923" i="1"/>
  <c r="A6919" i="1"/>
  <c r="A6918" i="1"/>
  <c r="A6917" i="1"/>
  <c r="A6916" i="1"/>
  <c r="A6909" i="1"/>
  <c r="A6908" i="1"/>
  <c r="A6904" i="1"/>
  <c r="A6903" i="1"/>
  <c r="A6902" i="1"/>
  <c r="A6901" i="1"/>
  <c r="A6895" i="1"/>
  <c r="A6894" i="1"/>
  <c r="A6890" i="1"/>
  <c r="A6889" i="1"/>
  <c r="A6888" i="1"/>
  <c r="A6887" i="1"/>
  <c r="A6881" i="1"/>
  <c r="A6880" i="1"/>
  <c r="A6876" i="1"/>
  <c r="A6875" i="1"/>
  <c r="A6874" i="1"/>
  <c r="A6873" i="1"/>
  <c r="A6867" i="1"/>
  <c r="A6866" i="1"/>
  <c r="A6862" i="1"/>
  <c r="A6861" i="1"/>
  <c r="A6860" i="1"/>
  <c r="A6859" i="1"/>
  <c r="A6856" i="1"/>
  <c r="A6855" i="1"/>
  <c r="A6851" i="1"/>
  <c r="A6850" i="1"/>
  <c r="A6849" i="1"/>
  <c r="A6848" i="1"/>
  <c r="A6843" i="1"/>
  <c r="A6842" i="1"/>
  <c r="A6838" i="1"/>
  <c r="A6837" i="1"/>
  <c r="A6836" i="1"/>
  <c r="A6835" i="1"/>
  <c r="A6830" i="1"/>
  <c r="A6829" i="1"/>
  <c r="A6825" i="1"/>
  <c r="A6824" i="1"/>
  <c r="A6823" i="1"/>
  <c r="A6822" i="1"/>
  <c r="A6817" i="1"/>
  <c r="A6816" i="1"/>
  <c r="A6812" i="1"/>
  <c r="A6811" i="1"/>
  <c r="A6810" i="1"/>
  <c r="A6809" i="1"/>
  <c r="A6803" i="1"/>
  <c r="A6802" i="1"/>
  <c r="A6798" i="1"/>
  <c r="A6797" i="1"/>
  <c r="A6796" i="1"/>
  <c r="A6795" i="1"/>
  <c r="A6788" i="1"/>
  <c r="A6787" i="1"/>
  <c r="A6783" i="1"/>
  <c r="A6782" i="1"/>
  <c r="A6781" i="1"/>
  <c r="A6780" i="1"/>
  <c r="A6775" i="1"/>
  <c r="A6774" i="1"/>
  <c r="A6770" i="1"/>
  <c r="A6769" i="1"/>
  <c r="A6768" i="1"/>
  <c r="A6767" i="1"/>
  <c r="A6762" i="1"/>
  <c r="A6761" i="1"/>
  <c r="A6757" i="1"/>
  <c r="A6756" i="1"/>
  <c r="A6755" i="1"/>
  <c r="A6754" i="1"/>
  <c r="A6749" i="1"/>
  <c r="A6748" i="1"/>
  <c r="A6744" i="1"/>
  <c r="A6743" i="1"/>
  <c r="A6742" i="1"/>
  <c r="A6741" i="1"/>
  <c r="A6736" i="1"/>
  <c r="A6735" i="1"/>
  <c r="A6731" i="1"/>
  <c r="A6730" i="1"/>
  <c r="A6729" i="1"/>
  <c r="A6728" i="1"/>
  <c r="A6723" i="1"/>
  <c r="A6722" i="1"/>
  <c r="A6718" i="1"/>
  <c r="A6717" i="1"/>
  <c r="A6716" i="1"/>
  <c r="A6715" i="1"/>
  <c r="A6710" i="1"/>
  <c r="A6709" i="1"/>
  <c r="A6705" i="1"/>
  <c r="A6704" i="1"/>
  <c r="A6703" i="1"/>
  <c r="A6702" i="1"/>
  <c r="A6697" i="1"/>
  <c r="A6696" i="1"/>
  <c r="A6692" i="1"/>
  <c r="A6691" i="1"/>
  <c r="A6690" i="1"/>
  <c r="A6689" i="1"/>
  <c r="A6684" i="1"/>
  <c r="A6683" i="1"/>
  <c r="A6679" i="1"/>
  <c r="A6678" i="1"/>
  <c r="A6677" i="1"/>
  <c r="A6676" i="1"/>
  <c r="A6669" i="1"/>
  <c r="A6668" i="1"/>
  <c r="A6664" i="1"/>
  <c r="A6663" i="1"/>
  <c r="A6662" i="1"/>
  <c r="A6661" i="1"/>
  <c r="A6654" i="1"/>
  <c r="A6653" i="1"/>
  <c r="A6649" i="1"/>
  <c r="A6648" i="1"/>
  <c r="A6647" i="1"/>
  <c r="A6646" i="1"/>
  <c r="A6639" i="1"/>
  <c r="A6638" i="1"/>
  <c r="A6634" i="1"/>
  <c r="A6633" i="1"/>
  <c r="A6632" i="1"/>
  <c r="A6631" i="1"/>
  <c r="A6624" i="1"/>
  <c r="A6623" i="1"/>
  <c r="A6619" i="1"/>
  <c r="A6618" i="1"/>
  <c r="A6617" i="1"/>
  <c r="A6616" i="1"/>
  <c r="A6610" i="1"/>
  <c r="A6609" i="1"/>
  <c r="A6605" i="1"/>
  <c r="A6604" i="1"/>
  <c r="A6603" i="1"/>
  <c r="A6602" i="1"/>
  <c r="A6596" i="1"/>
  <c r="A6595" i="1"/>
  <c r="A6591" i="1"/>
  <c r="A6590" i="1"/>
  <c r="A6589" i="1"/>
  <c r="A6588" i="1"/>
  <c r="A6582" i="1"/>
  <c r="A6581" i="1"/>
  <c r="A6577" i="1"/>
  <c r="A6576" i="1"/>
  <c r="A6575" i="1"/>
  <c r="A6574" i="1"/>
  <c r="A6568" i="1"/>
  <c r="A6567" i="1"/>
  <c r="A6563" i="1"/>
  <c r="A6562" i="1"/>
  <c r="A6561" i="1"/>
  <c r="A6560" i="1"/>
  <c r="A6554" i="1"/>
  <c r="A6553" i="1"/>
  <c r="A6549" i="1"/>
  <c r="A6548" i="1"/>
  <c r="A6547" i="1"/>
  <c r="A6546" i="1"/>
  <c r="A6540" i="1"/>
  <c r="A6539" i="1"/>
  <c r="A6535" i="1"/>
  <c r="A6534" i="1"/>
  <c r="A6533" i="1"/>
  <c r="A6532" i="1"/>
  <c r="A6527" i="1"/>
  <c r="A6526" i="1"/>
  <c r="A6522" i="1"/>
  <c r="A6521" i="1"/>
  <c r="A6520" i="1"/>
  <c r="A6519" i="1"/>
  <c r="A6514" i="1"/>
  <c r="A6513" i="1"/>
  <c r="A6509" i="1"/>
  <c r="A6508" i="1"/>
  <c r="A6507" i="1"/>
  <c r="A6506" i="1"/>
  <c r="A6502" i="1"/>
  <c r="A6501" i="1"/>
  <c r="A6497" i="1"/>
  <c r="A6496" i="1"/>
  <c r="A6495" i="1"/>
  <c r="A6494" i="1"/>
  <c r="A6487" i="1"/>
  <c r="A6486" i="1"/>
  <c r="A6482" i="1"/>
  <c r="A6481" i="1"/>
  <c r="A6480" i="1"/>
  <c r="A6479" i="1"/>
  <c r="A6468" i="1"/>
  <c r="A6467" i="1"/>
  <c r="A6463" i="1"/>
  <c r="A6462" i="1"/>
  <c r="A6461" i="1"/>
  <c r="A6460" i="1"/>
  <c r="A6449" i="1"/>
  <c r="A6448" i="1"/>
  <c r="A6444" i="1"/>
  <c r="A6443" i="1"/>
  <c r="A6442" i="1"/>
  <c r="A6441" i="1"/>
  <c r="A6436" i="1"/>
  <c r="A6435" i="1"/>
  <c r="A6431" i="1"/>
  <c r="A6430" i="1"/>
  <c r="A6429" i="1"/>
  <c r="A6428" i="1"/>
  <c r="A6425" i="1"/>
  <c r="A6424" i="1"/>
  <c r="A6420" i="1"/>
  <c r="A6419" i="1"/>
  <c r="A6418" i="1"/>
  <c r="A6417" i="1"/>
  <c r="A6411" i="1"/>
  <c r="A6410" i="1"/>
  <c r="A6406" i="1"/>
  <c r="A6405" i="1"/>
  <c r="A6404" i="1"/>
  <c r="A6403" i="1"/>
  <c r="A6398" i="1"/>
  <c r="A6397" i="1"/>
  <c r="A6393" i="1"/>
  <c r="A6392" i="1"/>
  <c r="A6391" i="1"/>
  <c r="A6390" i="1"/>
  <c r="A6385" i="1"/>
  <c r="A6384" i="1"/>
  <c r="A6380" i="1"/>
  <c r="A6379" i="1"/>
  <c r="A6378" i="1"/>
  <c r="A6377" i="1"/>
  <c r="A6372" i="1"/>
  <c r="A6371" i="1"/>
  <c r="A6367" i="1"/>
  <c r="A6366" i="1"/>
  <c r="A6365" i="1"/>
  <c r="A6364" i="1"/>
  <c r="A6359" i="1"/>
  <c r="A6358" i="1"/>
  <c r="A6354" i="1"/>
  <c r="A6353" i="1"/>
  <c r="A6352" i="1"/>
  <c r="A6351" i="1"/>
  <c r="A6346" i="1"/>
  <c r="A6345" i="1"/>
  <c r="A6341" i="1"/>
  <c r="A6340" i="1"/>
  <c r="A6339" i="1"/>
  <c r="A6338" i="1"/>
  <c r="A6333" i="1"/>
  <c r="A6332" i="1"/>
  <c r="A6328" i="1"/>
  <c r="A6327" i="1"/>
  <c r="A6326" i="1"/>
  <c r="A6325" i="1"/>
  <c r="A6320" i="1"/>
  <c r="A6319" i="1"/>
  <c r="A6315" i="1"/>
  <c r="A6314" i="1"/>
  <c r="A6313" i="1"/>
  <c r="A6312" i="1"/>
  <c r="A6307" i="1"/>
  <c r="A6306" i="1"/>
  <c r="A6302" i="1"/>
  <c r="A6301" i="1"/>
  <c r="A6300" i="1"/>
  <c r="A6299" i="1"/>
  <c r="A6294" i="1"/>
  <c r="A6293" i="1"/>
  <c r="A6289" i="1"/>
  <c r="A6288" i="1"/>
  <c r="A6287" i="1"/>
  <c r="A6286" i="1"/>
  <c r="A6281" i="1"/>
  <c r="A6280" i="1"/>
  <c r="A6276" i="1"/>
  <c r="A6275" i="1"/>
  <c r="A6274" i="1"/>
  <c r="A6273" i="1"/>
  <c r="A6268" i="1"/>
  <c r="A6267" i="1"/>
  <c r="A6263" i="1"/>
  <c r="A6262" i="1"/>
  <c r="A6261" i="1"/>
  <c r="A6260" i="1"/>
  <c r="A6255" i="1"/>
  <c r="A6254" i="1"/>
  <c r="A6250" i="1"/>
  <c r="A6249" i="1"/>
  <c r="A6248" i="1"/>
  <c r="A6247" i="1"/>
  <c r="A6242" i="1"/>
  <c r="A6241" i="1"/>
  <c r="A6237" i="1"/>
  <c r="A6236" i="1"/>
  <c r="A6235" i="1"/>
  <c r="A6234" i="1"/>
  <c r="A6229" i="1"/>
  <c r="A6228" i="1"/>
  <c r="A6224" i="1"/>
  <c r="A6223" i="1"/>
  <c r="A6222" i="1"/>
  <c r="A6221" i="1"/>
  <c r="A6216" i="1"/>
  <c r="A6215" i="1"/>
  <c r="A6211" i="1"/>
  <c r="A6210" i="1"/>
  <c r="A6209" i="1"/>
  <c r="A6208" i="1"/>
  <c r="A6203" i="1"/>
  <c r="A6202" i="1"/>
  <c r="A6198" i="1"/>
  <c r="A6197" i="1"/>
  <c r="A6196" i="1"/>
  <c r="A6195" i="1"/>
  <c r="A6190" i="1"/>
  <c r="A6189" i="1"/>
  <c r="A6185" i="1"/>
  <c r="A6184" i="1"/>
  <c r="A6183" i="1"/>
  <c r="A6182" i="1"/>
  <c r="A6177" i="1"/>
  <c r="A6176" i="1"/>
  <c r="A6172" i="1"/>
  <c r="A6171" i="1"/>
  <c r="A6170" i="1"/>
  <c r="A6169" i="1"/>
  <c r="A6164" i="1"/>
  <c r="A6163" i="1"/>
  <c r="A6159" i="1"/>
  <c r="A6158" i="1"/>
  <c r="A6157" i="1"/>
  <c r="A6156" i="1"/>
  <c r="A6151" i="1"/>
  <c r="A6150" i="1"/>
  <c r="A6146" i="1"/>
  <c r="A6145" i="1"/>
  <c r="A6144" i="1"/>
  <c r="A6143" i="1"/>
  <c r="A6140" i="1"/>
  <c r="A6136" i="1"/>
  <c r="A6135" i="1"/>
  <c r="A6134" i="1"/>
  <c r="A6133" i="1"/>
  <c r="A6130" i="1"/>
  <c r="A6126" i="1"/>
  <c r="A6125" i="1"/>
  <c r="A6124" i="1"/>
  <c r="A6123" i="1"/>
  <c r="A6120" i="1"/>
  <c r="A6116" i="1"/>
  <c r="A6115" i="1"/>
  <c r="A6114" i="1"/>
  <c r="A6113" i="1"/>
  <c r="A6110" i="1"/>
  <c r="A6109" i="1"/>
  <c r="A6105" i="1"/>
  <c r="A6104" i="1"/>
  <c r="A6103" i="1"/>
  <c r="A6102" i="1"/>
  <c r="A6097" i="1"/>
  <c r="A6096" i="1"/>
  <c r="A6092" i="1"/>
  <c r="A6091" i="1"/>
  <c r="A6090" i="1"/>
  <c r="A6089" i="1"/>
  <c r="A6084" i="1"/>
  <c r="A6083" i="1"/>
  <c r="A6079" i="1"/>
  <c r="A6078" i="1"/>
  <c r="A6077" i="1"/>
  <c r="A6076" i="1"/>
  <c r="A6073" i="1"/>
  <c r="A6072" i="1"/>
  <c r="A6068" i="1"/>
  <c r="A6067" i="1"/>
  <c r="A6066" i="1"/>
  <c r="A6065" i="1"/>
  <c r="A6060" i="1"/>
  <c r="A6059" i="1"/>
  <c r="A6055" i="1"/>
  <c r="A6054" i="1"/>
  <c r="A6053" i="1"/>
  <c r="A6052" i="1"/>
  <c r="A6047" i="1"/>
  <c r="A6046" i="1"/>
  <c r="A6042" i="1"/>
  <c r="A6041" i="1"/>
  <c r="A6040" i="1"/>
  <c r="A6039" i="1"/>
  <c r="A6034" i="1"/>
  <c r="A6033" i="1"/>
  <c r="A6029" i="1"/>
  <c r="A6028" i="1"/>
  <c r="A6027" i="1"/>
  <c r="A6026" i="1"/>
  <c r="A6021" i="1"/>
  <c r="A6020" i="1"/>
  <c r="A6016" i="1"/>
  <c r="A6015" i="1"/>
  <c r="A6014" i="1"/>
  <c r="A6013" i="1"/>
  <c r="A6008" i="1"/>
  <c r="A6007" i="1"/>
  <c r="A6003" i="1"/>
  <c r="A6002" i="1"/>
  <c r="A6001" i="1"/>
  <c r="A6000" i="1"/>
  <c r="A5997" i="1"/>
  <c r="A5996" i="1"/>
  <c r="A5992" i="1"/>
  <c r="A5991" i="1"/>
  <c r="A5990" i="1"/>
  <c r="A5989" i="1"/>
  <c r="A5984" i="1"/>
  <c r="A5983" i="1"/>
  <c r="A5979" i="1"/>
  <c r="A5978" i="1"/>
  <c r="A5977" i="1"/>
  <c r="A5976" i="1"/>
  <c r="A5971" i="1"/>
  <c r="A5970" i="1"/>
  <c r="A5966" i="1"/>
  <c r="A5965" i="1"/>
  <c r="A5964" i="1"/>
  <c r="A5963" i="1"/>
  <c r="A5960" i="1"/>
  <c r="A5959" i="1"/>
  <c r="A5955" i="1"/>
  <c r="A5954" i="1"/>
  <c r="A5953" i="1"/>
  <c r="A5952" i="1"/>
  <c r="A5947" i="1"/>
  <c r="A5946" i="1"/>
  <c r="A5942" i="1"/>
  <c r="A5941" i="1"/>
  <c r="A5940" i="1"/>
  <c r="A5939" i="1"/>
  <c r="A5936" i="1"/>
  <c r="A5935" i="1"/>
  <c r="A5931" i="1"/>
  <c r="A5930" i="1"/>
  <c r="A5929" i="1"/>
  <c r="A5928" i="1"/>
  <c r="A5922" i="1"/>
  <c r="A5921" i="1"/>
  <c r="A5917" i="1"/>
  <c r="A5916" i="1"/>
  <c r="A5915" i="1"/>
  <c r="A5914" i="1"/>
  <c r="A5908" i="1"/>
  <c r="A5907" i="1"/>
  <c r="A5903" i="1"/>
  <c r="A5902" i="1"/>
  <c r="A5901" i="1"/>
  <c r="A5900" i="1"/>
  <c r="A5895" i="1"/>
  <c r="A5894" i="1"/>
  <c r="A5890" i="1"/>
  <c r="A5889" i="1"/>
  <c r="A5888" i="1"/>
  <c r="A5887" i="1"/>
  <c r="A5884" i="1"/>
  <c r="A5883" i="1"/>
  <c r="A5879" i="1"/>
  <c r="A5878" i="1"/>
  <c r="A5877" i="1"/>
  <c r="A5876" i="1"/>
  <c r="A5870" i="1"/>
  <c r="A5869" i="1"/>
  <c r="A5865" i="1"/>
  <c r="A5864" i="1"/>
  <c r="A5863" i="1"/>
  <c r="A5862" i="1"/>
  <c r="A5857" i="1"/>
  <c r="A5856" i="1"/>
  <c r="A5852" i="1"/>
  <c r="A5851" i="1"/>
  <c r="A5850" i="1"/>
  <c r="A5849" i="1"/>
  <c r="A5846" i="1"/>
  <c r="A5845" i="1"/>
  <c r="A5841" i="1"/>
  <c r="A5840" i="1"/>
  <c r="A5839" i="1"/>
  <c r="A5838" i="1"/>
  <c r="A5831" i="1"/>
  <c r="A5830" i="1"/>
  <c r="A5826" i="1"/>
  <c r="A5825" i="1"/>
  <c r="A5824" i="1"/>
  <c r="A5823" i="1"/>
  <c r="A5819" i="1"/>
  <c r="A5818" i="1"/>
  <c r="A5814" i="1"/>
  <c r="A5813" i="1"/>
  <c r="A5812" i="1"/>
  <c r="A5811" i="1"/>
  <c r="A5807" i="1"/>
  <c r="A5806" i="1"/>
  <c r="A5802" i="1"/>
  <c r="A5801" i="1"/>
  <c r="A5800" i="1"/>
  <c r="A5799" i="1"/>
  <c r="A5795" i="1"/>
  <c r="A5794" i="1"/>
  <c r="A5790" i="1"/>
  <c r="A5789" i="1"/>
  <c r="A5788" i="1"/>
  <c r="A5787" i="1"/>
  <c r="A5783" i="1"/>
  <c r="A5782" i="1"/>
  <c r="A5778" i="1"/>
  <c r="A5777" i="1"/>
  <c r="A5776" i="1"/>
  <c r="A5775" i="1"/>
  <c r="A5771" i="1"/>
  <c r="A5770" i="1"/>
  <c r="A5766" i="1"/>
  <c r="A5765" i="1"/>
  <c r="A5764" i="1"/>
  <c r="A5763" i="1"/>
  <c r="A5755" i="1"/>
  <c r="A5754" i="1"/>
  <c r="A5750" i="1"/>
  <c r="A5749" i="1"/>
  <c r="A5748" i="1"/>
  <c r="A5747" i="1"/>
  <c r="A5739" i="1"/>
  <c r="A5738" i="1"/>
  <c r="A5734" i="1"/>
  <c r="A5733" i="1"/>
  <c r="A5732" i="1"/>
  <c r="A5731" i="1"/>
  <c r="A5727" i="1"/>
  <c r="A5726" i="1"/>
  <c r="A5722" i="1"/>
  <c r="A5721" i="1"/>
  <c r="A5720" i="1"/>
  <c r="A5719" i="1"/>
  <c r="A5715" i="1"/>
  <c r="A5714" i="1"/>
  <c r="A5710" i="1"/>
  <c r="A5709" i="1"/>
  <c r="A5708" i="1"/>
  <c r="A5707" i="1"/>
  <c r="A5703" i="1"/>
  <c r="A5702" i="1"/>
  <c r="A5698" i="1"/>
  <c r="A5697" i="1"/>
  <c r="A5696" i="1"/>
  <c r="A5695" i="1"/>
  <c r="A5691" i="1"/>
  <c r="A5690" i="1"/>
  <c r="A5686" i="1"/>
  <c r="A5685" i="1"/>
  <c r="A5684" i="1"/>
  <c r="A5683" i="1"/>
  <c r="A5680" i="1"/>
  <c r="A5679" i="1"/>
  <c r="A5675" i="1"/>
  <c r="A5674" i="1"/>
  <c r="A5673" i="1"/>
  <c r="A5672" i="1"/>
  <c r="A5669" i="1"/>
  <c r="A5668" i="1"/>
  <c r="A5664" i="1"/>
  <c r="A5663" i="1"/>
  <c r="A5662" i="1"/>
  <c r="A5661" i="1"/>
  <c r="A5656" i="1"/>
  <c r="A5655" i="1"/>
  <c r="A5651" i="1"/>
  <c r="A5650" i="1"/>
  <c r="A5649" i="1"/>
  <c r="A5648" i="1"/>
  <c r="A5642" i="1"/>
  <c r="A5641" i="1"/>
  <c r="A5637" i="1"/>
  <c r="A5636" i="1"/>
  <c r="A5635" i="1"/>
  <c r="A5634" i="1"/>
  <c r="A5628" i="1"/>
  <c r="A5627" i="1"/>
  <c r="A5623" i="1"/>
  <c r="A5622" i="1"/>
  <c r="A5621" i="1"/>
  <c r="A5620" i="1"/>
  <c r="A5614" i="1"/>
  <c r="A5613" i="1"/>
  <c r="A5609" i="1"/>
  <c r="A5608" i="1"/>
  <c r="A5607" i="1"/>
  <c r="A5606" i="1"/>
  <c r="A5600" i="1"/>
  <c r="A5599" i="1"/>
  <c r="A5595" i="1"/>
  <c r="A5594" i="1"/>
  <c r="A5593" i="1"/>
  <c r="A5592" i="1"/>
  <c r="A5586" i="1"/>
  <c r="A5585" i="1"/>
  <c r="A5581" i="1"/>
  <c r="A5580" i="1"/>
  <c r="A5579" i="1"/>
  <c r="A5578" i="1"/>
  <c r="A5572" i="1"/>
  <c r="A5571" i="1"/>
  <c r="A5567" i="1"/>
  <c r="A5566" i="1"/>
  <c r="A5565" i="1"/>
  <c r="A5564" i="1"/>
  <c r="A5558" i="1"/>
  <c r="A5557" i="1"/>
  <c r="A5553" i="1"/>
  <c r="A5552" i="1"/>
  <c r="A5551" i="1"/>
  <c r="A5550" i="1"/>
  <c r="A5544" i="1"/>
  <c r="A5543" i="1"/>
  <c r="A5539" i="1"/>
  <c r="A5538" i="1"/>
  <c r="A5537" i="1"/>
  <c r="A5536" i="1"/>
  <c r="A5531" i="1"/>
  <c r="A5530" i="1"/>
  <c r="A5526" i="1"/>
  <c r="A5525" i="1"/>
  <c r="A5524" i="1"/>
  <c r="A5523" i="1"/>
  <c r="A5518" i="1"/>
  <c r="A5517" i="1"/>
  <c r="A5513" i="1"/>
  <c r="A5512" i="1"/>
  <c r="A5511" i="1"/>
  <c r="A5510" i="1"/>
  <c r="A5505" i="1"/>
  <c r="A5504" i="1"/>
  <c r="A5500" i="1"/>
  <c r="A5499" i="1"/>
  <c r="A5498" i="1"/>
  <c r="A5497" i="1"/>
  <c r="A5492" i="1"/>
  <c r="A5491" i="1"/>
  <c r="A5487" i="1"/>
  <c r="A5486" i="1"/>
  <c r="A5485" i="1"/>
  <c r="A5484" i="1"/>
  <c r="A5480" i="1"/>
  <c r="A5479" i="1"/>
  <c r="A5475" i="1"/>
  <c r="A5474" i="1"/>
  <c r="A5473" i="1"/>
  <c r="A5472" i="1"/>
  <c r="A5469" i="1"/>
  <c r="A5468" i="1"/>
  <c r="A5464" i="1"/>
  <c r="A5463" i="1"/>
  <c r="A5462" i="1"/>
  <c r="A5461" i="1"/>
  <c r="A5457" i="1"/>
  <c r="A5456" i="1"/>
  <c r="A5452" i="1"/>
  <c r="A5451" i="1"/>
  <c r="A5450" i="1"/>
  <c r="A5449" i="1"/>
  <c r="A5445" i="1"/>
  <c r="A5444" i="1"/>
  <c r="A5440" i="1"/>
  <c r="A5439" i="1"/>
  <c r="A5438" i="1"/>
  <c r="A5437" i="1"/>
  <c r="A5434" i="1"/>
  <c r="A5433" i="1"/>
  <c r="A5429" i="1"/>
  <c r="A5428" i="1"/>
  <c r="A5427" i="1"/>
  <c r="A5426" i="1"/>
  <c r="A5422" i="1"/>
  <c r="A5421" i="1"/>
  <c r="A5417" i="1"/>
  <c r="A5416" i="1"/>
  <c r="A5415" i="1"/>
  <c r="A5414" i="1"/>
  <c r="A5410" i="1"/>
  <c r="A5409" i="1"/>
  <c r="A5405" i="1"/>
  <c r="A5404" i="1"/>
  <c r="A5403" i="1"/>
  <c r="A5402" i="1"/>
  <c r="A5399" i="1"/>
  <c r="A5398" i="1"/>
  <c r="A5394" i="1"/>
  <c r="A5393" i="1"/>
  <c r="A5392" i="1"/>
  <c r="A5391" i="1"/>
  <c r="A5387" i="1"/>
  <c r="A5386" i="1"/>
  <c r="A5382" i="1"/>
  <c r="A5381" i="1"/>
  <c r="A5380" i="1"/>
  <c r="A5379" i="1"/>
  <c r="A5375" i="1"/>
  <c r="A5374" i="1"/>
  <c r="A5370" i="1"/>
  <c r="A5369" i="1"/>
  <c r="A5368" i="1"/>
  <c r="A5367" i="1"/>
  <c r="A5364" i="1"/>
  <c r="A5363" i="1"/>
  <c r="A5359" i="1"/>
  <c r="A5358" i="1"/>
  <c r="A5357" i="1"/>
  <c r="A5356" i="1"/>
  <c r="A5352" i="1"/>
  <c r="A5351" i="1"/>
  <c r="A5347" i="1"/>
  <c r="A5346" i="1"/>
  <c r="A5345" i="1"/>
  <c r="A5344" i="1"/>
  <c r="A5340" i="1"/>
  <c r="A5339" i="1"/>
  <c r="A5335" i="1"/>
  <c r="A5334" i="1"/>
  <c r="A5333" i="1"/>
  <c r="A5332" i="1"/>
  <c r="A5329" i="1"/>
  <c r="A5328" i="1"/>
  <c r="A5324" i="1"/>
  <c r="A5323" i="1"/>
  <c r="A5322" i="1"/>
  <c r="A5321" i="1"/>
  <c r="A5317" i="1"/>
  <c r="A5316" i="1"/>
  <c r="A5312" i="1"/>
  <c r="A5311" i="1"/>
  <c r="A5310" i="1"/>
  <c r="A5309" i="1"/>
  <c r="A5303" i="1"/>
  <c r="A5302" i="1"/>
  <c r="A5298" i="1"/>
  <c r="A5297" i="1"/>
  <c r="A5296" i="1"/>
  <c r="A5295" i="1"/>
  <c r="A5292" i="1"/>
  <c r="A5291" i="1"/>
  <c r="A5287" i="1"/>
  <c r="A5286" i="1"/>
  <c r="A5285" i="1"/>
  <c r="A5284" i="1"/>
  <c r="A5280" i="1"/>
  <c r="A5279" i="1"/>
  <c r="A5275" i="1"/>
  <c r="A5274" i="1"/>
  <c r="A5273" i="1"/>
  <c r="A5272" i="1"/>
  <c r="A5266" i="1"/>
  <c r="A5265" i="1"/>
  <c r="A5261" i="1"/>
  <c r="A5260" i="1"/>
  <c r="A5259" i="1"/>
  <c r="A5258" i="1"/>
  <c r="A5255" i="1"/>
  <c r="A5254" i="1"/>
  <c r="A5250" i="1"/>
  <c r="A5249" i="1"/>
  <c r="A5248" i="1"/>
  <c r="A5247" i="1"/>
  <c r="A5244" i="1"/>
  <c r="A5243" i="1"/>
  <c r="A5239" i="1"/>
  <c r="A5238" i="1"/>
  <c r="A5237" i="1"/>
  <c r="A5236" i="1"/>
  <c r="A5230" i="1"/>
  <c r="A5229" i="1"/>
  <c r="A5225" i="1"/>
  <c r="A5224" i="1"/>
  <c r="A5223" i="1"/>
  <c r="A5222" i="1"/>
  <c r="A5216" i="1"/>
  <c r="A5215" i="1"/>
  <c r="A5211" i="1"/>
  <c r="A5210" i="1"/>
  <c r="A5209" i="1"/>
  <c r="A5208" i="1"/>
  <c r="A5202" i="1"/>
  <c r="A5201" i="1"/>
  <c r="A5197" i="1"/>
  <c r="A5196" i="1"/>
  <c r="A5195" i="1"/>
  <c r="A5194" i="1"/>
  <c r="A5188" i="1"/>
  <c r="A5187" i="1"/>
  <c r="A5183" i="1"/>
  <c r="A5182" i="1"/>
  <c r="A5181" i="1"/>
  <c r="A5180" i="1"/>
  <c r="A5174" i="1"/>
  <c r="A5173" i="1"/>
  <c r="A5169" i="1"/>
  <c r="A5168" i="1"/>
  <c r="A5167" i="1"/>
  <c r="A5166" i="1"/>
  <c r="A5160" i="1"/>
  <c r="A5159" i="1"/>
  <c r="A5155" i="1"/>
  <c r="A5154" i="1"/>
  <c r="A5153" i="1"/>
  <c r="A5152" i="1"/>
  <c r="A5146" i="1"/>
  <c r="A5145" i="1"/>
  <c r="A5141" i="1"/>
  <c r="A5140" i="1"/>
  <c r="A5139" i="1"/>
  <c r="A5138" i="1"/>
  <c r="A5132" i="1"/>
  <c r="A5131" i="1"/>
  <c r="A5127" i="1"/>
  <c r="A5126" i="1"/>
  <c r="A5125" i="1"/>
  <c r="A5124" i="1"/>
  <c r="A5120" i="1"/>
  <c r="A5119" i="1"/>
  <c r="A5115" i="1"/>
  <c r="A5114" i="1"/>
  <c r="A5113" i="1"/>
  <c r="A5112" i="1"/>
  <c r="A5108" i="1"/>
  <c r="A5107" i="1"/>
  <c r="A5103" i="1"/>
  <c r="A5102" i="1"/>
  <c r="A5101" i="1"/>
  <c r="A5100" i="1"/>
  <c r="A5096" i="1"/>
  <c r="A5095" i="1"/>
  <c r="A5091" i="1"/>
  <c r="A5090" i="1"/>
  <c r="A5089" i="1"/>
  <c r="A5088" i="1"/>
  <c r="A5083" i="1"/>
  <c r="A5082" i="1"/>
  <c r="A5078" i="1"/>
  <c r="A5077" i="1"/>
  <c r="A5076" i="1"/>
  <c r="A5075" i="1"/>
  <c r="A5072" i="1"/>
  <c r="A5071" i="1"/>
  <c r="A5067" i="1"/>
  <c r="A5066" i="1"/>
  <c r="A5065" i="1"/>
  <c r="A5064" i="1"/>
  <c r="A5061" i="1"/>
  <c r="A5057" i="1"/>
  <c r="A5056" i="1"/>
  <c r="A5055" i="1"/>
  <c r="A5054" i="1"/>
  <c r="A5051" i="1"/>
  <c r="A5047" i="1"/>
  <c r="A5046" i="1"/>
  <c r="A5045" i="1"/>
  <c r="A5044" i="1"/>
  <c r="A5040" i="1"/>
  <c r="A5039" i="1"/>
  <c r="A5035" i="1"/>
  <c r="A5034" i="1"/>
  <c r="A5033" i="1"/>
  <c r="A5032" i="1"/>
  <c r="A5028" i="1"/>
  <c r="A5027" i="1"/>
  <c r="A5023" i="1"/>
  <c r="A5022" i="1"/>
  <c r="A5021" i="1"/>
  <c r="A5020" i="1"/>
  <c r="A5016" i="1"/>
  <c r="A5015" i="1"/>
  <c r="A5011" i="1"/>
  <c r="A5010" i="1"/>
  <c r="A5009" i="1"/>
  <c r="A5008" i="1"/>
  <c r="A5004" i="1"/>
  <c r="A5003" i="1"/>
  <c r="A4999" i="1"/>
  <c r="A4998" i="1"/>
  <c r="A4997" i="1"/>
  <c r="A4996" i="1"/>
  <c r="A4992" i="1"/>
  <c r="A4991" i="1"/>
  <c r="A4987" i="1"/>
  <c r="A4986" i="1"/>
  <c r="A4985" i="1"/>
  <c r="A4984" i="1"/>
  <c r="A4980" i="1"/>
  <c r="A4979" i="1"/>
  <c r="A4975" i="1"/>
  <c r="A4974" i="1"/>
  <c r="A4973" i="1"/>
  <c r="A4972" i="1"/>
  <c r="A4968" i="1"/>
  <c r="A4967" i="1"/>
  <c r="A4963" i="1"/>
  <c r="A4962" i="1"/>
  <c r="A4961" i="1"/>
  <c r="A4960" i="1"/>
  <c r="A4957" i="1"/>
  <c r="A4956" i="1"/>
  <c r="A4952" i="1"/>
  <c r="A4951" i="1"/>
  <c r="A4950" i="1"/>
  <c r="A4949" i="1"/>
  <c r="A4946" i="1"/>
  <c r="A4945" i="1"/>
  <c r="A4941" i="1"/>
  <c r="A4940" i="1"/>
  <c r="A4939" i="1"/>
  <c r="A4938" i="1"/>
  <c r="A4933" i="1"/>
  <c r="A4932" i="1"/>
  <c r="A4928" i="1"/>
  <c r="A4927" i="1"/>
  <c r="A4926" i="1"/>
  <c r="A4925" i="1"/>
  <c r="A4922" i="1"/>
  <c r="A4921" i="1"/>
  <c r="A4917" i="1"/>
  <c r="A4916" i="1"/>
  <c r="A4915" i="1"/>
  <c r="A4914" i="1"/>
  <c r="A4911" i="1"/>
  <c r="A4910" i="1"/>
  <c r="A4906" i="1"/>
  <c r="A4905" i="1"/>
  <c r="A4904" i="1"/>
  <c r="A4903" i="1"/>
  <c r="A4897" i="1"/>
  <c r="A4896" i="1"/>
  <c r="A4892" i="1"/>
  <c r="A4891" i="1"/>
  <c r="A4890" i="1"/>
  <c r="A4889" i="1"/>
  <c r="A4883" i="1"/>
  <c r="A4882" i="1"/>
  <c r="A4878" i="1"/>
  <c r="A4877" i="1"/>
  <c r="A4876" i="1"/>
  <c r="A4875" i="1"/>
  <c r="A4869" i="1"/>
  <c r="A4868" i="1"/>
  <c r="A4864" i="1"/>
  <c r="A4863" i="1"/>
  <c r="A4862" i="1"/>
  <c r="A4861" i="1"/>
  <c r="A4855" i="1"/>
  <c r="A4854" i="1"/>
  <c r="A4850" i="1"/>
  <c r="A4849" i="1"/>
  <c r="A4848" i="1"/>
  <c r="A4847" i="1"/>
  <c r="A4841" i="1"/>
  <c r="A4840" i="1"/>
  <c r="A4836" i="1"/>
  <c r="A4835" i="1"/>
  <c r="A4834" i="1"/>
  <c r="A4833" i="1"/>
  <c r="A4827" i="1"/>
  <c r="A4826" i="1"/>
  <c r="A4822" i="1"/>
  <c r="A4821" i="1"/>
  <c r="A4820" i="1"/>
  <c r="A4819" i="1"/>
  <c r="A4814" i="1"/>
  <c r="A4813" i="1"/>
  <c r="A4809" i="1"/>
  <c r="A4808" i="1"/>
  <c r="A4807" i="1"/>
  <c r="A4806" i="1"/>
  <c r="A4801" i="1"/>
  <c r="A4800" i="1"/>
  <c r="A4796" i="1"/>
  <c r="A4795" i="1"/>
  <c r="A4794" i="1"/>
  <c r="A4793" i="1"/>
  <c r="A4787" i="1"/>
  <c r="A4786" i="1"/>
  <c r="A4782" i="1"/>
  <c r="A4781" i="1"/>
  <c r="A4780" i="1"/>
  <c r="A4779" i="1"/>
  <c r="A4775" i="1"/>
  <c r="A4774" i="1"/>
  <c r="A4770" i="1"/>
  <c r="A4769" i="1"/>
  <c r="A4768" i="1"/>
  <c r="A4767" i="1"/>
  <c r="A4762" i="1"/>
  <c r="A4761" i="1"/>
  <c r="A4757" i="1"/>
  <c r="A4756" i="1"/>
  <c r="A4755" i="1"/>
  <c r="A4754" i="1"/>
  <c r="A4747" i="1"/>
  <c r="A4746" i="1"/>
  <c r="A4742" i="1"/>
  <c r="A4741" i="1"/>
  <c r="A4740" i="1"/>
  <c r="A4739" i="1"/>
  <c r="A4734" i="1"/>
  <c r="A4733" i="1"/>
  <c r="A4729" i="1"/>
  <c r="A4728" i="1"/>
  <c r="A4727" i="1"/>
  <c r="A4726" i="1"/>
  <c r="A4721" i="1"/>
  <c r="A4720" i="1"/>
  <c r="A4716" i="1"/>
  <c r="A4715" i="1"/>
  <c r="A4714" i="1"/>
  <c r="A4713" i="1"/>
  <c r="A4708" i="1"/>
  <c r="A4707" i="1"/>
  <c r="A4703" i="1"/>
  <c r="A4702" i="1"/>
  <c r="A4701" i="1"/>
  <c r="A4700" i="1"/>
  <c r="A4695" i="1"/>
  <c r="A4694" i="1"/>
  <c r="A4690" i="1"/>
  <c r="A4689" i="1"/>
  <c r="A4688" i="1"/>
  <c r="A4687" i="1"/>
  <c r="A4682" i="1"/>
  <c r="A4681" i="1"/>
  <c r="A4677" i="1"/>
  <c r="A4676" i="1"/>
  <c r="A4675" i="1"/>
  <c r="A4674" i="1"/>
  <c r="A4669" i="1"/>
  <c r="A4668" i="1"/>
  <c r="A4664" i="1"/>
  <c r="A4663" i="1"/>
  <c r="A4662" i="1"/>
  <c r="A4661" i="1"/>
  <c r="A4656" i="1"/>
  <c r="A4655" i="1"/>
  <c r="A4651" i="1"/>
  <c r="A4650" i="1"/>
  <c r="A4649" i="1"/>
  <c r="A4648" i="1"/>
  <c r="A4643" i="1"/>
  <c r="A4642" i="1"/>
  <c r="A4638" i="1"/>
  <c r="A4637" i="1"/>
  <c r="A4636" i="1"/>
  <c r="A4635" i="1"/>
  <c r="A4630" i="1"/>
  <c r="A4629" i="1"/>
  <c r="A4625" i="1"/>
  <c r="A4624" i="1"/>
  <c r="A4623" i="1"/>
  <c r="A4622" i="1"/>
  <c r="A4617" i="1"/>
  <c r="A4616" i="1"/>
  <c r="A4612" i="1"/>
  <c r="A4611" i="1"/>
  <c r="A4610" i="1"/>
  <c r="A4609" i="1"/>
  <c r="A4604" i="1"/>
  <c r="A4603" i="1"/>
  <c r="A4599" i="1"/>
  <c r="A4598" i="1"/>
  <c r="A4597" i="1"/>
  <c r="A4596" i="1"/>
  <c r="A4589" i="1"/>
  <c r="A4588" i="1"/>
  <c r="A4584" i="1"/>
  <c r="A4583" i="1"/>
  <c r="A4582" i="1"/>
  <c r="A4581" i="1"/>
  <c r="A4575" i="1"/>
  <c r="A4574" i="1"/>
  <c r="A4570" i="1"/>
  <c r="A4569" i="1"/>
  <c r="A4568" i="1"/>
  <c r="A4567" i="1"/>
  <c r="A4562" i="1"/>
  <c r="A4561" i="1"/>
  <c r="A4557" i="1"/>
  <c r="A4556" i="1"/>
  <c r="A4555" i="1"/>
  <c r="A4554" i="1"/>
  <c r="A4549" i="1"/>
  <c r="A4548" i="1"/>
  <c r="A4544" i="1"/>
  <c r="A4543" i="1"/>
  <c r="A4542" i="1"/>
  <c r="A4541" i="1"/>
  <c r="A4536" i="1"/>
  <c r="A4535" i="1"/>
  <c r="A4531" i="1"/>
  <c r="A4530" i="1"/>
  <c r="A4529" i="1"/>
  <c r="A4528" i="1"/>
  <c r="A4523" i="1"/>
  <c r="A4522" i="1"/>
  <c r="A4518" i="1"/>
  <c r="A4517" i="1"/>
  <c r="A4516" i="1"/>
  <c r="A4515" i="1"/>
  <c r="A4510" i="1"/>
  <c r="A4509" i="1"/>
  <c r="A4505" i="1"/>
  <c r="A4504" i="1"/>
  <c r="A4503" i="1"/>
  <c r="A4502" i="1"/>
  <c r="A4497" i="1"/>
  <c r="A4496" i="1"/>
  <c r="A4492" i="1"/>
  <c r="A4491" i="1"/>
  <c r="A4490" i="1"/>
  <c r="A4489" i="1"/>
  <c r="A4484" i="1"/>
  <c r="A4483" i="1"/>
  <c r="A4479" i="1"/>
  <c r="A4478" i="1"/>
  <c r="A4477" i="1"/>
  <c r="A4476" i="1"/>
  <c r="A4471" i="1"/>
  <c r="A4470" i="1"/>
  <c r="A4466" i="1"/>
  <c r="A4465" i="1"/>
  <c r="A4464" i="1"/>
  <c r="A4463" i="1"/>
  <c r="A4458" i="1"/>
  <c r="A4457" i="1"/>
  <c r="A4453" i="1"/>
  <c r="A4452" i="1"/>
  <c r="A4451" i="1"/>
  <c r="A4450" i="1"/>
  <c r="A4446" i="1"/>
  <c r="A4445" i="1"/>
  <c r="A4441" i="1"/>
  <c r="A4440" i="1"/>
  <c r="A4439" i="1"/>
  <c r="A4438" i="1"/>
  <c r="A4433" i="1"/>
  <c r="A4432" i="1"/>
  <c r="A4428" i="1"/>
  <c r="A4427" i="1"/>
  <c r="A4426" i="1"/>
  <c r="A4425" i="1"/>
  <c r="A4418" i="1"/>
  <c r="A4417" i="1"/>
  <c r="A4413" i="1"/>
  <c r="A4412" i="1"/>
  <c r="A4411" i="1"/>
  <c r="A4410" i="1"/>
  <c r="A4407" i="1"/>
  <c r="A4406" i="1"/>
  <c r="A4402" i="1"/>
  <c r="A4401" i="1"/>
  <c r="A4400" i="1"/>
  <c r="A4399" i="1"/>
  <c r="A4396" i="1"/>
  <c r="A4395" i="1"/>
  <c r="A4391" i="1"/>
  <c r="A4390" i="1"/>
  <c r="A4389" i="1"/>
  <c r="A4388" i="1"/>
  <c r="A4382" i="1"/>
  <c r="A4381" i="1"/>
  <c r="A4377" i="1"/>
  <c r="A4376" i="1"/>
  <c r="A4375" i="1"/>
  <c r="A4374" i="1"/>
  <c r="A4368" i="1"/>
  <c r="A4367" i="1"/>
  <c r="A4363" i="1"/>
  <c r="A4362" i="1"/>
  <c r="A4361" i="1"/>
  <c r="A4360" i="1"/>
  <c r="A4354" i="1"/>
  <c r="A4353" i="1"/>
  <c r="A4349" i="1"/>
  <c r="A4348" i="1"/>
  <c r="A4347" i="1"/>
  <c r="A4346" i="1"/>
  <c r="A4340" i="1"/>
  <c r="A4339" i="1"/>
  <c r="A4335" i="1"/>
  <c r="A4334" i="1"/>
  <c r="A4333" i="1"/>
  <c r="A4332" i="1"/>
  <c r="A4326" i="1"/>
  <c r="A4325" i="1"/>
  <c r="A4321" i="1"/>
  <c r="A4320" i="1"/>
  <c r="A4319" i="1"/>
  <c r="A4318" i="1"/>
  <c r="A4312" i="1"/>
  <c r="A4311" i="1"/>
  <c r="A4307" i="1"/>
  <c r="A4306" i="1"/>
  <c r="A4305" i="1"/>
  <c r="A4304" i="1"/>
  <c r="A4298" i="1"/>
  <c r="A4297" i="1"/>
  <c r="A4293" i="1"/>
  <c r="A4292" i="1"/>
  <c r="A4291" i="1"/>
  <c r="A4290" i="1"/>
  <c r="A4286" i="1"/>
  <c r="A4285" i="1"/>
  <c r="A4281" i="1"/>
  <c r="A4280" i="1"/>
  <c r="A4279" i="1"/>
  <c r="A4278" i="1"/>
  <c r="A4274" i="1"/>
  <c r="A4273" i="1"/>
  <c r="A4269" i="1"/>
  <c r="A4268" i="1"/>
  <c r="A4267" i="1"/>
  <c r="A4266" i="1"/>
  <c r="A4262" i="1"/>
  <c r="A4261" i="1"/>
  <c r="A4257" i="1"/>
  <c r="A4256" i="1"/>
  <c r="A4255" i="1"/>
  <c r="A4254" i="1"/>
  <c r="A4250" i="1"/>
  <c r="A4249" i="1"/>
  <c r="A4245" i="1"/>
  <c r="A4244" i="1"/>
  <c r="A4243" i="1"/>
  <c r="A4242" i="1"/>
  <c r="A4233" i="1"/>
  <c r="A4232" i="1"/>
  <c r="A4228" i="1"/>
  <c r="A4227" i="1"/>
  <c r="A4226" i="1"/>
  <c r="A4225" i="1"/>
  <c r="A4216" i="1"/>
  <c r="A4215" i="1"/>
  <c r="A4211" i="1"/>
  <c r="A4210" i="1"/>
  <c r="A4209" i="1"/>
  <c r="A4208" i="1"/>
  <c r="A4199" i="1"/>
  <c r="A4198" i="1"/>
  <c r="A4194" i="1"/>
  <c r="A4193" i="1"/>
  <c r="A4192" i="1"/>
  <c r="A4191" i="1"/>
  <c r="A4182" i="1"/>
  <c r="A4181" i="1"/>
  <c r="A4177" i="1"/>
  <c r="A4176" i="1"/>
  <c r="A4175" i="1"/>
  <c r="A4174" i="1"/>
  <c r="A4171" i="1"/>
  <c r="A4170" i="1"/>
  <c r="A4166" i="1"/>
  <c r="A4165" i="1"/>
  <c r="A4164" i="1"/>
  <c r="A4163" i="1"/>
  <c r="A4160" i="1"/>
  <c r="A4159" i="1"/>
  <c r="A4155" i="1"/>
  <c r="A4154" i="1"/>
  <c r="A4153" i="1"/>
  <c r="A4152" i="1"/>
  <c r="A4149" i="1"/>
  <c r="A4148" i="1"/>
  <c r="A4144" i="1"/>
  <c r="A4143" i="1"/>
  <c r="A4142" i="1"/>
  <c r="A4141" i="1"/>
  <c r="A4138" i="1"/>
  <c r="A4137" i="1"/>
  <c r="A4133" i="1"/>
  <c r="A4132" i="1"/>
  <c r="A4131" i="1"/>
  <c r="A4130" i="1"/>
  <c r="A4127" i="1"/>
  <c r="A4126" i="1"/>
  <c r="A4122" i="1"/>
  <c r="A4121" i="1"/>
  <c r="A4120" i="1"/>
  <c r="A4119" i="1"/>
  <c r="A4114" i="1"/>
  <c r="A4113" i="1"/>
  <c r="A4109" i="1"/>
  <c r="A4108" i="1"/>
  <c r="A4107" i="1"/>
  <c r="A4106" i="1"/>
  <c r="A4101" i="1"/>
  <c r="A4100" i="1"/>
  <c r="A4096" i="1"/>
  <c r="A4095" i="1"/>
  <c r="A4094" i="1"/>
  <c r="A4093" i="1"/>
  <c r="A4088" i="1"/>
  <c r="A4087" i="1"/>
  <c r="A4083" i="1"/>
  <c r="A4082" i="1"/>
  <c r="A4081" i="1"/>
  <c r="A4080" i="1"/>
  <c r="A4075" i="1"/>
  <c r="A4074" i="1"/>
  <c r="A4070" i="1"/>
  <c r="A4069" i="1"/>
  <c r="A4068" i="1"/>
  <c r="A4067" i="1"/>
  <c r="A4062" i="1"/>
  <c r="A4061" i="1"/>
  <c r="A4057" i="1"/>
  <c r="A4056" i="1"/>
  <c r="A4055" i="1"/>
  <c r="A4054" i="1"/>
  <c r="A4049" i="1"/>
  <c r="A4048" i="1"/>
  <c r="A4044" i="1"/>
  <c r="A4043" i="1"/>
  <c r="A4042" i="1"/>
  <c r="A4041" i="1"/>
  <c r="A4035" i="1"/>
  <c r="A4034" i="1"/>
  <c r="A4030" i="1"/>
  <c r="A4029" i="1"/>
  <c r="A4028" i="1"/>
  <c r="A4027" i="1"/>
  <c r="A4022" i="1"/>
  <c r="A4021" i="1"/>
  <c r="A4017" i="1"/>
  <c r="A4016" i="1"/>
  <c r="A4015" i="1"/>
  <c r="A4014" i="1"/>
  <c r="A4009" i="1"/>
  <c r="A4008" i="1"/>
  <c r="A4004" i="1"/>
  <c r="A4003" i="1"/>
  <c r="A4002" i="1"/>
  <c r="A4001" i="1"/>
  <c r="A3996" i="1"/>
  <c r="A3995" i="1"/>
  <c r="A3991" i="1"/>
  <c r="A3990" i="1"/>
  <c r="A3989" i="1"/>
  <c r="A3988" i="1"/>
  <c r="A3983" i="1"/>
  <c r="A3982" i="1"/>
  <c r="A3978" i="1"/>
  <c r="A3977" i="1"/>
  <c r="A3976" i="1"/>
  <c r="A3975" i="1"/>
  <c r="A3970" i="1"/>
  <c r="A3969" i="1"/>
  <c r="A3965" i="1"/>
  <c r="A3964" i="1"/>
  <c r="A3963" i="1"/>
  <c r="A3962" i="1"/>
  <c r="A3957" i="1"/>
  <c r="A3956" i="1"/>
  <c r="A3952" i="1"/>
  <c r="A3951" i="1"/>
  <c r="A3950" i="1"/>
  <c r="A3949" i="1"/>
  <c r="A3944" i="1"/>
  <c r="A3943" i="1"/>
  <c r="A3939" i="1"/>
  <c r="A3938" i="1"/>
  <c r="A3937" i="1"/>
  <c r="A3936" i="1"/>
  <c r="A3931" i="1"/>
  <c r="A3930" i="1"/>
  <c r="A3926" i="1"/>
  <c r="A3925" i="1"/>
  <c r="A3924" i="1"/>
  <c r="A3923" i="1"/>
  <c r="A3918" i="1"/>
  <c r="A3917" i="1"/>
  <c r="A3913" i="1"/>
  <c r="A3912" i="1"/>
  <c r="A3911" i="1"/>
  <c r="A3910" i="1"/>
  <c r="A3907" i="1"/>
  <c r="A3903" i="1"/>
  <c r="A3902" i="1"/>
  <c r="A3901" i="1"/>
  <c r="A3900" i="1"/>
  <c r="A3897" i="1"/>
  <c r="A3893" i="1"/>
  <c r="A3892" i="1"/>
  <c r="A3891" i="1"/>
  <c r="A3890" i="1"/>
  <c r="A3887" i="1"/>
  <c r="A3883" i="1"/>
  <c r="A3882" i="1"/>
  <c r="A3881" i="1"/>
  <c r="A3880" i="1"/>
  <c r="A3875" i="1"/>
  <c r="A3874" i="1"/>
  <c r="A3870" i="1"/>
  <c r="A3869" i="1"/>
  <c r="A3868" i="1"/>
  <c r="A3867" i="1"/>
  <c r="A3862" i="1"/>
  <c r="A3861" i="1"/>
  <c r="A3857" i="1"/>
  <c r="A3856" i="1"/>
  <c r="A3855" i="1"/>
  <c r="A3854" i="1"/>
  <c r="A3849" i="1"/>
  <c r="A3848" i="1"/>
  <c r="A3844" i="1"/>
  <c r="A3843" i="1"/>
  <c r="A3842" i="1"/>
  <c r="A3841" i="1"/>
  <c r="A3836" i="1"/>
  <c r="A3835" i="1"/>
  <c r="A3831" i="1"/>
  <c r="A3830" i="1"/>
  <c r="A3829" i="1"/>
  <c r="A3828" i="1"/>
  <c r="A3823" i="1"/>
  <c r="A3822" i="1"/>
  <c r="A3818" i="1"/>
  <c r="A3817" i="1"/>
  <c r="A3816" i="1"/>
  <c r="A3815" i="1"/>
  <c r="A3810" i="1"/>
  <c r="A3809" i="1"/>
  <c r="A3805" i="1"/>
  <c r="A3804" i="1"/>
  <c r="A3803" i="1"/>
  <c r="A3802" i="1"/>
  <c r="A3797" i="1"/>
  <c r="A3796" i="1"/>
  <c r="A3792" i="1"/>
  <c r="A3791" i="1"/>
  <c r="A3790" i="1"/>
  <c r="A3789" i="1"/>
  <c r="A3784" i="1"/>
  <c r="A3783" i="1"/>
  <c r="A3779" i="1"/>
  <c r="A3778" i="1"/>
  <c r="A3777" i="1"/>
  <c r="A3776" i="1"/>
  <c r="A3771" i="1"/>
  <c r="A3770" i="1"/>
  <c r="A3766" i="1"/>
  <c r="A3765" i="1"/>
  <c r="A3764" i="1"/>
  <c r="A3763" i="1"/>
  <c r="A3758" i="1"/>
  <c r="A3757" i="1"/>
  <c r="A3753" i="1"/>
  <c r="A3752" i="1"/>
  <c r="A3751" i="1"/>
  <c r="A3750" i="1"/>
  <c r="A3745" i="1"/>
  <c r="A3744" i="1"/>
  <c r="A3740" i="1"/>
  <c r="A3739" i="1"/>
  <c r="A3738" i="1"/>
  <c r="A3737" i="1"/>
  <c r="A3732" i="1"/>
  <c r="A3731" i="1"/>
  <c r="A3727" i="1"/>
  <c r="A3726" i="1"/>
  <c r="A3725" i="1"/>
  <c r="A3724" i="1"/>
  <c r="A3719" i="1"/>
  <c r="A3718" i="1"/>
  <c r="A3714" i="1"/>
  <c r="A3713" i="1"/>
  <c r="A3712" i="1"/>
  <c r="A3711" i="1"/>
  <c r="A3706" i="1"/>
  <c r="A3705" i="1"/>
  <c r="A3701" i="1"/>
  <c r="A3700" i="1"/>
  <c r="A3699" i="1"/>
  <c r="A3698" i="1"/>
  <c r="A3693" i="1"/>
  <c r="A3692" i="1"/>
  <c r="A3688" i="1"/>
  <c r="A3687" i="1"/>
  <c r="A3686" i="1"/>
  <c r="A3685" i="1"/>
  <c r="A3680" i="1"/>
  <c r="A3679" i="1"/>
  <c r="A3675" i="1"/>
  <c r="A3674" i="1"/>
  <c r="A3673" i="1"/>
  <c r="A3672" i="1"/>
  <c r="A3667" i="1"/>
  <c r="A3666" i="1"/>
  <c r="A3662" i="1"/>
  <c r="A3661" i="1"/>
  <c r="A3660" i="1"/>
  <c r="A3659" i="1"/>
  <c r="A3654" i="1"/>
  <c r="A3653" i="1"/>
  <c r="A3649" i="1"/>
  <c r="A3648" i="1"/>
  <c r="A3647" i="1"/>
  <c r="A3646" i="1"/>
  <c r="A3641" i="1"/>
  <c r="A3640" i="1"/>
  <c r="A3636" i="1"/>
  <c r="A3635" i="1"/>
  <c r="A3634" i="1"/>
  <c r="A3633" i="1"/>
  <c r="A3628" i="1"/>
  <c r="A3627" i="1"/>
  <c r="A3623" i="1"/>
  <c r="A3622" i="1"/>
  <c r="A3621" i="1"/>
  <c r="A3620" i="1"/>
  <c r="A3615" i="1"/>
  <c r="A3614" i="1"/>
  <c r="A3610" i="1"/>
  <c r="A3609" i="1"/>
  <c r="A3608" i="1"/>
  <c r="A3607" i="1"/>
  <c r="A3604" i="1"/>
  <c r="A3600" i="1"/>
  <c r="A3599" i="1"/>
  <c r="A3598" i="1"/>
  <c r="A3597" i="1"/>
  <c r="A3591" i="1"/>
  <c r="A3590" i="1"/>
  <c r="A3586" i="1"/>
  <c r="A3585" i="1"/>
  <c r="A3584" i="1"/>
  <c r="A3583" i="1"/>
  <c r="A3577" i="1"/>
  <c r="A3576" i="1"/>
  <c r="A3572" i="1"/>
  <c r="A3571" i="1"/>
  <c r="A3570" i="1"/>
  <c r="A3569" i="1"/>
  <c r="A3563" i="1"/>
  <c r="A3562" i="1"/>
  <c r="A3558" i="1"/>
  <c r="A3557" i="1"/>
  <c r="A3556" i="1"/>
  <c r="A3555" i="1"/>
  <c r="A3552" i="1"/>
  <c r="A3551" i="1"/>
  <c r="A3547" i="1"/>
  <c r="A3546" i="1"/>
  <c r="A3545" i="1"/>
  <c r="A3544" i="1"/>
  <c r="A3536" i="1"/>
  <c r="A3535" i="1"/>
  <c r="A3531" i="1"/>
  <c r="A3530" i="1"/>
  <c r="A3529" i="1"/>
  <c r="A3528" i="1"/>
  <c r="A3523" i="1"/>
  <c r="A3522" i="1"/>
  <c r="A3518" i="1"/>
  <c r="A3517" i="1"/>
  <c r="A3516" i="1"/>
  <c r="A3515" i="1"/>
  <c r="A3512" i="1"/>
  <c r="A3511" i="1"/>
  <c r="A3507" i="1"/>
  <c r="A3506" i="1"/>
  <c r="A3505" i="1"/>
  <c r="A3504" i="1"/>
  <c r="A3496" i="1"/>
  <c r="A3495" i="1"/>
  <c r="A3491" i="1"/>
  <c r="A3490" i="1"/>
  <c r="A3489" i="1"/>
  <c r="A3488" i="1"/>
  <c r="A3482" i="1"/>
  <c r="A3481" i="1"/>
  <c r="A3477" i="1"/>
  <c r="A3476" i="1"/>
  <c r="A3475" i="1"/>
  <c r="A3474" i="1"/>
  <c r="A3468" i="1"/>
  <c r="A3467" i="1"/>
  <c r="A3463" i="1"/>
  <c r="A3462" i="1"/>
  <c r="A3461" i="1"/>
  <c r="A3460" i="1"/>
  <c r="A3454" i="1"/>
  <c r="A3453" i="1"/>
  <c r="A3449" i="1"/>
  <c r="A3448" i="1"/>
  <c r="A3447" i="1"/>
  <c r="A3446" i="1"/>
  <c r="A3440" i="1"/>
  <c r="A3439" i="1"/>
  <c r="A3435" i="1"/>
  <c r="A3434" i="1"/>
  <c r="A3433" i="1"/>
  <c r="A3432" i="1"/>
  <c r="A3426" i="1"/>
  <c r="A3425" i="1"/>
  <c r="A3421" i="1"/>
  <c r="A3420" i="1"/>
  <c r="A3419" i="1"/>
  <c r="A3418" i="1"/>
  <c r="A3413" i="1"/>
  <c r="A3412" i="1"/>
  <c r="A3408" i="1"/>
  <c r="A3407" i="1"/>
  <c r="A3406" i="1"/>
  <c r="A3405" i="1"/>
  <c r="A3400" i="1"/>
  <c r="A3399" i="1"/>
  <c r="A3395" i="1"/>
  <c r="A3394" i="1"/>
  <c r="A3393" i="1"/>
  <c r="A3392" i="1"/>
  <c r="A3385" i="1"/>
  <c r="A3384" i="1"/>
  <c r="A3380" i="1"/>
  <c r="A3379" i="1"/>
  <c r="A3378" i="1"/>
  <c r="A3377" i="1"/>
  <c r="A3370" i="1"/>
  <c r="A3369" i="1"/>
  <c r="A3365" i="1"/>
  <c r="A3364" i="1"/>
  <c r="A3363" i="1"/>
  <c r="A3362" i="1"/>
  <c r="A3355" i="1"/>
  <c r="A3354" i="1"/>
  <c r="A3350" i="1"/>
  <c r="A3349" i="1"/>
  <c r="A3348" i="1"/>
  <c r="A3347" i="1"/>
  <c r="A3340" i="1"/>
  <c r="A3339" i="1"/>
  <c r="A3335" i="1"/>
  <c r="A3334" i="1"/>
  <c r="A3333" i="1"/>
  <c r="A3332" i="1"/>
  <c r="A3325" i="1"/>
  <c r="A3324" i="1"/>
  <c r="A3320" i="1"/>
  <c r="A3319" i="1"/>
  <c r="A3318" i="1"/>
  <c r="A3317" i="1"/>
  <c r="A3313" i="1"/>
  <c r="A3312" i="1"/>
  <c r="A3308" i="1"/>
  <c r="A3307" i="1"/>
  <c r="A3306" i="1"/>
  <c r="A3305" i="1"/>
  <c r="A3300" i="1"/>
  <c r="A3299" i="1"/>
  <c r="A3295" i="1"/>
  <c r="A3294" i="1"/>
  <c r="A3293" i="1"/>
  <c r="A3292" i="1"/>
  <c r="A3288" i="1"/>
  <c r="A3287" i="1"/>
  <c r="A3283" i="1"/>
  <c r="A3282" i="1"/>
  <c r="A3281" i="1"/>
  <c r="A3280" i="1"/>
  <c r="A3276" i="1"/>
  <c r="A3275" i="1"/>
  <c r="A3271" i="1"/>
  <c r="A3270" i="1"/>
  <c r="A3269" i="1"/>
  <c r="A3268" i="1"/>
  <c r="A3264" i="1"/>
  <c r="A3263" i="1"/>
  <c r="A3259" i="1"/>
  <c r="A3258" i="1"/>
  <c r="A3257" i="1"/>
  <c r="A3256" i="1"/>
  <c r="A3252" i="1"/>
  <c r="A3251" i="1"/>
  <c r="A3247" i="1"/>
  <c r="A3246" i="1"/>
  <c r="A3245" i="1"/>
  <c r="A3244" i="1"/>
  <c r="A3240" i="1"/>
  <c r="A3239" i="1"/>
  <c r="A3235" i="1"/>
  <c r="A3234" i="1"/>
  <c r="A3233" i="1"/>
  <c r="A3232" i="1"/>
  <c r="A3228" i="1"/>
  <c r="A3227" i="1"/>
  <c r="A3223" i="1"/>
  <c r="A3222" i="1"/>
  <c r="A3221" i="1"/>
  <c r="A3220" i="1"/>
  <c r="A3215" i="1"/>
  <c r="A3214" i="1"/>
  <c r="A3210" i="1"/>
  <c r="A3209" i="1"/>
  <c r="A3208" i="1"/>
  <c r="A3207" i="1"/>
  <c r="A3202" i="1"/>
  <c r="A3201" i="1"/>
  <c r="A3197" i="1"/>
  <c r="A3196" i="1"/>
  <c r="A3195" i="1"/>
  <c r="A3194" i="1"/>
  <c r="A3189" i="1"/>
  <c r="A3188" i="1"/>
  <c r="A3184" i="1"/>
  <c r="A3183" i="1"/>
  <c r="A3182" i="1"/>
  <c r="A3181" i="1"/>
  <c r="A3176" i="1"/>
  <c r="A3175" i="1"/>
  <c r="A3171" i="1"/>
  <c r="A3170" i="1"/>
  <c r="A3169" i="1"/>
  <c r="A3168" i="1"/>
  <c r="A3163" i="1"/>
  <c r="A3162" i="1"/>
  <c r="A3158" i="1"/>
  <c r="A3157" i="1"/>
  <c r="A3156" i="1"/>
  <c r="A3155" i="1"/>
  <c r="A3150" i="1"/>
  <c r="A3149" i="1"/>
  <c r="A3145" i="1"/>
  <c r="A3144" i="1"/>
  <c r="A3143" i="1"/>
  <c r="A3142" i="1"/>
  <c r="A3137" i="1"/>
  <c r="A3136" i="1"/>
  <c r="A3132" i="1"/>
  <c r="A3131" i="1"/>
  <c r="A3130" i="1"/>
  <c r="A3129" i="1"/>
  <c r="A3126" i="1"/>
  <c r="A3125" i="1"/>
  <c r="A3121" i="1"/>
  <c r="A3120" i="1"/>
  <c r="A3119" i="1"/>
  <c r="A3118" i="1"/>
  <c r="A3108" i="1"/>
  <c r="A3107" i="1"/>
  <c r="A3103" i="1"/>
  <c r="A3102" i="1"/>
  <c r="A3101" i="1"/>
  <c r="A3100" i="1"/>
  <c r="A3095" i="1"/>
  <c r="A3094" i="1"/>
  <c r="A3090" i="1"/>
  <c r="A3089" i="1"/>
  <c r="A3088" i="1"/>
  <c r="A3087" i="1"/>
  <c r="A3083" i="1"/>
  <c r="A3082" i="1"/>
  <c r="A3078" i="1"/>
  <c r="A3077" i="1"/>
  <c r="A3076" i="1"/>
  <c r="A3075" i="1"/>
  <c r="A3067" i="1"/>
  <c r="A3066" i="1"/>
  <c r="A3062" i="1"/>
  <c r="A3061" i="1"/>
  <c r="A3060" i="1"/>
  <c r="A3059" i="1"/>
  <c r="A3055" i="1"/>
  <c r="A3054" i="1"/>
  <c r="A3050" i="1"/>
  <c r="A3049" i="1"/>
  <c r="A3048" i="1"/>
  <c r="A3047" i="1"/>
  <c r="A3039" i="1"/>
  <c r="A3038" i="1"/>
  <c r="A3034" i="1"/>
  <c r="A3033" i="1"/>
  <c r="A3032" i="1"/>
  <c r="A3031" i="1"/>
  <c r="A3028" i="1"/>
  <c r="A3027" i="1"/>
  <c r="A3023" i="1"/>
  <c r="A3022" i="1"/>
  <c r="A3021" i="1"/>
  <c r="A3020" i="1"/>
  <c r="A3017" i="1"/>
  <c r="A3016" i="1"/>
  <c r="A3012" i="1"/>
  <c r="A3011" i="1"/>
  <c r="A3010" i="1"/>
  <c r="A3009" i="1"/>
  <c r="A3004" i="1"/>
  <c r="A3003" i="1"/>
  <c r="A2999" i="1"/>
  <c r="A2998" i="1"/>
  <c r="A2997" i="1"/>
  <c r="A2996" i="1"/>
  <c r="A2991" i="1"/>
  <c r="A2990" i="1"/>
  <c r="A2986" i="1"/>
  <c r="A2985" i="1"/>
  <c r="A2984" i="1"/>
  <c r="A2983" i="1"/>
  <c r="A2978" i="1"/>
  <c r="A2977" i="1"/>
  <c r="A2973" i="1"/>
  <c r="A2972" i="1"/>
  <c r="A2971" i="1"/>
  <c r="A2970" i="1"/>
  <c r="A2965" i="1"/>
  <c r="A2964" i="1"/>
  <c r="A2960" i="1"/>
  <c r="A2959" i="1"/>
  <c r="A2958" i="1"/>
  <c r="A2957" i="1"/>
  <c r="A2952" i="1"/>
  <c r="A2951" i="1"/>
  <c r="A2947" i="1"/>
  <c r="A2946" i="1"/>
  <c r="A2945" i="1"/>
  <c r="A2944" i="1"/>
  <c r="A2939" i="1"/>
  <c r="A2938" i="1"/>
  <c r="A2934" i="1"/>
  <c r="A2933" i="1"/>
  <c r="A2932" i="1"/>
  <c r="A2931" i="1"/>
  <c r="A2926" i="1"/>
  <c r="A2925" i="1"/>
  <c r="A2921" i="1"/>
  <c r="A2920" i="1"/>
  <c r="A2919" i="1"/>
  <c r="A2918" i="1"/>
  <c r="A2913" i="1"/>
  <c r="A2912" i="1"/>
  <c r="A2908" i="1"/>
  <c r="A2907" i="1"/>
  <c r="A2906" i="1"/>
  <c r="A2905" i="1"/>
  <c r="A2900" i="1"/>
  <c r="A2899" i="1"/>
  <c r="A2895" i="1"/>
  <c r="A2894" i="1"/>
  <c r="A2893" i="1"/>
  <c r="A2892" i="1"/>
  <c r="A2887" i="1"/>
  <c r="A2886" i="1"/>
  <c r="A2882" i="1"/>
  <c r="A2881" i="1"/>
  <c r="A2880" i="1"/>
  <c r="A2879" i="1"/>
  <c r="A2874" i="1"/>
  <c r="A2873" i="1"/>
  <c r="A2869" i="1"/>
  <c r="A2868" i="1"/>
  <c r="A2867" i="1"/>
  <c r="A2866" i="1"/>
  <c r="A2858" i="1"/>
  <c r="A2857" i="1"/>
  <c r="A2853" i="1"/>
  <c r="A2852" i="1"/>
  <c r="A2851" i="1"/>
  <c r="A2850" i="1"/>
  <c r="A2844" i="1"/>
  <c r="A2843" i="1"/>
  <c r="A2839" i="1"/>
  <c r="A2838" i="1"/>
  <c r="A2837" i="1"/>
  <c r="A2836" i="1"/>
  <c r="A2828" i="1"/>
  <c r="A2827" i="1"/>
  <c r="A2823" i="1"/>
  <c r="A2822" i="1"/>
  <c r="A2821" i="1"/>
  <c r="A2820" i="1"/>
  <c r="A2814" i="1"/>
  <c r="A2813" i="1"/>
  <c r="A2809" i="1"/>
  <c r="A2808" i="1"/>
  <c r="A2807" i="1"/>
  <c r="A2806" i="1"/>
  <c r="A2800" i="1"/>
  <c r="A2799" i="1"/>
  <c r="A2795" i="1"/>
  <c r="A2794" i="1"/>
  <c r="A2793" i="1"/>
  <c r="A2792" i="1"/>
  <c r="A2786" i="1"/>
  <c r="A2785" i="1"/>
  <c r="A2781" i="1"/>
  <c r="A2780" i="1"/>
  <c r="A2779" i="1"/>
  <c r="A2778" i="1"/>
  <c r="A2772" i="1"/>
  <c r="A2771" i="1"/>
  <c r="A2767" i="1"/>
  <c r="A2766" i="1"/>
  <c r="A2765" i="1"/>
  <c r="A2764" i="1"/>
  <c r="A2757" i="1"/>
  <c r="A2756" i="1"/>
  <c r="A2752" i="1"/>
  <c r="A2751" i="1"/>
  <c r="A2750" i="1"/>
  <c r="A2749" i="1"/>
  <c r="A2743" i="1"/>
  <c r="A2742" i="1"/>
  <c r="A2738" i="1"/>
  <c r="A2737" i="1"/>
  <c r="A2736" i="1"/>
  <c r="A2735" i="1"/>
  <c r="A2729" i="1"/>
  <c r="A2728" i="1"/>
  <c r="A2724" i="1"/>
  <c r="A2723" i="1"/>
  <c r="A2722" i="1"/>
  <c r="A2721" i="1"/>
  <c r="A2715" i="1"/>
  <c r="A2714" i="1"/>
  <c r="A2710" i="1"/>
  <c r="A2709" i="1"/>
  <c r="A2708" i="1"/>
  <c r="A2707" i="1"/>
  <c r="A2701" i="1"/>
  <c r="A2700" i="1"/>
  <c r="A2696" i="1"/>
  <c r="A2695" i="1"/>
  <c r="A2694" i="1"/>
  <c r="A2693" i="1"/>
  <c r="A2687" i="1"/>
  <c r="A2686" i="1"/>
  <c r="A2682" i="1"/>
  <c r="A2681" i="1"/>
  <c r="A2680" i="1"/>
  <c r="A2679" i="1"/>
  <c r="A2676" i="1"/>
  <c r="A2672" i="1"/>
  <c r="A2671" i="1"/>
  <c r="A2670" i="1"/>
  <c r="A2669" i="1"/>
  <c r="A2666" i="1"/>
  <c r="A2662" i="1"/>
  <c r="A2661" i="1"/>
  <c r="A2660" i="1"/>
  <c r="A2659" i="1"/>
  <c r="A2656" i="1"/>
  <c r="A2652" i="1"/>
  <c r="A2651" i="1"/>
  <c r="A2650" i="1"/>
  <c r="A2649" i="1"/>
  <c r="A2640" i="1"/>
  <c r="A2639" i="1"/>
  <c r="A2635" i="1"/>
  <c r="A2634" i="1"/>
  <c r="A2633" i="1"/>
  <c r="A2632" i="1"/>
  <c r="A2624" i="1"/>
  <c r="A2623" i="1"/>
  <c r="A2619" i="1"/>
  <c r="A2618" i="1"/>
  <c r="A2617" i="1"/>
  <c r="A2616" i="1"/>
  <c r="A2608" i="1"/>
  <c r="A2607" i="1"/>
  <c r="A2603" i="1"/>
  <c r="A2602" i="1"/>
  <c r="A2601" i="1"/>
  <c r="A2600" i="1"/>
  <c r="A2592" i="1"/>
  <c r="A2591" i="1"/>
  <c r="A2587" i="1"/>
  <c r="A2586" i="1"/>
  <c r="A2585" i="1"/>
  <c r="A2584" i="1"/>
  <c r="A2576" i="1"/>
  <c r="A2575" i="1"/>
  <c r="A2571" i="1"/>
  <c r="A2570" i="1"/>
  <c r="A2569" i="1"/>
  <c r="A2568" i="1"/>
  <c r="A2560" i="1"/>
  <c r="A2559" i="1"/>
  <c r="A2555" i="1"/>
  <c r="A2554" i="1"/>
  <c r="A2553" i="1"/>
  <c r="A2552" i="1"/>
  <c r="A2544" i="1"/>
  <c r="A2543" i="1"/>
  <c r="A2539" i="1"/>
  <c r="A2538" i="1"/>
  <c r="A2537" i="1"/>
  <c r="A2536" i="1"/>
  <c r="A2533" i="1"/>
  <c r="A2532" i="1"/>
  <c r="A2528" i="1"/>
  <c r="A2527" i="1"/>
  <c r="A2526" i="1"/>
  <c r="A2525" i="1"/>
  <c r="A2522" i="1"/>
  <c r="A2521" i="1"/>
  <c r="A2517" i="1"/>
  <c r="A2516" i="1"/>
  <c r="A2515" i="1"/>
  <c r="A2514" i="1"/>
  <c r="A2510" i="1"/>
  <c r="A2509" i="1"/>
  <c r="A2505" i="1"/>
  <c r="A2504" i="1"/>
  <c r="A2503" i="1"/>
  <c r="A2502" i="1"/>
  <c r="A2498" i="1"/>
  <c r="A2497" i="1"/>
  <c r="A2493" i="1"/>
  <c r="A2492" i="1"/>
  <c r="A2491" i="1"/>
  <c r="A2490" i="1"/>
  <c r="A2486" i="1"/>
  <c r="A2485" i="1"/>
  <c r="A2481" i="1"/>
  <c r="A2480" i="1"/>
  <c r="A2479" i="1"/>
  <c r="A2478" i="1"/>
  <c r="A2474" i="1"/>
  <c r="A2473" i="1"/>
  <c r="A2469" i="1"/>
  <c r="A2468" i="1"/>
  <c r="A2467" i="1"/>
  <c r="A2466" i="1"/>
  <c r="A2461" i="1"/>
  <c r="A2460" i="1"/>
  <c r="A2456" i="1"/>
  <c r="A2455" i="1"/>
  <c r="A2454" i="1"/>
  <c r="A2453" i="1"/>
  <c r="A2450" i="1"/>
  <c r="A2449" i="1"/>
  <c r="A2445" i="1"/>
  <c r="A2444" i="1"/>
  <c r="A2443" i="1"/>
  <c r="A2442" i="1"/>
  <c r="A2439" i="1"/>
  <c r="A2438" i="1"/>
  <c r="A2434" i="1"/>
  <c r="A2433" i="1"/>
  <c r="A2432" i="1"/>
  <c r="A2431" i="1"/>
  <c r="A2426" i="1"/>
  <c r="A2425" i="1"/>
  <c r="A2421" i="1"/>
  <c r="A2420" i="1"/>
  <c r="A2419" i="1"/>
  <c r="A2418" i="1"/>
  <c r="A2411" i="1"/>
  <c r="A2410" i="1"/>
  <c r="A2406" i="1"/>
  <c r="A2405" i="1"/>
  <c r="A2404" i="1"/>
  <c r="A2403" i="1"/>
  <c r="A2397" i="1"/>
  <c r="A2396" i="1"/>
  <c r="A2392" i="1"/>
  <c r="A2391" i="1"/>
  <c r="A2390" i="1"/>
  <c r="A2389" i="1"/>
  <c r="A2383" i="1"/>
  <c r="A2382" i="1"/>
  <c r="A2378" i="1"/>
  <c r="A2377" i="1"/>
  <c r="A2376" i="1"/>
  <c r="A2375" i="1"/>
  <c r="A2369" i="1"/>
  <c r="A2368" i="1"/>
  <c r="A2364" i="1"/>
  <c r="A2363" i="1"/>
  <c r="A2362" i="1"/>
  <c r="A2361" i="1"/>
  <c r="A2355" i="1"/>
  <c r="A2354" i="1"/>
  <c r="A2350" i="1"/>
  <c r="A2349" i="1"/>
  <c r="A2348" i="1"/>
  <c r="A2347" i="1"/>
  <c r="A2343" i="1"/>
  <c r="A2342" i="1"/>
  <c r="A2338" i="1"/>
  <c r="A2337" i="1"/>
  <c r="A2336" i="1"/>
  <c r="A2335" i="1"/>
  <c r="A2330" i="1"/>
  <c r="A2329" i="1"/>
  <c r="A2325" i="1"/>
  <c r="A2324" i="1"/>
  <c r="A2323" i="1"/>
  <c r="A2322" i="1"/>
  <c r="A2317" i="1"/>
  <c r="A2316" i="1"/>
  <c r="A2312" i="1"/>
  <c r="A2311" i="1"/>
  <c r="A2310" i="1"/>
  <c r="A2309" i="1"/>
  <c r="A2304" i="1"/>
  <c r="A2303" i="1"/>
  <c r="A2299" i="1"/>
  <c r="A2298" i="1"/>
  <c r="A2297" i="1"/>
  <c r="A2296" i="1"/>
  <c r="A2291" i="1"/>
  <c r="A2290" i="1"/>
  <c r="A2286" i="1"/>
  <c r="A2285" i="1"/>
  <c r="A2284" i="1"/>
  <c r="A2283" i="1"/>
  <c r="A2278" i="1"/>
  <c r="A2277" i="1"/>
  <c r="A2273" i="1"/>
  <c r="A2272" i="1"/>
  <c r="A2271" i="1"/>
  <c r="A2270" i="1"/>
  <c r="A2265" i="1"/>
  <c r="A2264" i="1"/>
  <c r="A2260" i="1"/>
  <c r="A2259" i="1"/>
  <c r="A2258" i="1"/>
  <c r="A2257" i="1"/>
  <c r="A2252" i="1"/>
  <c r="A2251" i="1"/>
  <c r="A2247" i="1"/>
  <c r="A2246" i="1"/>
  <c r="A2245" i="1"/>
  <c r="A2244" i="1"/>
  <c r="A2239" i="1"/>
  <c r="A2238" i="1"/>
  <c r="A2234" i="1"/>
  <c r="A2233" i="1"/>
  <c r="A2232" i="1"/>
  <c r="A2231" i="1"/>
  <c r="A2227" i="1"/>
  <c r="A2226" i="1"/>
  <c r="A2222" i="1"/>
  <c r="A2221" i="1"/>
  <c r="A2220" i="1"/>
  <c r="A2219" i="1"/>
  <c r="A2212" i="1"/>
  <c r="A2211" i="1"/>
  <c r="A2207" i="1"/>
  <c r="A2206" i="1"/>
  <c r="A2205" i="1"/>
  <c r="A2204" i="1"/>
  <c r="A2198" i="1"/>
  <c r="A2197" i="1"/>
  <c r="A2193" i="1"/>
  <c r="A2192" i="1"/>
  <c r="A2191" i="1"/>
  <c r="A2190" i="1"/>
  <c r="A2184" i="1"/>
  <c r="A2183" i="1"/>
  <c r="A2179" i="1"/>
  <c r="A2178" i="1"/>
  <c r="A2177" i="1"/>
  <c r="A2176" i="1"/>
  <c r="A2170" i="1"/>
  <c r="A2169" i="1"/>
  <c r="A2165" i="1"/>
  <c r="A2164" i="1"/>
  <c r="A2163" i="1"/>
  <c r="A2162" i="1"/>
  <c r="A2157" i="1"/>
  <c r="A2156" i="1"/>
  <c r="A2152" i="1"/>
  <c r="A2151" i="1"/>
  <c r="A2150" i="1"/>
  <c r="A2149" i="1"/>
  <c r="A2143" i="1"/>
  <c r="A2142" i="1"/>
  <c r="A2138" i="1"/>
  <c r="A2137" i="1"/>
  <c r="A2136" i="1"/>
  <c r="A2135" i="1"/>
  <c r="A2129" i="1"/>
  <c r="A2128" i="1"/>
  <c r="A2124" i="1"/>
  <c r="A2123" i="1"/>
  <c r="A2122" i="1"/>
  <c r="A2121" i="1"/>
  <c r="A2115" i="1"/>
  <c r="A2114" i="1"/>
  <c r="A2110" i="1"/>
  <c r="A2109" i="1"/>
  <c r="A2108" i="1"/>
  <c r="A2107" i="1"/>
  <c r="A2101" i="1"/>
  <c r="A2100" i="1"/>
  <c r="A2096" i="1"/>
  <c r="A2095" i="1"/>
  <c r="A2094" i="1"/>
  <c r="A2093" i="1"/>
  <c r="A2087" i="1"/>
  <c r="A2086" i="1"/>
  <c r="A2082" i="1"/>
  <c r="A2081" i="1"/>
  <c r="A2080" i="1"/>
  <c r="A2079" i="1"/>
  <c r="A2073" i="1"/>
  <c r="A2072" i="1"/>
  <c r="A2068" i="1"/>
  <c r="A2067" i="1"/>
  <c r="A2066" i="1"/>
  <c r="A2065" i="1"/>
  <c r="A2059" i="1"/>
  <c r="A2058" i="1"/>
  <c r="A2054" i="1"/>
  <c r="A2053" i="1"/>
  <c r="A2052" i="1"/>
  <c r="A2051" i="1"/>
  <c r="A2045" i="1"/>
  <c r="A2044" i="1"/>
  <c r="A2040" i="1"/>
  <c r="A2039" i="1"/>
  <c r="A2038" i="1"/>
  <c r="A2037" i="1"/>
  <c r="A2031" i="1"/>
  <c r="A2030" i="1"/>
  <c r="A2026" i="1"/>
  <c r="A2025" i="1"/>
  <c r="A2024" i="1"/>
  <c r="A2023" i="1"/>
  <c r="A2017" i="1"/>
  <c r="A2016" i="1"/>
  <c r="A2012" i="1"/>
  <c r="A2011" i="1"/>
  <c r="A2010" i="1"/>
  <c r="A2009" i="1"/>
  <c r="A2003" i="1"/>
  <c r="A2002" i="1"/>
  <c r="A1998" i="1"/>
  <c r="A1997" i="1"/>
  <c r="A1996" i="1"/>
  <c r="A1995" i="1"/>
  <c r="A1992" i="1"/>
  <c r="A1991" i="1"/>
  <c r="A1987" i="1"/>
  <c r="A1986" i="1"/>
  <c r="A1985" i="1"/>
  <c r="A1984" i="1"/>
  <c r="A1981" i="1"/>
  <c r="A1980" i="1"/>
  <c r="A1976" i="1"/>
  <c r="A1975" i="1"/>
  <c r="A1974" i="1"/>
  <c r="A1973" i="1"/>
  <c r="A1970" i="1"/>
  <c r="A1969" i="1"/>
  <c r="A1965" i="1"/>
  <c r="A1964" i="1"/>
  <c r="A1963" i="1"/>
  <c r="A1962" i="1"/>
  <c r="A1959" i="1"/>
  <c r="A1958" i="1"/>
  <c r="A1954" i="1"/>
  <c r="A1953" i="1"/>
  <c r="A1952" i="1"/>
  <c r="A1951" i="1"/>
  <c r="A1948" i="1"/>
  <c r="A1947" i="1"/>
  <c r="A1943" i="1"/>
  <c r="A1942" i="1"/>
  <c r="A1941" i="1"/>
  <c r="A1940" i="1"/>
  <c r="A1937" i="1"/>
  <c r="A1936" i="1"/>
  <c r="A1932" i="1"/>
  <c r="A1931" i="1"/>
  <c r="A1930" i="1"/>
  <c r="A1929" i="1"/>
  <c r="A1923" i="1"/>
  <c r="A1922" i="1"/>
  <c r="A1918" i="1"/>
  <c r="A1917" i="1"/>
  <c r="A1916" i="1"/>
  <c r="A1915" i="1"/>
  <c r="A1910" i="1"/>
  <c r="A1909" i="1"/>
  <c r="A1905" i="1"/>
  <c r="A1904" i="1"/>
  <c r="A1903" i="1"/>
  <c r="A1902" i="1"/>
  <c r="A1897" i="1"/>
  <c r="A1896" i="1"/>
  <c r="A1892" i="1"/>
  <c r="A1891" i="1"/>
  <c r="A1890" i="1"/>
  <c r="A1889" i="1"/>
  <c r="A1884" i="1"/>
  <c r="A1883" i="1"/>
  <c r="A1879" i="1"/>
  <c r="A1878" i="1"/>
  <c r="A1877" i="1"/>
  <c r="A1876" i="1"/>
  <c r="A1871" i="1"/>
  <c r="A1870" i="1"/>
  <c r="A1866" i="1"/>
  <c r="A1865" i="1"/>
  <c r="A1864" i="1"/>
  <c r="A1863" i="1"/>
  <c r="A1858" i="1"/>
  <c r="A1857" i="1"/>
  <c r="A1853" i="1"/>
  <c r="A1852" i="1"/>
  <c r="A1851" i="1"/>
  <c r="A1850" i="1"/>
  <c r="A1847" i="1"/>
  <c r="A1846" i="1"/>
  <c r="A1842" i="1"/>
  <c r="A1841" i="1"/>
  <c r="A1840" i="1"/>
  <c r="A1839" i="1"/>
  <c r="A1836" i="1"/>
  <c r="A1835" i="1"/>
  <c r="A1831" i="1"/>
  <c r="A1830" i="1"/>
  <c r="A1829" i="1"/>
  <c r="A1828" i="1"/>
  <c r="A1825" i="1"/>
  <c r="A1824" i="1"/>
  <c r="A1820" i="1"/>
  <c r="A1819" i="1"/>
  <c r="A1818" i="1"/>
  <c r="A1817" i="1"/>
  <c r="A1814" i="1"/>
  <c r="A1813" i="1"/>
  <c r="A1809" i="1"/>
  <c r="A1808" i="1"/>
  <c r="A1807" i="1"/>
  <c r="A1806" i="1"/>
  <c r="A1803" i="1"/>
  <c r="A1802" i="1"/>
  <c r="A1798" i="1"/>
  <c r="A1797" i="1"/>
  <c r="A1796" i="1"/>
  <c r="A1795" i="1"/>
  <c r="A1790" i="1"/>
  <c r="A1789" i="1"/>
  <c r="A1785" i="1"/>
  <c r="A1784" i="1"/>
  <c r="A1783" i="1"/>
  <c r="A1782" i="1"/>
  <c r="A1777" i="1"/>
  <c r="A1776" i="1"/>
  <c r="A1772" i="1"/>
  <c r="A1771" i="1"/>
  <c r="A1770" i="1"/>
  <c r="A1769" i="1"/>
  <c r="A1765" i="1"/>
  <c r="A1764" i="1"/>
  <c r="A1760" i="1"/>
  <c r="A1759" i="1"/>
  <c r="A1758" i="1"/>
  <c r="A1757" i="1"/>
  <c r="A1754" i="1"/>
  <c r="A1753" i="1"/>
  <c r="A1749" i="1"/>
  <c r="A1748" i="1"/>
  <c r="A1747" i="1"/>
  <c r="A1746" i="1"/>
  <c r="A1743" i="1"/>
  <c r="A1742" i="1"/>
  <c r="A1738" i="1"/>
  <c r="A1737" i="1"/>
  <c r="A1736" i="1"/>
  <c r="A1735" i="1"/>
  <c r="A1728" i="1"/>
  <c r="A1727" i="1"/>
  <c r="A1723" i="1"/>
  <c r="A1722" i="1"/>
  <c r="A1721" i="1"/>
  <c r="A1720" i="1"/>
  <c r="A1713" i="1"/>
  <c r="A1712" i="1"/>
  <c r="A1708" i="1"/>
  <c r="A1707" i="1"/>
  <c r="A1706" i="1"/>
  <c r="A1705" i="1"/>
  <c r="A1695" i="1"/>
  <c r="A1694" i="1"/>
  <c r="A1690" i="1"/>
  <c r="A1689" i="1"/>
  <c r="A1688" i="1"/>
  <c r="A1687" i="1"/>
  <c r="A1680" i="1"/>
  <c r="A1679" i="1"/>
  <c r="A1675" i="1"/>
  <c r="A1674" i="1"/>
  <c r="A1673" i="1"/>
  <c r="A1672" i="1"/>
  <c r="A1665" i="1"/>
  <c r="A1664" i="1"/>
  <c r="A1660" i="1"/>
  <c r="A1659" i="1"/>
  <c r="A1658" i="1"/>
  <c r="A1657" i="1"/>
  <c r="A1650" i="1"/>
  <c r="A1649" i="1"/>
  <c r="A1645" i="1"/>
  <c r="A1644" i="1"/>
  <c r="A1643" i="1"/>
  <c r="A1642" i="1"/>
  <c r="A1635" i="1"/>
  <c r="A1634" i="1"/>
  <c r="A1630" i="1"/>
  <c r="A1629" i="1"/>
  <c r="A1628" i="1"/>
  <c r="A1627" i="1"/>
  <c r="A1622" i="1"/>
  <c r="A1621" i="1"/>
  <c r="A1617" i="1"/>
  <c r="A1616" i="1"/>
  <c r="A1615" i="1"/>
  <c r="A1614" i="1"/>
  <c r="A1609" i="1"/>
  <c r="A1608" i="1"/>
  <c r="A1604" i="1"/>
  <c r="A1603" i="1"/>
  <c r="A1602" i="1"/>
  <c r="A1601" i="1"/>
  <c r="A1596" i="1"/>
  <c r="A1595" i="1"/>
  <c r="A1591" i="1"/>
  <c r="A1590" i="1"/>
  <c r="A1589" i="1"/>
  <c r="A1588" i="1"/>
  <c r="A1583" i="1"/>
  <c r="A1582" i="1"/>
  <c r="A1578" i="1"/>
  <c r="A1577" i="1"/>
  <c r="A1576" i="1"/>
  <c r="A1575" i="1"/>
  <c r="A1572" i="1"/>
  <c r="A1571" i="1"/>
  <c r="A1567" i="1"/>
  <c r="A1566" i="1"/>
  <c r="A1565" i="1"/>
  <c r="A1564" i="1"/>
  <c r="A1555" i="1"/>
  <c r="A1554" i="1"/>
  <c r="A1550" i="1"/>
  <c r="A1549" i="1"/>
  <c r="A1548" i="1"/>
  <c r="A1547" i="1"/>
  <c r="A1544" i="1"/>
  <c r="A1540" i="1"/>
  <c r="A1539" i="1"/>
  <c r="A1538" i="1"/>
  <c r="A1537" i="1"/>
  <c r="A1529" i="1"/>
  <c r="A1528" i="1"/>
  <c r="A1524" i="1"/>
  <c r="A1523" i="1"/>
  <c r="A1522" i="1"/>
  <c r="A1521" i="1"/>
  <c r="A1513" i="1"/>
  <c r="A1512" i="1"/>
  <c r="A1508" i="1"/>
  <c r="A1507" i="1"/>
  <c r="A1506" i="1"/>
  <c r="A1505" i="1"/>
  <c r="A1501" i="1"/>
  <c r="A1500" i="1"/>
  <c r="A1496" i="1"/>
  <c r="A1495" i="1"/>
  <c r="A1494" i="1"/>
  <c r="A1493" i="1"/>
  <c r="A1489" i="1"/>
  <c r="A1488" i="1"/>
  <c r="A1484" i="1"/>
  <c r="A1483" i="1"/>
  <c r="A1482" i="1"/>
  <c r="A1481" i="1"/>
  <c r="A1474" i="1"/>
  <c r="A1473" i="1"/>
  <c r="A1469" i="1"/>
  <c r="A1468" i="1"/>
  <c r="A1467" i="1"/>
  <c r="A1466" i="1"/>
  <c r="A1459" i="1"/>
  <c r="A1458" i="1"/>
  <c r="A1454" i="1"/>
  <c r="A1453" i="1"/>
  <c r="A1452" i="1"/>
  <c r="A1451" i="1"/>
  <c r="A1448" i="1"/>
  <c r="A1447" i="1"/>
  <c r="A1443" i="1"/>
  <c r="A1442" i="1"/>
  <c r="A1441" i="1"/>
  <c r="A1440" i="1"/>
  <c r="A1434" i="1"/>
  <c r="A1433" i="1"/>
  <c r="A1429" i="1"/>
  <c r="A1428" i="1"/>
  <c r="A1427" i="1"/>
  <c r="A1426" i="1"/>
  <c r="A1420" i="1"/>
  <c r="A1419" i="1"/>
  <c r="A1415" i="1"/>
  <c r="A1414" i="1"/>
  <c r="A1413" i="1"/>
  <c r="A1412" i="1"/>
  <c r="A1406" i="1"/>
  <c r="A1405" i="1"/>
  <c r="A1401" i="1"/>
  <c r="A1400" i="1"/>
  <c r="A1399" i="1"/>
  <c r="A1398" i="1"/>
  <c r="A1392" i="1"/>
  <c r="A1391" i="1"/>
  <c r="A1387" i="1"/>
  <c r="A1386" i="1"/>
  <c r="A1385" i="1"/>
  <c r="A1384" i="1"/>
  <c r="A1378" i="1"/>
  <c r="A1377" i="1"/>
  <c r="A1373" i="1"/>
  <c r="A1372" i="1"/>
  <c r="A1371" i="1"/>
  <c r="A1370" i="1"/>
  <c r="A1366" i="1"/>
  <c r="A1365" i="1"/>
  <c r="A1361" i="1"/>
  <c r="A1360" i="1"/>
  <c r="A1359" i="1"/>
  <c r="A1358" i="1"/>
  <c r="A1354" i="1"/>
  <c r="A1353" i="1"/>
  <c r="A1349" i="1"/>
  <c r="A1348" i="1"/>
  <c r="A1347" i="1"/>
  <c r="A1346" i="1"/>
  <c r="A1342" i="1"/>
  <c r="A1341" i="1"/>
  <c r="A1337" i="1"/>
  <c r="A1336" i="1"/>
  <c r="A1335" i="1"/>
  <c r="A1334" i="1"/>
  <c r="A1331" i="1"/>
  <c r="A1327" i="1"/>
  <c r="A1326" i="1"/>
  <c r="A1325" i="1"/>
  <c r="A1324" i="1"/>
  <c r="A1321" i="1"/>
  <c r="A1317" i="1"/>
  <c r="A1316" i="1"/>
  <c r="A1315" i="1"/>
  <c r="A1314" i="1"/>
  <c r="A1311" i="1"/>
  <c r="A1307" i="1"/>
  <c r="A1306" i="1"/>
  <c r="A1305" i="1"/>
  <c r="A1304" i="1"/>
  <c r="A1301" i="1"/>
  <c r="A1297" i="1"/>
  <c r="A1296" i="1"/>
  <c r="A1295" i="1"/>
  <c r="A1294" i="1"/>
  <c r="A1291" i="1"/>
  <c r="A1287" i="1"/>
  <c r="A1286" i="1"/>
  <c r="A1285" i="1"/>
  <c r="A1284" i="1"/>
  <c r="A1281" i="1"/>
  <c r="A1277" i="1"/>
  <c r="A1276" i="1"/>
  <c r="A1275" i="1"/>
  <c r="A1274" i="1"/>
  <c r="A1271" i="1"/>
  <c r="A1267" i="1"/>
  <c r="A1266" i="1"/>
  <c r="A1265" i="1"/>
  <c r="A1264" i="1"/>
  <c r="A1261" i="1"/>
  <c r="A1257" i="1"/>
  <c r="A1256" i="1"/>
  <c r="A1255" i="1"/>
  <c r="A1254" i="1"/>
  <c r="A1251" i="1"/>
  <c r="A1250" i="1"/>
  <c r="A1246" i="1"/>
  <c r="A1245" i="1"/>
  <c r="A1244" i="1"/>
  <c r="A1243" i="1"/>
  <c r="A1240" i="1"/>
  <c r="A1236" i="1"/>
  <c r="A1235" i="1"/>
  <c r="A1234" i="1"/>
  <c r="A1233" i="1"/>
  <c r="A1230" i="1"/>
  <c r="A1226" i="1"/>
  <c r="A1225" i="1"/>
  <c r="A1224" i="1"/>
  <c r="A1223" i="1"/>
  <c r="A1220" i="1"/>
  <c r="A1216" i="1"/>
  <c r="A1215" i="1"/>
  <c r="A1214" i="1"/>
  <c r="A1213" i="1"/>
  <c r="A1210" i="1"/>
  <c r="A1206" i="1"/>
  <c r="A1205" i="1"/>
  <c r="A1204" i="1"/>
  <c r="A1203" i="1"/>
  <c r="A1200" i="1"/>
  <c r="A1196" i="1"/>
  <c r="A1195" i="1"/>
  <c r="A1194" i="1"/>
  <c r="A1193" i="1"/>
  <c r="A1190" i="1"/>
  <c r="A1186" i="1"/>
  <c r="A1185" i="1"/>
  <c r="A1184" i="1"/>
  <c r="A1183" i="1"/>
  <c r="A1180" i="1"/>
  <c r="A1176" i="1"/>
  <c r="A1175" i="1"/>
  <c r="A1174" i="1"/>
  <c r="A1173" i="1"/>
  <c r="A1170" i="1"/>
  <c r="A1166" i="1"/>
  <c r="A1165" i="1"/>
  <c r="A1164" i="1"/>
  <c r="A1163" i="1"/>
  <c r="A1160" i="1"/>
  <c r="A1156" i="1"/>
  <c r="A1155" i="1"/>
  <c r="A1154" i="1"/>
  <c r="A1153" i="1"/>
  <c r="A1150" i="1"/>
  <c r="A1146" i="1"/>
  <c r="A1145" i="1"/>
  <c r="A1144" i="1"/>
  <c r="A1143" i="1"/>
  <c r="A1140" i="1"/>
  <c r="A1136" i="1"/>
  <c r="A1135" i="1"/>
  <c r="A1134" i="1"/>
  <c r="A1133" i="1"/>
  <c r="A1130" i="1"/>
  <c r="A1126" i="1"/>
  <c r="A1125" i="1"/>
  <c r="A1124" i="1"/>
  <c r="A1123" i="1"/>
  <c r="A1120" i="1"/>
  <c r="A1116" i="1"/>
  <c r="A1115" i="1"/>
  <c r="A1114" i="1"/>
  <c r="A1113" i="1"/>
  <c r="A1110" i="1"/>
  <c r="A1106" i="1"/>
  <c r="A1105" i="1"/>
  <c r="A1104" i="1"/>
  <c r="A1103" i="1"/>
  <c r="A1100" i="1"/>
  <c r="A1096" i="1"/>
  <c r="A1095" i="1"/>
  <c r="A1094" i="1"/>
  <c r="A1093" i="1"/>
  <c r="A1090" i="1"/>
  <c r="A1086" i="1"/>
  <c r="A1085" i="1"/>
  <c r="A1084" i="1"/>
  <c r="A1083" i="1"/>
  <c r="A1080" i="1"/>
  <c r="A1076" i="1"/>
  <c r="A1075" i="1"/>
  <c r="A1074" i="1"/>
  <c r="A1073" i="1"/>
  <c r="A1070" i="1"/>
  <c r="A1066" i="1"/>
  <c r="A1065" i="1"/>
  <c r="A1064" i="1"/>
  <c r="A1063" i="1"/>
  <c r="A1060" i="1"/>
  <c r="A1056" i="1"/>
  <c r="A1055" i="1"/>
  <c r="A1054" i="1"/>
  <c r="A1053" i="1"/>
  <c r="A1050" i="1"/>
  <c r="A1046" i="1"/>
  <c r="A1045" i="1"/>
  <c r="A1044" i="1"/>
  <c r="A1043" i="1"/>
  <c r="A1040" i="1"/>
  <c r="A1036" i="1"/>
  <c r="A1035" i="1"/>
  <c r="A1034" i="1"/>
  <c r="A1033" i="1"/>
  <c r="A1030" i="1"/>
  <c r="A1026" i="1"/>
  <c r="A1025" i="1"/>
  <c r="A1024" i="1"/>
  <c r="A1023" i="1"/>
  <c r="A1020" i="1"/>
  <c r="A1016" i="1"/>
  <c r="A1015" i="1"/>
  <c r="A1014" i="1"/>
  <c r="A1013" i="1"/>
  <c r="A1010" i="1"/>
  <c r="A1006" i="1"/>
  <c r="A1005" i="1"/>
  <c r="A1004" i="1"/>
  <c r="A1003" i="1"/>
  <c r="A1000" i="1"/>
  <c r="A996" i="1"/>
  <c r="A995" i="1"/>
  <c r="A994" i="1"/>
  <c r="A993" i="1"/>
  <c r="A990" i="1"/>
  <c r="A986" i="1"/>
  <c r="A985" i="1"/>
  <c r="A984" i="1"/>
  <c r="A983" i="1"/>
  <c r="A977" i="1"/>
  <c r="A976" i="1"/>
  <c r="A972" i="1"/>
  <c r="A971" i="1"/>
  <c r="A970" i="1"/>
  <c r="A969" i="1"/>
  <c r="A965" i="1"/>
  <c r="A964" i="1"/>
  <c r="A960" i="1"/>
  <c r="A959" i="1"/>
  <c r="A958" i="1"/>
  <c r="A957" i="1"/>
  <c r="A951" i="1"/>
  <c r="A950" i="1"/>
  <c r="A946" i="1"/>
  <c r="A945" i="1"/>
  <c r="A944" i="1"/>
  <c r="A943" i="1"/>
  <c r="A935" i="1"/>
  <c r="A934" i="1"/>
  <c r="A930" i="1"/>
  <c r="A929" i="1"/>
  <c r="A928" i="1"/>
  <c r="A927" i="1"/>
  <c r="A916" i="1"/>
  <c r="A915" i="1"/>
  <c r="A911" i="1"/>
  <c r="A910" i="1"/>
  <c r="A909" i="1"/>
  <c r="A908" i="1"/>
  <c r="A900" i="1"/>
  <c r="A899" i="1"/>
  <c r="A895" i="1"/>
  <c r="A894" i="1"/>
  <c r="A893" i="1"/>
  <c r="A892" i="1"/>
  <c r="A884" i="1"/>
  <c r="A883" i="1"/>
  <c r="A879" i="1"/>
  <c r="A878" i="1"/>
  <c r="A877" i="1"/>
  <c r="A876" i="1"/>
  <c r="A868" i="1"/>
  <c r="A867" i="1"/>
  <c r="A863" i="1"/>
  <c r="A862" i="1"/>
  <c r="A861" i="1"/>
  <c r="A860" i="1"/>
  <c r="A853" i="1"/>
  <c r="A852" i="1"/>
  <c r="A848" i="1"/>
  <c r="A847" i="1"/>
  <c r="A846" i="1"/>
  <c r="A845" i="1"/>
  <c r="A840" i="1"/>
  <c r="A839" i="1"/>
  <c r="A835" i="1"/>
  <c r="A834" i="1"/>
  <c r="A833" i="1"/>
  <c r="A832" i="1"/>
  <c r="A827" i="1"/>
  <c r="A826" i="1"/>
  <c r="A822" i="1"/>
  <c r="A821" i="1"/>
  <c r="A820" i="1"/>
  <c r="A819" i="1"/>
  <c r="A815" i="1"/>
  <c r="A814" i="1"/>
  <c r="A810" i="1"/>
  <c r="A809" i="1"/>
  <c r="A808" i="1"/>
  <c r="A807" i="1"/>
  <c r="A802" i="1"/>
  <c r="A801" i="1"/>
  <c r="A797" i="1"/>
  <c r="A796" i="1"/>
  <c r="A795" i="1"/>
  <c r="A794" i="1"/>
  <c r="A787" i="1"/>
  <c r="A786" i="1"/>
  <c r="A782" i="1"/>
  <c r="A781" i="1"/>
  <c r="A780" i="1"/>
  <c r="A779" i="1"/>
  <c r="A772" i="1"/>
  <c r="A771" i="1"/>
  <c r="A767" i="1"/>
  <c r="A766" i="1"/>
  <c r="A765" i="1"/>
  <c r="A764" i="1"/>
  <c r="A758" i="1"/>
  <c r="A757" i="1"/>
  <c r="A753" i="1"/>
  <c r="A752" i="1"/>
  <c r="A751" i="1"/>
  <c r="A750" i="1"/>
  <c r="A739" i="1"/>
  <c r="A738" i="1"/>
  <c r="A734" i="1"/>
  <c r="A733" i="1"/>
  <c r="A732" i="1"/>
  <c r="A731" i="1"/>
  <c r="A720" i="1"/>
  <c r="A719" i="1"/>
  <c r="A715" i="1"/>
  <c r="A714" i="1"/>
  <c r="A713" i="1"/>
  <c r="A712" i="1"/>
  <c r="A708" i="1"/>
  <c r="A707" i="1"/>
  <c r="A703" i="1"/>
  <c r="A702" i="1"/>
  <c r="A701" i="1"/>
  <c r="A700" i="1"/>
  <c r="A695" i="1"/>
  <c r="A694" i="1"/>
  <c r="A690" i="1"/>
  <c r="A689" i="1"/>
  <c r="A688" i="1"/>
  <c r="A687" i="1"/>
  <c r="A682" i="1"/>
  <c r="A681" i="1"/>
  <c r="A677" i="1"/>
  <c r="A676" i="1"/>
  <c r="A675" i="1"/>
  <c r="A674" i="1"/>
  <c r="A666" i="1"/>
  <c r="A665" i="1"/>
  <c r="A661" i="1"/>
  <c r="A660" i="1"/>
  <c r="A659" i="1"/>
  <c r="A658" i="1"/>
  <c r="A651" i="1"/>
  <c r="A650" i="1"/>
  <c r="A646" i="1"/>
  <c r="A645" i="1"/>
  <c r="A644" i="1"/>
  <c r="A643" i="1"/>
  <c r="A636" i="1"/>
  <c r="A635" i="1"/>
  <c r="A631" i="1"/>
  <c r="A630" i="1"/>
  <c r="A629" i="1"/>
  <c r="A628" i="1"/>
  <c r="A621" i="1"/>
  <c r="A620" i="1"/>
  <c r="A616" i="1"/>
  <c r="A615" i="1"/>
  <c r="A614" i="1"/>
  <c r="A613" i="1"/>
  <c r="A607" i="1"/>
  <c r="A606" i="1"/>
  <c r="A602" i="1"/>
  <c r="A601" i="1"/>
  <c r="A600" i="1"/>
  <c r="A599" i="1"/>
  <c r="A592" i="1"/>
  <c r="A591" i="1"/>
  <c r="A587" i="1"/>
  <c r="A586" i="1"/>
  <c r="A585" i="1"/>
  <c r="A584" i="1"/>
  <c r="A577" i="1"/>
  <c r="A576" i="1"/>
  <c r="A572" i="1"/>
  <c r="A571" i="1"/>
  <c r="A570" i="1"/>
  <c r="A569" i="1"/>
  <c r="A562" i="1"/>
  <c r="A561" i="1"/>
  <c r="A557" i="1"/>
  <c r="A556" i="1"/>
  <c r="A555" i="1"/>
  <c r="A554" i="1"/>
  <c r="A550" i="1"/>
  <c r="A549" i="1"/>
  <c r="A545" i="1"/>
  <c r="A544" i="1"/>
  <c r="A543" i="1"/>
  <c r="A542" i="1"/>
  <c r="A538" i="1"/>
  <c r="A537" i="1"/>
  <c r="A533" i="1"/>
  <c r="A532" i="1"/>
  <c r="A531" i="1"/>
  <c r="A530" i="1"/>
  <c r="A523" i="1"/>
  <c r="A522" i="1"/>
  <c r="A518" i="1"/>
  <c r="A517" i="1"/>
  <c r="A516" i="1"/>
  <c r="A515" i="1"/>
  <c r="A508" i="1"/>
  <c r="A507" i="1"/>
  <c r="A503" i="1"/>
  <c r="A502" i="1"/>
  <c r="A501" i="1"/>
  <c r="A500" i="1"/>
  <c r="A494" i="1"/>
  <c r="A493" i="1"/>
  <c r="A489" i="1"/>
  <c r="A488" i="1"/>
  <c r="A487" i="1"/>
  <c r="A486" i="1"/>
  <c r="A481" i="1"/>
  <c r="A480" i="1"/>
  <c r="A476" i="1"/>
  <c r="A475" i="1"/>
  <c r="A474" i="1"/>
  <c r="A473" i="1"/>
  <c r="A468" i="1"/>
  <c r="A467" i="1"/>
  <c r="A463" i="1"/>
  <c r="A462" i="1"/>
  <c r="A461" i="1"/>
  <c r="A460" i="1"/>
  <c r="A456" i="1"/>
  <c r="A455" i="1"/>
  <c r="A451" i="1"/>
  <c r="A450" i="1"/>
  <c r="A449" i="1"/>
  <c r="A448" i="1"/>
  <c r="A444" i="1"/>
  <c r="A443" i="1"/>
  <c r="A439" i="1"/>
  <c r="A438" i="1"/>
  <c r="A437" i="1"/>
  <c r="A436" i="1"/>
  <c r="A432" i="1"/>
  <c r="A431" i="1"/>
  <c r="A427" i="1"/>
  <c r="A426" i="1"/>
  <c r="A425" i="1"/>
  <c r="A424" i="1"/>
  <c r="A420" i="1"/>
  <c r="A419" i="1"/>
  <c r="A415" i="1"/>
  <c r="A414" i="1"/>
  <c r="A413" i="1"/>
  <c r="A412" i="1"/>
  <c r="A409" i="1"/>
  <c r="A408" i="1"/>
  <c r="A404" i="1"/>
  <c r="A403" i="1"/>
  <c r="A402" i="1"/>
  <c r="A401" i="1"/>
  <c r="A398" i="1"/>
  <c r="A397" i="1"/>
  <c r="A393" i="1"/>
  <c r="A392" i="1"/>
  <c r="A391" i="1"/>
  <c r="A390" i="1"/>
  <c r="A387" i="1"/>
  <c r="A386" i="1"/>
  <c r="A382" i="1"/>
  <c r="A381" i="1"/>
  <c r="A380" i="1"/>
  <c r="A379" i="1"/>
  <c r="A375" i="1"/>
  <c r="A374" i="1"/>
  <c r="A370" i="1"/>
  <c r="A369" i="1"/>
  <c r="A368" i="1"/>
  <c r="A367" i="1"/>
  <c r="A364" i="1"/>
  <c r="A363" i="1"/>
  <c r="A359" i="1"/>
  <c r="A358" i="1"/>
  <c r="A357" i="1"/>
  <c r="A356" i="1"/>
  <c r="A353" i="1"/>
  <c r="A352" i="1"/>
  <c r="A348" i="1"/>
  <c r="A347" i="1"/>
  <c r="A346" i="1"/>
  <c r="A345" i="1"/>
  <c r="A341" i="1"/>
  <c r="A340" i="1"/>
  <c r="A336" i="1"/>
  <c r="A335" i="1"/>
  <c r="A334" i="1"/>
  <c r="A333" i="1"/>
  <c r="A329" i="1"/>
  <c r="A328" i="1"/>
  <c r="A324" i="1"/>
  <c r="A323" i="1"/>
  <c r="A322" i="1"/>
  <c r="A321" i="1"/>
  <c r="A318" i="1"/>
  <c r="A317" i="1"/>
  <c r="A313" i="1"/>
  <c r="A312" i="1"/>
  <c r="A311" i="1"/>
  <c r="A310" i="1"/>
  <c r="A307" i="1"/>
  <c r="A306" i="1"/>
  <c r="A302" i="1"/>
  <c r="A301" i="1"/>
  <c r="A300" i="1"/>
  <c r="A299" i="1"/>
  <c r="A294" i="1"/>
  <c r="A293" i="1"/>
  <c r="A289" i="1"/>
  <c r="A288" i="1"/>
  <c r="A287" i="1"/>
  <c r="A286" i="1"/>
  <c r="A282" i="1"/>
  <c r="A281" i="1"/>
  <c r="A277" i="1"/>
  <c r="A276" i="1"/>
  <c r="A275" i="1"/>
  <c r="A274" i="1"/>
  <c r="A271" i="1"/>
  <c r="A270" i="1"/>
  <c r="A266" i="1"/>
  <c r="A265" i="1"/>
  <c r="A264" i="1"/>
  <c r="A263" i="1"/>
  <c r="A260" i="1"/>
  <c r="A259" i="1"/>
  <c r="A255" i="1"/>
  <c r="A254" i="1"/>
  <c r="A253" i="1"/>
  <c r="A252" i="1"/>
  <c r="A248" i="1"/>
  <c r="A247" i="1"/>
  <c r="A243" i="1"/>
  <c r="A242" i="1"/>
  <c r="A241" i="1"/>
  <c r="A240" i="1"/>
  <c r="A237" i="1"/>
  <c r="A236" i="1"/>
  <c r="A232" i="1"/>
  <c r="A231" i="1"/>
  <c r="A230" i="1"/>
  <c r="A229" i="1"/>
  <c r="A226" i="1"/>
  <c r="A225" i="1"/>
  <c r="A221" i="1"/>
  <c r="A220" i="1"/>
  <c r="A219" i="1"/>
  <c r="A218" i="1"/>
  <c r="A214" i="1"/>
  <c r="A213" i="1"/>
  <c r="A209" i="1"/>
  <c r="A208" i="1"/>
  <c r="A207" i="1"/>
  <c r="A206" i="1"/>
  <c r="A200" i="1"/>
  <c r="A199" i="1"/>
  <c r="A195" i="1"/>
  <c r="A194" i="1"/>
  <c r="A193" i="1"/>
  <c r="A192" i="1"/>
  <c r="A189" i="1"/>
  <c r="A188" i="1"/>
  <c r="A184" i="1"/>
  <c r="A183" i="1"/>
  <c r="A182" i="1"/>
  <c r="A181" i="1"/>
  <c r="A177" i="1"/>
  <c r="A176" i="1"/>
  <c r="A172" i="1"/>
  <c r="A171" i="1"/>
  <c r="A170" i="1"/>
  <c r="A169" i="1"/>
  <c r="A166" i="1"/>
  <c r="A165" i="1"/>
  <c r="A161" i="1"/>
  <c r="A160" i="1"/>
  <c r="A159" i="1"/>
  <c r="A158" i="1"/>
  <c r="A154" i="1"/>
  <c r="A153" i="1"/>
  <c r="A149" i="1"/>
  <c r="A148" i="1"/>
  <c r="A147" i="1"/>
  <c r="A146" i="1"/>
  <c r="A140" i="1"/>
  <c r="A139" i="1"/>
  <c r="A135" i="1"/>
  <c r="A134" i="1"/>
  <c r="A133" i="1"/>
  <c r="A132" i="1"/>
  <c r="A128" i="1"/>
  <c r="A127" i="1"/>
  <c r="A123" i="1"/>
  <c r="A122" i="1"/>
  <c r="A121" i="1"/>
  <c r="A120" i="1"/>
  <c r="A116" i="1"/>
  <c r="A115" i="1"/>
  <c r="A111" i="1"/>
  <c r="A110" i="1"/>
  <c r="A109" i="1"/>
  <c r="A108" i="1"/>
  <c r="A105" i="1"/>
  <c r="A104" i="1"/>
  <c r="A100" i="1"/>
  <c r="A99" i="1"/>
  <c r="A98" i="1"/>
  <c r="A97" i="1"/>
  <c r="A94" i="1"/>
  <c r="A93" i="1"/>
  <c r="A89" i="1"/>
  <c r="A88" i="1"/>
  <c r="A87" i="1"/>
  <c r="A86" i="1"/>
  <c r="A78" i="1"/>
  <c r="A77" i="1"/>
  <c r="A73" i="1"/>
  <c r="A72" i="1"/>
  <c r="A71" i="1"/>
  <c r="A70" i="1"/>
  <c r="A62" i="1"/>
  <c r="A61" i="1"/>
  <c r="A57" i="1"/>
  <c r="A56" i="1"/>
  <c r="A55" i="1"/>
  <c r="A54" i="1"/>
  <c r="A51" i="1"/>
  <c r="A50" i="1"/>
  <c r="A46" i="1"/>
  <c r="A45" i="1"/>
  <c r="A44" i="1"/>
  <c r="A43" i="1"/>
  <c r="A40" i="1"/>
  <c r="A39" i="1"/>
  <c r="A35" i="1"/>
  <c r="A34" i="1"/>
  <c r="A33" i="1"/>
  <c r="A32" i="1"/>
  <c r="A27" i="1"/>
  <c r="A26" i="1"/>
  <c r="A22" i="1"/>
  <c r="A21" i="1"/>
  <c r="A20" i="1"/>
  <c r="A19" i="1"/>
  <c r="A15" i="1"/>
  <c r="A14" i="1"/>
  <c r="A10" i="1"/>
  <c r="A9" i="1"/>
  <c r="A8" i="1"/>
  <c r="A7" i="1"/>
  <c r="A1364" i="5" l="1"/>
  <c r="C1364" i="5" s="1"/>
  <c r="D1364" i="5" s="1"/>
  <c r="F1364" i="5"/>
  <c r="O1364" i="5"/>
  <c r="Q1364" i="5"/>
  <c r="R1364" i="5"/>
  <c r="B1364" i="5" l="1"/>
  <c r="P1364" i="5" s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3" i="5"/>
  <c r="R1363" i="5" l="1"/>
  <c r="R1362" i="5"/>
  <c r="R1361" i="5"/>
  <c r="R1360" i="5"/>
  <c r="R1359" i="5"/>
  <c r="R1358" i="5"/>
  <c r="R1357" i="5"/>
  <c r="R1356" i="5"/>
  <c r="R1355" i="5"/>
  <c r="R1354" i="5"/>
  <c r="R1353" i="5"/>
  <c r="R1352" i="5"/>
  <c r="R1351" i="5"/>
  <c r="R1350" i="5"/>
  <c r="R1349" i="5"/>
  <c r="R1348" i="5"/>
  <c r="R1347" i="5"/>
  <c r="R1346" i="5"/>
  <c r="R1345" i="5"/>
  <c r="R1344" i="5"/>
  <c r="R1343" i="5"/>
  <c r="R1342" i="5"/>
  <c r="R1341" i="5"/>
  <c r="R1340" i="5"/>
  <c r="R1339" i="5"/>
  <c r="R1338" i="5"/>
  <c r="R1337" i="5"/>
  <c r="R1336" i="5"/>
  <c r="R1335" i="5"/>
  <c r="R1334" i="5"/>
  <c r="R1333" i="5"/>
  <c r="R1332" i="5"/>
  <c r="R1331" i="5"/>
  <c r="R1330" i="5"/>
  <c r="R1329" i="5"/>
  <c r="R1328" i="5"/>
  <c r="R1327" i="5"/>
  <c r="R1326" i="5"/>
  <c r="R1325" i="5"/>
  <c r="R1324" i="5"/>
  <c r="R1323" i="5"/>
  <c r="R1322" i="5"/>
  <c r="R1321" i="5"/>
  <c r="R1320" i="5"/>
  <c r="R1319" i="5"/>
  <c r="R1318" i="5"/>
  <c r="R1317" i="5"/>
  <c r="R1316" i="5"/>
  <c r="R1315" i="5"/>
  <c r="R1314" i="5"/>
  <c r="R1313" i="5"/>
  <c r="R1312" i="5"/>
  <c r="R1311" i="5"/>
  <c r="R1310" i="5"/>
  <c r="R1309" i="5"/>
  <c r="R1308" i="5"/>
  <c r="R1307" i="5"/>
  <c r="R1306" i="5"/>
  <c r="R1305" i="5"/>
  <c r="R1304" i="5"/>
  <c r="R1303" i="5"/>
  <c r="R1302" i="5"/>
  <c r="R1301" i="5"/>
  <c r="R1300" i="5"/>
  <c r="R1299" i="5"/>
  <c r="R1298" i="5"/>
  <c r="R1297" i="5"/>
  <c r="R1296" i="5"/>
  <c r="R1295" i="5"/>
  <c r="R1294" i="5"/>
  <c r="R1293" i="5"/>
  <c r="R1292" i="5"/>
  <c r="R1291" i="5"/>
  <c r="R1290" i="5"/>
  <c r="R1289" i="5"/>
  <c r="R1288" i="5"/>
  <c r="R1287" i="5"/>
  <c r="R1286" i="5"/>
  <c r="R1285" i="5"/>
  <c r="R1284" i="5"/>
  <c r="R1283" i="5"/>
  <c r="R1282" i="5"/>
  <c r="R1281" i="5"/>
  <c r="R1280" i="5"/>
  <c r="R1279" i="5"/>
  <c r="R1278" i="5"/>
  <c r="R1277" i="5"/>
  <c r="R1276" i="5"/>
  <c r="R1275" i="5"/>
  <c r="R1274" i="5"/>
  <c r="R1273" i="5"/>
  <c r="R1272" i="5"/>
  <c r="R1271" i="5"/>
  <c r="R1270" i="5"/>
  <c r="R1269" i="5"/>
  <c r="R1268" i="5"/>
  <c r="R1267" i="5"/>
  <c r="R1266" i="5"/>
  <c r="R1265" i="5"/>
  <c r="R1264" i="5"/>
  <c r="R1263" i="5"/>
  <c r="R1262" i="5"/>
  <c r="R1261" i="5"/>
  <c r="R1260" i="5"/>
  <c r="R1259" i="5"/>
  <c r="R1258" i="5"/>
  <c r="R1257" i="5"/>
  <c r="R1256" i="5"/>
  <c r="R1255" i="5"/>
  <c r="R1254" i="5"/>
  <c r="R1253" i="5"/>
  <c r="R1252" i="5"/>
  <c r="R1251" i="5"/>
  <c r="R1250" i="5"/>
  <c r="R1249" i="5"/>
  <c r="R1248" i="5"/>
  <c r="R1247" i="5"/>
  <c r="R1246" i="5"/>
  <c r="R1245" i="5"/>
  <c r="R1244" i="5"/>
  <c r="R1243" i="5"/>
  <c r="R1242" i="5"/>
  <c r="R1241" i="5"/>
  <c r="R1240" i="5"/>
  <c r="R1239" i="5"/>
  <c r="R1238" i="5"/>
  <c r="R1237" i="5"/>
  <c r="R1236" i="5"/>
  <c r="R1235" i="5"/>
  <c r="R1234" i="5"/>
  <c r="R1233" i="5"/>
  <c r="R1232" i="5"/>
  <c r="R1231" i="5"/>
  <c r="R1230" i="5"/>
  <c r="R1229" i="5"/>
  <c r="R1228" i="5"/>
  <c r="R1227" i="5"/>
  <c r="R1226" i="5"/>
  <c r="R1225" i="5"/>
  <c r="R1224" i="5"/>
  <c r="R1223" i="5"/>
  <c r="R1222" i="5"/>
  <c r="R1221" i="5"/>
  <c r="R1220" i="5"/>
  <c r="R1219" i="5"/>
  <c r="R1218" i="5"/>
  <c r="R1217" i="5"/>
  <c r="R1216" i="5"/>
  <c r="R1215" i="5"/>
  <c r="R1214" i="5"/>
  <c r="R1213" i="5"/>
  <c r="R1212" i="5"/>
  <c r="R1211" i="5"/>
  <c r="R1210" i="5"/>
  <c r="R1209" i="5"/>
  <c r="R1208" i="5"/>
  <c r="R1207" i="5"/>
  <c r="R1206" i="5"/>
  <c r="R1205" i="5"/>
  <c r="R1204" i="5"/>
  <c r="R1203" i="5"/>
  <c r="R1202" i="5"/>
  <c r="R1201" i="5"/>
  <c r="R1200" i="5"/>
  <c r="R1199" i="5"/>
  <c r="R1198" i="5"/>
  <c r="R1197" i="5"/>
  <c r="R1196" i="5"/>
  <c r="R1195" i="5"/>
  <c r="R1194" i="5"/>
  <c r="R1193" i="5"/>
  <c r="R1192" i="5"/>
  <c r="R1191" i="5"/>
  <c r="R1190" i="5"/>
  <c r="R1189" i="5"/>
  <c r="R1188" i="5"/>
  <c r="R1187" i="5"/>
  <c r="R1186" i="5"/>
  <c r="R1185" i="5"/>
  <c r="R1184" i="5"/>
  <c r="R1183" i="5"/>
  <c r="R1182" i="5"/>
  <c r="R1181" i="5"/>
  <c r="R1180" i="5"/>
  <c r="R1179" i="5"/>
  <c r="R1178" i="5"/>
  <c r="R1177" i="5"/>
  <c r="R1176" i="5"/>
  <c r="R1175" i="5"/>
  <c r="R1174" i="5"/>
  <c r="R1173" i="5"/>
  <c r="R1172" i="5"/>
  <c r="R1171" i="5"/>
  <c r="R1170" i="5"/>
  <c r="R1169" i="5"/>
  <c r="R1168" i="5"/>
  <c r="R1167" i="5"/>
  <c r="R1166" i="5"/>
  <c r="R1165" i="5"/>
  <c r="R1164" i="5"/>
  <c r="R1163" i="5"/>
  <c r="R1162" i="5"/>
  <c r="R1161" i="5"/>
  <c r="R1160" i="5"/>
  <c r="R1159" i="5"/>
  <c r="R1158" i="5"/>
  <c r="R1157" i="5"/>
  <c r="R1156" i="5"/>
  <c r="R1155" i="5"/>
  <c r="R1154" i="5"/>
  <c r="R1153" i="5"/>
  <c r="R1152" i="5"/>
  <c r="R1151" i="5"/>
  <c r="R1150" i="5"/>
  <c r="R1149" i="5"/>
  <c r="R1148" i="5"/>
  <c r="R1147" i="5"/>
  <c r="R1146" i="5"/>
  <c r="R1145" i="5"/>
  <c r="R1144" i="5"/>
  <c r="R1143" i="5"/>
  <c r="R1142" i="5"/>
  <c r="R1141" i="5"/>
  <c r="R1140" i="5"/>
  <c r="R1139" i="5"/>
  <c r="R1138" i="5"/>
  <c r="R1137" i="5"/>
  <c r="R1136" i="5"/>
  <c r="R1135" i="5"/>
  <c r="R1134" i="5"/>
  <c r="R1133" i="5"/>
  <c r="R1132" i="5"/>
  <c r="R1131" i="5"/>
  <c r="R1130" i="5"/>
  <c r="R1129" i="5"/>
  <c r="R1128" i="5"/>
  <c r="R1127" i="5"/>
  <c r="R1126" i="5"/>
  <c r="R1125" i="5"/>
  <c r="R1124" i="5"/>
  <c r="R1123" i="5"/>
  <c r="R1122" i="5"/>
  <c r="R1121" i="5"/>
  <c r="R1120" i="5"/>
  <c r="R1119" i="5"/>
  <c r="R1118" i="5"/>
  <c r="R1117" i="5"/>
  <c r="R1116" i="5"/>
  <c r="R1115" i="5"/>
  <c r="R1114" i="5"/>
  <c r="R1113" i="5"/>
  <c r="R1112" i="5"/>
  <c r="R1111" i="5"/>
  <c r="R1110" i="5"/>
  <c r="R1109" i="5"/>
  <c r="R1108" i="5"/>
  <c r="R1107" i="5"/>
  <c r="R1106" i="5"/>
  <c r="R1105" i="5"/>
  <c r="R1104" i="5"/>
  <c r="R1103" i="5"/>
  <c r="R1102" i="5"/>
  <c r="R1101" i="5"/>
  <c r="R1100" i="5"/>
  <c r="R1099" i="5"/>
  <c r="R1098" i="5"/>
  <c r="R1097" i="5"/>
  <c r="R1096" i="5"/>
  <c r="R1095" i="5"/>
  <c r="R1094" i="5"/>
  <c r="R1093" i="5"/>
  <c r="R1092" i="5"/>
  <c r="R1091" i="5"/>
  <c r="R1090" i="5"/>
  <c r="R1089" i="5"/>
  <c r="R1088" i="5"/>
  <c r="R1087" i="5"/>
  <c r="R1086" i="5"/>
  <c r="R1085" i="5"/>
  <c r="R1084" i="5"/>
  <c r="R1083" i="5"/>
  <c r="R1082" i="5"/>
  <c r="R1081" i="5"/>
  <c r="R1080" i="5"/>
  <c r="R1079" i="5"/>
  <c r="R1078" i="5"/>
  <c r="R1077" i="5"/>
  <c r="R1076" i="5"/>
  <c r="R1075" i="5"/>
  <c r="R1074" i="5"/>
  <c r="R1073" i="5"/>
  <c r="R1072" i="5"/>
  <c r="R1071" i="5"/>
  <c r="R1070" i="5"/>
  <c r="R1069" i="5"/>
  <c r="R1068" i="5"/>
  <c r="R1067" i="5"/>
  <c r="R1066" i="5"/>
  <c r="R1065" i="5"/>
  <c r="R1064" i="5"/>
  <c r="R1063" i="5"/>
  <c r="R1062" i="5"/>
  <c r="R1061" i="5"/>
  <c r="R1060" i="5"/>
  <c r="R1059" i="5"/>
  <c r="R1058" i="5"/>
  <c r="R1057" i="5"/>
  <c r="R1056" i="5"/>
  <c r="R1055" i="5"/>
  <c r="R1054" i="5"/>
  <c r="R1053" i="5"/>
  <c r="R1052" i="5"/>
  <c r="R1051" i="5"/>
  <c r="R1050" i="5"/>
  <c r="R1049" i="5"/>
  <c r="R1048" i="5"/>
  <c r="R1047" i="5"/>
  <c r="R1046" i="5"/>
  <c r="R1045" i="5"/>
  <c r="R1044" i="5"/>
  <c r="R1043" i="5"/>
  <c r="R1042" i="5"/>
  <c r="R1041" i="5"/>
  <c r="R1040" i="5"/>
  <c r="R1039" i="5"/>
  <c r="R1038" i="5"/>
  <c r="R1037" i="5"/>
  <c r="R1036" i="5"/>
  <c r="R1035" i="5"/>
  <c r="R1034" i="5"/>
  <c r="R1033" i="5"/>
  <c r="R1032" i="5"/>
  <c r="R1031" i="5"/>
  <c r="R1030" i="5"/>
  <c r="R1029" i="5"/>
  <c r="R1028" i="5"/>
  <c r="R1027" i="5"/>
  <c r="R1026" i="5"/>
  <c r="R1025" i="5"/>
  <c r="R1024" i="5"/>
  <c r="R1023" i="5"/>
  <c r="R1022" i="5"/>
  <c r="R1021" i="5"/>
  <c r="R1020" i="5"/>
  <c r="R1019" i="5"/>
  <c r="R1018" i="5"/>
  <c r="R1017" i="5"/>
  <c r="R1016" i="5"/>
  <c r="R1015" i="5"/>
  <c r="R1014" i="5"/>
  <c r="R1013" i="5"/>
  <c r="R1012" i="5"/>
  <c r="R1011" i="5"/>
  <c r="R1010" i="5"/>
  <c r="R1009" i="5"/>
  <c r="R1008" i="5"/>
  <c r="R1007" i="5"/>
  <c r="R1006" i="5"/>
  <c r="R1005" i="5"/>
  <c r="R1004" i="5"/>
  <c r="R1003" i="5"/>
  <c r="R1002" i="5"/>
  <c r="R1001" i="5"/>
  <c r="R1000" i="5"/>
  <c r="R999" i="5"/>
  <c r="R998" i="5"/>
  <c r="R997" i="5"/>
  <c r="R996" i="5"/>
  <c r="R995" i="5"/>
  <c r="R994" i="5"/>
  <c r="R993" i="5"/>
  <c r="R992" i="5"/>
  <c r="R991" i="5"/>
  <c r="R990" i="5"/>
  <c r="R989" i="5"/>
  <c r="R988" i="5"/>
  <c r="R987" i="5"/>
  <c r="R986" i="5"/>
  <c r="R985" i="5"/>
  <c r="R984" i="5"/>
  <c r="R983" i="5"/>
  <c r="R982" i="5"/>
  <c r="R981" i="5"/>
  <c r="R980" i="5"/>
  <c r="R979" i="5"/>
  <c r="R978" i="5"/>
  <c r="R977" i="5"/>
  <c r="R976" i="5"/>
  <c r="R975" i="5"/>
  <c r="R974" i="5"/>
  <c r="R973" i="5"/>
  <c r="R972" i="5"/>
  <c r="R971" i="5"/>
  <c r="R970" i="5"/>
  <c r="R969" i="5"/>
  <c r="R968" i="5"/>
  <c r="R967" i="5"/>
  <c r="R966" i="5"/>
  <c r="R965" i="5"/>
  <c r="R964" i="5"/>
  <c r="R963" i="5"/>
  <c r="R962" i="5"/>
  <c r="R961" i="5"/>
  <c r="R960" i="5"/>
  <c r="R959" i="5"/>
  <c r="R958" i="5"/>
  <c r="R957" i="5"/>
  <c r="R956" i="5"/>
  <c r="R955" i="5"/>
  <c r="R954" i="5"/>
  <c r="R953" i="5"/>
  <c r="R952" i="5"/>
  <c r="R951" i="5"/>
  <c r="R950" i="5"/>
  <c r="R949" i="5"/>
  <c r="R948" i="5"/>
  <c r="R947" i="5"/>
  <c r="R946" i="5"/>
  <c r="R945" i="5"/>
  <c r="R944" i="5"/>
  <c r="R943" i="5"/>
  <c r="R942" i="5"/>
  <c r="R941" i="5"/>
  <c r="R940" i="5"/>
  <c r="R939" i="5"/>
  <c r="R938" i="5"/>
  <c r="R937" i="5"/>
  <c r="R936" i="5"/>
  <c r="R935" i="5"/>
  <c r="R934" i="5"/>
  <c r="R933" i="5"/>
  <c r="R932" i="5"/>
  <c r="R931" i="5"/>
  <c r="R930" i="5"/>
  <c r="R929" i="5"/>
  <c r="R928" i="5"/>
  <c r="R927" i="5"/>
  <c r="R926" i="5"/>
  <c r="R925" i="5"/>
  <c r="R924" i="5"/>
  <c r="R923" i="5"/>
  <c r="R922" i="5"/>
  <c r="R921" i="5"/>
  <c r="R920" i="5"/>
  <c r="R919" i="5"/>
  <c r="R918" i="5"/>
  <c r="R917" i="5"/>
  <c r="R916" i="5"/>
  <c r="R915" i="5"/>
  <c r="R914" i="5"/>
  <c r="R913" i="5"/>
  <c r="R912" i="5"/>
  <c r="R911" i="5"/>
  <c r="R910" i="5"/>
  <c r="R909" i="5"/>
  <c r="R908" i="5"/>
  <c r="R907" i="5"/>
  <c r="R906" i="5"/>
  <c r="R905" i="5"/>
  <c r="R904" i="5"/>
  <c r="R903" i="5"/>
  <c r="R902" i="5"/>
  <c r="R901" i="5"/>
  <c r="R900" i="5"/>
  <c r="R899" i="5"/>
  <c r="R898" i="5"/>
  <c r="R897" i="5"/>
  <c r="R896" i="5"/>
  <c r="R895" i="5"/>
  <c r="R894" i="5"/>
  <c r="R893" i="5"/>
  <c r="R892" i="5"/>
  <c r="R891" i="5"/>
  <c r="R890" i="5"/>
  <c r="R889" i="5"/>
  <c r="R888" i="5"/>
  <c r="R887" i="5"/>
  <c r="R886" i="5"/>
  <c r="R885" i="5"/>
  <c r="R884" i="5"/>
  <c r="R883" i="5"/>
  <c r="R882" i="5"/>
  <c r="R881" i="5"/>
  <c r="R880" i="5"/>
  <c r="R879" i="5"/>
  <c r="R878" i="5"/>
  <c r="R877" i="5"/>
  <c r="R876" i="5"/>
  <c r="R875" i="5"/>
  <c r="R874" i="5"/>
  <c r="R873" i="5"/>
  <c r="R872" i="5"/>
  <c r="R871" i="5"/>
  <c r="R870" i="5"/>
  <c r="R869" i="5"/>
  <c r="R868" i="5"/>
  <c r="R867" i="5"/>
  <c r="R866" i="5"/>
  <c r="R865" i="5"/>
  <c r="R864" i="5"/>
  <c r="R863" i="5"/>
  <c r="R862" i="5"/>
  <c r="R861" i="5"/>
  <c r="R860" i="5"/>
  <c r="R859" i="5"/>
  <c r="R858" i="5"/>
  <c r="R857" i="5"/>
  <c r="R856" i="5"/>
  <c r="R855" i="5"/>
  <c r="R854" i="5"/>
  <c r="R853" i="5"/>
  <c r="R852" i="5"/>
  <c r="R851" i="5"/>
  <c r="R850" i="5"/>
  <c r="R849" i="5"/>
  <c r="R848" i="5"/>
  <c r="R847" i="5"/>
  <c r="R846" i="5"/>
  <c r="R845" i="5"/>
  <c r="R844" i="5"/>
  <c r="R843" i="5"/>
  <c r="R842" i="5"/>
  <c r="R841" i="5"/>
  <c r="R840" i="5"/>
  <c r="R839" i="5"/>
  <c r="R838" i="5"/>
  <c r="R837" i="5"/>
  <c r="R836" i="5"/>
  <c r="R835" i="5"/>
  <c r="R834" i="5"/>
  <c r="R833" i="5"/>
  <c r="R832" i="5"/>
  <c r="R831" i="5"/>
  <c r="R830" i="5"/>
  <c r="R829" i="5"/>
  <c r="R828" i="5"/>
  <c r="R827" i="5"/>
  <c r="R826" i="5"/>
  <c r="R825" i="5"/>
  <c r="R824" i="5"/>
  <c r="R823" i="5"/>
  <c r="R822" i="5"/>
  <c r="R821" i="5"/>
  <c r="R820" i="5"/>
  <c r="R819" i="5"/>
  <c r="R818" i="5"/>
  <c r="R817" i="5"/>
  <c r="R816" i="5"/>
  <c r="R815" i="5"/>
  <c r="R814" i="5"/>
  <c r="R813" i="5"/>
  <c r="R812" i="5"/>
  <c r="R811" i="5"/>
  <c r="R810" i="5"/>
  <c r="R809" i="5"/>
  <c r="R808" i="5"/>
  <c r="R807" i="5"/>
  <c r="R806" i="5"/>
  <c r="R805" i="5"/>
  <c r="R804" i="5"/>
  <c r="R803" i="5"/>
  <c r="R802" i="5"/>
  <c r="R801" i="5"/>
  <c r="R800" i="5"/>
  <c r="R799" i="5"/>
  <c r="R798" i="5"/>
  <c r="R797" i="5"/>
  <c r="R796" i="5"/>
  <c r="R795" i="5"/>
  <c r="R794" i="5"/>
  <c r="R793" i="5"/>
  <c r="R792" i="5"/>
  <c r="R791" i="5"/>
  <c r="R790" i="5"/>
  <c r="R789" i="5"/>
  <c r="R788" i="5"/>
  <c r="R787" i="5"/>
  <c r="R786" i="5"/>
  <c r="R785" i="5"/>
  <c r="R784" i="5"/>
  <c r="R783" i="5"/>
  <c r="R782" i="5"/>
  <c r="R781" i="5"/>
  <c r="R780" i="5"/>
  <c r="R779" i="5"/>
  <c r="R778" i="5"/>
  <c r="R777" i="5"/>
  <c r="R776" i="5"/>
  <c r="R775" i="5"/>
  <c r="R774" i="5"/>
  <c r="R773" i="5"/>
  <c r="R772" i="5"/>
  <c r="R771" i="5"/>
  <c r="R770" i="5"/>
  <c r="R769" i="5"/>
  <c r="R768" i="5"/>
  <c r="R767" i="5"/>
  <c r="R766" i="5"/>
  <c r="R765" i="5"/>
  <c r="R764" i="5"/>
  <c r="R763" i="5"/>
  <c r="R762" i="5"/>
  <c r="R761" i="5"/>
  <c r="R760" i="5"/>
  <c r="R759" i="5"/>
  <c r="R758" i="5"/>
  <c r="R757" i="5"/>
  <c r="R756" i="5"/>
  <c r="R755" i="5"/>
  <c r="R754" i="5"/>
  <c r="R753" i="5"/>
  <c r="R752" i="5"/>
  <c r="R751" i="5"/>
  <c r="R750" i="5"/>
  <c r="R749" i="5"/>
  <c r="R748" i="5"/>
  <c r="R747" i="5"/>
  <c r="R746" i="5"/>
  <c r="R745" i="5"/>
  <c r="R744" i="5"/>
  <c r="R743" i="5"/>
  <c r="R742" i="5"/>
  <c r="R741" i="5"/>
  <c r="R740" i="5"/>
  <c r="R739" i="5"/>
  <c r="R738" i="5"/>
  <c r="R737" i="5"/>
  <c r="R736" i="5"/>
  <c r="R735" i="5"/>
  <c r="R734" i="5"/>
  <c r="R733" i="5"/>
  <c r="R732" i="5"/>
  <c r="R731" i="5"/>
  <c r="R730" i="5"/>
  <c r="R729" i="5"/>
  <c r="R728" i="5"/>
  <c r="R727" i="5"/>
  <c r="R726" i="5"/>
  <c r="R725" i="5"/>
  <c r="R724" i="5"/>
  <c r="R723" i="5"/>
  <c r="R722" i="5"/>
  <c r="R721" i="5"/>
  <c r="R720" i="5"/>
  <c r="R719" i="5"/>
  <c r="R718" i="5"/>
  <c r="R717" i="5"/>
  <c r="R716" i="5"/>
  <c r="R715" i="5"/>
  <c r="R714" i="5"/>
  <c r="R713" i="5"/>
  <c r="R712" i="5"/>
  <c r="R711" i="5"/>
  <c r="R710" i="5"/>
  <c r="R709" i="5"/>
  <c r="R708" i="5"/>
  <c r="R707" i="5"/>
  <c r="R706" i="5"/>
  <c r="R705" i="5"/>
  <c r="R704" i="5"/>
  <c r="R703" i="5"/>
  <c r="R702" i="5"/>
  <c r="R701" i="5"/>
  <c r="R700" i="5"/>
  <c r="R699" i="5"/>
  <c r="R698" i="5"/>
  <c r="R697" i="5"/>
  <c r="R696" i="5"/>
  <c r="R695" i="5"/>
  <c r="R694" i="5"/>
  <c r="R693" i="5"/>
  <c r="R692" i="5"/>
  <c r="R691" i="5"/>
  <c r="R690" i="5"/>
  <c r="R689" i="5"/>
  <c r="R688" i="5"/>
  <c r="R687" i="5"/>
  <c r="R686" i="5"/>
  <c r="R685" i="5"/>
  <c r="R684" i="5"/>
  <c r="R683" i="5"/>
  <c r="R682" i="5"/>
  <c r="R681" i="5"/>
  <c r="R680" i="5"/>
  <c r="R679" i="5"/>
  <c r="R678" i="5"/>
  <c r="R677" i="5"/>
  <c r="R676" i="5"/>
  <c r="R675" i="5"/>
  <c r="R674" i="5"/>
  <c r="R673" i="5"/>
  <c r="R672" i="5"/>
  <c r="R671" i="5"/>
  <c r="R670" i="5"/>
  <c r="R669" i="5"/>
  <c r="R668" i="5"/>
  <c r="R667" i="5"/>
  <c r="R666" i="5"/>
  <c r="R665" i="5"/>
  <c r="R664" i="5"/>
  <c r="R663" i="5"/>
  <c r="R662" i="5"/>
  <c r="R661" i="5"/>
  <c r="R660" i="5"/>
  <c r="R659" i="5"/>
  <c r="R658" i="5"/>
  <c r="R657" i="5"/>
  <c r="R656" i="5"/>
  <c r="R655" i="5"/>
  <c r="R654" i="5"/>
  <c r="R653" i="5"/>
  <c r="R652" i="5"/>
  <c r="R651" i="5"/>
  <c r="R650" i="5"/>
  <c r="R649" i="5"/>
  <c r="R648" i="5"/>
  <c r="R647" i="5"/>
  <c r="R646" i="5"/>
  <c r="R645" i="5"/>
  <c r="R644" i="5"/>
  <c r="R643" i="5"/>
  <c r="R642" i="5"/>
  <c r="R641" i="5"/>
  <c r="R640" i="5"/>
  <c r="R639" i="5"/>
  <c r="R638" i="5"/>
  <c r="R637" i="5"/>
  <c r="R636" i="5"/>
  <c r="R635" i="5"/>
  <c r="R634" i="5"/>
  <c r="R633" i="5"/>
  <c r="R632" i="5"/>
  <c r="R631" i="5"/>
  <c r="R630" i="5"/>
  <c r="R629" i="5"/>
  <c r="R628" i="5"/>
  <c r="R627" i="5"/>
  <c r="R626" i="5"/>
  <c r="R625" i="5"/>
  <c r="R624" i="5"/>
  <c r="R623" i="5"/>
  <c r="R622" i="5"/>
  <c r="R621" i="5"/>
  <c r="R620" i="5"/>
  <c r="R619" i="5"/>
  <c r="R618" i="5"/>
  <c r="R617" i="5"/>
  <c r="R616" i="5"/>
  <c r="R615" i="5"/>
  <c r="R614" i="5"/>
  <c r="R613" i="5"/>
  <c r="R612" i="5"/>
  <c r="R611" i="5"/>
  <c r="R610" i="5"/>
  <c r="R609" i="5"/>
  <c r="R608" i="5"/>
  <c r="R607" i="5"/>
  <c r="R606" i="5"/>
  <c r="R605" i="5"/>
  <c r="R604" i="5"/>
  <c r="R603" i="5"/>
  <c r="R602" i="5"/>
  <c r="R601" i="5"/>
  <c r="R600" i="5"/>
  <c r="R599" i="5"/>
  <c r="R598" i="5"/>
  <c r="R597" i="5"/>
  <c r="R596" i="5"/>
  <c r="R595" i="5"/>
  <c r="R594" i="5"/>
  <c r="R593" i="5"/>
  <c r="R592" i="5"/>
  <c r="R591" i="5"/>
  <c r="R590" i="5"/>
  <c r="R589" i="5"/>
  <c r="R588" i="5"/>
  <c r="R587" i="5"/>
  <c r="R586" i="5"/>
  <c r="R585" i="5"/>
  <c r="R584" i="5"/>
  <c r="R583" i="5"/>
  <c r="R582" i="5"/>
  <c r="R581" i="5"/>
  <c r="R580" i="5"/>
  <c r="R579" i="5"/>
  <c r="R578" i="5"/>
  <c r="R577" i="5"/>
  <c r="R576" i="5"/>
  <c r="R575" i="5"/>
  <c r="R574" i="5"/>
  <c r="R573" i="5"/>
  <c r="R572" i="5"/>
  <c r="R571" i="5"/>
  <c r="R570" i="5"/>
  <c r="R569" i="5"/>
  <c r="R568" i="5"/>
  <c r="R567" i="5"/>
  <c r="R566" i="5"/>
  <c r="R565" i="5"/>
  <c r="R564" i="5"/>
  <c r="R563" i="5"/>
  <c r="R562" i="5"/>
  <c r="R561" i="5"/>
  <c r="R560" i="5"/>
  <c r="R559" i="5"/>
  <c r="R558" i="5"/>
  <c r="R557" i="5"/>
  <c r="R556" i="5"/>
  <c r="R555" i="5"/>
  <c r="R554" i="5"/>
  <c r="R553" i="5"/>
  <c r="R552" i="5"/>
  <c r="R551" i="5"/>
  <c r="R550" i="5"/>
  <c r="R549" i="5"/>
  <c r="R548" i="5"/>
  <c r="R547" i="5"/>
  <c r="R546" i="5"/>
  <c r="R545" i="5"/>
  <c r="R544" i="5"/>
  <c r="R543" i="5"/>
  <c r="R542" i="5"/>
  <c r="R541" i="5"/>
  <c r="R540" i="5"/>
  <c r="R539" i="5"/>
  <c r="R538" i="5"/>
  <c r="R537" i="5"/>
  <c r="R536" i="5"/>
  <c r="R535" i="5"/>
  <c r="R534" i="5"/>
  <c r="R533" i="5"/>
  <c r="R532" i="5"/>
  <c r="R531" i="5"/>
  <c r="R530" i="5"/>
  <c r="R529" i="5"/>
  <c r="R528" i="5"/>
  <c r="R527" i="5"/>
  <c r="R526" i="5"/>
  <c r="R525" i="5"/>
  <c r="R524" i="5"/>
  <c r="R523" i="5"/>
  <c r="R522" i="5"/>
  <c r="R521" i="5"/>
  <c r="R520" i="5"/>
  <c r="R519" i="5"/>
  <c r="R518" i="5"/>
  <c r="R517" i="5"/>
  <c r="R516" i="5"/>
  <c r="R515" i="5"/>
  <c r="R514" i="5"/>
  <c r="R513" i="5"/>
  <c r="R512" i="5"/>
  <c r="R511" i="5"/>
  <c r="R510" i="5"/>
  <c r="R509" i="5"/>
  <c r="R508" i="5"/>
  <c r="R507" i="5"/>
  <c r="R506" i="5"/>
  <c r="R505" i="5"/>
  <c r="R504" i="5"/>
  <c r="R503" i="5"/>
  <c r="R502" i="5"/>
  <c r="R501" i="5"/>
  <c r="R500" i="5"/>
  <c r="R499" i="5"/>
  <c r="R498" i="5"/>
  <c r="R497" i="5"/>
  <c r="R496" i="5"/>
  <c r="R495" i="5"/>
  <c r="R494" i="5"/>
  <c r="R493" i="5"/>
  <c r="R492" i="5"/>
  <c r="R491" i="5"/>
  <c r="R490" i="5"/>
  <c r="R489" i="5"/>
  <c r="R488" i="5"/>
  <c r="R487" i="5"/>
  <c r="R486" i="5"/>
  <c r="R485" i="5"/>
  <c r="R484" i="5"/>
  <c r="R483" i="5"/>
  <c r="R482" i="5"/>
  <c r="R481" i="5"/>
  <c r="R480" i="5"/>
  <c r="R479" i="5"/>
  <c r="R478" i="5"/>
  <c r="R477" i="5"/>
  <c r="R476" i="5"/>
  <c r="R475" i="5"/>
  <c r="R474" i="5"/>
  <c r="R473" i="5"/>
  <c r="R472" i="5"/>
  <c r="R471" i="5"/>
  <c r="R470" i="5"/>
  <c r="R469" i="5"/>
  <c r="R468" i="5"/>
  <c r="R467" i="5"/>
  <c r="R466" i="5"/>
  <c r="R465" i="5"/>
  <c r="R464" i="5"/>
  <c r="R463" i="5"/>
  <c r="R462" i="5"/>
  <c r="R461" i="5"/>
  <c r="R460" i="5"/>
  <c r="R459" i="5"/>
  <c r="R458" i="5"/>
  <c r="R457" i="5"/>
  <c r="R456" i="5"/>
  <c r="R455" i="5"/>
  <c r="R454" i="5"/>
  <c r="R453" i="5"/>
  <c r="R452" i="5"/>
  <c r="R451" i="5"/>
  <c r="R450" i="5"/>
  <c r="R449" i="5"/>
  <c r="R448" i="5"/>
  <c r="R447" i="5"/>
  <c r="R446" i="5"/>
  <c r="R445" i="5"/>
  <c r="R444" i="5"/>
  <c r="R443" i="5"/>
  <c r="R442" i="5"/>
  <c r="R441" i="5"/>
  <c r="R440" i="5"/>
  <c r="R439" i="5"/>
  <c r="R438" i="5"/>
  <c r="R437" i="5"/>
  <c r="R436" i="5"/>
  <c r="R435" i="5"/>
  <c r="R434" i="5"/>
  <c r="R433" i="5"/>
  <c r="R432" i="5"/>
  <c r="R431" i="5"/>
  <c r="R430" i="5"/>
  <c r="R429" i="5"/>
  <c r="R428" i="5"/>
  <c r="R427" i="5"/>
  <c r="R426" i="5"/>
  <c r="R425" i="5"/>
  <c r="R424" i="5"/>
  <c r="R423" i="5"/>
  <c r="R422" i="5"/>
  <c r="R421" i="5"/>
  <c r="R420" i="5"/>
  <c r="R419" i="5"/>
  <c r="R418" i="5"/>
  <c r="R417" i="5"/>
  <c r="R416" i="5"/>
  <c r="R415" i="5"/>
  <c r="R414" i="5"/>
  <c r="R413" i="5"/>
  <c r="R412" i="5"/>
  <c r="R411" i="5"/>
  <c r="R410" i="5"/>
  <c r="R409" i="5"/>
  <c r="R408" i="5"/>
  <c r="R407" i="5"/>
  <c r="R406" i="5"/>
  <c r="R405" i="5"/>
  <c r="R404" i="5"/>
  <c r="R403" i="5"/>
  <c r="R402" i="5"/>
  <c r="R401" i="5"/>
  <c r="R400" i="5"/>
  <c r="R399" i="5"/>
  <c r="R398" i="5"/>
  <c r="R397" i="5"/>
  <c r="R396" i="5"/>
  <c r="R395" i="5"/>
  <c r="R394" i="5"/>
  <c r="R393" i="5"/>
  <c r="R392" i="5"/>
  <c r="R391" i="5"/>
  <c r="R390" i="5"/>
  <c r="R389" i="5"/>
  <c r="R388" i="5"/>
  <c r="R387" i="5"/>
  <c r="R386" i="5"/>
  <c r="R385" i="5"/>
  <c r="R384" i="5"/>
  <c r="R383" i="5"/>
  <c r="R382" i="5"/>
  <c r="R381" i="5"/>
  <c r="R380" i="5"/>
  <c r="R379" i="5"/>
  <c r="R378" i="5"/>
  <c r="R377" i="5"/>
  <c r="R376" i="5"/>
  <c r="R375" i="5"/>
  <c r="R374" i="5"/>
  <c r="R373" i="5"/>
  <c r="R372" i="5"/>
  <c r="R371" i="5"/>
  <c r="R370" i="5"/>
  <c r="R369" i="5"/>
  <c r="R368" i="5"/>
  <c r="R367" i="5"/>
  <c r="R366" i="5"/>
  <c r="R365" i="5"/>
  <c r="R364" i="5"/>
  <c r="R363" i="5"/>
  <c r="R362" i="5"/>
  <c r="R361" i="5"/>
  <c r="R360" i="5"/>
  <c r="R359" i="5"/>
  <c r="R358" i="5"/>
  <c r="R357" i="5"/>
  <c r="R356" i="5"/>
  <c r="R355" i="5"/>
  <c r="R354" i="5"/>
  <c r="R353" i="5"/>
  <c r="R352" i="5"/>
  <c r="R351" i="5"/>
  <c r="R350" i="5"/>
  <c r="R349" i="5"/>
  <c r="R348" i="5"/>
  <c r="R347" i="5"/>
  <c r="R346" i="5"/>
  <c r="R345" i="5"/>
  <c r="R344" i="5"/>
  <c r="R343" i="5"/>
  <c r="R342" i="5"/>
  <c r="R341" i="5"/>
  <c r="R340" i="5"/>
  <c r="R339" i="5"/>
  <c r="R338" i="5"/>
  <c r="R337" i="5"/>
  <c r="R336" i="5"/>
  <c r="R335" i="5"/>
  <c r="R334" i="5"/>
  <c r="R333" i="5"/>
  <c r="R332" i="5"/>
  <c r="R331" i="5"/>
  <c r="R330" i="5"/>
  <c r="R329" i="5"/>
  <c r="R328" i="5"/>
  <c r="R327" i="5"/>
  <c r="R326" i="5"/>
  <c r="R325" i="5"/>
  <c r="R324" i="5"/>
  <c r="R323" i="5"/>
  <c r="R322" i="5"/>
  <c r="R321" i="5"/>
  <c r="R320" i="5"/>
  <c r="R319" i="5"/>
  <c r="R318" i="5"/>
  <c r="R317" i="5"/>
  <c r="R316" i="5"/>
  <c r="R315" i="5"/>
  <c r="R314" i="5"/>
  <c r="R313" i="5"/>
  <c r="R312" i="5"/>
  <c r="R311" i="5"/>
  <c r="R310" i="5"/>
  <c r="R309" i="5"/>
  <c r="R308" i="5"/>
  <c r="R307" i="5"/>
  <c r="R306" i="5"/>
  <c r="R305" i="5"/>
  <c r="R304" i="5"/>
  <c r="R303" i="5"/>
  <c r="R302" i="5"/>
  <c r="R301" i="5"/>
  <c r="R300" i="5"/>
  <c r="R299" i="5"/>
  <c r="R298" i="5"/>
  <c r="R297" i="5"/>
  <c r="R296" i="5"/>
  <c r="R295" i="5"/>
  <c r="R294" i="5"/>
  <c r="R293" i="5"/>
  <c r="R292" i="5"/>
  <c r="R291" i="5"/>
  <c r="R290" i="5"/>
  <c r="R289" i="5"/>
  <c r="R288" i="5"/>
  <c r="R287" i="5"/>
  <c r="R286" i="5"/>
  <c r="R285" i="5"/>
  <c r="R284" i="5"/>
  <c r="R283" i="5"/>
  <c r="R282" i="5"/>
  <c r="R281" i="5"/>
  <c r="R280" i="5"/>
  <c r="R279" i="5"/>
  <c r="R278" i="5"/>
  <c r="R277" i="5"/>
  <c r="R276" i="5"/>
  <c r="R275" i="5"/>
  <c r="R274" i="5"/>
  <c r="R273" i="5"/>
  <c r="R272" i="5"/>
  <c r="R271" i="5"/>
  <c r="R270" i="5"/>
  <c r="R269" i="5"/>
  <c r="R268" i="5"/>
  <c r="R267" i="5"/>
  <c r="R266" i="5"/>
  <c r="R265" i="5"/>
  <c r="R264" i="5"/>
  <c r="R263" i="5"/>
  <c r="R262" i="5"/>
  <c r="R261" i="5"/>
  <c r="R260" i="5"/>
  <c r="R259" i="5"/>
  <c r="R258" i="5"/>
  <c r="R257" i="5"/>
  <c r="R256" i="5"/>
  <c r="R255" i="5"/>
  <c r="R254" i="5"/>
  <c r="R253" i="5"/>
  <c r="R252" i="5"/>
  <c r="R251" i="5"/>
  <c r="R250" i="5"/>
  <c r="R249" i="5"/>
  <c r="R248" i="5"/>
  <c r="R247" i="5"/>
  <c r="R246" i="5"/>
  <c r="R245" i="5"/>
  <c r="R244" i="5"/>
  <c r="R243" i="5"/>
  <c r="R242" i="5"/>
  <c r="R241" i="5"/>
  <c r="R240" i="5"/>
  <c r="R239" i="5"/>
  <c r="R238" i="5"/>
  <c r="R237" i="5"/>
  <c r="R236" i="5"/>
  <c r="R235" i="5"/>
  <c r="R234" i="5"/>
  <c r="R233" i="5"/>
  <c r="R232" i="5"/>
  <c r="R231" i="5"/>
  <c r="R230" i="5"/>
  <c r="R229" i="5"/>
  <c r="R228" i="5"/>
  <c r="R227" i="5"/>
  <c r="R226" i="5"/>
  <c r="R225" i="5"/>
  <c r="R224" i="5"/>
  <c r="R223" i="5"/>
  <c r="R222" i="5"/>
  <c r="R221" i="5"/>
  <c r="R220" i="5"/>
  <c r="R219" i="5"/>
  <c r="R218" i="5"/>
  <c r="R217" i="5"/>
  <c r="R216" i="5"/>
  <c r="R215" i="5"/>
  <c r="R214" i="5"/>
  <c r="R213" i="5"/>
  <c r="R212" i="5"/>
  <c r="R211" i="5"/>
  <c r="R210" i="5"/>
  <c r="R209" i="5"/>
  <c r="R208" i="5"/>
  <c r="R207" i="5"/>
  <c r="R206" i="5"/>
  <c r="R205" i="5"/>
  <c r="R204" i="5"/>
  <c r="R203" i="5"/>
  <c r="R202" i="5"/>
  <c r="R201" i="5"/>
  <c r="R200" i="5"/>
  <c r="R199" i="5"/>
  <c r="R198" i="5"/>
  <c r="R197" i="5"/>
  <c r="R196" i="5"/>
  <c r="R195" i="5"/>
  <c r="R194" i="5"/>
  <c r="R193" i="5"/>
  <c r="R192" i="5"/>
  <c r="R191" i="5"/>
  <c r="R190" i="5"/>
  <c r="R189" i="5"/>
  <c r="R188" i="5"/>
  <c r="R187" i="5"/>
  <c r="R186" i="5"/>
  <c r="R185" i="5"/>
  <c r="R184" i="5"/>
  <c r="R183" i="5"/>
  <c r="R182" i="5"/>
  <c r="R181" i="5"/>
  <c r="R180" i="5"/>
  <c r="R179" i="5"/>
  <c r="R178" i="5"/>
  <c r="R177" i="5"/>
  <c r="R176" i="5"/>
  <c r="R175" i="5"/>
  <c r="R174" i="5"/>
  <c r="R173" i="5"/>
  <c r="R172" i="5"/>
  <c r="R171" i="5"/>
  <c r="R170" i="5"/>
  <c r="R169" i="5"/>
  <c r="R168" i="5"/>
  <c r="R167" i="5"/>
  <c r="R166" i="5"/>
  <c r="R165" i="5"/>
  <c r="R164" i="5"/>
  <c r="R163" i="5"/>
  <c r="R162" i="5"/>
  <c r="R161" i="5"/>
  <c r="R160" i="5"/>
  <c r="R159" i="5"/>
  <c r="R158" i="5"/>
  <c r="R157" i="5"/>
  <c r="R156" i="5"/>
  <c r="R155" i="5"/>
  <c r="R154" i="5"/>
  <c r="R153" i="5"/>
  <c r="R152" i="5"/>
  <c r="R151" i="5"/>
  <c r="R150" i="5"/>
  <c r="R149" i="5"/>
  <c r="R148" i="5"/>
  <c r="R147" i="5"/>
  <c r="R146" i="5"/>
  <c r="R145" i="5"/>
  <c r="R144" i="5"/>
  <c r="R143" i="5"/>
  <c r="R142" i="5"/>
  <c r="R141" i="5"/>
  <c r="R140" i="5"/>
  <c r="R139" i="5"/>
  <c r="R138" i="5"/>
  <c r="R137" i="5"/>
  <c r="R136" i="5"/>
  <c r="R135" i="5"/>
  <c r="R134" i="5"/>
  <c r="R133" i="5"/>
  <c r="R132" i="5"/>
  <c r="R131" i="5"/>
  <c r="R130" i="5"/>
  <c r="R129" i="5"/>
  <c r="R128" i="5"/>
  <c r="R127" i="5"/>
  <c r="R126" i="5"/>
  <c r="R125" i="5"/>
  <c r="R124" i="5"/>
  <c r="R123" i="5"/>
  <c r="R122" i="5"/>
  <c r="R121" i="5"/>
  <c r="R120" i="5"/>
  <c r="R119" i="5"/>
  <c r="R118" i="5"/>
  <c r="R117" i="5"/>
  <c r="R116" i="5"/>
  <c r="R115" i="5"/>
  <c r="R114" i="5"/>
  <c r="R113" i="5"/>
  <c r="R112" i="5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0" i="5"/>
  <c r="Q1363" i="5"/>
  <c r="O1363" i="5"/>
  <c r="A1363" i="5"/>
  <c r="Q1362" i="5"/>
  <c r="O1362" i="5"/>
  <c r="A1362" i="5"/>
  <c r="O1337" i="5"/>
  <c r="Q1337" i="5"/>
  <c r="O1338" i="5"/>
  <c r="Q1338" i="5"/>
  <c r="O1339" i="5"/>
  <c r="Q1339" i="5"/>
  <c r="O1340" i="5"/>
  <c r="Q1340" i="5"/>
  <c r="O1341" i="5"/>
  <c r="Q1341" i="5"/>
  <c r="O1342" i="5"/>
  <c r="Q1342" i="5"/>
  <c r="O1343" i="5"/>
  <c r="Q1343" i="5"/>
  <c r="O1344" i="5"/>
  <c r="Q1344" i="5"/>
  <c r="O1345" i="5"/>
  <c r="Q1345" i="5"/>
  <c r="O1346" i="5"/>
  <c r="Q1346" i="5"/>
  <c r="O1347" i="5"/>
  <c r="Q1347" i="5"/>
  <c r="O1348" i="5"/>
  <c r="Q1348" i="5"/>
  <c r="O1349" i="5"/>
  <c r="Q1349" i="5"/>
  <c r="O1350" i="5"/>
  <c r="Q1350" i="5"/>
  <c r="O1351" i="5"/>
  <c r="Q1351" i="5"/>
  <c r="O1352" i="5"/>
  <c r="Q1352" i="5"/>
  <c r="O1353" i="5"/>
  <c r="Q1353" i="5"/>
  <c r="O1354" i="5"/>
  <c r="Q1354" i="5"/>
  <c r="O1355" i="5"/>
  <c r="Q1355" i="5"/>
  <c r="O1356" i="5"/>
  <c r="Q1356" i="5"/>
  <c r="O1357" i="5"/>
  <c r="Q1357" i="5"/>
  <c r="O1358" i="5"/>
  <c r="Q1358" i="5"/>
  <c r="O1359" i="5"/>
  <c r="Q1359" i="5"/>
  <c r="O1360" i="5"/>
  <c r="Q1360" i="5"/>
  <c r="O1361" i="5"/>
  <c r="Q1361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O1176" i="5"/>
  <c r="Q1176" i="5"/>
  <c r="O1177" i="5"/>
  <c r="Q1177" i="5"/>
  <c r="O1178" i="5"/>
  <c r="Q1178" i="5"/>
  <c r="O1179" i="5"/>
  <c r="Q1179" i="5"/>
  <c r="O1180" i="5"/>
  <c r="Q1180" i="5"/>
  <c r="O1181" i="5"/>
  <c r="Q1181" i="5"/>
  <c r="O1182" i="5"/>
  <c r="Q1182" i="5"/>
  <c r="O1183" i="5"/>
  <c r="Q1183" i="5"/>
  <c r="O1184" i="5"/>
  <c r="Q1184" i="5"/>
  <c r="O1185" i="5"/>
  <c r="Q1185" i="5"/>
  <c r="O1186" i="5"/>
  <c r="Q1186" i="5"/>
  <c r="O1187" i="5"/>
  <c r="Q1187" i="5"/>
  <c r="O1188" i="5"/>
  <c r="Q1188" i="5"/>
  <c r="O1189" i="5"/>
  <c r="Q1189" i="5"/>
  <c r="O1190" i="5"/>
  <c r="Q1190" i="5"/>
  <c r="O1191" i="5"/>
  <c r="Q1191" i="5"/>
  <c r="O1192" i="5"/>
  <c r="Q1192" i="5"/>
  <c r="O1193" i="5"/>
  <c r="Q1193" i="5"/>
  <c r="O1194" i="5"/>
  <c r="Q1194" i="5"/>
  <c r="O1195" i="5"/>
  <c r="Q1195" i="5"/>
  <c r="O1196" i="5"/>
  <c r="Q1196" i="5"/>
  <c r="O1197" i="5"/>
  <c r="Q1197" i="5"/>
  <c r="O1198" i="5"/>
  <c r="Q1198" i="5"/>
  <c r="O1199" i="5"/>
  <c r="Q1199" i="5"/>
  <c r="O1200" i="5"/>
  <c r="Q1200" i="5"/>
  <c r="O1201" i="5"/>
  <c r="Q1201" i="5"/>
  <c r="O1202" i="5"/>
  <c r="Q1202" i="5"/>
  <c r="O1203" i="5"/>
  <c r="Q1203" i="5"/>
  <c r="O1204" i="5"/>
  <c r="Q1204" i="5"/>
  <c r="O1205" i="5"/>
  <c r="Q1205" i="5"/>
  <c r="O1206" i="5"/>
  <c r="Q1206" i="5"/>
  <c r="O1207" i="5"/>
  <c r="Q1207" i="5"/>
  <c r="O1208" i="5"/>
  <c r="Q1208" i="5"/>
  <c r="O1209" i="5"/>
  <c r="Q1209" i="5"/>
  <c r="O1210" i="5"/>
  <c r="Q1210" i="5"/>
  <c r="O1211" i="5"/>
  <c r="Q1211" i="5"/>
  <c r="O1212" i="5"/>
  <c r="Q1212" i="5"/>
  <c r="O1213" i="5"/>
  <c r="Q1213" i="5"/>
  <c r="O1214" i="5"/>
  <c r="Q1214" i="5"/>
  <c r="O1215" i="5"/>
  <c r="Q1215" i="5"/>
  <c r="O1216" i="5"/>
  <c r="Q1216" i="5"/>
  <c r="O1217" i="5"/>
  <c r="Q1217" i="5"/>
  <c r="O1218" i="5"/>
  <c r="Q1218" i="5"/>
  <c r="O1219" i="5"/>
  <c r="Q1219" i="5"/>
  <c r="O1220" i="5"/>
  <c r="Q1220" i="5"/>
  <c r="O1221" i="5"/>
  <c r="Q1221" i="5"/>
  <c r="O1222" i="5"/>
  <c r="Q1222" i="5"/>
  <c r="O1223" i="5"/>
  <c r="Q1223" i="5"/>
  <c r="O1224" i="5"/>
  <c r="Q1224" i="5"/>
  <c r="O1225" i="5"/>
  <c r="Q1225" i="5"/>
  <c r="O1226" i="5"/>
  <c r="Q1226" i="5"/>
  <c r="O1227" i="5"/>
  <c r="Q1227" i="5"/>
  <c r="O1228" i="5"/>
  <c r="Q1228" i="5"/>
  <c r="O1229" i="5"/>
  <c r="Q1229" i="5"/>
  <c r="O1230" i="5"/>
  <c r="Q1230" i="5"/>
  <c r="O1231" i="5"/>
  <c r="Q1231" i="5"/>
  <c r="O1232" i="5"/>
  <c r="Q1232" i="5"/>
  <c r="O1233" i="5"/>
  <c r="Q1233" i="5"/>
  <c r="O1234" i="5"/>
  <c r="Q1234" i="5"/>
  <c r="O1235" i="5"/>
  <c r="Q1235" i="5"/>
  <c r="O1236" i="5"/>
  <c r="Q1236" i="5"/>
  <c r="O1237" i="5"/>
  <c r="Q1237" i="5"/>
  <c r="O1238" i="5"/>
  <c r="Q1238" i="5"/>
  <c r="O1239" i="5"/>
  <c r="Q1239" i="5"/>
  <c r="O1240" i="5"/>
  <c r="Q1240" i="5"/>
  <c r="O1241" i="5"/>
  <c r="Q1241" i="5"/>
  <c r="O1242" i="5"/>
  <c r="Q1242" i="5"/>
  <c r="O1243" i="5"/>
  <c r="Q1243" i="5"/>
  <c r="O1244" i="5"/>
  <c r="Q1244" i="5"/>
  <c r="O1245" i="5"/>
  <c r="Q1245" i="5"/>
  <c r="O1246" i="5"/>
  <c r="Q1246" i="5"/>
  <c r="O1247" i="5"/>
  <c r="Q1247" i="5"/>
  <c r="O1248" i="5"/>
  <c r="Q1248" i="5"/>
  <c r="O1249" i="5"/>
  <c r="Q1249" i="5"/>
  <c r="O1250" i="5"/>
  <c r="Q1250" i="5"/>
  <c r="O1251" i="5"/>
  <c r="Q1251" i="5"/>
  <c r="O1252" i="5"/>
  <c r="Q1252" i="5"/>
  <c r="O1253" i="5"/>
  <c r="Q1253" i="5"/>
  <c r="O1254" i="5"/>
  <c r="Q1254" i="5"/>
  <c r="O1255" i="5"/>
  <c r="Q1255" i="5"/>
  <c r="O1256" i="5"/>
  <c r="Q1256" i="5"/>
  <c r="O1257" i="5"/>
  <c r="Q1257" i="5"/>
  <c r="O1258" i="5"/>
  <c r="Q1258" i="5"/>
  <c r="O1259" i="5"/>
  <c r="Q1259" i="5"/>
  <c r="O1260" i="5"/>
  <c r="Q1260" i="5"/>
  <c r="O1261" i="5"/>
  <c r="Q1261" i="5"/>
  <c r="O1262" i="5"/>
  <c r="Q1262" i="5"/>
  <c r="O1263" i="5"/>
  <c r="Q1263" i="5"/>
  <c r="O1264" i="5"/>
  <c r="Q1264" i="5"/>
  <c r="O1265" i="5"/>
  <c r="Q1265" i="5"/>
  <c r="O1266" i="5"/>
  <c r="Q1266" i="5"/>
  <c r="O1267" i="5"/>
  <c r="Q1267" i="5"/>
  <c r="O1268" i="5"/>
  <c r="Q1268" i="5"/>
  <c r="O1269" i="5"/>
  <c r="Q1269" i="5"/>
  <c r="O1270" i="5"/>
  <c r="Q1270" i="5"/>
  <c r="O1271" i="5"/>
  <c r="Q1271" i="5"/>
  <c r="O1272" i="5"/>
  <c r="Q1272" i="5"/>
  <c r="O1273" i="5"/>
  <c r="Q1273" i="5"/>
  <c r="O1274" i="5"/>
  <c r="Q1274" i="5"/>
  <c r="O1275" i="5"/>
  <c r="Q1275" i="5"/>
  <c r="O1276" i="5"/>
  <c r="Q1276" i="5"/>
  <c r="O1277" i="5"/>
  <c r="Q1277" i="5"/>
  <c r="O1278" i="5"/>
  <c r="Q1278" i="5"/>
  <c r="O1279" i="5"/>
  <c r="Q1279" i="5"/>
  <c r="O1280" i="5"/>
  <c r="Q1280" i="5"/>
  <c r="O1281" i="5"/>
  <c r="Q1281" i="5"/>
  <c r="O1282" i="5"/>
  <c r="Q1282" i="5"/>
  <c r="O1283" i="5"/>
  <c r="Q1283" i="5"/>
  <c r="O1284" i="5"/>
  <c r="Q1284" i="5"/>
  <c r="O1285" i="5"/>
  <c r="Q1285" i="5"/>
  <c r="O1286" i="5"/>
  <c r="Q1286" i="5"/>
  <c r="O1287" i="5"/>
  <c r="Q1287" i="5"/>
  <c r="O1288" i="5"/>
  <c r="Q1288" i="5"/>
  <c r="O1289" i="5"/>
  <c r="Q1289" i="5"/>
  <c r="O1290" i="5"/>
  <c r="Q1290" i="5"/>
  <c r="O1291" i="5"/>
  <c r="Q1291" i="5"/>
  <c r="O1292" i="5"/>
  <c r="Q1292" i="5"/>
  <c r="O1293" i="5"/>
  <c r="Q1293" i="5"/>
  <c r="O1294" i="5"/>
  <c r="Q1294" i="5"/>
  <c r="O1295" i="5"/>
  <c r="Q1295" i="5"/>
  <c r="O1296" i="5"/>
  <c r="Q1296" i="5"/>
  <c r="O1297" i="5"/>
  <c r="Q1297" i="5"/>
  <c r="O1298" i="5"/>
  <c r="Q1298" i="5"/>
  <c r="O1299" i="5"/>
  <c r="Q1299" i="5"/>
  <c r="O1300" i="5"/>
  <c r="Q1300" i="5"/>
  <c r="O1301" i="5"/>
  <c r="Q1301" i="5"/>
  <c r="O1302" i="5"/>
  <c r="Q1302" i="5"/>
  <c r="O1303" i="5"/>
  <c r="Q1303" i="5"/>
  <c r="O1304" i="5"/>
  <c r="Q1304" i="5"/>
  <c r="O1305" i="5"/>
  <c r="Q1305" i="5"/>
  <c r="O1306" i="5"/>
  <c r="Q1306" i="5"/>
  <c r="O1307" i="5"/>
  <c r="Q1307" i="5"/>
  <c r="O1308" i="5"/>
  <c r="Q1308" i="5"/>
  <c r="O1309" i="5"/>
  <c r="Q1309" i="5"/>
  <c r="O1310" i="5"/>
  <c r="Q1310" i="5"/>
  <c r="O1311" i="5"/>
  <c r="Q1311" i="5"/>
  <c r="O1312" i="5"/>
  <c r="Q1312" i="5"/>
  <c r="O1313" i="5"/>
  <c r="Q1313" i="5"/>
  <c r="O1314" i="5"/>
  <c r="Q1314" i="5"/>
  <c r="O1315" i="5"/>
  <c r="Q1315" i="5"/>
  <c r="O1316" i="5"/>
  <c r="Q1316" i="5"/>
  <c r="O1317" i="5"/>
  <c r="Q1317" i="5"/>
  <c r="O1318" i="5"/>
  <c r="Q1318" i="5"/>
  <c r="O1319" i="5"/>
  <c r="Q1319" i="5"/>
  <c r="O1320" i="5"/>
  <c r="Q1320" i="5"/>
  <c r="O1321" i="5"/>
  <c r="Q1321" i="5"/>
  <c r="O1322" i="5"/>
  <c r="Q1322" i="5"/>
  <c r="O1323" i="5"/>
  <c r="Q1323" i="5"/>
  <c r="O1324" i="5"/>
  <c r="Q1324" i="5"/>
  <c r="O1325" i="5"/>
  <c r="Q1325" i="5"/>
  <c r="O1326" i="5"/>
  <c r="Q1326" i="5"/>
  <c r="O1327" i="5"/>
  <c r="Q1327" i="5"/>
  <c r="O1328" i="5"/>
  <c r="Q1328" i="5"/>
  <c r="O1329" i="5"/>
  <c r="Q1329" i="5"/>
  <c r="O1330" i="5"/>
  <c r="Q1330" i="5"/>
  <c r="O1331" i="5"/>
  <c r="Q1331" i="5"/>
  <c r="O1332" i="5"/>
  <c r="Q1332" i="5"/>
  <c r="O1333" i="5"/>
  <c r="Q1333" i="5"/>
  <c r="O1334" i="5"/>
  <c r="Q1334" i="5"/>
  <c r="O1335" i="5"/>
  <c r="Q1335" i="5"/>
  <c r="O1336" i="5"/>
  <c r="Q1336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O1000" i="5" l="1"/>
  <c r="Q1000" i="5"/>
  <c r="O1001" i="5"/>
  <c r="Q1001" i="5"/>
  <c r="A1000" i="5"/>
  <c r="A1001" i="5"/>
  <c r="A103" i="7"/>
  <c r="O330" i="5"/>
  <c r="Q330" i="5"/>
  <c r="O331" i="5"/>
  <c r="Q331" i="5"/>
  <c r="A330" i="5"/>
  <c r="A331" i="5"/>
  <c r="A20" i="5"/>
  <c r="A21" i="5"/>
  <c r="A22" i="5"/>
  <c r="A23" i="5"/>
  <c r="A123" i="7" l="1"/>
  <c r="A121" i="7"/>
  <c r="A120" i="7"/>
  <c r="A113" i="7"/>
  <c r="A88" i="7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50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651" i="5"/>
  <c r="A1051" i="5"/>
  <c r="A41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413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443" i="5"/>
  <c r="A276" i="5"/>
  <c r="A277" i="5"/>
  <c r="A68" i="5"/>
  <c r="A161" i="5"/>
  <c r="A280" i="5"/>
  <c r="A444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461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793" i="5"/>
  <c r="A926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162" i="5"/>
  <c r="A163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2" i="5"/>
  <c r="A1053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794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927" i="5"/>
  <c r="A929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795" i="5"/>
  <c r="A649" i="5"/>
  <c r="A1035" i="5"/>
  <c r="A1034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1055" i="5"/>
  <c r="A1056" i="5"/>
  <c r="A1059" i="5"/>
  <c r="A1061" i="5"/>
  <c r="A797" i="5"/>
  <c r="A798" i="5"/>
  <c r="A799" i="5"/>
  <c r="A800" i="5"/>
  <c r="A801" i="5"/>
  <c r="A802" i="5"/>
  <c r="A803" i="5"/>
  <c r="A804" i="5"/>
  <c r="A1036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796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317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546" i="5"/>
  <c r="A805" i="5"/>
  <c r="A928" i="5"/>
  <c r="A1040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560" i="5"/>
  <c r="A561" i="5"/>
  <c r="A648" i="5"/>
  <c r="A1037" i="5"/>
  <c r="A1038" i="5"/>
  <c r="A1039" i="5"/>
  <c r="A219" i="5"/>
  <c r="A275" i="5"/>
  <c r="A1042" i="5"/>
  <c r="A1043" i="5"/>
  <c r="A278" i="5"/>
  <c r="A279" i="5"/>
  <c r="A281" i="5"/>
  <c r="A1047" i="5"/>
  <c r="A1094" i="5"/>
  <c r="A818" i="5"/>
  <c r="A1050" i="5"/>
  <c r="A1041" i="5"/>
  <c r="A1052" i="5"/>
  <c r="A1044" i="5"/>
  <c r="A1054" i="5"/>
  <c r="A1045" i="5"/>
  <c r="A1046" i="5"/>
  <c r="A1057" i="5"/>
  <c r="A1058" i="5"/>
  <c r="A1048" i="5"/>
  <c r="A1060" i="5"/>
  <c r="A1049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912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3" i="5"/>
  <c r="A1618" i="9"/>
  <c r="A1630" i="9" s="1"/>
  <c r="A1614" i="9"/>
  <c r="A1626" i="9" s="1"/>
  <c r="A1610" i="9"/>
  <c r="A1622" i="9" s="1"/>
  <c r="A1606" i="9"/>
  <c r="B1606" i="9" s="1"/>
  <c r="A1602" i="9"/>
  <c r="B1602" i="9" s="1"/>
  <c r="A1598" i="9"/>
  <c r="B1598" i="9" s="1"/>
  <c r="A1597" i="9"/>
  <c r="A1609" i="9" s="1"/>
  <c r="A1621" i="9" s="1"/>
  <c r="A1633" i="9" s="1"/>
  <c r="A1645" i="9" s="1"/>
  <c r="A1657" i="9" s="1"/>
  <c r="A1669" i="9" s="1"/>
  <c r="A1681" i="9" s="1"/>
  <c r="A1594" i="9"/>
  <c r="B1594" i="9" s="1"/>
  <c r="A1593" i="9"/>
  <c r="A1605" i="9" s="1"/>
  <c r="A1590" i="9"/>
  <c r="B1590" i="9" s="1"/>
  <c r="A1589" i="9"/>
  <c r="A1601" i="9" s="1"/>
  <c r="A1586" i="9"/>
  <c r="B1586" i="9" s="1"/>
  <c r="A1585" i="9"/>
  <c r="A1582" i="9"/>
  <c r="B1582" i="9" s="1"/>
  <c r="A1581" i="9"/>
  <c r="B1581" i="9" s="1"/>
  <c r="A1578" i="9"/>
  <c r="B1578" i="9" s="1"/>
  <c r="A1577" i="9"/>
  <c r="B1577" i="9" s="1"/>
  <c r="A1574" i="9"/>
  <c r="B1574" i="9" s="1"/>
  <c r="A1573" i="9"/>
  <c r="A1572" i="9"/>
  <c r="A1584" i="9" s="1"/>
  <c r="A1571" i="9"/>
  <c r="B1571" i="9" s="1"/>
  <c r="A1570" i="9"/>
  <c r="B1570" i="9" s="1"/>
  <c r="A1569" i="9"/>
  <c r="B1569" i="9" s="1"/>
  <c r="A1568" i="9"/>
  <c r="A1580" i="9" s="1"/>
  <c r="A1567" i="9"/>
  <c r="B1567" i="9" s="1"/>
  <c r="A1566" i="9"/>
  <c r="B1566" i="9" s="1"/>
  <c r="A1565" i="9"/>
  <c r="B1565" i="9" s="1"/>
  <c r="A1564" i="9"/>
  <c r="A1576" i="9" s="1"/>
  <c r="A1563" i="9"/>
  <c r="B1563" i="9" s="1"/>
  <c r="A1562" i="9"/>
  <c r="B1562" i="9" s="1"/>
  <c r="A1477" i="9"/>
  <c r="A1489" i="9" s="1"/>
  <c r="A1501" i="9" s="1"/>
  <c r="A1513" i="9" s="1"/>
  <c r="A1525" i="9" s="1"/>
  <c r="A1537" i="9" s="1"/>
  <c r="A1549" i="9" s="1"/>
  <c r="A1561" i="9" s="1"/>
  <c r="A1473" i="9"/>
  <c r="A1485" i="9" s="1"/>
  <c r="A1469" i="9"/>
  <c r="A1481" i="9" s="1"/>
  <c r="A1465" i="9"/>
  <c r="A1462" i="9"/>
  <c r="B1462" i="9" s="1"/>
  <c r="A1461" i="9"/>
  <c r="B1461" i="9" s="1"/>
  <c r="A1458" i="9"/>
  <c r="B1458" i="9" s="1"/>
  <c r="A1457" i="9"/>
  <c r="B1457" i="9" s="1"/>
  <c r="A1454" i="9"/>
  <c r="B1454" i="9" s="1"/>
  <c r="A1453" i="9"/>
  <c r="A1452" i="9"/>
  <c r="A1464" i="9" s="1"/>
  <c r="A1451" i="9"/>
  <c r="B1451" i="9" s="1"/>
  <c r="A1450" i="9"/>
  <c r="B1450" i="9" s="1"/>
  <c r="B1449" i="9"/>
  <c r="A1449" i="9"/>
  <c r="A1448" i="9"/>
  <c r="A1460" i="9" s="1"/>
  <c r="A1447" i="9"/>
  <c r="B1447" i="9" s="1"/>
  <c r="A1446" i="9"/>
  <c r="B1446" i="9" s="1"/>
  <c r="B1445" i="9"/>
  <c r="A1445" i="9"/>
  <c r="A1444" i="9"/>
  <c r="A1456" i="9" s="1"/>
  <c r="A1443" i="9"/>
  <c r="B1443" i="9" s="1"/>
  <c r="A1442" i="9"/>
  <c r="B1442" i="9" s="1"/>
  <c r="A1367" i="9"/>
  <c r="B1367" i="9" s="1"/>
  <c r="A1363" i="9"/>
  <c r="B1363" i="9" s="1"/>
  <c r="A1359" i="9"/>
  <c r="B1359" i="9" s="1"/>
  <c r="A1355" i="9"/>
  <c r="B1355" i="9" s="1"/>
  <c r="A1351" i="9"/>
  <c r="B1351" i="9" s="1"/>
  <c r="A1347" i="9"/>
  <c r="B1347" i="9" s="1"/>
  <c r="A1345" i="9"/>
  <c r="A1357" i="9" s="1"/>
  <c r="A1369" i="9" s="1"/>
  <c r="A1381" i="9" s="1"/>
  <c r="A1393" i="9" s="1"/>
  <c r="A1405" i="9" s="1"/>
  <c r="A1417" i="9" s="1"/>
  <c r="A1429" i="9" s="1"/>
  <c r="A1441" i="9" s="1"/>
  <c r="A1343" i="9"/>
  <c r="B1343" i="9" s="1"/>
  <c r="A1342" i="9"/>
  <c r="B1342" i="9" s="1"/>
  <c r="A1341" i="9"/>
  <c r="A1353" i="9" s="1"/>
  <c r="A1339" i="9"/>
  <c r="B1339" i="9" s="1"/>
  <c r="A1338" i="9"/>
  <c r="B1338" i="9" s="1"/>
  <c r="A1337" i="9"/>
  <c r="A1349" i="9" s="1"/>
  <c r="A1335" i="9"/>
  <c r="B1335" i="9" s="1"/>
  <c r="A1334" i="9"/>
  <c r="B1334" i="9" s="1"/>
  <c r="A1333" i="9"/>
  <c r="B1332" i="9"/>
  <c r="A1332" i="9"/>
  <c r="A1344" i="9" s="1"/>
  <c r="A1331" i="9"/>
  <c r="B1331" i="9" s="1"/>
  <c r="A1330" i="9"/>
  <c r="B1330" i="9" s="1"/>
  <c r="B1329" i="9"/>
  <c r="A1329" i="9"/>
  <c r="B1328" i="9"/>
  <c r="A1328" i="9"/>
  <c r="A1340" i="9" s="1"/>
  <c r="A1327" i="9"/>
  <c r="B1327" i="9" s="1"/>
  <c r="A1326" i="9"/>
  <c r="B1326" i="9" s="1"/>
  <c r="B1325" i="9"/>
  <c r="A1325" i="9"/>
  <c r="B1324" i="9"/>
  <c r="A1324" i="9"/>
  <c r="A1336" i="9" s="1"/>
  <c r="A1323" i="9"/>
  <c r="B1323" i="9" s="1"/>
  <c r="A1322" i="9"/>
  <c r="B1322" i="9" s="1"/>
  <c r="A1225" i="9"/>
  <c r="A1237" i="9" s="1"/>
  <c r="A1249" i="9" s="1"/>
  <c r="A1261" i="9" s="1"/>
  <c r="A1273" i="9" s="1"/>
  <c r="A1285" i="9" s="1"/>
  <c r="A1297" i="9" s="1"/>
  <c r="A1309" i="9" s="1"/>
  <c r="A1321" i="9" s="1"/>
  <c r="A1222" i="9"/>
  <c r="B1222" i="9" s="1"/>
  <c r="A1221" i="9"/>
  <c r="A1233" i="9" s="1"/>
  <c r="A1218" i="9"/>
  <c r="B1218" i="9" s="1"/>
  <c r="A1217" i="9"/>
  <c r="A1229" i="9" s="1"/>
  <c r="A1214" i="9"/>
  <c r="B1214" i="9" s="1"/>
  <c r="A1213" i="9"/>
  <c r="B1212" i="9"/>
  <c r="A1212" i="9"/>
  <c r="A1224" i="9" s="1"/>
  <c r="A1211" i="9"/>
  <c r="B1211" i="9" s="1"/>
  <c r="A1210" i="9"/>
  <c r="B1210" i="9" s="1"/>
  <c r="B1209" i="9"/>
  <c r="A1209" i="9"/>
  <c r="B1208" i="9"/>
  <c r="A1208" i="9"/>
  <c r="A1220" i="9" s="1"/>
  <c r="A1207" i="9"/>
  <c r="B1207" i="9" s="1"/>
  <c r="A1206" i="9"/>
  <c r="B1206" i="9" s="1"/>
  <c r="B1205" i="9"/>
  <c r="A1205" i="9"/>
  <c r="B1204" i="9"/>
  <c r="A1204" i="9"/>
  <c r="A1216" i="9" s="1"/>
  <c r="A1203" i="9"/>
  <c r="B1203" i="9" s="1"/>
  <c r="A1202" i="9"/>
  <c r="B1202" i="9" s="1"/>
  <c r="A1117" i="9"/>
  <c r="A1129" i="9" s="1"/>
  <c r="A1141" i="9" s="1"/>
  <c r="A1153" i="9" s="1"/>
  <c r="A1165" i="9" s="1"/>
  <c r="A1177" i="9" s="1"/>
  <c r="A1189" i="9" s="1"/>
  <c r="A1201" i="9" s="1"/>
  <c r="A1113" i="9"/>
  <c r="A1125" i="9" s="1"/>
  <c r="A1109" i="9"/>
  <c r="A1121" i="9" s="1"/>
  <c r="A1105" i="9"/>
  <c r="A1101" i="9"/>
  <c r="B1101" i="9" s="1"/>
  <c r="A1097" i="9"/>
  <c r="B1097" i="9" s="1"/>
  <c r="A1093" i="9"/>
  <c r="A1092" i="9"/>
  <c r="B1092" i="9" s="1"/>
  <c r="A1091" i="9"/>
  <c r="B1091" i="9" s="1"/>
  <c r="A1089" i="9"/>
  <c r="B1089" i="9" s="1"/>
  <c r="A1088" i="9"/>
  <c r="A1100" i="9" s="1"/>
  <c r="A1087" i="9"/>
  <c r="B1087" i="9" s="1"/>
  <c r="A1085" i="9"/>
  <c r="B1085" i="9" s="1"/>
  <c r="A1084" i="9"/>
  <c r="A1096" i="9" s="1"/>
  <c r="A1083" i="9"/>
  <c r="B1083" i="9" s="1"/>
  <c r="A1081" i="9"/>
  <c r="A1080" i="9"/>
  <c r="B1080" i="9" s="1"/>
  <c r="B1079" i="9"/>
  <c r="A1079" i="9"/>
  <c r="A1078" i="9"/>
  <c r="B1078" i="9" s="1"/>
  <c r="A1077" i="9"/>
  <c r="B1077" i="9" s="1"/>
  <c r="A1076" i="9"/>
  <c r="B1076" i="9" s="1"/>
  <c r="B1075" i="9"/>
  <c r="A1075" i="9"/>
  <c r="A1074" i="9"/>
  <c r="B1074" i="9" s="1"/>
  <c r="A1073" i="9"/>
  <c r="B1073" i="9" s="1"/>
  <c r="A1072" i="9"/>
  <c r="B1072" i="9" s="1"/>
  <c r="B1071" i="9"/>
  <c r="A1071" i="9"/>
  <c r="A1070" i="9"/>
  <c r="B1070" i="9" s="1"/>
  <c r="A960" i="9"/>
  <c r="B960" i="9" s="1"/>
  <c r="A956" i="9"/>
  <c r="B956" i="9" s="1"/>
  <c r="A952" i="9"/>
  <c r="B952" i="9" s="1"/>
  <c r="A949" i="9"/>
  <c r="A961" i="9" s="1"/>
  <c r="A973" i="9" s="1"/>
  <c r="A985" i="9" s="1"/>
  <c r="A997" i="9" s="1"/>
  <c r="A1009" i="9" s="1"/>
  <c r="A1021" i="9" s="1"/>
  <c r="A1033" i="9" s="1"/>
  <c r="A1045" i="9" s="1"/>
  <c r="A1057" i="9" s="1"/>
  <c r="A1069" i="9" s="1"/>
  <c r="B948" i="9"/>
  <c r="A948" i="9"/>
  <c r="B947" i="9"/>
  <c r="A947" i="9"/>
  <c r="A959" i="9" s="1"/>
  <c r="A946" i="9"/>
  <c r="B946" i="9" s="1"/>
  <c r="A945" i="9"/>
  <c r="B945" i="9" s="1"/>
  <c r="B944" i="9"/>
  <c r="A944" i="9"/>
  <c r="B943" i="9"/>
  <c r="A943" i="9"/>
  <c r="A955" i="9" s="1"/>
  <c r="A942" i="9"/>
  <c r="B942" i="9" s="1"/>
  <c r="A941" i="9"/>
  <c r="B941" i="9" s="1"/>
  <c r="B940" i="9"/>
  <c r="A940" i="9"/>
  <c r="B939" i="9"/>
  <c r="A939" i="9"/>
  <c r="A951" i="9" s="1"/>
  <c r="A938" i="9"/>
  <c r="B938" i="9" s="1"/>
  <c r="A838" i="9"/>
  <c r="B838" i="9" s="1"/>
  <c r="A834" i="9"/>
  <c r="B834" i="9" s="1"/>
  <c r="A830" i="9"/>
  <c r="B830" i="9" s="1"/>
  <c r="A828" i="9"/>
  <c r="A827" i="9"/>
  <c r="B827" i="9" s="1"/>
  <c r="A826" i="9"/>
  <c r="B826" i="9" s="1"/>
  <c r="A824" i="9"/>
  <c r="A823" i="9"/>
  <c r="B823" i="9" s="1"/>
  <c r="A822" i="9"/>
  <c r="B822" i="9" s="1"/>
  <c r="A820" i="9"/>
  <c r="A819" i="9"/>
  <c r="B819" i="9" s="1"/>
  <c r="A818" i="9"/>
  <c r="B818" i="9" s="1"/>
  <c r="A817" i="9"/>
  <c r="A829" i="9" s="1"/>
  <c r="A841" i="9" s="1"/>
  <c r="A853" i="9" s="1"/>
  <c r="A865" i="9" s="1"/>
  <c r="A877" i="9" s="1"/>
  <c r="A889" i="9" s="1"/>
  <c r="A901" i="9" s="1"/>
  <c r="A913" i="9" s="1"/>
  <c r="A925" i="9" s="1"/>
  <c r="A937" i="9" s="1"/>
  <c r="A816" i="9"/>
  <c r="B816" i="9" s="1"/>
  <c r="B815" i="9"/>
  <c r="A815" i="9"/>
  <c r="B814" i="9"/>
  <c r="A814" i="9"/>
  <c r="A813" i="9"/>
  <c r="A812" i="9"/>
  <c r="B812" i="9" s="1"/>
  <c r="B811" i="9"/>
  <c r="A811" i="9"/>
  <c r="B810" i="9"/>
  <c r="A810" i="9"/>
  <c r="A809" i="9"/>
  <c r="A808" i="9"/>
  <c r="B808" i="9" s="1"/>
  <c r="B807" i="9"/>
  <c r="A807" i="9"/>
  <c r="B806" i="9"/>
  <c r="A806" i="9"/>
  <c r="A697" i="9"/>
  <c r="A709" i="9" s="1"/>
  <c r="A721" i="9" s="1"/>
  <c r="A733" i="9" s="1"/>
  <c r="A745" i="9" s="1"/>
  <c r="A757" i="9" s="1"/>
  <c r="A769" i="9" s="1"/>
  <c r="A781" i="9" s="1"/>
  <c r="A793" i="9" s="1"/>
  <c r="A805" i="9" s="1"/>
  <c r="A693" i="9"/>
  <c r="A705" i="9" s="1"/>
  <c r="A689" i="9"/>
  <c r="A701" i="9" s="1"/>
  <c r="A685" i="9"/>
  <c r="B684" i="9"/>
  <c r="A684" i="9"/>
  <c r="A696" i="9" s="1"/>
  <c r="A683" i="9"/>
  <c r="B683" i="9" s="1"/>
  <c r="A682" i="9"/>
  <c r="B682" i="9" s="1"/>
  <c r="A681" i="9"/>
  <c r="B681" i="9" s="1"/>
  <c r="B680" i="9"/>
  <c r="A680" i="9"/>
  <c r="A692" i="9" s="1"/>
  <c r="A679" i="9"/>
  <c r="B679" i="9" s="1"/>
  <c r="A678" i="9"/>
  <c r="B678" i="9" s="1"/>
  <c r="A677" i="9"/>
  <c r="B677" i="9" s="1"/>
  <c r="B676" i="9"/>
  <c r="A676" i="9"/>
  <c r="A688" i="9" s="1"/>
  <c r="A675" i="9"/>
  <c r="B675" i="9" s="1"/>
  <c r="A674" i="9"/>
  <c r="B674" i="9" s="1"/>
  <c r="A574" i="9"/>
  <c r="B574" i="9" s="1"/>
  <c r="A570" i="9"/>
  <c r="B570" i="9" s="1"/>
  <c r="A566" i="9"/>
  <c r="B566" i="9" s="1"/>
  <c r="A565" i="9"/>
  <c r="A577" i="9" s="1"/>
  <c r="A589" i="9" s="1"/>
  <c r="A601" i="9" s="1"/>
  <c r="A613" i="9" s="1"/>
  <c r="A625" i="9" s="1"/>
  <c r="A637" i="9" s="1"/>
  <c r="A649" i="9" s="1"/>
  <c r="A661" i="9" s="1"/>
  <c r="A673" i="9" s="1"/>
  <c r="A562" i="9"/>
  <c r="B562" i="9" s="1"/>
  <c r="A561" i="9"/>
  <c r="A573" i="9" s="1"/>
  <c r="A558" i="9"/>
  <c r="B558" i="9" s="1"/>
  <c r="A557" i="9"/>
  <c r="A569" i="9" s="1"/>
  <c r="A554" i="9"/>
  <c r="B554" i="9" s="1"/>
  <c r="A553" i="9"/>
  <c r="B552" i="9"/>
  <c r="A552" i="9"/>
  <c r="A564" i="9" s="1"/>
  <c r="A551" i="9"/>
  <c r="B551" i="9" s="1"/>
  <c r="A550" i="9"/>
  <c r="B550" i="9" s="1"/>
  <c r="A549" i="9"/>
  <c r="B549" i="9" s="1"/>
  <c r="B548" i="9"/>
  <c r="A548" i="9"/>
  <c r="A560" i="9" s="1"/>
  <c r="A547" i="9"/>
  <c r="B547" i="9" s="1"/>
  <c r="A546" i="9"/>
  <c r="B546" i="9" s="1"/>
  <c r="A545" i="9"/>
  <c r="B545" i="9" s="1"/>
  <c r="B544" i="9"/>
  <c r="A544" i="9"/>
  <c r="A556" i="9" s="1"/>
  <c r="A543" i="9"/>
  <c r="B543" i="9" s="1"/>
  <c r="A542" i="9"/>
  <c r="B542" i="9" s="1"/>
  <c r="A442" i="9"/>
  <c r="B442" i="9" s="1"/>
  <c r="A438" i="9"/>
  <c r="B438" i="9" s="1"/>
  <c r="A434" i="9"/>
  <c r="B434" i="9" s="1"/>
  <c r="A432" i="9"/>
  <c r="A444" i="9" s="1"/>
  <c r="A430" i="9"/>
  <c r="B430" i="9" s="1"/>
  <c r="A428" i="9"/>
  <c r="A440" i="9" s="1"/>
  <c r="A426" i="9"/>
  <c r="B426" i="9" s="1"/>
  <c r="A424" i="9"/>
  <c r="A436" i="9" s="1"/>
  <c r="A422" i="9"/>
  <c r="B422" i="9" s="1"/>
  <c r="A421" i="9"/>
  <c r="A433" i="9" s="1"/>
  <c r="A445" i="9" s="1"/>
  <c r="A457" i="9" s="1"/>
  <c r="A469" i="9" s="1"/>
  <c r="A481" i="9" s="1"/>
  <c r="A493" i="9" s="1"/>
  <c r="A505" i="9" s="1"/>
  <c r="A517" i="9" s="1"/>
  <c r="A529" i="9" s="1"/>
  <c r="A541" i="9" s="1"/>
  <c r="A420" i="9"/>
  <c r="B420" i="9" s="1"/>
  <c r="B419" i="9"/>
  <c r="A419" i="9"/>
  <c r="A431" i="9" s="1"/>
  <c r="A418" i="9"/>
  <c r="B418" i="9" s="1"/>
  <c r="A417" i="9"/>
  <c r="B417" i="9" s="1"/>
  <c r="A416" i="9"/>
  <c r="B416" i="9" s="1"/>
  <c r="B415" i="9"/>
  <c r="A415" i="9"/>
  <c r="A427" i="9" s="1"/>
  <c r="A414" i="9"/>
  <c r="B414" i="9" s="1"/>
  <c r="A413" i="9"/>
  <c r="B413" i="9" s="1"/>
  <c r="A412" i="9"/>
  <c r="B412" i="9" s="1"/>
  <c r="B411" i="9"/>
  <c r="A411" i="9"/>
  <c r="A423" i="9" s="1"/>
  <c r="A410" i="9"/>
  <c r="B410" i="9" s="1"/>
  <c r="A325" i="9"/>
  <c r="A337" i="9" s="1"/>
  <c r="A349" i="9" s="1"/>
  <c r="A361" i="9" s="1"/>
  <c r="A373" i="9" s="1"/>
  <c r="A385" i="9" s="1"/>
  <c r="A397" i="9" s="1"/>
  <c r="A409" i="9" s="1"/>
  <c r="A321" i="9"/>
  <c r="A333" i="9" s="1"/>
  <c r="A317" i="9"/>
  <c r="A329" i="9" s="1"/>
  <c r="A313" i="9"/>
  <c r="A309" i="9"/>
  <c r="B309" i="9" s="1"/>
  <c r="A305" i="9"/>
  <c r="B305" i="9" s="1"/>
  <c r="A301" i="9"/>
  <c r="A300" i="9"/>
  <c r="A312" i="9" s="1"/>
  <c r="A298" i="9"/>
  <c r="B298" i="9" s="1"/>
  <c r="A297" i="9"/>
  <c r="B297" i="9" s="1"/>
  <c r="A296" i="9"/>
  <c r="B296" i="9" s="1"/>
  <c r="A294" i="9"/>
  <c r="B294" i="9" s="1"/>
  <c r="A293" i="9"/>
  <c r="B293" i="9" s="1"/>
  <c r="A292" i="9"/>
  <c r="A304" i="9" s="1"/>
  <c r="A290" i="9"/>
  <c r="B290" i="9" s="1"/>
  <c r="A289" i="9"/>
  <c r="A288" i="9"/>
  <c r="B288" i="9" s="1"/>
  <c r="B287" i="9"/>
  <c r="A287" i="9"/>
  <c r="A299" i="9" s="1"/>
  <c r="A286" i="9"/>
  <c r="B286" i="9" s="1"/>
  <c r="B285" i="9"/>
  <c r="A285" i="9"/>
  <c r="A284" i="9"/>
  <c r="B284" i="9" s="1"/>
  <c r="B283" i="9"/>
  <c r="A283" i="9"/>
  <c r="A295" i="9" s="1"/>
  <c r="A282" i="9"/>
  <c r="B282" i="9" s="1"/>
  <c r="B281" i="9"/>
  <c r="A281" i="9"/>
  <c r="A280" i="9"/>
  <c r="B280" i="9" s="1"/>
  <c r="B279" i="9"/>
  <c r="A279" i="9"/>
  <c r="A291" i="9" s="1"/>
  <c r="A278" i="9"/>
  <c r="B278" i="9" s="1"/>
  <c r="A169" i="9"/>
  <c r="A181" i="9" s="1"/>
  <c r="A193" i="9" s="1"/>
  <c r="A205" i="9" s="1"/>
  <c r="A217" i="9" s="1"/>
  <c r="A229" i="9" s="1"/>
  <c r="A241" i="9" s="1"/>
  <c r="A253" i="9" s="1"/>
  <c r="A265" i="9" s="1"/>
  <c r="A277" i="9" s="1"/>
  <c r="A165" i="9"/>
  <c r="A177" i="9" s="1"/>
  <c r="A161" i="9"/>
  <c r="A173" i="9" s="1"/>
  <c r="A157" i="9"/>
  <c r="B156" i="9"/>
  <c r="A156" i="9"/>
  <c r="A168" i="9" s="1"/>
  <c r="A155" i="9"/>
  <c r="B155" i="9" s="1"/>
  <c r="A154" i="9"/>
  <c r="B154" i="9" s="1"/>
  <c r="A153" i="9"/>
  <c r="B153" i="9" s="1"/>
  <c r="B152" i="9"/>
  <c r="A152" i="9"/>
  <c r="A164" i="9" s="1"/>
  <c r="A151" i="9"/>
  <c r="B151" i="9" s="1"/>
  <c r="A150" i="9"/>
  <c r="B150" i="9" s="1"/>
  <c r="A149" i="9"/>
  <c r="B149" i="9" s="1"/>
  <c r="B148" i="9"/>
  <c r="A148" i="9"/>
  <c r="A160" i="9" s="1"/>
  <c r="A147" i="9"/>
  <c r="B147" i="9" s="1"/>
  <c r="A146" i="9"/>
  <c r="B146" i="9" s="1"/>
  <c r="B144" i="9"/>
  <c r="B143" i="9"/>
  <c r="B142" i="9"/>
  <c r="B141" i="9"/>
  <c r="B140" i="9"/>
  <c r="B139" i="9"/>
  <c r="B138" i="9"/>
  <c r="B137" i="9"/>
  <c r="B136" i="9"/>
  <c r="B135" i="9"/>
  <c r="B134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B132" i="9"/>
  <c r="B131" i="9"/>
  <c r="B130" i="9"/>
  <c r="B129" i="9"/>
  <c r="B128" i="9"/>
  <c r="B127" i="9"/>
  <c r="B126" i="9"/>
  <c r="B125" i="9"/>
  <c r="B124" i="9"/>
  <c r="B123" i="9"/>
  <c r="B122" i="9"/>
  <c r="B120" i="9"/>
  <c r="B119" i="9"/>
  <c r="B118" i="9"/>
  <c r="B117" i="9"/>
  <c r="B116" i="9"/>
  <c r="B115" i="9"/>
  <c r="B114" i="9"/>
  <c r="B113" i="9"/>
  <c r="B112" i="9"/>
  <c r="B111" i="9"/>
  <c r="B110" i="9"/>
  <c r="B108" i="9"/>
  <c r="B107" i="9"/>
  <c r="B106" i="9"/>
  <c r="B105" i="9"/>
  <c r="B104" i="9"/>
  <c r="B103" i="9"/>
  <c r="B102" i="9"/>
  <c r="B101" i="9"/>
  <c r="B100" i="9"/>
  <c r="B99" i="9"/>
  <c r="B98" i="9"/>
  <c r="B96" i="9"/>
  <c r="B95" i="9"/>
  <c r="B94" i="9"/>
  <c r="B93" i="9"/>
  <c r="B92" i="9"/>
  <c r="B91" i="9"/>
  <c r="B90" i="9"/>
  <c r="B89" i="9"/>
  <c r="B88" i="9"/>
  <c r="B87" i="9"/>
  <c r="B86" i="9"/>
  <c r="B84" i="9"/>
  <c r="B83" i="9"/>
  <c r="B82" i="9"/>
  <c r="B81" i="9"/>
  <c r="B80" i="9"/>
  <c r="B79" i="9"/>
  <c r="B78" i="9"/>
  <c r="B77" i="9"/>
  <c r="B76" i="9"/>
  <c r="B75" i="9"/>
  <c r="B74" i="9"/>
  <c r="B72" i="9"/>
  <c r="B71" i="9"/>
  <c r="B70" i="9"/>
  <c r="B69" i="9"/>
  <c r="B68" i="9"/>
  <c r="B67" i="9"/>
  <c r="B66" i="9"/>
  <c r="B65" i="9"/>
  <c r="B64" i="9"/>
  <c r="B63" i="9"/>
  <c r="B62" i="9"/>
  <c r="B60" i="9"/>
  <c r="B59" i="9"/>
  <c r="B58" i="9"/>
  <c r="B57" i="9"/>
  <c r="B56" i="9"/>
  <c r="B55" i="9"/>
  <c r="B54" i="9"/>
  <c r="B53" i="9"/>
  <c r="B52" i="9"/>
  <c r="B51" i="9"/>
  <c r="B50" i="9"/>
  <c r="B48" i="9"/>
  <c r="B47" i="9"/>
  <c r="B46" i="9"/>
  <c r="B45" i="9"/>
  <c r="B44" i="9"/>
  <c r="B43" i="9"/>
  <c r="B42" i="9"/>
  <c r="B41" i="9"/>
  <c r="B40" i="9"/>
  <c r="B39" i="9"/>
  <c r="B38" i="9"/>
  <c r="B36" i="9"/>
  <c r="B35" i="9"/>
  <c r="B34" i="9"/>
  <c r="B33" i="9"/>
  <c r="B32" i="9"/>
  <c r="B31" i="9"/>
  <c r="B30" i="9"/>
  <c r="B29" i="9"/>
  <c r="B28" i="9"/>
  <c r="B27" i="9"/>
  <c r="B26" i="9"/>
  <c r="B24" i="9"/>
  <c r="B23" i="9"/>
  <c r="B22" i="9"/>
  <c r="B21" i="9"/>
  <c r="B20" i="9"/>
  <c r="B19" i="9"/>
  <c r="B18" i="9"/>
  <c r="B17" i="9"/>
  <c r="B16" i="9"/>
  <c r="B15" i="9"/>
  <c r="B14" i="9"/>
  <c r="B12" i="9"/>
  <c r="B11" i="9"/>
  <c r="B10" i="9"/>
  <c r="B9" i="9"/>
  <c r="B8" i="9"/>
  <c r="B7" i="9"/>
  <c r="B6" i="9"/>
  <c r="B5" i="9"/>
  <c r="B4" i="9"/>
  <c r="B3" i="9"/>
  <c r="A138" i="7"/>
  <c r="A111" i="7"/>
  <c r="A112" i="7"/>
  <c r="A114" i="7"/>
  <c r="A115" i="7"/>
  <c r="A116" i="7"/>
  <c r="A117" i="7"/>
  <c r="A118" i="7"/>
  <c r="A119" i="7"/>
  <c r="A122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B1576" i="9" l="1"/>
  <c r="A1588" i="9"/>
  <c r="A1613" i="9"/>
  <c r="B1601" i="9"/>
  <c r="A1634" i="9"/>
  <c r="B1622" i="9"/>
  <c r="A1596" i="9"/>
  <c r="B1584" i="9"/>
  <c r="B1626" i="9"/>
  <c r="A1638" i="9"/>
  <c r="A1592" i="9"/>
  <c r="B1580" i="9"/>
  <c r="A1617" i="9"/>
  <c r="B1605" i="9"/>
  <c r="B1630" i="9"/>
  <c r="A1642" i="9"/>
  <c r="B1572" i="9"/>
  <c r="B1593" i="9"/>
  <c r="B1610" i="9"/>
  <c r="B1568" i="9"/>
  <c r="B1618" i="9"/>
  <c r="A1575" i="9"/>
  <c r="A1579" i="9"/>
  <c r="A1583" i="9"/>
  <c r="B1564" i="9"/>
  <c r="B1589" i="9"/>
  <c r="B1614" i="9"/>
  <c r="A1472" i="9"/>
  <c r="B1460" i="9"/>
  <c r="A1468" i="9"/>
  <c r="B1456" i="9"/>
  <c r="A1476" i="9"/>
  <c r="B1464" i="9"/>
  <c r="A1493" i="9"/>
  <c r="B1481" i="9"/>
  <c r="A1497" i="9"/>
  <c r="B1485" i="9"/>
  <c r="B1444" i="9"/>
  <c r="B1448" i="9"/>
  <c r="B1452" i="9"/>
  <c r="B1469" i="9"/>
  <c r="B1473" i="9"/>
  <c r="A1466" i="9"/>
  <c r="A1470" i="9"/>
  <c r="A1474" i="9"/>
  <c r="A1455" i="9"/>
  <c r="A1459" i="9"/>
  <c r="A1463" i="9"/>
  <c r="B1340" i="9"/>
  <c r="A1352" i="9"/>
  <c r="A1361" i="9"/>
  <c r="B1349" i="9"/>
  <c r="B1336" i="9"/>
  <c r="A1348" i="9"/>
  <c r="B1344" i="9"/>
  <c r="A1356" i="9"/>
  <c r="B1353" i="9"/>
  <c r="A1365" i="9"/>
  <c r="B1337" i="9"/>
  <c r="B1341" i="9"/>
  <c r="A1346" i="9"/>
  <c r="A1350" i="9"/>
  <c r="A1354" i="9"/>
  <c r="A1371" i="9"/>
  <c r="A1375" i="9"/>
  <c r="A1379" i="9"/>
  <c r="B1216" i="9"/>
  <c r="A1228" i="9"/>
  <c r="A1241" i="9"/>
  <c r="B1229" i="9"/>
  <c r="B1220" i="9"/>
  <c r="A1232" i="9"/>
  <c r="A1245" i="9"/>
  <c r="B1233" i="9"/>
  <c r="B1224" i="9"/>
  <c r="A1236" i="9"/>
  <c r="B1217" i="9"/>
  <c r="B1221" i="9"/>
  <c r="A1226" i="9"/>
  <c r="A1230" i="9"/>
  <c r="A1234" i="9"/>
  <c r="A1215" i="9"/>
  <c r="A1219" i="9"/>
  <c r="A1223" i="9"/>
  <c r="B1125" i="9"/>
  <c r="A1137" i="9"/>
  <c r="A1108" i="9"/>
  <c r="B1096" i="9"/>
  <c r="B1100" i="9"/>
  <c r="A1112" i="9"/>
  <c r="B1121" i="9"/>
  <c r="A1133" i="9"/>
  <c r="B1084" i="9"/>
  <c r="B1113" i="9"/>
  <c r="A1082" i="9"/>
  <c r="A1086" i="9"/>
  <c r="A1090" i="9"/>
  <c r="A1095" i="9"/>
  <c r="A1099" i="9"/>
  <c r="A1103" i="9"/>
  <c r="B1088" i="9"/>
  <c r="B1109" i="9"/>
  <c r="A1104" i="9"/>
  <c r="B959" i="9"/>
  <c r="A971" i="9"/>
  <c r="B955" i="9"/>
  <c r="A967" i="9"/>
  <c r="B951" i="9"/>
  <c r="A963" i="9"/>
  <c r="A953" i="9"/>
  <c r="A957" i="9"/>
  <c r="A950" i="9"/>
  <c r="A954" i="9"/>
  <c r="A958" i="9"/>
  <c r="A964" i="9"/>
  <c r="A968" i="9"/>
  <c r="A972" i="9"/>
  <c r="A836" i="9"/>
  <c r="B824" i="9"/>
  <c r="B813" i="9"/>
  <c r="A825" i="9"/>
  <c r="A832" i="9"/>
  <c r="B820" i="9"/>
  <c r="A840" i="9"/>
  <c r="B828" i="9"/>
  <c r="B809" i="9"/>
  <c r="A821" i="9"/>
  <c r="A842" i="9"/>
  <c r="A846" i="9"/>
  <c r="A850" i="9"/>
  <c r="A831" i="9"/>
  <c r="A835" i="9"/>
  <c r="A839" i="9"/>
  <c r="B688" i="9"/>
  <c r="A700" i="9"/>
  <c r="B696" i="9"/>
  <c r="A708" i="9"/>
  <c r="B692" i="9"/>
  <c r="A704" i="9"/>
  <c r="A713" i="9"/>
  <c r="B701" i="9"/>
  <c r="B705" i="9"/>
  <c r="A717" i="9"/>
  <c r="A686" i="9"/>
  <c r="A690" i="9"/>
  <c r="A694" i="9"/>
  <c r="B693" i="9"/>
  <c r="A687" i="9"/>
  <c r="A691" i="9"/>
  <c r="A695" i="9"/>
  <c r="B689" i="9"/>
  <c r="B556" i="9"/>
  <c r="A568" i="9"/>
  <c r="A585" i="9"/>
  <c r="B573" i="9"/>
  <c r="A581" i="9"/>
  <c r="B569" i="9"/>
  <c r="B564" i="9"/>
  <c r="A576" i="9"/>
  <c r="B560" i="9"/>
  <c r="A572" i="9"/>
  <c r="A578" i="9"/>
  <c r="A582" i="9"/>
  <c r="A586" i="9"/>
  <c r="B557" i="9"/>
  <c r="A555" i="9"/>
  <c r="A559" i="9"/>
  <c r="A563" i="9"/>
  <c r="B561" i="9"/>
  <c r="B427" i="9"/>
  <c r="A439" i="9"/>
  <c r="A448" i="9"/>
  <c r="B436" i="9"/>
  <c r="B423" i="9"/>
  <c r="A435" i="9"/>
  <c r="A456" i="9"/>
  <c r="B444" i="9"/>
  <c r="B440" i="9"/>
  <c r="A452" i="9"/>
  <c r="B431" i="9"/>
  <c r="A443" i="9"/>
  <c r="B424" i="9"/>
  <c r="B428" i="9"/>
  <c r="B432" i="9"/>
  <c r="A425" i="9"/>
  <c r="A429" i="9"/>
  <c r="A446" i="9"/>
  <c r="A450" i="9"/>
  <c r="A454" i="9"/>
  <c r="B333" i="9"/>
  <c r="A345" i="9"/>
  <c r="B295" i="9"/>
  <c r="A307" i="9"/>
  <c r="A324" i="9"/>
  <c r="B312" i="9"/>
  <c r="B291" i="9"/>
  <c r="A303" i="9"/>
  <c r="B304" i="9"/>
  <c r="A316" i="9"/>
  <c r="B299" i="9"/>
  <c r="A311" i="9"/>
  <c r="A341" i="9"/>
  <c r="B329" i="9"/>
  <c r="B292" i="9"/>
  <c r="B300" i="9"/>
  <c r="B317" i="9"/>
  <c r="B321" i="9"/>
  <c r="A302" i="9"/>
  <c r="A306" i="9"/>
  <c r="A310" i="9"/>
  <c r="A308" i="9"/>
  <c r="B160" i="9"/>
  <c r="A172" i="9"/>
  <c r="B168" i="9"/>
  <c r="A180" i="9"/>
  <c r="B164" i="9"/>
  <c r="A176" i="9"/>
  <c r="A185" i="9"/>
  <c r="B173" i="9"/>
  <c r="B177" i="9"/>
  <c r="A189" i="9"/>
  <c r="A158" i="9"/>
  <c r="A162" i="9"/>
  <c r="A166" i="9"/>
  <c r="B161" i="9"/>
  <c r="A159" i="9"/>
  <c r="A163" i="9"/>
  <c r="A167" i="9"/>
  <c r="B165" i="9"/>
  <c r="B1638" i="9" l="1"/>
  <c r="A1650" i="9"/>
  <c r="B1583" i="9"/>
  <c r="A1595" i="9"/>
  <c r="B1642" i="9"/>
  <c r="A1654" i="9"/>
  <c r="B1579" i="9"/>
  <c r="A1591" i="9"/>
  <c r="B1596" i="9"/>
  <c r="A1608" i="9"/>
  <c r="B1575" i="9"/>
  <c r="A1587" i="9"/>
  <c r="B1617" i="9"/>
  <c r="A1629" i="9"/>
  <c r="B1588" i="9"/>
  <c r="A1600" i="9"/>
  <c r="B1634" i="9"/>
  <c r="A1646" i="9"/>
  <c r="B1592" i="9"/>
  <c r="A1604" i="9"/>
  <c r="B1613" i="9"/>
  <c r="A1625" i="9"/>
  <c r="B1466" i="9"/>
  <c r="A1478" i="9"/>
  <c r="B1476" i="9"/>
  <c r="A1488" i="9"/>
  <c r="B1463" i="9"/>
  <c r="A1475" i="9"/>
  <c r="B1459" i="9"/>
  <c r="A1471" i="9"/>
  <c r="B1455" i="9"/>
  <c r="A1467" i="9"/>
  <c r="B1468" i="9"/>
  <c r="A1480" i="9"/>
  <c r="B1493" i="9"/>
  <c r="A1505" i="9"/>
  <c r="B1474" i="9"/>
  <c r="A1486" i="9"/>
  <c r="B1470" i="9"/>
  <c r="A1482" i="9"/>
  <c r="B1497" i="9"/>
  <c r="A1509" i="9"/>
  <c r="B1472" i="9"/>
  <c r="A1484" i="9"/>
  <c r="B1375" i="9"/>
  <c r="A1387" i="9"/>
  <c r="B1371" i="9"/>
  <c r="A1383" i="9"/>
  <c r="B1356" i="9"/>
  <c r="A1368" i="9"/>
  <c r="B1354" i="9"/>
  <c r="A1366" i="9"/>
  <c r="B1350" i="9"/>
  <c r="A1362" i="9"/>
  <c r="B1346" i="9"/>
  <c r="A1358" i="9"/>
  <c r="B1348" i="9"/>
  <c r="A1360" i="9"/>
  <c r="B1361" i="9"/>
  <c r="A1373" i="9"/>
  <c r="A1391" i="9"/>
  <c r="B1379" i="9"/>
  <c r="B1365" i="9"/>
  <c r="A1377" i="9"/>
  <c r="B1352" i="9"/>
  <c r="A1364" i="9"/>
  <c r="B1232" i="9"/>
  <c r="A1244" i="9"/>
  <c r="B1215" i="9"/>
  <c r="A1227" i="9"/>
  <c r="B1226" i="9"/>
  <c r="A1238" i="9"/>
  <c r="B1245" i="9"/>
  <c r="A1257" i="9"/>
  <c r="B1230" i="9"/>
  <c r="A1242" i="9"/>
  <c r="B1241" i="9"/>
  <c r="A1253" i="9"/>
  <c r="B1234" i="9"/>
  <c r="A1246" i="9"/>
  <c r="B1223" i="9"/>
  <c r="A1235" i="9"/>
  <c r="B1236" i="9"/>
  <c r="A1248" i="9"/>
  <c r="B1228" i="9"/>
  <c r="A1240" i="9"/>
  <c r="B1219" i="9"/>
  <c r="A1231" i="9"/>
  <c r="B1137" i="9"/>
  <c r="A1149" i="9"/>
  <c r="B1133" i="9"/>
  <c r="A1145" i="9"/>
  <c r="B1099" i="9"/>
  <c r="A1111" i="9"/>
  <c r="B1112" i="9"/>
  <c r="A1124" i="9"/>
  <c r="B1103" i="9"/>
  <c r="A1115" i="9"/>
  <c r="B1095" i="9"/>
  <c r="A1107" i="9"/>
  <c r="B1090" i="9"/>
  <c r="A1102" i="9"/>
  <c r="A1098" i="9"/>
  <c r="B1086" i="9"/>
  <c r="B1104" i="9"/>
  <c r="A1116" i="9"/>
  <c r="B1082" i="9"/>
  <c r="A1094" i="9"/>
  <c r="B1108" i="9"/>
  <c r="A1120" i="9"/>
  <c r="A969" i="9"/>
  <c r="B957" i="9"/>
  <c r="B963" i="9"/>
  <c r="A975" i="9"/>
  <c r="B968" i="9"/>
  <c r="A980" i="9"/>
  <c r="B972" i="9"/>
  <c r="A984" i="9"/>
  <c r="B964" i="9"/>
  <c r="A976" i="9"/>
  <c r="B967" i="9"/>
  <c r="A979" i="9"/>
  <c r="A966" i="9"/>
  <c r="B954" i="9"/>
  <c r="B971" i="9"/>
  <c r="A983" i="9"/>
  <c r="A965" i="9"/>
  <c r="B953" i="9"/>
  <c r="B958" i="9"/>
  <c r="A970" i="9"/>
  <c r="A962" i="9"/>
  <c r="B950" i="9"/>
  <c r="A833" i="9"/>
  <c r="B821" i="9"/>
  <c r="A848" i="9"/>
  <c r="B836" i="9"/>
  <c r="B839" i="9"/>
  <c r="A851" i="9"/>
  <c r="B850" i="9"/>
  <c r="A862" i="9"/>
  <c r="A844" i="9"/>
  <c r="B832" i="9"/>
  <c r="B835" i="9"/>
  <c r="A847" i="9"/>
  <c r="A852" i="9"/>
  <c r="B840" i="9"/>
  <c r="B831" i="9"/>
  <c r="A843" i="9"/>
  <c r="B846" i="9"/>
  <c r="A858" i="9"/>
  <c r="A837" i="9"/>
  <c r="B825" i="9"/>
  <c r="B842" i="9"/>
  <c r="A854" i="9"/>
  <c r="B704" i="9"/>
  <c r="A716" i="9"/>
  <c r="B713" i="9"/>
  <c r="A725" i="9"/>
  <c r="B691" i="9"/>
  <c r="A703" i="9"/>
  <c r="B687" i="9"/>
  <c r="A699" i="9"/>
  <c r="A706" i="9"/>
  <c r="B694" i="9"/>
  <c r="B690" i="9"/>
  <c r="A702" i="9"/>
  <c r="B708" i="9"/>
  <c r="A720" i="9"/>
  <c r="B695" i="9"/>
  <c r="A707" i="9"/>
  <c r="A698" i="9"/>
  <c r="B686" i="9"/>
  <c r="B717" i="9"/>
  <c r="A729" i="9"/>
  <c r="B700" i="9"/>
  <c r="A712" i="9"/>
  <c r="B559" i="9"/>
  <c r="A571" i="9"/>
  <c r="B576" i="9"/>
  <c r="A588" i="9"/>
  <c r="B555" i="9"/>
  <c r="A567" i="9"/>
  <c r="A598" i="9"/>
  <c r="B586" i="9"/>
  <c r="B581" i="9"/>
  <c r="A593" i="9"/>
  <c r="A594" i="9"/>
  <c r="B582" i="9"/>
  <c r="A590" i="9"/>
  <c r="B578" i="9"/>
  <c r="B585" i="9"/>
  <c r="A597" i="9"/>
  <c r="B572" i="9"/>
  <c r="A584" i="9"/>
  <c r="B568" i="9"/>
  <c r="A580" i="9"/>
  <c r="B563" i="9"/>
  <c r="A575" i="9"/>
  <c r="B452" i="9"/>
  <c r="A464" i="9"/>
  <c r="B429" i="9"/>
  <c r="A441" i="9"/>
  <c r="B425" i="9"/>
  <c r="A437" i="9"/>
  <c r="B446" i="9"/>
  <c r="A458" i="9"/>
  <c r="B456" i="9"/>
  <c r="A468" i="9"/>
  <c r="A447" i="9"/>
  <c r="B435" i="9"/>
  <c r="A455" i="9"/>
  <c r="B443" i="9"/>
  <c r="B439" i="9"/>
  <c r="A451" i="9"/>
  <c r="B454" i="9"/>
  <c r="A466" i="9"/>
  <c r="B450" i="9"/>
  <c r="A462" i="9"/>
  <c r="B448" i="9"/>
  <c r="A460" i="9"/>
  <c r="B316" i="9"/>
  <c r="A328" i="9"/>
  <c r="A315" i="9"/>
  <c r="B303" i="9"/>
  <c r="B345" i="9"/>
  <c r="A357" i="9"/>
  <c r="A320" i="9"/>
  <c r="B308" i="9"/>
  <c r="B310" i="9"/>
  <c r="A322" i="9"/>
  <c r="B341" i="9"/>
  <c r="A353" i="9"/>
  <c r="B324" i="9"/>
  <c r="A336" i="9"/>
  <c r="B306" i="9"/>
  <c r="A318" i="9"/>
  <c r="B311" i="9"/>
  <c r="A323" i="9"/>
  <c r="B307" i="9"/>
  <c r="A319" i="9"/>
  <c r="B302" i="9"/>
  <c r="A314" i="9"/>
  <c r="B159" i="9"/>
  <c r="A171" i="9"/>
  <c r="B185" i="9"/>
  <c r="A197" i="9"/>
  <c r="B167" i="9"/>
  <c r="A179" i="9"/>
  <c r="B176" i="9"/>
  <c r="A188" i="9"/>
  <c r="A174" i="9"/>
  <c r="B162" i="9"/>
  <c r="B180" i="9"/>
  <c r="A192" i="9"/>
  <c r="B163" i="9"/>
  <c r="A175" i="9"/>
  <c r="A178" i="9"/>
  <c r="B166" i="9"/>
  <c r="B158" i="9"/>
  <c r="A170" i="9"/>
  <c r="B189" i="9"/>
  <c r="A201" i="9"/>
  <c r="B172" i="9"/>
  <c r="A184" i="9"/>
  <c r="B1646" i="9" l="1"/>
  <c r="A1658" i="9"/>
  <c r="B1625" i="9"/>
  <c r="A1637" i="9"/>
  <c r="B1629" i="9"/>
  <c r="A1641" i="9"/>
  <c r="B1654" i="9"/>
  <c r="A1666" i="9"/>
  <c r="B1600" i="9"/>
  <c r="A1612" i="9"/>
  <c r="B1650" i="9"/>
  <c r="A1662" i="9"/>
  <c r="B1604" i="9"/>
  <c r="A1616" i="9"/>
  <c r="A1599" i="9"/>
  <c r="B1587" i="9"/>
  <c r="B1595" i="9"/>
  <c r="A1607" i="9"/>
  <c r="B1608" i="9"/>
  <c r="A1620" i="9"/>
  <c r="B1591" i="9"/>
  <c r="A1603" i="9"/>
  <c r="B1486" i="9"/>
  <c r="A1498" i="9"/>
  <c r="B1471" i="9"/>
  <c r="A1483" i="9"/>
  <c r="B1484" i="9"/>
  <c r="A1496" i="9"/>
  <c r="B1505" i="9"/>
  <c r="A1517" i="9"/>
  <c r="B1475" i="9"/>
  <c r="A1487" i="9"/>
  <c r="B1509" i="9"/>
  <c r="A1521" i="9"/>
  <c r="B1480" i="9"/>
  <c r="A1492" i="9"/>
  <c r="B1488" i="9"/>
  <c r="A1500" i="9"/>
  <c r="B1482" i="9"/>
  <c r="A1494" i="9"/>
  <c r="B1467" i="9"/>
  <c r="A1479" i="9"/>
  <c r="B1478" i="9"/>
  <c r="A1490" i="9"/>
  <c r="B1360" i="9"/>
  <c r="A1372" i="9"/>
  <c r="B1373" i="9"/>
  <c r="A1385" i="9"/>
  <c r="A1378" i="9"/>
  <c r="B1366" i="9"/>
  <c r="A1380" i="9"/>
  <c r="B1368" i="9"/>
  <c r="A1389" i="9"/>
  <c r="B1377" i="9"/>
  <c r="A1370" i="9"/>
  <c r="B1358" i="9"/>
  <c r="A1395" i="9"/>
  <c r="B1383" i="9"/>
  <c r="A1376" i="9"/>
  <c r="B1364" i="9"/>
  <c r="A1374" i="9"/>
  <c r="B1362" i="9"/>
  <c r="A1399" i="9"/>
  <c r="B1387" i="9"/>
  <c r="A1403" i="9"/>
  <c r="B1391" i="9"/>
  <c r="B1235" i="9"/>
  <c r="A1247" i="9"/>
  <c r="B1257" i="9"/>
  <c r="A1269" i="9"/>
  <c r="B1240" i="9"/>
  <c r="A1252" i="9"/>
  <c r="B1253" i="9"/>
  <c r="A1265" i="9"/>
  <c r="A1239" i="9"/>
  <c r="B1227" i="9"/>
  <c r="A1243" i="9"/>
  <c r="B1231" i="9"/>
  <c r="A1258" i="9"/>
  <c r="B1246" i="9"/>
  <c r="B1248" i="9"/>
  <c r="A1260" i="9"/>
  <c r="A1254" i="9"/>
  <c r="B1242" i="9"/>
  <c r="B1244" i="9"/>
  <c r="A1256" i="9"/>
  <c r="A1250" i="9"/>
  <c r="B1238" i="9"/>
  <c r="B1124" i="9"/>
  <c r="A1136" i="9"/>
  <c r="A1114" i="9"/>
  <c r="B1102" i="9"/>
  <c r="A1106" i="9"/>
  <c r="B1094" i="9"/>
  <c r="B1107" i="9"/>
  <c r="A1119" i="9"/>
  <c r="B1145" i="9"/>
  <c r="A1157" i="9"/>
  <c r="B1120" i="9"/>
  <c r="A1132" i="9"/>
  <c r="B1098" i="9"/>
  <c r="A1110" i="9"/>
  <c r="B1111" i="9"/>
  <c r="A1123" i="9"/>
  <c r="B1116" i="9"/>
  <c r="A1128" i="9"/>
  <c r="A1127" i="9"/>
  <c r="B1115" i="9"/>
  <c r="B1149" i="9"/>
  <c r="A1161" i="9"/>
  <c r="B983" i="9"/>
  <c r="A995" i="9"/>
  <c r="B984" i="9"/>
  <c r="A996" i="9"/>
  <c r="B980" i="9"/>
  <c r="A992" i="9"/>
  <c r="B962" i="9"/>
  <c r="A974" i="9"/>
  <c r="B966" i="9"/>
  <c r="A978" i="9"/>
  <c r="B970" i="9"/>
  <c r="A982" i="9"/>
  <c r="B979" i="9"/>
  <c r="A991" i="9"/>
  <c r="A987" i="9"/>
  <c r="B975" i="9"/>
  <c r="B976" i="9"/>
  <c r="A988" i="9"/>
  <c r="A977" i="9"/>
  <c r="B965" i="9"/>
  <c r="A981" i="9"/>
  <c r="B969" i="9"/>
  <c r="B844" i="9"/>
  <c r="A856" i="9"/>
  <c r="B833" i="9"/>
  <c r="A845" i="9"/>
  <c r="B843" i="9"/>
  <c r="A855" i="9"/>
  <c r="B862" i="9"/>
  <c r="A874" i="9"/>
  <c r="B858" i="9"/>
  <c r="A870" i="9"/>
  <c r="B854" i="9"/>
  <c r="A866" i="9"/>
  <c r="B851" i="9"/>
  <c r="A863" i="9"/>
  <c r="B852" i="9"/>
  <c r="A864" i="9"/>
  <c r="B847" i="9"/>
  <c r="A859" i="9"/>
  <c r="B837" i="9"/>
  <c r="A849" i="9"/>
  <c r="B848" i="9"/>
  <c r="A860" i="9"/>
  <c r="B712" i="9"/>
  <c r="A724" i="9"/>
  <c r="B720" i="9"/>
  <c r="A732" i="9"/>
  <c r="B703" i="9"/>
  <c r="A715" i="9"/>
  <c r="B699" i="9"/>
  <c r="A711" i="9"/>
  <c r="A710" i="9"/>
  <c r="B698" i="9"/>
  <c r="A718" i="9"/>
  <c r="B706" i="9"/>
  <c r="B707" i="9"/>
  <c r="A719" i="9"/>
  <c r="B729" i="9"/>
  <c r="A741" i="9"/>
  <c r="B702" i="9"/>
  <c r="A714" i="9"/>
  <c r="B725" i="9"/>
  <c r="A737" i="9"/>
  <c r="B716" i="9"/>
  <c r="A728" i="9"/>
  <c r="A610" i="9"/>
  <c r="B598" i="9"/>
  <c r="B597" i="9"/>
  <c r="A609" i="9"/>
  <c r="A579" i="9"/>
  <c r="B567" i="9"/>
  <c r="B588" i="9"/>
  <c r="A600" i="9"/>
  <c r="A587" i="9"/>
  <c r="B575" i="9"/>
  <c r="A602" i="9"/>
  <c r="B590" i="9"/>
  <c r="B580" i="9"/>
  <c r="A592" i="9"/>
  <c r="A606" i="9"/>
  <c r="B594" i="9"/>
  <c r="B584" i="9"/>
  <c r="A596" i="9"/>
  <c r="B593" i="9"/>
  <c r="A605" i="9"/>
  <c r="B571" i="9"/>
  <c r="A583" i="9"/>
  <c r="B466" i="9"/>
  <c r="A478" i="9"/>
  <c r="A476" i="9"/>
  <c r="B464" i="9"/>
  <c r="A463" i="9"/>
  <c r="B451" i="9"/>
  <c r="A470" i="9"/>
  <c r="B458" i="9"/>
  <c r="B460" i="9"/>
  <c r="A472" i="9"/>
  <c r="B455" i="9"/>
  <c r="A467" i="9"/>
  <c r="B462" i="9"/>
  <c r="A474" i="9"/>
  <c r="B441" i="9"/>
  <c r="A453" i="9"/>
  <c r="A449" i="9"/>
  <c r="B437" i="9"/>
  <c r="B447" i="9"/>
  <c r="A459" i="9"/>
  <c r="B468" i="9"/>
  <c r="A480" i="9"/>
  <c r="B318" i="9"/>
  <c r="A330" i="9"/>
  <c r="A340" i="9"/>
  <c r="B328" i="9"/>
  <c r="B323" i="9"/>
  <c r="A335" i="9"/>
  <c r="A334" i="9"/>
  <c r="B322" i="9"/>
  <c r="B319" i="9"/>
  <c r="A331" i="9"/>
  <c r="B353" i="9"/>
  <c r="A365" i="9"/>
  <c r="B320" i="9"/>
  <c r="A332" i="9"/>
  <c r="A326" i="9"/>
  <c r="B314" i="9"/>
  <c r="B336" i="9"/>
  <c r="A348" i="9"/>
  <c r="A369" i="9"/>
  <c r="B357" i="9"/>
  <c r="B315" i="9"/>
  <c r="A327" i="9"/>
  <c r="B171" i="9"/>
  <c r="A183" i="9"/>
  <c r="A186" i="9"/>
  <c r="B174" i="9"/>
  <c r="B188" i="9"/>
  <c r="A200" i="9"/>
  <c r="A190" i="9"/>
  <c r="B178" i="9"/>
  <c r="B184" i="9"/>
  <c r="A196" i="9"/>
  <c r="B175" i="9"/>
  <c r="A187" i="9"/>
  <c r="B179" i="9"/>
  <c r="A191" i="9"/>
  <c r="B201" i="9"/>
  <c r="A213" i="9"/>
  <c r="B192" i="9"/>
  <c r="A204" i="9"/>
  <c r="B197" i="9"/>
  <c r="A209" i="9"/>
  <c r="A182" i="9"/>
  <c r="B170" i="9"/>
  <c r="B1603" i="9" l="1"/>
  <c r="A1615" i="9"/>
  <c r="A1628" i="9"/>
  <c r="B1616" i="9"/>
  <c r="A1653" i="9"/>
  <c r="B1641" i="9"/>
  <c r="A1611" i="9"/>
  <c r="B1599" i="9"/>
  <c r="B1666" i="9"/>
  <c r="A1678" i="9"/>
  <c r="B1678" i="9" s="1"/>
  <c r="B1620" i="9"/>
  <c r="A1632" i="9"/>
  <c r="B1662" i="9"/>
  <c r="A1674" i="9"/>
  <c r="B1674" i="9" s="1"/>
  <c r="B1637" i="9"/>
  <c r="A1649" i="9"/>
  <c r="A1619" i="9"/>
  <c r="B1607" i="9"/>
  <c r="A1624" i="9"/>
  <c r="B1612" i="9"/>
  <c r="A1670" i="9"/>
  <c r="B1670" i="9" s="1"/>
  <c r="B1658" i="9"/>
  <c r="B1500" i="9"/>
  <c r="A1512" i="9"/>
  <c r="B1517" i="9"/>
  <c r="A1529" i="9"/>
  <c r="A1502" i="9"/>
  <c r="B1490" i="9"/>
  <c r="B1492" i="9"/>
  <c r="A1504" i="9"/>
  <c r="B1496" i="9"/>
  <c r="A1508" i="9"/>
  <c r="B1479" i="9"/>
  <c r="A1491" i="9"/>
  <c r="A1533" i="9"/>
  <c r="B1521" i="9"/>
  <c r="B1483" i="9"/>
  <c r="A1495" i="9"/>
  <c r="A1506" i="9"/>
  <c r="B1494" i="9"/>
  <c r="B1487" i="9"/>
  <c r="A1499" i="9"/>
  <c r="A1510" i="9"/>
  <c r="B1498" i="9"/>
  <c r="A1386" i="9"/>
  <c r="B1374" i="9"/>
  <c r="B1389" i="9"/>
  <c r="A1401" i="9"/>
  <c r="B1403" i="9"/>
  <c r="A1415" i="9"/>
  <c r="A1407" i="9"/>
  <c r="B1395" i="9"/>
  <c r="B1378" i="9"/>
  <c r="A1390" i="9"/>
  <c r="A1392" i="9"/>
  <c r="B1380" i="9"/>
  <c r="A1411" i="9"/>
  <c r="B1399" i="9"/>
  <c r="B1370" i="9"/>
  <c r="A1382" i="9"/>
  <c r="A1388" i="9"/>
  <c r="B1376" i="9"/>
  <c r="A1397" i="9"/>
  <c r="B1385" i="9"/>
  <c r="B1372" i="9"/>
  <c r="A1384" i="9"/>
  <c r="A1264" i="9"/>
  <c r="B1252" i="9"/>
  <c r="A1262" i="9"/>
  <c r="B1250" i="9"/>
  <c r="A1270" i="9"/>
  <c r="B1258" i="9"/>
  <c r="B1256" i="9"/>
  <c r="A1268" i="9"/>
  <c r="B1269" i="9"/>
  <c r="A1281" i="9"/>
  <c r="B1265" i="9"/>
  <c r="A1277" i="9"/>
  <c r="B1243" i="9"/>
  <c r="A1255" i="9"/>
  <c r="A1272" i="9"/>
  <c r="B1260" i="9"/>
  <c r="B1247" i="9"/>
  <c r="A1259" i="9"/>
  <c r="A1266" i="9"/>
  <c r="B1254" i="9"/>
  <c r="B1239" i="9"/>
  <c r="A1251" i="9"/>
  <c r="A1169" i="9"/>
  <c r="B1157" i="9"/>
  <c r="A1148" i="9"/>
  <c r="B1136" i="9"/>
  <c r="B1123" i="9"/>
  <c r="A1135" i="9"/>
  <c r="A1131" i="9"/>
  <c r="B1119" i="9"/>
  <c r="B1128" i="9"/>
  <c r="A1140" i="9"/>
  <c r="A1118" i="9"/>
  <c r="B1106" i="9"/>
  <c r="B1161" i="9"/>
  <c r="A1173" i="9"/>
  <c r="B1132" i="9"/>
  <c r="A1144" i="9"/>
  <c r="B1110" i="9"/>
  <c r="A1122" i="9"/>
  <c r="A1139" i="9"/>
  <c r="B1127" i="9"/>
  <c r="B1114" i="9"/>
  <c r="A1126" i="9"/>
  <c r="A986" i="9"/>
  <c r="B974" i="9"/>
  <c r="B987" i="9"/>
  <c r="A999" i="9"/>
  <c r="B991" i="9"/>
  <c r="A1003" i="9"/>
  <c r="B992" i="9"/>
  <c r="A1004" i="9"/>
  <c r="B981" i="9"/>
  <c r="A993" i="9"/>
  <c r="A994" i="9"/>
  <c r="B982" i="9"/>
  <c r="B996" i="9"/>
  <c r="A1008" i="9"/>
  <c r="B977" i="9"/>
  <c r="A989" i="9"/>
  <c r="B988" i="9"/>
  <c r="A1000" i="9"/>
  <c r="A990" i="9"/>
  <c r="B978" i="9"/>
  <c r="B995" i="9"/>
  <c r="A1007" i="9"/>
  <c r="B860" i="9"/>
  <c r="A872" i="9"/>
  <c r="B863" i="9"/>
  <c r="A875" i="9"/>
  <c r="B855" i="9"/>
  <c r="A867" i="9"/>
  <c r="B864" i="9"/>
  <c r="A876" i="9"/>
  <c r="A861" i="9"/>
  <c r="B849" i="9"/>
  <c r="A878" i="9"/>
  <c r="B866" i="9"/>
  <c r="A857" i="9"/>
  <c r="B845" i="9"/>
  <c r="B859" i="9"/>
  <c r="A871" i="9"/>
  <c r="A882" i="9"/>
  <c r="B870" i="9"/>
  <c r="B856" i="9"/>
  <c r="A868" i="9"/>
  <c r="A886" i="9"/>
  <c r="B874" i="9"/>
  <c r="B741" i="9"/>
  <c r="A753" i="9"/>
  <c r="A723" i="9"/>
  <c r="B711" i="9"/>
  <c r="B728" i="9"/>
  <c r="A740" i="9"/>
  <c r="A731" i="9"/>
  <c r="B719" i="9"/>
  <c r="A727" i="9"/>
  <c r="B715" i="9"/>
  <c r="B737" i="9"/>
  <c r="A749" i="9"/>
  <c r="B732" i="9"/>
  <c r="A744" i="9"/>
  <c r="A730" i="9"/>
  <c r="B718" i="9"/>
  <c r="A726" i="9"/>
  <c r="B714" i="9"/>
  <c r="B724" i="9"/>
  <c r="A736" i="9"/>
  <c r="A722" i="9"/>
  <c r="B710" i="9"/>
  <c r="B600" i="9"/>
  <c r="A612" i="9"/>
  <c r="B606" i="9"/>
  <c r="A618" i="9"/>
  <c r="A595" i="9"/>
  <c r="B583" i="9"/>
  <c r="A604" i="9"/>
  <c r="B592" i="9"/>
  <c r="B579" i="9"/>
  <c r="A591" i="9"/>
  <c r="B605" i="9"/>
  <c r="A617" i="9"/>
  <c r="B609" i="9"/>
  <c r="A621" i="9"/>
  <c r="B602" i="9"/>
  <c r="A614" i="9"/>
  <c r="A608" i="9"/>
  <c r="B596" i="9"/>
  <c r="A599" i="9"/>
  <c r="B587" i="9"/>
  <c r="B610" i="9"/>
  <c r="A622" i="9"/>
  <c r="A465" i="9"/>
  <c r="B453" i="9"/>
  <c r="A482" i="9"/>
  <c r="B470" i="9"/>
  <c r="B480" i="9"/>
  <c r="A492" i="9"/>
  <c r="A486" i="9"/>
  <c r="B474" i="9"/>
  <c r="B463" i="9"/>
  <c r="A475" i="9"/>
  <c r="B459" i="9"/>
  <c r="A471" i="9"/>
  <c r="B467" i="9"/>
  <c r="A479" i="9"/>
  <c r="B476" i="9"/>
  <c r="A488" i="9"/>
  <c r="B472" i="9"/>
  <c r="A484" i="9"/>
  <c r="A490" i="9"/>
  <c r="B478" i="9"/>
  <c r="A461" i="9"/>
  <c r="B449" i="9"/>
  <c r="B334" i="9"/>
  <c r="A346" i="9"/>
  <c r="B327" i="9"/>
  <c r="A339" i="9"/>
  <c r="B332" i="9"/>
  <c r="A344" i="9"/>
  <c r="B335" i="9"/>
  <c r="A347" i="9"/>
  <c r="B326" i="9"/>
  <c r="A338" i="9"/>
  <c r="B365" i="9"/>
  <c r="A377" i="9"/>
  <c r="B369" i="9"/>
  <c r="A381" i="9"/>
  <c r="B340" i="9"/>
  <c r="A352" i="9"/>
  <c r="B348" i="9"/>
  <c r="A360" i="9"/>
  <c r="B331" i="9"/>
  <c r="A343" i="9"/>
  <c r="A342" i="9"/>
  <c r="B330" i="9"/>
  <c r="A195" i="9"/>
  <c r="B183" i="9"/>
  <c r="B213" i="9"/>
  <c r="A225" i="9"/>
  <c r="A202" i="9"/>
  <c r="B190" i="9"/>
  <c r="B204" i="9"/>
  <c r="A216" i="9"/>
  <c r="B209" i="9"/>
  <c r="A221" i="9"/>
  <c r="A199" i="9"/>
  <c r="B187" i="9"/>
  <c r="B196" i="9"/>
  <c r="A208" i="9"/>
  <c r="B191" i="9"/>
  <c r="A203" i="9"/>
  <c r="B200" i="9"/>
  <c r="A212" i="9"/>
  <c r="A194" i="9"/>
  <c r="B182" i="9"/>
  <c r="A198" i="9"/>
  <c r="B186" i="9"/>
  <c r="O406" i="5"/>
  <c r="Q406" i="5"/>
  <c r="O407" i="5"/>
  <c r="Q407" i="5"/>
  <c r="O408" i="5"/>
  <c r="Q408" i="5"/>
  <c r="O409" i="5"/>
  <c r="Q409" i="5"/>
  <c r="O410" i="5"/>
  <c r="Q410" i="5"/>
  <c r="O411" i="5"/>
  <c r="Q411" i="5"/>
  <c r="O412" i="5"/>
  <c r="Q412" i="5"/>
  <c r="O413" i="5"/>
  <c r="Q413" i="5"/>
  <c r="O414" i="5"/>
  <c r="Q414" i="5"/>
  <c r="O415" i="5"/>
  <c r="Q415" i="5"/>
  <c r="O416" i="5"/>
  <c r="Q416" i="5"/>
  <c r="O417" i="5"/>
  <c r="Q417" i="5"/>
  <c r="O418" i="5"/>
  <c r="Q418" i="5"/>
  <c r="O419" i="5"/>
  <c r="Q419" i="5"/>
  <c r="O420" i="5"/>
  <c r="Q420" i="5"/>
  <c r="O421" i="5"/>
  <c r="Q421" i="5"/>
  <c r="O422" i="5"/>
  <c r="Q422" i="5"/>
  <c r="O423" i="5"/>
  <c r="Q423" i="5"/>
  <c r="O424" i="5"/>
  <c r="Q424" i="5"/>
  <c r="O425" i="5"/>
  <c r="Q425" i="5"/>
  <c r="O426" i="5"/>
  <c r="Q426" i="5"/>
  <c r="O427" i="5"/>
  <c r="Q427" i="5"/>
  <c r="O428" i="5"/>
  <c r="Q428" i="5"/>
  <c r="O429" i="5"/>
  <c r="Q429" i="5"/>
  <c r="O430" i="5"/>
  <c r="Q430" i="5"/>
  <c r="O431" i="5"/>
  <c r="Q431" i="5"/>
  <c r="O432" i="5"/>
  <c r="Q432" i="5"/>
  <c r="O433" i="5"/>
  <c r="Q433" i="5"/>
  <c r="O434" i="5"/>
  <c r="Q434" i="5"/>
  <c r="O435" i="5"/>
  <c r="Q435" i="5"/>
  <c r="O436" i="5"/>
  <c r="Q436" i="5"/>
  <c r="O437" i="5"/>
  <c r="Q437" i="5"/>
  <c r="O438" i="5"/>
  <c r="Q438" i="5"/>
  <c r="O439" i="5"/>
  <c r="Q439" i="5"/>
  <c r="O440" i="5"/>
  <c r="Q440" i="5"/>
  <c r="O441" i="5"/>
  <c r="Q441" i="5"/>
  <c r="O442" i="5"/>
  <c r="Q442" i="5"/>
  <c r="O443" i="5"/>
  <c r="Q443" i="5"/>
  <c r="O444" i="5"/>
  <c r="Q444" i="5"/>
  <c r="O445" i="5"/>
  <c r="Q445" i="5"/>
  <c r="O446" i="5"/>
  <c r="Q446" i="5"/>
  <c r="O447" i="5"/>
  <c r="Q447" i="5"/>
  <c r="O448" i="5"/>
  <c r="Q448" i="5"/>
  <c r="O449" i="5"/>
  <c r="Q449" i="5"/>
  <c r="O450" i="5"/>
  <c r="Q450" i="5"/>
  <c r="O451" i="5"/>
  <c r="Q451" i="5"/>
  <c r="O452" i="5"/>
  <c r="Q452" i="5"/>
  <c r="O453" i="5"/>
  <c r="Q453" i="5"/>
  <c r="O454" i="5"/>
  <c r="Q454" i="5"/>
  <c r="O455" i="5"/>
  <c r="Q455" i="5"/>
  <c r="O456" i="5"/>
  <c r="Q456" i="5"/>
  <c r="O457" i="5"/>
  <c r="Q457" i="5"/>
  <c r="O458" i="5"/>
  <c r="Q458" i="5"/>
  <c r="O459" i="5"/>
  <c r="Q459" i="5"/>
  <c r="O460" i="5"/>
  <c r="Q460" i="5"/>
  <c r="O461" i="5"/>
  <c r="Q461" i="5"/>
  <c r="O462" i="5"/>
  <c r="Q462" i="5"/>
  <c r="O463" i="5"/>
  <c r="Q463" i="5"/>
  <c r="O464" i="5"/>
  <c r="Q464" i="5"/>
  <c r="O465" i="5"/>
  <c r="Q465" i="5"/>
  <c r="O466" i="5"/>
  <c r="Q466" i="5"/>
  <c r="O467" i="5"/>
  <c r="Q467" i="5"/>
  <c r="O468" i="5"/>
  <c r="Q468" i="5"/>
  <c r="O469" i="5"/>
  <c r="Q469" i="5"/>
  <c r="O470" i="5"/>
  <c r="Q470" i="5"/>
  <c r="O471" i="5"/>
  <c r="Q471" i="5"/>
  <c r="O472" i="5"/>
  <c r="Q472" i="5"/>
  <c r="O473" i="5"/>
  <c r="Q473" i="5"/>
  <c r="O474" i="5"/>
  <c r="Q474" i="5"/>
  <c r="O475" i="5"/>
  <c r="Q475" i="5"/>
  <c r="O476" i="5"/>
  <c r="Q476" i="5"/>
  <c r="O477" i="5"/>
  <c r="Q477" i="5"/>
  <c r="O478" i="5"/>
  <c r="Q478" i="5"/>
  <c r="O479" i="5"/>
  <c r="Q479" i="5"/>
  <c r="O480" i="5"/>
  <c r="Q480" i="5"/>
  <c r="O481" i="5"/>
  <c r="Q481" i="5"/>
  <c r="O482" i="5"/>
  <c r="Q482" i="5"/>
  <c r="O483" i="5"/>
  <c r="Q483" i="5"/>
  <c r="O484" i="5"/>
  <c r="Q484" i="5"/>
  <c r="O485" i="5"/>
  <c r="Q485" i="5"/>
  <c r="O486" i="5"/>
  <c r="Q486" i="5"/>
  <c r="O487" i="5"/>
  <c r="Q487" i="5"/>
  <c r="O488" i="5"/>
  <c r="Q488" i="5"/>
  <c r="O489" i="5"/>
  <c r="Q489" i="5"/>
  <c r="O490" i="5"/>
  <c r="Q490" i="5"/>
  <c r="O491" i="5"/>
  <c r="Q491" i="5"/>
  <c r="O492" i="5"/>
  <c r="Q492" i="5"/>
  <c r="O493" i="5"/>
  <c r="Q493" i="5"/>
  <c r="O494" i="5"/>
  <c r="Q494" i="5"/>
  <c r="O495" i="5"/>
  <c r="Q495" i="5"/>
  <c r="O496" i="5"/>
  <c r="Q496" i="5"/>
  <c r="O497" i="5"/>
  <c r="Q497" i="5"/>
  <c r="O498" i="5"/>
  <c r="Q498" i="5"/>
  <c r="O499" i="5"/>
  <c r="Q499" i="5"/>
  <c r="O500" i="5"/>
  <c r="Q500" i="5"/>
  <c r="O501" i="5"/>
  <c r="Q501" i="5"/>
  <c r="O502" i="5"/>
  <c r="Q502" i="5"/>
  <c r="O503" i="5"/>
  <c r="Q503" i="5"/>
  <c r="O504" i="5"/>
  <c r="Q504" i="5"/>
  <c r="O505" i="5"/>
  <c r="Q505" i="5"/>
  <c r="O506" i="5"/>
  <c r="Q506" i="5"/>
  <c r="O507" i="5"/>
  <c r="Q507" i="5"/>
  <c r="O508" i="5"/>
  <c r="Q508" i="5"/>
  <c r="O509" i="5"/>
  <c r="Q509" i="5"/>
  <c r="O510" i="5"/>
  <c r="Q510" i="5"/>
  <c r="O511" i="5"/>
  <c r="Q511" i="5"/>
  <c r="O512" i="5"/>
  <c r="Q512" i="5"/>
  <c r="O513" i="5"/>
  <c r="Q513" i="5"/>
  <c r="O514" i="5"/>
  <c r="Q514" i="5"/>
  <c r="O515" i="5"/>
  <c r="Q515" i="5"/>
  <c r="O516" i="5"/>
  <c r="Q516" i="5"/>
  <c r="O517" i="5"/>
  <c r="Q517" i="5"/>
  <c r="O518" i="5"/>
  <c r="Q518" i="5"/>
  <c r="O519" i="5"/>
  <c r="Q519" i="5"/>
  <c r="O520" i="5"/>
  <c r="Q520" i="5"/>
  <c r="O521" i="5"/>
  <c r="Q521" i="5"/>
  <c r="O522" i="5"/>
  <c r="Q522" i="5"/>
  <c r="O523" i="5"/>
  <c r="Q523" i="5"/>
  <c r="O524" i="5"/>
  <c r="Q524" i="5"/>
  <c r="O525" i="5"/>
  <c r="Q525" i="5"/>
  <c r="O526" i="5"/>
  <c r="Q526" i="5"/>
  <c r="O527" i="5"/>
  <c r="Q527" i="5"/>
  <c r="O528" i="5"/>
  <c r="Q528" i="5"/>
  <c r="O529" i="5"/>
  <c r="Q529" i="5"/>
  <c r="O530" i="5"/>
  <c r="Q530" i="5"/>
  <c r="O531" i="5"/>
  <c r="Q531" i="5"/>
  <c r="O532" i="5"/>
  <c r="Q532" i="5"/>
  <c r="O533" i="5"/>
  <c r="Q533" i="5"/>
  <c r="O534" i="5"/>
  <c r="Q534" i="5"/>
  <c r="O535" i="5"/>
  <c r="Q535" i="5"/>
  <c r="O536" i="5"/>
  <c r="Q536" i="5"/>
  <c r="O537" i="5"/>
  <c r="Q537" i="5"/>
  <c r="O538" i="5"/>
  <c r="Q538" i="5"/>
  <c r="O539" i="5"/>
  <c r="Q539" i="5"/>
  <c r="O540" i="5"/>
  <c r="Q540" i="5"/>
  <c r="O541" i="5"/>
  <c r="Q541" i="5"/>
  <c r="O542" i="5"/>
  <c r="Q542" i="5"/>
  <c r="O543" i="5"/>
  <c r="Q543" i="5"/>
  <c r="O544" i="5"/>
  <c r="Q544" i="5"/>
  <c r="O545" i="5"/>
  <c r="Q545" i="5"/>
  <c r="O546" i="5"/>
  <c r="Q546" i="5"/>
  <c r="O547" i="5"/>
  <c r="Q547" i="5"/>
  <c r="O548" i="5"/>
  <c r="Q548" i="5"/>
  <c r="O549" i="5"/>
  <c r="Q549" i="5"/>
  <c r="O550" i="5"/>
  <c r="Q550" i="5"/>
  <c r="O551" i="5"/>
  <c r="Q551" i="5"/>
  <c r="O552" i="5"/>
  <c r="Q552" i="5"/>
  <c r="O553" i="5"/>
  <c r="Q553" i="5"/>
  <c r="O554" i="5"/>
  <c r="Q554" i="5"/>
  <c r="O555" i="5"/>
  <c r="Q555" i="5"/>
  <c r="O556" i="5"/>
  <c r="Q556" i="5"/>
  <c r="O557" i="5"/>
  <c r="Q557" i="5"/>
  <c r="O558" i="5"/>
  <c r="Q558" i="5"/>
  <c r="O559" i="5"/>
  <c r="Q559" i="5"/>
  <c r="O560" i="5"/>
  <c r="Q560" i="5"/>
  <c r="O561" i="5"/>
  <c r="Q561" i="5"/>
  <c r="O562" i="5"/>
  <c r="Q562" i="5"/>
  <c r="O563" i="5"/>
  <c r="Q563" i="5"/>
  <c r="O564" i="5"/>
  <c r="Q564" i="5"/>
  <c r="O565" i="5"/>
  <c r="Q565" i="5"/>
  <c r="O566" i="5"/>
  <c r="Q566" i="5"/>
  <c r="O567" i="5"/>
  <c r="Q567" i="5"/>
  <c r="O568" i="5"/>
  <c r="Q568" i="5"/>
  <c r="O569" i="5"/>
  <c r="Q569" i="5"/>
  <c r="O570" i="5"/>
  <c r="Q570" i="5"/>
  <c r="O571" i="5"/>
  <c r="Q571" i="5"/>
  <c r="O572" i="5"/>
  <c r="Q572" i="5"/>
  <c r="O573" i="5"/>
  <c r="Q573" i="5"/>
  <c r="O574" i="5"/>
  <c r="Q574" i="5"/>
  <c r="O575" i="5"/>
  <c r="Q575" i="5"/>
  <c r="O576" i="5"/>
  <c r="Q576" i="5"/>
  <c r="O577" i="5"/>
  <c r="Q577" i="5"/>
  <c r="O578" i="5"/>
  <c r="Q578" i="5"/>
  <c r="O579" i="5"/>
  <c r="Q579" i="5"/>
  <c r="O580" i="5"/>
  <c r="Q580" i="5"/>
  <c r="O581" i="5"/>
  <c r="Q581" i="5"/>
  <c r="O582" i="5"/>
  <c r="Q582" i="5"/>
  <c r="O583" i="5"/>
  <c r="Q583" i="5"/>
  <c r="O584" i="5"/>
  <c r="Q584" i="5"/>
  <c r="O585" i="5"/>
  <c r="Q585" i="5"/>
  <c r="O586" i="5"/>
  <c r="Q586" i="5"/>
  <c r="O587" i="5"/>
  <c r="Q587" i="5"/>
  <c r="O588" i="5"/>
  <c r="Q588" i="5"/>
  <c r="O589" i="5"/>
  <c r="Q589" i="5"/>
  <c r="O590" i="5"/>
  <c r="Q590" i="5"/>
  <c r="O591" i="5"/>
  <c r="Q591" i="5"/>
  <c r="O592" i="5"/>
  <c r="Q592" i="5"/>
  <c r="O593" i="5"/>
  <c r="Q593" i="5"/>
  <c r="O594" i="5"/>
  <c r="Q594" i="5"/>
  <c r="O595" i="5"/>
  <c r="Q595" i="5"/>
  <c r="O596" i="5"/>
  <c r="Q596" i="5"/>
  <c r="O597" i="5"/>
  <c r="Q597" i="5"/>
  <c r="O598" i="5"/>
  <c r="Q598" i="5"/>
  <c r="O599" i="5"/>
  <c r="Q599" i="5"/>
  <c r="O600" i="5"/>
  <c r="Q600" i="5"/>
  <c r="O601" i="5"/>
  <c r="Q601" i="5"/>
  <c r="O602" i="5"/>
  <c r="Q602" i="5"/>
  <c r="O603" i="5"/>
  <c r="Q603" i="5"/>
  <c r="O604" i="5"/>
  <c r="Q604" i="5"/>
  <c r="O605" i="5"/>
  <c r="Q605" i="5"/>
  <c r="O606" i="5"/>
  <c r="Q606" i="5"/>
  <c r="O607" i="5"/>
  <c r="Q607" i="5"/>
  <c r="O608" i="5"/>
  <c r="Q608" i="5"/>
  <c r="O609" i="5"/>
  <c r="Q609" i="5"/>
  <c r="O610" i="5"/>
  <c r="Q610" i="5"/>
  <c r="O611" i="5"/>
  <c r="Q611" i="5"/>
  <c r="O612" i="5"/>
  <c r="Q612" i="5"/>
  <c r="O613" i="5"/>
  <c r="Q613" i="5"/>
  <c r="O614" i="5"/>
  <c r="Q614" i="5"/>
  <c r="O615" i="5"/>
  <c r="Q615" i="5"/>
  <c r="O616" i="5"/>
  <c r="Q616" i="5"/>
  <c r="O617" i="5"/>
  <c r="Q617" i="5"/>
  <c r="O618" i="5"/>
  <c r="Q618" i="5"/>
  <c r="O619" i="5"/>
  <c r="Q619" i="5"/>
  <c r="O620" i="5"/>
  <c r="Q620" i="5"/>
  <c r="O621" i="5"/>
  <c r="Q621" i="5"/>
  <c r="O622" i="5"/>
  <c r="Q622" i="5"/>
  <c r="O623" i="5"/>
  <c r="Q623" i="5"/>
  <c r="O624" i="5"/>
  <c r="Q624" i="5"/>
  <c r="O625" i="5"/>
  <c r="Q625" i="5"/>
  <c r="O626" i="5"/>
  <c r="Q626" i="5"/>
  <c r="O627" i="5"/>
  <c r="Q627" i="5"/>
  <c r="O628" i="5"/>
  <c r="Q628" i="5"/>
  <c r="O629" i="5"/>
  <c r="Q629" i="5"/>
  <c r="O630" i="5"/>
  <c r="Q630" i="5"/>
  <c r="O631" i="5"/>
  <c r="Q631" i="5"/>
  <c r="O632" i="5"/>
  <c r="Q632" i="5"/>
  <c r="O633" i="5"/>
  <c r="Q633" i="5"/>
  <c r="O634" i="5"/>
  <c r="Q634" i="5"/>
  <c r="O635" i="5"/>
  <c r="Q635" i="5"/>
  <c r="O636" i="5"/>
  <c r="Q636" i="5"/>
  <c r="O637" i="5"/>
  <c r="Q637" i="5"/>
  <c r="O638" i="5"/>
  <c r="Q638" i="5"/>
  <c r="O639" i="5"/>
  <c r="Q639" i="5"/>
  <c r="O640" i="5"/>
  <c r="Q640" i="5"/>
  <c r="O641" i="5"/>
  <c r="Q641" i="5"/>
  <c r="O642" i="5"/>
  <c r="Q642" i="5"/>
  <c r="O643" i="5"/>
  <c r="Q643" i="5"/>
  <c r="O644" i="5"/>
  <c r="Q644" i="5"/>
  <c r="O645" i="5"/>
  <c r="Q645" i="5"/>
  <c r="O646" i="5"/>
  <c r="Q646" i="5"/>
  <c r="O647" i="5"/>
  <c r="Q647" i="5"/>
  <c r="O648" i="5"/>
  <c r="Q648" i="5"/>
  <c r="O649" i="5"/>
  <c r="Q649" i="5"/>
  <c r="O650" i="5"/>
  <c r="Q650" i="5"/>
  <c r="O651" i="5"/>
  <c r="Q651" i="5"/>
  <c r="O652" i="5"/>
  <c r="Q652" i="5"/>
  <c r="O653" i="5"/>
  <c r="Q653" i="5"/>
  <c r="O654" i="5"/>
  <c r="Q654" i="5"/>
  <c r="O655" i="5"/>
  <c r="Q655" i="5"/>
  <c r="O656" i="5"/>
  <c r="Q656" i="5"/>
  <c r="O657" i="5"/>
  <c r="Q657" i="5"/>
  <c r="O658" i="5"/>
  <c r="Q658" i="5"/>
  <c r="O659" i="5"/>
  <c r="Q659" i="5"/>
  <c r="O660" i="5"/>
  <c r="Q660" i="5"/>
  <c r="O661" i="5"/>
  <c r="Q661" i="5"/>
  <c r="O662" i="5"/>
  <c r="Q662" i="5"/>
  <c r="O663" i="5"/>
  <c r="Q663" i="5"/>
  <c r="O664" i="5"/>
  <c r="Q664" i="5"/>
  <c r="O665" i="5"/>
  <c r="Q665" i="5"/>
  <c r="O666" i="5"/>
  <c r="Q666" i="5"/>
  <c r="O667" i="5"/>
  <c r="Q667" i="5"/>
  <c r="O668" i="5"/>
  <c r="Q668" i="5"/>
  <c r="O669" i="5"/>
  <c r="Q669" i="5"/>
  <c r="O670" i="5"/>
  <c r="Q670" i="5"/>
  <c r="O671" i="5"/>
  <c r="Q671" i="5"/>
  <c r="O672" i="5"/>
  <c r="Q672" i="5"/>
  <c r="O673" i="5"/>
  <c r="Q673" i="5"/>
  <c r="O674" i="5"/>
  <c r="Q674" i="5"/>
  <c r="O675" i="5"/>
  <c r="Q675" i="5"/>
  <c r="O676" i="5"/>
  <c r="Q676" i="5"/>
  <c r="O677" i="5"/>
  <c r="Q677" i="5"/>
  <c r="O678" i="5"/>
  <c r="Q678" i="5"/>
  <c r="O679" i="5"/>
  <c r="Q679" i="5"/>
  <c r="O680" i="5"/>
  <c r="Q680" i="5"/>
  <c r="O681" i="5"/>
  <c r="Q681" i="5"/>
  <c r="O682" i="5"/>
  <c r="Q682" i="5"/>
  <c r="O683" i="5"/>
  <c r="Q683" i="5"/>
  <c r="O684" i="5"/>
  <c r="Q684" i="5"/>
  <c r="O685" i="5"/>
  <c r="Q685" i="5"/>
  <c r="O686" i="5"/>
  <c r="Q686" i="5"/>
  <c r="O687" i="5"/>
  <c r="Q687" i="5"/>
  <c r="O688" i="5"/>
  <c r="Q688" i="5"/>
  <c r="O689" i="5"/>
  <c r="Q689" i="5"/>
  <c r="O690" i="5"/>
  <c r="Q690" i="5"/>
  <c r="O691" i="5"/>
  <c r="Q691" i="5"/>
  <c r="O692" i="5"/>
  <c r="Q692" i="5"/>
  <c r="O693" i="5"/>
  <c r="Q693" i="5"/>
  <c r="O694" i="5"/>
  <c r="Q694" i="5"/>
  <c r="O695" i="5"/>
  <c r="Q695" i="5"/>
  <c r="O696" i="5"/>
  <c r="Q696" i="5"/>
  <c r="O697" i="5"/>
  <c r="Q697" i="5"/>
  <c r="O698" i="5"/>
  <c r="Q698" i="5"/>
  <c r="O699" i="5"/>
  <c r="Q699" i="5"/>
  <c r="O700" i="5"/>
  <c r="Q700" i="5"/>
  <c r="O701" i="5"/>
  <c r="Q701" i="5"/>
  <c r="O702" i="5"/>
  <c r="Q702" i="5"/>
  <c r="O703" i="5"/>
  <c r="Q703" i="5"/>
  <c r="O704" i="5"/>
  <c r="Q704" i="5"/>
  <c r="O705" i="5"/>
  <c r="Q705" i="5"/>
  <c r="O706" i="5"/>
  <c r="Q706" i="5"/>
  <c r="O707" i="5"/>
  <c r="Q707" i="5"/>
  <c r="O708" i="5"/>
  <c r="Q708" i="5"/>
  <c r="O709" i="5"/>
  <c r="Q709" i="5"/>
  <c r="O710" i="5"/>
  <c r="Q710" i="5"/>
  <c r="O711" i="5"/>
  <c r="Q711" i="5"/>
  <c r="O712" i="5"/>
  <c r="Q712" i="5"/>
  <c r="O713" i="5"/>
  <c r="Q713" i="5"/>
  <c r="O714" i="5"/>
  <c r="Q714" i="5"/>
  <c r="O715" i="5"/>
  <c r="Q715" i="5"/>
  <c r="O716" i="5"/>
  <c r="Q716" i="5"/>
  <c r="O717" i="5"/>
  <c r="Q717" i="5"/>
  <c r="O718" i="5"/>
  <c r="Q718" i="5"/>
  <c r="O719" i="5"/>
  <c r="Q719" i="5"/>
  <c r="O720" i="5"/>
  <c r="Q720" i="5"/>
  <c r="O721" i="5"/>
  <c r="Q721" i="5"/>
  <c r="O722" i="5"/>
  <c r="Q722" i="5"/>
  <c r="O723" i="5"/>
  <c r="Q723" i="5"/>
  <c r="O724" i="5"/>
  <c r="Q724" i="5"/>
  <c r="O725" i="5"/>
  <c r="Q725" i="5"/>
  <c r="O726" i="5"/>
  <c r="Q726" i="5"/>
  <c r="O727" i="5"/>
  <c r="Q727" i="5"/>
  <c r="O728" i="5"/>
  <c r="Q728" i="5"/>
  <c r="O729" i="5"/>
  <c r="Q729" i="5"/>
  <c r="O730" i="5"/>
  <c r="Q730" i="5"/>
  <c r="O731" i="5"/>
  <c r="Q731" i="5"/>
  <c r="O732" i="5"/>
  <c r="Q732" i="5"/>
  <c r="O733" i="5"/>
  <c r="Q733" i="5"/>
  <c r="O734" i="5"/>
  <c r="Q734" i="5"/>
  <c r="O735" i="5"/>
  <c r="Q735" i="5"/>
  <c r="O736" i="5"/>
  <c r="Q736" i="5"/>
  <c r="O737" i="5"/>
  <c r="Q737" i="5"/>
  <c r="O738" i="5"/>
  <c r="Q738" i="5"/>
  <c r="O739" i="5"/>
  <c r="Q739" i="5"/>
  <c r="O740" i="5"/>
  <c r="Q740" i="5"/>
  <c r="O741" i="5"/>
  <c r="Q741" i="5"/>
  <c r="O742" i="5"/>
  <c r="Q742" i="5"/>
  <c r="O743" i="5"/>
  <c r="Q743" i="5"/>
  <c r="O744" i="5"/>
  <c r="Q744" i="5"/>
  <c r="O745" i="5"/>
  <c r="Q745" i="5"/>
  <c r="O746" i="5"/>
  <c r="Q746" i="5"/>
  <c r="O747" i="5"/>
  <c r="Q747" i="5"/>
  <c r="O748" i="5"/>
  <c r="Q748" i="5"/>
  <c r="O749" i="5"/>
  <c r="Q749" i="5"/>
  <c r="O750" i="5"/>
  <c r="Q750" i="5"/>
  <c r="O751" i="5"/>
  <c r="Q751" i="5"/>
  <c r="O752" i="5"/>
  <c r="Q752" i="5"/>
  <c r="O753" i="5"/>
  <c r="Q753" i="5"/>
  <c r="O754" i="5"/>
  <c r="Q754" i="5"/>
  <c r="O755" i="5"/>
  <c r="Q755" i="5"/>
  <c r="O756" i="5"/>
  <c r="Q756" i="5"/>
  <c r="O757" i="5"/>
  <c r="Q757" i="5"/>
  <c r="O758" i="5"/>
  <c r="Q758" i="5"/>
  <c r="O759" i="5"/>
  <c r="Q759" i="5"/>
  <c r="O760" i="5"/>
  <c r="Q760" i="5"/>
  <c r="O761" i="5"/>
  <c r="Q761" i="5"/>
  <c r="O762" i="5"/>
  <c r="Q762" i="5"/>
  <c r="O763" i="5"/>
  <c r="Q763" i="5"/>
  <c r="O764" i="5"/>
  <c r="Q764" i="5"/>
  <c r="O765" i="5"/>
  <c r="Q765" i="5"/>
  <c r="O766" i="5"/>
  <c r="Q766" i="5"/>
  <c r="O767" i="5"/>
  <c r="Q767" i="5"/>
  <c r="O768" i="5"/>
  <c r="Q768" i="5"/>
  <c r="O769" i="5"/>
  <c r="Q769" i="5"/>
  <c r="O770" i="5"/>
  <c r="Q770" i="5"/>
  <c r="O771" i="5"/>
  <c r="Q771" i="5"/>
  <c r="O772" i="5"/>
  <c r="Q772" i="5"/>
  <c r="O773" i="5"/>
  <c r="Q773" i="5"/>
  <c r="O774" i="5"/>
  <c r="Q774" i="5"/>
  <c r="O775" i="5"/>
  <c r="Q775" i="5"/>
  <c r="O776" i="5"/>
  <c r="Q776" i="5"/>
  <c r="O777" i="5"/>
  <c r="Q777" i="5"/>
  <c r="O778" i="5"/>
  <c r="Q778" i="5"/>
  <c r="O779" i="5"/>
  <c r="Q779" i="5"/>
  <c r="O780" i="5"/>
  <c r="Q780" i="5"/>
  <c r="O781" i="5"/>
  <c r="Q781" i="5"/>
  <c r="O782" i="5"/>
  <c r="Q782" i="5"/>
  <c r="O783" i="5"/>
  <c r="Q783" i="5"/>
  <c r="O784" i="5"/>
  <c r="Q784" i="5"/>
  <c r="O785" i="5"/>
  <c r="Q785" i="5"/>
  <c r="O786" i="5"/>
  <c r="Q786" i="5"/>
  <c r="O787" i="5"/>
  <c r="Q787" i="5"/>
  <c r="O788" i="5"/>
  <c r="Q788" i="5"/>
  <c r="O789" i="5"/>
  <c r="Q789" i="5"/>
  <c r="O790" i="5"/>
  <c r="Q790" i="5"/>
  <c r="O791" i="5"/>
  <c r="Q791" i="5"/>
  <c r="O792" i="5"/>
  <c r="Q792" i="5"/>
  <c r="O793" i="5"/>
  <c r="Q793" i="5"/>
  <c r="O794" i="5"/>
  <c r="Q794" i="5"/>
  <c r="O795" i="5"/>
  <c r="Q795" i="5"/>
  <c r="O796" i="5"/>
  <c r="Q796" i="5"/>
  <c r="O797" i="5"/>
  <c r="Q797" i="5"/>
  <c r="O798" i="5"/>
  <c r="Q798" i="5"/>
  <c r="O799" i="5"/>
  <c r="Q799" i="5"/>
  <c r="O800" i="5"/>
  <c r="Q800" i="5"/>
  <c r="O801" i="5"/>
  <c r="Q801" i="5"/>
  <c r="O802" i="5"/>
  <c r="Q802" i="5"/>
  <c r="O803" i="5"/>
  <c r="Q803" i="5"/>
  <c r="O804" i="5"/>
  <c r="Q804" i="5"/>
  <c r="O805" i="5"/>
  <c r="Q805" i="5"/>
  <c r="O806" i="5"/>
  <c r="Q806" i="5"/>
  <c r="O807" i="5"/>
  <c r="Q807" i="5"/>
  <c r="O808" i="5"/>
  <c r="Q808" i="5"/>
  <c r="O809" i="5"/>
  <c r="Q809" i="5"/>
  <c r="O810" i="5"/>
  <c r="Q810" i="5"/>
  <c r="O811" i="5"/>
  <c r="Q811" i="5"/>
  <c r="O812" i="5"/>
  <c r="Q812" i="5"/>
  <c r="O813" i="5"/>
  <c r="Q813" i="5"/>
  <c r="O814" i="5"/>
  <c r="Q814" i="5"/>
  <c r="O815" i="5"/>
  <c r="Q815" i="5"/>
  <c r="O816" i="5"/>
  <c r="Q816" i="5"/>
  <c r="O817" i="5"/>
  <c r="Q817" i="5"/>
  <c r="O818" i="5"/>
  <c r="Q818" i="5"/>
  <c r="O819" i="5"/>
  <c r="Q819" i="5"/>
  <c r="O820" i="5"/>
  <c r="Q820" i="5"/>
  <c r="O821" i="5"/>
  <c r="Q821" i="5"/>
  <c r="O822" i="5"/>
  <c r="Q822" i="5"/>
  <c r="O823" i="5"/>
  <c r="Q823" i="5"/>
  <c r="O824" i="5"/>
  <c r="Q824" i="5"/>
  <c r="O825" i="5"/>
  <c r="Q825" i="5"/>
  <c r="O826" i="5"/>
  <c r="Q826" i="5"/>
  <c r="O827" i="5"/>
  <c r="Q827" i="5"/>
  <c r="O828" i="5"/>
  <c r="Q828" i="5"/>
  <c r="O829" i="5"/>
  <c r="Q829" i="5"/>
  <c r="O830" i="5"/>
  <c r="Q830" i="5"/>
  <c r="O831" i="5"/>
  <c r="Q831" i="5"/>
  <c r="O832" i="5"/>
  <c r="Q832" i="5"/>
  <c r="O833" i="5"/>
  <c r="Q833" i="5"/>
  <c r="O834" i="5"/>
  <c r="Q834" i="5"/>
  <c r="O835" i="5"/>
  <c r="Q835" i="5"/>
  <c r="O836" i="5"/>
  <c r="Q836" i="5"/>
  <c r="O837" i="5"/>
  <c r="Q837" i="5"/>
  <c r="O838" i="5"/>
  <c r="Q838" i="5"/>
  <c r="O839" i="5"/>
  <c r="Q839" i="5"/>
  <c r="O840" i="5"/>
  <c r="Q840" i="5"/>
  <c r="O841" i="5"/>
  <c r="Q841" i="5"/>
  <c r="O842" i="5"/>
  <c r="Q842" i="5"/>
  <c r="O843" i="5"/>
  <c r="Q843" i="5"/>
  <c r="O844" i="5"/>
  <c r="Q844" i="5"/>
  <c r="O845" i="5"/>
  <c r="Q845" i="5"/>
  <c r="O846" i="5"/>
  <c r="Q846" i="5"/>
  <c r="O847" i="5"/>
  <c r="Q847" i="5"/>
  <c r="O848" i="5"/>
  <c r="Q848" i="5"/>
  <c r="O849" i="5"/>
  <c r="Q849" i="5"/>
  <c r="O850" i="5"/>
  <c r="Q850" i="5"/>
  <c r="O851" i="5"/>
  <c r="Q851" i="5"/>
  <c r="O852" i="5"/>
  <c r="Q852" i="5"/>
  <c r="O853" i="5"/>
  <c r="Q853" i="5"/>
  <c r="O854" i="5"/>
  <c r="Q854" i="5"/>
  <c r="O855" i="5"/>
  <c r="Q855" i="5"/>
  <c r="O856" i="5"/>
  <c r="Q856" i="5"/>
  <c r="O857" i="5"/>
  <c r="Q857" i="5"/>
  <c r="O858" i="5"/>
  <c r="Q858" i="5"/>
  <c r="O859" i="5"/>
  <c r="Q859" i="5"/>
  <c r="O860" i="5"/>
  <c r="Q860" i="5"/>
  <c r="O861" i="5"/>
  <c r="Q861" i="5"/>
  <c r="O862" i="5"/>
  <c r="Q862" i="5"/>
  <c r="O863" i="5"/>
  <c r="Q863" i="5"/>
  <c r="O864" i="5"/>
  <c r="Q864" i="5"/>
  <c r="O865" i="5"/>
  <c r="Q865" i="5"/>
  <c r="O866" i="5"/>
  <c r="Q866" i="5"/>
  <c r="O867" i="5"/>
  <c r="Q867" i="5"/>
  <c r="O868" i="5"/>
  <c r="Q868" i="5"/>
  <c r="O869" i="5"/>
  <c r="Q869" i="5"/>
  <c r="O870" i="5"/>
  <c r="Q870" i="5"/>
  <c r="O871" i="5"/>
  <c r="Q871" i="5"/>
  <c r="O872" i="5"/>
  <c r="Q872" i="5"/>
  <c r="O873" i="5"/>
  <c r="Q873" i="5"/>
  <c r="O874" i="5"/>
  <c r="Q874" i="5"/>
  <c r="O875" i="5"/>
  <c r="Q875" i="5"/>
  <c r="O876" i="5"/>
  <c r="Q876" i="5"/>
  <c r="O877" i="5"/>
  <c r="Q877" i="5"/>
  <c r="O878" i="5"/>
  <c r="Q878" i="5"/>
  <c r="O879" i="5"/>
  <c r="Q879" i="5"/>
  <c r="O880" i="5"/>
  <c r="Q880" i="5"/>
  <c r="O881" i="5"/>
  <c r="Q881" i="5"/>
  <c r="O882" i="5"/>
  <c r="Q882" i="5"/>
  <c r="O883" i="5"/>
  <c r="Q883" i="5"/>
  <c r="O884" i="5"/>
  <c r="Q884" i="5"/>
  <c r="O885" i="5"/>
  <c r="Q885" i="5"/>
  <c r="O886" i="5"/>
  <c r="Q886" i="5"/>
  <c r="O887" i="5"/>
  <c r="Q887" i="5"/>
  <c r="O888" i="5"/>
  <c r="Q888" i="5"/>
  <c r="O889" i="5"/>
  <c r="Q889" i="5"/>
  <c r="O890" i="5"/>
  <c r="Q890" i="5"/>
  <c r="O891" i="5"/>
  <c r="Q891" i="5"/>
  <c r="O892" i="5"/>
  <c r="Q892" i="5"/>
  <c r="O893" i="5"/>
  <c r="Q893" i="5"/>
  <c r="O894" i="5"/>
  <c r="Q894" i="5"/>
  <c r="O895" i="5"/>
  <c r="Q895" i="5"/>
  <c r="O896" i="5"/>
  <c r="Q896" i="5"/>
  <c r="O897" i="5"/>
  <c r="Q897" i="5"/>
  <c r="O898" i="5"/>
  <c r="Q898" i="5"/>
  <c r="O899" i="5"/>
  <c r="Q899" i="5"/>
  <c r="O900" i="5"/>
  <c r="Q900" i="5"/>
  <c r="O901" i="5"/>
  <c r="Q901" i="5"/>
  <c r="O902" i="5"/>
  <c r="Q902" i="5"/>
  <c r="O903" i="5"/>
  <c r="Q903" i="5"/>
  <c r="O904" i="5"/>
  <c r="Q904" i="5"/>
  <c r="O905" i="5"/>
  <c r="Q905" i="5"/>
  <c r="O906" i="5"/>
  <c r="Q906" i="5"/>
  <c r="O907" i="5"/>
  <c r="Q907" i="5"/>
  <c r="O908" i="5"/>
  <c r="Q908" i="5"/>
  <c r="O909" i="5"/>
  <c r="Q909" i="5"/>
  <c r="O910" i="5"/>
  <c r="Q910" i="5"/>
  <c r="O911" i="5"/>
  <c r="Q911" i="5"/>
  <c r="O912" i="5"/>
  <c r="Q912" i="5"/>
  <c r="O913" i="5"/>
  <c r="Q913" i="5"/>
  <c r="O914" i="5"/>
  <c r="Q914" i="5"/>
  <c r="O915" i="5"/>
  <c r="Q915" i="5"/>
  <c r="O916" i="5"/>
  <c r="Q916" i="5"/>
  <c r="O917" i="5"/>
  <c r="Q917" i="5"/>
  <c r="O918" i="5"/>
  <c r="Q918" i="5"/>
  <c r="O919" i="5"/>
  <c r="Q919" i="5"/>
  <c r="O920" i="5"/>
  <c r="Q920" i="5"/>
  <c r="O921" i="5"/>
  <c r="Q921" i="5"/>
  <c r="O922" i="5"/>
  <c r="Q922" i="5"/>
  <c r="O923" i="5"/>
  <c r="Q923" i="5"/>
  <c r="O924" i="5"/>
  <c r="Q924" i="5"/>
  <c r="O925" i="5"/>
  <c r="Q925" i="5"/>
  <c r="O926" i="5"/>
  <c r="Q926" i="5"/>
  <c r="O927" i="5"/>
  <c r="Q927" i="5"/>
  <c r="O928" i="5"/>
  <c r="Q928" i="5"/>
  <c r="O929" i="5"/>
  <c r="Q929" i="5"/>
  <c r="O930" i="5"/>
  <c r="Q930" i="5"/>
  <c r="O931" i="5"/>
  <c r="Q931" i="5"/>
  <c r="O932" i="5"/>
  <c r="Q932" i="5"/>
  <c r="O933" i="5"/>
  <c r="Q933" i="5"/>
  <c r="O934" i="5"/>
  <c r="Q934" i="5"/>
  <c r="O935" i="5"/>
  <c r="Q935" i="5"/>
  <c r="O936" i="5"/>
  <c r="Q936" i="5"/>
  <c r="O937" i="5"/>
  <c r="Q937" i="5"/>
  <c r="O938" i="5"/>
  <c r="Q938" i="5"/>
  <c r="O939" i="5"/>
  <c r="Q939" i="5"/>
  <c r="O940" i="5"/>
  <c r="Q940" i="5"/>
  <c r="O941" i="5"/>
  <c r="Q941" i="5"/>
  <c r="O942" i="5"/>
  <c r="Q942" i="5"/>
  <c r="O943" i="5"/>
  <c r="Q943" i="5"/>
  <c r="O944" i="5"/>
  <c r="Q944" i="5"/>
  <c r="O945" i="5"/>
  <c r="Q945" i="5"/>
  <c r="O946" i="5"/>
  <c r="Q946" i="5"/>
  <c r="O947" i="5"/>
  <c r="Q947" i="5"/>
  <c r="O948" i="5"/>
  <c r="Q948" i="5"/>
  <c r="O949" i="5"/>
  <c r="Q949" i="5"/>
  <c r="O950" i="5"/>
  <c r="Q950" i="5"/>
  <c r="O951" i="5"/>
  <c r="Q951" i="5"/>
  <c r="O952" i="5"/>
  <c r="Q952" i="5"/>
  <c r="O953" i="5"/>
  <c r="Q953" i="5"/>
  <c r="O954" i="5"/>
  <c r="Q954" i="5"/>
  <c r="O955" i="5"/>
  <c r="Q955" i="5"/>
  <c r="O956" i="5"/>
  <c r="Q956" i="5"/>
  <c r="O957" i="5"/>
  <c r="Q957" i="5"/>
  <c r="O958" i="5"/>
  <c r="Q958" i="5"/>
  <c r="O959" i="5"/>
  <c r="Q959" i="5"/>
  <c r="O960" i="5"/>
  <c r="Q960" i="5"/>
  <c r="O961" i="5"/>
  <c r="Q961" i="5"/>
  <c r="O962" i="5"/>
  <c r="Q962" i="5"/>
  <c r="O963" i="5"/>
  <c r="Q963" i="5"/>
  <c r="O964" i="5"/>
  <c r="Q964" i="5"/>
  <c r="O965" i="5"/>
  <c r="Q965" i="5"/>
  <c r="O966" i="5"/>
  <c r="Q966" i="5"/>
  <c r="O967" i="5"/>
  <c r="Q967" i="5"/>
  <c r="O968" i="5"/>
  <c r="Q968" i="5"/>
  <c r="O969" i="5"/>
  <c r="Q969" i="5"/>
  <c r="O970" i="5"/>
  <c r="Q970" i="5"/>
  <c r="O971" i="5"/>
  <c r="Q971" i="5"/>
  <c r="O972" i="5"/>
  <c r="Q972" i="5"/>
  <c r="O973" i="5"/>
  <c r="Q973" i="5"/>
  <c r="O974" i="5"/>
  <c r="Q974" i="5"/>
  <c r="O975" i="5"/>
  <c r="Q975" i="5"/>
  <c r="O976" i="5"/>
  <c r="Q976" i="5"/>
  <c r="O977" i="5"/>
  <c r="Q977" i="5"/>
  <c r="O978" i="5"/>
  <c r="Q978" i="5"/>
  <c r="O979" i="5"/>
  <c r="Q979" i="5"/>
  <c r="O980" i="5"/>
  <c r="Q980" i="5"/>
  <c r="O981" i="5"/>
  <c r="Q981" i="5"/>
  <c r="O982" i="5"/>
  <c r="Q982" i="5"/>
  <c r="O983" i="5"/>
  <c r="Q983" i="5"/>
  <c r="O984" i="5"/>
  <c r="Q984" i="5"/>
  <c r="O985" i="5"/>
  <c r="Q985" i="5"/>
  <c r="O986" i="5"/>
  <c r="Q986" i="5"/>
  <c r="O987" i="5"/>
  <c r="Q987" i="5"/>
  <c r="O988" i="5"/>
  <c r="Q988" i="5"/>
  <c r="O989" i="5"/>
  <c r="Q989" i="5"/>
  <c r="O990" i="5"/>
  <c r="Q990" i="5"/>
  <c r="O991" i="5"/>
  <c r="Q991" i="5"/>
  <c r="O992" i="5"/>
  <c r="Q992" i="5"/>
  <c r="O993" i="5"/>
  <c r="Q993" i="5"/>
  <c r="O994" i="5"/>
  <c r="Q994" i="5"/>
  <c r="O995" i="5"/>
  <c r="Q995" i="5"/>
  <c r="O996" i="5"/>
  <c r="Q996" i="5"/>
  <c r="O997" i="5"/>
  <c r="Q997" i="5"/>
  <c r="O998" i="5"/>
  <c r="Q998" i="5"/>
  <c r="O999" i="5"/>
  <c r="Q999" i="5"/>
  <c r="O1002" i="5"/>
  <c r="Q1002" i="5"/>
  <c r="O1003" i="5"/>
  <c r="Q1003" i="5"/>
  <c r="O1004" i="5"/>
  <c r="Q1004" i="5"/>
  <c r="O1005" i="5"/>
  <c r="Q1005" i="5"/>
  <c r="O1006" i="5"/>
  <c r="Q1006" i="5"/>
  <c r="O1007" i="5"/>
  <c r="Q1007" i="5"/>
  <c r="O1008" i="5"/>
  <c r="Q1008" i="5"/>
  <c r="O1009" i="5"/>
  <c r="Q1009" i="5"/>
  <c r="O1010" i="5"/>
  <c r="Q1010" i="5"/>
  <c r="O1011" i="5"/>
  <c r="Q1011" i="5"/>
  <c r="O1012" i="5"/>
  <c r="Q1012" i="5"/>
  <c r="O1013" i="5"/>
  <c r="Q1013" i="5"/>
  <c r="O1014" i="5"/>
  <c r="Q1014" i="5"/>
  <c r="O1015" i="5"/>
  <c r="Q1015" i="5"/>
  <c r="O1016" i="5"/>
  <c r="Q1016" i="5"/>
  <c r="O1017" i="5"/>
  <c r="Q1017" i="5"/>
  <c r="O1018" i="5"/>
  <c r="Q1018" i="5"/>
  <c r="O1019" i="5"/>
  <c r="Q1019" i="5"/>
  <c r="O1020" i="5"/>
  <c r="Q1020" i="5"/>
  <c r="O1021" i="5"/>
  <c r="Q1021" i="5"/>
  <c r="O1022" i="5"/>
  <c r="Q1022" i="5"/>
  <c r="O1023" i="5"/>
  <c r="Q1023" i="5"/>
  <c r="O1024" i="5"/>
  <c r="Q1024" i="5"/>
  <c r="O1025" i="5"/>
  <c r="Q1025" i="5"/>
  <c r="O1026" i="5"/>
  <c r="Q1026" i="5"/>
  <c r="O1027" i="5"/>
  <c r="Q1027" i="5"/>
  <c r="O1028" i="5"/>
  <c r="Q1028" i="5"/>
  <c r="O1029" i="5"/>
  <c r="Q1029" i="5"/>
  <c r="O1030" i="5"/>
  <c r="Q1030" i="5"/>
  <c r="O1031" i="5"/>
  <c r="Q1031" i="5"/>
  <c r="O1032" i="5"/>
  <c r="Q1032" i="5"/>
  <c r="O1033" i="5"/>
  <c r="Q1033" i="5"/>
  <c r="O1034" i="5"/>
  <c r="Q1034" i="5"/>
  <c r="O1035" i="5"/>
  <c r="Q1035" i="5"/>
  <c r="O1036" i="5"/>
  <c r="Q1036" i="5"/>
  <c r="O1037" i="5"/>
  <c r="Q1037" i="5"/>
  <c r="O1038" i="5"/>
  <c r="Q1038" i="5"/>
  <c r="O1039" i="5"/>
  <c r="Q1039" i="5"/>
  <c r="O1040" i="5"/>
  <c r="Q1040" i="5"/>
  <c r="O1041" i="5"/>
  <c r="Q1041" i="5"/>
  <c r="O1042" i="5"/>
  <c r="Q1042" i="5"/>
  <c r="O1043" i="5"/>
  <c r="Q1043" i="5"/>
  <c r="O1044" i="5"/>
  <c r="Q1044" i="5"/>
  <c r="O1045" i="5"/>
  <c r="Q1045" i="5"/>
  <c r="O1046" i="5"/>
  <c r="Q1046" i="5"/>
  <c r="O1047" i="5"/>
  <c r="Q1047" i="5"/>
  <c r="O1048" i="5"/>
  <c r="Q1048" i="5"/>
  <c r="O1049" i="5"/>
  <c r="Q1049" i="5"/>
  <c r="O1050" i="5"/>
  <c r="Q1050" i="5"/>
  <c r="O1051" i="5"/>
  <c r="Q1051" i="5"/>
  <c r="O1052" i="5"/>
  <c r="Q1052" i="5"/>
  <c r="O1053" i="5"/>
  <c r="Q1053" i="5"/>
  <c r="O1054" i="5"/>
  <c r="Q1054" i="5"/>
  <c r="O1055" i="5"/>
  <c r="Q1055" i="5"/>
  <c r="O1056" i="5"/>
  <c r="Q1056" i="5"/>
  <c r="O1057" i="5"/>
  <c r="Q1057" i="5"/>
  <c r="O1058" i="5"/>
  <c r="Q1058" i="5"/>
  <c r="O1059" i="5"/>
  <c r="Q1059" i="5"/>
  <c r="O1060" i="5"/>
  <c r="Q1060" i="5"/>
  <c r="O1061" i="5"/>
  <c r="Q1061" i="5"/>
  <c r="O1062" i="5"/>
  <c r="Q1062" i="5"/>
  <c r="O1063" i="5"/>
  <c r="Q1063" i="5"/>
  <c r="O1064" i="5"/>
  <c r="Q1064" i="5"/>
  <c r="O1065" i="5"/>
  <c r="Q1065" i="5"/>
  <c r="O1066" i="5"/>
  <c r="Q1066" i="5"/>
  <c r="O1067" i="5"/>
  <c r="Q1067" i="5"/>
  <c r="O1068" i="5"/>
  <c r="Q1068" i="5"/>
  <c r="O1069" i="5"/>
  <c r="Q1069" i="5"/>
  <c r="O1070" i="5"/>
  <c r="Q1070" i="5"/>
  <c r="O1071" i="5"/>
  <c r="Q1071" i="5"/>
  <c r="O1072" i="5"/>
  <c r="Q1072" i="5"/>
  <c r="O1073" i="5"/>
  <c r="Q1073" i="5"/>
  <c r="O1074" i="5"/>
  <c r="Q1074" i="5"/>
  <c r="O1075" i="5"/>
  <c r="Q1075" i="5"/>
  <c r="O1076" i="5"/>
  <c r="Q1076" i="5"/>
  <c r="O1077" i="5"/>
  <c r="Q1077" i="5"/>
  <c r="O1078" i="5"/>
  <c r="Q1078" i="5"/>
  <c r="O1079" i="5"/>
  <c r="Q1079" i="5"/>
  <c r="O1080" i="5"/>
  <c r="Q1080" i="5"/>
  <c r="O1081" i="5"/>
  <c r="Q1081" i="5"/>
  <c r="O1082" i="5"/>
  <c r="Q1082" i="5"/>
  <c r="O1083" i="5"/>
  <c r="Q1083" i="5"/>
  <c r="O1084" i="5"/>
  <c r="Q1084" i="5"/>
  <c r="O1085" i="5"/>
  <c r="Q1085" i="5"/>
  <c r="O1086" i="5"/>
  <c r="Q1086" i="5"/>
  <c r="O1087" i="5"/>
  <c r="Q1087" i="5"/>
  <c r="O1088" i="5"/>
  <c r="Q1088" i="5"/>
  <c r="O1089" i="5"/>
  <c r="Q1089" i="5"/>
  <c r="O1090" i="5"/>
  <c r="Q1090" i="5"/>
  <c r="O1091" i="5"/>
  <c r="Q1091" i="5"/>
  <c r="O1092" i="5"/>
  <c r="Q1092" i="5"/>
  <c r="O1093" i="5"/>
  <c r="Q1093" i="5"/>
  <c r="O1094" i="5"/>
  <c r="Q1094" i="5"/>
  <c r="O1095" i="5"/>
  <c r="Q1095" i="5"/>
  <c r="O1096" i="5"/>
  <c r="Q1096" i="5"/>
  <c r="O1097" i="5"/>
  <c r="Q1097" i="5"/>
  <c r="O1098" i="5"/>
  <c r="Q1098" i="5"/>
  <c r="O1099" i="5"/>
  <c r="Q1099" i="5"/>
  <c r="O1100" i="5"/>
  <c r="Q1100" i="5"/>
  <c r="O1101" i="5"/>
  <c r="Q1101" i="5"/>
  <c r="O1102" i="5"/>
  <c r="Q1102" i="5"/>
  <c r="O1103" i="5"/>
  <c r="Q1103" i="5"/>
  <c r="O1104" i="5"/>
  <c r="Q1104" i="5"/>
  <c r="O1105" i="5"/>
  <c r="Q1105" i="5"/>
  <c r="O1106" i="5"/>
  <c r="Q1106" i="5"/>
  <c r="O1107" i="5"/>
  <c r="Q1107" i="5"/>
  <c r="O1108" i="5"/>
  <c r="Q1108" i="5"/>
  <c r="O1109" i="5"/>
  <c r="Q1109" i="5"/>
  <c r="O1110" i="5"/>
  <c r="Q1110" i="5"/>
  <c r="O1111" i="5"/>
  <c r="Q1111" i="5"/>
  <c r="O1112" i="5"/>
  <c r="Q1112" i="5"/>
  <c r="O1113" i="5"/>
  <c r="Q1113" i="5"/>
  <c r="O1114" i="5"/>
  <c r="Q1114" i="5"/>
  <c r="O1115" i="5"/>
  <c r="Q1115" i="5"/>
  <c r="O1116" i="5"/>
  <c r="Q1116" i="5"/>
  <c r="O1117" i="5"/>
  <c r="Q1117" i="5"/>
  <c r="O1118" i="5"/>
  <c r="Q1118" i="5"/>
  <c r="O1119" i="5"/>
  <c r="Q1119" i="5"/>
  <c r="O1120" i="5"/>
  <c r="Q1120" i="5"/>
  <c r="O1121" i="5"/>
  <c r="Q1121" i="5"/>
  <c r="O1122" i="5"/>
  <c r="Q1122" i="5"/>
  <c r="O1123" i="5"/>
  <c r="Q1123" i="5"/>
  <c r="O1124" i="5"/>
  <c r="Q1124" i="5"/>
  <c r="O1125" i="5"/>
  <c r="Q1125" i="5"/>
  <c r="O1126" i="5"/>
  <c r="Q1126" i="5"/>
  <c r="O1127" i="5"/>
  <c r="Q1127" i="5"/>
  <c r="O1128" i="5"/>
  <c r="Q1128" i="5"/>
  <c r="O1129" i="5"/>
  <c r="Q1129" i="5"/>
  <c r="O1130" i="5"/>
  <c r="Q1130" i="5"/>
  <c r="O1131" i="5"/>
  <c r="Q1131" i="5"/>
  <c r="O1132" i="5"/>
  <c r="Q1132" i="5"/>
  <c r="O1133" i="5"/>
  <c r="Q1133" i="5"/>
  <c r="O1134" i="5"/>
  <c r="Q1134" i="5"/>
  <c r="O1135" i="5"/>
  <c r="Q1135" i="5"/>
  <c r="O1136" i="5"/>
  <c r="Q1136" i="5"/>
  <c r="O1137" i="5"/>
  <c r="Q1137" i="5"/>
  <c r="O1138" i="5"/>
  <c r="Q1138" i="5"/>
  <c r="O1139" i="5"/>
  <c r="Q1139" i="5"/>
  <c r="O1140" i="5"/>
  <c r="Q1140" i="5"/>
  <c r="O1141" i="5"/>
  <c r="Q1141" i="5"/>
  <c r="O1142" i="5"/>
  <c r="Q1142" i="5"/>
  <c r="O1143" i="5"/>
  <c r="Q1143" i="5"/>
  <c r="O1144" i="5"/>
  <c r="Q1144" i="5"/>
  <c r="O1145" i="5"/>
  <c r="Q1145" i="5"/>
  <c r="O1146" i="5"/>
  <c r="Q1146" i="5"/>
  <c r="O1147" i="5"/>
  <c r="Q1147" i="5"/>
  <c r="O1148" i="5"/>
  <c r="Q1148" i="5"/>
  <c r="O1149" i="5"/>
  <c r="Q1149" i="5"/>
  <c r="O1150" i="5"/>
  <c r="Q1150" i="5"/>
  <c r="O1151" i="5"/>
  <c r="Q1151" i="5"/>
  <c r="O1152" i="5"/>
  <c r="Q1152" i="5"/>
  <c r="O1153" i="5"/>
  <c r="Q1153" i="5"/>
  <c r="O1154" i="5"/>
  <c r="Q1154" i="5"/>
  <c r="O1155" i="5"/>
  <c r="Q1155" i="5"/>
  <c r="O1156" i="5"/>
  <c r="Q1156" i="5"/>
  <c r="O1157" i="5"/>
  <c r="Q1157" i="5"/>
  <c r="O1158" i="5"/>
  <c r="Q1158" i="5"/>
  <c r="O1159" i="5"/>
  <c r="Q1159" i="5"/>
  <c r="O1160" i="5"/>
  <c r="Q1160" i="5"/>
  <c r="O1161" i="5"/>
  <c r="Q1161" i="5"/>
  <c r="O1162" i="5"/>
  <c r="Q1162" i="5"/>
  <c r="O1163" i="5"/>
  <c r="Q1163" i="5"/>
  <c r="O1164" i="5"/>
  <c r="Q1164" i="5"/>
  <c r="O1165" i="5"/>
  <c r="Q1165" i="5"/>
  <c r="O1166" i="5"/>
  <c r="Q1166" i="5"/>
  <c r="O1167" i="5"/>
  <c r="Q1167" i="5"/>
  <c r="O1168" i="5"/>
  <c r="Q1168" i="5"/>
  <c r="O1169" i="5"/>
  <c r="Q1169" i="5"/>
  <c r="O1170" i="5"/>
  <c r="Q1170" i="5"/>
  <c r="O1171" i="5"/>
  <c r="Q1171" i="5"/>
  <c r="O1172" i="5"/>
  <c r="Q1172" i="5"/>
  <c r="O1173" i="5"/>
  <c r="Q1173" i="5"/>
  <c r="O1174" i="5"/>
  <c r="Q1174" i="5"/>
  <c r="O1175" i="5"/>
  <c r="Q1175" i="5"/>
  <c r="B1611" i="9" l="1"/>
  <c r="A1623" i="9"/>
  <c r="A1665" i="9"/>
  <c r="B1653" i="9"/>
  <c r="B1649" i="9"/>
  <c r="A1661" i="9"/>
  <c r="A1644" i="9"/>
  <c r="B1632" i="9"/>
  <c r="A1636" i="9"/>
  <c r="B1624" i="9"/>
  <c r="B1628" i="9"/>
  <c r="A1640" i="9"/>
  <c r="A1627" i="9"/>
  <c r="B1615" i="9"/>
  <c r="B1619" i="9"/>
  <c r="A1631" i="9"/>
  <c r="B1495" i="9"/>
  <c r="A1507" i="9"/>
  <c r="B1504" i="9"/>
  <c r="A1516" i="9"/>
  <c r="A1522" i="9"/>
  <c r="B1510" i="9"/>
  <c r="B1533" i="9"/>
  <c r="A1545" i="9"/>
  <c r="A1514" i="9"/>
  <c r="B1502" i="9"/>
  <c r="B1499" i="9"/>
  <c r="A1511" i="9"/>
  <c r="B1491" i="9"/>
  <c r="A1503" i="9"/>
  <c r="B1529" i="9"/>
  <c r="A1541" i="9"/>
  <c r="B1508" i="9"/>
  <c r="A1520" i="9"/>
  <c r="B1512" i="9"/>
  <c r="A1524" i="9"/>
  <c r="A1518" i="9"/>
  <c r="B1506" i="9"/>
  <c r="B1382" i="9"/>
  <c r="A1394" i="9"/>
  <c r="B1407" i="9"/>
  <c r="A1419" i="9"/>
  <c r="B1415" i="9"/>
  <c r="A1427" i="9"/>
  <c r="B1411" i="9"/>
  <c r="A1423" i="9"/>
  <c r="B1384" i="9"/>
  <c r="A1396" i="9"/>
  <c r="B1401" i="9"/>
  <c r="A1413" i="9"/>
  <c r="A1409" i="9"/>
  <c r="B1397" i="9"/>
  <c r="B1392" i="9"/>
  <c r="A1404" i="9"/>
  <c r="B1390" i="9"/>
  <c r="A1402" i="9"/>
  <c r="B1388" i="9"/>
  <c r="A1400" i="9"/>
  <c r="B1386" i="9"/>
  <c r="A1398" i="9"/>
  <c r="B1268" i="9"/>
  <c r="A1280" i="9"/>
  <c r="B1270" i="9"/>
  <c r="A1282" i="9"/>
  <c r="B1255" i="9"/>
  <c r="A1267" i="9"/>
  <c r="A1289" i="9"/>
  <c r="B1277" i="9"/>
  <c r="B1251" i="9"/>
  <c r="A1263" i="9"/>
  <c r="B1266" i="9"/>
  <c r="A1278" i="9"/>
  <c r="B1262" i="9"/>
  <c r="A1274" i="9"/>
  <c r="B1259" i="9"/>
  <c r="A1271" i="9"/>
  <c r="B1281" i="9"/>
  <c r="A1293" i="9"/>
  <c r="B1272" i="9"/>
  <c r="A1284" i="9"/>
  <c r="B1264" i="9"/>
  <c r="A1276" i="9"/>
  <c r="A1156" i="9"/>
  <c r="B1144" i="9"/>
  <c r="B1131" i="9"/>
  <c r="A1143" i="9"/>
  <c r="A1138" i="9"/>
  <c r="B1126" i="9"/>
  <c r="A1185" i="9"/>
  <c r="B1173" i="9"/>
  <c r="A1147" i="9"/>
  <c r="B1135" i="9"/>
  <c r="B1139" i="9"/>
  <c r="A1151" i="9"/>
  <c r="A1130" i="9"/>
  <c r="B1118" i="9"/>
  <c r="B1148" i="9"/>
  <c r="A1160" i="9"/>
  <c r="A1134" i="9"/>
  <c r="B1122" i="9"/>
  <c r="A1152" i="9"/>
  <c r="B1140" i="9"/>
  <c r="A1181" i="9"/>
  <c r="B1169" i="9"/>
  <c r="B989" i="9"/>
  <c r="A1001" i="9"/>
  <c r="B1004" i="9"/>
  <c r="A1016" i="9"/>
  <c r="A1015" i="9"/>
  <c r="B1003" i="9"/>
  <c r="A1011" i="9"/>
  <c r="B999" i="9"/>
  <c r="A1020" i="9"/>
  <c r="B1008" i="9"/>
  <c r="A1002" i="9"/>
  <c r="B990" i="9"/>
  <c r="A1006" i="9"/>
  <c r="B994" i="9"/>
  <c r="A1019" i="9"/>
  <c r="B1007" i="9"/>
  <c r="B1000" i="9"/>
  <c r="A1012" i="9"/>
  <c r="B993" i="9"/>
  <c r="A1005" i="9"/>
  <c r="A998" i="9"/>
  <c r="B986" i="9"/>
  <c r="B871" i="9"/>
  <c r="A883" i="9"/>
  <c r="B876" i="9"/>
  <c r="A888" i="9"/>
  <c r="B867" i="9"/>
  <c r="A879" i="9"/>
  <c r="A898" i="9"/>
  <c r="B886" i="9"/>
  <c r="A869" i="9"/>
  <c r="B857" i="9"/>
  <c r="B868" i="9"/>
  <c r="A880" i="9"/>
  <c r="B875" i="9"/>
  <c r="A887" i="9"/>
  <c r="A890" i="9"/>
  <c r="B878" i="9"/>
  <c r="B872" i="9"/>
  <c r="A884" i="9"/>
  <c r="A894" i="9"/>
  <c r="B882" i="9"/>
  <c r="A873" i="9"/>
  <c r="B861" i="9"/>
  <c r="A742" i="9"/>
  <c r="B730" i="9"/>
  <c r="A743" i="9"/>
  <c r="B731" i="9"/>
  <c r="B744" i="9"/>
  <c r="A756" i="9"/>
  <c r="A752" i="9"/>
  <c r="B740" i="9"/>
  <c r="B722" i="9"/>
  <c r="A734" i="9"/>
  <c r="B736" i="9"/>
  <c r="A748" i="9"/>
  <c r="B749" i="9"/>
  <c r="A761" i="9"/>
  <c r="B723" i="9"/>
  <c r="A735" i="9"/>
  <c r="B753" i="9"/>
  <c r="A765" i="9"/>
  <c r="A738" i="9"/>
  <c r="B726" i="9"/>
  <c r="A739" i="9"/>
  <c r="B727" i="9"/>
  <c r="B614" i="9"/>
  <c r="A626" i="9"/>
  <c r="A616" i="9"/>
  <c r="B604" i="9"/>
  <c r="B622" i="9"/>
  <c r="A634" i="9"/>
  <c r="A633" i="9"/>
  <c r="B621" i="9"/>
  <c r="B595" i="9"/>
  <c r="A607" i="9"/>
  <c r="B617" i="9"/>
  <c r="A629" i="9"/>
  <c r="B618" i="9"/>
  <c r="A630" i="9"/>
  <c r="B599" i="9"/>
  <c r="A611" i="9"/>
  <c r="B591" i="9"/>
  <c r="A603" i="9"/>
  <c r="A624" i="9"/>
  <c r="B612" i="9"/>
  <c r="A620" i="9"/>
  <c r="B608" i="9"/>
  <c r="A498" i="9"/>
  <c r="B486" i="9"/>
  <c r="B488" i="9"/>
  <c r="A500" i="9"/>
  <c r="B479" i="9"/>
  <c r="A491" i="9"/>
  <c r="B492" i="9"/>
  <c r="A504" i="9"/>
  <c r="B471" i="9"/>
  <c r="A483" i="9"/>
  <c r="A473" i="9"/>
  <c r="B461" i="9"/>
  <c r="A502" i="9"/>
  <c r="B490" i="9"/>
  <c r="B482" i="9"/>
  <c r="A494" i="9"/>
  <c r="B484" i="9"/>
  <c r="A496" i="9"/>
  <c r="B475" i="9"/>
  <c r="A487" i="9"/>
  <c r="A477" i="9"/>
  <c r="B465" i="9"/>
  <c r="B352" i="9"/>
  <c r="A364" i="9"/>
  <c r="A359" i="9"/>
  <c r="B347" i="9"/>
  <c r="B381" i="9"/>
  <c r="A393" i="9"/>
  <c r="B344" i="9"/>
  <c r="A356" i="9"/>
  <c r="B342" i="9"/>
  <c r="A354" i="9"/>
  <c r="B343" i="9"/>
  <c r="A355" i="9"/>
  <c r="B377" i="9"/>
  <c r="A389" i="9"/>
  <c r="A351" i="9"/>
  <c r="B339" i="9"/>
  <c r="B360" i="9"/>
  <c r="A372" i="9"/>
  <c r="A350" i="9"/>
  <c r="B338" i="9"/>
  <c r="B346" i="9"/>
  <c r="A358" i="9"/>
  <c r="A215" i="9"/>
  <c r="B203" i="9"/>
  <c r="B216" i="9"/>
  <c r="A228" i="9"/>
  <c r="B208" i="9"/>
  <c r="A220" i="9"/>
  <c r="B198" i="9"/>
  <c r="A210" i="9"/>
  <c r="A214" i="9"/>
  <c r="B202" i="9"/>
  <c r="B225" i="9"/>
  <c r="A237" i="9"/>
  <c r="A206" i="9"/>
  <c r="B194" i="9"/>
  <c r="B199" i="9"/>
  <c r="A211" i="9"/>
  <c r="B212" i="9"/>
  <c r="A224" i="9"/>
  <c r="B221" i="9"/>
  <c r="A233" i="9"/>
  <c r="A207" i="9"/>
  <c r="B195" i="9"/>
  <c r="A1635" i="9" l="1"/>
  <c r="B1623" i="9"/>
  <c r="A1656" i="9"/>
  <c r="B1644" i="9"/>
  <c r="B1661" i="9"/>
  <c r="A1673" i="9"/>
  <c r="B1673" i="9" s="1"/>
  <c r="A1639" i="9"/>
  <c r="B1627" i="9"/>
  <c r="B1636" i="9"/>
  <c r="A1648" i="9"/>
  <c r="A1652" i="9"/>
  <c r="B1640" i="9"/>
  <c r="A1643" i="9"/>
  <c r="B1631" i="9"/>
  <c r="B1665" i="9"/>
  <c r="A1677" i="9"/>
  <c r="B1677" i="9" s="1"/>
  <c r="B1541" i="9"/>
  <c r="A1553" i="9"/>
  <c r="B1553" i="9" s="1"/>
  <c r="B1545" i="9"/>
  <c r="A1557" i="9"/>
  <c r="B1557" i="9" s="1"/>
  <c r="B1503" i="9"/>
  <c r="A1515" i="9"/>
  <c r="B1518" i="9"/>
  <c r="A1530" i="9"/>
  <c r="B1522" i="9"/>
  <c r="A1534" i="9"/>
  <c r="B1524" i="9"/>
  <c r="A1536" i="9"/>
  <c r="B1511" i="9"/>
  <c r="A1523" i="9"/>
  <c r="B1516" i="9"/>
  <c r="A1528" i="9"/>
  <c r="B1520" i="9"/>
  <c r="A1532" i="9"/>
  <c r="B1507" i="9"/>
  <c r="A1519" i="9"/>
  <c r="B1514" i="9"/>
  <c r="A1526" i="9"/>
  <c r="B1427" i="9"/>
  <c r="A1439" i="9"/>
  <c r="B1439" i="9" s="1"/>
  <c r="B1409" i="9"/>
  <c r="A1421" i="9"/>
  <c r="B1404" i="9"/>
  <c r="A1416" i="9"/>
  <c r="B1423" i="9"/>
  <c r="A1435" i="9"/>
  <c r="B1435" i="9" s="1"/>
  <c r="B1398" i="9"/>
  <c r="A1410" i="9"/>
  <c r="A1412" i="9"/>
  <c r="B1400" i="9"/>
  <c r="B1413" i="9"/>
  <c r="A1425" i="9"/>
  <c r="A1431" i="9"/>
  <c r="B1431" i="9" s="1"/>
  <c r="B1419" i="9"/>
  <c r="B1402" i="9"/>
  <c r="A1414" i="9"/>
  <c r="B1396" i="9"/>
  <c r="A1408" i="9"/>
  <c r="A1406" i="9"/>
  <c r="B1394" i="9"/>
  <c r="B1289" i="9"/>
  <c r="A1301" i="9"/>
  <c r="A1283" i="9"/>
  <c r="B1271" i="9"/>
  <c r="B1284" i="9"/>
  <c r="A1296" i="9"/>
  <c r="B1278" i="9"/>
  <c r="A1290" i="9"/>
  <c r="B1282" i="9"/>
  <c r="A1294" i="9"/>
  <c r="B1276" i="9"/>
  <c r="A1288" i="9"/>
  <c r="A1279" i="9"/>
  <c r="B1267" i="9"/>
  <c r="B1293" i="9"/>
  <c r="A1305" i="9"/>
  <c r="A1275" i="9"/>
  <c r="B1263" i="9"/>
  <c r="B1280" i="9"/>
  <c r="A1292" i="9"/>
  <c r="B1274" i="9"/>
  <c r="A1286" i="9"/>
  <c r="A1146" i="9"/>
  <c r="B1134" i="9"/>
  <c r="A1159" i="9"/>
  <c r="B1147" i="9"/>
  <c r="A1168" i="9"/>
  <c r="B1156" i="9"/>
  <c r="B1160" i="9"/>
  <c r="A1172" i="9"/>
  <c r="A1193" i="9"/>
  <c r="B1193" i="9" s="1"/>
  <c r="B1181" i="9"/>
  <c r="B1130" i="9"/>
  <c r="A1142" i="9"/>
  <c r="A1150" i="9"/>
  <c r="B1138" i="9"/>
  <c r="B1185" i="9"/>
  <c r="A1197" i="9"/>
  <c r="B1197" i="9" s="1"/>
  <c r="A1163" i="9"/>
  <c r="B1151" i="9"/>
  <c r="A1155" i="9"/>
  <c r="B1143" i="9"/>
  <c r="A1164" i="9"/>
  <c r="B1152" i="9"/>
  <c r="A1023" i="9"/>
  <c r="B1011" i="9"/>
  <c r="B998" i="9"/>
  <c r="A1010" i="9"/>
  <c r="B1006" i="9"/>
  <c r="A1018" i="9"/>
  <c r="A1027" i="9"/>
  <c r="B1015" i="9"/>
  <c r="A1031" i="9"/>
  <c r="B1019" i="9"/>
  <c r="B1005" i="9"/>
  <c r="A1017" i="9"/>
  <c r="B1016" i="9"/>
  <c r="A1028" i="9"/>
  <c r="B1012" i="9"/>
  <c r="A1024" i="9"/>
  <c r="B1001" i="9"/>
  <c r="A1013" i="9"/>
  <c r="B1002" i="9"/>
  <c r="A1014" i="9"/>
  <c r="B1020" i="9"/>
  <c r="A1032" i="9"/>
  <c r="B883" i="9"/>
  <c r="A895" i="9"/>
  <c r="B869" i="9"/>
  <c r="A881" i="9"/>
  <c r="B884" i="9"/>
  <c r="A896" i="9"/>
  <c r="B890" i="9"/>
  <c r="A902" i="9"/>
  <c r="B887" i="9"/>
  <c r="A899" i="9"/>
  <c r="B879" i="9"/>
  <c r="A891" i="9"/>
  <c r="B873" i="9"/>
  <c r="A885" i="9"/>
  <c r="B898" i="9"/>
  <c r="A910" i="9"/>
  <c r="B880" i="9"/>
  <c r="A892" i="9"/>
  <c r="B888" i="9"/>
  <c r="A900" i="9"/>
  <c r="B894" i="9"/>
  <c r="A906" i="9"/>
  <c r="A764" i="9"/>
  <c r="B752" i="9"/>
  <c r="A747" i="9"/>
  <c r="B735" i="9"/>
  <c r="A773" i="9"/>
  <c r="B761" i="9"/>
  <c r="B756" i="9"/>
  <c r="A768" i="9"/>
  <c r="A751" i="9"/>
  <c r="B739" i="9"/>
  <c r="A760" i="9"/>
  <c r="B748" i="9"/>
  <c r="B738" i="9"/>
  <c r="A750" i="9"/>
  <c r="A755" i="9"/>
  <c r="B743" i="9"/>
  <c r="B765" i="9"/>
  <c r="A777" i="9"/>
  <c r="B734" i="9"/>
  <c r="A746" i="9"/>
  <c r="B742" i="9"/>
  <c r="A754" i="9"/>
  <c r="A623" i="9"/>
  <c r="B611" i="9"/>
  <c r="A645" i="9"/>
  <c r="B633" i="9"/>
  <c r="B630" i="9"/>
  <c r="A642" i="9"/>
  <c r="B634" i="9"/>
  <c r="A646" i="9"/>
  <c r="B620" i="9"/>
  <c r="A632" i="9"/>
  <c r="A641" i="9"/>
  <c r="B629" i="9"/>
  <c r="B616" i="9"/>
  <c r="A628" i="9"/>
  <c r="B624" i="9"/>
  <c r="A636" i="9"/>
  <c r="A615" i="9"/>
  <c r="B603" i="9"/>
  <c r="A619" i="9"/>
  <c r="B607" i="9"/>
  <c r="B626" i="9"/>
  <c r="A638" i="9"/>
  <c r="B491" i="9"/>
  <c r="A503" i="9"/>
  <c r="B494" i="9"/>
  <c r="A506" i="9"/>
  <c r="B504" i="9"/>
  <c r="A516" i="9"/>
  <c r="B477" i="9"/>
  <c r="A489" i="9"/>
  <c r="B502" i="9"/>
  <c r="A514" i="9"/>
  <c r="B487" i="9"/>
  <c r="A499" i="9"/>
  <c r="B500" i="9"/>
  <c r="A512" i="9"/>
  <c r="B496" i="9"/>
  <c r="A508" i="9"/>
  <c r="A495" i="9"/>
  <c r="B483" i="9"/>
  <c r="B473" i="9"/>
  <c r="A485" i="9"/>
  <c r="B498" i="9"/>
  <c r="A510" i="9"/>
  <c r="A366" i="9"/>
  <c r="B354" i="9"/>
  <c r="A376" i="9"/>
  <c r="B364" i="9"/>
  <c r="B356" i="9"/>
  <c r="A368" i="9"/>
  <c r="A384" i="9"/>
  <c r="B372" i="9"/>
  <c r="A363" i="9"/>
  <c r="B351" i="9"/>
  <c r="A401" i="9"/>
  <c r="B401" i="9" s="1"/>
  <c r="B389" i="9"/>
  <c r="B355" i="9"/>
  <c r="A367" i="9"/>
  <c r="A370" i="9"/>
  <c r="B358" i="9"/>
  <c r="A405" i="9"/>
  <c r="B405" i="9" s="1"/>
  <c r="B393" i="9"/>
  <c r="B350" i="9"/>
  <c r="A362" i="9"/>
  <c r="A371" i="9"/>
  <c r="B359" i="9"/>
  <c r="A223" i="9"/>
  <c r="B211" i="9"/>
  <c r="B210" i="9"/>
  <c r="A222" i="9"/>
  <c r="A232" i="9"/>
  <c r="B220" i="9"/>
  <c r="A219" i="9"/>
  <c r="B207" i="9"/>
  <c r="B206" i="9"/>
  <c r="A218" i="9"/>
  <c r="B233" i="9"/>
  <c r="A245" i="9"/>
  <c r="A249" i="9"/>
  <c r="B237" i="9"/>
  <c r="B228" i="9"/>
  <c r="A240" i="9"/>
  <c r="A236" i="9"/>
  <c r="B224" i="9"/>
  <c r="B214" i="9"/>
  <c r="A226" i="9"/>
  <c r="A227" i="9"/>
  <c r="B215" i="9"/>
  <c r="A1655" i="9" l="1"/>
  <c r="B1643" i="9"/>
  <c r="A1647" i="9"/>
  <c r="B1635" i="9"/>
  <c r="A1651" i="9"/>
  <c r="B1639" i="9"/>
  <c r="B1648" i="9"/>
  <c r="A1660" i="9"/>
  <c r="A1664" i="9"/>
  <c r="B1652" i="9"/>
  <c r="B1656" i="9"/>
  <c r="A1668" i="9"/>
  <c r="B1526" i="9"/>
  <c r="A1538" i="9"/>
  <c r="A1535" i="9"/>
  <c r="B1523" i="9"/>
  <c r="A1527" i="9"/>
  <c r="B1515" i="9"/>
  <c r="B1528" i="9"/>
  <c r="A1540" i="9"/>
  <c r="A1531" i="9"/>
  <c r="B1519" i="9"/>
  <c r="B1536" i="9"/>
  <c r="A1548" i="9"/>
  <c r="B1530" i="9"/>
  <c r="A1542" i="9"/>
  <c r="B1532" i="9"/>
  <c r="A1544" i="9"/>
  <c r="B1534" i="9"/>
  <c r="A1546" i="9"/>
  <c r="B1406" i="9"/>
  <c r="A1418" i="9"/>
  <c r="A1428" i="9"/>
  <c r="B1416" i="9"/>
  <c r="A1420" i="9"/>
  <c r="B1408" i="9"/>
  <c r="B1421" i="9"/>
  <c r="A1433" i="9"/>
  <c r="B1433" i="9" s="1"/>
  <c r="A1424" i="9"/>
  <c r="B1412" i="9"/>
  <c r="A1437" i="9"/>
  <c r="B1437" i="9" s="1"/>
  <c r="B1425" i="9"/>
  <c r="B1414" i="9"/>
  <c r="A1426" i="9"/>
  <c r="B1410" i="9"/>
  <c r="A1422" i="9"/>
  <c r="A1308" i="9"/>
  <c r="B1296" i="9"/>
  <c r="A1291" i="9"/>
  <c r="B1279" i="9"/>
  <c r="B1305" i="9"/>
  <c r="A1317" i="9"/>
  <c r="B1317" i="9" s="1"/>
  <c r="B1286" i="9"/>
  <c r="A1298" i="9"/>
  <c r="A1304" i="9"/>
  <c r="B1292" i="9"/>
  <c r="A1300" i="9"/>
  <c r="B1288" i="9"/>
  <c r="A1295" i="9"/>
  <c r="B1283" i="9"/>
  <c r="B1290" i="9"/>
  <c r="A1302" i="9"/>
  <c r="B1294" i="9"/>
  <c r="A1306" i="9"/>
  <c r="B1301" i="9"/>
  <c r="A1313" i="9"/>
  <c r="B1313" i="9" s="1"/>
  <c r="A1287" i="9"/>
  <c r="B1275" i="9"/>
  <c r="A1175" i="9"/>
  <c r="B1163" i="9"/>
  <c r="B1146" i="9"/>
  <c r="A1158" i="9"/>
  <c r="A1184" i="9"/>
  <c r="B1172" i="9"/>
  <c r="A1176" i="9"/>
  <c r="B1164" i="9"/>
  <c r="B1150" i="9"/>
  <c r="A1162" i="9"/>
  <c r="A1180" i="9"/>
  <c r="B1168" i="9"/>
  <c r="B1142" i="9"/>
  <c r="A1154" i="9"/>
  <c r="B1155" i="9"/>
  <c r="A1167" i="9"/>
  <c r="A1171" i="9"/>
  <c r="B1159" i="9"/>
  <c r="A1036" i="9"/>
  <c r="B1024" i="9"/>
  <c r="B1027" i="9"/>
  <c r="A1039" i="9"/>
  <c r="A1040" i="9"/>
  <c r="B1028" i="9"/>
  <c r="A1044" i="9"/>
  <c r="B1032" i="9"/>
  <c r="B1018" i="9"/>
  <c r="A1030" i="9"/>
  <c r="B1014" i="9"/>
  <c r="A1026" i="9"/>
  <c r="B1017" i="9"/>
  <c r="A1029" i="9"/>
  <c r="B1010" i="9"/>
  <c r="A1022" i="9"/>
  <c r="B1013" i="9"/>
  <c r="A1025" i="9"/>
  <c r="B1031" i="9"/>
  <c r="A1043" i="9"/>
  <c r="B1023" i="9"/>
  <c r="A1035" i="9"/>
  <c r="B910" i="9"/>
  <c r="A922" i="9"/>
  <c r="B902" i="9"/>
  <c r="A914" i="9"/>
  <c r="B906" i="9"/>
  <c r="A918" i="9"/>
  <c r="B885" i="9"/>
  <c r="A897" i="9"/>
  <c r="B896" i="9"/>
  <c r="A908" i="9"/>
  <c r="B900" i="9"/>
  <c r="A912" i="9"/>
  <c r="A903" i="9"/>
  <c r="B891" i="9"/>
  <c r="B881" i="9"/>
  <c r="A893" i="9"/>
  <c r="B892" i="9"/>
  <c r="A904" i="9"/>
  <c r="A911" i="9"/>
  <c r="B899" i="9"/>
  <c r="A907" i="9"/>
  <c r="B895" i="9"/>
  <c r="A767" i="9"/>
  <c r="B755" i="9"/>
  <c r="B754" i="9"/>
  <c r="A766" i="9"/>
  <c r="B750" i="9"/>
  <c r="A762" i="9"/>
  <c r="A785" i="9"/>
  <c r="B773" i="9"/>
  <c r="B746" i="9"/>
  <c r="A758" i="9"/>
  <c r="A772" i="9"/>
  <c r="B760" i="9"/>
  <c r="A759" i="9"/>
  <c r="B747" i="9"/>
  <c r="B777" i="9"/>
  <c r="A789" i="9"/>
  <c r="A780" i="9"/>
  <c r="B768" i="9"/>
  <c r="A763" i="9"/>
  <c r="B751" i="9"/>
  <c r="A776" i="9"/>
  <c r="B764" i="9"/>
  <c r="A648" i="9"/>
  <c r="B636" i="9"/>
  <c r="A658" i="9"/>
  <c r="B646" i="9"/>
  <c r="A650" i="9"/>
  <c r="B638" i="9"/>
  <c r="A640" i="9"/>
  <c r="B628" i="9"/>
  <c r="A654" i="9"/>
  <c r="B642" i="9"/>
  <c r="A631" i="9"/>
  <c r="B619" i="9"/>
  <c r="B641" i="9"/>
  <c r="A653" i="9"/>
  <c r="B645" i="9"/>
  <c r="A657" i="9"/>
  <c r="A644" i="9"/>
  <c r="B632" i="9"/>
  <c r="A627" i="9"/>
  <c r="B615" i="9"/>
  <c r="A635" i="9"/>
  <c r="B623" i="9"/>
  <c r="A515" i="9"/>
  <c r="B503" i="9"/>
  <c r="B508" i="9"/>
  <c r="A520" i="9"/>
  <c r="A501" i="9"/>
  <c r="B489" i="9"/>
  <c r="B514" i="9"/>
  <c r="A526" i="9"/>
  <c r="A507" i="9"/>
  <c r="B495" i="9"/>
  <c r="A522" i="9"/>
  <c r="B510" i="9"/>
  <c r="B512" i="9"/>
  <c r="A524" i="9"/>
  <c r="B516" i="9"/>
  <c r="A528" i="9"/>
  <c r="B485" i="9"/>
  <c r="A497" i="9"/>
  <c r="A511" i="9"/>
  <c r="B499" i="9"/>
  <c r="B506" i="9"/>
  <c r="A518" i="9"/>
  <c r="B363" i="9"/>
  <c r="A375" i="9"/>
  <c r="B366" i="9"/>
  <c r="A378" i="9"/>
  <c r="B370" i="9"/>
  <c r="A382" i="9"/>
  <c r="A396" i="9"/>
  <c r="B384" i="9"/>
  <c r="B367" i="9"/>
  <c r="A379" i="9"/>
  <c r="A380" i="9"/>
  <c r="B368" i="9"/>
  <c r="B371" i="9"/>
  <c r="A383" i="9"/>
  <c r="B362" i="9"/>
  <c r="A374" i="9"/>
  <c r="A388" i="9"/>
  <c r="B376" i="9"/>
  <c r="A248" i="9"/>
  <c r="B236" i="9"/>
  <c r="A252" i="9"/>
  <c r="B240" i="9"/>
  <c r="A239" i="9"/>
  <c r="B227" i="9"/>
  <c r="A261" i="9"/>
  <c r="B249" i="9"/>
  <c r="A244" i="9"/>
  <c r="B232" i="9"/>
  <c r="B226" i="9"/>
  <c r="A238" i="9"/>
  <c r="A257" i="9"/>
  <c r="B245" i="9"/>
  <c r="B222" i="9"/>
  <c r="A234" i="9"/>
  <c r="A231" i="9"/>
  <c r="B219" i="9"/>
  <c r="B218" i="9"/>
  <c r="A230" i="9"/>
  <c r="A235" i="9"/>
  <c r="B223" i="9"/>
  <c r="A1676" i="9" l="1"/>
  <c r="B1676" i="9" s="1"/>
  <c r="B1664" i="9"/>
  <c r="A1667" i="9"/>
  <c r="B1655" i="9"/>
  <c r="A1663" i="9"/>
  <c r="B1651" i="9"/>
  <c r="A1672" i="9"/>
  <c r="B1672" i="9" s="1"/>
  <c r="B1660" i="9"/>
  <c r="A1680" i="9"/>
  <c r="B1680" i="9" s="1"/>
  <c r="B1668" i="9"/>
  <c r="B1647" i="9"/>
  <c r="A1659" i="9"/>
  <c r="A1556" i="9"/>
  <c r="B1556" i="9" s="1"/>
  <c r="B1544" i="9"/>
  <c r="A1539" i="9"/>
  <c r="B1527" i="9"/>
  <c r="A1560" i="9"/>
  <c r="B1560" i="9" s="1"/>
  <c r="B1548" i="9"/>
  <c r="A1547" i="9"/>
  <c r="B1535" i="9"/>
  <c r="B1546" i="9"/>
  <c r="A1558" i="9"/>
  <c r="B1558" i="9" s="1"/>
  <c r="B1538" i="9"/>
  <c r="A1550" i="9"/>
  <c r="B1550" i="9" s="1"/>
  <c r="A1552" i="9"/>
  <c r="B1552" i="9" s="1"/>
  <c r="B1540" i="9"/>
  <c r="B1542" i="9"/>
  <c r="A1554" i="9"/>
  <c r="B1554" i="9" s="1"/>
  <c r="A1543" i="9"/>
  <c r="B1531" i="9"/>
  <c r="A1432" i="9"/>
  <c r="B1432" i="9" s="1"/>
  <c r="B1420" i="9"/>
  <c r="A1440" i="9"/>
  <c r="B1440" i="9" s="1"/>
  <c r="B1428" i="9"/>
  <c r="A1434" i="9"/>
  <c r="B1434" i="9" s="1"/>
  <c r="B1422" i="9"/>
  <c r="B1418" i="9"/>
  <c r="A1430" i="9"/>
  <c r="B1430" i="9" s="1"/>
  <c r="B1426" i="9"/>
  <c r="A1438" i="9"/>
  <c r="B1438" i="9" s="1"/>
  <c r="B1424" i="9"/>
  <c r="A1436" i="9"/>
  <c r="B1436" i="9" s="1"/>
  <c r="A1312" i="9"/>
  <c r="B1312" i="9" s="1"/>
  <c r="B1300" i="9"/>
  <c r="B1291" i="9"/>
  <c r="A1303" i="9"/>
  <c r="A1314" i="9"/>
  <c r="B1314" i="9" s="1"/>
  <c r="B1302" i="9"/>
  <c r="A1310" i="9"/>
  <c r="B1310" i="9" s="1"/>
  <c r="B1298" i="9"/>
  <c r="B1295" i="9"/>
  <c r="A1307" i="9"/>
  <c r="B1306" i="9"/>
  <c r="A1318" i="9"/>
  <c r="B1318" i="9" s="1"/>
  <c r="B1287" i="9"/>
  <c r="A1299" i="9"/>
  <c r="A1316" i="9"/>
  <c r="B1316" i="9" s="1"/>
  <c r="B1304" i="9"/>
  <c r="A1320" i="9"/>
  <c r="B1320" i="9" s="1"/>
  <c r="B1308" i="9"/>
  <c r="B1171" i="9"/>
  <c r="A1183" i="9"/>
  <c r="B1175" i="9"/>
  <c r="A1187" i="9"/>
  <c r="B1167" i="9"/>
  <c r="A1179" i="9"/>
  <c r="A1196" i="9"/>
  <c r="B1196" i="9" s="1"/>
  <c r="B1184" i="9"/>
  <c r="B1162" i="9"/>
  <c r="A1174" i="9"/>
  <c r="A1188" i="9"/>
  <c r="B1176" i="9"/>
  <c r="B1154" i="9"/>
  <c r="A1166" i="9"/>
  <c r="B1158" i="9"/>
  <c r="A1170" i="9"/>
  <c r="B1180" i="9"/>
  <c r="A1192" i="9"/>
  <c r="B1192" i="9" s="1"/>
  <c r="B1022" i="9"/>
  <c r="A1034" i="9"/>
  <c r="A1052" i="9"/>
  <c r="B1040" i="9"/>
  <c r="A1056" i="9"/>
  <c r="B1044" i="9"/>
  <c r="B1035" i="9"/>
  <c r="A1047" i="9"/>
  <c r="B1029" i="9"/>
  <c r="A1041" i="9"/>
  <c r="B1043" i="9"/>
  <c r="A1055" i="9"/>
  <c r="B1026" i="9"/>
  <c r="A1038" i="9"/>
  <c r="B1039" i="9"/>
  <c r="A1051" i="9"/>
  <c r="B1025" i="9"/>
  <c r="A1037" i="9"/>
  <c r="B1030" i="9"/>
  <c r="A1042" i="9"/>
  <c r="A1048" i="9"/>
  <c r="B1036" i="9"/>
  <c r="B904" i="9"/>
  <c r="A916" i="9"/>
  <c r="B908" i="9"/>
  <c r="A920" i="9"/>
  <c r="B922" i="9"/>
  <c r="A934" i="9"/>
  <c r="B934" i="9" s="1"/>
  <c r="B893" i="9"/>
  <c r="A905" i="9"/>
  <c r="B897" i="9"/>
  <c r="A909" i="9"/>
  <c r="B912" i="9"/>
  <c r="A924" i="9"/>
  <c r="B914" i="9"/>
  <c r="A926" i="9"/>
  <c r="B926" i="9" s="1"/>
  <c r="B918" i="9"/>
  <c r="A930" i="9"/>
  <c r="B930" i="9" s="1"/>
  <c r="A919" i="9"/>
  <c r="B907" i="9"/>
  <c r="A915" i="9"/>
  <c r="B903" i="9"/>
  <c r="A923" i="9"/>
  <c r="B911" i="9"/>
  <c r="B767" i="9"/>
  <c r="A779" i="9"/>
  <c r="A797" i="9"/>
  <c r="B797" i="9" s="1"/>
  <c r="B785" i="9"/>
  <c r="B758" i="9"/>
  <c r="A770" i="9"/>
  <c r="B762" i="9"/>
  <c r="A774" i="9"/>
  <c r="A792" i="9"/>
  <c r="B780" i="9"/>
  <c r="A801" i="9"/>
  <c r="B801" i="9" s="1"/>
  <c r="B789" i="9"/>
  <c r="B776" i="9"/>
  <c r="A788" i="9"/>
  <c r="B759" i="9"/>
  <c r="A771" i="9"/>
  <c r="B766" i="9"/>
  <c r="A778" i="9"/>
  <c r="B763" i="9"/>
  <c r="A775" i="9"/>
  <c r="A784" i="9"/>
  <c r="B772" i="9"/>
  <c r="A656" i="9"/>
  <c r="B644" i="9"/>
  <c r="A666" i="9"/>
  <c r="B666" i="9" s="1"/>
  <c r="B654" i="9"/>
  <c r="A660" i="9"/>
  <c r="B648" i="9"/>
  <c r="A669" i="9"/>
  <c r="B669" i="9" s="1"/>
  <c r="B657" i="9"/>
  <c r="A652" i="9"/>
  <c r="B640" i="9"/>
  <c r="B635" i="9"/>
  <c r="A647" i="9"/>
  <c r="A665" i="9"/>
  <c r="B665" i="9" s="1"/>
  <c r="B653" i="9"/>
  <c r="B650" i="9"/>
  <c r="A662" i="9"/>
  <c r="B662" i="9" s="1"/>
  <c r="B627" i="9"/>
  <c r="A639" i="9"/>
  <c r="B631" i="9"/>
  <c r="A643" i="9"/>
  <c r="A670" i="9"/>
  <c r="B670" i="9" s="1"/>
  <c r="B658" i="9"/>
  <c r="A519" i="9"/>
  <c r="B507" i="9"/>
  <c r="B526" i="9"/>
  <c r="A538" i="9"/>
  <c r="B538" i="9" s="1"/>
  <c r="B518" i="9"/>
  <c r="A530" i="9"/>
  <c r="B530" i="9" s="1"/>
  <c r="B501" i="9"/>
  <c r="A513" i="9"/>
  <c r="A527" i="9"/>
  <c r="B515" i="9"/>
  <c r="A540" i="9"/>
  <c r="B540" i="9" s="1"/>
  <c r="B528" i="9"/>
  <c r="A532" i="9"/>
  <c r="B532" i="9" s="1"/>
  <c r="B520" i="9"/>
  <c r="A536" i="9"/>
  <c r="B536" i="9" s="1"/>
  <c r="B524" i="9"/>
  <c r="A523" i="9"/>
  <c r="B511" i="9"/>
  <c r="B522" i="9"/>
  <c r="A534" i="9"/>
  <c r="B534" i="9" s="1"/>
  <c r="B497" i="9"/>
  <c r="A509" i="9"/>
  <c r="A395" i="9"/>
  <c r="B383" i="9"/>
  <c r="B375" i="9"/>
  <c r="A387" i="9"/>
  <c r="A386" i="9"/>
  <c r="B374" i="9"/>
  <c r="B396" i="9"/>
  <c r="A408" i="9"/>
  <c r="B408" i="9" s="1"/>
  <c r="A394" i="9"/>
  <c r="B382" i="9"/>
  <c r="A390" i="9"/>
  <c r="B378" i="9"/>
  <c r="B380" i="9"/>
  <c r="A392" i="9"/>
  <c r="B379" i="9"/>
  <c r="A391" i="9"/>
  <c r="B388" i="9"/>
  <c r="A400" i="9"/>
  <c r="B400" i="9" s="1"/>
  <c r="B231" i="9"/>
  <c r="A243" i="9"/>
  <c r="A256" i="9"/>
  <c r="B244" i="9"/>
  <c r="B248" i="9"/>
  <c r="A260" i="9"/>
  <c r="B234" i="9"/>
  <c r="A246" i="9"/>
  <c r="A273" i="9"/>
  <c r="B273" i="9" s="1"/>
  <c r="B261" i="9"/>
  <c r="B235" i="9"/>
  <c r="A247" i="9"/>
  <c r="B239" i="9"/>
  <c r="A251" i="9"/>
  <c r="B230" i="9"/>
  <c r="A242" i="9"/>
  <c r="B238" i="9"/>
  <c r="A250" i="9"/>
  <c r="A269" i="9"/>
  <c r="B269" i="9" s="1"/>
  <c r="B257" i="9"/>
  <c r="A264" i="9"/>
  <c r="B252" i="9"/>
  <c r="B1663" i="9" l="1"/>
  <c r="A1675" i="9"/>
  <c r="B1675" i="9" s="1"/>
  <c r="B1659" i="9"/>
  <c r="A1671" i="9"/>
  <c r="B1671" i="9" s="1"/>
  <c r="B1667" i="9"/>
  <c r="A1679" i="9"/>
  <c r="B1679" i="9" s="1"/>
  <c r="B1539" i="9"/>
  <c r="A1551" i="9"/>
  <c r="B1551" i="9" s="1"/>
  <c r="B1547" i="9"/>
  <c r="A1559" i="9"/>
  <c r="B1559" i="9" s="1"/>
  <c r="B1543" i="9"/>
  <c r="A1555" i="9"/>
  <c r="B1555" i="9" s="1"/>
  <c r="B1299" i="9"/>
  <c r="A1311" i="9"/>
  <c r="B1311" i="9" s="1"/>
  <c r="B1303" i="9"/>
  <c r="A1315" i="9"/>
  <c r="B1315" i="9" s="1"/>
  <c r="B1307" i="9"/>
  <c r="A1319" i="9"/>
  <c r="B1319" i="9" s="1"/>
  <c r="A1200" i="9"/>
  <c r="B1200" i="9" s="1"/>
  <c r="B1188" i="9"/>
  <c r="B1174" i="9"/>
  <c r="A1186" i="9"/>
  <c r="B1183" i="9"/>
  <c r="A1195" i="9"/>
  <c r="B1195" i="9" s="1"/>
  <c r="B1170" i="9"/>
  <c r="A1182" i="9"/>
  <c r="B1166" i="9"/>
  <c r="A1178" i="9"/>
  <c r="B1179" i="9"/>
  <c r="A1191" i="9"/>
  <c r="B1191" i="9" s="1"/>
  <c r="B1187" i="9"/>
  <c r="A1199" i="9"/>
  <c r="B1199" i="9" s="1"/>
  <c r="B1051" i="9"/>
  <c r="A1063" i="9"/>
  <c r="B1063" i="9" s="1"/>
  <c r="B1047" i="9"/>
  <c r="A1059" i="9"/>
  <c r="B1059" i="9" s="1"/>
  <c r="B1038" i="9"/>
  <c r="A1050" i="9"/>
  <c r="B1048" i="9"/>
  <c r="A1060" i="9"/>
  <c r="B1060" i="9" s="1"/>
  <c r="B1056" i="9"/>
  <c r="A1068" i="9"/>
  <c r="B1068" i="9" s="1"/>
  <c r="B1042" i="9"/>
  <c r="A1054" i="9"/>
  <c r="B1055" i="9"/>
  <c r="A1067" i="9"/>
  <c r="B1067" i="9" s="1"/>
  <c r="B1052" i="9"/>
  <c r="A1064" i="9"/>
  <c r="B1064" i="9" s="1"/>
  <c r="B1037" i="9"/>
  <c r="A1049" i="9"/>
  <c r="B1041" i="9"/>
  <c r="A1053" i="9"/>
  <c r="B1034" i="9"/>
  <c r="A1046" i="9"/>
  <c r="B909" i="9"/>
  <c r="A921" i="9"/>
  <c r="A928" i="9"/>
  <c r="B928" i="9" s="1"/>
  <c r="B916" i="9"/>
  <c r="B919" i="9"/>
  <c r="A931" i="9"/>
  <c r="B931" i="9" s="1"/>
  <c r="B905" i="9"/>
  <c r="A917" i="9"/>
  <c r="B923" i="9"/>
  <c r="A935" i="9"/>
  <c r="B935" i="9" s="1"/>
  <c r="A936" i="9"/>
  <c r="B936" i="9" s="1"/>
  <c r="B924" i="9"/>
  <c r="A932" i="9"/>
  <c r="B932" i="9" s="1"/>
  <c r="B920" i="9"/>
  <c r="B915" i="9"/>
  <c r="A927" i="9"/>
  <c r="B927" i="9" s="1"/>
  <c r="B788" i="9"/>
  <c r="A800" i="9"/>
  <c r="B800" i="9" s="1"/>
  <c r="B770" i="9"/>
  <c r="A782" i="9"/>
  <c r="B774" i="9"/>
  <c r="A786" i="9"/>
  <c r="B784" i="9"/>
  <c r="A796" i="9"/>
  <c r="B796" i="9" s="1"/>
  <c r="B771" i="9"/>
  <c r="A783" i="9"/>
  <c r="B778" i="9"/>
  <c r="A790" i="9"/>
  <c r="B779" i="9"/>
  <c r="A791" i="9"/>
  <c r="B775" i="9"/>
  <c r="A787" i="9"/>
  <c r="B792" i="9"/>
  <c r="A804" i="9"/>
  <c r="B804" i="9" s="1"/>
  <c r="B639" i="9"/>
  <c r="A651" i="9"/>
  <c r="B652" i="9"/>
  <c r="A664" i="9"/>
  <c r="B664" i="9" s="1"/>
  <c r="B656" i="9"/>
  <c r="A668" i="9"/>
  <c r="B668" i="9" s="1"/>
  <c r="B660" i="9"/>
  <c r="A672" i="9"/>
  <c r="B672" i="9" s="1"/>
  <c r="B643" i="9"/>
  <c r="A655" i="9"/>
  <c r="B647" i="9"/>
  <c r="A659" i="9"/>
  <c r="B513" i="9"/>
  <c r="A525" i="9"/>
  <c r="B509" i="9"/>
  <c r="A521" i="9"/>
  <c r="B523" i="9"/>
  <c r="A535" i="9"/>
  <c r="B535" i="9" s="1"/>
  <c r="B527" i="9"/>
  <c r="A539" i="9"/>
  <c r="B539" i="9" s="1"/>
  <c r="B519" i="9"/>
  <c r="A531" i="9"/>
  <c r="B531" i="9" s="1"/>
  <c r="B394" i="9"/>
  <c r="A406" i="9"/>
  <c r="B406" i="9" s="1"/>
  <c r="B395" i="9"/>
  <c r="A407" i="9"/>
  <c r="B407" i="9" s="1"/>
  <c r="B391" i="9"/>
  <c r="A403" i="9"/>
  <c r="B403" i="9" s="1"/>
  <c r="B387" i="9"/>
  <c r="A399" i="9"/>
  <c r="B399" i="9" s="1"/>
  <c r="B392" i="9"/>
  <c r="A404" i="9"/>
  <c r="B404" i="9" s="1"/>
  <c r="B386" i="9"/>
  <c r="A398" i="9"/>
  <c r="B398" i="9" s="1"/>
  <c r="B390" i="9"/>
  <c r="A402" i="9"/>
  <c r="B402" i="9" s="1"/>
  <c r="B250" i="9"/>
  <c r="A262" i="9"/>
  <c r="B243" i="9"/>
  <c r="A255" i="9"/>
  <c r="B242" i="9"/>
  <c r="A254" i="9"/>
  <c r="B246" i="9"/>
  <c r="A258" i="9"/>
  <c r="B251" i="9"/>
  <c r="A263" i="9"/>
  <c r="B260" i="9"/>
  <c r="A272" i="9"/>
  <c r="B272" i="9" s="1"/>
  <c r="B264" i="9"/>
  <c r="A276" i="9"/>
  <c r="B276" i="9" s="1"/>
  <c r="B247" i="9"/>
  <c r="A259" i="9"/>
  <c r="B256" i="9"/>
  <c r="A268" i="9"/>
  <c r="B268" i="9" s="1"/>
  <c r="B1186" i="9" l="1"/>
  <c r="A1198" i="9"/>
  <c r="B1198" i="9" s="1"/>
  <c r="B1182" i="9"/>
  <c r="A1194" i="9"/>
  <c r="B1194" i="9" s="1"/>
  <c r="A1190" i="9"/>
  <c r="B1190" i="9" s="1"/>
  <c r="B1178" i="9"/>
  <c r="B1050" i="9"/>
  <c r="A1062" i="9"/>
  <c r="B1062" i="9" s="1"/>
  <c r="A1065" i="9"/>
  <c r="B1065" i="9" s="1"/>
  <c r="B1053" i="9"/>
  <c r="B1054" i="9"/>
  <c r="A1066" i="9"/>
  <c r="B1066" i="9" s="1"/>
  <c r="A1058" i="9"/>
  <c r="B1058" i="9" s="1"/>
  <c r="B1046" i="9"/>
  <c r="A1061" i="9"/>
  <c r="B1061" i="9" s="1"/>
  <c r="B1049" i="9"/>
  <c r="B921" i="9"/>
  <c r="A933" i="9"/>
  <c r="B933" i="9" s="1"/>
  <c r="B917" i="9"/>
  <c r="A929" i="9"/>
  <c r="B929" i="9" s="1"/>
  <c r="B791" i="9"/>
  <c r="A803" i="9"/>
  <c r="B803" i="9" s="1"/>
  <c r="A798" i="9"/>
  <c r="B798" i="9" s="1"/>
  <c r="B786" i="9"/>
  <c r="B790" i="9"/>
  <c r="A802" i="9"/>
  <c r="B802" i="9" s="1"/>
  <c r="A794" i="9"/>
  <c r="B794" i="9" s="1"/>
  <c r="B782" i="9"/>
  <c r="B787" i="9"/>
  <c r="A799" i="9"/>
  <c r="B799" i="9" s="1"/>
  <c r="B783" i="9"/>
  <c r="A795" i="9"/>
  <c r="B795" i="9" s="1"/>
  <c r="B655" i="9"/>
  <c r="A667" i="9"/>
  <c r="B667" i="9" s="1"/>
  <c r="B651" i="9"/>
  <c r="A663" i="9"/>
  <c r="B663" i="9" s="1"/>
  <c r="B659" i="9"/>
  <c r="A671" i="9"/>
  <c r="B671" i="9" s="1"/>
  <c r="B525" i="9"/>
  <c r="A537" i="9"/>
  <c r="B537" i="9" s="1"/>
  <c r="B521" i="9"/>
  <c r="A533" i="9"/>
  <c r="B533" i="9" s="1"/>
  <c r="B259" i="9"/>
  <c r="A271" i="9"/>
  <c r="B271" i="9" s="1"/>
  <c r="B258" i="9"/>
  <c r="A270" i="9"/>
  <c r="B270" i="9" s="1"/>
  <c r="B263" i="9"/>
  <c r="A275" i="9"/>
  <c r="B275" i="9" s="1"/>
  <c r="B262" i="9"/>
  <c r="A274" i="9"/>
  <c r="B274" i="9" s="1"/>
  <c r="B255" i="9"/>
  <c r="A267" i="9"/>
  <c r="B267" i="9" s="1"/>
  <c r="A266" i="9"/>
  <c r="B266" i="9" s="1"/>
  <c r="B254" i="9"/>
  <c r="Q4" i="5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3" i="5"/>
  <c r="A110" i="7" l="1"/>
  <c r="A109" i="7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B2" i="9"/>
  <c r="A15" i="9"/>
  <c r="A16" i="9"/>
  <c r="A17" i="9"/>
  <c r="A18" i="9"/>
  <c r="A19" i="9"/>
  <c r="A20" i="9"/>
  <c r="A21" i="9"/>
  <c r="A22" i="9"/>
  <c r="A23" i="9"/>
  <c r="A24" i="9"/>
  <c r="A25" i="9"/>
  <c r="A14" i="9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4" i="7"/>
  <c r="A105" i="7"/>
  <c r="A106" i="7"/>
  <c r="A107" i="7"/>
  <c r="A108" i="7"/>
  <c r="A63" i="7"/>
  <c r="B1240" i="5" l="1"/>
  <c r="P1240" i="5" s="1"/>
  <c r="B1237" i="5"/>
  <c r="P1237" i="5" s="1"/>
  <c r="B1236" i="5"/>
  <c r="P1236" i="5" s="1"/>
  <c r="B1233" i="5"/>
  <c r="P1233" i="5" s="1"/>
  <c r="B1220" i="5"/>
  <c r="P1220" i="5" s="1"/>
  <c r="B1264" i="5"/>
  <c r="P1264" i="5" s="1"/>
  <c r="B1194" i="5"/>
  <c r="P1194" i="5" s="1"/>
  <c r="B1363" i="5"/>
  <c r="P1363" i="5" s="1"/>
  <c r="C1250" i="5"/>
  <c r="D1250" i="5" s="1"/>
  <c r="C1279" i="5"/>
  <c r="D1279" i="5" s="1"/>
  <c r="C1242" i="5"/>
  <c r="D1242" i="5" s="1"/>
  <c r="C1228" i="5"/>
  <c r="D1228" i="5" s="1"/>
  <c r="C1211" i="5"/>
  <c r="D1211" i="5" s="1"/>
  <c r="B1196" i="5"/>
  <c r="P1196" i="5" s="1"/>
  <c r="C1243" i="5"/>
  <c r="D1243" i="5" s="1"/>
  <c r="B1287" i="5"/>
  <c r="P1287" i="5" s="1"/>
  <c r="B1225" i="5"/>
  <c r="P1225" i="5" s="1"/>
  <c r="B1224" i="5"/>
  <c r="P1224" i="5" s="1"/>
  <c r="B1221" i="5"/>
  <c r="P1221" i="5" s="1"/>
  <c r="C1208" i="5"/>
  <c r="D1208" i="5" s="1"/>
  <c r="B1283" i="5"/>
  <c r="P1283" i="5" s="1"/>
  <c r="B1228" i="5"/>
  <c r="P1228" i="5" s="1"/>
  <c r="B1362" i="5"/>
  <c r="P1362" i="5" s="1"/>
  <c r="C1220" i="5"/>
  <c r="D1220" i="5" s="1"/>
  <c r="C1287" i="5"/>
  <c r="D1287" i="5" s="1"/>
  <c r="C1241" i="5"/>
  <c r="D1241" i="5" s="1"/>
  <c r="C1227" i="5"/>
  <c r="D1227" i="5" s="1"/>
  <c r="C1209" i="5"/>
  <c r="D1209" i="5" s="1"/>
  <c r="C1195" i="5"/>
  <c r="D1195" i="5" s="1"/>
  <c r="B1212" i="5"/>
  <c r="P1212" i="5" s="1"/>
  <c r="B1203" i="5"/>
  <c r="P1203" i="5" s="1"/>
  <c r="B1201" i="5"/>
  <c r="P1201" i="5" s="1"/>
  <c r="C1212" i="5"/>
  <c r="D1212" i="5" s="1"/>
  <c r="B1209" i="5"/>
  <c r="P1209" i="5" s="1"/>
  <c r="C1196" i="5"/>
  <c r="D1196" i="5" s="1"/>
  <c r="B1223" i="5"/>
  <c r="P1223" i="5" s="1"/>
  <c r="B1271" i="5"/>
  <c r="P1271" i="5" s="1"/>
  <c r="C1235" i="5"/>
  <c r="D1235" i="5" s="1"/>
  <c r="C1253" i="5"/>
  <c r="D1253" i="5" s="1"/>
  <c r="B1282" i="5"/>
  <c r="P1282" i="5" s="1"/>
  <c r="C1240" i="5"/>
  <c r="D1240" i="5" s="1"/>
  <c r="C1226" i="5"/>
  <c r="D1226" i="5" s="1"/>
  <c r="C1206" i="5"/>
  <c r="D1206" i="5" s="1"/>
  <c r="C1194" i="5"/>
  <c r="D1194" i="5" s="1"/>
  <c r="C1282" i="5"/>
  <c r="D1282" i="5" s="1"/>
  <c r="C1286" i="5"/>
  <c r="D1286" i="5" s="1"/>
  <c r="B1241" i="5"/>
  <c r="P1241" i="5" s="1"/>
  <c r="C1221" i="5"/>
  <c r="D1221" i="5" s="1"/>
  <c r="C1283" i="5"/>
  <c r="D1283" i="5" s="1"/>
  <c r="B1272" i="5"/>
  <c r="P1272" i="5" s="1"/>
  <c r="C1281" i="5"/>
  <c r="D1281" i="5" s="1"/>
  <c r="B1193" i="5"/>
  <c r="P1193" i="5" s="1"/>
  <c r="B1202" i="5"/>
  <c r="P1202" i="5" s="1"/>
  <c r="B1204" i="5"/>
  <c r="P1204" i="5" s="1"/>
  <c r="B1200" i="5"/>
  <c r="P1200" i="5" s="1"/>
  <c r="B1197" i="5"/>
  <c r="P1197" i="5" s="1"/>
  <c r="B1252" i="5"/>
  <c r="P1252" i="5" s="1"/>
  <c r="B1270" i="5"/>
  <c r="P1270" i="5" s="1"/>
  <c r="B1246" i="5"/>
  <c r="P1246" i="5" s="1"/>
  <c r="B1244" i="5"/>
  <c r="P1244" i="5" s="1"/>
  <c r="C1219" i="5"/>
  <c r="D1219" i="5" s="1"/>
  <c r="C1271" i="5"/>
  <c r="D1271" i="5" s="1"/>
  <c r="C1239" i="5"/>
  <c r="D1239" i="5" s="1"/>
  <c r="C1225" i="5"/>
  <c r="D1225" i="5" s="1"/>
  <c r="C1205" i="5"/>
  <c r="D1205" i="5" s="1"/>
  <c r="C1272" i="5"/>
  <c r="D1272" i="5" s="1"/>
  <c r="C1270" i="5"/>
  <c r="D1270" i="5" s="1"/>
  <c r="B1279" i="5"/>
  <c r="P1279" i="5" s="1"/>
  <c r="C1265" i="5"/>
  <c r="D1265" i="5" s="1"/>
  <c r="B1254" i="5"/>
  <c r="P1254" i="5" s="1"/>
  <c r="C1233" i="5"/>
  <c r="D1233" i="5" s="1"/>
  <c r="B1207" i="5"/>
  <c r="P1207" i="5" s="1"/>
  <c r="C1231" i="5"/>
  <c r="D1231" i="5" s="1"/>
  <c r="B1218" i="5"/>
  <c r="P1218" i="5" s="1"/>
  <c r="C1197" i="5"/>
  <c r="D1197" i="5" s="1"/>
  <c r="B1232" i="5"/>
  <c r="P1232" i="5" s="1"/>
  <c r="C1280" i="5"/>
  <c r="D1280" i="5" s="1"/>
  <c r="B1216" i="5"/>
  <c r="P1216" i="5" s="1"/>
  <c r="B1239" i="5"/>
  <c r="P1239" i="5" s="1"/>
  <c r="B1199" i="5"/>
  <c r="P1199" i="5" s="1"/>
  <c r="C1288" i="5"/>
  <c r="D1288" i="5" s="1"/>
  <c r="B1247" i="5"/>
  <c r="P1247" i="5" s="1"/>
  <c r="B1198" i="5"/>
  <c r="P1198" i="5" s="1"/>
  <c r="B1267" i="5"/>
  <c r="P1267" i="5" s="1"/>
  <c r="B1234" i="5"/>
  <c r="P1234" i="5" s="1"/>
  <c r="C1217" i="5"/>
  <c r="D1217" i="5" s="1"/>
  <c r="C1267" i="5"/>
  <c r="D1267" i="5" s="1"/>
  <c r="C1238" i="5"/>
  <c r="D1238" i="5" s="1"/>
  <c r="C1224" i="5"/>
  <c r="D1224" i="5" s="1"/>
  <c r="C1262" i="5"/>
  <c r="D1262" i="5" s="1"/>
  <c r="C1252" i="5"/>
  <c r="D1252" i="5" s="1"/>
  <c r="C1207" i="5"/>
  <c r="D1207" i="5" s="1"/>
  <c r="C1285" i="5"/>
  <c r="D1285" i="5" s="1"/>
  <c r="C1203" i="5"/>
  <c r="D1203" i="5" s="1"/>
  <c r="C1264" i="5"/>
  <c r="D1264" i="5" s="1"/>
  <c r="C1198" i="5"/>
  <c r="D1198" i="5" s="1"/>
  <c r="B1269" i="5"/>
  <c r="P1269" i="5" s="1"/>
  <c r="C1193" i="5"/>
  <c r="D1193" i="5" s="1"/>
  <c r="B1206" i="5"/>
  <c r="P1206" i="5" s="1"/>
  <c r="B1251" i="5"/>
  <c r="P1251" i="5" s="1"/>
  <c r="B1215" i="5"/>
  <c r="P1215" i="5" s="1"/>
  <c r="C1362" i="5"/>
  <c r="D1362" i="5" s="1"/>
  <c r="B1211" i="5"/>
  <c r="P1211" i="5" s="1"/>
  <c r="C1234" i="5"/>
  <c r="D1234" i="5" s="1"/>
  <c r="B1243" i="5"/>
  <c r="P1243" i="5" s="1"/>
  <c r="B1265" i="5"/>
  <c r="P1265" i="5" s="1"/>
  <c r="B1248" i="5"/>
  <c r="P1248" i="5" s="1"/>
  <c r="B1288" i="5"/>
  <c r="P1288" i="5" s="1"/>
  <c r="C1266" i="5"/>
  <c r="D1266" i="5" s="1"/>
  <c r="C1237" i="5"/>
  <c r="D1237" i="5" s="1"/>
  <c r="C1223" i="5"/>
  <c r="D1223" i="5" s="1"/>
  <c r="B1210" i="5"/>
  <c r="P1210" i="5" s="1"/>
  <c r="C1269" i="5"/>
  <c r="D1269" i="5" s="1"/>
  <c r="B1192" i="5"/>
  <c r="P1192" i="5" s="1"/>
  <c r="B1253" i="5"/>
  <c r="P1253" i="5" s="1"/>
  <c r="C1236" i="5"/>
  <c r="D1236" i="5" s="1"/>
  <c r="C1268" i="5"/>
  <c r="D1268" i="5" s="1"/>
  <c r="C1249" i="5"/>
  <c r="D1249" i="5" s="1"/>
  <c r="C1204" i="5"/>
  <c r="D1204" i="5" s="1"/>
  <c r="B1217" i="5"/>
  <c r="P1217" i="5" s="1"/>
  <c r="C1201" i="5"/>
  <c r="D1201" i="5" s="1"/>
  <c r="B1195" i="5"/>
  <c r="P1195" i="5" s="1"/>
  <c r="C1245" i="5"/>
  <c r="D1245" i="5" s="1"/>
  <c r="C1248" i="5"/>
  <c r="D1248" i="5" s="1"/>
  <c r="C1229" i="5"/>
  <c r="D1229" i="5" s="1"/>
  <c r="B1227" i="5"/>
  <c r="P1227" i="5" s="1"/>
  <c r="B1286" i="5"/>
  <c r="P1286" i="5" s="1"/>
  <c r="B1266" i="5"/>
  <c r="P1266" i="5" s="1"/>
  <c r="C1222" i="5"/>
  <c r="D1222" i="5" s="1"/>
  <c r="B1268" i="5"/>
  <c r="P1268" i="5" s="1"/>
  <c r="C1247" i="5"/>
  <c r="D1247" i="5" s="1"/>
  <c r="C1244" i="5"/>
  <c r="D1244" i="5" s="1"/>
  <c r="C1230" i="5"/>
  <c r="D1230" i="5" s="1"/>
  <c r="C1363" i="5"/>
  <c r="D1363" i="5" s="1"/>
  <c r="C1200" i="5"/>
  <c r="D1200" i="5" s="1"/>
  <c r="B1262" i="5"/>
  <c r="P1262" i="5" s="1"/>
  <c r="B1250" i="5"/>
  <c r="P1250" i="5" s="1"/>
  <c r="B1235" i="5"/>
  <c r="P1235" i="5" s="1"/>
  <c r="C1210" i="5"/>
  <c r="D1210" i="5" s="1"/>
  <c r="B1231" i="5"/>
  <c r="P1231" i="5" s="1"/>
  <c r="C1254" i="5"/>
  <c r="D1254" i="5" s="1"/>
  <c r="B1285" i="5"/>
  <c r="P1285" i="5" s="1"/>
  <c r="C1246" i="5"/>
  <c r="D1246" i="5" s="1"/>
  <c r="B1249" i="5"/>
  <c r="P1249" i="5" s="1"/>
  <c r="C1192" i="5"/>
  <c r="D1192" i="5" s="1"/>
  <c r="B1238" i="5"/>
  <c r="P1238" i="5" s="1"/>
  <c r="B1226" i="5"/>
  <c r="P1226" i="5" s="1"/>
  <c r="B1222" i="5"/>
  <c r="P1222" i="5" s="1"/>
  <c r="B1280" i="5"/>
  <c r="P1280" i="5" s="1"/>
  <c r="B1219" i="5"/>
  <c r="P1219" i="5" s="1"/>
  <c r="B1242" i="5"/>
  <c r="P1242" i="5" s="1"/>
  <c r="B1229" i="5"/>
  <c r="P1229" i="5" s="1"/>
  <c r="B1208" i="5"/>
  <c r="P1208" i="5" s="1"/>
  <c r="C1284" i="5"/>
  <c r="D1284" i="5" s="1"/>
  <c r="C1251" i="5"/>
  <c r="D1251" i="5" s="1"/>
  <c r="C1232" i="5"/>
  <c r="D1232" i="5" s="1"/>
  <c r="C1218" i="5"/>
  <c r="D1218" i="5" s="1"/>
  <c r="C1199" i="5"/>
  <c r="D1199" i="5" s="1"/>
  <c r="C1202" i="5"/>
  <c r="D1202" i="5" s="1"/>
  <c r="B1214" i="5"/>
  <c r="P1214" i="5" s="1"/>
  <c r="B1284" i="5"/>
  <c r="P1284" i="5" s="1"/>
  <c r="B1281" i="5"/>
  <c r="P1281" i="5" s="1"/>
  <c r="B1230" i="5"/>
  <c r="P1230" i="5" s="1"/>
  <c r="C1216" i="5"/>
  <c r="D1216" i="5" s="1"/>
  <c r="B1205" i="5"/>
  <c r="P1205" i="5" s="1"/>
  <c r="C1215" i="5"/>
  <c r="D1215" i="5" s="1"/>
  <c r="B1245" i="5"/>
  <c r="P1245" i="5" s="1"/>
  <c r="C1214" i="5"/>
  <c r="D1214" i="5" s="1"/>
  <c r="C22" i="5"/>
  <c r="D22" i="5" s="1"/>
  <c r="C21" i="5"/>
  <c r="D21" i="5" s="1"/>
  <c r="C20" i="5"/>
  <c r="D20" i="5" s="1"/>
  <c r="C331" i="5"/>
  <c r="D331" i="5" s="1"/>
  <c r="C330" i="5"/>
  <c r="D330" i="5" s="1"/>
  <c r="B1001" i="5"/>
  <c r="P1001" i="5" s="1"/>
  <c r="C1001" i="5"/>
  <c r="D1001" i="5" s="1"/>
  <c r="B1000" i="5"/>
  <c r="P1000" i="5" s="1"/>
  <c r="C1000" i="5"/>
  <c r="D1000" i="5" s="1"/>
  <c r="C913" i="5"/>
  <c r="D913" i="5" s="1"/>
  <c r="C924" i="5"/>
  <c r="D924" i="5" s="1"/>
  <c r="C774" i="5"/>
  <c r="D774" i="5" s="1"/>
  <c r="C606" i="5"/>
  <c r="D606" i="5" s="1"/>
  <c r="C328" i="5"/>
  <c r="D328" i="5" s="1"/>
  <c r="C160" i="5"/>
  <c r="D160" i="5" s="1"/>
  <c r="C583" i="5"/>
  <c r="D583" i="5" s="1"/>
  <c r="C935" i="5"/>
  <c r="D935" i="5" s="1"/>
  <c r="C797" i="5"/>
  <c r="D797" i="5" s="1"/>
  <c r="C641" i="5"/>
  <c r="D641" i="5" s="1"/>
  <c r="C401" i="5"/>
  <c r="D401" i="5" s="1"/>
  <c r="C183" i="5"/>
  <c r="D183" i="5" s="1"/>
  <c r="C775" i="5"/>
  <c r="D775" i="5" s="1"/>
  <c r="C904" i="5"/>
  <c r="D904" i="5" s="1"/>
  <c r="C748" i="5"/>
  <c r="D748" i="5" s="1"/>
  <c r="C544" i="5"/>
  <c r="D544" i="5" s="1"/>
  <c r="C290" i="5"/>
  <c r="D290" i="5" s="1"/>
  <c r="C122" i="5"/>
  <c r="D122" i="5" s="1"/>
  <c r="C1091" i="5"/>
  <c r="D1091" i="5" s="1"/>
  <c r="C855" i="5"/>
  <c r="D855" i="5" s="1"/>
  <c r="C699" i="5"/>
  <c r="D699" i="5" s="1"/>
  <c r="C435" i="5"/>
  <c r="D435" i="5" s="1"/>
  <c r="C241" i="5"/>
  <c r="D241" i="5" s="1"/>
  <c r="C73" i="5"/>
  <c r="D73" i="5" s="1"/>
  <c r="C968" i="5"/>
  <c r="D968" i="5" s="1"/>
  <c r="C782" i="5"/>
  <c r="D782" i="5" s="1"/>
  <c r="C590" i="5"/>
  <c r="D590" i="5" s="1"/>
  <c r="C386" i="5"/>
  <c r="D386" i="5" s="1"/>
  <c r="C168" i="5"/>
  <c r="D168" i="5" s="1"/>
  <c r="C403" i="5"/>
  <c r="D403" i="5" s="1"/>
  <c r="C877" i="5"/>
  <c r="D877" i="5" s="1"/>
  <c r="C697" i="5"/>
  <c r="D697" i="5" s="1"/>
  <c r="C517" i="5"/>
  <c r="D517" i="5" s="1"/>
  <c r="C287" i="5"/>
  <c r="D287" i="5" s="1"/>
  <c r="C900" i="5"/>
  <c r="D900" i="5" s="1"/>
  <c r="C756" i="5"/>
  <c r="D756" i="5" s="1"/>
  <c r="C576" i="5"/>
  <c r="D576" i="5" s="1"/>
  <c r="C372" i="5"/>
  <c r="D372" i="5" s="1"/>
  <c r="C178" i="5"/>
  <c r="D178" i="5" s="1"/>
  <c r="C305" i="5"/>
  <c r="D305" i="5" s="1"/>
  <c r="C899" i="5"/>
  <c r="D899" i="5" s="1"/>
  <c r="C755" i="5"/>
  <c r="D755" i="5" s="1"/>
  <c r="C587" i="5"/>
  <c r="D587" i="5" s="1"/>
  <c r="C407" i="5"/>
  <c r="D407" i="5" s="1"/>
  <c r="C237" i="5"/>
  <c r="D237" i="5" s="1"/>
  <c r="C847" i="5"/>
  <c r="D847" i="5" s="1"/>
  <c r="C898" i="5"/>
  <c r="D898" i="5" s="1"/>
  <c r="C754" i="5"/>
  <c r="D754" i="5" s="1"/>
  <c r="C586" i="5"/>
  <c r="D586" i="5" s="1"/>
  <c r="C382" i="5"/>
  <c r="D382" i="5" s="1"/>
  <c r="C164" i="5"/>
  <c r="D164" i="5" s="1"/>
  <c r="C113" i="5"/>
  <c r="D113" i="5" s="1"/>
  <c r="C873" i="5"/>
  <c r="D873" i="5" s="1"/>
  <c r="C717" i="5"/>
  <c r="D717" i="5" s="1"/>
  <c r="C537" i="5"/>
  <c r="D537" i="5" s="1"/>
  <c r="C295" i="5"/>
  <c r="D295" i="5" s="1"/>
  <c r="C103" i="5"/>
  <c r="D103" i="5" s="1"/>
  <c r="C974" i="5"/>
  <c r="D974" i="5" s="1"/>
  <c r="C824" i="5"/>
  <c r="D824" i="5" s="1"/>
  <c r="C644" i="5"/>
  <c r="D644" i="5" s="1"/>
  <c r="C392" i="5"/>
  <c r="D392" i="5" s="1"/>
  <c r="C174" i="5"/>
  <c r="D174" i="5" s="1"/>
  <c r="C763" i="5"/>
  <c r="D763" i="5" s="1"/>
  <c r="C762" i="5"/>
  <c r="D762" i="5" s="1"/>
  <c r="C582" i="5"/>
  <c r="D582" i="5" s="1"/>
  <c r="C316" i="5"/>
  <c r="D316" i="5" s="1"/>
  <c r="C136" i="5"/>
  <c r="D136" i="5" s="1"/>
  <c r="C329" i="5"/>
  <c r="D329" i="5" s="1"/>
  <c r="C923" i="5"/>
  <c r="D923" i="5" s="1"/>
  <c r="C785" i="5"/>
  <c r="D785" i="5" s="1"/>
  <c r="C617" i="5"/>
  <c r="D617" i="5" s="1"/>
  <c r="C389" i="5"/>
  <c r="D389" i="5" s="1"/>
  <c r="C171" i="5"/>
  <c r="D171" i="5" s="1"/>
  <c r="C631" i="5"/>
  <c r="D631" i="5" s="1"/>
  <c r="C892" i="5"/>
  <c r="D892" i="5" s="1"/>
  <c r="C736" i="5"/>
  <c r="D736" i="5" s="1"/>
  <c r="C532" i="5"/>
  <c r="D532" i="5" s="1"/>
  <c r="C266" i="5"/>
  <c r="D266" i="5" s="1"/>
  <c r="C110" i="5"/>
  <c r="D110" i="5" s="1"/>
  <c r="C1031" i="5"/>
  <c r="D1031" i="5" s="1"/>
  <c r="C843" i="5"/>
  <c r="D843" i="5" s="1"/>
  <c r="C687" i="5"/>
  <c r="D687" i="5" s="1"/>
  <c r="C423" i="5"/>
  <c r="D423" i="5" s="1"/>
  <c r="C229" i="5"/>
  <c r="D229" i="5" s="1"/>
  <c r="C61" i="5"/>
  <c r="D61" i="5" s="1"/>
  <c r="C956" i="5"/>
  <c r="D956" i="5" s="1"/>
  <c r="C770" i="5"/>
  <c r="D770" i="5" s="1"/>
  <c r="C578" i="5"/>
  <c r="D578" i="5" s="1"/>
  <c r="C374" i="5"/>
  <c r="D374" i="5" s="1"/>
  <c r="C156" i="5"/>
  <c r="D156" i="5" s="1"/>
  <c r="C1171" i="5"/>
  <c r="D1171" i="5" s="1"/>
  <c r="C865" i="5"/>
  <c r="D865" i="5" s="1"/>
  <c r="C685" i="5"/>
  <c r="D685" i="5" s="1"/>
  <c r="C505" i="5"/>
  <c r="D505" i="5" s="1"/>
  <c r="C263" i="5"/>
  <c r="D263" i="5" s="1"/>
  <c r="C751" i="5"/>
  <c r="D751" i="5" s="1"/>
  <c r="C888" i="5"/>
  <c r="D888" i="5" s="1"/>
  <c r="C744" i="5"/>
  <c r="D744" i="5" s="1"/>
  <c r="C564" i="5"/>
  <c r="D564" i="5" s="1"/>
  <c r="C336" i="5"/>
  <c r="D336" i="5" s="1"/>
  <c r="C166" i="5"/>
  <c r="D166" i="5" s="1"/>
  <c r="C173" i="5"/>
  <c r="D173" i="5" s="1"/>
  <c r="C887" i="5"/>
  <c r="D887" i="5" s="1"/>
  <c r="C743" i="5"/>
  <c r="D743" i="5" s="1"/>
  <c r="C575" i="5"/>
  <c r="D575" i="5" s="1"/>
  <c r="C395" i="5"/>
  <c r="D395" i="5" s="1"/>
  <c r="C189" i="5"/>
  <c r="D189" i="5" s="1"/>
  <c r="C739" i="5"/>
  <c r="D739" i="5" s="1"/>
  <c r="C886" i="5"/>
  <c r="D886" i="5" s="1"/>
  <c r="C742" i="5"/>
  <c r="D742" i="5" s="1"/>
  <c r="C574" i="5"/>
  <c r="D574" i="5" s="1"/>
  <c r="C334" i="5"/>
  <c r="D334" i="5" s="1"/>
  <c r="C152" i="5"/>
  <c r="D152" i="5" s="1"/>
  <c r="C1167" i="5"/>
  <c r="D1167" i="5" s="1"/>
  <c r="C861" i="5"/>
  <c r="D861" i="5" s="1"/>
  <c r="C705" i="5"/>
  <c r="D705" i="5" s="1"/>
  <c r="C525" i="5"/>
  <c r="D525" i="5" s="1"/>
  <c r="C271" i="5"/>
  <c r="D271" i="5" s="1"/>
  <c r="C91" i="5"/>
  <c r="D91" i="5" s="1"/>
  <c r="C962" i="5"/>
  <c r="D962" i="5" s="1"/>
  <c r="C812" i="5"/>
  <c r="D812" i="5" s="1"/>
  <c r="C632" i="5"/>
  <c r="D632" i="5" s="1"/>
  <c r="C380" i="5"/>
  <c r="D380" i="5" s="1"/>
  <c r="C150" i="5"/>
  <c r="D150" i="5" s="1"/>
  <c r="C619" i="5"/>
  <c r="D619" i="5" s="1"/>
  <c r="C894" i="5"/>
  <c r="D894" i="5" s="1"/>
  <c r="C750" i="5"/>
  <c r="D750" i="5" s="1"/>
  <c r="C570" i="5"/>
  <c r="D570" i="5" s="1"/>
  <c r="C304" i="5"/>
  <c r="D304" i="5" s="1"/>
  <c r="C124" i="5"/>
  <c r="D124" i="5" s="1"/>
  <c r="C233" i="5"/>
  <c r="D233" i="5" s="1"/>
  <c r="C911" i="5"/>
  <c r="D911" i="5" s="1"/>
  <c r="C773" i="5"/>
  <c r="D773" i="5" s="1"/>
  <c r="C605" i="5"/>
  <c r="D605" i="5" s="1"/>
  <c r="C377" i="5"/>
  <c r="D377" i="5" s="1"/>
  <c r="C159" i="5"/>
  <c r="D159" i="5" s="1"/>
  <c r="C245" i="5"/>
  <c r="D245" i="5" s="1"/>
  <c r="C880" i="5"/>
  <c r="D880" i="5" s="1"/>
  <c r="C724" i="5"/>
  <c r="D724" i="5" s="1"/>
  <c r="C520" i="5"/>
  <c r="D520" i="5" s="1"/>
  <c r="C254" i="5"/>
  <c r="D254" i="5" s="1"/>
  <c r="C86" i="5"/>
  <c r="D86" i="5" s="1"/>
  <c r="C993" i="5"/>
  <c r="D993" i="5" s="1"/>
  <c r="C831" i="5"/>
  <c r="D831" i="5" s="1"/>
  <c r="C639" i="5"/>
  <c r="D639" i="5" s="1"/>
  <c r="C399" i="5"/>
  <c r="D399" i="5" s="1"/>
  <c r="C193" i="5"/>
  <c r="D193" i="5" s="1"/>
  <c r="C937" i="5"/>
  <c r="D937" i="5" s="1"/>
  <c r="C944" i="5"/>
  <c r="D944" i="5" s="1"/>
  <c r="C758" i="5"/>
  <c r="D758" i="5" s="1"/>
  <c r="C566" i="5"/>
  <c r="D566" i="5" s="1"/>
  <c r="C324" i="5"/>
  <c r="D324" i="5" s="1"/>
  <c r="C144" i="5"/>
  <c r="D144" i="5" s="1"/>
  <c r="C1029" i="5"/>
  <c r="D1029" i="5" s="1"/>
  <c r="C853" i="5"/>
  <c r="D853" i="5" s="1"/>
  <c r="C637" i="5"/>
  <c r="D637" i="5" s="1"/>
  <c r="C457" i="5"/>
  <c r="D457" i="5" s="1"/>
  <c r="C251" i="5"/>
  <c r="D251" i="5" s="1"/>
  <c r="C607" i="5"/>
  <c r="D607" i="5" s="1"/>
  <c r="C876" i="5"/>
  <c r="D876" i="5" s="1"/>
  <c r="C732" i="5"/>
  <c r="D732" i="5" s="1"/>
  <c r="C552" i="5"/>
  <c r="D552" i="5" s="1"/>
  <c r="C322" i="5"/>
  <c r="D322" i="5" s="1"/>
  <c r="C154" i="5"/>
  <c r="D154" i="5" s="1"/>
  <c r="C137" i="5"/>
  <c r="D137" i="5" s="1"/>
  <c r="C875" i="5"/>
  <c r="D875" i="5" s="1"/>
  <c r="C731" i="5"/>
  <c r="D731" i="5" s="1"/>
  <c r="C563" i="5"/>
  <c r="D563" i="5" s="1"/>
  <c r="C383" i="5"/>
  <c r="D383" i="5" s="1"/>
  <c r="C177" i="5"/>
  <c r="D177" i="5" s="1"/>
  <c r="C511" i="5"/>
  <c r="D511" i="5" s="1"/>
  <c r="C874" i="5"/>
  <c r="D874" i="5" s="1"/>
  <c r="C730" i="5"/>
  <c r="D730" i="5" s="1"/>
  <c r="C562" i="5"/>
  <c r="D562" i="5" s="1"/>
  <c r="C320" i="5"/>
  <c r="D320" i="5" s="1"/>
  <c r="C140" i="5"/>
  <c r="D140" i="5" s="1"/>
  <c r="C999" i="5"/>
  <c r="D999" i="5" s="1"/>
  <c r="C849" i="5"/>
  <c r="D849" i="5" s="1"/>
  <c r="C693" i="5"/>
  <c r="D693" i="5" s="1"/>
  <c r="C513" i="5"/>
  <c r="D513" i="5" s="1"/>
  <c r="C259" i="5"/>
  <c r="D259" i="5" s="1"/>
  <c r="C79" i="5"/>
  <c r="D79" i="5" s="1"/>
  <c r="C950" i="5"/>
  <c r="D950" i="5" s="1"/>
  <c r="C800" i="5"/>
  <c r="D800" i="5" s="1"/>
  <c r="C620" i="5"/>
  <c r="D620" i="5" s="1"/>
  <c r="C332" i="5"/>
  <c r="D332" i="5" s="1"/>
  <c r="C138" i="5"/>
  <c r="D138" i="5" s="1"/>
  <c r="C415" i="5"/>
  <c r="D415" i="5" s="1"/>
  <c r="C882" i="5"/>
  <c r="D882" i="5" s="1"/>
  <c r="C738" i="5"/>
  <c r="D738" i="5" s="1"/>
  <c r="C558" i="5"/>
  <c r="D558" i="5" s="1"/>
  <c r="C292" i="5"/>
  <c r="D292" i="5" s="1"/>
  <c r="C112" i="5"/>
  <c r="D112" i="5" s="1"/>
  <c r="C77" i="5"/>
  <c r="D77" i="5" s="1"/>
  <c r="C905" i="5"/>
  <c r="D905" i="5" s="1"/>
  <c r="C761" i="5"/>
  <c r="D761" i="5" s="1"/>
  <c r="C593" i="5"/>
  <c r="D593" i="5" s="1"/>
  <c r="C327" i="5"/>
  <c r="D327" i="5" s="1"/>
  <c r="C147" i="5"/>
  <c r="D147" i="5" s="1"/>
  <c r="C1174" i="5"/>
  <c r="D1174" i="5" s="1"/>
  <c r="C868" i="5"/>
  <c r="D868" i="5" s="1"/>
  <c r="C712" i="5"/>
  <c r="D712" i="5" s="1"/>
  <c r="C508" i="5"/>
  <c r="D508" i="5" s="1"/>
  <c r="C242" i="5"/>
  <c r="D242" i="5" s="1"/>
  <c r="C74" i="5"/>
  <c r="D74" i="5" s="1"/>
  <c r="C981" i="5"/>
  <c r="D981" i="5" s="1"/>
  <c r="C819" i="5"/>
  <c r="D819" i="5" s="1"/>
  <c r="C615" i="5"/>
  <c r="D615" i="5" s="1"/>
  <c r="C387" i="5"/>
  <c r="D387" i="5" s="1"/>
  <c r="C181" i="5"/>
  <c r="D181" i="5" s="1"/>
  <c r="C823" i="5"/>
  <c r="D823" i="5" s="1"/>
  <c r="C920" i="5"/>
  <c r="D920" i="5" s="1"/>
  <c r="C746" i="5"/>
  <c r="D746" i="5" s="1"/>
  <c r="C554" i="5"/>
  <c r="D554" i="5" s="1"/>
  <c r="C312" i="5"/>
  <c r="D312" i="5" s="1"/>
  <c r="C132" i="5"/>
  <c r="D132" i="5" s="1"/>
  <c r="C991" i="5"/>
  <c r="D991" i="5" s="1"/>
  <c r="C841" i="5"/>
  <c r="D841" i="5" s="1"/>
  <c r="C625" i="5"/>
  <c r="D625" i="5" s="1"/>
  <c r="C433" i="5"/>
  <c r="D433" i="5" s="1"/>
  <c r="C239" i="5"/>
  <c r="D239" i="5" s="1"/>
  <c r="C293" i="5"/>
  <c r="D293" i="5" s="1"/>
  <c r="C864" i="5"/>
  <c r="D864" i="5" s="1"/>
  <c r="C720" i="5"/>
  <c r="D720" i="5" s="1"/>
  <c r="C540" i="5"/>
  <c r="D540" i="5" s="1"/>
  <c r="C310" i="5"/>
  <c r="D310" i="5" s="1"/>
  <c r="C142" i="5"/>
  <c r="D142" i="5" s="1"/>
  <c r="C101" i="5"/>
  <c r="D101" i="5" s="1"/>
  <c r="C863" i="5"/>
  <c r="D863" i="5" s="1"/>
  <c r="C719" i="5"/>
  <c r="D719" i="5" s="1"/>
  <c r="C551" i="5"/>
  <c r="D551" i="5" s="1"/>
  <c r="C371" i="5"/>
  <c r="D371" i="5" s="1"/>
  <c r="C165" i="5"/>
  <c r="D165" i="5" s="1"/>
  <c r="C89" i="5"/>
  <c r="D89" i="5" s="1"/>
  <c r="C862" i="5"/>
  <c r="D862" i="5" s="1"/>
  <c r="C718" i="5"/>
  <c r="D718" i="5" s="1"/>
  <c r="C550" i="5"/>
  <c r="D550" i="5" s="1"/>
  <c r="C296" i="5"/>
  <c r="D296" i="5" s="1"/>
  <c r="C128" i="5"/>
  <c r="D128" i="5" s="1"/>
  <c r="C987" i="5"/>
  <c r="D987" i="5" s="1"/>
  <c r="C837" i="5"/>
  <c r="D837" i="5" s="1"/>
  <c r="C681" i="5"/>
  <c r="D681" i="5" s="1"/>
  <c r="C501" i="5"/>
  <c r="D501" i="5" s="1"/>
  <c r="C247" i="5"/>
  <c r="D247" i="5" s="1"/>
  <c r="C67" i="5"/>
  <c r="D67" i="5" s="1"/>
  <c r="C938" i="5"/>
  <c r="D938" i="5" s="1"/>
  <c r="C788" i="5"/>
  <c r="D788" i="5" s="1"/>
  <c r="C608" i="5"/>
  <c r="D608" i="5" s="1"/>
  <c r="C318" i="5"/>
  <c r="D318" i="5" s="1"/>
  <c r="C126" i="5"/>
  <c r="D126" i="5" s="1"/>
  <c r="C185" i="5"/>
  <c r="D185" i="5" s="1"/>
  <c r="C870" i="5"/>
  <c r="D870" i="5" s="1"/>
  <c r="C726" i="5"/>
  <c r="D726" i="5" s="1"/>
  <c r="C534" i="5"/>
  <c r="D534" i="5" s="1"/>
  <c r="C268" i="5"/>
  <c r="D268" i="5" s="1"/>
  <c r="C100" i="5"/>
  <c r="D100" i="5" s="1"/>
  <c r="C1175" i="5"/>
  <c r="D1175" i="5" s="1"/>
  <c r="C893" i="5"/>
  <c r="D893" i="5" s="1"/>
  <c r="C749" i="5"/>
  <c r="D749" i="5" s="1"/>
  <c r="C569" i="5"/>
  <c r="D569" i="5" s="1"/>
  <c r="C315" i="5"/>
  <c r="D315" i="5" s="1"/>
  <c r="C135" i="5"/>
  <c r="D135" i="5" s="1"/>
  <c r="C1092" i="5"/>
  <c r="D1092" i="5" s="1"/>
  <c r="C856" i="5"/>
  <c r="D856" i="5" s="1"/>
  <c r="C700" i="5"/>
  <c r="D700" i="5" s="1"/>
  <c r="C436" i="5"/>
  <c r="D436" i="5" s="1"/>
  <c r="C230" i="5"/>
  <c r="D230" i="5" s="1"/>
  <c r="C62" i="5"/>
  <c r="D62" i="5" s="1"/>
  <c r="C969" i="5"/>
  <c r="D969" i="5" s="1"/>
  <c r="C807" i="5"/>
  <c r="D807" i="5" s="1"/>
  <c r="C603" i="5"/>
  <c r="D603" i="5" s="1"/>
  <c r="C375" i="5"/>
  <c r="D375" i="5" s="1"/>
  <c r="C169" i="5"/>
  <c r="D169" i="5" s="1"/>
  <c r="C703" i="5"/>
  <c r="D703" i="5" s="1"/>
  <c r="C902" i="5"/>
  <c r="D902" i="5" s="1"/>
  <c r="C734" i="5"/>
  <c r="D734" i="5" s="1"/>
  <c r="C542" i="5"/>
  <c r="D542" i="5" s="1"/>
  <c r="C300" i="5"/>
  <c r="D300" i="5" s="1"/>
  <c r="C120" i="5"/>
  <c r="D120" i="5" s="1"/>
  <c r="C979" i="5"/>
  <c r="D979" i="5" s="1"/>
  <c r="C829" i="5"/>
  <c r="D829" i="5" s="1"/>
  <c r="C613" i="5"/>
  <c r="D613" i="5" s="1"/>
  <c r="C421" i="5"/>
  <c r="D421" i="5" s="1"/>
  <c r="C227" i="5"/>
  <c r="D227" i="5" s="1"/>
  <c r="C1170" i="5"/>
  <c r="D1170" i="5" s="1"/>
  <c r="C852" i="5"/>
  <c r="D852" i="5" s="1"/>
  <c r="C708" i="5"/>
  <c r="D708" i="5" s="1"/>
  <c r="C528" i="5"/>
  <c r="D528" i="5" s="1"/>
  <c r="C298" i="5"/>
  <c r="D298" i="5" s="1"/>
  <c r="C130" i="5"/>
  <c r="D130" i="5" s="1"/>
  <c r="C1169" i="5"/>
  <c r="D1169" i="5" s="1"/>
  <c r="C851" i="5"/>
  <c r="D851" i="5" s="1"/>
  <c r="C707" i="5"/>
  <c r="D707" i="5" s="1"/>
  <c r="C539" i="5"/>
  <c r="D539" i="5" s="1"/>
  <c r="C335" i="5"/>
  <c r="D335" i="5" s="1"/>
  <c r="C153" i="5"/>
  <c r="D153" i="5" s="1"/>
  <c r="C1168" i="5"/>
  <c r="D1168" i="5" s="1"/>
  <c r="C850" i="5"/>
  <c r="D850" i="5" s="1"/>
  <c r="C706" i="5"/>
  <c r="D706" i="5" s="1"/>
  <c r="C538" i="5"/>
  <c r="D538" i="5" s="1"/>
  <c r="C284" i="5"/>
  <c r="D284" i="5" s="1"/>
  <c r="C116" i="5"/>
  <c r="D116" i="5" s="1"/>
  <c r="C975" i="5"/>
  <c r="D975" i="5" s="1"/>
  <c r="C825" i="5"/>
  <c r="D825" i="5" s="1"/>
  <c r="C645" i="5"/>
  <c r="D645" i="5" s="1"/>
  <c r="C429" i="5"/>
  <c r="D429" i="5" s="1"/>
  <c r="C235" i="5"/>
  <c r="D235" i="5" s="1"/>
  <c r="C871" i="5"/>
  <c r="D871" i="5" s="1"/>
  <c r="C914" i="5"/>
  <c r="D914" i="5" s="1"/>
  <c r="C776" i="5"/>
  <c r="D776" i="5" s="1"/>
  <c r="C596" i="5"/>
  <c r="D596" i="5" s="1"/>
  <c r="C306" i="5"/>
  <c r="D306" i="5" s="1"/>
  <c r="C114" i="5"/>
  <c r="D114" i="5" s="1"/>
  <c r="C286" i="5"/>
  <c r="D286" i="5" s="1"/>
  <c r="C321" i="5"/>
  <c r="D321" i="5" s="1"/>
  <c r="C838" i="5"/>
  <c r="D838" i="5" s="1"/>
  <c r="C526" i="5"/>
  <c r="D526" i="5" s="1"/>
  <c r="C104" i="5"/>
  <c r="D104" i="5" s="1"/>
  <c r="C813" i="5"/>
  <c r="D813" i="5" s="1"/>
  <c r="C417" i="5"/>
  <c r="D417" i="5" s="1"/>
  <c r="C223" i="5"/>
  <c r="D223" i="5" s="1"/>
  <c r="C584" i="5"/>
  <c r="D584" i="5" s="1"/>
  <c r="C102" i="5"/>
  <c r="D102" i="5" s="1"/>
  <c r="C858" i="5"/>
  <c r="D858" i="5" s="1"/>
  <c r="C714" i="5"/>
  <c r="D714" i="5" s="1"/>
  <c r="C522" i="5"/>
  <c r="D522" i="5" s="1"/>
  <c r="C256" i="5"/>
  <c r="D256" i="5" s="1"/>
  <c r="C88" i="5"/>
  <c r="D88" i="5" s="1"/>
  <c r="C1093" i="5"/>
  <c r="D1093" i="5" s="1"/>
  <c r="C881" i="5"/>
  <c r="D881" i="5" s="1"/>
  <c r="C737" i="5"/>
  <c r="D737" i="5" s="1"/>
  <c r="C557" i="5"/>
  <c r="D557" i="5" s="1"/>
  <c r="C303" i="5"/>
  <c r="D303" i="5" s="1"/>
  <c r="C123" i="5"/>
  <c r="D123" i="5" s="1"/>
  <c r="C1032" i="5"/>
  <c r="D1032" i="5" s="1"/>
  <c r="C844" i="5"/>
  <c r="D844" i="5" s="1"/>
  <c r="C688" i="5"/>
  <c r="D688" i="5" s="1"/>
  <c r="C424" i="5"/>
  <c r="D424" i="5" s="1"/>
  <c r="C218" i="5"/>
  <c r="D218" i="5" s="1"/>
  <c r="C925" i="5"/>
  <c r="D925" i="5" s="1"/>
  <c r="C957" i="5"/>
  <c r="D957" i="5" s="1"/>
  <c r="C783" i="5"/>
  <c r="D783" i="5" s="1"/>
  <c r="C591" i="5"/>
  <c r="D591" i="5" s="1"/>
  <c r="C325" i="5"/>
  <c r="D325" i="5" s="1"/>
  <c r="C157" i="5"/>
  <c r="D157" i="5" s="1"/>
  <c r="C559" i="5"/>
  <c r="D559" i="5" s="1"/>
  <c r="C890" i="5"/>
  <c r="D890" i="5" s="1"/>
  <c r="C710" i="5"/>
  <c r="D710" i="5" s="1"/>
  <c r="C530" i="5"/>
  <c r="D530" i="5" s="1"/>
  <c r="C288" i="5"/>
  <c r="D288" i="5" s="1"/>
  <c r="C108" i="5"/>
  <c r="D108" i="5" s="1"/>
  <c r="C967" i="5"/>
  <c r="D967" i="5" s="1"/>
  <c r="C817" i="5"/>
  <c r="D817" i="5" s="1"/>
  <c r="C601" i="5"/>
  <c r="D601" i="5" s="1"/>
  <c r="C409" i="5"/>
  <c r="D409" i="5" s="1"/>
  <c r="C191" i="5"/>
  <c r="D191" i="5" s="1"/>
  <c r="C1028" i="5"/>
  <c r="D1028" i="5" s="1"/>
  <c r="C840" i="5"/>
  <c r="D840" i="5" s="1"/>
  <c r="C696" i="5"/>
  <c r="D696" i="5" s="1"/>
  <c r="C516" i="5"/>
  <c r="D516" i="5" s="1"/>
  <c r="C118" i="5"/>
  <c r="D118" i="5" s="1"/>
  <c r="C1027" i="5"/>
  <c r="D1027" i="5" s="1"/>
  <c r="C839" i="5"/>
  <c r="D839" i="5" s="1"/>
  <c r="C695" i="5"/>
  <c r="D695" i="5" s="1"/>
  <c r="C527" i="5"/>
  <c r="D527" i="5" s="1"/>
  <c r="C141" i="5"/>
  <c r="D141" i="5" s="1"/>
  <c r="C988" i="5"/>
  <c r="D988" i="5" s="1"/>
  <c r="C694" i="5"/>
  <c r="D694" i="5" s="1"/>
  <c r="C272" i="5"/>
  <c r="D272" i="5" s="1"/>
  <c r="C963" i="5"/>
  <c r="D963" i="5" s="1"/>
  <c r="C633" i="5"/>
  <c r="D633" i="5" s="1"/>
  <c r="C727" i="5"/>
  <c r="D727" i="5" s="1"/>
  <c r="C764" i="5"/>
  <c r="D764" i="5" s="1"/>
  <c r="C270" i="5"/>
  <c r="D270" i="5" s="1"/>
  <c r="C996" i="5"/>
  <c r="D996" i="5" s="1"/>
  <c r="C846" i="5"/>
  <c r="D846" i="5" s="1"/>
  <c r="C702" i="5"/>
  <c r="D702" i="5" s="1"/>
  <c r="C510" i="5"/>
  <c r="D510" i="5" s="1"/>
  <c r="C244" i="5"/>
  <c r="D244" i="5" s="1"/>
  <c r="C76" i="5"/>
  <c r="D76" i="5" s="1"/>
  <c r="C1033" i="5"/>
  <c r="D1033" i="5" s="1"/>
  <c r="C869" i="5"/>
  <c r="D869" i="5" s="1"/>
  <c r="C725" i="5"/>
  <c r="D725" i="5" s="1"/>
  <c r="C545" i="5"/>
  <c r="D545" i="5" s="1"/>
  <c r="C291" i="5"/>
  <c r="D291" i="5" s="1"/>
  <c r="C111" i="5"/>
  <c r="D111" i="5" s="1"/>
  <c r="C994" i="5"/>
  <c r="D994" i="5" s="1"/>
  <c r="C832" i="5"/>
  <c r="D832" i="5" s="1"/>
  <c r="C676" i="5"/>
  <c r="D676" i="5" s="1"/>
  <c r="C400" i="5"/>
  <c r="D400" i="5" s="1"/>
  <c r="C194" i="5"/>
  <c r="D194" i="5" s="1"/>
  <c r="C811" i="5"/>
  <c r="D811" i="5" s="1"/>
  <c r="C945" i="5"/>
  <c r="D945" i="5" s="1"/>
  <c r="C771" i="5"/>
  <c r="D771" i="5" s="1"/>
  <c r="C567" i="5"/>
  <c r="D567" i="5" s="1"/>
  <c r="C313" i="5"/>
  <c r="D313" i="5" s="1"/>
  <c r="C145" i="5"/>
  <c r="D145" i="5" s="1"/>
  <c r="C257" i="5"/>
  <c r="D257" i="5" s="1"/>
  <c r="C878" i="5"/>
  <c r="D878" i="5" s="1"/>
  <c r="C698" i="5"/>
  <c r="D698" i="5" s="1"/>
  <c r="C518" i="5"/>
  <c r="D518" i="5" s="1"/>
  <c r="C276" i="5"/>
  <c r="D276" i="5" s="1"/>
  <c r="C84" i="5"/>
  <c r="D84" i="5" s="1"/>
  <c r="C955" i="5"/>
  <c r="D955" i="5" s="1"/>
  <c r="C781" i="5"/>
  <c r="D781" i="5" s="1"/>
  <c r="C589" i="5"/>
  <c r="D589" i="5" s="1"/>
  <c r="C397" i="5"/>
  <c r="D397" i="5" s="1"/>
  <c r="C155" i="5"/>
  <c r="D155" i="5" s="1"/>
  <c r="C990" i="5"/>
  <c r="D990" i="5" s="1"/>
  <c r="C828" i="5"/>
  <c r="D828" i="5" s="1"/>
  <c r="C684" i="5"/>
  <c r="D684" i="5" s="1"/>
  <c r="C504" i="5"/>
  <c r="D504" i="5" s="1"/>
  <c r="C274" i="5"/>
  <c r="D274" i="5" s="1"/>
  <c r="C106" i="5"/>
  <c r="D106" i="5" s="1"/>
  <c r="C989" i="5"/>
  <c r="D989" i="5" s="1"/>
  <c r="C827" i="5"/>
  <c r="D827" i="5" s="1"/>
  <c r="C683" i="5"/>
  <c r="D683" i="5" s="1"/>
  <c r="C515" i="5"/>
  <c r="D515" i="5" s="1"/>
  <c r="C309" i="5"/>
  <c r="D309" i="5" s="1"/>
  <c r="C129" i="5"/>
  <c r="D129" i="5" s="1"/>
  <c r="C976" i="5"/>
  <c r="D976" i="5" s="1"/>
  <c r="C826" i="5"/>
  <c r="D826" i="5" s="1"/>
  <c r="C682" i="5"/>
  <c r="D682" i="5" s="1"/>
  <c r="C514" i="5"/>
  <c r="D514" i="5" s="1"/>
  <c r="C260" i="5"/>
  <c r="D260" i="5" s="1"/>
  <c r="C92" i="5"/>
  <c r="D92" i="5" s="1"/>
  <c r="C951" i="5"/>
  <c r="D951" i="5" s="1"/>
  <c r="C789" i="5"/>
  <c r="D789" i="5" s="1"/>
  <c r="C621" i="5"/>
  <c r="D621" i="5" s="1"/>
  <c r="C405" i="5"/>
  <c r="D405" i="5" s="1"/>
  <c r="C187" i="5"/>
  <c r="D187" i="5" s="1"/>
  <c r="C571" i="5"/>
  <c r="D571" i="5" s="1"/>
  <c r="C896" i="5"/>
  <c r="D896" i="5" s="1"/>
  <c r="C752" i="5"/>
  <c r="D752" i="5" s="1"/>
  <c r="C572" i="5"/>
  <c r="D572" i="5" s="1"/>
  <c r="C258" i="5"/>
  <c r="D258" i="5" s="1"/>
  <c r="C90" i="5"/>
  <c r="D90" i="5" s="1"/>
  <c r="C984" i="5"/>
  <c r="D984" i="5" s="1"/>
  <c r="C834" i="5"/>
  <c r="D834" i="5" s="1"/>
  <c r="C690" i="5"/>
  <c r="D690" i="5" s="1"/>
  <c r="C426" i="5"/>
  <c r="D426" i="5" s="1"/>
  <c r="C232" i="5"/>
  <c r="D232" i="5" s="1"/>
  <c r="C64" i="5"/>
  <c r="D64" i="5" s="1"/>
  <c r="C995" i="5"/>
  <c r="D995" i="5" s="1"/>
  <c r="C857" i="5"/>
  <c r="D857" i="5" s="1"/>
  <c r="C713" i="5"/>
  <c r="D713" i="5" s="1"/>
  <c r="C533" i="5"/>
  <c r="D533" i="5" s="1"/>
  <c r="C267" i="5"/>
  <c r="D267" i="5" s="1"/>
  <c r="C99" i="5"/>
  <c r="D99" i="5" s="1"/>
  <c r="C982" i="5"/>
  <c r="D982" i="5" s="1"/>
  <c r="C820" i="5"/>
  <c r="D820" i="5" s="1"/>
  <c r="C640" i="5"/>
  <c r="D640" i="5" s="1"/>
  <c r="C388" i="5"/>
  <c r="D388" i="5" s="1"/>
  <c r="C182" i="5"/>
  <c r="D182" i="5" s="1"/>
  <c r="C679" i="5"/>
  <c r="D679" i="5" s="1"/>
  <c r="C921" i="5"/>
  <c r="D921" i="5" s="1"/>
  <c r="C759" i="5"/>
  <c r="D759" i="5" s="1"/>
  <c r="C555" i="5"/>
  <c r="D555" i="5" s="1"/>
  <c r="C301" i="5"/>
  <c r="D301" i="5" s="1"/>
  <c r="C133" i="5"/>
  <c r="D133" i="5" s="1"/>
  <c r="C65" i="5"/>
  <c r="D65" i="5" s="1"/>
  <c r="C866" i="5"/>
  <c r="D866" i="5" s="1"/>
  <c r="C686" i="5"/>
  <c r="D686" i="5" s="1"/>
  <c r="C506" i="5"/>
  <c r="D506" i="5" s="1"/>
  <c r="C264" i="5"/>
  <c r="D264" i="5" s="1"/>
  <c r="C60" i="5"/>
  <c r="D60" i="5" s="1"/>
  <c r="C943" i="5"/>
  <c r="D943" i="5" s="1"/>
  <c r="C769" i="5"/>
  <c r="D769" i="5" s="1"/>
  <c r="C577" i="5"/>
  <c r="D577" i="5" s="1"/>
  <c r="C385" i="5"/>
  <c r="D385" i="5" s="1"/>
  <c r="C143" i="5"/>
  <c r="D143" i="5" s="1"/>
  <c r="C978" i="5"/>
  <c r="D978" i="5" s="1"/>
  <c r="C816" i="5"/>
  <c r="D816" i="5" s="1"/>
  <c r="C636" i="5"/>
  <c r="D636" i="5" s="1"/>
  <c r="C456" i="5"/>
  <c r="D456" i="5" s="1"/>
  <c r="C262" i="5"/>
  <c r="D262" i="5" s="1"/>
  <c r="C82" i="5"/>
  <c r="D82" i="5" s="1"/>
  <c r="C977" i="5"/>
  <c r="D977" i="5" s="1"/>
  <c r="C815" i="5"/>
  <c r="D815" i="5" s="1"/>
  <c r="C647" i="5"/>
  <c r="D647" i="5" s="1"/>
  <c r="C503" i="5"/>
  <c r="D503" i="5" s="1"/>
  <c r="C297" i="5"/>
  <c r="D297" i="5" s="1"/>
  <c r="C117" i="5"/>
  <c r="D117" i="5" s="1"/>
  <c r="C964" i="5"/>
  <c r="D964" i="5" s="1"/>
  <c r="C814" i="5"/>
  <c r="D814" i="5" s="1"/>
  <c r="C646" i="5"/>
  <c r="D646" i="5" s="1"/>
  <c r="C502" i="5"/>
  <c r="D502" i="5" s="1"/>
  <c r="C248" i="5"/>
  <c r="D248" i="5" s="1"/>
  <c r="C80" i="5"/>
  <c r="D80" i="5" s="1"/>
  <c r="C939" i="5"/>
  <c r="D939" i="5" s="1"/>
  <c r="C777" i="5"/>
  <c r="D777" i="5" s="1"/>
  <c r="C609" i="5"/>
  <c r="D609" i="5" s="1"/>
  <c r="C393" i="5"/>
  <c r="D393" i="5" s="1"/>
  <c r="C175" i="5"/>
  <c r="D175" i="5" s="1"/>
  <c r="C197" i="5"/>
  <c r="D197" i="5" s="1"/>
  <c r="C884" i="5"/>
  <c r="D884" i="5" s="1"/>
  <c r="C728" i="5"/>
  <c r="D728" i="5" s="1"/>
  <c r="C536" i="5"/>
  <c r="D536" i="5" s="1"/>
  <c r="C246" i="5"/>
  <c r="D246" i="5" s="1"/>
  <c r="C78" i="5"/>
  <c r="D78" i="5" s="1"/>
  <c r="C972" i="5"/>
  <c r="D972" i="5" s="1"/>
  <c r="C822" i="5"/>
  <c r="D822" i="5" s="1"/>
  <c r="C678" i="5"/>
  <c r="D678" i="5" s="1"/>
  <c r="C414" i="5"/>
  <c r="D414" i="5" s="1"/>
  <c r="C220" i="5"/>
  <c r="D220" i="5" s="1"/>
  <c r="C983" i="5"/>
  <c r="D983" i="5" s="1"/>
  <c r="C845" i="5"/>
  <c r="D845" i="5" s="1"/>
  <c r="C701" i="5"/>
  <c r="D701" i="5" s="1"/>
  <c r="C521" i="5"/>
  <c r="D521" i="5" s="1"/>
  <c r="C255" i="5"/>
  <c r="D255" i="5" s="1"/>
  <c r="C87" i="5"/>
  <c r="D87" i="5" s="1"/>
  <c r="C970" i="5"/>
  <c r="D970" i="5" s="1"/>
  <c r="C808" i="5"/>
  <c r="D808" i="5" s="1"/>
  <c r="C616" i="5"/>
  <c r="D616" i="5" s="1"/>
  <c r="C376" i="5"/>
  <c r="D376" i="5" s="1"/>
  <c r="C170" i="5"/>
  <c r="D170" i="5" s="1"/>
  <c r="C535" i="5"/>
  <c r="D535" i="5" s="1"/>
  <c r="C903" i="5"/>
  <c r="D903" i="5" s="1"/>
  <c r="C747" i="5"/>
  <c r="D747" i="5" s="1"/>
  <c r="C543" i="5"/>
  <c r="D543" i="5" s="1"/>
  <c r="C289" i="5"/>
  <c r="D289" i="5" s="1"/>
  <c r="C121" i="5"/>
  <c r="D121" i="5" s="1"/>
  <c r="C1172" i="5"/>
  <c r="D1172" i="5" s="1"/>
  <c r="C854" i="5"/>
  <c r="D854" i="5" s="1"/>
  <c r="C638" i="5"/>
  <c r="D638" i="5" s="1"/>
  <c r="C434" i="5"/>
  <c r="D434" i="5" s="1"/>
  <c r="C252" i="5"/>
  <c r="D252" i="5" s="1"/>
  <c r="C997" i="5"/>
  <c r="D997" i="5" s="1"/>
  <c r="C919" i="5"/>
  <c r="D919" i="5" s="1"/>
  <c r="C757" i="5"/>
  <c r="D757" i="5" s="1"/>
  <c r="C565" i="5"/>
  <c r="D565" i="5" s="1"/>
  <c r="C373" i="5"/>
  <c r="D373" i="5" s="1"/>
  <c r="C131" i="5"/>
  <c r="D131" i="5" s="1"/>
  <c r="C966" i="5"/>
  <c r="D966" i="5" s="1"/>
  <c r="C804" i="5"/>
  <c r="D804" i="5" s="1"/>
  <c r="C624" i="5"/>
  <c r="D624" i="5" s="1"/>
  <c r="C420" i="5"/>
  <c r="D420" i="5" s="1"/>
  <c r="C250" i="5"/>
  <c r="D250" i="5" s="1"/>
  <c r="C70" i="5"/>
  <c r="D70" i="5" s="1"/>
  <c r="C965" i="5"/>
  <c r="D965" i="5" s="1"/>
  <c r="C803" i="5"/>
  <c r="D803" i="5" s="1"/>
  <c r="C635" i="5"/>
  <c r="D635" i="5" s="1"/>
  <c r="C467" i="5"/>
  <c r="D467" i="5" s="1"/>
  <c r="C285" i="5"/>
  <c r="D285" i="5" s="1"/>
  <c r="C105" i="5"/>
  <c r="D105" i="5" s="1"/>
  <c r="C952" i="5"/>
  <c r="D952" i="5" s="1"/>
  <c r="C802" i="5"/>
  <c r="D802" i="5" s="1"/>
  <c r="C634" i="5"/>
  <c r="D634" i="5" s="1"/>
  <c r="C454" i="5"/>
  <c r="D454" i="5" s="1"/>
  <c r="C236" i="5"/>
  <c r="D236" i="5" s="1"/>
  <c r="C883" i="5"/>
  <c r="D883" i="5" s="1"/>
  <c r="C915" i="5"/>
  <c r="D915" i="5" s="1"/>
  <c r="C765" i="5"/>
  <c r="D765" i="5" s="1"/>
  <c r="C597" i="5"/>
  <c r="D597" i="5" s="1"/>
  <c r="C381" i="5"/>
  <c r="D381" i="5" s="1"/>
  <c r="C151" i="5"/>
  <c r="D151" i="5" s="1"/>
  <c r="C125" i="5"/>
  <c r="D125" i="5" s="1"/>
  <c r="C872" i="5"/>
  <c r="D872" i="5" s="1"/>
  <c r="C716" i="5"/>
  <c r="D716" i="5" s="1"/>
  <c r="C524" i="5"/>
  <c r="D524" i="5" s="1"/>
  <c r="C234" i="5"/>
  <c r="D234" i="5" s="1"/>
  <c r="C66" i="5"/>
  <c r="D66" i="5" s="1"/>
  <c r="C960" i="5"/>
  <c r="D960" i="5" s="1"/>
  <c r="C810" i="5"/>
  <c r="D810" i="5" s="1"/>
  <c r="C654" i="5"/>
  <c r="D654" i="5" s="1"/>
  <c r="C402" i="5"/>
  <c r="D402" i="5" s="1"/>
  <c r="C196" i="5"/>
  <c r="D196" i="5" s="1"/>
  <c r="C961" i="5"/>
  <c r="D961" i="5" s="1"/>
  <c r="C971" i="5"/>
  <c r="D971" i="5" s="1"/>
  <c r="C833" i="5"/>
  <c r="D833" i="5" s="1"/>
  <c r="C689" i="5"/>
  <c r="D689" i="5" s="1"/>
  <c r="C509" i="5"/>
  <c r="D509" i="5" s="1"/>
  <c r="C243" i="5"/>
  <c r="D243" i="5" s="1"/>
  <c r="C75" i="5"/>
  <c r="D75" i="5" s="1"/>
  <c r="C958" i="5"/>
  <c r="D958" i="5" s="1"/>
  <c r="C784" i="5"/>
  <c r="D784" i="5" s="1"/>
  <c r="C604" i="5"/>
  <c r="D604" i="5" s="1"/>
  <c r="C326" i="5"/>
  <c r="D326" i="5" s="1"/>
  <c r="C158" i="5"/>
  <c r="D158" i="5" s="1"/>
  <c r="C391" i="5"/>
  <c r="D391" i="5" s="1"/>
  <c r="C891" i="5"/>
  <c r="D891" i="5" s="1"/>
  <c r="C735" i="5"/>
  <c r="D735" i="5" s="1"/>
  <c r="C531" i="5"/>
  <c r="D531" i="5" s="1"/>
  <c r="C277" i="5"/>
  <c r="D277" i="5" s="1"/>
  <c r="C109" i="5"/>
  <c r="D109" i="5" s="1"/>
  <c r="C1030" i="5"/>
  <c r="D1030" i="5" s="1"/>
  <c r="C842" i="5"/>
  <c r="D842" i="5" s="1"/>
  <c r="C626" i="5"/>
  <c r="D626" i="5" s="1"/>
  <c r="C422" i="5"/>
  <c r="D422" i="5" s="1"/>
  <c r="C240" i="5"/>
  <c r="D240" i="5" s="1"/>
  <c r="C895" i="5"/>
  <c r="D895" i="5" s="1"/>
  <c r="C907" i="5"/>
  <c r="D907" i="5" s="1"/>
  <c r="C745" i="5"/>
  <c r="D745" i="5" s="1"/>
  <c r="C553" i="5"/>
  <c r="D553" i="5" s="1"/>
  <c r="C323" i="5"/>
  <c r="D323" i="5" s="1"/>
  <c r="C119" i="5"/>
  <c r="D119" i="5" s="1"/>
  <c r="C942" i="5"/>
  <c r="D942" i="5" s="1"/>
  <c r="C792" i="5"/>
  <c r="D792" i="5" s="1"/>
  <c r="C612" i="5"/>
  <c r="D612" i="5" s="1"/>
  <c r="C408" i="5"/>
  <c r="D408" i="5" s="1"/>
  <c r="C238" i="5"/>
  <c r="D238" i="5" s="1"/>
  <c r="C973" i="5"/>
  <c r="D973" i="5" s="1"/>
  <c r="C941" i="5"/>
  <c r="D941" i="5" s="1"/>
  <c r="C791" i="5"/>
  <c r="D791" i="5" s="1"/>
  <c r="C623" i="5"/>
  <c r="D623" i="5" s="1"/>
  <c r="C455" i="5"/>
  <c r="D455" i="5" s="1"/>
  <c r="C273" i="5"/>
  <c r="D273" i="5" s="1"/>
  <c r="C81" i="5"/>
  <c r="D81" i="5" s="1"/>
  <c r="C940" i="5"/>
  <c r="D940" i="5" s="1"/>
  <c r="C790" i="5"/>
  <c r="D790" i="5" s="1"/>
  <c r="C622" i="5"/>
  <c r="D622" i="5" s="1"/>
  <c r="C418" i="5"/>
  <c r="D418" i="5" s="1"/>
  <c r="C224" i="5"/>
  <c r="D224" i="5" s="1"/>
  <c r="C523" i="5"/>
  <c r="D523" i="5" s="1"/>
  <c r="C753" i="5"/>
  <c r="D753" i="5" s="1"/>
  <c r="C585" i="5"/>
  <c r="D585" i="5" s="1"/>
  <c r="C369" i="5"/>
  <c r="D369" i="5" s="1"/>
  <c r="C139" i="5"/>
  <c r="D139" i="5" s="1"/>
  <c r="C1166" i="5"/>
  <c r="D1166" i="5" s="1"/>
  <c r="C860" i="5"/>
  <c r="D860" i="5" s="1"/>
  <c r="C704" i="5"/>
  <c r="D704" i="5" s="1"/>
  <c r="C512" i="5"/>
  <c r="D512" i="5" s="1"/>
  <c r="C222" i="5"/>
  <c r="D222" i="5" s="1"/>
  <c r="C948" i="5"/>
  <c r="D948" i="5" s="1"/>
  <c r="C798" i="5"/>
  <c r="D798" i="5" s="1"/>
  <c r="C630" i="5"/>
  <c r="D630" i="5" s="1"/>
  <c r="C390" i="5"/>
  <c r="D390" i="5" s="1"/>
  <c r="C184" i="5"/>
  <c r="D184" i="5" s="1"/>
  <c r="C835" i="5"/>
  <c r="D835" i="5" s="1"/>
  <c r="C959" i="5"/>
  <c r="D959" i="5" s="1"/>
  <c r="C821" i="5"/>
  <c r="D821" i="5" s="1"/>
  <c r="C677" i="5"/>
  <c r="D677" i="5" s="1"/>
  <c r="C437" i="5"/>
  <c r="D437" i="5" s="1"/>
  <c r="C231" i="5"/>
  <c r="D231" i="5" s="1"/>
  <c r="C63" i="5"/>
  <c r="D63" i="5" s="1"/>
  <c r="C946" i="5"/>
  <c r="D946" i="5" s="1"/>
  <c r="C772" i="5"/>
  <c r="D772" i="5" s="1"/>
  <c r="C592" i="5"/>
  <c r="D592" i="5" s="1"/>
  <c r="C314" i="5"/>
  <c r="D314" i="5" s="1"/>
  <c r="C146" i="5"/>
  <c r="D146" i="5" s="1"/>
  <c r="C221" i="5"/>
  <c r="D221" i="5" s="1"/>
  <c r="C879" i="5"/>
  <c r="D879" i="5" s="1"/>
  <c r="C723" i="5"/>
  <c r="D723" i="5" s="1"/>
  <c r="C519" i="5"/>
  <c r="D519" i="5" s="1"/>
  <c r="C265" i="5"/>
  <c r="D265" i="5" s="1"/>
  <c r="C97" i="5"/>
  <c r="D97" i="5" s="1"/>
  <c r="C992" i="5"/>
  <c r="D992" i="5" s="1"/>
  <c r="C830" i="5"/>
  <c r="D830" i="5" s="1"/>
  <c r="C614" i="5"/>
  <c r="D614" i="5" s="1"/>
  <c r="C410" i="5"/>
  <c r="D410" i="5" s="1"/>
  <c r="C228" i="5"/>
  <c r="D228" i="5" s="1"/>
  <c r="C799" i="5"/>
  <c r="D799" i="5" s="1"/>
  <c r="C901" i="5"/>
  <c r="D901" i="5" s="1"/>
  <c r="C733" i="5"/>
  <c r="D733" i="5" s="1"/>
  <c r="C541" i="5"/>
  <c r="D541" i="5" s="1"/>
  <c r="C311" i="5"/>
  <c r="D311" i="5" s="1"/>
  <c r="C107" i="5"/>
  <c r="D107" i="5" s="1"/>
  <c r="C918" i="5"/>
  <c r="D918" i="5" s="1"/>
  <c r="C780" i="5"/>
  <c r="D780" i="5" s="1"/>
  <c r="C600" i="5"/>
  <c r="D600" i="5" s="1"/>
  <c r="C396" i="5"/>
  <c r="D396" i="5" s="1"/>
  <c r="C226" i="5"/>
  <c r="D226" i="5" s="1"/>
  <c r="C859" i="5"/>
  <c r="D859" i="5" s="1"/>
  <c r="C917" i="5"/>
  <c r="D917" i="5" s="1"/>
  <c r="C779" i="5"/>
  <c r="D779" i="5" s="1"/>
  <c r="C611" i="5"/>
  <c r="D611" i="5" s="1"/>
  <c r="C431" i="5"/>
  <c r="D431" i="5" s="1"/>
  <c r="C261" i="5"/>
  <c r="D261" i="5" s="1"/>
  <c r="C69" i="5"/>
  <c r="D69" i="5" s="1"/>
  <c r="C916" i="5"/>
  <c r="D916" i="5" s="1"/>
  <c r="C778" i="5"/>
  <c r="D778" i="5" s="1"/>
  <c r="C610" i="5"/>
  <c r="D610" i="5" s="1"/>
  <c r="C406" i="5"/>
  <c r="D406" i="5" s="1"/>
  <c r="C188" i="5"/>
  <c r="D188" i="5" s="1"/>
  <c r="C379" i="5"/>
  <c r="D379" i="5" s="1"/>
  <c r="C897" i="5"/>
  <c r="D897" i="5" s="1"/>
  <c r="C741" i="5"/>
  <c r="D741" i="5" s="1"/>
  <c r="C573" i="5"/>
  <c r="D573" i="5" s="1"/>
  <c r="C333" i="5"/>
  <c r="D333" i="5" s="1"/>
  <c r="C127" i="5"/>
  <c r="D127" i="5" s="1"/>
  <c r="C998" i="5"/>
  <c r="D998" i="5" s="1"/>
  <c r="C848" i="5"/>
  <c r="D848" i="5" s="1"/>
  <c r="C692" i="5"/>
  <c r="D692" i="5" s="1"/>
  <c r="C416" i="5"/>
  <c r="D416" i="5" s="1"/>
  <c r="C198" i="5"/>
  <c r="D198" i="5" s="1"/>
  <c r="C936" i="5"/>
  <c r="D936" i="5" s="1"/>
  <c r="C786" i="5"/>
  <c r="D786" i="5" s="1"/>
  <c r="C618" i="5"/>
  <c r="D618" i="5" s="1"/>
  <c r="C378" i="5"/>
  <c r="D378" i="5" s="1"/>
  <c r="C172" i="5"/>
  <c r="D172" i="5" s="1"/>
  <c r="C715" i="5"/>
  <c r="D715" i="5" s="1"/>
  <c r="C947" i="5"/>
  <c r="D947" i="5" s="1"/>
  <c r="C809" i="5"/>
  <c r="D809" i="5" s="1"/>
  <c r="C653" i="5"/>
  <c r="D653" i="5" s="1"/>
  <c r="C425" i="5"/>
  <c r="D425" i="5" s="1"/>
  <c r="C195" i="5"/>
  <c r="D195" i="5" s="1"/>
  <c r="C949" i="5"/>
  <c r="D949" i="5" s="1"/>
  <c r="C922" i="5"/>
  <c r="D922" i="5" s="1"/>
  <c r="C760" i="5"/>
  <c r="D760" i="5" s="1"/>
  <c r="C556" i="5"/>
  <c r="D556" i="5" s="1"/>
  <c r="C302" i="5"/>
  <c r="D302" i="5" s="1"/>
  <c r="C134" i="5"/>
  <c r="D134" i="5" s="1"/>
  <c r="C1173" i="5"/>
  <c r="D1173" i="5" s="1"/>
  <c r="C867" i="5"/>
  <c r="D867" i="5" s="1"/>
  <c r="C711" i="5"/>
  <c r="D711" i="5" s="1"/>
  <c r="C507" i="5"/>
  <c r="D507" i="5" s="1"/>
  <c r="C253" i="5"/>
  <c r="D253" i="5" s="1"/>
  <c r="C85" i="5"/>
  <c r="D85" i="5" s="1"/>
  <c r="C806" i="5"/>
  <c r="D806" i="5" s="1"/>
  <c r="C588" i="5"/>
  <c r="D588" i="5" s="1"/>
  <c r="C598" i="5"/>
  <c r="D598" i="5" s="1"/>
  <c r="C404" i="5"/>
  <c r="D404" i="5" s="1"/>
  <c r="C394" i="5"/>
  <c r="D394" i="5" s="1"/>
  <c r="C602" i="5"/>
  <c r="D602" i="5" s="1"/>
  <c r="C398" i="5"/>
  <c r="D398" i="5" s="1"/>
  <c r="C190" i="5"/>
  <c r="D190" i="5" s="1"/>
  <c r="C176" i="5"/>
  <c r="D176" i="5" s="1"/>
  <c r="C192" i="5"/>
  <c r="D192" i="5" s="1"/>
  <c r="C691" i="5"/>
  <c r="D691" i="5" s="1"/>
  <c r="C269" i="5"/>
  <c r="D269" i="5" s="1"/>
  <c r="C655" i="5"/>
  <c r="D655" i="5" s="1"/>
  <c r="C885" i="5"/>
  <c r="D885" i="5" s="1"/>
  <c r="C889" i="5"/>
  <c r="D889" i="5" s="1"/>
  <c r="C767" i="5"/>
  <c r="D767" i="5" s="1"/>
  <c r="C721" i="5"/>
  <c r="D721" i="5" s="1"/>
  <c r="C599" i="5"/>
  <c r="D599" i="5" s="1"/>
  <c r="C549" i="5"/>
  <c r="D549" i="5" s="1"/>
  <c r="C529" i="5"/>
  <c r="D529" i="5" s="1"/>
  <c r="C419" i="5"/>
  <c r="D419" i="5" s="1"/>
  <c r="C319" i="5"/>
  <c r="D319" i="5" s="1"/>
  <c r="C299" i="5"/>
  <c r="D299" i="5" s="1"/>
  <c r="C249" i="5"/>
  <c r="D249" i="5" s="1"/>
  <c r="C115" i="5"/>
  <c r="D115" i="5" s="1"/>
  <c r="C729" i="5"/>
  <c r="D729" i="5" s="1"/>
  <c r="C83" i="5"/>
  <c r="D83" i="5" s="1"/>
  <c r="C985" i="5"/>
  <c r="D985" i="5" s="1"/>
  <c r="C986" i="5"/>
  <c r="D986" i="5" s="1"/>
  <c r="C906" i="5"/>
  <c r="D906" i="5" s="1"/>
  <c r="C836" i="5"/>
  <c r="D836" i="5" s="1"/>
  <c r="C980" i="5"/>
  <c r="D980" i="5" s="1"/>
  <c r="C768" i="5"/>
  <c r="D768" i="5" s="1"/>
  <c r="C766" i="5"/>
  <c r="D766" i="5" s="1"/>
  <c r="C680" i="5"/>
  <c r="D680" i="5" s="1"/>
  <c r="C384" i="5"/>
  <c r="D384" i="5" s="1"/>
  <c r="C186" i="5"/>
  <c r="D186" i="5" s="1"/>
  <c r="C1361" i="5"/>
  <c r="D1361" i="5" s="1"/>
  <c r="B1354" i="5"/>
  <c r="P1354" i="5" s="1"/>
  <c r="C1345" i="5"/>
  <c r="D1345" i="5" s="1"/>
  <c r="B1302" i="5"/>
  <c r="P1302" i="5" s="1"/>
  <c r="C1343" i="5"/>
  <c r="D1343" i="5" s="1"/>
  <c r="B1313" i="5"/>
  <c r="P1313" i="5" s="1"/>
  <c r="B1327" i="5"/>
  <c r="P1327" i="5" s="1"/>
  <c r="B1177" i="5"/>
  <c r="P1177" i="5" s="1"/>
  <c r="C1339" i="5"/>
  <c r="D1339" i="5" s="1"/>
  <c r="B1294" i="5"/>
  <c r="P1294" i="5" s="1"/>
  <c r="B1329" i="5"/>
  <c r="P1329" i="5" s="1"/>
  <c r="B1328" i="5"/>
  <c r="P1328" i="5" s="1"/>
  <c r="C1342" i="5"/>
  <c r="D1342" i="5" s="1"/>
  <c r="C1356" i="5"/>
  <c r="D1356" i="5" s="1"/>
  <c r="C1333" i="5"/>
  <c r="D1333" i="5" s="1"/>
  <c r="C1325" i="5"/>
  <c r="D1325" i="5" s="1"/>
  <c r="C1184" i="5"/>
  <c r="D1184" i="5" s="1"/>
  <c r="C1292" i="5"/>
  <c r="D1292" i="5" s="1"/>
  <c r="C1274" i="5"/>
  <c r="D1274" i="5" s="1"/>
  <c r="C1257" i="5"/>
  <c r="D1257" i="5" s="1"/>
  <c r="B1310" i="5"/>
  <c r="P1310" i="5" s="1"/>
  <c r="C1300" i="5"/>
  <c r="D1300" i="5" s="1"/>
  <c r="C1255" i="5"/>
  <c r="D1255" i="5" s="1"/>
  <c r="C1324" i="5"/>
  <c r="D1324" i="5" s="1"/>
  <c r="C1311" i="5"/>
  <c r="D1311" i="5" s="1"/>
  <c r="C1290" i="5"/>
  <c r="D1290" i="5" s="1"/>
  <c r="C1309" i="5"/>
  <c r="D1309" i="5" s="1"/>
  <c r="C1186" i="5"/>
  <c r="D1186" i="5" s="1"/>
  <c r="C1189" i="5"/>
  <c r="D1189" i="5" s="1"/>
  <c r="C1178" i="5"/>
  <c r="D1178" i="5" s="1"/>
  <c r="B1178" i="5"/>
  <c r="P1178" i="5" s="1"/>
  <c r="B1314" i="5"/>
  <c r="P1314" i="5" s="1"/>
  <c r="C1277" i="5"/>
  <c r="D1277" i="5" s="1"/>
  <c r="B1176" i="5"/>
  <c r="P1176" i="5" s="1"/>
  <c r="B1352" i="5"/>
  <c r="P1352" i="5" s="1"/>
  <c r="B1343" i="5"/>
  <c r="P1343" i="5" s="1"/>
  <c r="B1350" i="5"/>
  <c r="P1350" i="5" s="1"/>
  <c r="B1318" i="5"/>
  <c r="P1318" i="5" s="1"/>
  <c r="B1182" i="5"/>
  <c r="P1182" i="5" s="1"/>
  <c r="B1303" i="5"/>
  <c r="P1303" i="5" s="1"/>
  <c r="B1301" i="5"/>
  <c r="P1301" i="5" s="1"/>
  <c r="B1345" i="5"/>
  <c r="P1345" i="5" s="1"/>
  <c r="C1351" i="5"/>
  <c r="D1351" i="5" s="1"/>
  <c r="B1278" i="5"/>
  <c r="P1278" i="5" s="1"/>
  <c r="B1258" i="5"/>
  <c r="P1258" i="5" s="1"/>
  <c r="B1317" i="5"/>
  <c r="P1317" i="5" s="1"/>
  <c r="C1316" i="5"/>
  <c r="D1316" i="5" s="1"/>
  <c r="B1347" i="5"/>
  <c r="P1347" i="5" s="1"/>
  <c r="C1352" i="5"/>
  <c r="D1352" i="5" s="1"/>
  <c r="C1299" i="5"/>
  <c r="D1299" i="5" s="1"/>
  <c r="C1304" i="5"/>
  <c r="D1304" i="5" s="1"/>
  <c r="C1273" i="5"/>
  <c r="D1273" i="5" s="1"/>
  <c r="C1213" i="5"/>
  <c r="D1213" i="5" s="1"/>
  <c r="C1256" i="5"/>
  <c r="D1256" i="5" s="1"/>
  <c r="C1329" i="5"/>
  <c r="D1329" i="5" s="1"/>
  <c r="B1312" i="5"/>
  <c r="P1312" i="5" s="1"/>
  <c r="C1295" i="5"/>
  <c r="D1295" i="5" s="1"/>
  <c r="B1179" i="5"/>
  <c r="P1179" i="5" s="1"/>
  <c r="B1290" i="5"/>
  <c r="P1290" i="5" s="1"/>
  <c r="B1351" i="5"/>
  <c r="P1351" i="5" s="1"/>
  <c r="C1298" i="5"/>
  <c r="D1298" i="5" s="1"/>
  <c r="C1275" i="5"/>
  <c r="D1275" i="5" s="1"/>
  <c r="B1277" i="5"/>
  <c r="P1277" i="5" s="1"/>
  <c r="C1355" i="5"/>
  <c r="D1355" i="5" s="1"/>
  <c r="B1323" i="5"/>
  <c r="P1323" i="5" s="1"/>
  <c r="B1289" i="5"/>
  <c r="P1289" i="5" s="1"/>
  <c r="B1340" i="5"/>
  <c r="P1340" i="5" s="1"/>
  <c r="B1259" i="5"/>
  <c r="P1259" i="5" s="1"/>
  <c r="B1186" i="5"/>
  <c r="P1186" i="5" s="1"/>
  <c r="B1305" i="5"/>
  <c r="P1305" i="5" s="1"/>
  <c r="B1304" i="5"/>
  <c r="P1304" i="5" s="1"/>
  <c r="C1353" i="5"/>
  <c r="D1353" i="5" s="1"/>
  <c r="C1348" i="5"/>
  <c r="D1348" i="5" s="1"/>
  <c r="C1188" i="5"/>
  <c r="D1188" i="5" s="1"/>
  <c r="C1294" i="5"/>
  <c r="D1294" i="5" s="1"/>
  <c r="C1278" i="5"/>
  <c r="D1278" i="5" s="1"/>
  <c r="C1293" i="5"/>
  <c r="D1293" i="5" s="1"/>
  <c r="B1276" i="5"/>
  <c r="P1276" i="5" s="1"/>
  <c r="C1314" i="5"/>
  <c r="D1314" i="5" s="1"/>
  <c r="C1276" i="5"/>
  <c r="D1276" i="5" s="1"/>
  <c r="B1342" i="5"/>
  <c r="P1342" i="5" s="1"/>
  <c r="C1302" i="5"/>
  <c r="D1302" i="5" s="1"/>
  <c r="B1181" i="5"/>
  <c r="P1181" i="5" s="1"/>
  <c r="B1336" i="5"/>
  <c r="P1336" i="5" s="1"/>
  <c r="B1334" i="5"/>
  <c r="P1334" i="5" s="1"/>
  <c r="B1335" i="5"/>
  <c r="P1335" i="5" s="1"/>
  <c r="B1332" i="5"/>
  <c r="P1332" i="5" s="1"/>
  <c r="B1187" i="5"/>
  <c r="P1187" i="5" s="1"/>
  <c r="C1359" i="5"/>
  <c r="D1359" i="5" s="1"/>
  <c r="B1293" i="5"/>
  <c r="P1293" i="5" s="1"/>
  <c r="B1292" i="5"/>
  <c r="P1292" i="5" s="1"/>
  <c r="C1358" i="5"/>
  <c r="D1358" i="5" s="1"/>
  <c r="C1344" i="5"/>
  <c r="D1344" i="5" s="1"/>
  <c r="B1320" i="5"/>
  <c r="P1320" i="5" s="1"/>
  <c r="B1190" i="5"/>
  <c r="P1190" i="5" s="1"/>
  <c r="C1328" i="5"/>
  <c r="D1328" i="5" s="1"/>
  <c r="C1340" i="5"/>
  <c r="D1340" i="5" s="1"/>
  <c r="C1296" i="5"/>
  <c r="D1296" i="5" s="1"/>
  <c r="B1341" i="5"/>
  <c r="P1341" i="5" s="1"/>
  <c r="C1191" i="5"/>
  <c r="D1191" i="5" s="1"/>
  <c r="C1315" i="5"/>
  <c r="D1315" i="5" s="1"/>
  <c r="B1344" i="5"/>
  <c r="P1344" i="5" s="1"/>
  <c r="B1311" i="5"/>
  <c r="P1311" i="5" s="1"/>
  <c r="B1322" i="5"/>
  <c r="P1322" i="5" s="1"/>
  <c r="B1333" i="5"/>
  <c r="P1333" i="5" s="1"/>
  <c r="C1320" i="5"/>
  <c r="D1320" i="5" s="1"/>
  <c r="B1360" i="5"/>
  <c r="P1360" i="5" s="1"/>
  <c r="B1348" i="5"/>
  <c r="P1348" i="5" s="1"/>
  <c r="B1257" i="5"/>
  <c r="P1257" i="5" s="1"/>
  <c r="B1256" i="5"/>
  <c r="P1256" i="5" s="1"/>
  <c r="B1355" i="5"/>
  <c r="P1355" i="5" s="1"/>
  <c r="C1338" i="5"/>
  <c r="D1338" i="5" s="1"/>
  <c r="B1316" i="5"/>
  <c r="P1316" i="5" s="1"/>
  <c r="C1183" i="5"/>
  <c r="D1183" i="5" s="1"/>
  <c r="C1323" i="5"/>
  <c r="D1323" i="5" s="1"/>
  <c r="B1306" i="5"/>
  <c r="P1306" i="5" s="1"/>
  <c r="C1289" i="5"/>
  <c r="D1289" i="5" s="1"/>
  <c r="C1182" i="5"/>
  <c r="D1182" i="5" s="1"/>
  <c r="C1181" i="5"/>
  <c r="D1181" i="5" s="1"/>
  <c r="B1273" i="5"/>
  <c r="P1273" i="5" s="1"/>
  <c r="C1301" i="5"/>
  <c r="D1301" i="5" s="1"/>
  <c r="B1180" i="5"/>
  <c r="P1180" i="5" s="1"/>
  <c r="C1330" i="5"/>
  <c r="D1330" i="5" s="1"/>
  <c r="C1317" i="5"/>
  <c r="D1317" i="5" s="1"/>
  <c r="C1306" i="5"/>
  <c r="D1306" i="5" s="1"/>
  <c r="C1187" i="5"/>
  <c r="D1187" i="5" s="1"/>
  <c r="C1258" i="5"/>
  <c r="D1258" i="5" s="1"/>
  <c r="C1291" i="5"/>
  <c r="D1291" i="5" s="1"/>
  <c r="B1325" i="5"/>
  <c r="P1325" i="5" s="1"/>
  <c r="B1299" i="5"/>
  <c r="P1299" i="5" s="1"/>
  <c r="C1310" i="5"/>
  <c r="D1310" i="5" s="1"/>
  <c r="B1321" i="5"/>
  <c r="P1321" i="5" s="1"/>
  <c r="B1308" i="5"/>
  <c r="P1308" i="5" s="1"/>
  <c r="B1349" i="5"/>
  <c r="P1349" i="5" s="1"/>
  <c r="B1337" i="5"/>
  <c r="P1337" i="5" s="1"/>
  <c r="B1185" i="5"/>
  <c r="P1185" i="5" s="1"/>
  <c r="B1184" i="5"/>
  <c r="P1184" i="5" s="1"/>
  <c r="B1339" i="5"/>
  <c r="P1339" i="5" s="1"/>
  <c r="C1337" i="5"/>
  <c r="D1337" i="5" s="1"/>
  <c r="C1297" i="5"/>
  <c r="D1297" i="5" s="1"/>
  <c r="B1330" i="5"/>
  <c r="P1330" i="5" s="1"/>
  <c r="C1319" i="5"/>
  <c r="D1319" i="5" s="1"/>
  <c r="C1322" i="5"/>
  <c r="D1322" i="5" s="1"/>
  <c r="C1308" i="5"/>
  <c r="D1308" i="5" s="1"/>
  <c r="B1191" i="5"/>
  <c r="P1191" i="5" s="1"/>
  <c r="B1183" i="5"/>
  <c r="P1183" i="5" s="1"/>
  <c r="C1350" i="5"/>
  <c r="D1350" i="5" s="1"/>
  <c r="C1261" i="5"/>
  <c r="D1261" i="5" s="1"/>
  <c r="C1176" i="5"/>
  <c r="D1176" i="5" s="1"/>
  <c r="C1349" i="5"/>
  <c r="D1349" i="5" s="1"/>
  <c r="C1332" i="5"/>
  <c r="D1332" i="5" s="1"/>
  <c r="C1335" i="5"/>
  <c r="D1335" i="5" s="1"/>
  <c r="B1213" i="5"/>
  <c r="P1213" i="5" s="1"/>
  <c r="B1319" i="5"/>
  <c r="P1319" i="5" s="1"/>
  <c r="C1185" i="5"/>
  <c r="D1185" i="5" s="1"/>
  <c r="C1259" i="5"/>
  <c r="D1259" i="5" s="1"/>
  <c r="B1295" i="5"/>
  <c r="P1295" i="5" s="1"/>
  <c r="C1360" i="5"/>
  <c r="D1360" i="5" s="1"/>
  <c r="B1324" i="5"/>
  <c r="P1324" i="5" s="1"/>
  <c r="B1275" i="5"/>
  <c r="P1275" i="5" s="1"/>
  <c r="B1298" i="5"/>
  <c r="P1298" i="5" s="1"/>
  <c r="B1309" i="5"/>
  <c r="P1309" i="5" s="1"/>
  <c r="B1296" i="5"/>
  <c r="P1296" i="5" s="1"/>
  <c r="B1338" i="5"/>
  <c r="P1338" i="5" s="1"/>
  <c r="B1315" i="5"/>
  <c r="P1315" i="5" s="1"/>
  <c r="B1358" i="5"/>
  <c r="P1358" i="5" s="1"/>
  <c r="B1357" i="5"/>
  <c r="P1357" i="5" s="1"/>
  <c r="C1346" i="5"/>
  <c r="D1346" i="5" s="1"/>
  <c r="C1334" i="5"/>
  <c r="D1334" i="5" s="1"/>
  <c r="C1321" i="5"/>
  <c r="D1321" i="5" s="1"/>
  <c r="C1336" i="5"/>
  <c r="D1336" i="5" s="1"/>
  <c r="C1307" i="5"/>
  <c r="D1307" i="5" s="1"/>
  <c r="C1180" i="5"/>
  <c r="D1180" i="5" s="1"/>
  <c r="C1179" i="5"/>
  <c r="D1179" i="5" s="1"/>
  <c r="B1300" i="5"/>
  <c r="P1300" i="5" s="1"/>
  <c r="C1190" i="5"/>
  <c r="D1190" i="5" s="1"/>
  <c r="B1188" i="5"/>
  <c r="P1188" i="5" s="1"/>
  <c r="B1356" i="5"/>
  <c r="P1356" i="5" s="1"/>
  <c r="C1357" i="5"/>
  <c r="D1357" i="5" s="1"/>
  <c r="C1326" i="5"/>
  <c r="D1326" i="5" s="1"/>
  <c r="B1261" i="5"/>
  <c r="P1261" i="5" s="1"/>
  <c r="C1260" i="5"/>
  <c r="D1260" i="5" s="1"/>
  <c r="B1361" i="5"/>
  <c r="P1361" i="5" s="1"/>
  <c r="C1177" i="5"/>
  <c r="D1177" i="5" s="1"/>
  <c r="B1189" i="5"/>
  <c r="P1189" i="5" s="1"/>
  <c r="C1318" i="5"/>
  <c r="D1318" i="5" s="1"/>
  <c r="C1312" i="5"/>
  <c r="D1312" i="5" s="1"/>
  <c r="B1263" i="5"/>
  <c r="P1263" i="5" s="1"/>
  <c r="B1274" i="5"/>
  <c r="P1274" i="5" s="1"/>
  <c r="B1297" i="5"/>
  <c r="P1297" i="5" s="1"/>
  <c r="B1260" i="5"/>
  <c r="P1260" i="5" s="1"/>
  <c r="B1291" i="5"/>
  <c r="P1291" i="5" s="1"/>
  <c r="B1255" i="5"/>
  <c r="P1255" i="5" s="1"/>
  <c r="C1347" i="5"/>
  <c r="D1347" i="5" s="1"/>
  <c r="B1346" i="5"/>
  <c r="P1346" i="5" s="1"/>
  <c r="C1341" i="5"/>
  <c r="D1341" i="5" s="1"/>
  <c r="C1327" i="5"/>
  <c r="D1327" i="5" s="1"/>
  <c r="C1303" i="5"/>
  <c r="D1303" i="5" s="1"/>
  <c r="C1313" i="5"/>
  <c r="D1313" i="5" s="1"/>
  <c r="C1263" i="5"/>
  <c r="D1263" i="5" s="1"/>
  <c r="C1331" i="5"/>
  <c r="D1331" i="5" s="1"/>
  <c r="C1305" i="5"/>
  <c r="D1305" i="5" s="1"/>
  <c r="B1326" i="5"/>
  <c r="P1326" i="5" s="1"/>
  <c r="B1331" i="5"/>
  <c r="P1331" i="5" s="1"/>
  <c r="B1353" i="5"/>
  <c r="P1353" i="5" s="1"/>
  <c r="B1307" i="5"/>
  <c r="P1307" i="5" s="1"/>
  <c r="C1354" i="5"/>
  <c r="D1354" i="5" s="1"/>
  <c r="B1359" i="5"/>
  <c r="P1359" i="5" s="1"/>
  <c r="C23" i="5"/>
  <c r="D23" i="5" s="1"/>
  <c r="C45" i="5"/>
  <c r="D45" i="5" s="1"/>
  <c r="C1096" i="5"/>
  <c r="D1096" i="5" s="1"/>
  <c r="C490" i="5"/>
  <c r="D490" i="5" s="1"/>
  <c r="C56" i="5"/>
  <c r="D56" i="5" s="1"/>
  <c r="C453" i="5"/>
  <c r="D453" i="5" s="1"/>
  <c r="C15" i="5"/>
  <c r="D15" i="5" s="1"/>
  <c r="C648" i="5"/>
  <c r="D648" i="5" s="1"/>
  <c r="C464" i="5"/>
  <c r="D464" i="5" s="1"/>
  <c r="C42" i="5"/>
  <c r="D42" i="5" s="1"/>
  <c r="C1048" i="5"/>
  <c r="D1048" i="5" s="1"/>
  <c r="C475" i="5"/>
  <c r="D475" i="5" s="1"/>
  <c r="C149" i="5"/>
  <c r="D149" i="5" s="1"/>
  <c r="C1128" i="5"/>
  <c r="D1128" i="5" s="1"/>
  <c r="C642" i="5"/>
  <c r="D642" i="5" s="1"/>
  <c r="C280" i="5"/>
  <c r="D280" i="5" s="1"/>
  <c r="C1085" i="5"/>
  <c r="D1085" i="5" s="1"/>
  <c r="C1057" i="5"/>
  <c r="D1057" i="5" s="1"/>
  <c r="C926" i="5"/>
  <c r="D926" i="5" s="1"/>
  <c r="C479" i="5"/>
  <c r="D479" i="5" s="1"/>
  <c r="C1068" i="5"/>
  <c r="D1068" i="5" s="1"/>
  <c r="C568" i="5"/>
  <c r="D568" i="5" s="1"/>
  <c r="C98" i="5"/>
  <c r="D98" i="5" s="1"/>
  <c r="C1137" i="5"/>
  <c r="D1137" i="5" s="1"/>
  <c r="C1059" i="5"/>
  <c r="D1059" i="5" s="1"/>
  <c r="C363" i="5"/>
  <c r="D363" i="5" s="1"/>
  <c r="C1143" i="5"/>
  <c r="D1143" i="5" s="1"/>
  <c r="C1042" i="5"/>
  <c r="D1042" i="5" s="1"/>
  <c r="C482" i="5"/>
  <c r="D482" i="5" s="1"/>
  <c r="C48" i="5"/>
  <c r="D48" i="5" s="1"/>
  <c r="C1089" i="5"/>
  <c r="D1089" i="5" s="1"/>
  <c r="C661" i="5"/>
  <c r="D661" i="5" s="1"/>
  <c r="C179" i="5"/>
  <c r="D179" i="5" s="1"/>
  <c r="C1119" i="5"/>
  <c r="D1119" i="5" s="1"/>
  <c r="C219" i="5"/>
  <c r="D219" i="5" s="1"/>
  <c r="C432" i="5"/>
  <c r="D432" i="5" s="1"/>
  <c r="C36" i="5"/>
  <c r="D36" i="5" s="1"/>
  <c r="C1135" i="5"/>
  <c r="D1135" i="5" s="1"/>
  <c r="C360" i="5"/>
  <c r="D360" i="5" s="1"/>
  <c r="C95" i="5"/>
  <c r="D95" i="5" s="1"/>
  <c r="C1098" i="5"/>
  <c r="D1098" i="5" s="1"/>
  <c r="C1064" i="5"/>
  <c r="D1064" i="5" s="1"/>
  <c r="C1140" i="5"/>
  <c r="D1140" i="5" s="1"/>
  <c r="C225" i="5"/>
  <c r="D225" i="5" s="1"/>
  <c r="C72" i="5"/>
  <c r="D72" i="5" s="1"/>
  <c r="C1052" i="5"/>
  <c r="D1052" i="5" s="1"/>
  <c r="C33" i="5"/>
  <c r="D33" i="5" s="1"/>
  <c r="C1086" i="5"/>
  <c r="D1086" i="5" s="1"/>
  <c r="C478" i="5"/>
  <c r="D478" i="5" s="1"/>
  <c r="C44" i="5"/>
  <c r="D44" i="5" s="1"/>
  <c r="C441" i="5"/>
  <c r="D441" i="5" s="1"/>
  <c r="C1145" i="5"/>
  <c r="D1145" i="5" s="1"/>
  <c r="C1024" i="5"/>
  <c r="D1024" i="5" s="1"/>
  <c r="C452" i="5"/>
  <c r="D452" i="5" s="1"/>
  <c r="C30" i="5"/>
  <c r="D30" i="5" s="1"/>
  <c r="C1047" i="5"/>
  <c r="D1047" i="5" s="1"/>
  <c r="C463" i="5"/>
  <c r="D463" i="5" s="1"/>
  <c r="C53" i="5"/>
  <c r="D53" i="5" s="1"/>
  <c r="C1116" i="5"/>
  <c r="D1116" i="5" s="1"/>
  <c r="C594" i="5"/>
  <c r="D594" i="5" s="1"/>
  <c r="C208" i="5"/>
  <c r="D208" i="5" s="1"/>
  <c r="C1037" i="5"/>
  <c r="D1037" i="5" s="1"/>
  <c r="C279" i="5"/>
  <c r="D279" i="5" s="1"/>
  <c r="C365" i="5"/>
  <c r="D365" i="5" s="1"/>
  <c r="C201" i="5"/>
  <c r="D201" i="5" s="1"/>
  <c r="C1046" i="5"/>
  <c r="D1046" i="5" s="1"/>
  <c r="C496" i="5"/>
  <c r="D496" i="5" s="1"/>
  <c r="C50" i="5"/>
  <c r="D50" i="5" s="1"/>
  <c r="C1125" i="5"/>
  <c r="D1125" i="5" s="1"/>
  <c r="C675" i="5"/>
  <c r="D675" i="5" s="1"/>
  <c r="C351" i="5"/>
  <c r="D351" i="5" s="1"/>
  <c r="C1049" i="5"/>
  <c r="D1049" i="5" s="1"/>
  <c r="C1018" i="5"/>
  <c r="D1018" i="5" s="1"/>
  <c r="C470" i="5"/>
  <c r="D470" i="5" s="1"/>
  <c r="C1077" i="5"/>
  <c r="D1077" i="5" s="1"/>
  <c r="C649" i="5"/>
  <c r="D649" i="5" s="1"/>
  <c r="C167" i="5"/>
  <c r="D167" i="5" s="1"/>
  <c r="C1016" i="5"/>
  <c r="D1016" i="5" s="1"/>
  <c r="C493" i="5"/>
  <c r="D493" i="5" s="1"/>
  <c r="C1004" i="5"/>
  <c r="D1004" i="5" s="1"/>
  <c r="C954" i="5"/>
  <c r="D954" i="5" s="1"/>
  <c r="C19" i="5"/>
  <c r="D19" i="5" s="1"/>
  <c r="C162" i="5"/>
  <c r="D162" i="5" s="1"/>
  <c r="C6" i="5"/>
  <c r="D6" i="5" s="1"/>
  <c r="C650" i="5"/>
  <c r="D650" i="5" s="1"/>
  <c r="C666" i="5"/>
  <c r="D666" i="5" s="1"/>
  <c r="C411" i="5"/>
  <c r="D411" i="5" s="1"/>
  <c r="C1099" i="5"/>
  <c r="D1099" i="5" s="1"/>
  <c r="C17" i="5"/>
  <c r="D17" i="5" s="1"/>
  <c r="C1074" i="5"/>
  <c r="D1074" i="5" s="1"/>
  <c r="C466" i="5"/>
  <c r="D466" i="5" s="1"/>
  <c r="C32" i="5"/>
  <c r="D32" i="5" s="1"/>
  <c r="C357" i="5"/>
  <c r="D357" i="5" s="1"/>
  <c r="C1025" i="5"/>
  <c r="D1025" i="5" s="1"/>
  <c r="C1012" i="5"/>
  <c r="D1012" i="5" s="1"/>
  <c r="C440" i="5"/>
  <c r="D440" i="5" s="1"/>
  <c r="C14" i="5"/>
  <c r="D14" i="5" s="1"/>
  <c r="C561" i="5"/>
  <c r="D561" i="5" s="1"/>
  <c r="C451" i="5"/>
  <c r="D451" i="5" s="1"/>
  <c r="C41" i="5"/>
  <c r="D41" i="5" s="1"/>
  <c r="C1104" i="5"/>
  <c r="D1104" i="5" s="1"/>
  <c r="C794" i="5"/>
  <c r="D794" i="5" s="1"/>
  <c r="C148" i="5"/>
  <c r="D148" i="5" s="1"/>
  <c r="C669" i="5"/>
  <c r="D669" i="5" s="1"/>
  <c r="C1021" i="5"/>
  <c r="D1021" i="5" s="1"/>
  <c r="C353" i="5"/>
  <c r="D353" i="5" s="1"/>
  <c r="C1013" i="5"/>
  <c r="D1013" i="5" s="1"/>
  <c r="C278" i="5"/>
  <c r="D278" i="5" s="1"/>
  <c r="C484" i="5"/>
  <c r="D484" i="5" s="1"/>
  <c r="C38" i="5"/>
  <c r="D38" i="5" s="1"/>
  <c r="C1113" i="5"/>
  <c r="D1113" i="5" s="1"/>
  <c r="C663" i="5"/>
  <c r="D663" i="5" s="1"/>
  <c r="C339" i="5"/>
  <c r="D339" i="5" s="1"/>
  <c r="C1160" i="5"/>
  <c r="D1160" i="5" s="1"/>
  <c r="C1006" i="5"/>
  <c r="D1006" i="5" s="1"/>
  <c r="C458" i="5"/>
  <c r="D458" i="5" s="1"/>
  <c r="C24" i="5"/>
  <c r="D24" i="5" s="1"/>
  <c r="C1065" i="5"/>
  <c r="D1065" i="5" s="1"/>
  <c r="C1158" i="5"/>
  <c r="D1158" i="5" s="1"/>
  <c r="C348" i="5"/>
  <c r="D348" i="5" s="1"/>
  <c r="C214" i="5"/>
  <c r="D214" i="5" s="1"/>
  <c r="C215" i="5"/>
  <c r="D215" i="5" s="1"/>
  <c r="C651" i="5"/>
  <c r="D651" i="5" s="1"/>
  <c r="C449" i="5"/>
  <c r="D449" i="5" s="1"/>
  <c r="C1080" i="5"/>
  <c r="D1080" i="5" s="1"/>
  <c r="C163" i="5"/>
  <c r="D163" i="5" s="1"/>
  <c r="C5" i="5"/>
  <c r="D5" i="5" s="1"/>
  <c r="C1062" i="5"/>
  <c r="D1062" i="5" s="1"/>
  <c r="C442" i="5"/>
  <c r="D442" i="5" s="1"/>
  <c r="C16" i="5"/>
  <c r="D16" i="5" s="1"/>
  <c r="C345" i="5"/>
  <c r="D345" i="5" s="1"/>
  <c r="C657" i="5"/>
  <c r="D657" i="5" s="1"/>
  <c r="C546" i="5"/>
  <c r="D546" i="5" s="1"/>
  <c r="C428" i="5"/>
  <c r="D428" i="5" s="1"/>
  <c r="C1130" i="5"/>
  <c r="D1130" i="5" s="1"/>
  <c r="C1023" i="5"/>
  <c r="D1023" i="5" s="1"/>
  <c r="C439" i="5"/>
  <c r="D439" i="5" s="1"/>
  <c r="C29" i="5"/>
  <c r="D29" i="5" s="1"/>
  <c r="C1082" i="5"/>
  <c r="D1082" i="5" s="1"/>
  <c r="C498" i="5"/>
  <c r="D498" i="5" s="1"/>
  <c r="C52" i="5"/>
  <c r="D52" i="5" s="1"/>
  <c r="C1154" i="5"/>
  <c r="D1154" i="5" s="1"/>
  <c r="C1009" i="5"/>
  <c r="D1009" i="5" s="1"/>
  <c r="C341" i="5"/>
  <c r="D341" i="5" s="1"/>
  <c r="C805" i="5"/>
  <c r="D805" i="5" s="1"/>
  <c r="C1020" i="5"/>
  <c r="D1020" i="5" s="1"/>
  <c r="C472" i="5"/>
  <c r="D472" i="5" s="1"/>
  <c r="C26" i="5"/>
  <c r="D26" i="5" s="1"/>
  <c r="C1101" i="5"/>
  <c r="D1101" i="5" s="1"/>
  <c r="C1034" i="5"/>
  <c r="D1034" i="5" s="1"/>
  <c r="C217" i="5"/>
  <c r="D217" i="5" s="1"/>
  <c r="C1148" i="5"/>
  <c r="D1148" i="5" s="1"/>
  <c r="C932" i="5"/>
  <c r="D932" i="5" s="1"/>
  <c r="C446" i="5"/>
  <c r="D446" i="5" s="1"/>
  <c r="C8" i="5"/>
  <c r="D8" i="5" s="1"/>
  <c r="C1044" i="5"/>
  <c r="D1044" i="5" s="1"/>
  <c r="C481" i="5"/>
  <c r="D481" i="5" s="1"/>
  <c r="C71" i="5"/>
  <c r="D71" i="5" s="1"/>
  <c r="C1146" i="5"/>
  <c r="D1146" i="5" s="1"/>
  <c r="C795" i="5"/>
  <c r="D795" i="5" s="1"/>
  <c r="C468" i="5"/>
  <c r="D468" i="5" s="1"/>
  <c r="C465" i="5"/>
  <c r="D465" i="5" s="1"/>
  <c r="C476" i="5"/>
  <c r="D476" i="5" s="1"/>
  <c r="C487" i="5"/>
  <c r="D487" i="5" s="1"/>
  <c r="C342" i="5"/>
  <c r="D342" i="5" s="1"/>
  <c r="C494" i="5"/>
  <c r="D494" i="5" s="1"/>
  <c r="C1133" i="5"/>
  <c r="D1133" i="5" s="1"/>
  <c r="C1050" i="5"/>
  <c r="D1050" i="5" s="1"/>
  <c r="C430" i="5"/>
  <c r="D430" i="5" s="1"/>
  <c r="C4" i="5"/>
  <c r="D4" i="5" s="1"/>
  <c r="C307" i="5"/>
  <c r="D307" i="5" s="1"/>
  <c r="C1142" i="5"/>
  <c r="D1142" i="5" s="1"/>
  <c r="C740" i="5"/>
  <c r="D740" i="5" s="1"/>
  <c r="C368" i="5"/>
  <c r="D368" i="5" s="1"/>
  <c r="C1165" i="5"/>
  <c r="D1165" i="5" s="1"/>
  <c r="C1011" i="5"/>
  <c r="D1011" i="5" s="1"/>
  <c r="C427" i="5"/>
  <c r="D427" i="5" s="1"/>
  <c r="C13" i="5"/>
  <c r="D13" i="5" s="1"/>
  <c r="C1070" i="5"/>
  <c r="D1070" i="5" s="1"/>
  <c r="C486" i="5"/>
  <c r="D486" i="5" s="1"/>
  <c r="C40" i="5"/>
  <c r="D40" i="5" s="1"/>
  <c r="C1163" i="5"/>
  <c r="D1163" i="5" s="1"/>
  <c r="C665" i="5"/>
  <c r="D665" i="5" s="1"/>
  <c r="C161" i="5"/>
  <c r="D161" i="5" s="1"/>
  <c r="C801" i="5"/>
  <c r="D801" i="5" s="1"/>
  <c r="C1008" i="5"/>
  <c r="D1008" i="5" s="1"/>
  <c r="C460" i="5"/>
  <c r="D460" i="5" s="1"/>
  <c r="C10" i="5"/>
  <c r="D10" i="5" s="1"/>
  <c r="C1079" i="5"/>
  <c r="D1079" i="5" s="1"/>
  <c r="C627" i="5"/>
  <c r="D627" i="5" s="1"/>
  <c r="C205" i="5"/>
  <c r="D205" i="5" s="1"/>
  <c r="C1136" i="5"/>
  <c r="D1136" i="5" s="1"/>
  <c r="C908" i="5"/>
  <c r="D908" i="5" s="1"/>
  <c r="C362" i="5"/>
  <c r="D362" i="5" s="1"/>
  <c r="C1157" i="5"/>
  <c r="D1157" i="5" s="1"/>
  <c r="C275" i="5"/>
  <c r="D275" i="5" s="1"/>
  <c r="C469" i="5"/>
  <c r="D469" i="5" s="1"/>
  <c r="C59" i="5"/>
  <c r="D59" i="5" s="1"/>
  <c r="C1134" i="5"/>
  <c r="D1134" i="5" s="1"/>
  <c r="C930" i="5"/>
  <c r="D930" i="5" s="1"/>
  <c r="C202" i="5"/>
  <c r="D202" i="5" s="1"/>
  <c r="C1017" i="5"/>
  <c r="D1017" i="5" s="1"/>
  <c r="C1122" i="5"/>
  <c r="D1122" i="5" s="1"/>
  <c r="C94" i="5"/>
  <c r="D94" i="5" s="1"/>
  <c r="C658" i="5"/>
  <c r="D658" i="5" s="1"/>
  <c r="C1069" i="5"/>
  <c r="D1069" i="5" s="1"/>
  <c r="C203" i="5"/>
  <c r="D203" i="5" s="1"/>
  <c r="C1041" i="5"/>
  <c r="D1041" i="5" s="1"/>
  <c r="C1038" i="5"/>
  <c r="D1038" i="5" s="1"/>
  <c r="C370" i="5"/>
  <c r="D370" i="5" s="1"/>
  <c r="C1075" i="5"/>
  <c r="D1075" i="5" s="1"/>
  <c r="C283" i="5"/>
  <c r="D283" i="5" s="1"/>
  <c r="C1118" i="5"/>
  <c r="D1118" i="5" s="1"/>
  <c r="C668" i="5"/>
  <c r="D668" i="5" s="1"/>
  <c r="C356" i="5"/>
  <c r="D356" i="5" s="1"/>
  <c r="C1153" i="5"/>
  <c r="D1153" i="5" s="1"/>
  <c r="C787" i="5"/>
  <c r="D787" i="5" s="1"/>
  <c r="C367" i="5"/>
  <c r="D367" i="5" s="1"/>
  <c r="C1121" i="5"/>
  <c r="D1121" i="5" s="1"/>
  <c r="C1058" i="5"/>
  <c r="D1058" i="5" s="1"/>
  <c r="C474" i="5"/>
  <c r="D474" i="5" s="1"/>
  <c r="C28" i="5"/>
  <c r="D28" i="5" s="1"/>
  <c r="C1151" i="5"/>
  <c r="D1151" i="5" s="1"/>
  <c r="C629" i="5"/>
  <c r="D629" i="5" s="1"/>
  <c r="C413" i="5"/>
  <c r="D413" i="5" s="1"/>
  <c r="C1162" i="5"/>
  <c r="D1162" i="5" s="1"/>
  <c r="C934" i="5"/>
  <c r="D934" i="5" s="1"/>
  <c r="C448" i="5"/>
  <c r="D448" i="5" s="1"/>
  <c r="C671" i="5"/>
  <c r="D671" i="5" s="1"/>
  <c r="C1067" i="5"/>
  <c r="D1067" i="5" s="1"/>
  <c r="C579" i="5"/>
  <c r="D579" i="5" s="1"/>
  <c r="C49" i="5"/>
  <c r="D49" i="5" s="1"/>
  <c r="C1124" i="5"/>
  <c r="D1124" i="5" s="1"/>
  <c r="C796" i="5"/>
  <c r="D796" i="5" s="1"/>
  <c r="C350" i="5"/>
  <c r="D350" i="5" s="1"/>
  <c r="C1003" i="5"/>
  <c r="D1003" i="5" s="1"/>
  <c r="C445" i="5"/>
  <c r="D445" i="5" s="1"/>
  <c r="C47" i="5"/>
  <c r="D47" i="5" s="1"/>
  <c r="C672" i="5"/>
  <c r="D672" i="5" s="1"/>
  <c r="C349" i="5"/>
  <c r="D349" i="5" s="1"/>
  <c r="C1108" i="5"/>
  <c r="D1108" i="5" s="1"/>
  <c r="C1131" i="5"/>
  <c r="D1131" i="5" s="1"/>
  <c r="C213" i="5"/>
  <c r="D213" i="5" s="1"/>
  <c r="C953" i="5"/>
  <c r="D953" i="5" s="1"/>
  <c r="C1026" i="5"/>
  <c r="D1026" i="5" s="1"/>
  <c r="C358" i="5"/>
  <c r="D358" i="5" s="1"/>
  <c r="C359" i="5"/>
  <c r="D359" i="5" s="1"/>
  <c r="C211" i="5"/>
  <c r="D211" i="5" s="1"/>
  <c r="C1106" i="5"/>
  <c r="D1106" i="5" s="1"/>
  <c r="C656" i="5"/>
  <c r="D656" i="5" s="1"/>
  <c r="C344" i="5"/>
  <c r="D344" i="5" s="1"/>
  <c r="C1141" i="5"/>
  <c r="D1141" i="5" s="1"/>
  <c r="C667" i="5"/>
  <c r="D667" i="5" s="1"/>
  <c r="C355" i="5"/>
  <c r="D355" i="5" s="1"/>
  <c r="C1087" i="5"/>
  <c r="D1087" i="5" s="1"/>
  <c r="C281" i="5"/>
  <c r="D281" i="5" s="1"/>
  <c r="C1053" i="5"/>
  <c r="D1053" i="5" s="1"/>
  <c r="C12" i="5"/>
  <c r="D12" i="5" s="1"/>
  <c r="C1139" i="5"/>
  <c r="D1139" i="5" s="1"/>
  <c r="C581" i="5"/>
  <c r="D581" i="5" s="1"/>
  <c r="C207" i="5"/>
  <c r="D207" i="5" s="1"/>
  <c r="C1150" i="5"/>
  <c r="D1150" i="5" s="1"/>
  <c r="C910" i="5"/>
  <c r="D910" i="5" s="1"/>
  <c r="C793" i="5"/>
  <c r="D793" i="5" s="1"/>
  <c r="C347" i="5"/>
  <c r="D347" i="5" s="1"/>
  <c r="C1045" i="5"/>
  <c r="D1045" i="5" s="1"/>
  <c r="C495" i="5"/>
  <c r="D495" i="5" s="1"/>
  <c r="C37" i="5"/>
  <c r="D37" i="5" s="1"/>
  <c r="C1112" i="5"/>
  <c r="D1112" i="5" s="1"/>
  <c r="C1056" i="5"/>
  <c r="D1056" i="5" s="1"/>
  <c r="C338" i="5"/>
  <c r="D338" i="5" s="1"/>
  <c r="C1073" i="5"/>
  <c r="D1073" i="5" s="1"/>
  <c r="C1005" i="5"/>
  <c r="D1005" i="5" s="1"/>
  <c r="C361" i="5"/>
  <c r="D361" i="5" s="1"/>
  <c r="C35" i="5"/>
  <c r="D35" i="5" s="1"/>
  <c r="C1110" i="5"/>
  <c r="D1110" i="5" s="1"/>
  <c r="C660" i="5"/>
  <c r="D660" i="5" s="1"/>
  <c r="C58" i="5"/>
  <c r="D58" i="5" s="1"/>
  <c r="C709" i="5"/>
  <c r="D709" i="5" s="1"/>
  <c r="C1054" i="5"/>
  <c r="D1054" i="5" s="1"/>
  <c r="C673" i="5"/>
  <c r="D673" i="5" s="1"/>
  <c r="C1156" i="5"/>
  <c r="D1156" i="5" s="1"/>
  <c r="C1014" i="5"/>
  <c r="D1014" i="5" s="1"/>
  <c r="C346" i="5"/>
  <c r="D346" i="5" s="1"/>
  <c r="C1095" i="5"/>
  <c r="D1095" i="5" s="1"/>
  <c r="C199" i="5"/>
  <c r="D199" i="5" s="1"/>
  <c r="C912" i="5"/>
  <c r="D912" i="5" s="1"/>
  <c r="C927" i="5"/>
  <c r="D927" i="5" s="1"/>
  <c r="C294" i="5"/>
  <c r="D294" i="5" s="1"/>
  <c r="C1129" i="5"/>
  <c r="D1129" i="5" s="1"/>
  <c r="C643" i="5"/>
  <c r="D643" i="5" s="1"/>
  <c r="C343" i="5"/>
  <c r="D343" i="5" s="1"/>
  <c r="C93" i="5"/>
  <c r="D93" i="5" s="1"/>
  <c r="C560" i="5"/>
  <c r="D560" i="5" s="1"/>
  <c r="C450" i="5"/>
  <c r="D450" i="5" s="1"/>
  <c r="C1097" i="5"/>
  <c r="D1097" i="5" s="1"/>
  <c r="C1127" i="5"/>
  <c r="D1127" i="5" s="1"/>
  <c r="C497" i="5"/>
  <c r="D497" i="5" s="1"/>
  <c r="C51" i="5"/>
  <c r="D51" i="5" s="1"/>
  <c r="C1138" i="5"/>
  <c r="D1138" i="5" s="1"/>
  <c r="C1061" i="5"/>
  <c r="D1061" i="5" s="1"/>
  <c r="C364" i="5"/>
  <c r="D364" i="5" s="1"/>
  <c r="C57" i="5"/>
  <c r="D57" i="5" s="1"/>
  <c r="C1043" i="5"/>
  <c r="D1043" i="5" s="1"/>
  <c r="C483" i="5"/>
  <c r="D483" i="5" s="1"/>
  <c r="C25" i="5"/>
  <c r="D25" i="5" s="1"/>
  <c r="C1100" i="5"/>
  <c r="D1100" i="5" s="1"/>
  <c r="C722" i="5"/>
  <c r="D722" i="5" s="1"/>
  <c r="C216" i="5"/>
  <c r="D216" i="5" s="1"/>
  <c r="C1159" i="5"/>
  <c r="D1159" i="5" s="1"/>
  <c r="C931" i="5"/>
  <c r="D931" i="5" s="1"/>
  <c r="C46" i="5"/>
  <c r="D46" i="5" s="1"/>
  <c r="C31" i="5"/>
  <c r="D31" i="5" s="1"/>
  <c r="C1015" i="5"/>
  <c r="D1015" i="5" s="1"/>
  <c r="C1144" i="5"/>
  <c r="D1144" i="5" s="1"/>
  <c r="C1002" i="5"/>
  <c r="D1002" i="5" s="1"/>
  <c r="C308" i="5"/>
  <c r="D308" i="5" s="1"/>
  <c r="C929" i="5"/>
  <c r="D929" i="5" s="1"/>
  <c r="C412" i="5"/>
  <c r="D412" i="5" s="1"/>
  <c r="C1084" i="5"/>
  <c r="D1084" i="5" s="1"/>
  <c r="C548" i="5"/>
  <c r="D548" i="5" s="1"/>
  <c r="C282" i="5"/>
  <c r="D282" i="5" s="1"/>
  <c r="C1117" i="5"/>
  <c r="D1117" i="5" s="1"/>
  <c r="C595" i="5"/>
  <c r="D595" i="5" s="1"/>
  <c r="C461" i="5"/>
  <c r="D461" i="5" s="1"/>
  <c r="C1107" i="5"/>
  <c r="D1107" i="5" s="1"/>
  <c r="C1022" i="5"/>
  <c r="D1022" i="5" s="1"/>
  <c r="C438" i="5"/>
  <c r="D438" i="5" s="1"/>
  <c r="C1039" i="5"/>
  <c r="D1039" i="5" s="1"/>
  <c r="C1115" i="5"/>
  <c r="D1115" i="5" s="1"/>
  <c r="C485" i="5"/>
  <c r="D485" i="5" s="1"/>
  <c r="C39" i="5"/>
  <c r="D39" i="5" s="1"/>
  <c r="C1126" i="5"/>
  <c r="D1126" i="5" s="1"/>
  <c r="C664" i="5"/>
  <c r="D664" i="5" s="1"/>
  <c r="C352" i="5"/>
  <c r="D352" i="5" s="1"/>
  <c r="C1155" i="5"/>
  <c r="D1155" i="5" s="1"/>
  <c r="C1019" i="5"/>
  <c r="D1019" i="5" s="1"/>
  <c r="C471" i="5"/>
  <c r="D471" i="5" s="1"/>
  <c r="C9" i="5"/>
  <c r="D9" i="5" s="1"/>
  <c r="C1090" i="5"/>
  <c r="D1090" i="5" s="1"/>
  <c r="C674" i="5"/>
  <c r="D674" i="5" s="1"/>
  <c r="C204" i="5"/>
  <c r="D204" i="5" s="1"/>
  <c r="C1147" i="5"/>
  <c r="D1147" i="5" s="1"/>
  <c r="C1036" i="5"/>
  <c r="D1036" i="5" s="1"/>
  <c r="C337" i="5"/>
  <c r="D337" i="5" s="1"/>
  <c r="C7" i="5"/>
  <c r="D7" i="5" s="1"/>
  <c r="C1088" i="5"/>
  <c r="D1088" i="5" s="1"/>
  <c r="C492" i="5"/>
  <c r="D492" i="5" s="1"/>
  <c r="C34" i="5"/>
  <c r="D34" i="5" s="1"/>
  <c r="C480" i="5"/>
  <c r="D480" i="5" s="1"/>
  <c r="C18" i="5"/>
  <c r="D18" i="5" s="1"/>
  <c r="C933" i="5"/>
  <c r="D933" i="5" s="1"/>
  <c r="C1094" i="5"/>
  <c r="D1094" i="5" s="1"/>
  <c r="C54" i="5"/>
  <c r="D54" i="5" s="1"/>
  <c r="C1149" i="5"/>
  <c r="D1149" i="5" s="1"/>
  <c r="C1132" i="5"/>
  <c r="D1132" i="5" s="1"/>
  <c r="C928" i="5"/>
  <c r="D928" i="5" s="1"/>
  <c r="C212" i="5"/>
  <c r="D212" i="5" s="1"/>
  <c r="C489" i="5"/>
  <c r="D489" i="5" s="1"/>
  <c r="C55" i="5"/>
  <c r="D55" i="5" s="1"/>
  <c r="C1072" i="5"/>
  <c r="D1072" i="5" s="1"/>
  <c r="C500" i="5"/>
  <c r="D500" i="5" s="1"/>
  <c r="C210" i="5"/>
  <c r="D210" i="5" s="1"/>
  <c r="C1105" i="5"/>
  <c r="D1105" i="5" s="1"/>
  <c r="C547" i="5"/>
  <c r="D547" i="5" s="1"/>
  <c r="C444" i="5"/>
  <c r="D444" i="5" s="1"/>
  <c r="C1164" i="5"/>
  <c r="D1164" i="5" s="1"/>
  <c r="C1010" i="5"/>
  <c r="D1010" i="5" s="1"/>
  <c r="C366" i="5"/>
  <c r="D366" i="5" s="1"/>
  <c r="C1040" i="5"/>
  <c r="D1040" i="5" s="1"/>
  <c r="C1103" i="5"/>
  <c r="D1103" i="5" s="1"/>
  <c r="C473" i="5"/>
  <c r="D473" i="5" s="1"/>
  <c r="C27" i="5"/>
  <c r="D27" i="5" s="1"/>
  <c r="C1114" i="5"/>
  <c r="D1114" i="5" s="1"/>
  <c r="C652" i="5"/>
  <c r="D652" i="5" s="1"/>
  <c r="C340" i="5"/>
  <c r="D340" i="5" s="1"/>
  <c r="C818" i="5"/>
  <c r="D818" i="5" s="1"/>
  <c r="C1007" i="5"/>
  <c r="D1007" i="5" s="1"/>
  <c r="C459" i="5"/>
  <c r="D459" i="5" s="1"/>
  <c r="C1063" i="5"/>
  <c r="D1063" i="5" s="1"/>
  <c r="C1078" i="5"/>
  <c r="D1078" i="5" s="1"/>
  <c r="C662" i="5"/>
  <c r="D662" i="5" s="1"/>
  <c r="C180" i="5"/>
  <c r="D180" i="5" s="1"/>
  <c r="C1123" i="5"/>
  <c r="D1123" i="5" s="1"/>
  <c r="C1055" i="5"/>
  <c r="D1055" i="5" s="1"/>
  <c r="C443" i="5"/>
  <c r="D443" i="5" s="1"/>
  <c r="C1109" i="5"/>
  <c r="D1109" i="5" s="1"/>
  <c r="C1076" i="5"/>
  <c r="D1076" i="5" s="1"/>
  <c r="C447" i="5"/>
  <c r="D447" i="5" s="1"/>
  <c r="C659" i="5"/>
  <c r="D659" i="5" s="1"/>
  <c r="C1035" i="5"/>
  <c r="D1035" i="5" s="1"/>
  <c r="C96" i="5"/>
  <c r="D96" i="5" s="1"/>
  <c r="C206" i="5"/>
  <c r="D206" i="5" s="1"/>
  <c r="C1120" i="5"/>
  <c r="D1120" i="5" s="1"/>
  <c r="C670" i="5"/>
  <c r="D670" i="5" s="1"/>
  <c r="C200" i="5"/>
  <c r="D200" i="5" s="1"/>
  <c r="C477" i="5"/>
  <c r="D477" i="5" s="1"/>
  <c r="C43" i="5"/>
  <c r="D43" i="5" s="1"/>
  <c r="C1060" i="5"/>
  <c r="D1060" i="5" s="1"/>
  <c r="C488" i="5"/>
  <c r="D488" i="5" s="1"/>
  <c r="C1051" i="5"/>
  <c r="D1051" i="5" s="1"/>
  <c r="C1083" i="5"/>
  <c r="D1083" i="5" s="1"/>
  <c r="C499" i="5"/>
  <c r="D499" i="5" s="1"/>
  <c r="C209" i="5"/>
  <c r="D209" i="5" s="1"/>
  <c r="C1152" i="5"/>
  <c r="D1152" i="5" s="1"/>
  <c r="C317" i="5"/>
  <c r="D317" i="5" s="1"/>
  <c r="C354" i="5"/>
  <c r="D354" i="5" s="1"/>
  <c r="C491" i="5"/>
  <c r="D491" i="5" s="1"/>
  <c r="C1081" i="5"/>
  <c r="D1081" i="5" s="1"/>
  <c r="C462" i="5"/>
  <c r="D462" i="5" s="1"/>
  <c r="C11" i="5"/>
  <c r="D11" i="5" s="1"/>
  <c r="C1102" i="5"/>
  <c r="D1102" i="5" s="1"/>
  <c r="C628" i="5"/>
  <c r="D628" i="5" s="1"/>
  <c r="C68" i="5"/>
  <c r="D68" i="5" s="1"/>
  <c r="C1161" i="5"/>
  <c r="D1161" i="5" s="1"/>
  <c r="C1066" i="5"/>
  <c r="D1066" i="5" s="1"/>
  <c r="C1111" i="5"/>
  <c r="D1111" i="5" s="1"/>
  <c r="C1071" i="5"/>
  <c r="D1071" i="5" s="1"/>
  <c r="C580" i="5"/>
  <c r="D580" i="5" s="1"/>
  <c r="C909" i="5"/>
  <c r="D909" i="5" s="1"/>
  <c r="B23" i="5"/>
  <c r="P23" i="5" s="1"/>
  <c r="B20" i="5"/>
  <c r="P20" i="5" s="1"/>
  <c r="B21" i="5"/>
  <c r="B331" i="5"/>
  <c r="P331" i="5" s="1"/>
  <c r="B22" i="5"/>
  <c r="B330" i="5"/>
  <c r="P330" i="5" s="1"/>
  <c r="C3" i="5"/>
  <c r="D3" i="5" s="1"/>
  <c r="B11" i="5"/>
  <c r="P11" i="5" s="1"/>
  <c r="B859" i="5"/>
  <c r="P859" i="5" s="1"/>
  <c r="B492" i="5"/>
  <c r="P492" i="5" s="1"/>
  <c r="B274" i="5"/>
  <c r="P274" i="5" s="1"/>
  <c r="B130" i="5"/>
  <c r="P130" i="5" s="1"/>
  <c r="B1163" i="5"/>
  <c r="P1163" i="5" s="1"/>
  <c r="B1099" i="5"/>
  <c r="P1099" i="5" s="1"/>
  <c r="B1037" i="5"/>
  <c r="P1037" i="5" s="1"/>
  <c r="B972" i="5"/>
  <c r="P972" i="5" s="1"/>
  <c r="B908" i="5"/>
  <c r="P908" i="5" s="1"/>
  <c r="B858" i="5"/>
  <c r="P858" i="5" s="1"/>
  <c r="B1056" i="5"/>
  <c r="B730" i="5"/>
  <c r="P730" i="5" s="1"/>
  <c r="B739" i="5"/>
  <c r="P739" i="5" s="1"/>
  <c r="B396" i="5"/>
  <c r="P396" i="5" s="1"/>
  <c r="B226" i="5"/>
  <c r="P226" i="5" s="1"/>
  <c r="B67" i="5"/>
  <c r="P67" i="5" s="1"/>
  <c r="B996" i="5"/>
  <c r="P996" i="5" s="1"/>
  <c r="B611" i="5"/>
  <c r="P611" i="5" s="1"/>
  <c r="B1105" i="5"/>
  <c r="P1105" i="5" s="1"/>
  <c r="B864" i="5"/>
  <c r="P864" i="5" s="1"/>
  <c r="B1116" i="5"/>
  <c r="P1116" i="5" s="1"/>
  <c r="B1059" i="5"/>
  <c r="B476" i="5"/>
  <c r="P476" i="5" s="1"/>
  <c r="B1041" i="5"/>
  <c r="B848" i="5"/>
  <c r="P848" i="5" s="1"/>
  <c r="B1078" i="5"/>
  <c r="P1078" i="5" s="1"/>
  <c r="B667" i="5"/>
  <c r="P667" i="5" s="1"/>
  <c r="B170" i="5"/>
  <c r="P170" i="5" s="1"/>
  <c r="B930" i="5"/>
  <c r="P930" i="5" s="1"/>
  <c r="B712" i="5"/>
  <c r="P712" i="5" s="1"/>
  <c r="B747" i="5"/>
  <c r="P747" i="5" s="1"/>
  <c r="B1153" i="5"/>
  <c r="P1153" i="5" s="1"/>
  <c r="B832" i="5"/>
  <c r="P832" i="5" s="1"/>
  <c r="B634" i="5"/>
  <c r="P634" i="5" s="1"/>
  <c r="B571" i="5"/>
  <c r="P571" i="5" s="1"/>
  <c r="B507" i="5"/>
  <c r="P507" i="5" s="1"/>
  <c r="B162" i="5"/>
  <c r="B379" i="5"/>
  <c r="P379" i="5" s="1"/>
  <c r="B313" i="5"/>
  <c r="P313" i="5" s="1"/>
  <c r="B249" i="5"/>
  <c r="P249" i="5" s="1"/>
  <c r="B185" i="5"/>
  <c r="P185" i="5" s="1"/>
  <c r="B121" i="5"/>
  <c r="P121" i="5" s="1"/>
  <c r="B58" i="5"/>
  <c r="P58" i="5" s="1"/>
  <c r="B1162" i="5"/>
  <c r="P1162" i="5" s="1"/>
  <c r="B1098" i="5"/>
  <c r="P1098" i="5" s="1"/>
  <c r="B648" i="5"/>
  <c r="B971" i="5"/>
  <c r="P971" i="5" s="1"/>
  <c r="B907" i="5"/>
  <c r="P907" i="5" s="1"/>
  <c r="B857" i="5"/>
  <c r="P857" i="5" s="1"/>
  <c r="B1055" i="5"/>
  <c r="B729" i="5"/>
  <c r="P729" i="5" s="1"/>
  <c r="B1160" i="5"/>
  <c r="P1160" i="5" s="1"/>
  <c r="B1096" i="5"/>
  <c r="P1096" i="5" s="1"/>
  <c r="B560" i="5"/>
  <c r="B969" i="5"/>
  <c r="P969" i="5" s="1"/>
  <c r="B855" i="5"/>
  <c r="P855" i="5" s="1"/>
  <c r="B791" i="5"/>
  <c r="P791" i="5" s="1"/>
  <c r="B727" i="5"/>
  <c r="P727" i="5" s="1"/>
  <c r="B663" i="5"/>
  <c r="P663" i="5" s="1"/>
  <c r="B599" i="5"/>
  <c r="P599" i="5" s="1"/>
  <c r="B1119" i="5"/>
  <c r="P1119" i="5" s="1"/>
  <c r="B1057" i="5"/>
  <c r="P1057" i="5" s="1"/>
  <c r="B991" i="5"/>
  <c r="P991" i="5" s="1"/>
  <c r="B928" i="5"/>
  <c r="P928" i="5" s="1"/>
  <c r="B878" i="5"/>
  <c r="P878" i="5" s="1"/>
  <c r="B814" i="5"/>
  <c r="P814" i="5" s="1"/>
  <c r="B750" i="5"/>
  <c r="P750" i="5" s="1"/>
  <c r="B686" i="5"/>
  <c r="P686" i="5" s="1"/>
  <c r="B1118" i="5"/>
  <c r="P1118" i="5" s="1"/>
  <c r="B1046" i="5"/>
  <c r="B990" i="5"/>
  <c r="P990" i="5" s="1"/>
  <c r="B805" i="5"/>
  <c r="B877" i="5"/>
  <c r="P877" i="5" s="1"/>
  <c r="B813" i="5"/>
  <c r="P813" i="5" s="1"/>
  <c r="B1156" i="5"/>
  <c r="P1156" i="5" s="1"/>
  <c r="B819" i="5"/>
  <c r="P819" i="5" s="1"/>
  <c r="B452" i="5"/>
  <c r="P452" i="5" s="1"/>
  <c r="B258" i="5"/>
  <c r="P258" i="5" s="1"/>
  <c r="B114" i="5"/>
  <c r="P114" i="5" s="1"/>
  <c r="B1155" i="5"/>
  <c r="P1155" i="5" s="1"/>
  <c r="B1093" i="5"/>
  <c r="P1093" i="5" s="1"/>
  <c r="B1029" i="5"/>
  <c r="P1029" i="5" s="1"/>
  <c r="B964" i="5"/>
  <c r="P964" i="5" s="1"/>
  <c r="B850" i="5"/>
  <c r="P850" i="5" s="1"/>
  <c r="B786" i="5"/>
  <c r="P786" i="5" s="1"/>
  <c r="B722" i="5"/>
  <c r="P722" i="5" s="1"/>
  <c r="B281" i="5"/>
  <c r="B691" i="5"/>
  <c r="P691" i="5" s="1"/>
  <c r="B356" i="5"/>
  <c r="P356" i="5" s="1"/>
  <c r="B186" i="5"/>
  <c r="P186" i="5" s="1"/>
  <c r="B51" i="5"/>
  <c r="P51" i="5" s="1"/>
  <c r="B941" i="5"/>
  <c r="P941" i="5" s="1"/>
  <c r="B572" i="5"/>
  <c r="P572" i="5" s="1"/>
  <c r="B1067" i="5"/>
  <c r="P1067" i="5" s="1"/>
  <c r="B840" i="5"/>
  <c r="P840" i="5" s="1"/>
  <c r="B1070" i="5"/>
  <c r="P1070" i="5" s="1"/>
  <c r="B755" i="5"/>
  <c r="P755" i="5" s="1"/>
  <c r="B436" i="5"/>
  <c r="P436" i="5" s="1"/>
  <c r="B1027" i="5"/>
  <c r="P1027" i="5" s="1"/>
  <c r="B824" i="5"/>
  <c r="P824" i="5" s="1"/>
  <c r="B1014" i="5"/>
  <c r="P1014" i="5" s="1"/>
  <c r="B619" i="5"/>
  <c r="P619" i="5" s="1"/>
  <c r="B1161" i="5"/>
  <c r="P1161" i="5" s="1"/>
  <c r="B1140" i="5"/>
  <c r="P1140" i="5" s="1"/>
  <c r="B699" i="5"/>
  <c r="P699" i="5" s="1"/>
  <c r="B1113" i="5"/>
  <c r="P1113" i="5" s="1"/>
  <c r="B720" i="5"/>
  <c r="P720" i="5" s="1"/>
  <c r="B626" i="5"/>
  <c r="P626" i="5" s="1"/>
  <c r="B563" i="5"/>
  <c r="P563" i="5" s="1"/>
  <c r="B499" i="5"/>
  <c r="P499" i="5" s="1"/>
  <c r="B435" i="5"/>
  <c r="P435" i="5" s="1"/>
  <c r="B371" i="5"/>
  <c r="P371" i="5" s="1"/>
  <c r="B305" i="5"/>
  <c r="P305" i="5" s="1"/>
  <c r="B241" i="5"/>
  <c r="P241" i="5" s="1"/>
  <c r="B177" i="5"/>
  <c r="P177" i="5" s="1"/>
  <c r="B113" i="5"/>
  <c r="P113" i="5" s="1"/>
  <c r="B50" i="5"/>
  <c r="P50" i="5" s="1"/>
  <c r="B1154" i="5"/>
  <c r="P1154" i="5" s="1"/>
  <c r="B1092" i="5"/>
  <c r="P1092" i="5" s="1"/>
  <c r="B1028" i="5"/>
  <c r="P1028" i="5" s="1"/>
  <c r="B963" i="5"/>
  <c r="P963" i="5" s="1"/>
  <c r="B849" i="5"/>
  <c r="P849" i="5" s="1"/>
  <c r="B785" i="5"/>
  <c r="P785" i="5" s="1"/>
  <c r="B721" i="5"/>
  <c r="P721" i="5" s="1"/>
  <c r="B1152" i="5"/>
  <c r="P1152" i="5" s="1"/>
  <c r="B1090" i="5"/>
  <c r="P1090" i="5" s="1"/>
  <c r="B1026" i="5"/>
  <c r="P1026" i="5" s="1"/>
  <c r="B961" i="5"/>
  <c r="P961" i="5" s="1"/>
  <c r="B847" i="5"/>
  <c r="P847" i="5" s="1"/>
  <c r="B783" i="5"/>
  <c r="P783" i="5" s="1"/>
  <c r="B719" i="5"/>
  <c r="P719" i="5" s="1"/>
  <c r="B655" i="5"/>
  <c r="P655" i="5" s="1"/>
  <c r="B1175" i="5"/>
  <c r="P1175" i="5" s="1"/>
  <c r="B1111" i="5"/>
  <c r="P1111" i="5" s="1"/>
  <c r="B818" i="5"/>
  <c r="B984" i="5"/>
  <c r="P984" i="5" s="1"/>
  <c r="B920" i="5"/>
  <c r="P920" i="5" s="1"/>
  <c r="B870" i="5"/>
  <c r="P870" i="5" s="1"/>
  <c r="B806" i="5"/>
  <c r="P806" i="5" s="1"/>
  <c r="B742" i="5"/>
  <c r="P742" i="5" s="1"/>
  <c r="B1174" i="5"/>
  <c r="P1174" i="5" s="1"/>
  <c r="B1110" i="5"/>
  <c r="P1110" i="5" s="1"/>
  <c r="B1094" i="5"/>
  <c r="B983" i="5"/>
  <c r="P983" i="5" s="1"/>
  <c r="B919" i="5"/>
  <c r="P919" i="5" s="1"/>
  <c r="B869" i="5"/>
  <c r="P869" i="5" s="1"/>
  <c r="B1036" i="5"/>
  <c r="B741" i="5"/>
  <c r="P741" i="5" s="1"/>
  <c r="B1173" i="5"/>
  <c r="P1173" i="5" s="1"/>
  <c r="B1109" i="5"/>
  <c r="P1109" i="5" s="1"/>
  <c r="B1047" i="5"/>
  <c r="P1047" i="5" s="1"/>
  <c r="B982" i="5"/>
  <c r="P982" i="5" s="1"/>
  <c r="B918" i="5"/>
  <c r="P918" i="5" s="1"/>
  <c r="B868" i="5"/>
  <c r="P868" i="5" s="1"/>
  <c r="B804" i="5"/>
  <c r="P804" i="5" s="1"/>
  <c r="B1108" i="5"/>
  <c r="P1108" i="5" s="1"/>
  <c r="B779" i="5"/>
  <c r="P779" i="5" s="1"/>
  <c r="B420" i="5"/>
  <c r="P420" i="5" s="1"/>
  <c r="B242" i="5"/>
  <c r="P242" i="5" s="1"/>
  <c r="B90" i="5"/>
  <c r="P90" i="5" s="1"/>
  <c r="B1147" i="5"/>
  <c r="P1147" i="5" s="1"/>
  <c r="B1085" i="5"/>
  <c r="P1085" i="5" s="1"/>
  <c r="B1021" i="5"/>
  <c r="P1021" i="5" s="1"/>
  <c r="B956" i="5"/>
  <c r="P956" i="5" s="1"/>
  <c r="B842" i="5"/>
  <c r="P842" i="5" s="1"/>
  <c r="B778" i="5"/>
  <c r="P778" i="5" s="1"/>
  <c r="B714" i="5"/>
  <c r="P714" i="5" s="1"/>
  <c r="B1006" i="5"/>
  <c r="P1006" i="5" s="1"/>
  <c r="B643" i="5"/>
  <c r="P643" i="5" s="1"/>
  <c r="B340" i="5"/>
  <c r="P340" i="5" s="1"/>
  <c r="B1051" i="5"/>
  <c r="B35" i="5"/>
  <c r="P35" i="5" s="1"/>
  <c r="B508" i="5"/>
  <c r="P508" i="5" s="1"/>
  <c r="B561" i="5"/>
  <c r="B808" i="5"/>
  <c r="P808" i="5" s="1"/>
  <c r="B1038" i="5"/>
  <c r="P1038" i="5" s="1"/>
  <c r="B715" i="5"/>
  <c r="P715" i="5" s="1"/>
  <c r="B388" i="5"/>
  <c r="P388" i="5" s="1"/>
  <c r="B993" i="5"/>
  <c r="P993" i="5" s="1"/>
  <c r="B800" i="5"/>
  <c r="P800" i="5" s="1"/>
  <c r="B965" i="5"/>
  <c r="P965" i="5" s="1"/>
  <c r="B548" i="5"/>
  <c r="P548" i="5" s="1"/>
  <c r="B1121" i="5"/>
  <c r="P1121" i="5" s="1"/>
  <c r="B880" i="5"/>
  <c r="P880" i="5" s="1"/>
  <c r="B1086" i="5"/>
  <c r="P1086" i="5" s="1"/>
  <c r="B1034" i="5"/>
  <c r="B1083" i="5"/>
  <c r="P1083" i="5" s="1"/>
  <c r="B682" i="5"/>
  <c r="P682" i="5" s="1"/>
  <c r="B618" i="5"/>
  <c r="P618" i="5" s="1"/>
  <c r="B555" i="5"/>
  <c r="P555" i="5" s="1"/>
  <c r="B491" i="5"/>
  <c r="P491" i="5" s="1"/>
  <c r="B427" i="5"/>
  <c r="P427" i="5" s="1"/>
  <c r="B363" i="5"/>
  <c r="P363" i="5" s="1"/>
  <c r="B297" i="5"/>
  <c r="P297" i="5" s="1"/>
  <c r="B233" i="5"/>
  <c r="P233" i="5" s="1"/>
  <c r="B169" i="5"/>
  <c r="P169" i="5" s="1"/>
  <c r="B105" i="5"/>
  <c r="P105" i="5" s="1"/>
  <c r="B42" i="5"/>
  <c r="P42" i="5" s="1"/>
  <c r="B1146" i="5"/>
  <c r="P1146" i="5" s="1"/>
  <c r="B1084" i="5"/>
  <c r="P1084" i="5" s="1"/>
  <c r="B1020" i="5"/>
  <c r="P1020" i="5" s="1"/>
  <c r="B955" i="5"/>
  <c r="P955" i="5" s="1"/>
  <c r="B905" i="5"/>
  <c r="P905" i="5" s="1"/>
  <c r="B841" i="5"/>
  <c r="P841" i="5" s="1"/>
  <c r="B777" i="5"/>
  <c r="P777" i="5" s="1"/>
  <c r="B713" i="5"/>
  <c r="P713" i="5" s="1"/>
  <c r="B1144" i="5"/>
  <c r="P1144" i="5" s="1"/>
  <c r="B1082" i="5"/>
  <c r="P1082" i="5" s="1"/>
  <c r="B1018" i="5"/>
  <c r="P1018" i="5" s="1"/>
  <c r="B953" i="5"/>
  <c r="P953" i="5" s="1"/>
  <c r="B903" i="5"/>
  <c r="P903" i="5" s="1"/>
  <c r="B839" i="5"/>
  <c r="P839" i="5" s="1"/>
  <c r="B775" i="5"/>
  <c r="P775" i="5" s="1"/>
  <c r="B711" i="5"/>
  <c r="P711" i="5" s="1"/>
  <c r="B647" i="5"/>
  <c r="P647" i="5" s="1"/>
  <c r="B1167" i="5"/>
  <c r="P1167" i="5" s="1"/>
  <c r="B1103" i="5"/>
  <c r="P1103" i="5" s="1"/>
  <c r="B275" i="5"/>
  <c r="B976" i="5"/>
  <c r="P976" i="5" s="1"/>
  <c r="B317" i="5"/>
  <c r="B862" i="5"/>
  <c r="P862" i="5" s="1"/>
  <c r="B798" i="5"/>
  <c r="P798" i="5" s="1"/>
  <c r="B734" i="5"/>
  <c r="P734" i="5" s="1"/>
  <c r="B1166" i="5"/>
  <c r="P1166" i="5" s="1"/>
  <c r="B1102" i="5"/>
  <c r="P1102" i="5" s="1"/>
  <c r="B219" i="5"/>
  <c r="B975" i="5"/>
  <c r="P975" i="5" s="1"/>
  <c r="B911" i="5"/>
  <c r="P911" i="5" s="1"/>
  <c r="B861" i="5"/>
  <c r="P861" i="5" s="1"/>
  <c r="B797" i="5"/>
  <c r="P797" i="5" s="1"/>
  <c r="B733" i="5"/>
  <c r="P733" i="5" s="1"/>
  <c r="B1165" i="5"/>
  <c r="P1165" i="5" s="1"/>
  <c r="B1101" i="5"/>
  <c r="P1101" i="5" s="1"/>
  <c r="B1039" i="5"/>
  <c r="P1039" i="5" s="1"/>
  <c r="B974" i="5"/>
  <c r="P974" i="5" s="1"/>
  <c r="B910" i="5"/>
  <c r="P910" i="5" s="1"/>
  <c r="B860" i="5"/>
  <c r="P860" i="5" s="1"/>
  <c r="B1061" i="5"/>
  <c r="B732" i="5"/>
  <c r="P732" i="5" s="1"/>
  <c r="B668" i="5"/>
  <c r="P668" i="5" s="1"/>
  <c r="B604" i="5"/>
  <c r="P604" i="5" s="1"/>
  <c r="B625" i="5"/>
  <c r="P625" i="5" s="1"/>
  <c r="B562" i="5"/>
  <c r="P562" i="5" s="1"/>
  <c r="B498" i="5"/>
  <c r="P498" i="5" s="1"/>
  <c r="B434" i="5"/>
  <c r="P434" i="5" s="1"/>
  <c r="B370" i="5"/>
  <c r="P370" i="5" s="1"/>
  <c r="B1062" i="5"/>
  <c r="P1062" i="5" s="1"/>
  <c r="B731" i="5"/>
  <c r="P731" i="5" s="1"/>
  <c r="B380" i="5"/>
  <c r="P380" i="5" s="1"/>
  <c r="B234" i="5"/>
  <c r="P234" i="5" s="1"/>
  <c r="B75" i="5"/>
  <c r="P75" i="5" s="1"/>
  <c r="B1139" i="5"/>
  <c r="P1139" i="5" s="1"/>
  <c r="B1077" i="5"/>
  <c r="P1077" i="5" s="1"/>
  <c r="B1013" i="5"/>
  <c r="P1013" i="5" s="1"/>
  <c r="B948" i="5"/>
  <c r="P948" i="5" s="1"/>
  <c r="B898" i="5"/>
  <c r="P898" i="5" s="1"/>
  <c r="B834" i="5"/>
  <c r="P834" i="5" s="1"/>
  <c r="B770" i="5"/>
  <c r="P770" i="5" s="1"/>
  <c r="B706" i="5"/>
  <c r="P706" i="5" s="1"/>
  <c r="B957" i="5"/>
  <c r="P957" i="5" s="1"/>
  <c r="B603" i="5"/>
  <c r="P603" i="5" s="1"/>
  <c r="B314" i="5"/>
  <c r="P314" i="5" s="1"/>
  <c r="B146" i="5"/>
  <c r="P146" i="5" s="1"/>
  <c r="B19" i="5"/>
  <c r="P19" i="5" s="1"/>
  <c r="B851" i="5"/>
  <c r="P851" i="5" s="1"/>
  <c r="B460" i="5"/>
  <c r="P460" i="5" s="1"/>
  <c r="B1011" i="5"/>
  <c r="P1011" i="5" s="1"/>
  <c r="B784" i="5"/>
  <c r="P784" i="5" s="1"/>
  <c r="B989" i="5"/>
  <c r="P989" i="5" s="1"/>
  <c r="B675" i="5"/>
  <c r="P675" i="5" s="1"/>
  <c r="B210" i="5"/>
  <c r="P210" i="5" s="1"/>
  <c r="B970" i="5"/>
  <c r="P970" i="5" s="1"/>
  <c r="B776" i="5"/>
  <c r="P776" i="5" s="1"/>
  <c r="B906" i="5"/>
  <c r="P906" i="5" s="1"/>
  <c r="B500" i="5"/>
  <c r="P500" i="5" s="1"/>
  <c r="B1091" i="5"/>
  <c r="P1091" i="5" s="1"/>
  <c r="B856" i="5"/>
  <c r="P856" i="5" s="1"/>
  <c r="B1030" i="5"/>
  <c r="P1030" i="5" s="1"/>
  <c r="B595" i="5"/>
  <c r="P595" i="5" s="1"/>
  <c r="B1043" i="5"/>
  <c r="P1043" i="5" s="1"/>
  <c r="B674" i="5"/>
  <c r="P674" i="5" s="1"/>
  <c r="B610" i="5"/>
  <c r="P610" i="5" s="1"/>
  <c r="B547" i="5"/>
  <c r="P547" i="5" s="1"/>
  <c r="B483" i="5"/>
  <c r="P483" i="5" s="1"/>
  <c r="B419" i="5"/>
  <c r="P419" i="5" s="1"/>
  <c r="B355" i="5"/>
  <c r="P355" i="5" s="1"/>
  <c r="B289" i="5"/>
  <c r="P289" i="5" s="1"/>
  <c r="B225" i="5"/>
  <c r="P225" i="5" s="1"/>
  <c r="B651" i="5"/>
  <c r="B97" i="5"/>
  <c r="P97" i="5" s="1"/>
  <c r="B34" i="5"/>
  <c r="P34" i="5" s="1"/>
  <c r="B1138" i="5"/>
  <c r="P1138" i="5" s="1"/>
  <c r="B1076" i="5"/>
  <c r="P1076" i="5" s="1"/>
  <c r="B1012" i="5"/>
  <c r="P1012" i="5" s="1"/>
  <c r="B947" i="5"/>
  <c r="P947" i="5" s="1"/>
  <c r="B897" i="5"/>
  <c r="P897" i="5" s="1"/>
  <c r="B833" i="5"/>
  <c r="P833" i="5" s="1"/>
  <c r="B769" i="5"/>
  <c r="P769" i="5" s="1"/>
  <c r="B705" i="5"/>
  <c r="P705" i="5" s="1"/>
  <c r="B1136" i="5"/>
  <c r="P1136" i="5" s="1"/>
  <c r="B1074" i="5"/>
  <c r="P1074" i="5" s="1"/>
  <c r="B1010" i="5"/>
  <c r="P1010" i="5" s="1"/>
  <c r="B945" i="5"/>
  <c r="P945" i="5" s="1"/>
  <c r="B895" i="5"/>
  <c r="P895" i="5" s="1"/>
  <c r="B831" i="5"/>
  <c r="P831" i="5" s="1"/>
  <c r="B767" i="5"/>
  <c r="P767" i="5" s="1"/>
  <c r="B703" i="5"/>
  <c r="P703" i="5" s="1"/>
  <c r="B639" i="5"/>
  <c r="P639" i="5" s="1"/>
  <c r="B1159" i="5"/>
  <c r="P1159" i="5" s="1"/>
  <c r="B1095" i="5"/>
  <c r="P1095" i="5" s="1"/>
  <c r="B1033" i="5"/>
  <c r="P1033" i="5" s="1"/>
  <c r="B968" i="5"/>
  <c r="P968" i="5" s="1"/>
  <c r="B854" i="5"/>
  <c r="P854" i="5" s="1"/>
  <c r="B790" i="5"/>
  <c r="P790" i="5" s="1"/>
  <c r="B726" i="5"/>
  <c r="P726" i="5" s="1"/>
  <c r="B1158" i="5"/>
  <c r="P1158" i="5" s="1"/>
  <c r="B912" i="5"/>
  <c r="B1032" i="5"/>
  <c r="P1032" i="5" s="1"/>
  <c r="B967" i="5"/>
  <c r="P967" i="5" s="1"/>
  <c r="B853" i="5"/>
  <c r="P853" i="5" s="1"/>
  <c r="B789" i="5"/>
  <c r="P789" i="5" s="1"/>
  <c r="B725" i="5"/>
  <c r="P725" i="5" s="1"/>
  <c r="B981" i="5"/>
  <c r="P981" i="5" s="1"/>
  <c r="B635" i="5"/>
  <c r="P635" i="5" s="1"/>
  <c r="B322" i="5"/>
  <c r="P322" i="5" s="1"/>
  <c r="B178" i="5"/>
  <c r="P178" i="5" s="1"/>
  <c r="B43" i="5"/>
  <c r="P43" i="5" s="1"/>
  <c r="B1123" i="5"/>
  <c r="P1123" i="5" s="1"/>
  <c r="B1049" i="5"/>
  <c r="B995" i="5"/>
  <c r="P995" i="5" s="1"/>
  <c r="B932" i="5"/>
  <c r="P932" i="5" s="1"/>
  <c r="B882" i="5"/>
  <c r="P882" i="5" s="1"/>
  <c r="B796" i="5"/>
  <c r="B754" i="5"/>
  <c r="P754" i="5" s="1"/>
  <c r="B690" i="5"/>
  <c r="P690" i="5" s="1"/>
  <c r="B883" i="5"/>
  <c r="P883" i="5" s="1"/>
  <c r="B524" i="5"/>
  <c r="P524" i="5" s="1"/>
  <c r="B282" i="5"/>
  <c r="P282" i="5" s="1"/>
  <c r="B106" i="5"/>
  <c r="P106" i="5" s="1"/>
  <c r="B1148" i="5"/>
  <c r="P1148" i="5" s="1"/>
  <c r="B763" i="5"/>
  <c r="P763" i="5" s="1"/>
  <c r="B202" i="5"/>
  <c r="P202" i="5" s="1"/>
  <c r="B946" i="5"/>
  <c r="P946" i="5" s="1"/>
  <c r="B728" i="5"/>
  <c r="P728" i="5" s="1"/>
  <c r="B925" i="5"/>
  <c r="P925" i="5" s="1"/>
  <c r="B580" i="5"/>
  <c r="P580" i="5" s="1"/>
  <c r="B1129" i="5"/>
  <c r="P1129" i="5" s="1"/>
  <c r="B914" i="5"/>
  <c r="P914" i="5" s="1"/>
  <c r="B736" i="5"/>
  <c r="P736" i="5" s="1"/>
  <c r="B827" i="5"/>
  <c r="P827" i="5" s="1"/>
  <c r="B404" i="5"/>
  <c r="P404" i="5" s="1"/>
  <c r="B1019" i="5"/>
  <c r="P1019" i="5" s="1"/>
  <c r="B792" i="5"/>
  <c r="P792" i="5" s="1"/>
  <c r="B909" i="5"/>
  <c r="P909" i="5" s="1"/>
  <c r="B484" i="5"/>
  <c r="P484" i="5" s="1"/>
  <c r="B954" i="5"/>
  <c r="P954" i="5" s="1"/>
  <c r="B658" i="5"/>
  <c r="P658" i="5" s="1"/>
  <c r="B594" i="5"/>
  <c r="P594" i="5" s="1"/>
  <c r="B531" i="5"/>
  <c r="P531" i="5" s="1"/>
  <c r="B467" i="5"/>
  <c r="P467" i="5" s="1"/>
  <c r="B403" i="5"/>
  <c r="P403" i="5" s="1"/>
  <c r="B339" i="5"/>
  <c r="P339" i="5" s="1"/>
  <c r="B273" i="5"/>
  <c r="P273" i="5" s="1"/>
  <c r="B209" i="5"/>
  <c r="P209" i="5" s="1"/>
  <c r="B145" i="5"/>
  <c r="P145" i="5" s="1"/>
  <c r="B82" i="5"/>
  <c r="P82" i="5" s="1"/>
  <c r="B18" i="5"/>
  <c r="P18" i="5" s="1"/>
  <c r="B1122" i="5"/>
  <c r="P1122" i="5" s="1"/>
  <c r="B1060" i="5"/>
  <c r="P1060" i="5" s="1"/>
  <c r="B994" i="5"/>
  <c r="P994" i="5" s="1"/>
  <c r="B931" i="5"/>
  <c r="P931" i="5" s="1"/>
  <c r="B881" i="5"/>
  <c r="P881" i="5" s="1"/>
  <c r="B817" i="5"/>
  <c r="P817" i="5" s="1"/>
  <c r="B753" i="5"/>
  <c r="P753" i="5" s="1"/>
  <c r="B689" i="5"/>
  <c r="P689" i="5" s="1"/>
  <c r="B1120" i="5"/>
  <c r="P1120" i="5" s="1"/>
  <c r="B1058" i="5"/>
  <c r="P1058" i="5" s="1"/>
  <c r="B992" i="5"/>
  <c r="P992" i="5" s="1"/>
  <c r="B1040" i="5"/>
  <c r="B879" i="5"/>
  <c r="P879" i="5" s="1"/>
  <c r="B815" i="5"/>
  <c r="P815" i="5" s="1"/>
  <c r="B751" i="5"/>
  <c r="P751" i="5" s="1"/>
  <c r="B687" i="5"/>
  <c r="P687" i="5" s="1"/>
  <c r="B623" i="5"/>
  <c r="P623" i="5" s="1"/>
  <c r="B1143" i="5"/>
  <c r="P1143" i="5" s="1"/>
  <c r="B1081" i="5"/>
  <c r="P1081" i="5" s="1"/>
  <c r="B1017" i="5"/>
  <c r="P1017" i="5" s="1"/>
  <c r="B952" i="5"/>
  <c r="P952" i="5" s="1"/>
  <c r="B902" i="5"/>
  <c r="P902" i="5" s="1"/>
  <c r="B838" i="5"/>
  <c r="P838" i="5" s="1"/>
  <c r="B774" i="5"/>
  <c r="P774" i="5" s="1"/>
  <c r="B710" i="5"/>
  <c r="P710" i="5" s="1"/>
  <c r="B1142" i="5"/>
  <c r="P1142" i="5" s="1"/>
  <c r="B1080" i="5"/>
  <c r="P1080" i="5" s="1"/>
  <c r="B1016" i="5"/>
  <c r="P1016" i="5" s="1"/>
  <c r="B951" i="5"/>
  <c r="P951" i="5" s="1"/>
  <c r="B901" i="5"/>
  <c r="P901" i="5" s="1"/>
  <c r="B837" i="5"/>
  <c r="P837" i="5" s="1"/>
  <c r="B773" i="5"/>
  <c r="P773" i="5" s="1"/>
  <c r="B709" i="5"/>
  <c r="P709" i="5" s="1"/>
  <c r="B1141" i="5"/>
  <c r="P1141" i="5" s="1"/>
  <c r="B1079" i="5"/>
  <c r="P1079" i="5" s="1"/>
  <c r="B933" i="5"/>
  <c r="P933" i="5" s="1"/>
  <c r="B588" i="5"/>
  <c r="P588" i="5" s="1"/>
  <c r="B306" i="5"/>
  <c r="P306" i="5" s="1"/>
  <c r="B154" i="5"/>
  <c r="P154" i="5" s="1"/>
  <c r="B27" i="5"/>
  <c r="P27" i="5" s="1"/>
  <c r="B1115" i="5"/>
  <c r="P1115" i="5" s="1"/>
  <c r="B1044" i="5"/>
  <c r="B988" i="5"/>
  <c r="P988" i="5" s="1"/>
  <c r="B924" i="5"/>
  <c r="P924" i="5" s="1"/>
  <c r="B874" i="5"/>
  <c r="P874" i="5" s="1"/>
  <c r="B810" i="5"/>
  <c r="P810" i="5" s="1"/>
  <c r="B746" i="5"/>
  <c r="P746" i="5" s="1"/>
  <c r="B1172" i="5"/>
  <c r="P1172" i="5" s="1"/>
  <c r="B835" i="5"/>
  <c r="P835" i="5" s="1"/>
  <c r="B468" i="5"/>
  <c r="P468" i="5" s="1"/>
  <c r="B266" i="5"/>
  <c r="P266" i="5" s="1"/>
  <c r="B98" i="5"/>
  <c r="P98" i="5" s="1"/>
  <c r="B1100" i="5"/>
  <c r="P1100" i="5" s="1"/>
  <c r="B707" i="5"/>
  <c r="P707" i="5" s="1"/>
  <c r="B1169" i="5"/>
  <c r="P1169" i="5" s="1"/>
  <c r="B696" i="5"/>
  <c r="P696" i="5" s="1"/>
  <c r="B891" i="5"/>
  <c r="P891" i="5" s="1"/>
  <c r="B556" i="5"/>
  <c r="P556" i="5" s="1"/>
  <c r="B1097" i="5"/>
  <c r="P1097" i="5" s="1"/>
  <c r="B904" i="5"/>
  <c r="P904" i="5" s="1"/>
  <c r="B704" i="5"/>
  <c r="P704" i="5" s="1"/>
  <c r="B771" i="5"/>
  <c r="P771" i="5" s="1"/>
  <c r="B364" i="5"/>
  <c r="P364" i="5" s="1"/>
  <c r="B986" i="5"/>
  <c r="P986" i="5" s="1"/>
  <c r="B768" i="5"/>
  <c r="P768" i="5" s="1"/>
  <c r="B867" i="5"/>
  <c r="P867" i="5" s="1"/>
  <c r="B793" i="5"/>
  <c r="B922" i="5"/>
  <c r="P922" i="5" s="1"/>
  <c r="B1035" i="5"/>
  <c r="B587" i="5"/>
  <c r="P587" i="5" s="1"/>
  <c r="B523" i="5"/>
  <c r="P523" i="5" s="1"/>
  <c r="B459" i="5"/>
  <c r="P459" i="5" s="1"/>
  <c r="B395" i="5"/>
  <c r="P395" i="5" s="1"/>
  <c r="B329" i="5"/>
  <c r="P329" i="5" s="1"/>
  <c r="B265" i="5"/>
  <c r="P265" i="5" s="1"/>
  <c r="B201" i="5"/>
  <c r="P201" i="5" s="1"/>
  <c r="B137" i="5"/>
  <c r="P137" i="5" s="1"/>
  <c r="B74" i="5"/>
  <c r="P74" i="5" s="1"/>
  <c r="B10" i="5"/>
  <c r="P10" i="5" s="1"/>
  <c r="B1114" i="5"/>
  <c r="P1114" i="5" s="1"/>
  <c r="B1052" i="5"/>
  <c r="P1052" i="5" s="1"/>
  <c r="B987" i="5"/>
  <c r="P987" i="5" s="1"/>
  <c r="B923" i="5"/>
  <c r="P923" i="5" s="1"/>
  <c r="B873" i="5"/>
  <c r="P873" i="5" s="1"/>
  <c r="B809" i="5"/>
  <c r="P809" i="5" s="1"/>
  <c r="B745" i="5"/>
  <c r="P745" i="5" s="1"/>
  <c r="B3" i="5"/>
  <c r="P3" i="5" s="1"/>
  <c r="B1112" i="5"/>
  <c r="P1112" i="5" s="1"/>
  <c r="B1050" i="5"/>
  <c r="P1050" i="5" s="1"/>
  <c r="B985" i="5"/>
  <c r="P985" i="5" s="1"/>
  <c r="B921" i="5"/>
  <c r="P921" i="5" s="1"/>
  <c r="B871" i="5"/>
  <c r="P871" i="5" s="1"/>
  <c r="B807" i="5"/>
  <c r="P807" i="5" s="1"/>
  <c r="B743" i="5"/>
  <c r="P743" i="5" s="1"/>
  <c r="B679" i="5"/>
  <c r="P679" i="5" s="1"/>
  <c r="B615" i="5"/>
  <c r="P615" i="5" s="1"/>
  <c r="B1135" i="5"/>
  <c r="P1135" i="5" s="1"/>
  <c r="B1073" i="5"/>
  <c r="P1073" i="5" s="1"/>
  <c r="B1009" i="5"/>
  <c r="P1009" i="5" s="1"/>
  <c r="B944" i="5"/>
  <c r="P944" i="5" s="1"/>
  <c r="B894" i="5"/>
  <c r="P894" i="5" s="1"/>
  <c r="B830" i="5"/>
  <c r="P830" i="5" s="1"/>
  <c r="B766" i="5"/>
  <c r="P766" i="5" s="1"/>
  <c r="B702" i="5"/>
  <c r="P702" i="5" s="1"/>
  <c r="B1134" i="5"/>
  <c r="P1134" i="5" s="1"/>
  <c r="B1072" i="5"/>
  <c r="P1072" i="5" s="1"/>
  <c r="B1008" i="5"/>
  <c r="P1008" i="5" s="1"/>
  <c r="B943" i="5"/>
  <c r="P943" i="5" s="1"/>
  <c r="B893" i="5"/>
  <c r="P893" i="5" s="1"/>
  <c r="B829" i="5"/>
  <c r="P829" i="5" s="1"/>
  <c r="B765" i="5"/>
  <c r="P765" i="5" s="1"/>
  <c r="B701" i="5"/>
  <c r="P701" i="5" s="1"/>
  <c r="B1133" i="5"/>
  <c r="P1133" i="5" s="1"/>
  <c r="B1071" i="5"/>
  <c r="P1071" i="5" s="1"/>
  <c r="B1007" i="5"/>
  <c r="P1007" i="5" s="1"/>
  <c r="B942" i="5"/>
  <c r="P942" i="5" s="1"/>
  <c r="B892" i="5"/>
  <c r="P892" i="5" s="1"/>
  <c r="B828" i="5"/>
  <c r="P828" i="5" s="1"/>
  <c r="B764" i="5"/>
  <c r="P764" i="5" s="1"/>
  <c r="B700" i="5"/>
  <c r="P700" i="5" s="1"/>
  <c r="B636" i="5"/>
  <c r="P636" i="5" s="1"/>
  <c r="B657" i="5"/>
  <c r="P657" i="5" s="1"/>
  <c r="B1022" i="5"/>
  <c r="P1022" i="5" s="1"/>
  <c r="B59" i="5"/>
  <c r="P59" i="5" s="1"/>
  <c r="B940" i="5"/>
  <c r="P940" i="5" s="1"/>
  <c r="B698" i="5"/>
  <c r="P698" i="5" s="1"/>
  <c r="B122" i="5"/>
  <c r="P122" i="5" s="1"/>
  <c r="B978" i="5"/>
  <c r="P978" i="5" s="1"/>
  <c r="B1145" i="5"/>
  <c r="P1145" i="5" s="1"/>
  <c r="B163" i="5"/>
  <c r="B532" i="5"/>
  <c r="P532" i="5" s="1"/>
  <c r="B539" i="5"/>
  <c r="P539" i="5" s="1"/>
  <c r="B444" i="5"/>
  <c r="B26" i="5"/>
  <c r="P26" i="5" s="1"/>
  <c r="B939" i="5"/>
  <c r="P939" i="5" s="1"/>
  <c r="B697" i="5"/>
  <c r="P697" i="5" s="1"/>
  <c r="B937" i="5"/>
  <c r="P937" i="5" s="1"/>
  <c r="B695" i="5"/>
  <c r="P695" i="5" s="1"/>
  <c r="B1025" i="5"/>
  <c r="P1025" i="5" s="1"/>
  <c r="B782" i="5"/>
  <c r="P782" i="5" s="1"/>
  <c r="B1024" i="5"/>
  <c r="P1024" i="5" s="1"/>
  <c r="B781" i="5"/>
  <c r="P781" i="5" s="1"/>
  <c r="B1125" i="5"/>
  <c r="P1125" i="5" s="1"/>
  <c r="B1015" i="5"/>
  <c r="P1015" i="5" s="1"/>
  <c r="B820" i="5"/>
  <c r="P820" i="5" s="1"/>
  <c r="B724" i="5"/>
  <c r="P724" i="5" s="1"/>
  <c r="B644" i="5"/>
  <c r="P644" i="5" s="1"/>
  <c r="B641" i="5"/>
  <c r="P641" i="5" s="1"/>
  <c r="B570" i="5"/>
  <c r="P570" i="5" s="1"/>
  <c r="B490" i="5"/>
  <c r="P490" i="5" s="1"/>
  <c r="B418" i="5"/>
  <c r="P418" i="5" s="1"/>
  <c r="B346" i="5"/>
  <c r="P346" i="5" s="1"/>
  <c r="B280" i="5"/>
  <c r="P280" i="5" s="1"/>
  <c r="B216" i="5"/>
  <c r="P216" i="5" s="1"/>
  <c r="B152" i="5"/>
  <c r="P152" i="5" s="1"/>
  <c r="B88" i="5"/>
  <c r="P88" i="5" s="1"/>
  <c r="B25" i="5"/>
  <c r="P25" i="5" s="1"/>
  <c r="B640" i="5"/>
  <c r="P640" i="5" s="1"/>
  <c r="B577" i="5"/>
  <c r="P577" i="5" s="1"/>
  <c r="B513" i="5"/>
  <c r="P513" i="5" s="1"/>
  <c r="B449" i="5"/>
  <c r="P449" i="5" s="1"/>
  <c r="B385" i="5"/>
  <c r="P385" i="5" s="1"/>
  <c r="B319" i="5"/>
  <c r="P319" i="5" s="1"/>
  <c r="B255" i="5"/>
  <c r="P255" i="5" s="1"/>
  <c r="B191" i="5"/>
  <c r="P191" i="5" s="1"/>
  <c r="B127" i="5"/>
  <c r="P127" i="5" s="1"/>
  <c r="B64" i="5"/>
  <c r="P64" i="5" s="1"/>
  <c r="B592" i="5"/>
  <c r="P592" i="5" s="1"/>
  <c r="B528" i="5"/>
  <c r="P528" i="5" s="1"/>
  <c r="B464" i="5"/>
  <c r="P464" i="5" s="1"/>
  <c r="B400" i="5"/>
  <c r="P400" i="5" s="1"/>
  <c r="B336" i="5"/>
  <c r="P336" i="5" s="1"/>
  <c r="B270" i="5"/>
  <c r="P270" i="5" s="1"/>
  <c r="B206" i="5"/>
  <c r="P206" i="5" s="1"/>
  <c r="B142" i="5"/>
  <c r="P142" i="5" s="1"/>
  <c r="B79" i="5"/>
  <c r="P79" i="5" s="1"/>
  <c r="B15" i="5"/>
  <c r="P15" i="5" s="1"/>
  <c r="B630" i="5"/>
  <c r="P630" i="5" s="1"/>
  <c r="B567" i="5"/>
  <c r="P567" i="5" s="1"/>
  <c r="B503" i="5"/>
  <c r="P503" i="5" s="1"/>
  <c r="B439" i="5"/>
  <c r="P439" i="5" s="1"/>
  <c r="B375" i="5"/>
  <c r="P375" i="5" s="1"/>
  <c r="B309" i="5"/>
  <c r="P309" i="5" s="1"/>
  <c r="B245" i="5"/>
  <c r="P245" i="5" s="1"/>
  <c r="B181" i="5"/>
  <c r="P181" i="5" s="1"/>
  <c r="B117" i="5"/>
  <c r="P117" i="5" s="1"/>
  <c r="B54" i="5"/>
  <c r="P54" i="5" s="1"/>
  <c r="B669" i="5"/>
  <c r="P669" i="5" s="1"/>
  <c r="B605" i="5"/>
  <c r="P605" i="5" s="1"/>
  <c r="B542" i="5"/>
  <c r="P542" i="5" s="1"/>
  <c r="B478" i="5"/>
  <c r="P478" i="5" s="1"/>
  <c r="B414" i="5"/>
  <c r="P414" i="5" s="1"/>
  <c r="B350" i="5"/>
  <c r="P350" i="5" s="1"/>
  <c r="B284" i="5"/>
  <c r="P284" i="5" s="1"/>
  <c r="B220" i="5"/>
  <c r="P220" i="5" s="1"/>
  <c r="B156" i="5"/>
  <c r="P156" i="5" s="1"/>
  <c r="B92" i="5"/>
  <c r="P92" i="5" s="1"/>
  <c r="B29" i="5"/>
  <c r="P29" i="5" s="1"/>
  <c r="B565" i="5"/>
  <c r="P565" i="5" s="1"/>
  <c r="B501" i="5"/>
  <c r="P501" i="5" s="1"/>
  <c r="B437" i="5"/>
  <c r="P437" i="5" s="1"/>
  <c r="B373" i="5"/>
  <c r="P373" i="5" s="1"/>
  <c r="B307" i="5"/>
  <c r="P307" i="5" s="1"/>
  <c r="B243" i="5"/>
  <c r="P243" i="5" s="1"/>
  <c r="B179" i="5"/>
  <c r="P179" i="5" s="1"/>
  <c r="B115" i="5"/>
  <c r="P115" i="5" s="1"/>
  <c r="B899" i="5"/>
  <c r="P899" i="5" s="1"/>
  <c r="B1171" i="5"/>
  <c r="P1171" i="5" s="1"/>
  <c r="B916" i="5"/>
  <c r="P916" i="5" s="1"/>
  <c r="B1132" i="5"/>
  <c r="P1132" i="5" s="1"/>
  <c r="B83" i="5"/>
  <c r="P83" i="5" s="1"/>
  <c r="B896" i="5"/>
  <c r="P896" i="5" s="1"/>
  <c r="B1075" i="5"/>
  <c r="P1075" i="5" s="1"/>
  <c r="B332" i="5"/>
  <c r="P332" i="5" s="1"/>
  <c r="B194" i="5"/>
  <c r="P194" i="5" s="1"/>
  <c r="B515" i="5"/>
  <c r="P515" i="5" s="1"/>
  <c r="B257" i="5"/>
  <c r="P257" i="5" s="1"/>
  <c r="B1170" i="5"/>
  <c r="P1170" i="5" s="1"/>
  <c r="B915" i="5"/>
  <c r="P915" i="5" s="1"/>
  <c r="B1168" i="5"/>
  <c r="P1168" i="5" s="1"/>
  <c r="B913" i="5"/>
  <c r="P913" i="5" s="1"/>
  <c r="B671" i="5"/>
  <c r="P671" i="5" s="1"/>
  <c r="B999" i="5"/>
  <c r="P999" i="5" s="1"/>
  <c r="B758" i="5"/>
  <c r="P758" i="5" s="1"/>
  <c r="B998" i="5"/>
  <c r="P998" i="5" s="1"/>
  <c r="B757" i="5"/>
  <c r="P757" i="5" s="1"/>
  <c r="B1117" i="5"/>
  <c r="P1117" i="5" s="1"/>
  <c r="B997" i="5"/>
  <c r="P997" i="5" s="1"/>
  <c r="B812" i="5"/>
  <c r="P812" i="5" s="1"/>
  <c r="B716" i="5"/>
  <c r="P716" i="5" s="1"/>
  <c r="B628" i="5"/>
  <c r="P628" i="5" s="1"/>
  <c r="B633" i="5"/>
  <c r="P633" i="5" s="1"/>
  <c r="B554" i="5"/>
  <c r="P554" i="5" s="1"/>
  <c r="B482" i="5"/>
  <c r="P482" i="5" s="1"/>
  <c r="B410" i="5"/>
  <c r="P410" i="5" s="1"/>
  <c r="B338" i="5"/>
  <c r="P338" i="5" s="1"/>
  <c r="B272" i="5"/>
  <c r="P272" i="5" s="1"/>
  <c r="B208" i="5"/>
  <c r="P208" i="5" s="1"/>
  <c r="B144" i="5"/>
  <c r="P144" i="5" s="1"/>
  <c r="B81" i="5"/>
  <c r="P81" i="5" s="1"/>
  <c r="B17" i="5"/>
  <c r="P17" i="5" s="1"/>
  <c r="B632" i="5"/>
  <c r="P632" i="5" s="1"/>
  <c r="B569" i="5"/>
  <c r="P569" i="5" s="1"/>
  <c r="B505" i="5"/>
  <c r="P505" i="5" s="1"/>
  <c r="B441" i="5"/>
  <c r="P441" i="5" s="1"/>
  <c r="B377" i="5"/>
  <c r="P377" i="5" s="1"/>
  <c r="B311" i="5"/>
  <c r="P311" i="5" s="1"/>
  <c r="B247" i="5"/>
  <c r="P247" i="5" s="1"/>
  <c r="B183" i="5"/>
  <c r="P183" i="5" s="1"/>
  <c r="B119" i="5"/>
  <c r="P119" i="5" s="1"/>
  <c r="B56" i="5"/>
  <c r="P56" i="5" s="1"/>
  <c r="B584" i="5"/>
  <c r="P584" i="5" s="1"/>
  <c r="B520" i="5"/>
  <c r="P520" i="5" s="1"/>
  <c r="B456" i="5"/>
  <c r="P456" i="5" s="1"/>
  <c r="B392" i="5"/>
  <c r="P392" i="5" s="1"/>
  <c r="B326" i="5"/>
  <c r="P326" i="5" s="1"/>
  <c r="B262" i="5"/>
  <c r="P262" i="5" s="1"/>
  <c r="B198" i="5"/>
  <c r="P198" i="5" s="1"/>
  <c r="B134" i="5"/>
  <c r="P134" i="5" s="1"/>
  <c r="B71" i="5"/>
  <c r="P71" i="5" s="1"/>
  <c r="B7" i="5"/>
  <c r="P7" i="5" s="1"/>
  <c r="B622" i="5"/>
  <c r="P622" i="5" s="1"/>
  <c r="B559" i="5"/>
  <c r="P559" i="5" s="1"/>
  <c r="B495" i="5"/>
  <c r="P495" i="5" s="1"/>
  <c r="B431" i="5"/>
  <c r="P431" i="5" s="1"/>
  <c r="B367" i="5"/>
  <c r="P367" i="5" s="1"/>
  <c r="B301" i="5"/>
  <c r="P301" i="5" s="1"/>
  <c r="B237" i="5"/>
  <c r="P237" i="5" s="1"/>
  <c r="B173" i="5"/>
  <c r="P173" i="5" s="1"/>
  <c r="B109" i="5"/>
  <c r="P109" i="5" s="1"/>
  <c r="B46" i="5"/>
  <c r="P46" i="5" s="1"/>
  <c r="B661" i="5"/>
  <c r="P661" i="5" s="1"/>
  <c r="B597" i="5"/>
  <c r="P597" i="5" s="1"/>
  <c r="B534" i="5"/>
  <c r="P534" i="5" s="1"/>
  <c r="B470" i="5"/>
  <c r="P470" i="5" s="1"/>
  <c r="B406" i="5"/>
  <c r="P406" i="5" s="1"/>
  <c r="B342" i="5"/>
  <c r="P342" i="5" s="1"/>
  <c r="B276" i="5"/>
  <c r="P276" i="5" s="1"/>
  <c r="B212" i="5"/>
  <c r="P212" i="5" s="1"/>
  <c r="B148" i="5"/>
  <c r="P148" i="5" s="1"/>
  <c r="B85" i="5"/>
  <c r="P85" i="5" s="1"/>
  <c r="P21" i="5"/>
  <c r="B557" i="5"/>
  <c r="P557" i="5" s="1"/>
  <c r="B493" i="5"/>
  <c r="P493" i="5" s="1"/>
  <c r="B429" i="5"/>
  <c r="P429" i="5" s="1"/>
  <c r="B365" i="5"/>
  <c r="P365" i="5" s="1"/>
  <c r="B299" i="5"/>
  <c r="P299" i="5" s="1"/>
  <c r="B235" i="5"/>
  <c r="P235" i="5" s="1"/>
  <c r="B171" i="5"/>
  <c r="P171" i="5" s="1"/>
  <c r="B683" i="5"/>
  <c r="P683" i="5" s="1"/>
  <c r="B1131" i="5"/>
  <c r="P1131" i="5" s="1"/>
  <c r="B890" i="5"/>
  <c r="P890" i="5" s="1"/>
  <c r="B917" i="5"/>
  <c r="P917" i="5" s="1"/>
  <c r="B688" i="5"/>
  <c r="P688" i="5" s="1"/>
  <c r="B760" i="5"/>
  <c r="P760" i="5" s="1"/>
  <c r="B938" i="5"/>
  <c r="P938" i="5" s="1"/>
  <c r="B1048" i="5"/>
  <c r="B1003" i="5"/>
  <c r="P1003" i="5" s="1"/>
  <c r="B475" i="5"/>
  <c r="P475" i="5" s="1"/>
  <c r="B217" i="5"/>
  <c r="P217" i="5" s="1"/>
  <c r="B1130" i="5"/>
  <c r="P1130" i="5" s="1"/>
  <c r="B889" i="5"/>
  <c r="P889" i="5" s="1"/>
  <c r="B1128" i="5"/>
  <c r="P1128" i="5" s="1"/>
  <c r="B887" i="5"/>
  <c r="P887" i="5" s="1"/>
  <c r="B631" i="5"/>
  <c r="P631" i="5" s="1"/>
  <c r="B960" i="5"/>
  <c r="P960" i="5" s="1"/>
  <c r="B718" i="5"/>
  <c r="P718" i="5" s="1"/>
  <c r="B959" i="5"/>
  <c r="P959" i="5" s="1"/>
  <c r="B749" i="5"/>
  <c r="P749" i="5" s="1"/>
  <c r="B900" i="5"/>
  <c r="P900" i="5" s="1"/>
  <c r="B788" i="5"/>
  <c r="P788" i="5" s="1"/>
  <c r="B708" i="5"/>
  <c r="P708" i="5" s="1"/>
  <c r="B620" i="5"/>
  <c r="P620" i="5" s="1"/>
  <c r="B617" i="5"/>
  <c r="P617" i="5" s="1"/>
  <c r="B794" i="5"/>
  <c r="B474" i="5"/>
  <c r="P474" i="5" s="1"/>
  <c r="B402" i="5"/>
  <c r="P402" i="5" s="1"/>
  <c r="B328" i="5"/>
  <c r="P328" i="5" s="1"/>
  <c r="B264" i="5"/>
  <c r="P264" i="5" s="1"/>
  <c r="B200" i="5"/>
  <c r="P200" i="5" s="1"/>
  <c r="B136" i="5"/>
  <c r="P136" i="5" s="1"/>
  <c r="B73" i="5"/>
  <c r="P73" i="5" s="1"/>
  <c r="B9" i="5"/>
  <c r="P9" i="5" s="1"/>
  <c r="B624" i="5"/>
  <c r="P624" i="5" s="1"/>
  <c r="B929" i="5"/>
  <c r="B497" i="5"/>
  <c r="P497" i="5" s="1"/>
  <c r="B433" i="5"/>
  <c r="P433" i="5" s="1"/>
  <c r="B369" i="5"/>
  <c r="P369" i="5" s="1"/>
  <c r="B303" i="5"/>
  <c r="P303" i="5" s="1"/>
  <c r="B239" i="5"/>
  <c r="P239" i="5" s="1"/>
  <c r="B175" i="5"/>
  <c r="P175" i="5" s="1"/>
  <c r="B111" i="5"/>
  <c r="P111" i="5" s="1"/>
  <c r="B48" i="5"/>
  <c r="P48" i="5" s="1"/>
  <c r="B576" i="5"/>
  <c r="P576" i="5" s="1"/>
  <c r="B512" i="5"/>
  <c r="P512" i="5" s="1"/>
  <c r="B448" i="5"/>
  <c r="P448" i="5" s="1"/>
  <c r="B384" i="5"/>
  <c r="P384" i="5" s="1"/>
  <c r="B318" i="5"/>
  <c r="P318" i="5" s="1"/>
  <c r="B254" i="5"/>
  <c r="P254" i="5" s="1"/>
  <c r="B190" i="5"/>
  <c r="P190" i="5" s="1"/>
  <c r="B126" i="5"/>
  <c r="P126" i="5" s="1"/>
  <c r="B63" i="5"/>
  <c r="P63" i="5" s="1"/>
  <c r="B678" i="5"/>
  <c r="P678" i="5" s="1"/>
  <c r="B614" i="5"/>
  <c r="P614" i="5" s="1"/>
  <c r="B551" i="5"/>
  <c r="P551" i="5" s="1"/>
  <c r="B487" i="5"/>
  <c r="P487" i="5" s="1"/>
  <c r="B423" i="5"/>
  <c r="P423" i="5" s="1"/>
  <c r="B359" i="5"/>
  <c r="P359" i="5" s="1"/>
  <c r="B293" i="5"/>
  <c r="P293" i="5" s="1"/>
  <c r="B229" i="5"/>
  <c r="P229" i="5" s="1"/>
  <c r="B165" i="5"/>
  <c r="P165" i="5" s="1"/>
  <c r="B101" i="5"/>
  <c r="P101" i="5" s="1"/>
  <c r="B38" i="5"/>
  <c r="P38" i="5" s="1"/>
  <c r="B653" i="5"/>
  <c r="P653" i="5" s="1"/>
  <c r="B590" i="5"/>
  <c r="P590" i="5" s="1"/>
  <c r="B526" i="5"/>
  <c r="P526" i="5" s="1"/>
  <c r="B1053" i="5"/>
  <c r="B398" i="5"/>
  <c r="P398" i="5" s="1"/>
  <c r="B334" i="5"/>
  <c r="P334" i="5" s="1"/>
  <c r="B268" i="5"/>
  <c r="P268" i="5" s="1"/>
  <c r="B204" i="5"/>
  <c r="P204" i="5" s="1"/>
  <c r="B140" i="5"/>
  <c r="P140" i="5" s="1"/>
  <c r="B540" i="5"/>
  <c r="P540" i="5" s="1"/>
  <c r="B1107" i="5"/>
  <c r="P1107" i="5" s="1"/>
  <c r="B866" i="5"/>
  <c r="P866" i="5" s="1"/>
  <c r="B787" i="5"/>
  <c r="P787" i="5" s="1"/>
  <c r="B1054" i="5"/>
  <c r="P1054" i="5" s="1"/>
  <c r="B1164" i="5"/>
  <c r="P1164" i="5" s="1"/>
  <c r="B872" i="5"/>
  <c r="P872" i="5" s="1"/>
  <c r="B962" i="5"/>
  <c r="P962" i="5" s="1"/>
  <c r="B888" i="5"/>
  <c r="P888" i="5" s="1"/>
  <c r="B451" i="5"/>
  <c r="P451" i="5" s="1"/>
  <c r="B193" i="5"/>
  <c r="P193" i="5" s="1"/>
  <c r="B1106" i="5"/>
  <c r="P1106" i="5" s="1"/>
  <c r="B865" i="5"/>
  <c r="P865" i="5" s="1"/>
  <c r="B1104" i="5"/>
  <c r="P1104" i="5" s="1"/>
  <c r="B863" i="5"/>
  <c r="P863" i="5" s="1"/>
  <c r="B607" i="5"/>
  <c r="P607" i="5" s="1"/>
  <c r="B936" i="5"/>
  <c r="P936" i="5" s="1"/>
  <c r="B694" i="5"/>
  <c r="P694" i="5" s="1"/>
  <c r="B935" i="5"/>
  <c r="P935" i="5" s="1"/>
  <c r="B717" i="5"/>
  <c r="P717" i="5" s="1"/>
  <c r="B1087" i="5"/>
  <c r="P1087" i="5" s="1"/>
  <c r="B966" i="5"/>
  <c r="P966" i="5" s="1"/>
  <c r="B884" i="5"/>
  <c r="P884" i="5" s="1"/>
  <c r="B780" i="5"/>
  <c r="P780" i="5" s="1"/>
  <c r="B692" i="5"/>
  <c r="P692" i="5" s="1"/>
  <c r="B612" i="5"/>
  <c r="P612" i="5" s="1"/>
  <c r="B609" i="5"/>
  <c r="P609" i="5" s="1"/>
  <c r="B538" i="5"/>
  <c r="P538" i="5" s="1"/>
  <c r="B466" i="5"/>
  <c r="P466" i="5" s="1"/>
  <c r="B394" i="5"/>
  <c r="P394" i="5" s="1"/>
  <c r="B320" i="5"/>
  <c r="P320" i="5" s="1"/>
  <c r="B256" i="5"/>
  <c r="P256" i="5" s="1"/>
  <c r="B192" i="5"/>
  <c r="P192" i="5" s="1"/>
  <c r="B128" i="5"/>
  <c r="P128" i="5" s="1"/>
  <c r="B65" i="5"/>
  <c r="P65" i="5" s="1"/>
  <c r="B680" i="5"/>
  <c r="P680" i="5" s="1"/>
  <c r="B616" i="5"/>
  <c r="P616" i="5" s="1"/>
  <c r="B553" i="5"/>
  <c r="P553" i="5" s="1"/>
  <c r="B489" i="5"/>
  <c r="P489" i="5" s="1"/>
  <c r="B425" i="5"/>
  <c r="P425" i="5" s="1"/>
  <c r="B361" i="5"/>
  <c r="P361" i="5" s="1"/>
  <c r="B295" i="5"/>
  <c r="P295" i="5" s="1"/>
  <c r="B348" i="5"/>
  <c r="P348" i="5" s="1"/>
  <c r="B826" i="5"/>
  <c r="P826" i="5" s="1"/>
  <c r="B811" i="5"/>
  <c r="P811" i="5" s="1"/>
  <c r="B752" i="5"/>
  <c r="P752" i="5" s="1"/>
  <c r="B666" i="5"/>
  <c r="P666" i="5" s="1"/>
  <c r="B153" i="5"/>
  <c r="P153" i="5" s="1"/>
  <c r="B825" i="5"/>
  <c r="P825" i="5" s="1"/>
  <c r="B823" i="5"/>
  <c r="P823" i="5" s="1"/>
  <c r="B1063" i="5"/>
  <c r="P1063" i="5" s="1"/>
  <c r="B876" i="5"/>
  <c r="P876" i="5" s="1"/>
  <c r="B684" i="5"/>
  <c r="P684" i="5" s="1"/>
  <c r="B601" i="5"/>
  <c r="P601" i="5" s="1"/>
  <c r="B458" i="5"/>
  <c r="P458" i="5" s="1"/>
  <c r="B312" i="5"/>
  <c r="P312" i="5" s="1"/>
  <c r="B184" i="5"/>
  <c r="P184" i="5" s="1"/>
  <c r="B57" i="5"/>
  <c r="P57" i="5" s="1"/>
  <c r="B608" i="5"/>
  <c r="P608" i="5" s="1"/>
  <c r="B481" i="5"/>
  <c r="P481" i="5" s="1"/>
  <c r="B353" i="5"/>
  <c r="P353" i="5" s="1"/>
  <c r="B231" i="5"/>
  <c r="P231" i="5" s="1"/>
  <c r="B143" i="5"/>
  <c r="P143" i="5" s="1"/>
  <c r="B32" i="5"/>
  <c r="P32" i="5" s="1"/>
  <c r="B536" i="5"/>
  <c r="P536" i="5" s="1"/>
  <c r="B424" i="5"/>
  <c r="P424" i="5" s="1"/>
  <c r="B310" i="5"/>
  <c r="P310" i="5" s="1"/>
  <c r="B222" i="5"/>
  <c r="P222" i="5" s="1"/>
  <c r="B110" i="5"/>
  <c r="P110" i="5" s="1"/>
  <c r="B591" i="5"/>
  <c r="P591" i="5" s="1"/>
  <c r="B479" i="5"/>
  <c r="P479" i="5" s="1"/>
  <c r="B391" i="5"/>
  <c r="P391" i="5" s="1"/>
  <c r="B277" i="5"/>
  <c r="P277" i="5" s="1"/>
  <c r="B189" i="5"/>
  <c r="P189" i="5" s="1"/>
  <c r="B78" i="5"/>
  <c r="P78" i="5" s="1"/>
  <c r="B645" i="5"/>
  <c r="P645" i="5" s="1"/>
  <c r="B558" i="5"/>
  <c r="P558" i="5" s="1"/>
  <c r="B446" i="5"/>
  <c r="P446" i="5" s="1"/>
  <c r="B358" i="5"/>
  <c r="P358" i="5" s="1"/>
  <c r="B244" i="5"/>
  <c r="P244" i="5" s="1"/>
  <c r="B132" i="5"/>
  <c r="P132" i="5" s="1"/>
  <c r="B53" i="5"/>
  <c r="P53" i="5" s="1"/>
  <c r="B573" i="5"/>
  <c r="P573" i="5" s="1"/>
  <c r="B477" i="5"/>
  <c r="P477" i="5" s="1"/>
  <c r="B397" i="5"/>
  <c r="P397" i="5" s="1"/>
  <c r="B315" i="5"/>
  <c r="P315" i="5" s="1"/>
  <c r="B413" i="5"/>
  <c r="B139" i="5"/>
  <c r="P139" i="5" s="1"/>
  <c r="B650" i="5"/>
  <c r="B4" i="5"/>
  <c r="P4" i="5" s="1"/>
  <c r="B816" i="5"/>
  <c r="P816" i="5" s="1"/>
  <c r="B386" i="5"/>
  <c r="P386" i="5" s="1"/>
  <c r="B417" i="5"/>
  <c r="P417" i="5" s="1"/>
  <c r="B568" i="5"/>
  <c r="P568" i="5" s="1"/>
  <c r="B166" i="5"/>
  <c r="P166" i="5" s="1"/>
  <c r="B221" i="5"/>
  <c r="P221" i="5" s="1"/>
  <c r="B502" i="5"/>
  <c r="P502" i="5" s="1"/>
  <c r="B100" i="5"/>
  <c r="P100" i="5" s="1"/>
  <c r="B349" i="5"/>
  <c r="P349" i="5" s="1"/>
  <c r="B36" i="5"/>
  <c r="P36" i="5" s="1"/>
  <c r="B290" i="5"/>
  <c r="P290" i="5" s="1"/>
  <c r="B802" i="5"/>
  <c r="P802" i="5" s="1"/>
  <c r="B659" i="5"/>
  <c r="P659" i="5" s="1"/>
  <c r="B1124" i="5"/>
  <c r="P1124" i="5" s="1"/>
  <c r="B642" i="5"/>
  <c r="P642" i="5" s="1"/>
  <c r="B129" i="5"/>
  <c r="P129" i="5" s="1"/>
  <c r="B801" i="5"/>
  <c r="P801" i="5" s="1"/>
  <c r="B799" i="5"/>
  <c r="P799" i="5" s="1"/>
  <c r="B886" i="5"/>
  <c r="P886" i="5" s="1"/>
  <c r="B885" i="5"/>
  <c r="P885" i="5" s="1"/>
  <c r="B1045" i="5"/>
  <c r="B852" i="5"/>
  <c r="P852" i="5" s="1"/>
  <c r="B676" i="5"/>
  <c r="P676" i="5" s="1"/>
  <c r="B593" i="5"/>
  <c r="P593" i="5" s="1"/>
  <c r="B450" i="5"/>
  <c r="P450" i="5" s="1"/>
  <c r="B304" i="5"/>
  <c r="P304" i="5" s="1"/>
  <c r="B176" i="5"/>
  <c r="P176" i="5" s="1"/>
  <c r="B49" i="5"/>
  <c r="P49" i="5" s="1"/>
  <c r="B600" i="5"/>
  <c r="P600" i="5" s="1"/>
  <c r="B473" i="5"/>
  <c r="P473" i="5" s="1"/>
  <c r="B345" i="5"/>
  <c r="P345" i="5" s="1"/>
  <c r="B223" i="5"/>
  <c r="P223" i="5" s="1"/>
  <c r="B135" i="5"/>
  <c r="P135" i="5" s="1"/>
  <c r="B24" i="5"/>
  <c r="P24" i="5" s="1"/>
  <c r="B504" i="5"/>
  <c r="P504" i="5" s="1"/>
  <c r="B416" i="5"/>
  <c r="P416" i="5" s="1"/>
  <c r="B302" i="5"/>
  <c r="P302" i="5" s="1"/>
  <c r="B214" i="5"/>
  <c r="P214" i="5" s="1"/>
  <c r="B102" i="5"/>
  <c r="P102" i="5" s="1"/>
  <c r="B670" i="5"/>
  <c r="P670" i="5" s="1"/>
  <c r="B583" i="5"/>
  <c r="P583" i="5" s="1"/>
  <c r="B471" i="5"/>
  <c r="P471" i="5" s="1"/>
  <c r="B383" i="5"/>
  <c r="P383" i="5" s="1"/>
  <c r="B269" i="5"/>
  <c r="P269" i="5" s="1"/>
  <c r="B157" i="5"/>
  <c r="P157" i="5" s="1"/>
  <c r="B70" i="5"/>
  <c r="P70" i="5" s="1"/>
  <c r="B637" i="5"/>
  <c r="P637" i="5" s="1"/>
  <c r="B550" i="5"/>
  <c r="P550" i="5" s="1"/>
  <c r="B438" i="5"/>
  <c r="P438" i="5" s="1"/>
  <c r="B324" i="5"/>
  <c r="P324" i="5" s="1"/>
  <c r="B236" i="5"/>
  <c r="P236" i="5" s="1"/>
  <c r="B124" i="5"/>
  <c r="P124" i="5" s="1"/>
  <c r="B45" i="5"/>
  <c r="P45" i="5" s="1"/>
  <c r="B549" i="5"/>
  <c r="P549" i="5" s="1"/>
  <c r="B469" i="5"/>
  <c r="P469" i="5" s="1"/>
  <c r="B389" i="5"/>
  <c r="P389" i="5" s="1"/>
  <c r="B291" i="5"/>
  <c r="P291" i="5" s="1"/>
  <c r="B211" i="5"/>
  <c r="P211" i="5" s="1"/>
  <c r="B131" i="5"/>
  <c r="P131" i="5" s="1"/>
  <c r="B60" i="5"/>
  <c r="P60" i="5" s="1"/>
  <c r="B1069" i="5"/>
  <c r="P1069" i="5" s="1"/>
  <c r="B411" i="5"/>
  <c r="P411" i="5" s="1"/>
  <c r="B1151" i="5"/>
  <c r="P1151" i="5" s="1"/>
  <c r="B958" i="5"/>
  <c r="P958" i="5" s="1"/>
  <c r="B530" i="5"/>
  <c r="P530" i="5" s="1"/>
  <c r="B120" i="5"/>
  <c r="P120" i="5" s="1"/>
  <c r="B287" i="5"/>
  <c r="P287" i="5" s="1"/>
  <c r="B368" i="5"/>
  <c r="P368" i="5" s="1"/>
  <c r="B535" i="5"/>
  <c r="P535" i="5" s="1"/>
  <c r="B133" i="5"/>
  <c r="P133" i="5" s="1"/>
  <c r="B390" i="5"/>
  <c r="P390" i="5" s="1"/>
  <c r="B525" i="5"/>
  <c r="P525" i="5" s="1"/>
  <c r="B267" i="5"/>
  <c r="P267" i="5" s="1"/>
  <c r="B218" i="5"/>
  <c r="P218" i="5" s="1"/>
  <c r="B762" i="5"/>
  <c r="P762" i="5" s="1"/>
  <c r="B372" i="5"/>
  <c r="P372" i="5" s="1"/>
  <c r="B875" i="5"/>
  <c r="P875" i="5" s="1"/>
  <c r="B602" i="5"/>
  <c r="P602" i="5" s="1"/>
  <c r="B89" i="5"/>
  <c r="P89" i="5" s="1"/>
  <c r="B761" i="5"/>
  <c r="P761" i="5" s="1"/>
  <c r="B759" i="5"/>
  <c r="P759" i="5" s="1"/>
  <c r="B846" i="5"/>
  <c r="P846" i="5" s="1"/>
  <c r="B845" i="5"/>
  <c r="P845" i="5" s="1"/>
  <c r="B1031" i="5"/>
  <c r="P1031" i="5" s="1"/>
  <c r="B844" i="5"/>
  <c r="P844" i="5" s="1"/>
  <c r="B660" i="5"/>
  <c r="P660" i="5" s="1"/>
  <c r="B586" i="5"/>
  <c r="P586" i="5" s="1"/>
  <c r="B442" i="5"/>
  <c r="P442" i="5" s="1"/>
  <c r="B296" i="5"/>
  <c r="P296" i="5" s="1"/>
  <c r="B168" i="5"/>
  <c r="P168" i="5" s="1"/>
  <c r="B41" i="5"/>
  <c r="P41" i="5" s="1"/>
  <c r="B465" i="5"/>
  <c r="P465" i="5" s="1"/>
  <c r="B337" i="5"/>
  <c r="P337" i="5" s="1"/>
  <c r="B215" i="5"/>
  <c r="P215" i="5" s="1"/>
  <c r="B103" i="5"/>
  <c r="P103" i="5" s="1"/>
  <c r="B16" i="5"/>
  <c r="P16" i="5" s="1"/>
  <c r="B496" i="5"/>
  <c r="P496" i="5" s="1"/>
  <c r="B408" i="5"/>
  <c r="P408" i="5" s="1"/>
  <c r="B294" i="5"/>
  <c r="P294" i="5" s="1"/>
  <c r="B182" i="5"/>
  <c r="P182" i="5" s="1"/>
  <c r="B94" i="5"/>
  <c r="P94" i="5" s="1"/>
  <c r="B662" i="5"/>
  <c r="P662" i="5" s="1"/>
  <c r="B575" i="5"/>
  <c r="P575" i="5" s="1"/>
  <c r="B463" i="5"/>
  <c r="P463" i="5" s="1"/>
  <c r="B351" i="5"/>
  <c r="P351" i="5" s="1"/>
  <c r="B261" i="5"/>
  <c r="P261" i="5" s="1"/>
  <c r="B149" i="5"/>
  <c r="P149" i="5" s="1"/>
  <c r="B62" i="5"/>
  <c r="P62" i="5" s="1"/>
  <c r="B629" i="5"/>
  <c r="P629" i="5" s="1"/>
  <c r="B518" i="5"/>
  <c r="P518" i="5" s="1"/>
  <c r="B430" i="5"/>
  <c r="P430" i="5" s="1"/>
  <c r="B316" i="5"/>
  <c r="P316" i="5" s="1"/>
  <c r="B228" i="5"/>
  <c r="P228" i="5" s="1"/>
  <c r="B116" i="5"/>
  <c r="P116" i="5" s="1"/>
  <c r="B37" i="5"/>
  <c r="P37" i="5" s="1"/>
  <c r="B541" i="5"/>
  <c r="P541" i="5" s="1"/>
  <c r="B462" i="5"/>
  <c r="B381" i="5"/>
  <c r="P381" i="5" s="1"/>
  <c r="B283" i="5"/>
  <c r="P283" i="5" s="1"/>
  <c r="B203" i="5"/>
  <c r="P203" i="5" s="1"/>
  <c r="B123" i="5"/>
  <c r="P123" i="5" s="1"/>
  <c r="B52" i="5"/>
  <c r="P52" i="5" s="1"/>
  <c r="B949" i="5"/>
  <c r="P949" i="5" s="1"/>
  <c r="B1066" i="5"/>
  <c r="P1066" i="5" s="1"/>
  <c r="B1150" i="5"/>
  <c r="P1150" i="5" s="1"/>
  <c r="B772" i="5"/>
  <c r="P772" i="5" s="1"/>
  <c r="B248" i="5"/>
  <c r="P248" i="5" s="1"/>
  <c r="B545" i="5"/>
  <c r="P545" i="5" s="1"/>
  <c r="B87" i="5"/>
  <c r="P87" i="5" s="1"/>
  <c r="B480" i="5"/>
  <c r="P480" i="5" s="1"/>
  <c r="B55" i="5"/>
  <c r="P55" i="5" s="1"/>
  <c r="B447" i="5"/>
  <c r="P447" i="5" s="1"/>
  <c r="P22" i="5"/>
  <c r="B300" i="5"/>
  <c r="P300" i="5" s="1"/>
  <c r="B5" i="5"/>
  <c r="P5" i="5" s="1"/>
  <c r="B187" i="5"/>
  <c r="P187" i="5" s="1"/>
  <c r="B138" i="5"/>
  <c r="P138" i="5" s="1"/>
  <c r="B738" i="5"/>
  <c r="P738" i="5" s="1"/>
  <c r="B1137" i="5"/>
  <c r="P1137" i="5" s="1"/>
  <c r="B723" i="5"/>
  <c r="P723" i="5" s="1"/>
  <c r="B579" i="5"/>
  <c r="P579" i="5" s="1"/>
  <c r="B66" i="5"/>
  <c r="P66" i="5" s="1"/>
  <c r="B737" i="5"/>
  <c r="P737" i="5" s="1"/>
  <c r="B735" i="5"/>
  <c r="P735" i="5" s="1"/>
  <c r="B822" i="5"/>
  <c r="P822" i="5" s="1"/>
  <c r="B821" i="5"/>
  <c r="P821" i="5" s="1"/>
  <c r="B1023" i="5"/>
  <c r="P1023" i="5" s="1"/>
  <c r="B836" i="5"/>
  <c r="P836" i="5" s="1"/>
  <c r="B652" i="5"/>
  <c r="P652" i="5" s="1"/>
  <c r="B578" i="5"/>
  <c r="P578" i="5" s="1"/>
  <c r="B426" i="5"/>
  <c r="P426" i="5" s="1"/>
  <c r="B288" i="5"/>
  <c r="P288" i="5" s="1"/>
  <c r="B160" i="5"/>
  <c r="P160" i="5" s="1"/>
  <c r="B33" i="5"/>
  <c r="P33" i="5" s="1"/>
  <c r="B585" i="5"/>
  <c r="P585" i="5" s="1"/>
  <c r="B457" i="5"/>
  <c r="P457" i="5" s="1"/>
  <c r="B327" i="5"/>
  <c r="P327" i="5" s="1"/>
  <c r="B207" i="5"/>
  <c r="P207" i="5" s="1"/>
  <c r="B95" i="5"/>
  <c r="P95" i="5" s="1"/>
  <c r="B8" i="5"/>
  <c r="P8" i="5" s="1"/>
  <c r="B488" i="5"/>
  <c r="P488" i="5" s="1"/>
  <c r="B376" i="5"/>
  <c r="P376" i="5" s="1"/>
  <c r="B286" i="5"/>
  <c r="P286" i="5" s="1"/>
  <c r="B174" i="5"/>
  <c r="P174" i="5" s="1"/>
  <c r="B86" i="5"/>
  <c r="P86" i="5" s="1"/>
  <c r="B654" i="5"/>
  <c r="P654" i="5" s="1"/>
  <c r="B543" i="5"/>
  <c r="P543" i="5" s="1"/>
  <c r="B455" i="5"/>
  <c r="P455" i="5" s="1"/>
  <c r="B343" i="5"/>
  <c r="P343" i="5" s="1"/>
  <c r="B253" i="5"/>
  <c r="P253" i="5" s="1"/>
  <c r="B141" i="5"/>
  <c r="P141" i="5" s="1"/>
  <c r="B30" i="5"/>
  <c r="P30" i="5" s="1"/>
  <c r="B621" i="5"/>
  <c r="P621" i="5" s="1"/>
  <c r="B510" i="5"/>
  <c r="P510" i="5" s="1"/>
  <c r="B422" i="5"/>
  <c r="P422" i="5" s="1"/>
  <c r="B308" i="5"/>
  <c r="P308" i="5" s="1"/>
  <c r="B196" i="5"/>
  <c r="P196" i="5" s="1"/>
  <c r="B108" i="5"/>
  <c r="P108" i="5" s="1"/>
  <c r="B13" i="5"/>
  <c r="P13" i="5" s="1"/>
  <c r="B533" i="5"/>
  <c r="P533" i="5" s="1"/>
  <c r="B453" i="5"/>
  <c r="P453" i="5" s="1"/>
  <c r="B357" i="5"/>
  <c r="P357" i="5" s="1"/>
  <c r="B443" i="5"/>
  <c r="B195" i="5"/>
  <c r="P195" i="5" s="1"/>
  <c r="B107" i="5"/>
  <c r="P107" i="5" s="1"/>
  <c r="B44" i="5"/>
  <c r="P44" i="5" s="1"/>
  <c r="B564" i="5"/>
  <c r="P564" i="5" s="1"/>
  <c r="B1068" i="5"/>
  <c r="P1068" i="5" s="1"/>
  <c r="B693" i="5"/>
  <c r="P693" i="5" s="1"/>
  <c r="B681" i="5"/>
  <c r="P681" i="5" s="1"/>
  <c r="B672" i="5"/>
  <c r="P672" i="5" s="1"/>
  <c r="B199" i="5"/>
  <c r="P199" i="5" s="1"/>
  <c r="B68" i="5"/>
  <c r="B646" i="5"/>
  <c r="P646" i="5" s="1"/>
  <c r="B335" i="5"/>
  <c r="P335" i="5" s="1"/>
  <c r="B613" i="5"/>
  <c r="P613" i="5" s="1"/>
  <c r="B188" i="5"/>
  <c r="P188" i="5" s="1"/>
  <c r="B445" i="5"/>
  <c r="P445" i="5" s="1"/>
  <c r="B99" i="5"/>
  <c r="P99" i="5" s="1"/>
  <c r="B279" i="5"/>
  <c r="B428" i="5"/>
  <c r="P428" i="5" s="1"/>
  <c r="B843" i="5"/>
  <c r="P843" i="5" s="1"/>
  <c r="B744" i="5"/>
  <c r="P744" i="5" s="1"/>
  <c r="B387" i="5"/>
  <c r="P387" i="5" s="1"/>
  <c r="B278" i="5"/>
  <c r="B1042" i="5"/>
  <c r="P1042" i="5" s="1"/>
  <c r="B1127" i="5"/>
  <c r="P1127" i="5" s="1"/>
  <c r="B1126" i="5"/>
  <c r="P1126" i="5" s="1"/>
  <c r="B685" i="5"/>
  <c r="P685" i="5" s="1"/>
  <c r="B950" i="5"/>
  <c r="P950" i="5" s="1"/>
  <c r="B756" i="5"/>
  <c r="P756" i="5" s="1"/>
  <c r="B673" i="5"/>
  <c r="P673" i="5" s="1"/>
  <c r="B522" i="5"/>
  <c r="P522" i="5" s="1"/>
  <c r="B378" i="5"/>
  <c r="P378" i="5" s="1"/>
  <c r="B240" i="5"/>
  <c r="P240" i="5" s="1"/>
  <c r="B112" i="5"/>
  <c r="P112" i="5" s="1"/>
  <c r="B664" i="5"/>
  <c r="P664" i="5" s="1"/>
  <c r="B537" i="5"/>
  <c r="P537" i="5" s="1"/>
  <c r="B409" i="5"/>
  <c r="P409" i="5" s="1"/>
  <c r="B161" i="5"/>
  <c r="B167" i="5"/>
  <c r="P167" i="5" s="1"/>
  <c r="B80" i="5"/>
  <c r="P80" i="5" s="1"/>
  <c r="B927" i="5"/>
  <c r="P560" i="5" s="1"/>
  <c r="B472" i="5"/>
  <c r="P472" i="5" s="1"/>
  <c r="B360" i="5"/>
  <c r="P360" i="5" s="1"/>
  <c r="B246" i="5"/>
  <c r="P246" i="5" s="1"/>
  <c r="B158" i="5"/>
  <c r="P158" i="5" s="1"/>
  <c r="B47" i="5"/>
  <c r="P47" i="5" s="1"/>
  <c r="B638" i="5"/>
  <c r="P638" i="5" s="1"/>
  <c r="B527" i="5"/>
  <c r="P527" i="5" s="1"/>
  <c r="B415" i="5"/>
  <c r="P415" i="5" s="1"/>
  <c r="B325" i="5"/>
  <c r="P325" i="5" s="1"/>
  <c r="B213" i="5"/>
  <c r="P213" i="5" s="1"/>
  <c r="B125" i="5"/>
  <c r="P125" i="5" s="1"/>
  <c r="B14" i="5"/>
  <c r="P14" i="5" s="1"/>
  <c r="B582" i="5"/>
  <c r="P582" i="5" s="1"/>
  <c r="B494" i="5"/>
  <c r="P494" i="5" s="1"/>
  <c r="B382" i="5"/>
  <c r="P382" i="5" s="1"/>
  <c r="B292" i="5"/>
  <c r="P292" i="5" s="1"/>
  <c r="B180" i="5"/>
  <c r="P180" i="5" s="1"/>
  <c r="B77" i="5"/>
  <c r="P77" i="5" s="1"/>
  <c r="B596" i="5"/>
  <c r="P596" i="5" s="1"/>
  <c r="B517" i="5"/>
  <c r="P517" i="5" s="1"/>
  <c r="B421" i="5"/>
  <c r="P421" i="5" s="1"/>
  <c r="B341" i="5"/>
  <c r="P341" i="5" s="1"/>
  <c r="B259" i="5"/>
  <c r="P259" i="5" s="1"/>
  <c r="B412" i="5"/>
  <c r="B91" i="5"/>
  <c r="P91" i="5" s="1"/>
  <c r="B28" i="5"/>
  <c r="P28" i="5" s="1"/>
  <c r="B980" i="5"/>
  <c r="P980" i="5" s="1"/>
  <c r="B516" i="5"/>
  <c r="P516" i="5" s="1"/>
  <c r="B803" i="5"/>
  <c r="P803" i="5" s="1"/>
  <c r="B321" i="5"/>
  <c r="P321" i="5" s="1"/>
  <c r="B979" i="5"/>
  <c r="P979" i="5" s="1"/>
  <c r="B977" i="5"/>
  <c r="P977" i="5" s="1"/>
  <c r="B1064" i="5"/>
  <c r="P1064" i="5" s="1"/>
  <c r="B546" i="5"/>
  <c r="B649" i="5"/>
  <c r="P649" i="5" s="1"/>
  <c r="B354" i="5"/>
  <c r="P354" i="5" s="1"/>
  <c r="B224" i="5"/>
  <c r="P224" i="5" s="1"/>
  <c r="B795" i="5"/>
  <c r="B393" i="5"/>
  <c r="P393" i="5" s="1"/>
  <c r="B151" i="5"/>
  <c r="P151" i="5" s="1"/>
  <c r="B544" i="5"/>
  <c r="P544" i="5" s="1"/>
  <c r="B344" i="5"/>
  <c r="P344" i="5" s="1"/>
  <c r="B118" i="5"/>
  <c r="P118" i="5" s="1"/>
  <c r="B598" i="5"/>
  <c r="P598" i="5" s="1"/>
  <c r="B399" i="5"/>
  <c r="P399" i="5" s="1"/>
  <c r="B197" i="5"/>
  <c r="P197" i="5" s="1"/>
  <c r="B677" i="5"/>
  <c r="P677" i="5" s="1"/>
  <c r="B454" i="5"/>
  <c r="P454" i="5" s="1"/>
  <c r="B252" i="5"/>
  <c r="P252" i="5" s="1"/>
  <c r="B61" i="5"/>
  <c r="P61" i="5" s="1"/>
  <c r="B485" i="5"/>
  <c r="P485" i="5" s="1"/>
  <c r="B323" i="5"/>
  <c r="P323" i="5" s="1"/>
  <c r="B147" i="5"/>
  <c r="P147" i="5" s="1"/>
  <c r="B76" i="5"/>
  <c r="P76" i="5" s="1"/>
  <c r="B1005" i="5"/>
  <c r="P1005" i="5" s="1"/>
  <c r="B298" i="5"/>
  <c r="P298" i="5" s="1"/>
  <c r="B627" i="5"/>
  <c r="P627" i="5" s="1"/>
  <c r="B973" i="5"/>
  <c r="P973" i="5" s="1"/>
  <c r="B347" i="5"/>
  <c r="P347" i="5" s="1"/>
  <c r="B1004" i="5"/>
  <c r="P1004" i="5" s="1"/>
  <c r="B1002" i="5"/>
  <c r="P1002" i="5" s="1"/>
  <c r="B1089" i="5"/>
  <c r="P1089" i="5" s="1"/>
  <c r="B1088" i="5"/>
  <c r="P1088" i="5" s="1"/>
  <c r="B1157" i="5"/>
  <c r="P1157" i="5" s="1"/>
  <c r="B934" i="5"/>
  <c r="P934" i="5" s="1"/>
  <c r="B748" i="5"/>
  <c r="P748" i="5" s="1"/>
  <c r="B665" i="5"/>
  <c r="P665" i="5" s="1"/>
  <c r="B514" i="5"/>
  <c r="P514" i="5" s="1"/>
  <c r="B362" i="5"/>
  <c r="P362" i="5" s="1"/>
  <c r="B232" i="5"/>
  <c r="P232" i="5" s="1"/>
  <c r="B104" i="5"/>
  <c r="P104" i="5" s="1"/>
  <c r="B656" i="5"/>
  <c r="P656" i="5" s="1"/>
  <c r="B529" i="5"/>
  <c r="P529" i="5" s="1"/>
  <c r="B401" i="5"/>
  <c r="P401" i="5" s="1"/>
  <c r="B271" i="5"/>
  <c r="P271" i="5" s="1"/>
  <c r="B159" i="5"/>
  <c r="P159" i="5" s="1"/>
  <c r="B72" i="5"/>
  <c r="P72" i="5" s="1"/>
  <c r="B552" i="5"/>
  <c r="P552" i="5" s="1"/>
  <c r="B440" i="5"/>
  <c r="P440" i="5" s="1"/>
  <c r="B352" i="5"/>
  <c r="P352" i="5" s="1"/>
  <c r="B238" i="5"/>
  <c r="P238" i="5" s="1"/>
  <c r="B150" i="5"/>
  <c r="P150" i="5" s="1"/>
  <c r="B39" i="5"/>
  <c r="P39" i="5" s="1"/>
  <c r="B606" i="5"/>
  <c r="P606" i="5" s="1"/>
  <c r="B519" i="5"/>
  <c r="P519" i="5" s="1"/>
  <c r="B407" i="5"/>
  <c r="P407" i="5" s="1"/>
  <c r="B461" i="5"/>
  <c r="B205" i="5"/>
  <c r="P205" i="5" s="1"/>
  <c r="B93" i="5"/>
  <c r="P93" i="5" s="1"/>
  <c r="B6" i="5"/>
  <c r="P6" i="5" s="1"/>
  <c r="B574" i="5"/>
  <c r="P574" i="5" s="1"/>
  <c r="B486" i="5"/>
  <c r="P486" i="5" s="1"/>
  <c r="B374" i="5"/>
  <c r="P374" i="5" s="1"/>
  <c r="B260" i="5"/>
  <c r="P260" i="5" s="1"/>
  <c r="B172" i="5"/>
  <c r="P172" i="5" s="1"/>
  <c r="B69" i="5"/>
  <c r="P69" i="5" s="1"/>
  <c r="B589" i="5"/>
  <c r="P589" i="5" s="1"/>
  <c r="B509" i="5"/>
  <c r="P509" i="5" s="1"/>
  <c r="B926" i="5"/>
  <c r="B333" i="5"/>
  <c r="P333" i="5" s="1"/>
  <c r="B251" i="5"/>
  <c r="P251" i="5" s="1"/>
  <c r="B155" i="5"/>
  <c r="P155" i="5" s="1"/>
  <c r="B84" i="5"/>
  <c r="P84" i="5" s="1"/>
  <c r="B250" i="5"/>
  <c r="P250" i="5" s="1"/>
  <c r="B1065" i="5"/>
  <c r="P1065" i="5" s="1"/>
  <c r="B1149" i="5"/>
  <c r="P1149" i="5" s="1"/>
  <c r="B740" i="5"/>
  <c r="P740" i="5" s="1"/>
  <c r="B506" i="5"/>
  <c r="P506" i="5" s="1"/>
  <c r="B96" i="5"/>
  <c r="P96" i="5" s="1"/>
  <c r="B521" i="5"/>
  <c r="P521" i="5" s="1"/>
  <c r="B263" i="5"/>
  <c r="P263" i="5" s="1"/>
  <c r="B40" i="5"/>
  <c r="P40" i="5" s="1"/>
  <c r="B432" i="5"/>
  <c r="P432" i="5" s="1"/>
  <c r="B230" i="5"/>
  <c r="P230" i="5" s="1"/>
  <c r="B31" i="5"/>
  <c r="P31" i="5" s="1"/>
  <c r="B511" i="5"/>
  <c r="P511" i="5" s="1"/>
  <c r="B285" i="5"/>
  <c r="P285" i="5" s="1"/>
  <c r="B566" i="5"/>
  <c r="P566" i="5" s="1"/>
  <c r="B366" i="5"/>
  <c r="P366" i="5" s="1"/>
  <c r="B164" i="5"/>
  <c r="P164" i="5" s="1"/>
  <c r="B581" i="5"/>
  <c r="P581" i="5" s="1"/>
  <c r="B405" i="5"/>
  <c r="P405" i="5" s="1"/>
  <c r="B227" i="5"/>
  <c r="P227" i="5" s="1"/>
  <c r="B12" i="5"/>
  <c r="P12" i="5" s="1"/>
  <c r="P1056" i="5" l="1"/>
  <c r="P1055" i="5"/>
  <c r="P219" i="5"/>
  <c r="P162" i="5"/>
  <c r="P163" i="5"/>
  <c r="P648" i="5"/>
  <c r="P1059" i="5"/>
  <c r="P561" i="5"/>
  <c r="P1041" i="5"/>
  <c r="P1044" i="5"/>
  <c r="P317" i="5"/>
  <c r="P275" i="5"/>
  <c r="P1046" i="5"/>
  <c r="P818" i="5"/>
  <c r="P1094" i="5"/>
  <c r="P1040" i="5"/>
  <c r="P1061" i="5"/>
  <c r="P651" i="5"/>
  <c r="P1036" i="5"/>
  <c r="P1045" i="5"/>
  <c r="P279" i="5"/>
  <c r="P413" i="5"/>
  <c r="P281" i="5"/>
  <c r="P796" i="5"/>
  <c r="P929" i="5"/>
  <c r="P1048" i="5"/>
  <c r="P444" i="5"/>
  <c r="P650" i="5"/>
  <c r="P793" i="5"/>
  <c r="P1035" i="5"/>
  <c r="P927" i="5"/>
  <c r="P443" i="5"/>
  <c r="P546" i="5"/>
  <c r="P412" i="5"/>
  <c r="P1051" i="5"/>
  <c r="P912" i="5"/>
  <c r="P1053" i="5"/>
  <c r="P795" i="5"/>
  <c r="P794" i="5"/>
  <c r="P278" i="5"/>
  <c r="P926" i="5"/>
  <c r="P161" i="5"/>
  <c r="P805" i="5"/>
  <c r="P1049" i="5"/>
  <c r="P68" i="5"/>
  <c r="P461" i="5"/>
  <c r="P462" i="5"/>
  <c r="P1034" i="5"/>
</calcChain>
</file>

<file path=xl/sharedStrings.xml><?xml version="1.0" encoding="utf-8"?>
<sst xmlns="http://schemas.openxmlformats.org/spreadsheetml/2006/main" count="44815" uniqueCount="3773">
  <si>
    <t>&lt;types&gt;</t>
  </si>
  <si>
    <t xml:space="preserve">&lt;!-- </t>
  </si>
  <si>
    <t>&lt;type name="Blue_Leggings"&gt;</t>
  </si>
  <si>
    <t>&lt;/types&gt;</t>
  </si>
  <si>
    <t>Categorie</t>
  </si>
  <si>
    <t>Nominal</t>
  </si>
  <si>
    <t>Lifetime</t>
  </si>
  <si>
    <t>ACOGOptic</t>
  </si>
  <si>
    <t>weapons</t>
  </si>
  <si>
    <t>Flags</t>
  </si>
  <si>
    <t>WE_ACR</t>
  </si>
  <si>
    <t>WE_M16A3</t>
  </si>
  <si>
    <t>WE_M82</t>
  </si>
  <si>
    <t>WE_SSG69</t>
  </si>
  <si>
    <t>zacatek kopie z Livonie</t>
  </si>
  <si>
    <t>&lt;type name="alp_radboxtablets"&gt;</t>
  </si>
  <si>
    <t>&lt;quantmin&gt;-1&lt;/quantmin&gt;</t>
  </si>
  <si>
    <t>&lt;quantmax&gt;-1&lt;/quantmax&gt;</t>
  </si>
  <si>
    <t>&lt;cost&gt;100&lt;/cost&gt;</t>
  </si>
  <si>
    <t>&lt;flags count_in_cargo="0" count_in_hoarder="0" count_in_map="1" count_in_player="0" crafted="0" deloot="0"/&gt;</t>
  </si>
  <si>
    <t>&lt;tag name="shelves"/&gt;</t>
  </si>
  <si>
    <t>&lt;usage name="Medic"/&gt;</t>
  </si>
  <si>
    <t>&lt;/type&gt;</t>
  </si>
  <si>
    <t>&lt;type name="alp_geiger_counter"&gt;</t>
  </si>
  <si>
    <t>&lt;flags count_in_cargo="1" count_in_hoarder="1" count_in_map="1" count_in_player="1" crafted="0" deloot="0"/&gt;</t>
  </si>
  <si>
    <t>&lt;tag name="floor"/&gt;</t>
  </si>
  <si>
    <t>&lt;usage name="Firefighter"/&gt;</t>
  </si>
  <si>
    <t>&lt;type name="alp_NBCJacketCamo"&gt;</t>
  </si>
  <si>
    <t>&lt;flags count_in_cargo="1" count_in_hoarder="1" count_in_map="1" count_in_player="1" crafted="0" deloot="1"/&gt;</t>
  </si>
  <si>
    <t>&lt;usage name="Military"/&gt;</t>
  </si>
  <si>
    <t>&lt;value name="Tier2"/&gt;</t>
  </si>
  <si>
    <t>&lt;value name="Tier3"/&gt;</t>
  </si>
  <si>
    <t>&lt;type name="alp_NBCPantsCamo"&gt;</t>
  </si>
  <si>
    <t>&lt;type name="alp_NBCHoodCamo"&gt;</t>
  </si>
  <si>
    <t>&lt;type name="alp_NBCBootsCamo"&gt;</t>
  </si>
  <si>
    <t>&lt;type name="alp_NBCGlovesCamo"&gt;</t>
  </si>
  <si>
    <t>&lt;type name="alp_GasMaskCamo"&gt;</t>
  </si>
  <si>
    <t>&lt;type name="alp_Coin1"&gt;</t>
  </si>
  <si>
    <t>&lt;flags count_in_cargo="0" count_in_hoarder="0" count_in_map="1" count_in_player="0" crafted="0" deloot="1"/&gt;</t>
  </si>
  <si>
    <t>&lt;usage name="Town"/&gt;</t>
  </si>
  <si>
    <t>&lt;usage name="Village"/&gt;</t>
  </si>
  <si>
    <t>&lt;type name="alp_Coin2"&gt;</t>
  </si>
  <si>
    <t>&lt;type name="alp_Coin5"&gt;</t>
  </si>
  <si>
    <t>&lt;type name="alp_CoinRare1"&gt;</t>
  </si>
  <si>
    <t>&lt;type name="alp_Money10"&gt;</t>
  </si>
  <si>
    <t>&lt;quantmin&gt;20&lt;/quantmin&gt;</t>
  </si>
  <si>
    <t>&lt;quantmax&gt;90&lt;/quantmax&gt;</t>
  </si>
  <si>
    <t>&lt;type name="alp_Money20"&gt;</t>
  </si>
  <si>
    <t>&lt;type name="alp_Money100"&gt;</t>
  </si>
  <si>
    <t>&lt;type name="alp_Money500"&gt;</t>
  </si>
  <si>
    <t>&lt;quantmax&gt;60&lt;/quantmax&gt;</t>
  </si>
  <si>
    <t>&lt;type name="alp_Money1000"&gt;</t>
  </si>
  <si>
    <t>&lt;type name="alp_Barrel_Yellow"&gt;</t>
  </si>
  <si>
    <t>&lt;flags count_in_cargo="1" count_in_hoarder="0" count_in_map="1" count_in_player="1" crafted="1" deloot="0"/&gt;</t>
  </si>
  <si>
    <t>&lt;type name="dynamitestick_Mung"&gt;</t>
  </si>
  <si>
    <t>&lt;usage name="Industrial"/&gt;</t>
  </si>
  <si>
    <t>&lt;usage name="Farm"/&gt;</t>
  </si>
  <si>
    <t>&lt;type name="stielhandgranate_mung"&gt;</t>
  </si>
  <si>
    <t>&lt;type name="Leupold_mung"&gt;</t>
  </si>
  <si>
    <t xml:space="preserve">&lt;usage name="Military"/&gt;        </t>
  </si>
  <si>
    <t>&lt;type name="bowieknife_mung"&gt;</t>
  </si>
  <si>
    <t>&lt;type name="gunwalldisplay_mung"&gt;</t>
  </si>
  <si>
    <t>&lt;flags count_in_cargo="0" count_in_hoarder="0" count_in_map="1" count_in_player="0" crafted="1" deloot="0"/&gt;</t>
  </si>
  <si>
    <t>&lt;type name="gunwall_kit_mung"&gt;</t>
  </si>
  <si>
    <t>&lt;type name="gunwalldisplay_metal_mung"&gt;</t>
  </si>
  <si>
    <t>&lt;type name="gunwall_metal_kit_mung"&gt;</t>
  </si>
  <si>
    <t>&lt;type name="katana_Mung"&gt;</t>
  </si>
  <si>
    <t>&lt;usage name="Hunting"/&gt;</t>
  </si>
  <si>
    <t>&lt;type name="rifleholster_tan_mung"&gt;</t>
  </si>
  <si>
    <t>&lt;type name="rifleholster_TTsKO_mung"&gt;</t>
  </si>
  <si>
    <t>&lt;type name="rifleholster_leatherengraved_mung"&gt;</t>
  </si>
  <si>
    <t>&lt;type name="Hikingbagmung_yellow"&gt;</t>
  </si>
  <si>
    <t>&lt;type name="Hikingbagmung_red"&gt;</t>
  </si>
  <si>
    <t>&lt;type name="Hikingbagmung_blue"&gt;</t>
  </si>
  <si>
    <t>&lt;type name="Hikingbagmung_green"&gt;</t>
  </si>
  <si>
    <t>&lt;type name="Hikingbagmung_black"&gt;</t>
  </si>
  <si>
    <t>&lt;type name="Hikingbagmung_camo"&gt;</t>
  </si>
  <si>
    <t>&lt;type name="bag_6B38_camo_mung"&gt;</t>
  </si>
  <si>
    <t>&lt;type name="bag_6B38_black_mung"&gt;</t>
  </si>
  <si>
    <t>&lt;type name="bag_6B38_LETO_mung"&gt;</t>
  </si>
  <si>
    <t>&lt;type name="stalker_gasmask_black_mung"&gt;</t>
  </si>
  <si>
    <t>&lt;type name="lebedev_PL15_mung"&gt;</t>
  </si>
  <si>
    <t>&lt;value name="Tier1"/&gt;</t>
  </si>
  <si>
    <t>&lt;type name="Gewehr43_mung"&gt;</t>
  </si>
  <si>
    <t>&lt;type name="Mag_gewehr43_10Rnd_mung"&gt;</t>
  </si>
  <si>
    <t>&lt;type name="csmcmillan_mung"&gt;</t>
  </si>
  <si>
    <t>&lt;type name="Mag_cs5_10Rnd_mung"&gt;</t>
  </si>
  <si>
    <t>&lt;type name="hardigg_Mung"&gt;</t>
  </si>
  <si>
    <t>&lt;type name="hardigg2_Mung"&gt;</t>
  </si>
  <si>
    <t>&lt;type name="hardigg2_Mung_camo"&gt;</t>
  </si>
  <si>
    <t>&lt;type name="hardigg3_mung"&gt;</t>
  </si>
  <si>
    <t>&lt;type name="simplebackpack_blue_mung"&gt;</t>
  </si>
  <si>
    <t>&lt;usage name="School"/&gt;</t>
  </si>
  <si>
    <t>&lt;type name="simplebackpack_camoblack_mung"&gt;</t>
  </si>
  <si>
    <t>&lt;type name="simplebackpack_green_mung"&gt;</t>
  </si>
  <si>
    <t>&lt;type name="simplebackpack_redpink_mung"&gt;</t>
  </si>
  <si>
    <t>&lt;type name="simplebackpack_redyellow_mung"&gt;</t>
  </si>
  <si>
    <t>&lt;type name="ballgrill_mung"&gt;</t>
  </si>
  <si>
    <t>&lt;type name="sherlockpipe_mung"&gt;</t>
  </si>
  <si>
    <t>&lt;type name="joint_mung"&gt;</t>
  </si>
  <si>
    <t>&lt;type name="Clawhammer_mung"&gt;</t>
  </si>
  <si>
    <t>&lt;type name="Vesuri_mung"&gt;</t>
  </si>
  <si>
    <t>&lt;type name="fannypack_pink_mung"&gt;</t>
  </si>
  <si>
    <t>&lt;type name="fannypack_black_mung"&gt;</t>
  </si>
  <si>
    <t>&lt;type name="fannypack_camo_mung"&gt;</t>
  </si>
  <si>
    <t>&lt;type name="fannypack_multi_mung"&gt;</t>
  </si>
  <si>
    <t>&lt;type name="kv5_mung"&gt;</t>
  </si>
  <si>
    <t>&lt;type name="mag3_gasmask_mung"&gt;</t>
  </si>
  <si>
    <t>&lt;type name="maglite_mung"&gt;</t>
  </si>
  <si>
    <t>&lt;type name="oillamp_mung"&gt;</t>
  </si>
  <si>
    <t>&lt;type name="makeshifttent_mung_Deployed"&gt;</t>
  </si>
  <si>
    <t>&lt;type name="makeshifttent_mung"&gt;</t>
  </si>
  <si>
    <t>&lt;type name="Mag_lebedev_PL15_16Rnd"&gt;</t>
  </si>
  <si>
    <t>&lt;type name="mcmillan_buttstock"&gt;</t>
  </si>
  <si>
    <t>&lt;!-- BaseBuildingPlus --&gt;</t>
  </si>
  <si>
    <t>&lt;type name="BBP_T1_WallKit"&gt;</t>
  </si>
  <si>
    <t>&lt;type name="BBP_T2_WallKit"&gt;</t>
  </si>
  <si>
    <t>&lt;type name="BBP_T3_WallKit"&gt;</t>
  </si>
  <si>
    <t>&lt;type name="BBP_T1_Wall_HalfKit"&gt;</t>
  </si>
  <si>
    <t>&lt;type name="BBP_T2_Wall_HalfKit"&gt;</t>
  </si>
  <si>
    <t>&lt;type name="BBP_T3_Wall_HalfKit"&gt;</t>
  </si>
  <si>
    <t>&lt;type name="BBP_T1_WindowKit"&gt;</t>
  </si>
  <si>
    <t>&lt;type name="BBP_T3_WindowKit"&gt;</t>
  </si>
  <si>
    <t>&lt;type name="BBP_T1_DoorKit"&gt;</t>
  </si>
  <si>
    <t>&lt;type name="BBP_T2_DoorKit"&gt;</t>
  </si>
  <si>
    <t>&lt;type name="BBP_T3_DoorKit"&gt;</t>
  </si>
  <si>
    <t>&lt;type name="BBP_T1_GateKit"&gt;</t>
  </si>
  <si>
    <t>&lt;type name="BBP_T2_GateKit"&gt;</t>
  </si>
  <si>
    <t>&lt;type name="BBP_T3_GateKit"&gt;</t>
  </si>
  <si>
    <t>&lt;type name="BBP_T1_RoofKit"&gt;</t>
  </si>
  <si>
    <t>&lt;type name="BBP_T2_RoofKit"&gt;</t>
  </si>
  <si>
    <t>&lt;type name="BBP_T3_RoofKit"&gt;</t>
  </si>
  <si>
    <t>&lt;type name="BBP_T1_FloorKit"&gt;</t>
  </si>
  <si>
    <t>&lt;type name="BBP_T2_FloorKit"&gt;</t>
  </si>
  <si>
    <t>&lt;type name="BBP_T3_FloorKit"&gt;</t>
  </si>
  <si>
    <t>&lt;type name="BBP_T1_Floor_HatchKit"&gt;</t>
  </si>
  <si>
    <t>&lt;type name="BBP_T3_Floor_HatchKit"&gt;</t>
  </si>
  <si>
    <t>&lt;type name="BBP_T1_StairKit"&gt;</t>
  </si>
  <si>
    <t>&lt;type name="BBP_T1_RampKit"&gt;</t>
  </si>
  <si>
    <t>&lt;type name="BBP_T1_Ramp_WideKit"&gt;</t>
  </si>
  <si>
    <t>&lt;type name="BBP_T1_Wall"&gt;</t>
  </si>
  <si>
    <t>&lt;type name="BBP_T2_Wall"&gt;</t>
  </si>
  <si>
    <t>&lt;type name="BBP_T3_Wall"&gt;</t>
  </si>
  <si>
    <t>&lt;type name="BBP_T1_Wall_Half"&gt;</t>
  </si>
  <si>
    <t>&lt;type name="BBP_T2_Wall_Half"&gt;</t>
  </si>
  <si>
    <t>&lt;type name="BBP_T3_Wall_Half"&gt;</t>
  </si>
  <si>
    <t>&lt;type name="BBP_T1_Window"&gt;</t>
  </si>
  <si>
    <t>&lt;type name="BBP_T3_Window"&gt;</t>
  </si>
  <si>
    <t>&lt;type name="BBP_T1_Door"&gt;</t>
  </si>
  <si>
    <t>&lt;type name="BBP_T2_Door"&gt;</t>
  </si>
  <si>
    <t>&lt;type name="BBP_T3_Door"&gt;</t>
  </si>
  <si>
    <t>&lt;type name="BBP_T1_Gate"&gt;</t>
  </si>
  <si>
    <t>&lt;type name="BBP_T2_Gate"&gt;</t>
  </si>
  <si>
    <t>&lt;type name="BBP_T3_Gate"&gt;</t>
  </si>
  <si>
    <t>&lt;type name="BBP_T1_Roof"&gt;</t>
  </si>
  <si>
    <t>&lt;type name="BBP_T2_Roof"&gt;</t>
  </si>
  <si>
    <t>&lt;type name="BBP_T3_Roof"&gt;</t>
  </si>
  <si>
    <t>&lt;type name="BBP_T1_Floor"&gt;</t>
  </si>
  <si>
    <t>&lt;type name="BBP_T2_Floor"&gt;</t>
  </si>
  <si>
    <t>&lt;type name="BBP_T3_Floor"&gt;</t>
  </si>
  <si>
    <t>&lt;type name="BBP_T1_Floor_Hatch"&gt;</t>
  </si>
  <si>
    <t>&lt;type name="BBP_T3_Floor_Hatch"&gt;</t>
  </si>
  <si>
    <t>&lt;type name="BBP_T1_Stair"&gt;</t>
  </si>
  <si>
    <t>&lt;type name="BBP_T1_Ramp"&gt;</t>
  </si>
  <si>
    <t>&lt;type name="BBP_T1_Ramp_Wide"&gt;</t>
  </si>
  <si>
    <t>&lt;type name="BBP_Cement"&gt;</t>
  </si>
  <si>
    <t>&lt;type name="BBP_Concrete_Brick_Pile"&gt;</t>
  </si>
  <si>
    <t>&lt;type name="BBP_Cement_Mixer"&gt;</t>
  </si>
  <si>
    <t>&lt;type name="BBP_Tape_Measure"&gt;</t>
  </si>
  <si>
    <t>&lt;type name="BBP_Blueprint"&gt;</t>
  </si>
  <si>
    <t>&lt;type name="BBP_Workbench"&gt;</t>
  </si>
  <si>
    <t>&lt;type name="BBP_Xmas_Tree"&gt;</t>
  </si>
  <si>
    <t>&lt;usage name="Office"/&gt;</t>
  </si>
  <si>
    <t>&lt;usage name="Police"/&gt;</t>
  </si>
  <si>
    <t>&lt;type name="BBP_Sun_Shade"&gt;</t>
  </si>
  <si>
    <t>&lt;flags count_in_cargo="1" count_in_hoarder="0" count_in_map="1" count_in_player="0" crafted="1" deloot="0"/&gt;</t>
  </si>
  <si>
    <t>&lt;type name="BBP_Painting_1"&gt;</t>
  </si>
  <si>
    <t>&lt;type name="BBP_Painting_2"&gt;</t>
  </si>
  <si>
    <t>&lt;type name="BBP_Wood_Storage"&gt;</t>
  </si>
  <si>
    <t>&lt;type name="BBP_Letter_Large_A"&gt;</t>
  </si>
  <si>
    <t>&lt;type name="BBP_Letter_Large_B"&gt;</t>
  </si>
  <si>
    <t>&lt;type name="BBP_Letter_Large_C"&gt;</t>
  </si>
  <si>
    <t>&lt;type name="BBP_Letter_Large_D"&gt;</t>
  </si>
  <si>
    <t>&lt;type name="BBP_Letter_Large_E"&gt;</t>
  </si>
  <si>
    <t>&lt;type name="BBP_Letter_Large_F"&gt;</t>
  </si>
  <si>
    <t>&lt;type name="BBP_Letter_Large_G"&gt;</t>
  </si>
  <si>
    <t>&lt;type name="BBP_Letter_Large_H"&gt;</t>
  </si>
  <si>
    <t>&lt;type name="BBP_Letter_Large_I"&gt;</t>
  </si>
  <si>
    <t>&lt;type name="BBP_Letter_Large_J"&gt;</t>
  </si>
  <si>
    <t>&lt;type name="BBP_Letter_Large_K"&gt;</t>
  </si>
  <si>
    <t>&lt;type name="BBP_Letter_Large_L"&gt;</t>
  </si>
  <si>
    <t>&lt;type name="BBP_Letter_Large_M"&gt;</t>
  </si>
  <si>
    <t>&lt;type name="BBP_Letter_Large_N"&gt;</t>
  </si>
  <si>
    <t>&lt;type name="BBP_Letter_Large_O"&gt;</t>
  </si>
  <si>
    <t>&lt;type name="BBP_Letter_Large_P"&gt;</t>
  </si>
  <si>
    <t>&lt;type name="BBP_Letter_Large_Q"&gt;</t>
  </si>
  <si>
    <t>&lt;type name="BBP_Letter_Large_R"&gt;</t>
  </si>
  <si>
    <t>&lt;type name="BBP_Letter_Large_S"&gt;</t>
  </si>
  <si>
    <t>&lt;type name="BBP_Letter_Large_T"&gt;</t>
  </si>
  <si>
    <t>&lt;type name="BBP_Letter_Large_U"&gt;</t>
  </si>
  <si>
    <t>&lt;type name="BBP_Letter_Large_V"&gt;</t>
  </si>
  <si>
    <t>&lt;type name="BBP_Letter_Large_W"&gt;</t>
  </si>
  <si>
    <t>&lt;type name="BBP_Letter_Large_X"&gt;</t>
  </si>
  <si>
    <t>&lt;type name="BBP_Letter_Large_Y"&gt;</t>
  </si>
  <si>
    <t>&lt;type name="BBP_Letter_Large_Z"&gt;</t>
  </si>
  <si>
    <t>&lt;type name="BBP_Magnet_A"&gt;</t>
  </si>
  <si>
    <t>&lt;type name="BBP_Magnet_B"&gt;</t>
  </si>
  <si>
    <t>&lt;type name="BBP_Magnet_C"&gt;</t>
  </si>
  <si>
    <t>&lt;type name="BBP_Magnet_D"&gt;</t>
  </si>
  <si>
    <t>&lt;type name="BBP_Magnet_E"&gt;</t>
  </si>
  <si>
    <t>&lt;type name="BBP_Magnet_F"&gt;</t>
  </si>
  <si>
    <t>&lt;type name="BBP_Magnet_G"&gt;</t>
  </si>
  <si>
    <t>&lt;type name="BBP_Magnet_H"&gt;</t>
  </si>
  <si>
    <t>&lt;type name="BBP_Magnet_I"&gt;</t>
  </si>
  <si>
    <t>&lt;type name="BBP_Magnet_J"&gt;</t>
  </si>
  <si>
    <t>&lt;type name="BBP_Magnet_K"&gt;</t>
  </si>
  <si>
    <t>&lt;type name="BBP_Magnet_L"&gt;</t>
  </si>
  <si>
    <t>&lt;type name="BBP_Magnet_M"&gt;</t>
  </si>
  <si>
    <t>&lt;type name="BBP_Magnet_N"&gt;</t>
  </si>
  <si>
    <t>&lt;type name="BBP_Magnet_O"&gt;</t>
  </si>
  <si>
    <t>&lt;type name="BBP_Magnet_P"&gt;</t>
  </si>
  <si>
    <t>&lt;type name="BBP_Magnet_Q"&gt;</t>
  </si>
  <si>
    <t>&lt;type name="BBP_Magnet_R"&gt;</t>
  </si>
  <si>
    <t>&lt;type name="BBP_Magnet_S"&gt;</t>
  </si>
  <si>
    <t>&lt;type name="BBP_Magnet_T"&gt;</t>
  </si>
  <si>
    <t>&lt;type name="BBP_Magnet_U"&gt;</t>
  </si>
  <si>
    <t>&lt;type name="BBP_Magnet_V"&gt;</t>
  </si>
  <si>
    <t>&lt;type name="BBP_Magnet_W"&gt;</t>
  </si>
  <si>
    <t>&lt;type name="BBP_Magnet_X"&gt;</t>
  </si>
  <si>
    <t>&lt;type name="BBP_Magnet_Y"&gt;</t>
  </si>
  <si>
    <t>&lt;type name="BBP_Magnet_Z"&gt;</t>
  </si>
  <si>
    <t>&lt;type name="BBP_MagnetBox"&gt;</t>
  </si>
  <si>
    <t>&lt;type name="BBP_Old_Lamp"&gt;</t>
  </si>
  <si>
    <t>&lt;type name="BBP_Floor_Lamp"&gt;</t>
  </si>
  <si>
    <t>&lt;!--</t>
  </si>
  <si>
    <t>&lt;type name="BBP_Land_Claim_FlagKit"&gt;</t>
  </si>
  <si>
    <t>&lt;type name="BBP_Land_Claim_Pole"&gt;</t>
  </si>
  <si>
    <t>&lt;type name="BBP_Land_Claim_Flag"&gt;</t>
  </si>
  <si>
    <t>&lt;type name="BBP_Admin_Land_Claim_Flag"&gt;</t>
  </si>
  <si>
    <t>--&gt;</t>
  </si>
  <si>
    <t>&lt;type name="BBP_Mortar_Mix"&gt;</t>
  </si>
  <si>
    <t>&lt;type name="BBP_Golf"&gt;</t>
  </si>
  <si>
    <t>&lt;type name="BBP_Gang_Plug"&gt;</t>
  </si>
  <si>
    <t>&lt;type name="BBP_Solar_PanelKit"&gt;</t>
  </si>
  <si>
    <t>&lt;type name="BBP_Solar"&gt;</t>
  </si>
  <si>
    <t>&lt;type name="BBP_Carpet"&gt;</t>
  </si>
  <si>
    <t>&lt;type name="BBP_Wallpaper"&gt;</t>
  </si>
  <si>
    <t>&lt;type name="BBP_T3_Door_HalfKit"&gt;</t>
  </si>
  <si>
    <t>&lt;type name="BBP_T3_Door_Half"&gt;</t>
  </si>
  <si>
    <t>&lt;type name="BBP_T1_FoundationKit"&gt;</t>
  </si>
  <si>
    <t>&lt;type name="BBP_T1_Foundation"&gt;</t>
  </si>
  <si>
    <t>&lt;type name="BBP_T2_FoundationKit"&gt;</t>
  </si>
  <si>
    <t>&lt;type name="BBP_T2_Foundation"&gt;</t>
  </si>
  <si>
    <t>&lt;type name="BBP_T3_FoundationKit"&gt;</t>
  </si>
  <si>
    <t>&lt;type name="BBP_T3_Foundation"&gt;</t>
  </si>
  <si>
    <t>&lt;type name="BBP_PillarKit"&gt;</t>
  </si>
  <si>
    <t>&lt;type name="BBP_Pillar"&gt;</t>
  </si>
  <si>
    <t>&lt;type name="BBP_BedKit"&gt;</t>
  </si>
  <si>
    <t>&lt;type name="BBP_Bed"&gt;</t>
  </si>
  <si>
    <t>&lt;type name="BBP_Bedding"&gt;</t>
  </si>
  <si>
    <t>&lt;type name="BBP_Step_LadderKit"&gt;</t>
  </si>
  <si>
    <t>&lt;type name="BBP_Step_Ladder"&gt;</t>
  </si>
  <si>
    <t>&lt;type name="BBP_T2_WindowKit"&gt;</t>
  </si>
  <si>
    <t>&lt;type name="BBP_T2_Window"&gt;</t>
  </si>
  <si>
    <t>&lt;type name="BBP_T3_StairKit"&gt;</t>
  </si>
  <si>
    <t>&lt;type name="BBP_T3_Stair"&gt;</t>
  </si>
  <si>
    <t>&lt;type name="BBP_Plaster"&gt;</t>
  </si>
  <si>
    <t>&lt;!-- NEW CAR ADN CODELOCK --&gt;</t>
  </si>
  <si>
    <t>&lt;type name="CrSk_Land_Rover_Defender_110"&gt;</t>
  </si>
  <si>
    <t>&lt;type name="CrSk_Land_Rover_Defender_110_Green"&gt;</t>
  </si>
  <si>
    <t>&lt;type name="CrSk_Land_Rover_Defender_110_UN"&gt;</t>
  </si>
  <si>
    <t>&lt;type name="Defender110_dver_1_1"&gt;</t>
  </si>
  <si>
    <t>&lt;type name="Defender110_dver_2_1"&gt;</t>
  </si>
  <si>
    <t>&lt;type name="Defender110_dver_1_2"&gt;</t>
  </si>
  <si>
    <t>&lt;type name="Defender110_dver_2_2"&gt;</t>
  </si>
  <si>
    <t>&lt;type name="Defender110_dver_1_1_Green"&gt;</t>
  </si>
  <si>
    <t>&lt;type name="Defender110_dver_2_1_Green"&gt;</t>
  </si>
  <si>
    <t>&lt;type name="Defender110_dver_1_2_Green"&gt;</t>
  </si>
  <si>
    <t>&lt;type name="Defender110_dver_2_2_Green"&gt;</t>
  </si>
  <si>
    <t>&lt;type name="Defender110_dver_1_1_UN"&gt;</t>
  </si>
  <si>
    <t>&lt;type name="Defender110_dver_2_1_UN"&gt;</t>
  </si>
  <si>
    <t>&lt;type name="Defender110_dver_1_2_UN"&gt;</t>
  </si>
  <si>
    <t>&lt;type name="Defender110_dver_2_2_UN"&gt;</t>
  </si>
  <si>
    <t>&lt;type name="Defender110_kapot"&gt;</t>
  </si>
  <si>
    <t>&lt;type name="Defender110_kapot_Green"&gt;</t>
  </si>
  <si>
    <t>&lt;type name="Defender110_kapot_UN"&gt;</t>
  </si>
  <si>
    <t>&lt;type name="Defender110_bagazhnik"&gt;</t>
  </si>
  <si>
    <t>&lt;type name="Defender110_bagazhnik_Green"&gt;</t>
  </si>
  <si>
    <t>&lt;type name="Defender110_bagazhnik_UN"&gt;</t>
  </si>
  <si>
    <t>&lt;type name="Defender110_koleso"&gt;</t>
  </si>
  <si>
    <t>&lt;type name="ProxyDefender110_koleso_destroyed"&gt;</t>
  </si>
  <si>
    <t>&lt;type name="Gerph_Zil130"&gt;</t>
  </si>
  <si>
    <t>&lt;type name="Zil130Wheel 2x"&gt;</t>
  </si>
  <si>
    <t xml:space="preserve">&lt;/type&gt;    </t>
  </si>
  <si>
    <t>&lt;type name="Zil130WheelRear 2x"&gt;</t>
  </si>
  <si>
    <t>&lt;type name="Zil130Doors_Driver"&gt;</t>
  </si>
  <si>
    <t>&lt;type name="Zil130Doors_CoDriver"&gt;</t>
  </si>
  <si>
    <t>&lt;type name="Zil130_Hood"&gt;</t>
  </si>
  <si>
    <t>&lt;type name="Zil130_Tailgate"&gt;</t>
  </si>
  <si>
    <t>&lt;type name="CodeLock"&gt;</t>
  </si>
  <si>
    <t>&lt;type name="alp_Anabolic"&gt;</t>
  </si>
  <si>
    <t>konec kopie z Livonie</t>
  </si>
  <si>
    <t>&lt;type name="Hikingbagmung_white"&gt;</t>
  </si>
  <si>
    <t>&lt;type name="Hikingbagmung_snow"&gt;</t>
  </si>
  <si>
    <t>&lt;type name="rifleholster_snow_mung"&gt;</t>
  </si>
  <si>
    <t>&lt;type name="bag_6B38_Snow_mung"&gt;</t>
  </si>
  <si>
    <t>&lt;type name="stalker_gasmask_white_mung"&gt;</t>
  </si>
  <si>
    <t>&lt;value name="Tier4"/&gt;</t>
  </si>
  <si>
    <t>WE_HAMROptic</t>
  </si>
  <si>
    <t>WE_HMOptic</t>
  </si>
  <si>
    <t>WE_OKP7OpticEast</t>
  </si>
  <si>
    <t>WE_OKP7OpticWest</t>
  </si>
  <si>
    <t>WE_PicatinnyRail</t>
  </si>
  <si>
    <t>WE_PN23Optic</t>
  </si>
  <si>
    <t>Spraycan_Tan</t>
  </si>
  <si>
    <t>WE_Tomahawk</t>
  </si>
  <si>
    <t>&lt;!--- PRIDANO MIMO LIVONII --&gt;</t>
  </si>
  <si>
    <t>&lt;type name="WE_DesertEagle"&gt;</t>
  </si>
  <si>
    <t>&lt;type name="WE_FiveSeven"&gt;</t>
  </si>
  <si>
    <t>&lt;type name="WE_M9"&gt;</t>
  </si>
  <si>
    <t>&lt;quantmin&gt;30&lt;/quantmin&gt;</t>
  </si>
  <si>
    <t>&lt;quantmax&gt;100&lt;/quantmax&gt;</t>
  </si>
  <si>
    <t>&lt;type name="WE_ACR"&gt;</t>
  </si>
  <si>
    <t>&lt;type name="WE_HoneyBadger"&gt;</t>
  </si>
  <si>
    <t>&lt;cost&gt;1000&lt;/cost&gt;</t>
  </si>
  <si>
    <t>&lt;type name="WE_M16A3"&gt;</t>
  </si>
  <si>
    <t>&lt;type name="WE_RK92"&gt;</t>
  </si>
  <si>
    <t>&lt;quantmin&gt;40&lt;/quantmin&gt;</t>
  </si>
  <si>
    <t>&lt;quantmax&gt;80&lt;/quantmax&gt;</t>
  </si>
  <si>
    <t>&lt;type name="WE_STG44"&gt;</t>
  </si>
  <si>
    <t>&lt;type name="WE_PPSH41"&gt;</t>
  </si>
  <si>
    <t>&lt;type name="WE_M14"&gt;</t>
  </si>
  <si>
    <t>&lt;type name="WE_M24A3"&gt;</t>
  </si>
  <si>
    <t>&lt;type name="WE_M82"&gt;</t>
  </si>
  <si>
    <t>&lt;type name="WE_PSG1"&gt;</t>
  </si>
  <si>
    <t>&lt;type name="WE_SSG69"&gt;</t>
  </si>
  <si>
    <t>&lt;/type&gt;¨</t>
  </si>
  <si>
    <t>&lt;quantmin&gt;25&lt;/quantmin&gt;</t>
  </si>
  <si>
    <t>&lt;type name="WE_HAMROptic"&gt;</t>
  </si>
  <si>
    <t>&lt;type name="WE_HMOptic"&gt;</t>
  </si>
  <si>
    <t>&lt;type name="WE_OKP7OpticEast"&gt;</t>
  </si>
  <si>
    <t>&lt;type name="WE_OKP7OpticWest"&gt;</t>
  </si>
  <si>
    <t>&lt;type name="WE_PN23Optic"&gt;</t>
  </si>
  <si>
    <t>&lt;type name="WE_PicatinnyRail"&gt;</t>
  </si>
  <si>
    <t>&lt;type name="Spraycan_Tan"&gt;</t>
  </si>
  <si>
    <t>&lt;type name="WE_PaintThinner"&gt;</t>
  </si>
  <si>
    <t>&lt;type name="WE_Tomahawk"&gt;</t>
  </si>
  <si>
    <t>AK101</t>
  </si>
  <si>
    <t>AK74</t>
  </si>
  <si>
    <t>AK74_Hndgrd</t>
  </si>
  <si>
    <t>AK74_WoodBttstck</t>
  </si>
  <si>
    <t>AKM</t>
  </si>
  <si>
    <t>AKS74U</t>
  </si>
  <si>
    <t>AKS74U_Bttstck</t>
  </si>
  <si>
    <t>AK_Bayonet</t>
  </si>
  <si>
    <t>AK_FoldingBttstck</t>
  </si>
  <si>
    <t>AK_PlasticBttstck</t>
  </si>
  <si>
    <t>AK_PlasticHndgrd</t>
  </si>
  <si>
    <t>AK_RailHndgrd</t>
  </si>
  <si>
    <t>AK_Suppressor</t>
  </si>
  <si>
    <t>AK_WoodBttstck</t>
  </si>
  <si>
    <t>AK_WoodHndgrd</t>
  </si>
  <si>
    <t>AliceBag_Black</t>
  </si>
  <si>
    <t>containers</t>
  </si>
  <si>
    <t>AliceBag_Camo</t>
  </si>
  <si>
    <t>AliceBag_Green</t>
  </si>
  <si>
    <t>AmmoBox</t>
  </si>
  <si>
    <t>AmmoBox_12gaSlug_10Rnd</t>
  </si>
  <si>
    <t>AmmoBox_22_50Rnd</t>
  </si>
  <si>
    <t>AmmoBox_308WinTracer_20Rnd</t>
  </si>
  <si>
    <t>AmmoBox_308Win_20Rnd</t>
  </si>
  <si>
    <t>AmmoBox_545x39Tracer_20Rnd</t>
  </si>
  <si>
    <t>AmmoBox_545x39_20Rnd</t>
  </si>
  <si>
    <t>AmmoBox_556x45Tracer_20Rnd</t>
  </si>
  <si>
    <t>AmmoBox_556x45_20Rnd</t>
  </si>
  <si>
    <t>AmmoBox_762x39Tracer_20Rnd</t>
  </si>
  <si>
    <t>AmmoBox_762x39_20Rnd</t>
  </si>
  <si>
    <t>AmmoBox_762x54Tracer_20Rnd</t>
  </si>
  <si>
    <t>AmmoBox_762x54_20Rnd</t>
  </si>
  <si>
    <t>AmmoBox_9x39AP_20Rnd</t>
  </si>
  <si>
    <t>AmmoBox_9x39_20Rnd</t>
  </si>
  <si>
    <t>Ammo_12gaPellets</t>
  </si>
  <si>
    <t>Ammo_12gaSlug</t>
  </si>
  <si>
    <t>Ammo_22</t>
  </si>
  <si>
    <t>Ammo_308Win</t>
  </si>
  <si>
    <t>Ammo_308WinTracer</t>
  </si>
  <si>
    <t>Ammo_380</t>
  </si>
  <si>
    <t>Ammo_45ACP</t>
  </si>
  <si>
    <t>Ammo_545x39</t>
  </si>
  <si>
    <t>Ammo_545x39Tracer</t>
  </si>
  <si>
    <t>Ammo_556x45</t>
  </si>
  <si>
    <t>Ammo_556x45Tracer</t>
  </si>
  <si>
    <t>Ammo_762x39</t>
  </si>
  <si>
    <t>Ammo_762x39Tracer</t>
  </si>
  <si>
    <t>Ammo_762x54</t>
  </si>
  <si>
    <t>Ammo_762x54Tracer</t>
  </si>
  <si>
    <t>Ammo_9x19</t>
  </si>
  <si>
    <t>Ammo_9x39</t>
  </si>
  <si>
    <t>Ammo_9x39AP</t>
  </si>
  <si>
    <t>food</t>
  </si>
  <si>
    <t>AssaultBag_Black</t>
  </si>
  <si>
    <t>AssaultBag_Green</t>
  </si>
  <si>
    <t>AssaultBag_Ttsko</t>
  </si>
  <si>
    <t>clothes</t>
  </si>
  <si>
    <t>AthleticShoes_Blue</t>
  </si>
  <si>
    <t>AthleticShoes_Brown</t>
  </si>
  <si>
    <t>AthleticShoes_Green</t>
  </si>
  <si>
    <t>AthleticShoes_Grey</t>
  </si>
  <si>
    <t>AviatorGlasses</t>
  </si>
  <si>
    <t>B95</t>
  </si>
  <si>
    <t>BDUJacket</t>
  </si>
  <si>
    <t>BDUPants</t>
  </si>
  <si>
    <t>BUISOptic</t>
  </si>
  <si>
    <t>BakedBeansCan</t>
  </si>
  <si>
    <t>Balaclava3Holes_Beige</t>
  </si>
  <si>
    <t>Balaclava3Holes_Black</t>
  </si>
  <si>
    <t>Balaclava3Holes_Blue</t>
  </si>
  <si>
    <t>Balaclava3Holes_Green</t>
  </si>
  <si>
    <t>BalaclavaMask_Beige</t>
  </si>
  <si>
    <t>BalaclavaMask_Black</t>
  </si>
  <si>
    <t>BalaclavaMask_Blackskull</t>
  </si>
  <si>
    <t>BalaclavaMask_Blue</t>
  </si>
  <si>
    <t>BalaclavaMask_Green</t>
  </si>
  <si>
    <t>BalaclavaMask_Pink</t>
  </si>
  <si>
    <t>BalaclavaMask_White</t>
  </si>
  <si>
    <t>BallisticHelmet_UN</t>
  </si>
  <si>
    <t>tools</t>
  </si>
  <si>
    <t>BandageDressing</t>
  </si>
  <si>
    <t>Bandana_Blackpattern</t>
  </si>
  <si>
    <t>Bandana_Camopattern</t>
  </si>
  <si>
    <t>Bandana_Greenpattern</t>
  </si>
  <si>
    <t>Bandana_Polkapattern</t>
  </si>
  <si>
    <t>Bandana_Redpattern</t>
  </si>
  <si>
    <t>BarbedWire</t>
  </si>
  <si>
    <t>Barrel_Blue</t>
  </si>
  <si>
    <t>Barrel_Green</t>
  </si>
  <si>
    <t>Barrel_Red</t>
  </si>
  <si>
    <t>Barrel_Yellow</t>
  </si>
  <si>
    <t>BaseRadio</t>
  </si>
  <si>
    <t>BaseballBat</t>
  </si>
  <si>
    <t>BaseballCap_Beige</t>
  </si>
  <si>
    <t>BaseballCap_Black</t>
  </si>
  <si>
    <t>BaseballCap_Blue</t>
  </si>
  <si>
    <t>BaseballCap_CMMG_Black</t>
  </si>
  <si>
    <t>BaseballCap_CMMG_Pink</t>
  </si>
  <si>
    <t>BaseballCap_Camo</t>
  </si>
  <si>
    <t>BaseballCap_Olive</t>
  </si>
  <si>
    <t>BaseballCap_Pink</t>
  </si>
  <si>
    <t>BaseballCap_Red</t>
  </si>
  <si>
    <t>Battery9V</t>
  </si>
  <si>
    <t>BatteryCharger</t>
  </si>
  <si>
    <t>BeanieHat_Beige</t>
  </si>
  <si>
    <t>BeanieHat_Black</t>
  </si>
  <si>
    <t>BeanieHat_Blue</t>
  </si>
  <si>
    <t>BeanieHat_Brown</t>
  </si>
  <si>
    <t>BeanieHat_Green</t>
  </si>
  <si>
    <t>BeanieHat_Grey</t>
  </si>
  <si>
    <t>BeanieHat_Pink</t>
  </si>
  <si>
    <t>BeanieHat_Red</t>
  </si>
  <si>
    <t>BearTrap</t>
  </si>
  <si>
    <t>Bear_Beige</t>
  </si>
  <si>
    <t>Bear_Dark</t>
  </si>
  <si>
    <t>Bear_Pink</t>
  </si>
  <si>
    <t>Bear_White</t>
  </si>
  <si>
    <t>Binoculars</t>
  </si>
  <si>
    <t>BloodBagEmpty</t>
  </si>
  <si>
    <t>BloodTestKit</t>
  </si>
  <si>
    <t>Blouse_Blue</t>
  </si>
  <si>
    <t>Blouse_Green</t>
  </si>
  <si>
    <t>Blouse_Violet</t>
  </si>
  <si>
    <t>Blouse_White</t>
  </si>
  <si>
    <t>BoarSteakMeat</t>
  </si>
  <si>
    <t>BomberJacket_Black</t>
  </si>
  <si>
    <t>BomberJacket_Blue</t>
  </si>
  <si>
    <t>BomberJacket_Brown</t>
  </si>
  <si>
    <t>BomberJacket_Grey</t>
  </si>
  <si>
    <t>BomberJacket_Maroon</t>
  </si>
  <si>
    <t>BomberJacket_Olive</t>
  </si>
  <si>
    <t>BomberJacket_SkyBlue</t>
  </si>
  <si>
    <t>BoonieHat_Black</t>
  </si>
  <si>
    <t>BoonieHat_Blue</t>
  </si>
  <si>
    <t>BoonieHat_DPM</t>
  </si>
  <si>
    <t>BoonieHat_Dubok</t>
  </si>
  <si>
    <t>BoonieHat_Flecktran</t>
  </si>
  <si>
    <t>BoonieHat_NavyBlue</t>
  </si>
  <si>
    <t>BoonieHat_Olive</t>
  </si>
  <si>
    <t>BoonieHat_Orange</t>
  </si>
  <si>
    <t>BoonieHat_Red</t>
  </si>
  <si>
    <t>BoonieHat_Tan</t>
  </si>
  <si>
    <t>BoxCerealCrunchin</t>
  </si>
  <si>
    <t>BrassKnuckles_Dull</t>
  </si>
  <si>
    <t>BrassKnuckles_Shiny</t>
  </si>
  <si>
    <t>Breeches_Beetcheck</t>
  </si>
  <si>
    <t>Breeches_Beige</t>
  </si>
  <si>
    <t>Breeches_Black</t>
  </si>
  <si>
    <t>Breeches_Blackcheck</t>
  </si>
  <si>
    <t>Breeches_Blue</t>
  </si>
  <si>
    <t>Breeches_Browncheck</t>
  </si>
  <si>
    <t>Breeches_Green</t>
  </si>
  <si>
    <t>Breeches_Pink</t>
  </si>
  <si>
    <t>Breeches_Red</t>
  </si>
  <si>
    <t>Breeches_White</t>
  </si>
  <si>
    <t>BurlapSack</t>
  </si>
  <si>
    <t>CZ527</t>
  </si>
  <si>
    <t>CZ61</t>
  </si>
  <si>
    <t>CZ75</t>
  </si>
  <si>
    <t>CableReel</t>
  </si>
  <si>
    <t>Camonet</t>
  </si>
  <si>
    <t>CanOpener</t>
  </si>
  <si>
    <t>CanisterGasoline</t>
  </si>
  <si>
    <t>Canteen</t>
  </si>
  <si>
    <t>CanvasPantsMidi_Beige</t>
  </si>
  <si>
    <t>CanvasPantsMidi_Blue</t>
  </si>
  <si>
    <t>CanvasPantsMidi_Grey</t>
  </si>
  <si>
    <t>CanvasPantsMidi_Red</t>
  </si>
  <si>
    <t>CanvasPantsMidi_Violet</t>
  </si>
  <si>
    <t>CanvasPants_Beige</t>
  </si>
  <si>
    <t>CanvasPants_Blue</t>
  </si>
  <si>
    <t>CanvasPants_Grey</t>
  </si>
  <si>
    <t>CanvasPants_Red</t>
  </si>
  <si>
    <t>CanvasPants_Violet</t>
  </si>
  <si>
    <t>CarBattery</t>
  </si>
  <si>
    <t>CarRadiator</t>
  </si>
  <si>
    <t>CarTent</t>
  </si>
  <si>
    <t>CargoPants_Beige</t>
  </si>
  <si>
    <t>CargoPants_Black</t>
  </si>
  <si>
    <t>CargoPants_Blue</t>
  </si>
  <si>
    <t>CargoPants_Green</t>
  </si>
  <si>
    <t>CargoPants_Grey</t>
  </si>
  <si>
    <t>CharcoalTablets</t>
  </si>
  <si>
    <t>Chemlight_Blue</t>
  </si>
  <si>
    <t>Chemlight_Green</t>
  </si>
  <si>
    <t>Chemlight_Red</t>
  </si>
  <si>
    <t>Chemlight_White</t>
  </si>
  <si>
    <t>Chemlight_Yellow</t>
  </si>
  <si>
    <t>ChernarusMap</t>
  </si>
  <si>
    <t>ChernarusSportShirt</t>
  </si>
  <si>
    <t>ChestHolster</t>
  </si>
  <si>
    <t>ChickenBreastMeat</t>
  </si>
  <si>
    <t>ChildBag_Blue</t>
  </si>
  <si>
    <t>ChildBag_Green</t>
  </si>
  <si>
    <t>ChildBag_Red</t>
  </si>
  <si>
    <t>CivSedanDoors_BackLeft</t>
  </si>
  <si>
    <t>CivSedanDoors_BackLeft_Black</t>
  </si>
  <si>
    <t>CivSedanDoors_BackLeft_Wine</t>
  </si>
  <si>
    <t>CivSedanDoors_BackRight</t>
  </si>
  <si>
    <t>CivSedanDoors_BackRight_Black</t>
  </si>
  <si>
    <t>CivSedanDoors_BackRight_Wine</t>
  </si>
  <si>
    <t>CivSedanDoors_CoDriver</t>
  </si>
  <si>
    <t>CivSedanDoors_CoDriver_Black</t>
  </si>
  <si>
    <t>CivSedanDoors_CoDriver_Wine</t>
  </si>
  <si>
    <t>CivSedanDoors_Driver</t>
  </si>
  <si>
    <t>CivSedanDoors_Driver_Black</t>
  </si>
  <si>
    <t>CivSedanDoors_Driver_Wine</t>
  </si>
  <si>
    <t>CivSedanHood</t>
  </si>
  <si>
    <t>CivSedanHood_Black</t>
  </si>
  <si>
    <t>CivSedanHood_Wine</t>
  </si>
  <si>
    <t>CivSedanTrunk</t>
  </si>
  <si>
    <t>CivSedanTrunk_Black</t>
  </si>
  <si>
    <t>CivSedanTrunk_Wine</t>
  </si>
  <si>
    <t>CivSedanWheel</t>
  </si>
  <si>
    <t>CivilianBelt</t>
  </si>
  <si>
    <t>CivilianSedan</t>
  </si>
  <si>
    <t>CivilianSedan_Black</t>
  </si>
  <si>
    <t>CivilianSedan_Wine</t>
  </si>
  <si>
    <t>Colt1911</t>
  </si>
  <si>
    <t>CombatBoots_Beige</t>
  </si>
  <si>
    <t>CombatBoots_Black</t>
  </si>
  <si>
    <t>CombatBoots_Brown</t>
  </si>
  <si>
    <t>CombatBoots_Green</t>
  </si>
  <si>
    <t>CombatBoots_Grey</t>
  </si>
  <si>
    <t>CombatKnife</t>
  </si>
  <si>
    <t>CombinationLock</t>
  </si>
  <si>
    <t>CombinationLock4</t>
  </si>
  <si>
    <t>Compass</t>
  </si>
  <si>
    <t>ConstructionHelmet_Blue</t>
  </si>
  <si>
    <t>ConstructionHelmet_Lime</t>
  </si>
  <si>
    <t>ConstructionHelmet_Orange</t>
  </si>
  <si>
    <t>ConstructionHelmet_Red</t>
  </si>
  <si>
    <t>ConstructionHelmet_White</t>
  </si>
  <si>
    <t>ConstructionHelmet_Yellow</t>
  </si>
  <si>
    <t>CowPelt</t>
  </si>
  <si>
    <t>CowSteakMeat</t>
  </si>
  <si>
    <t>CowboyHat_Brown</t>
  </si>
  <si>
    <t>CowboyHat_black</t>
  </si>
  <si>
    <t>CowboyHat_darkBrown</t>
  </si>
  <si>
    <t>CowboyHat_green</t>
  </si>
  <si>
    <t>CoyoteBag_Brown</t>
  </si>
  <si>
    <t>CoyoteBag_Green</t>
  </si>
  <si>
    <t>Crowbar</t>
  </si>
  <si>
    <t>DarkMotoHelmet_Black</t>
  </si>
  <si>
    <t>DarkMotoHelmet_Blue</t>
  </si>
  <si>
    <t>DarkMotoHelmet_Green</t>
  </si>
  <si>
    <t>DarkMotoHelmet_Grey</t>
  </si>
  <si>
    <t>DarkMotoHelmet_Lime</t>
  </si>
  <si>
    <t>DarkMotoHelmet_Red</t>
  </si>
  <si>
    <t>DarkMotoHelmet_White</t>
  </si>
  <si>
    <t>DeerPelt</t>
  </si>
  <si>
    <t>DeerSteakMeat</t>
  </si>
  <si>
    <t>DenimJacket</t>
  </si>
  <si>
    <t>DesignerGlasses</t>
  </si>
  <si>
    <t>DirtBikeHelmet_Black</t>
  </si>
  <si>
    <t>DirtBikeHelmet_Blue</t>
  </si>
  <si>
    <t>DirtBikeHelmet_Chernarus</t>
  </si>
  <si>
    <t>DirtBikeHelmet_Green</t>
  </si>
  <si>
    <t>DirtBikeHelmet_Khaki</t>
  </si>
  <si>
    <t>DirtBikeHelmet_Mouthguard</t>
  </si>
  <si>
    <t>DirtBikeHelmet_Police</t>
  </si>
  <si>
    <t>DirtBikeHelmet_Red</t>
  </si>
  <si>
    <t>DirtBikeHelmet_Visor</t>
  </si>
  <si>
    <t>DisinfectantAlcohol</t>
  </si>
  <si>
    <t>DisinfectantSpray</t>
  </si>
  <si>
    <t>DressShoes_Beige</t>
  </si>
  <si>
    <t>DressShoes_Black</t>
  </si>
  <si>
    <t>DressShoes_Brown</t>
  </si>
  <si>
    <t>DressShoes_Sunburst</t>
  </si>
  <si>
    <t>DressShoes_White</t>
  </si>
  <si>
    <t>DryBag_Black</t>
  </si>
  <si>
    <t>DryBag_Blue</t>
  </si>
  <si>
    <t>DryBag_Green</t>
  </si>
  <si>
    <t>DryBag_Orange</t>
  </si>
  <si>
    <t>DryBag_Red</t>
  </si>
  <si>
    <t>DryBag_Yellow</t>
  </si>
  <si>
    <t>DuctTape</t>
  </si>
  <si>
    <t>ElectronicRepairKit</t>
  </si>
  <si>
    <t>Engraved1911</t>
  </si>
  <si>
    <t>Epinephrine</t>
  </si>
  <si>
    <t>EpoxyPutty</t>
  </si>
  <si>
    <t>FAL</t>
  </si>
  <si>
    <t>FNP45_MRDSOptic</t>
  </si>
  <si>
    <t>FNX45</t>
  </si>
  <si>
    <t>Fal_FoldingBttstck</t>
  </si>
  <si>
    <t>Fal_OeBttstck</t>
  </si>
  <si>
    <t>FirefighterAxe</t>
  </si>
  <si>
    <t>FirefighterJacket_Beige</t>
  </si>
  <si>
    <t>FirefighterJacket_Black</t>
  </si>
  <si>
    <t>FirefightersHelmet_Red</t>
  </si>
  <si>
    <t>FirefightersHelmet_White</t>
  </si>
  <si>
    <t>FirefightersHelmet_Yellow</t>
  </si>
  <si>
    <t>FirefightersPants_Beige</t>
  </si>
  <si>
    <t>FirefightersPants_Black</t>
  </si>
  <si>
    <t>FirstAidKit</t>
  </si>
  <si>
    <t>FishingRod</t>
  </si>
  <si>
    <t>FlashGrenade</t>
  </si>
  <si>
    <t>explosives</t>
  </si>
  <si>
    <t>Flashlight</t>
  </si>
  <si>
    <t>FlatCap_Black</t>
  </si>
  <si>
    <t>FlatCap_BlackCheck</t>
  </si>
  <si>
    <t>FlatCap_Blue</t>
  </si>
  <si>
    <t>FlatCap_Brown</t>
  </si>
  <si>
    <t>FlatCap_BrownCheck</t>
  </si>
  <si>
    <t>FlatCap_Grey</t>
  </si>
  <si>
    <t>FlatCap_GreyCheck</t>
  </si>
  <si>
    <t>FlatCap_Red</t>
  </si>
  <si>
    <t>GP5GasMask</t>
  </si>
  <si>
    <t>GardenLime</t>
  </si>
  <si>
    <t>GasMask</t>
  </si>
  <si>
    <t>GhillieAtt_Mossy</t>
  </si>
  <si>
    <t>GhillieAtt_Woodland</t>
  </si>
  <si>
    <t>GhillieBushrag_Mossy</t>
  </si>
  <si>
    <t>GhillieBushrag_Woodland</t>
  </si>
  <si>
    <t>GhillieHood_Mossy</t>
  </si>
  <si>
    <t>GhillieHood_Woodland</t>
  </si>
  <si>
    <t>GhillieSuit_Mossy</t>
  </si>
  <si>
    <t>GhillieSuit_Woodland</t>
  </si>
  <si>
    <t>GhillieTop_Mossy</t>
  </si>
  <si>
    <t>GhillieTop_Woodland</t>
  </si>
  <si>
    <t>Glock19</t>
  </si>
  <si>
    <t>GoatPelt</t>
  </si>
  <si>
    <t>GoatSteakMeat</t>
  </si>
  <si>
    <t>GorkaEJacket_Autumn</t>
  </si>
  <si>
    <t>GorkaEJacket_Flat</t>
  </si>
  <si>
    <t>GorkaEJacket_PautRev</t>
  </si>
  <si>
    <t>GorkaEJacket_Summer</t>
  </si>
  <si>
    <t>GorkaHelmet</t>
  </si>
  <si>
    <t>GorkaHelmetVisor</t>
  </si>
  <si>
    <t>GorkaPants_Autumn</t>
  </si>
  <si>
    <t>GorkaPants_Flat</t>
  </si>
  <si>
    <t>GorkaPants_PautRev</t>
  </si>
  <si>
    <t>GorkaPants_Summer</t>
  </si>
  <si>
    <t>GreatHelm</t>
  </si>
  <si>
    <t>GreenBellPepper</t>
  </si>
  <si>
    <t>Hacksaw</t>
  </si>
  <si>
    <t>Hammer</t>
  </si>
  <si>
    <t>HandSaw</t>
  </si>
  <si>
    <t>HandcuffKeys</t>
  </si>
  <si>
    <t>Handcuffs</t>
  </si>
  <si>
    <t>HatchbackDoors_CoDriver</t>
  </si>
  <si>
    <t>HatchbackDoors_CoDriver_Blue</t>
  </si>
  <si>
    <t>HatchbackDoors_CoDriver_White</t>
  </si>
  <si>
    <t>HatchbackDoors_Driver</t>
  </si>
  <si>
    <t>HatchbackDoors_Driver_Blue</t>
  </si>
  <si>
    <t>HatchbackDoors_Driver_White</t>
  </si>
  <si>
    <t>HatchbackHood</t>
  </si>
  <si>
    <t>HatchbackHood_Blue</t>
  </si>
  <si>
    <t>HatchbackHood_White</t>
  </si>
  <si>
    <t>HatchbackTrunk</t>
  </si>
  <si>
    <t>HatchbackTrunk_Green</t>
  </si>
  <si>
    <t>HatchbackTrunk_White</t>
  </si>
  <si>
    <t>HatchbackWheel</t>
  </si>
  <si>
    <t>Hatchback_02</t>
  </si>
  <si>
    <t>Hatchback_02_Black</t>
  </si>
  <si>
    <t>Hatchback_02_Blue</t>
  </si>
  <si>
    <t>Hatchback_02_Door_1_1</t>
  </si>
  <si>
    <t>Hatchback_02_Door_1_1_Black</t>
  </si>
  <si>
    <t>Hatchback_02_Door_1_1_Blue</t>
  </si>
  <si>
    <t>Hatchback_02_Door_1_2</t>
  </si>
  <si>
    <t>Hatchback_02_Door_1_2_Black</t>
  </si>
  <si>
    <t>Hatchback_02_Door_1_2_Blue</t>
  </si>
  <si>
    <t>Hatchback_02_Door_2_1</t>
  </si>
  <si>
    <t>Hatchback_02_Door_2_1_Black</t>
  </si>
  <si>
    <t>Hatchback_02_Door_2_1_Blue</t>
  </si>
  <si>
    <t>Hatchback_02_Door_2_2</t>
  </si>
  <si>
    <t>Hatchback_02_Door_2_2_Black</t>
  </si>
  <si>
    <t>Hatchback_02_Door_2_2_Blue</t>
  </si>
  <si>
    <t>Hatchback_02_Hood</t>
  </si>
  <si>
    <t>Hatchback_02_Hood_Black</t>
  </si>
  <si>
    <t>Hatchback_02_Hood_Blue</t>
  </si>
  <si>
    <t>Hatchback_02_Trunk</t>
  </si>
  <si>
    <t>Hatchback_02_Trunk_Black</t>
  </si>
  <si>
    <t>Hatchback_02_Trunk_Blue</t>
  </si>
  <si>
    <t>Hatchback_02_Wheel</t>
  </si>
  <si>
    <t>Hatchet</t>
  </si>
  <si>
    <t>HeadlightH7_Box</t>
  </si>
  <si>
    <t>Headtorch_Black</t>
  </si>
  <si>
    <t>Headtorch_Grey</t>
  </si>
  <si>
    <t>Heatpack</t>
  </si>
  <si>
    <t>HescoBox</t>
  </si>
  <si>
    <t>HighCapacityVest_Black</t>
  </si>
  <si>
    <t>HighCapacityVest_Olive</t>
  </si>
  <si>
    <t>HikingBootsLow_Beige</t>
  </si>
  <si>
    <t>HikingBootsLow_Black</t>
  </si>
  <si>
    <t>HikingBootsLow_Blue</t>
  </si>
  <si>
    <t>HikingBootsLow_Grey</t>
  </si>
  <si>
    <t>HikingBoots_Black</t>
  </si>
  <si>
    <t>HikingBoots_Brown</t>
  </si>
  <si>
    <t>HikingJacket_Black</t>
  </si>
  <si>
    <t>HikingJacket_Blue</t>
  </si>
  <si>
    <t>HikingJacket_Green</t>
  </si>
  <si>
    <t>HikingJacket_Red</t>
  </si>
  <si>
    <t>HockeyHelmet_Black</t>
  </si>
  <si>
    <t>HockeyHelmet_Blue</t>
  </si>
  <si>
    <t>HockeyHelmet_Red</t>
  </si>
  <si>
    <t>HockeyHelmet_White</t>
  </si>
  <si>
    <t>HockeyMask</t>
  </si>
  <si>
    <t>Hoodie_Black</t>
  </si>
  <si>
    <t>Hoodie_Blue</t>
  </si>
  <si>
    <t>Hoodie_Brown</t>
  </si>
  <si>
    <t>Hoodie_Green</t>
  </si>
  <si>
    <t>Hoodie_Grey</t>
  </si>
  <si>
    <t>Hoodie_Red</t>
  </si>
  <si>
    <t>Hook</t>
  </si>
  <si>
    <t>HumanSteakMeat</t>
  </si>
  <si>
    <t>HunterPants_Autumn</t>
  </si>
  <si>
    <t>HunterPants_Brown</t>
  </si>
  <si>
    <t>HunterPants_Spring</t>
  </si>
  <si>
    <t>HunterPants_Summer</t>
  </si>
  <si>
    <t>HunterPants_Winter</t>
  </si>
  <si>
    <t>HuntingBag</t>
  </si>
  <si>
    <t>HuntingJacket_Autumn</t>
  </si>
  <si>
    <t>HuntingJacket_Brown</t>
  </si>
  <si>
    <t>HuntingJacket_Spring</t>
  </si>
  <si>
    <t>HuntingJacket_Summer</t>
  </si>
  <si>
    <t>HuntingJacket_Winter</t>
  </si>
  <si>
    <t>HuntingKnife</t>
  </si>
  <si>
    <t>HuntingOptic</t>
  </si>
  <si>
    <t>Izh18</t>
  </si>
  <si>
    <t>Izh43Shotgun</t>
  </si>
  <si>
    <t>JumpsuitJacket_Blue</t>
  </si>
  <si>
    <t>JumpsuitJacket_Gray</t>
  </si>
  <si>
    <t>JumpsuitJacket_Green</t>
  </si>
  <si>
    <t>JumpsuitJacket_Red</t>
  </si>
  <si>
    <t>JumpsuitPants_Blue</t>
  </si>
  <si>
    <t>JumpsuitPants_Green</t>
  </si>
  <si>
    <t>JumpsuitPants_Grey</t>
  </si>
  <si>
    <t>JumpsuitPants_Red</t>
  </si>
  <si>
    <t>JungleBoots_Beige</t>
  </si>
  <si>
    <t>JungleBoots_Black</t>
  </si>
  <si>
    <t>JungleBoots_Brown</t>
  </si>
  <si>
    <t>JungleBoots_Green</t>
  </si>
  <si>
    <t>JungleBoots_Olive</t>
  </si>
  <si>
    <t>KashtanOptic</t>
  </si>
  <si>
    <t>KazuarOptic</t>
  </si>
  <si>
    <t>KitchenKnife</t>
  </si>
  <si>
    <t>KobraOptic</t>
  </si>
  <si>
    <t>LabCoat</t>
  </si>
  <si>
    <t>LandMineTrap</t>
  </si>
  <si>
    <t>LargeGasCanister</t>
  </si>
  <si>
    <t>LargeTent</t>
  </si>
  <si>
    <t>LeatherSewingKit</t>
  </si>
  <si>
    <t>Lockpick</t>
  </si>
  <si>
    <t>LugWrench</t>
  </si>
  <si>
    <t>M18SmokeGrenade_Green</t>
  </si>
  <si>
    <t>M18SmokeGrenade_Purple</t>
  </si>
  <si>
    <t>M18SmokeGrenade_Red</t>
  </si>
  <si>
    <t>M18SmokeGrenade_White</t>
  </si>
  <si>
    <t>M18SmokeGrenade_Yellow</t>
  </si>
  <si>
    <t>M4A1</t>
  </si>
  <si>
    <t>M4_CQBBttstck</t>
  </si>
  <si>
    <t>M4_CarryHandleOptic</t>
  </si>
  <si>
    <t>M4_MPBttstck</t>
  </si>
  <si>
    <t>M4_MPHndgrd</t>
  </si>
  <si>
    <t>M4_OEBttstck</t>
  </si>
  <si>
    <t>M4_PlasticHndgrd</t>
  </si>
  <si>
    <t>M4_RISHndgrd</t>
  </si>
  <si>
    <t>M4_Suppressor</t>
  </si>
  <si>
    <t>M4_T3NRDSOptic</t>
  </si>
  <si>
    <t>M65Jacket_Black</t>
  </si>
  <si>
    <t>M65Jacket_Khaki</t>
  </si>
  <si>
    <t>M65Jacket_Olive</t>
  </si>
  <si>
    <t>M65Jacket_Tan</t>
  </si>
  <si>
    <t>M67Grenade</t>
  </si>
  <si>
    <t>M68Optic</t>
  </si>
  <si>
    <t>M9A1_Bayonet</t>
  </si>
  <si>
    <t>MKII</t>
  </si>
  <si>
    <t>MP5K</t>
  </si>
  <si>
    <t>MP5_Compensator</t>
  </si>
  <si>
    <t>MP5_PlasticHndgrd</t>
  </si>
  <si>
    <t>MP5_RailHndgrd</t>
  </si>
  <si>
    <t>MP5k_StockBttstck</t>
  </si>
  <si>
    <t>Machete</t>
  </si>
  <si>
    <t>Mag_1911_7Rnd</t>
  </si>
  <si>
    <t>Mag_AK101_30Rnd</t>
  </si>
  <si>
    <t>Mag_AK74_30Rnd</t>
  </si>
  <si>
    <t>Mag_AKM_30Rnd</t>
  </si>
  <si>
    <t>Mag_AKM_Drum75Rnd</t>
  </si>
  <si>
    <t>Mag_AKM_Palm30Rnd</t>
  </si>
  <si>
    <t>Mag_CMAG_10Rnd</t>
  </si>
  <si>
    <t>Mag_CMAG_20Rnd</t>
  </si>
  <si>
    <t>Mag_CMAG_30Rnd</t>
  </si>
  <si>
    <t>Mag_CMAG_40Rnd</t>
  </si>
  <si>
    <t>Mag_CZ61_20Rnd</t>
  </si>
  <si>
    <t>Mag_CZ75_15Rnd</t>
  </si>
  <si>
    <t>Mag_FAL_20Rnd</t>
  </si>
  <si>
    <t>Mag_FNX45_15Rnd</t>
  </si>
  <si>
    <t>Mag_Glock_15Rnd</t>
  </si>
  <si>
    <t>Mag_IJ70_8Rnd</t>
  </si>
  <si>
    <t>Mag_MKII_10Rnd</t>
  </si>
  <si>
    <t>Mag_MP5_30Rnd</t>
  </si>
  <si>
    <t>Mag_STANAGCoupled_30Rnd</t>
  </si>
  <si>
    <t>Mag_STANAG_30Rnd</t>
  </si>
  <si>
    <t>Mag_SVD_10Rnd</t>
  </si>
  <si>
    <t>Mag_Saiga_5Rnd</t>
  </si>
  <si>
    <t>Mag_Saiga_8Rnd</t>
  </si>
  <si>
    <t>Mag_Saiga_Drum20Rnd</t>
  </si>
  <si>
    <t>Mag_UMP_25Rnd</t>
  </si>
  <si>
    <t>Mag_VSS_10Rnd</t>
  </si>
  <si>
    <t>MakarovIJ70</t>
  </si>
  <si>
    <t>ManSuit_Beige</t>
  </si>
  <si>
    <t>ManSuit_Black</t>
  </si>
  <si>
    <t>ManSuit_Blue</t>
  </si>
  <si>
    <t>ManSuit_Brown</t>
  </si>
  <si>
    <t>ManSuit_DarkGrey</t>
  </si>
  <si>
    <t>ManSuit_Khaki</t>
  </si>
  <si>
    <t>ManSuit_LightGrey</t>
  </si>
  <si>
    <t>ManSuit_White</t>
  </si>
  <si>
    <t>Marmalade</t>
  </si>
  <si>
    <t>Matchbox</t>
  </si>
  <si>
    <t>MedicalScrubsHat_Blue</t>
  </si>
  <si>
    <t>MedicalScrubsHat_Green</t>
  </si>
  <si>
    <t>MedicalScrubsHat_White</t>
  </si>
  <si>
    <t>MedicalScrubsPants_Blue</t>
  </si>
  <si>
    <t>MedicalScrubsPants_Green</t>
  </si>
  <si>
    <t>MedicalScrubsPants_White</t>
  </si>
  <si>
    <t>MedicalScrubsShirt_Blue</t>
  </si>
  <si>
    <t>MedicalScrubsShirt_Green</t>
  </si>
  <si>
    <t>MedicalScrubsShirt_White</t>
  </si>
  <si>
    <t>MediumGasCanister</t>
  </si>
  <si>
    <t>MediumTent</t>
  </si>
  <si>
    <t>Megaphone</t>
  </si>
  <si>
    <t>MetalPlate</t>
  </si>
  <si>
    <t>MetalWire</t>
  </si>
  <si>
    <t>Mich2001Helmet</t>
  </si>
  <si>
    <t>MilitaryBelt</t>
  </si>
  <si>
    <t>MilitaryBeret_CDF</t>
  </si>
  <si>
    <t>MilitaryBeret_ChDKZ</t>
  </si>
  <si>
    <t>MilitaryBeret_NZ</t>
  </si>
  <si>
    <t>MilitaryBeret_Red</t>
  </si>
  <si>
    <t>MilitaryBeret_UN</t>
  </si>
  <si>
    <t>MilitaryBoots_Beige</t>
  </si>
  <si>
    <t>MilitaryBoots_Black</t>
  </si>
  <si>
    <t>MilitaryBoots_Bluerock</t>
  </si>
  <si>
    <t>MilitaryBoots_Brown</t>
  </si>
  <si>
    <t>MilitaryBoots_Redpunk</t>
  </si>
  <si>
    <t>MiniDress_BlueChecker</t>
  </si>
  <si>
    <t>MiniDress_BlueWithDots</t>
  </si>
  <si>
    <t>MiniDress_BrownChecker</t>
  </si>
  <si>
    <t>MiniDress_GreenChecker</t>
  </si>
  <si>
    <t>MiniDress_Pink</t>
  </si>
  <si>
    <t>MiniDress_PinkChecker</t>
  </si>
  <si>
    <t>MiniDress_RedChecker</t>
  </si>
  <si>
    <t>MiniDress_WhiteChecker</t>
  </si>
  <si>
    <t>Morphine</t>
  </si>
  <si>
    <t>Mosin9130</t>
  </si>
  <si>
    <t>Mosin_Bayonet</t>
  </si>
  <si>
    <t>Mosin_Compensator</t>
  </si>
  <si>
    <t>MotoHelmet_Black</t>
  </si>
  <si>
    <t>MotoHelmet_Blue</t>
  </si>
  <si>
    <t>MotoHelmet_Green</t>
  </si>
  <si>
    <t>MotoHelmet_Grey</t>
  </si>
  <si>
    <t>MotoHelmet_Lime</t>
  </si>
  <si>
    <t>MotoHelmet_Red</t>
  </si>
  <si>
    <t>MotoHelmet_White</t>
  </si>
  <si>
    <t>MountainBag_Blue</t>
  </si>
  <si>
    <t>MountainBag_Green</t>
  </si>
  <si>
    <t>MountainBag_Orange</t>
  </si>
  <si>
    <t>MountainBag_Red</t>
  </si>
  <si>
    <t>Mp133Shotgun</t>
  </si>
  <si>
    <t>NBCBootsGray</t>
  </si>
  <si>
    <t>NBCGlovesGray</t>
  </si>
  <si>
    <t>NBCHoodGray</t>
  </si>
  <si>
    <t>NBCJacketGray</t>
  </si>
  <si>
    <t>NBCPantsGray</t>
  </si>
  <si>
    <t>NVGHeadstrap</t>
  </si>
  <si>
    <t>NVGoggles</t>
  </si>
  <si>
    <t>NailBox</t>
  </si>
  <si>
    <t>Netting</t>
  </si>
  <si>
    <t>NioshFaceMask</t>
  </si>
  <si>
    <t>NurseDress_Blue</t>
  </si>
  <si>
    <t>NurseDress_White</t>
  </si>
  <si>
    <t>NylonKnifeSheath</t>
  </si>
  <si>
    <t>OMNOGloves_Brown</t>
  </si>
  <si>
    <t>OMNOGloves_Gray</t>
  </si>
  <si>
    <t>OfficerHat</t>
  </si>
  <si>
    <t>OffroadHatchback</t>
  </si>
  <si>
    <t>OffroadHatchback_Blue</t>
  </si>
  <si>
    <t>OffroadHatchback_White</t>
  </si>
  <si>
    <t>OrienteeringCompass</t>
  </si>
  <si>
    <t>PSO11Optic</t>
  </si>
  <si>
    <t>PSO1Optic</t>
  </si>
  <si>
    <t>PUScopeOptic</t>
  </si>
  <si>
    <t>PainkillerTablets</t>
  </si>
  <si>
    <t>ParamedicJacket_Blue</t>
  </si>
  <si>
    <t>ParamedicJacket_Crimson</t>
  </si>
  <si>
    <t>ParamedicJacket_Green</t>
  </si>
  <si>
    <t>ParamedicPants_Blue</t>
  </si>
  <si>
    <t>ParamedicPants_Crimson</t>
  </si>
  <si>
    <t>ParamedicPants_Green</t>
  </si>
  <si>
    <t>PeachesCan</t>
  </si>
  <si>
    <t>PepperSeedsPack</t>
  </si>
  <si>
    <t>PersonalRadio</t>
  </si>
  <si>
    <t>Pickaxe</t>
  </si>
  <si>
    <t>PigPelt</t>
  </si>
  <si>
    <t>PigSteakMeat</t>
  </si>
  <si>
    <t>PilotkaCap</t>
  </si>
  <si>
    <t>Pipe</t>
  </si>
  <si>
    <t>PistolSuppressor</t>
  </si>
  <si>
    <t>PlateCarrierHolster</t>
  </si>
  <si>
    <t>PlateCarrierPouches</t>
  </si>
  <si>
    <t>PlateCarrierVest</t>
  </si>
  <si>
    <t>Pliers</t>
  </si>
  <si>
    <t>PoliceCap</t>
  </si>
  <si>
    <t>PoliceJacket</t>
  </si>
  <si>
    <t>PoliceJacketOrel</t>
  </si>
  <si>
    <t>PolicePants</t>
  </si>
  <si>
    <t>PolicePantsOrel</t>
  </si>
  <si>
    <t>PoliceVest</t>
  </si>
  <si>
    <t>PortableGasLamp</t>
  </si>
  <si>
    <t>PortableGasStove</t>
  </si>
  <si>
    <t>Pot</t>
  </si>
  <si>
    <t>Potato</t>
  </si>
  <si>
    <t>PowderedMilk</t>
  </si>
  <si>
    <t>PowerGenerator</t>
  </si>
  <si>
    <t>PressVest_Blue</t>
  </si>
  <si>
    <t>PressVest_LightBlue</t>
  </si>
  <si>
    <t>PrisonUniformJacket</t>
  </si>
  <si>
    <t>PrisonUniformPants</t>
  </si>
  <si>
    <t>PrisonerCap</t>
  </si>
  <si>
    <t>PumpkinSeedsPack</t>
  </si>
  <si>
    <t>PurificationTablets</t>
  </si>
  <si>
    <t>QuiltedJacket_Black</t>
  </si>
  <si>
    <t>QuiltedJacket_Blue</t>
  </si>
  <si>
    <t>QuiltedJacket_Green</t>
  </si>
  <si>
    <t>QuiltedJacket_Grey</t>
  </si>
  <si>
    <t>QuiltedJacket_Orange</t>
  </si>
  <si>
    <t>QuiltedJacket_Red</t>
  </si>
  <si>
    <t>QuiltedJacket_Violet</t>
  </si>
  <si>
    <t>QuiltedJacket_Yellow</t>
  </si>
  <si>
    <t>RDG2SmokeGrenade_Black</t>
  </si>
  <si>
    <t>RDG2SmokeGrenade_White</t>
  </si>
  <si>
    <t>RGD5Grenade</t>
  </si>
  <si>
    <t>RadarCap_Black</t>
  </si>
  <si>
    <t>RadarCap_Blue</t>
  </si>
  <si>
    <t>RadarCap_Brown</t>
  </si>
  <si>
    <t>RadarCap_Green</t>
  </si>
  <si>
    <t>RadarCap_Red</t>
  </si>
  <si>
    <t>Raincoat_Black</t>
  </si>
  <si>
    <t>Raincoat_Blue</t>
  </si>
  <si>
    <t>Raincoat_Green</t>
  </si>
  <si>
    <t>Raincoat_Orange</t>
  </si>
  <si>
    <t>Raincoat_Pink</t>
  </si>
  <si>
    <t>Raincoat_Red</t>
  </si>
  <si>
    <t>Raincoat_Yellow</t>
  </si>
  <si>
    <t>Rangefinder</t>
  </si>
  <si>
    <t>ReflexOptic</t>
  </si>
  <si>
    <t>Rice</t>
  </si>
  <si>
    <t>RidersJacket_Black</t>
  </si>
  <si>
    <t>Roadflare</t>
  </si>
  <si>
    <t>Rope</t>
  </si>
  <si>
    <t>SKS</t>
  </si>
  <si>
    <t>SKS_Bayonet</t>
  </si>
  <si>
    <t>SVD</t>
  </si>
  <si>
    <t>Saiga</t>
  </si>
  <si>
    <t>Saiga_Bttstck</t>
  </si>
  <si>
    <t>SalineBag</t>
  </si>
  <si>
    <t>SardinesCan</t>
  </si>
  <si>
    <t>Screwdriver</t>
  </si>
  <si>
    <t>SeaChest</t>
  </si>
  <si>
    <t>Sedan_02</t>
  </si>
  <si>
    <t>Sedan_02_Door_1_1</t>
  </si>
  <si>
    <t>Sedan_02_Door_1_1_Grey</t>
  </si>
  <si>
    <t>Sedan_02_Door_1_1_Red</t>
  </si>
  <si>
    <t>Sedan_02_Door_1_2</t>
  </si>
  <si>
    <t>Sedan_02_Door_1_2_Grey</t>
  </si>
  <si>
    <t>Sedan_02_Door_1_2_Red</t>
  </si>
  <si>
    <t>Sedan_02_Door_2_1</t>
  </si>
  <si>
    <t>Sedan_02_Door_2_1_Grey</t>
  </si>
  <si>
    <t>Sedan_02_Door_2_1_Red</t>
  </si>
  <si>
    <t>Sedan_02_Door_2_2</t>
  </si>
  <si>
    <t>Sedan_02_Door_2_2_Grey</t>
  </si>
  <si>
    <t>Sedan_02_Door_2_2_Red</t>
  </si>
  <si>
    <t>Sedan_02_Grey</t>
  </si>
  <si>
    <t>Sedan_02_Hood</t>
  </si>
  <si>
    <t>Sedan_02_Hood_Grey</t>
  </si>
  <si>
    <t>Sedan_02_Hood_Red</t>
  </si>
  <si>
    <t>Sedan_02_Red</t>
  </si>
  <si>
    <t>Sedan_02_Trunk</t>
  </si>
  <si>
    <t>Sedan_02_Trunk_Grey</t>
  </si>
  <si>
    <t>Sedan_02_Trunk_Red</t>
  </si>
  <si>
    <t>Sedan_02_Wheel</t>
  </si>
  <si>
    <t>SewingKit</t>
  </si>
  <si>
    <t>SheepPelt</t>
  </si>
  <si>
    <t>SheepSteakMeat</t>
  </si>
  <si>
    <t>Shirt_BlueCheck</t>
  </si>
  <si>
    <t>Shirt_BlueCheckBright</t>
  </si>
  <si>
    <t>Shirt_GreenCheck</t>
  </si>
  <si>
    <t>Shirt_PlaneBlack</t>
  </si>
  <si>
    <t>Shirt_RedCheck</t>
  </si>
  <si>
    <t>Shirt_WhiteCheck</t>
  </si>
  <si>
    <t>ShortJeans_Black</t>
  </si>
  <si>
    <t>ShortJeans_Blue</t>
  </si>
  <si>
    <t>ShortJeans_Brown</t>
  </si>
  <si>
    <t>ShortJeans_Darkblue</t>
  </si>
  <si>
    <t>ShortJeans_Green</t>
  </si>
  <si>
    <t>ShortJeans_Red</t>
  </si>
  <si>
    <t>Shovel</t>
  </si>
  <si>
    <t>SkateHelmet_Black</t>
  </si>
  <si>
    <t>SkateHelmet_Blue</t>
  </si>
  <si>
    <t>SkateHelmet_Gray</t>
  </si>
  <si>
    <t>SkateHelmet_Green</t>
  </si>
  <si>
    <t>SkateHelmet_Red</t>
  </si>
  <si>
    <t>Skirt_Blue</t>
  </si>
  <si>
    <t>Skirt_Red</t>
  </si>
  <si>
    <t>Skirt_White</t>
  </si>
  <si>
    <t>Skirt_Yellow</t>
  </si>
  <si>
    <t>SlacksPants_Beige</t>
  </si>
  <si>
    <t>SlacksPants_Black</t>
  </si>
  <si>
    <t>SlacksPants_Blue</t>
  </si>
  <si>
    <t>SlacksPants_Brown</t>
  </si>
  <si>
    <t>SlacksPants_DarkGrey</t>
  </si>
  <si>
    <t>SlacksPants_Khaki</t>
  </si>
  <si>
    <t>SlacksPants_LightGrey</t>
  </si>
  <si>
    <t>SlacksPants_White</t>
  </si>
  <si>
    <t>SledgeHammer</t>
  </si>
  <si>
    <t>SmallGasCanister</t>
  </si>
  <si>
    <t>SmallProtectorCase</t>
  </si>
  <si>
    <t>SmershBag</t>
  </si>
  <si>
    <t>SmershVest</t>
  </si>
  <si>
    <t>Sneakers_Black</t>
  </si>
  <si>
    <t>Sneakers_Gray</t>
  </si>
  <si>
    <t>Sneakers_Green</t>
  </si>
  <si>
    <t>Sneakers_Red</t>
  </si>
  <si>
    <t>Sneakers_White</t>
  </si>
  <si>
    <t>SodaCan_Cola</t>
  </si>
  <si>
    <t>SodaCan_Kvass</t>
  </si>
  <si>
    <t>SodaCan_Pipsi</t>
  </si>
  <si>
    <t>SodaCan_Spite</t>
  </si>
  <si>
    <t>SpaghettiCan</t>
  </si>
  <si>
    <t>SparkPlug</t>
  </si>
  <si>
    <t>SportGlasses_Black</t>
  </si>
  <si>
    <t>SportGlasses_Blue</t>
  </si>
  <si>
    <t>SportGlasses_Green</t>
  </si>
  <si>
    <t>SportGlasses_Orange</t>
  </si>
  <si>
    <t>Spotlight</t>
  </si>
  <si>
    <t>Ssh68Helmet</t>
  </si>
  <si>
    <t>StartKitIV</t>
  </si>
  <si>
    <t>SteakKnife</t>
  </si>
  <si>
    <t>SurgicalGloves_Blue</t>
  </si>
  <si>
    <t>SurgicalGloves_Green</t>
  </si>
  <si>
    <t>SurgicalGloves_LightBlue</t>
  </si>
  <si>
    <t>SurgicalGloves_White</t>
  </si>
  <si>
    <t>SurgicalMask</t>
  </si>
  <si>
    <t>Sweater_Blue</t>
  </si>
  <si>
    <t>Sweater_Gray</t>
  </si>
  <si>
    <t>Sweater_Green</t>
  </si>
  <si>
    <t>Sweater_Red</t>
  </si>
  <si>
    <t>TLRLight</t>
  </si>
  <si>
    <t>TShirt_Beige</t>
  </si>
  <si>
    <t>TShirt_Black</t>
  </si>
  <si>
    <t>TShirt_Blue</t>
  </si>
  <si>
    <t>TShirt_Green</t>
  </si>
  <si>
    <t>TShirt_Grey</t>
  </si>
  <si>
    <t>TShirt_OrangeWhiteStripes</t>
  </si>
  <si>
    <t>TShirt_Red</t>
  </si>
  <si>
    <t>TShirt_RedBlackStripes</t>
  </si>
  <si>
    <t>TShirt_White</t>
  </si>
  <si>
    <t>TTSKOBoots</t>
  </si>
  <si>
    <t>TTSKOPants</t>
  </si>
  <si>
    <t>TTsKOJacket_Camo</t>
  </si>
  <si>
    <t>TacticalBaconCan</t>
  </si>
  <si>
    <t>TacticalGloves_Beige</t>
  </si>
  <si>
    <t>TacticalGloves_Black</t>
  </si>
  <si>
    <t>TacticalGloves_Green</t>
  </si>
  <si>
    <t>TacticalGoggles</t>
  </si>
  <si>
    <t>TacticalShirt_Black</t>
  </si>
  <si>
    <t>TacticalShirt_Grey</t>
  </si>
  <si>
    <t>TacticalShirt_Olive</t>
  </si>
  <si>
    <t>TacticalShirt_Tan</t>
  </si>
  <si>
    <t>TaloonBag_Blue</t>
  </si>
  <si>
    <t>TaloonBag_Green</t>
  </si>
  <si>
    <t>TaloonBag_Orange</t>
  </si>
  <si>
    <t>TaloonBag_Violet</t>
  </si>
  <si>
    <t>TankerHelmet</t>
  </si>
  <si>
    <t>TelnyashkaShirt</t>
  </si>
  <si>
    <t>TetracyclineAntibiotics</t>
  </si>
  <si>
    <t>Thermometer</t>
  </si>
  <si>
    <t>ThickFramesGlasses</t>
  </si>
  <si>
    <t>ThinFramesGlasses</t>
  </si>
  <si>
    <t>TireRepairKit</t>
  </si>
  <si>
    <t>Tomato</t>
  </si>
  <si>
    <t>TomatoSeedsPack</t>
  </si>
  <si>
    <t>TortillaBag</t>
  </si>
  <si>
    <t>TrackSuitJacket_Black</t>
  </si>
  <si>
    <t>TrackSuitJacket_Blue</t>
  </si>
  <si>
    <t>TrackSuitJacket_Green</t>
  </si>
  <si>
    <t>TrackSuitJacket_LightBlue</t>
  </si>
  <si>
    <t>TrackSuitJacket_Red</t>
  </si>
  <si>
    <t>TrackSuitPants_Black</t>
  </si>
  <si>
    <t>TrackSuitPants_Blue</t>
  </si>
  <si>
    <t>TrackSuitPants_Green</t>
  </si>
  <si>
    <t>TrackSuitPants_LightBlue</t>
  </si>
  <si>
    <t>TrackSuitPants_Red</t>
  </si>
  <si>
    <t>TransitBus</t>
  </si>
  <si>
    <t>Tripod</t>
  </si>
  <si>
    <t>TruckBattery</t>
  </si>
  <si>
    <t>TunaCan</t>
  </si>
  <si>
    <t>UKAssVest_Black</t>
  </si>
  <si>
    <t>UKAssVest_Camo</t>
  </si>
  <si>
    <t>UKAssVest_Khaki</t>
  </si>
  <si>
    <t>UKAssVest_Olive</t>
  </si>
  <si>
    <t>UMP45</t>
  </si>
  <si>
    <t>USMCJacket_Desert</t>
  </si>
  <si>
    <t>USMCJacket_Woodland</t>
  </si>
  <si>
    <t>USMCPants_Desert</t>
  </si>
  <si>
    <t>USMCPants_Woodland</t>
  </si>
  <si>
    <t>UniversalLight</t>
  </si>
  <si>
    <t>Ushanka_Black</t>
  </si>
  <si>
    <t>Ushanka_Blue</t>
  </si>
  <si>
    <t>Ushanka_Green</t>
  </si>
  <si>
    <t>V3S_Cargo</t>
  </si>
  <si>
    <t>V3S_Cargo_Blue</t>
  </si>
  <si>
    <t>V3S_Cargo_Grey</t>
  </si>
  <si>
    <t>V3S_Cargo_Orange</t>
  </si>
  <si>
    <t>V3S_Chassis</t>
  </si>
  <si>
    <t>V3S_Chassis_Blue</t>
  </si>
  <si>
    <t>V3S_Chassis_Grey</t>
  </si>
  <si>
    <t>V3S_Chassis_Orange</t>
  </si>
  <si>
    <t>VSS</t>
  </si>
  <si>
    <t>VitaminBottle</t>
  </si>
  <si>
    <t>WaterBottle</t>
  </si>
  <si>
    <t>WaterproofBag_Green</t>
  </si>
  <si>
    <t>WaterproofBag_Orange</t>
  </si>
  <si>
    <t>WaterproofBag_Yellow</t>
  </si>
  <si>
    <t>WeaponCleaningKit</t>
  </si>
  <si>
    <t>WeldingMask</t>
  </si>
  <si>
    <t>Wellies_Black</t>
  </si>
  <si>
    <t>Wellies_Brown</t>
  </si>
  <si>
    <t>Wellies_Green</t>
  </si>
  <si>
    <t>Wellies_Grey</t>
  </si>
  <si>
    <t>Whetstone</t>
  </si>
  <si>
    <t>WildboarPelt</t>
  </si>
  <si>
    <t>Winchester70</t>
  </si>
  <si>
    <t>WolfPelt</t>
  </si>
  <si>
    <t>WolfSteakMeat</t>
  </si>
  <si>
    <t>WomanSuit_Beige</t>
  </si>
  <si>
    <t>WomanSuit_Black</t>
  </si>
  <si>
    <t>WomanSuit_Blue</t>
  </si>
  <si>
    <t>WomanSuit_Brown</t>
  </si>
  <si>
    <t>WomanSuit_DarkGrey</t>
  </si>
  <si>
    <t>WomanSuit_Khaki</t>
  </si>
  <si>
    <t>WomanSuit_LightGrey</t>
  </si>
  <si>
    <t>WomanSuit_White</t>
  </si>
  <si>
    <t>WoodAxe</t>
  </si>
  <si>
    <t>WoolCoat_Beige</t>
  </si>
  <si>
    <t>WoolCoat_Black</t>
  </si>
  <si>
    <t>WoolCoat_BlackCheck</t>
  </si>
  <si>
    <t>WoolCoat_Blue</t>
  </si>
  <si>
    <t>WoolCoat_BlueCheck</t>
  </si>
  <si>
    <t>WoolCoat_BrownCheck</t>
  </si>
  <si>
    <t>WoolCoat_Green</t>
  </si>
  <si>
    <t>WoolCoat_GreyCheck</t>
  </si>
  <si>
    <t>WoolCoat_Red</t>
  </si>
  <si>
    <t>WoolCoat_RedCheck</t>
  </si>
  <si>
    <t>WorkingBoots_Beige</t>
  </si>
  <si>
    <t>WorkingBoots_Brown</t>
  </si>
  <si>
    <t>WorkingBoots_Green</t>
  </si>
  <si>
    <t>WorkingBoots_Grey</t>
  </si>
  <si>
    <t>WorkingBoots_Yellow</t>
  </si>
  <si>
    <t>WorkingGloves_Beige</t>
  </si>
  <si>
    <t>WorkingGloves_Black</t>
  </si>
  <si>
    <t>WorkingGloves_Brown</t>
  </si>
  <si>
    <t>WorkingGloves_Yellow</t>
  </si>
  <si>
    <t>Wrench</t>
  </si>
  <si>
    <t>XmasLights</t>
  </si>
  <si>
    <t>ZSh3PilotHelmet</t>
  </si>
  <si>
    <t>ZmijovkaCap_Black</t>
  </si>
  <si>
    <t>ZmijovkaCap_Blue</t>
  </si>
  <si>
    <t>ZmijovkaCap_Brown</t>
  </si>
  <si>
    <t>ZmijovkaCap_Green</t>
  </si>
  <si>
    <t>ZmijovkaCap_Red</t>
  </si>
  <si>
    <t>Zucchini</t>
  </si>
  <si>
    <t>ZucchiniSeedsPack</t>
  </si>
  <si>
    <t>Blue_Leggings</t>
  </si>
  <si>
    <t>Latex_Leggings</t>
  </si>
  <si>
    <t>Adidas_Leggings</t>
  </si>
  <si>
    <t>Red_Leggings</t>
  </si>
  <si>
    <t>Purple_Leggings</t>
  </si>
  <si>
    <t>White_Leggings</t>
  </si>
  <si>
    <t>PMK_5A_Gas_Mask</t>
  </si>
  <si>
    <t>Poncho_Red_Checkered</t>
  </si>
  <si>
    <t>Poncho_Blue_Checkered</t>
  </si>
  <si>
    <t>Poncho_Yellow_Checkered</t>
  </si>
  <si>
    <t>Poncho_Brown</t>
  </si>
  <si>
    <t>Poncho_Green</t>
  </si>
  <si>
    <t>Poncho_White</t>
  </si>
  <si>
    <t>Poncho_Red</t>
  </si>
  <si>
    <t>Poncho_Black</t>
  </si>
  <si>
    <t>Poncho_BlackAndWhite</t>
  </si>
  <si>
    <t>Poncho_BlackAndWhite2</t>
  </si>
  <si>
    <t>Fingerless_Gloves</t>
  </si>
  <si>
    <t>Military_Sweater</t>
  </si>
  <si>
    <t>Military_Sweater_Red</t>
  </si>
  <si>
    <t>Military_Sweater_Blue</t>
  </si>
  <si>
    <t>Military_Sweater_Green</t>
  </si>
  <si>
    <t>Military_Sweater_Black</t>
  </si>
  <si>
    <t>Military_Sweater_White</t>
  </si>
  <si>
    <t>High_Knee_Sneakers</t>
  </si>
  <si>
    <t>Shemagh_Brown</t>
  </si>
  <si>
    <t>Shemagh_Green</t>
  </si>
  <si>
    <t>Shemagh_Red</t>
  </si>
  <si>
    <t>Shemagh_White</t>
  </si>
  <si>
    <t>Layered_Shirt_Base</t>
  </si>
  <si>
    <t>Layered_Shirt_White</t>
  </si>
  <si>
    <t>Layered_Shirt_Cheburashka</t>
  </si>
  <si>
    <t>alp_radboxtablets</t>
  </si>
  <si>
    <t>alp_geiger_counter</t>
  </si>
  <si>
    <t>alp_NBCJacketCamo</t>
  </si>
  <si>
    <t>alp_NBCPantsCamo</t>
  </si>
  <si>
    <t>alp_NBCHoodCamo</t>
  </si>
  <si>
    <t>alp_NBCBootsCamo</t>
  </si>
  <si>
    <t>alp_NBCGlovesCamo</t>
  </si>
  <si>
    <t>alp_GasMaskCamo</t>
  </si>
  <si>
    <t>alp_CoinRare1</t>
  </si>
  <si>
    <t>dynamitestick_Mung</t>
  </si>
  <si>
    <t>stielhandgranate_mung</t>
  </si>
  <si>
    <t>Leupold_mung</t>
  </si>
  <si>
    <t>bowieknife_mung</t>
  </si>
  <si>
    <t>katana_Mung</t>
  </si>
  <si>
    <t>rifleholster_tan_mung</t>
  </si>
  <si>
    <t>rifleholster_TTsKO_mung</t>
  </si>
  <si>
    <t>rifleholster_leatherengraved_mung</t>
  </si>
  <si>
    <t>Hikingbagmung_yellow</t>
  </si>
  <si>
    <t>Hikingbagmung_red</t>
  </si>
  <si>
    <t>Hikingbagmung_blue</t>
  </si>
  <si>
    <t>Hikingbagmung_green</t>
  </si>
  <si>
    <t>Hikingbagmung_black</t>
  </si>
  <si>
    <t>Hikingbagmung_camo</t>
  </si>
  <si>
    <t>bag_6B38_camo_mung</t>
  </si>
  <si>
    <t>bag_6B38_black_mung</t>
  </si>
  <si>
    <t>bag_6B38_LETO_mung</t>
  </si>
  <si>
    <t>stalker_gasmask_black_mung</t>
  </si>
  <si>
    <t>lebedev_PL15_mung</t>
  </si>
  <si>
    <t>Gewehr43_mung</t>
  </si>
  <si>
    <t>Mag_gewehr43_10Rnd_mung</t>
  </si>
  <si>
    <t>csmcmillan_mung</t>
  </si>
  <si>
    <t>Mag_cs5_10Rnd_mung</t>
  </si>
  <si>
    <t>hardigg_Mung</t>
  </si>
  <si>
    <t>hardigg2_Mung</t>
  </si>
  <si>
    <t>hardigg2_Mung_camo</t>
  </si>
  <si>
    <t>hardigg3_mung</t>
  </si>
  <si>
    <t>simplebackpack_blue_mung</t>
  </si>
  <si>
    <t>simplebackpack_camoblack_mung</t>
  </si>
  <si>
    <t>simplebackpack_green_mung</t>
  </si>
  <si>
    <t>simplebackpack_redpink_mung</t>
  </si>
  <si>
    <t>simplebackpack_redyellow_mung</t>
  </si>
  <si>
    <t>ballgrill_mung</t>
  </si>
  <si>
    <t>sherlockpipe_mung</t>
  </si>
  <si>
    <t>joint_mung</t>
  </si>
  <si>
    <t>Clawhammer_mung</t>
  </si>
  <si>
    <t>Vesuri_mung</t>
  </si>
  <si>
    <t>fannypack_pink_mung</t>
  </si>
  <si>
    <t>fannypack_black_mung</t>
  </si>
  <si>
    <t>fannypack_camo_mung</t>
  </si>
  <si>
    <t>fannypack_multi_mung</t>
  </si>
  <si>
    <t>kv5_mung</t>
  </si>
  <si>
    <t>mag3_gasmask_mung</t>
  </si>
  <si>
    <t>maglite_mung</t>
  </si>
  <si>
    <t>oillamp_mung</t>
  </si>
  <si>
    <t>Mag_lebedev_PL15_16Rnd</t>
  </si>
  <si>
    <t>mcmillan_buttstock</t>
  </si>
  <si>
    <t>BBP_Cement</t>
  </si>
  <si>
    <t>BBP_Concrete_Brick_Pile</t>
  </si>
  <si>
    <t>BBP_Tape_Measure</t>
  </si>
  <si>
    <t>BBP_Xmas_Tree</t>
  </si>
  <si>
    <t>BBP_Painting_1</t>
  </si>
  <si>
    <t>BBP_Painting_2</t>
  </si>
  <si>
    <t>BBP_Letter_Large_A</t>
  </si>
  <si>
    <t>BBP_Letter_Large_B</t>
  </si>
  <si>
    <t>BBP_Letter_Large_C</t>
  </si>
  <si>
    <t>BBP_Letter_Large_D</t>
  </si>
  <si>
    <t>BBP_Letter_Large_E</t>
  </si>
  <si>
    <t>BBP_Letter_Large_F</t>
  </si>
  <si>
    <t>BBP_Letter_Large_G</t>
  </si>
  <si>
    <t>BBP_Letter_Large_H</t>
  </si>
  <si>
    <t>BBP_Letter_Large_I</t>
  </si>
  <si>
    <t>BBP_Letter_Large_J</t>
  </si>
  <si>
    <t>BBP_Letter_Large_K</t>
  </si>
  <si>
    <t>BBP_Letter_Large_L</t>
  </si>
  <si>
    <t>BBP_Letter_Large_M</t>
  </si>
  <si>
    <t>BBP_Letter_Large_N</t>
  </si>
  <si>
    <t>BBP_Letter_Large_O</t>
  </si>
  <si>
    <t>BBP_Letter_Large_P</t>
  </si>
  <si>
    <t>BBP_Letter_Large_Q</t>
  </si>
  <si>
    <t>BBP_Letter_Large_R</t>
  </si>
  <si>
    <t>BBP_Letter_Large_S</t>
  </si>
  <si>
    <t>BBP_Letter_Large_T</t>
  </si>
  <si>
    <t>BBP_Letter_Large_U</t>
  </si>
  <si>
    <t>BBP_Letter_Large_V</t>
  </si>
  <si>
    <t>BBP_Letter_Large_W</t>
  </si>
  <si>
    <t>BBP_Letter_Large_X</t>
  </si>
  <si>
    <t>BBP_Letter_Large_Y</t>
  </si>
  <si>
    <t>BBP_Letter_Large_Z</t>
  </si>
  <si>
    <t>BBP_MagnetBox</t>
  </si>
  <si>
    <t>BBP_Old_Lamp</t>
  </si>
  <si>
    <t>BBP_Floor_Lamp</t>
  </si>
  <si>
    <t>BBP_Mortar_Mix</t>
  </si>
  <si>
    <t>BBP_Golf</t>
  </si>
  <si>
    <t>BBP_Gang_Plug</t>
  </si>
  <si>
    <t>BBP_Solar_PanelKit</t>
  </si>
  <si>
    <t>BBP_Carpet</t>
  </si>
  <si>
    <t>BBP_Wallpaper</t>
  </si>
  <si>
    <t>BBP_BedKit</t>
  </si>
  <si>
    <t>BBP_Bedding</t>
  </si>
  <si>
    <t>BBP_Step_LadderKit</t>
  </si>
  <si>
    <t>BBP_Plaster</t>
  </si>
  <si>
    <t>CrSk_Land_Rover_Defender_110</t>
  </si>
  <si>
    <t>CrSk_Land_Rover_Defender_110_Green</t>
  </si>
  <si>
    <t>CrSk_Land_Rover_Defender_110_UN</t>
  </si>
  <si>
    <t>Defender110_dver_1_1</t>
  </si>
  <si>
    <t>Defender110_dver_2_1</t>
  </si>
  <si>
    <t>Defender110_dver_1_2</t>
  </si>
  <si>
    <t>Defender110_dver_2_2</t>
  </si>
  <si>
    <t>Defender110_dver_1_1_Green</t>
  </si>
  <si>
    <t>Defender110_dver_2_1_Green</t>
  </si>
  <si>
    <t>Defender110_dver_1_2_Green</t>
  </si>
  <si>
    <t>Defender110_dver_2_2_Green</t>
  </si>
  <si>
    <t>Defender110_dver_1_1_UN</t>
  </si>
  <si>
    <t>Defender110_dver_2_1_UN</t>
  </si>
  <si>
    <t>Defender110_dver_1_2_UN</t>
  </si>
  <si>
    <t>Defender110_dver_2_2_UN</t>
  </si>
  <si>
    <t>Defender110_kapot</t>
  </si>
  <si>
    <t>Defender110_kapot_Green</t>
  </si>
  <si>
    <t>Defender110_kapot_UN</t>
  </si>
  <si>
    <t>Defender110_bagazhnik</t>
  </si>
  <si>
    <t>Defender110_bagazhnik_Green</t>
  </si>
  <si>
    <t>Defender110_bagazhnik_UN</t>
  </si>
  <si>
    <t>Defender110_koleso</t>
  </si>
  <si>
    <t>Gerph_Zil130</t>
  </si>
  <si>
    <t>Zil130Wheel 2x</t>
  </si>
  <si>
    <t>Zil130WheelRear 2x</t>
  </si>
  <si>
    <t>Zil130Doors_Driver</t>
  </si>
  <si>
    <t>Zil130Doors_CoDriver</t>
  </si>
  <si>
    <t>Zil130_Hood</t>
  </si>
  <si>
    <t>Zil130_Tailgate</t>
  </si>
  <si>
    <t>CodeLock</t>
  </si>
  <si>
    <t>alp_Anabolic</t>
  </si>
  <si>
    <t>Hikingbagmung_white</t>
  </si>
  <si>
    <t>Hikingbagmung_snow</t>
  </si>
  <si>
    <t>rifleholster_snow_mung</t>
  </si>
  <si>
    <t>bag_6B38_Snow_mung</t>
  </si>
  <si>
    <t>stalker_gasmask_white_mung</t>
  </si>
  <si>
    <t>WE_DesertEagle</t>
  </si>
  <si>
    <t>WE_FiveSeven</t>
  </si>
  <si>
    <t>WE_M9</t>
  </si>
  <si>
    <t>WE_HoneyBadger</t>
  </si>
  <si>
    <t>WE_RK92</t>
  </si>
  <si>
    <t>WE_STG44</t>
  </si>
  <si>
    <t>WE_PPSH41</t>
  </si>
  <si>
    <t>WE_M14</t>
  </si>
  <si>
    <t>WE_M24A3</t>
  </si>
  <si>
    <t>WE_PSG1</t>
  </si>
  <si>
    <t>WE_PaintThinner</t>
  </si>
  <si>
    <t>&lt;type name="ACOGOptic"&gt;</t>
  </si>
  <si>
    <t>&lt;type name="AK101"&gt;</t>
  </si>
  <si>
    <t>&lt;type name="AK101_Black"&gt;</t>
  </si>
  <si>
    <t>&lt;type name="AK101_Green"&gt;</t>
  </si>
  <si>
    <t>&lt;type name="AK74"&gt;</t>
  </si>
  <si>
    <t>&lt;type name="AK74_Black"&gt;</t>
  </si>
  <si>
    <t>&lt;type name="AK74_Green"&gt;</t>
  </si>
  <si>
    <t>&lt;type name="AK74_Hndgrd"&gt;</t>
  </si>
  <si>
    <t>&lt;type name="AK74_WoodBttstck"&gt;</t>
  </si>
  <si>
    <t>&lt;type name="AKM"&gt;</t>
  </si>
  <si>
    <t>&lt;type name="AKS74U"&gt;</t>
  </si>
  <si>
    <t>&lt;type name="AKS74U_Black"&gt;</t>
  </si>
  <si>
    <t>&lt;type name="AKS74U_Bttstck"&gt;</t>
  </si>
  <si>
    <t>&lt;type name="AKS74U_Green"&gt;</t>
  </si>
  <si>
    <t>&lt;type name="AK_Bayonet"&gt;</t>
  </si>
  <si>
    <t>&lt;type name="AK_FoldingBttstck"&gt;</t>
  </si>
  <si>
    <t>&lt;type name="AK_FoldingBttstck_Black"&gt;</t>
  </si>
  <si>
    <t>&lt;type name="AK_FoldingBttstck_Green"&gt;</t>
  </si>
  <si>
    <t>&lt;type name="AK_PlasticBttstck"&gt;</t>
  </si>
  <si>
    <t>&lt;type name="AK_PlasticBttstck_Black"&gt;</t>
  </si>
  <si>
    <t>&lt;type name="AK_PlasticBttstck_Green"&gt;</t>
  </si>
  <si>
    <t>&lt;type name="AK_PlasticHndgrd"&gt;</t>
  </si>
  <si>
    <t>&lt;type name="AK_RailHndgrd"&gt;</t>
  </si>
  <si>
    <t>&lt;type name="AK_RailHndgrd_Black"&gt;</t>
  </si>
  <si>
    <t>&lt;type name="AK_RailHndgrd_Green"&gt;</t>
  </si>
  <si>
    <t>&lt;type name="AK_Suppressor"&gt;</t>
  </si>
  <si>
    <t>&lt;type name="AK_WoodBttstck"&gt;</t>
  </si>
  <si>
    <t>&lt;type name="AK_WoodBttstck_Black"&gt;</t>
  </si>
  <si>
    <t>&lt;type name="AK_WoodBttstck_Camo"&gt;</t>
  </si>
  <si>
    <t>&lt;type name="AK_WoodHndgrd"&gt;</t>
  </si>
  <si>
    <t>&lt;type name="AK_WoodHndgrd_Black"&gt;</t>
  </si>
  <si>
    <t>&lt;type name="AK_WoodHndgrd_Camo"&gt;</t>
  </si>
  <si>
    <t>&lt;type name="AgaricusMushroom"&gt;</t>
  </si>
  <si>
    <t>&lt;type name="AliceBag_Black"&gt;</t>
  </si>
  <si>
    <t>&lt;type name="AliceBag_Camo"&gt;</t>
  </si>
  <si>
    <t>&lt;type name="AliceBag_Green"&gt;</t>
  </si>
  <si>
    <t>&lt;type name="AmmoBox"&gt;</t>
  </si>
  <si>
    <t>&lt;type name="AmmoBox_12gaSlug_10Rnd"&gt;</t>
  </si>
  <si>
    <t>&lt;type name="AmmoBox_22_50Rnd"&gt;</t>
  </si>
  <si>
    <t>&lt;type name="AmmoBox_308WinTracer_20Rnd"&gt;</t>
  </si>
  <si>
    <t>&lt;type name="AmmoBox_308Win_20Rnd"&gt;</t>
  </si>
  <si>
    <t>&lt;type name="AmmoBox_545x39Tracer_20Rnd"&gt;</t>
  </si>
  <si>
    <t>&lt;type name="AmmoBox_545x39_20Rnd"&gt;</t>
  </si>
  <si>
    <t>&lt;type name="AmmoBox_556x45Tracer_20Rnd"&gt;</t>
  </si>
  <si>
    <t>&lt;type name="AmmoBox_556x45_20Rnd"&gt;</t>
  </si>
  <si>
    <t>&lt;type name="AmmoBox_762x39Tracer_20Rnd"&gt;</t>
  </si>
  <si>
    <t>&lt;type name="AmmoBox_762x39_20Rnd"&gt;</t>
  </si>
  <si>
    <t>&lt;type name="AmmoBox_762x54Tracer_20Rnd"&gt;</t>
  </si>
  <si>
    <t>&lt;type name="AmmoBox_762x54_20Rnd"&gt;</t>
  </si>
  <si>
    <t>&lt;type name="AmmoBox_9x39AP_20Rnd"&gt;</t>
  </si>
  <si>
    <t>&lt;type name="AmmoBox_9x39_20Rnd"&gt;</t>
  </si>
  <si>
    <t>&lt;type name="Ammo_12gaPellets"&gt;</t>
  </si>
  <si>
    <t>&lt;type name="Ammo_12gaSlug"&gt;</t>
  </si>
  <si>
    <t>&lt;type name="Ammo_22"&gt;</t>
  </si>
  <si>
    <t>&lt;type name="Ammo_308Win"&gt;</t>
  </si>
  <si>
    <t>&lt;quantmin&gt;10&lt;/quantmin&gt;</t>
  </si>
  <si>
    <t>&lt;type name="Ammo_308WinTracer"&gt;</t>
  </si>
  <si>
    <t>&lt;quantmax&gt;50&lt;/quantmax&gt;</t>
  </si>
  <si>
    <t>&lt;type name="Ammo_380"&gt;</t>
  </si>
  <si>
    <t>&lt;type name="Ammo_45ACP"&gt;</t>
  </si>
  <si>
    <t>&lt;type name="Ammo_545x39"&gt;</t>
  </si>
  <si>
    <t>&lt;type name="Ammo_545x39Tracer"&gt;</t>
  </si>
  <si>
    <t>&lt;type name="Ammo_556x45"&gt;</t>
  </si>
  <si>
    <t>&lt;type name="Ammo_556x45Tracer"&gt;</t>
  </si>
  <si>
    <t>&lt;type name="Ammo_762x39"&gt;</t>
  </si>
  <si>
    <t>&lt;type name="Ammo_762x39Tracer"&gt;</t>
  </si>
  <si>
    <t>&lt;type name="Ammo_762x54"&gt;</t>
  </si>
  <si>
    <t>&lt;type name="Ammo_762x54Tracer"&gt;</t>
  </si>
  <si>
    <t>&lt;type name="Ammo_9x19"&gt;</t>
  </si>
  <si>
    <t>&lt;type name="Ammo_9x39"&gt;</t>
  </si>
  <si>
    <t>&lt;type name="Ammo_9x39AP"&gt;</t>
  </si>
  <si>
    <t>&lt;type name="Animal_BosTaurusF_Brown"&gt;</t>
  </si>
  <si>
    <t>&lt;type name="Animal_BosTaurusF_Spotted"&gt;</t>
  </si>
  <si>
    <t>&lt;type name="Animal_BosTaurusF_White"&gt;</t>
  </si>
  <si>
    <t>&lt;type name="Animal_BosTaurus_Brown"&gt;</t>
  </si>
  <si>
    <t>&lt;type name="Animal_BosTaurus_Spotted"&gt;</t>
  </si>
  <si>
    <t>&lt;type name="Animal_BosTaurus_White"&gt;</t>
  </si>
  <si>
    <t>&lt;type name="Animal_CanisLupus_Grey"&gt;</t>
  </si>
  <si>
    <t>&lt;type name="Animal_CanisLupus_White"&gt;</t>
  </si>
  <si>
    <t>&lt;type name="Animal_CapraHircusF"&gt;</t>
  </si>
  <si>
    <t>&lt;type name="Animal_CapraHircus_Black"&gt;</t>
  </si>
  <si>
    <t>&lt;type name="Animal_CapraHircus_Brown"&gt;</t>
  </si>
  <si>
    <t>&lt;type name="Animal_CapraHircus_White"&gt;</t>
  </si>
  <si>
    <t>&lt;type name="Animal_CapreolusCapreolus"&gt;</t>
  </si>
  <si>
    <t>&lt;type name="Animal_CapreolusCapreolusF"&gt;</t>
  </si>
  <si>
    <t>&lt;type name="Animal_CervusElaphus"&gt;</t>
  </si>
  <si>
    <t>&lt;type name="Animal_CervusElaphusF"&gt;</t>
  </si>
  <si>
    <t>&lt;type name="Animal_GallusGallusDomesticus"&gt;</t>
  </si>
  <si>
    <t>&lt;type name="Animal_GallusGallusDomesticusF_Brown"&gt;</t>
  </si>
  <si>
    <t>&lt;type name="Animal_GallusGallusDomesticusF_Spotted"&gt;</t>
  </si>
  <si>
    <t>&lt;type name="Animal_GallusGallusDomesticusF_White"&gt;</t>
  </si>
  <si>
    <t>&lt;type name="Animal_OvisAries"&gt;</t>
  </si>
  <si>
    <t>&lt;type name="Animal_OvisAriesF"&gt;</t>
  </si>
  <si>
    <t>&lt;type name="Animal_SusDomesticus"&gt;</t>
  </si>
  <si>
    <t>&lt;type name="Animal_SusScrofa"&gt;</t>
  </si>
  <si>
    <t>&lt;type name="Animal_UrsusArctos"&gt;</t>
  </si>
  <si>
    <t>&lt;type name="AntiPestsSpray"&gt;</t>
  </si>
  <si>
    <t>&lt;type name="Apple"&gt;</t>
  </si>
  <si>
    <t>&lt;type name="Armband_Black"&gt;</t>
  </si>
  <si>
    <t>&lt;type name="Armband_Blue"&gt;</t>
  </si>
  <si>
    <t>&lt;type name="Armband_Green"&gt;</t>
  </si>
  <si>
    <t>&lt;type name="Armband_Orange"&gt;</t>
  </si>
  <si>
    <t>&lt;type name="Armband_Pink"&gt;</t>
  </si>
  <si>
    <t>&lt;type name="Armband_Red"&gt;</t>
  </si>
  <si>
    <t>&lt;type name="Armband_White"&gt;</t>
  </si>
  <si>
    <t>&lt;type name="Armband_Yellow"&gt;</t>
  </si>
  <si>
    <t>&lt;type name="AssaultBag_Black"&gt;</t>
  </si>
  <si>
    <t>&lt;type name="AssaultBag_Green"&gt;</t>
  </si>
  <si>
    <t>&lt;type name="AssaultBag_Ttsko"&gt;</t>
  </si>
  <si>
    <t>&lt;type name="AthleticShoes_Black"&gt;</t>
  </si>
  <si>
    <t>&lt;type name="AthleticShoes_Blue"&gt;</t>
  </si>
  <si>
    <t>&lt;type name="AthleticShoes_Brown"&gt;</t>
  </si>
  <si>
    <t>&lt;type name="AthleticShoes_Green"&gt;</t>
  </si>
  <si>
    <t>&lt;type name="AthleticShoes_Grey"&gt;</t>
  </si>
  <si>
    <t>&lt;type name="AuriculariaMushroom"&gt;</t>
  </si>
  <si>
    <t>&lt;type name="AviatorGlasses"&gt;</t>
  </si>
  <si>
    <t>&lt;type name="B95"&gt;</t>
  </si>
  <si>
    <t>&lt;type name="BDUJacket"&gt;</t>
  </si>
  <si>
    <t>&lt;type name="BDUPants"&gt;</t>
  </si>
  <si>
    <t>&lt;type name="BUISOptic"&gt;</t>
  </si>
  <si>
    <t>&lt;type name="Bait"&gt;</t>
  </si>
  <si>
    <t>&lt;type name="BakedBeansCan"&gt;</t>
  </si>
  <si>
    <t>&lt;type name="BakedBeansCan_Opened"&gt;</t>
  </si>
  <si>
    <t>&lt;type name="Balaclava3Holes_Beige"&gt;</t>
  </si>
  <si>
    <t>&lt;type name="Balaclava3Holes_Black"&gt;</t>
  </si>
  <si>
    <t>&lt;type name="Balaclava3Holes_Blue"&gt;</t>
  </si>
  <si>
    <t>&lt;type name="Balaclava3Holes_Green"&gt;</t>
  </si>
  <si>
    <t>&lt;type name="BalaclavaMask_Beige"&gt;</t>
  </si>
  <si>
    <t>&lt;type name="BalaclavaMask_Black"&gt;</t>
  </si>
  <si>
    <t>&lt;type name="BalaclavaMask_Blackskull"&gt;</t>
  </si>
  <si>
    <t>&lt;type name="BalaclavaMask_Blue"&gt;</t>
  </si>
  <si>
    <t>&lt;type name="BalaclavaMask_Green"&gt;</t>
  </si>
  <si>
    <t>&lt;type name="BalaclavaMask_Pink"&gt;</t>
  </si>
  <si>
    <t>&lt;type name="BalaclavaMask_White"&gt;</t>
  </si>
  <si>
    <t>&lt;type name="BallisticHelmet_Black"&gt;</t>
  </si>
  <si>
    <t>&lt;type name="BallisticHelmet_Green"&gt;</t>
  </si>
  <si>
    <t>&lt;type name="BallisticHelmet_UN"&gt;</t>
  </si>
  <si>
    <t>&lt;type name="Bandage"&gt;</t>
  </si>
  <si>
    <t>&lt;type name="BandageDressing"&gt;</t>
  </si>
  <si>
    <t>&lt;type name="BandanaMask_BlackPattern"&gt;</t>
  </si>
  <si>
    <t>&lt;type name="BandanaMask_CamoPattern"&gt;</t>
  </si>
  <si>
    <t>&lt;type name="BandanaMask_GreenPattern"&gt;</t>
  </si>
  <si>
    <t>&lt;type name="BandanaMask_PolkaPattern"&gt;</t>
  </si>
  <si>
    <t>&lt;type name="BandanaMask_RedPattern"&gt;</t>
  </si>
  <si>
    <t>&lt;type name="Bandana_Blackpattern"&gt;</t>
  </si>
  <si>
    <t>&lt;type name="Bandana_Camopattern"&gt;</t>
  </si>
  <si>
    <t>&lt;type name="Bandana_Greenpattern"&gt;</t>
  </si>
  <si>
    <t>&lt;type name="Bandana_Polkapattern"&gt;</t>
  </si>
  <si>
    <t>&lt;type name="Bandana_Redpattern"&gt;</t>
  </si>
  <si>
    <t>&lt;type name="BarbedWire"&gt;</t>
  </si>
  <si>
    <t>&lt;type name="Bark_Birch"&gt;</t>
  </si>
  <si>
    <t>&lt;type name="Bark_Oak"&gt;</t>
  </si>
  <si>
    <t>&lt;type name="BarrelHoles_Blue"&gt;</t>
  </si>
  <si>
    <t>&lt;type name="BarrelHoles_Green"&gt;</t>
  </si>
  <si>
    <t>&lt;type name="BarrelHoles_Red"&gt;</t>
  </si>
  <si>
    <t>&lt;type name="BarrelHoles_Yellow"&gt;</t>
  </si>
  <si>
    <t>&lt;type name="Barrel_Blue"&gt;</t>
  </si>
  <si>
    <t>&lt;flags count_in_cargo="1" count_in_hoarder="0" count_in_map="1" count_in_player="1" crafted="0" deloot="0"/&gt;</t>
  </si>
  <si>
    <t>&lt;type name="Barrel_Green"&gt;</t>
  </si>
  <si>
    <t>&lt;type name="Barrel_Red"&gt;</t>
  </si>
  <si>
    <t>&lt;type name="Barrel_Yellow"&gt;</t>
  </si>
  <si>
    <t>&lt;type name="BaseRadio"&gt;</t>
  </si>
  <si>
    <t>&lt;type name="BaseballBat"&gt;</t>
  </si>
  <si>
    <t>&lt;type name="BaseballCap_Beige"&gt;</t>
  </si>
  <si>
    <t>&lt;type name="BaseballCap_Black"&gt;</t>
  </si>
  <si>
    <t>&lt;type name="BaseballCap_Blue"&gt;</t>
  </si>
  <si>
    <t>&lt;type name="BaseballCap_CMMG_Black"&gt;</t>
  </si>
  <si>
    <t>&lt;type name="BaseballCap_CMMG_Pink"&gt;</t>
  </si>
  <si>
    <t>&lt;type name="BaseballCap_Camo"&gt;</t>
  </si>
  <si>
    <t>&lt;type name="BaseballCap_Olive"&gt;</t>
  </si>
  <si>
    <t>&lt;type name="BaseballCap_Pink"&gt;</t>
  </si>
  <si>
    <t>&lt;type name="BaseballCap_Red"&gt;</t>
  </si>
  <si>
    <t>&lt;type name="Battery9V"&gt;</t>
  </si>
  <si>
    <t>&lt;type name="BatteryCharger"&gt;</t>
  </si>
  <si>
    <t>&lt;type name="BeanieHat_Beige"&gt;</t>
  </si>
  <si>
    <t>&lt;type name="BeanieHat_Black"&gt;</t>
  </si>
  <si>
    <t>&lt;type name="BeanieHat_Blue"&gt;</t>
  </si>
  <si>
    <t>&lt;type name="BeanieHat_Brown"&gt;</t>
  </si>
  <si>
    <t>&lt;type name="BeanieHat_Green"&gt;</t>
  </si>
  <si>
    <t>&lt;type name="BeanieHat_Grey"&gt;</t>
  </si>
  <si>
    <t>&lt;type name="BeanieHat_Pink"&gt;</t>
  </si>
  <si>
    <t>&lt;type name="BeanieHat_Red"&gt;</t>
  </si>
  <si>
    <t>&lt;type name="BearTrap"&gt;</t>
  </si>
  <si>
    <t>&lt;type name="Bear_Beige"&gt;</t>
  </si>
  <si>
    <t>&lt;type name="Bear_Dark"&gt;</t>
  </si>
  <si>
    <t>&lt;type name="Bear_Pink"&gt;</t>
  </si>
  <si>
    <t>&lt;type name="Bear_White"&gt;</t>
  </si>
  <si>
    <t>&lt;type name="Binoculars"&gt;</t>
  </si>
  <si>
    <t>&lt;type name="BloodBagEmpty"&gt;</t>
  </si>
  <si>
    <t>&lt;type name="BloodBagFull"&gt;</t>
  </si>
  <si>
    <t>&lt;type name="BloodBagIV"&gt;</t>
  </si>
  <si>
    <t>&lt;type name="BloodTestKit"&gt;</t>
  </si>
  <si>
    <t>&lt;type name="Blouse_Blue"&gt;</t>
  </si>
  <si>
    <t>&lt;type name="Blouse_Green"&gt;</t>
  </si>
  <si>
    <t>&lt;type name="Blouse_Violet"&gt;</t>
  </si>
  <si>
    <t>&lt;type name="Blouse_White"&gt;</t>
  </si>
  <si>
    <t>&lt;type name="BoarSteakMeat"&gt;</t>
  </si>
  <si>
    <t>&lt;type name="BoletusMushroom"&gt;</t>
  </si>
  <si>
    <t>&lt;type name="BomberJacket_Black"&gt;</t>
  </si>
  <si>
    <t>&lt;type name="BomberJacket_Blue"&gt;</t>
  </si>
  <si>
    <t>&lt;type name="BomberJacket_Brown"&gt;</t>
  </si>
  <si>
    <t>&lt;type name="BomberJacket_Grey"&gt;</t>
  </si>
  <si>
    <t>&lt;type name="BomberJacket_Maroon"&gt;</t>
  </si>
  <si>
    <t>&lt;type name="BomberJacket_Olive"&gt;</t>
  </si>
  <si>
    <t>&lt;type name="BomberJacket_SkyBlue"&gt;</t>
  </si>
  <si>
    <t>&lt;type name="Bone"&gt;</t>
  </si>
  <si>
    <t>&lt;type name="BoneBait"&gt;</t>
  </si>
  <si>
    <t>&lt;type name="BoneHook"&gt;</t>
  </si>
  <si>
    <t>&lt;type name="BoonieHat_Black"&gt;</t>
  </si>
  <si>
    <t>&lt;type name="BoonieHat_Blue"&gt;</t>
  </si>
  <si>
    <t>&lt;type name="BoonieHat_DPM"&gt;</t>
  </si>
  <si>
    <t>&lt;type name="BoonieHat_Dubok"&gt;</t>
  </si>
  <si>
    <t>&lt;type name="BoonieHat_Flecktran"&gt;</t>
  </si>
  <si>
    <t>&lt;type name="BoonieHat_NavyBlue"&gt;</t>
  </si>
  <si>
    <t>&lt;usage name="Coast"/&gt;</t>
  </si>
  <si>
    <t>&lt;type name="BoonieHat_Olive"&gt;</t>
  </si>
  <si>
    <t>&lt;type name="BoonieHat_Orange"&gt;</t>
  </si>
  <si>
    <t>&lt;type name="BoonieHat_Red"&gt;</t>
  </si>
  <si>
    <t>&lt;type name="BoonieHat_Tan"&gt;</t>
  </si>
  <si>
    <t>&lt;type name="BoxCerealCrunchin"&gt;</t>
  </si>
  <si>
    <t>&lt;type name="BrassKnuckles_Dull"&gt;</t>
  </si>
  <si>
    <t>&lt;type name="BrassKnuckles_Shiny"&gt;</t>
  </si>
  <si>
    <t>&lt;type name="Breeches_Beetcheck"&gt;</t>
  </si>
  <si>
    <t>&lt;type name="Breeches_Beige"&gt;</t>
  </si>
  <si>
    <t>&lt;type name="Breeches_Black"&gt;</t>
  </si>
  <si>
    <t>&lt;type name="Breeches_Blackcheck"&gt;</t>
  </si>
  <si>
    <t>&lt;type name="Breeches_Blue"&gt;</t>
  </si>
  <si>
    <t>&lt;type name="Breeches_Browncheck"&gt;</t>
  </si>
  <si>
    <t>&lt;type name="Breeches_Green"&gt;</t>
  </si>
  <si>
    <t>&lt;type name="Breeches_Pink"&gt;</t>
  </si>
  <si>
    <t>&lt;type name="Breeches_Red"&gt;</t>
  </si>
  <si>
    <t>&lt;type name="Breeches_White"&gt;</t>
  </si>
  <si>
    <t>&lt;type name="BurlapSack"&gt;</t>
  </si>
  <si>
    <t>&lt;type name="BurlapSackCover"&gt;</t>
  </si>
  <si>
    <t>&lt;type name="BurlapStrip"&gt;</t>
  </si>
  <si>
    <t>&lt;type name="CZ527"&gt;</t>
  </si>
  <si>
    <t>&lt;type name="CZ61"&gt;</t>
  </si>
  <si>
    <t>&lt;type name="CZ75"&gt;</t>
  </si>
  <si>
    <t>&lt;type name="CableReel"&gt;</t>
  </si>
  <si>
    <t>&lt;type name="Camonet"&gt;</t>
  </si>
  <si>
    <t>&lt;type name="CanOpener"&gt;</t>
  </si>
  <si>
    <t>&lt;type name="CaninaBerry"&gt;</t>
  </si>
  <si>
    <t>&lt;type name="CanisterGasoline"&gt;</t>
  </si>
  <si>
    <t>&lt;type name="Canteen"&gt;</t>
  </si>
  <si>
    <t>&lt;type name="CanvasPantsMidi_Beige"&gt;</t>
  </si>
  <si>
    <t>&lt;type name="CanvasPantsMidi_Blue"&gt;</t>
  </si>
  <si>
    <t>&lt;type name="CanvasPantsMidi_Grey"&gt;</t>
  </si>
  <si>
    <t>&lt;type name="CanvasPantsMidi_Red"&gt;</t>
  </si>
  <si>
    <t>&lt;type name="CanvasPantsMidi_Violet"&gt;</t>
  </si>
  <si>
    <t>&lt;type name="CanvasPants_Beige"&gt;</t>
  </si>
  <si>
    <t>&lt;type name="CanvasPants_Blue"&gt;</t>
  </si>
  <si>
    <t>&lt;type name="CanvasPants_Grey"&gt;</t>
  </si>
  <si>
    <t>&lt;type name="CanvasPants_Red"&gt;</t>
  </si>
  <si>
    <t>&lt;type name="CanvasPants_Violet"&gt;</t>
  </si>
  <si>
    <t>&lt;type name="CarBattery"&gt;</t>
  </si>
  <si>
    <t>&lt;type name="CarRadiator"&gt;</t>
  </si>
  <si>
    <t>&lt;type name="CarTent"&gt;</t>
  </si>
  <si>
    <t>&lt;type name="CargoPants_Beige"&gt;</t>
  </si>
  <si>
    <t>&lt;type name="CargoPants_Black"&gt;</t>
  </si>
  <si>
    <t>&lt;type name="CargoPants_Blue"&gt;</t>
  </si>
  <si>
    <t>&lt;type name="CargoPants_Green"&gt;</t>
  </si>
  <si>
    <t>&lt;type name="CargoPants_Grey"&gt;</t>
  </si>
  <si>
    <t>&lt;type name="CattleProd"&gt;</t>
  </si>
  <si>
    <t>&lt;type name="CharcoalTablets"&gt;</t>
  </si>
  <si>
    <t>&lt;type name="Chemlight_Blue"&gt;</t>
  </si>
  <si>
    <t>&lt;type name="Chemlight_Green"&gt;</t>
  </si>
  <si>
    <t>&lt;type name="Chemlight_Red"&gt;</t>
  </si>
  <si>
    <t>&lt;type name="Chemlight_White"&gt;</t>
  </si>
  <si>
    <t>&lt;type name="Chemlight_Yellow"&gt;</t>
  </si>
  <si>
    <t>&lt;type name="ChernarusMap"&gt;</t>
  </si>
  <si>
    <t>&lt;type name="ChernarusMap_Open"&gt;</t>
  </si>
  <si>
    <t>&lt;type name="ChernarusSportShirt"&gt;</t>
  </si>
  <si>
    <t>&lt;type name="ChestHolster"&gt;</t>
  </si>
  <si>
    <t>&lt;type name="ChickenBreastMeat"&gt;</t>
  </si>
  <si>
    <t>&lt;type name="ChildBag_Blue"&gt;</t>
  </si>
  <si>
    <t>&lt;type name="ChildBag_Green"&gt;</t>
  </si>
  <si>
    <t>&lt;type name="ChildBag_Red"&gt;</t>
  </si>
  <si>
    <t>&lt;type name="ChristmasTree"&gt;</t>
  </si>
  <si>
    <t>&lt;type name="CivSedanDoors_BackLeft"&gt;</t>
  </si>
  <si>
    <t>&lt;type name="CivSedanDoors_BackLeft_Black"&gt;</t>
  </si>
  <si>
    <t>&lt;type name="CivSedanDoors_BackLeft_Wine"&gt;</t>
  </si>
  <si>
    <t>&lt;type name="CivSedanDoors_BackRight"&gt;</t>
  </si>
  <si>
    <t>&lt;type name="CivSedanDoors_BackRight_Black"&gt;</t>
  </si>
  <si>
    <t>&lt;type name="CivSedanDoors_BackRight_Wine"&gt;</t>
  </si>
  <si>
    <t>&lt;type name="CivSedanDoors_CoDriver"&gt;</t>
  </si>
  <si>
    <t>&lt;type name="CivSedanDoors_CoDriver_Black"&gt;</t>
  </si>
  <si>
    <t>&lt;type name="CivSedanDoors_CoDriver_Wine"&gt;</t>
  </si>
  <si>
    <t>&lt;type name="CivSedanDoors_Driver"&gt;</t>
  </si>
  <si>
    <t>&lt;type name="CivSedanDoors_Driver_Black"&gt;</t>
  </si>
  <si>
    <t>&lt;type name="CivSedanDoors_Driver_Wine"&gt;</t>
  </si>
  <si>
    <t>&lt;type name="CivSedanHood"&gt;</t>
  </si>
  <si>
    <t>&lt;type name="CivSedanHood_Black"&gt;</t>
  </si>
  <si>
    <t>&lt;type name="CivSedanHood_Wine"&gt;</t>
  </si>
  <si>
    <t>&lt;type name="CivSedanTrunk"&gt;</t>
  </si>
  <si>
    <t>&lt;type name="CivSedanTrunk_Black"&gt;</t>
  </si>
  <si>
    <t>&lt;type name="CivSedanTrunk_Wine"&gt;</t>
  </si>
  <si>
    <t>&lt;type name="CivSedanWheel"&gt;</t>
  </si>
  <si>
    <t>&lt;type name="CivSedanWheel_Ruined"&gt;</t>
  </si>
  <si>
    <t>&lt;type name="CivilianBelt"&gt;</t>
  </si>
  <si>
    <t>&lt;type name="CivilianSedan"&gt;</t>
  </si>
  <si>
    <t>&lt;type name="CivilianSedan_Black"&gt;</t>
  </si>
  <si>
    <t>&lt;type name="CivilianSedan_Wine"&gt;</t>
  </si>
  <si>
    <t>&lt;type name="Colt1911"&gt;</t>
  </si>
  <si>
    <t>&lt;type name="CombatBoots_Beige"&gt;</t>
  </si>
  <si>
    <t>&lt;type name="CombatBoots_Black"&gt;</t>
  </si>
  <si>
    <t>&lt;type name="CombatBoots_Brown"&gt;</t>
  </si>
  <si>
    <t>&lt;type name="CombatBoots_Green"&gt;</t>
  </si>
  <si>
    <t>&lt;type name="CombatBoots_Grey"&gt;</t>
  </si>
  <si>
    <t>&lt;type name="CombatKnife"&gt;</t>
  </si>
  <si>
    <t>&lt;type name="CombinationLock"&gt;</t>
  </si>
  <si>
    <t>&lt;type name="CombinationLock4"&gt;</t>
  </si>
  <si>
    <t>&lt;type name="Compass"&gt;</t>
  </si>
  <si>
    <t>&lt;type name="ConstructionHelmet_Blue"&gt;</t>
  </si>
  <si>
    <t>&lt;type name="ConstructionHelmet_Lime"&gt;</t>
  </si>
  <si>
    <t>&lt;type name="ConstructionHelmet_Orange"&gt;</t>
  </si>
  <si>
    <t>&lt;type name="ConstructionHelmet_Red"&gt;</t>
  </si>
  <si>
    <t>&lt;type name="ConstructionHelmet_White"&gt;</t>
  </si>
  <si>
    <t>&lt;type name="ConstructionHelmet_Yellow"&gt;</t>
  </si>
  <si>
    <t>&lt;type name="CourierBag"&gt;</t>
  </si>
  <si>
    <t>&lt;type name="CowPelt"&gt;</t>
  </si>
  <si>
    <t>&lt;type name="CowSteakMeat"&gt;</t>
  </si>
  <si>
    <t>&lt;type name="CowboyHat_Brown"&gt;</t>
  </si>
  <si>
    <t>&lt;type name="CowboyHat_black"&gt;</t>
  </si>
  <si>
    <t>&lt;type name="CowboyHat_darkBrown"&gt;</t>
  </si>
  <si>
    <t>&lt;type name="CowboyHat_green"&gt;</t>
  </si>
  <si>
    <t>&lt;type name="CoyoteBag_Brown"&gt;</t>
  </si>
  <si>
    <t>&lt;type name="CoyoteBag_Green"&gt;</t>
  </si>
  <si>
    <t>&lt;type name="Crowbar"&gt;</t>
  </si>
  <si>
    <t>&lt;type name="DallasMask"&gt;</t>
  </si>
  <si>
    <t>&lt;type name="DarkMotoHelmet_Black"&gt;</t>
  </si>
  <si>
    <t>&lt;type name="DarkMotoHelmet_Blue"&gt;</t>
  </si>
  <si>
    <t>&lt;type name="DarkMotoHelmet_Green"&gt;</t>
  </si>
  <si>
    <t>&lt;type name="DarkMotoHelmet_Grey"&gt;</t>
  </si>
  <si>
    <t>&lt;type name="DarkMotoHelmet_Lime"&gt;</t>
  </si>
  <si>
    <t>&lt;type name="DarkMotoHelmet_Red"&gt;</t>
  </si>
  <si>
    <t>&lt;type name="DarkMotoHelmet_White"&gt;</t>
  </si>
  <si>
    <t>&lt;type name="DeerPelt"&gt;</t>
  </si>
  <si>
    <t>&lt;type name="DeerSteakMeat"&gt;</t>
  </si>
  <si>
    <t>&lt;type name="Defibrillator"&gt;</t>
  </si>
  <si>
    <t>&lt;type name="DenimJacket"&gt;</t>
  </si>
  <si>
    <t>&lt;type name="DesignerGlasses"&gt;</t>
  </si>
  <si>
    <t>&lt;type name="DirtBikeHelmet_Black"&gt;</t>
  </si>
  <si>
    <t>&lt;type name="DirtBikeHelmet_Blue"&gt;</t>
  </si>
  <si>
    <t>&lt;type name="DirtBikeHelmet_Chernarus"&gt;</t>
  </si>
  <si>
    <t>&lt;type name="DirtBikeHelmet_Green"&gt;</t>
  </si>
  <si>
    <t>&lt;type name="DirtBikeHelmet_Khaki"&gt;</t>
  </si>
  <si>
    <t>&lt;type name="DirtBikeHelmet_Mouthguard"&gt;</t>
  </si>
  <si>
    <t>&lt;type name="DirtBikeHelmet_Police"&gt;</t>
  </si>
  <si>
    <t>&lt;type name="DirtBikeHelmet_Red"&gt;</t>
  </si>
  <si>
    <t>&lt;type name="DirtBikeHelmet_Visor"&gt;</t>
  </si>
  <si>
    <t>&lt;type name="DisinfectantAlcohol"&gt;</t>
  </si>
  <si>
    <t>&lt;type name="DisinfectantSpray"&gt;</t>
  </si>
  <si>
    <t>&lt;type name="DressShoes_Beige"&gt;</t>
  </si>
  <si>
    <t>&lt;type name="DressShoes_Black"&gt;</t>
  </si>
  <si>
    <t>&lt;type name="DressShoes_Brown"&gt;</t>
  </si>
  <si>
    <t>&lt;type name="DressShoes_Sunburst"&gt;</t>
  </si>
  <si>
    <t>&lt;type name="DressShoes_White"&gt;</t>
  </si>
  <si>
    <t>&lt;type name="DryBag_Black"&gt;</t>
  </si>
  <si>
    <t>&lt;type name="DryBag_Blue"&gt;</t>
  </si>
  <si>
    <t>&lt;type name="DryBag_Green"&gt;</t>
  </si>
  <si>
    <t>&lt;type name="DryBag_Orange"&gt;</t>
  </si>
  <si>
    <t>&lt;type name="DryBag_Red"&gt;</t>
  </si>
  <si>
    <t>&lt;type name="DryBag_Yellow"&gt;</t>
  </si>
  <si>
    <t>&lt;type name="DuctTape"&gt;</t>
  </si>
  <si>
    <t>&lt;type name="ElectronicRepairKit"&gt;</t>
  </si>
  <si>
    <t>&lt;type name="EngineOil"&gt;</t>
  </si>
  <si>
    <t>&lt;type name="Engraved1911"&gt;</t>
  </si>
  <si>
    <t>&lt;type name="Epinephrine"&gt;</t>
  </si>
  <si>
    <t>&lt;type name="EpoxyPutty"&gt;</t>
  </si>
  <si>
    <t>&lt;type name="FAL"&gt;</t>
  </si>
  <si>
    <t>&lt;type name="FNP45_MRDSOptic"&gt;</t>
  </si>
  <si>
    <t>&lt;type name="FNX45"&gt;</t>
  </si>
  <si>
    <t>&lt;type name="Fal_FoldingBttstck"&gt;</t>
  </si>
  <si>
    <t>&lt;type name="Fal_OeBttstck"&gt;</t>
  </si>
  <si>
    <t>&lt;type name="Fence"&gt;</t>
  </si>
  <si>
    <t>&lt;type name="FenceKit"&gt;</t>
  </si>
  <si>
    <t>&lt;type name="FirefighterAxe"&gt;</t>
  </si>
  <si>
    <t>&lt;type name="FirefighterAxe_Black"&gt;</t>
  </si>
  <si>
    <t>&lt;type name="FirefighterAxe_Green"&gt;</t>
  </si>
  <si>
    <t>&lt;type name="FirefighterJacket_Beige"&gt;</t>
  </si>
  <si>
    <t>&lt;type name="FirefighterJacket_Black"&gt;</t>
  </si>
  <si>
    <t>&lt;type name="FirefightersHelmet_Red"&gt;</t>
  </si>
  <si>
    <t>&lt;type name="FirefightersHelmet_White"&gt;</t>
  </si>
  <si>
    <t>&lt;type name="FirefightersHelmet_Yellow"&gt;</t>
  </si>
  <si>
    <t>&lt;type name="FirefightersPants_Beige"&gt;</t>
  </si>
  <si>
    <t>&lt;type name="FirefightersPants_Black"&gt;</t>
  </si>
  <si>
    <t>&lt;type name="Fireplace"&gt;</t>
  </si>
  <si>
    <t>&lt;type name="FireplaceIndoor"&gt;</t>
  </si>
  <si>
    <t>&lt;type name="Firewood"&gt;</t>
  </si>
  <si>
    <t>&lt;type name="FirstAidKit"&gt;</t>
  </si>
  <si>
    <t>&lt;type name="FishingRod"&gt;</t>
  </si>
  <si>
    <t>&lt;type name="FlashGrenade"&gt;</t>
  </si>
  <si>
    <t>&lt;type name="Flashlight"&gt;</t>
  </si>
  <si>
    <t>&lt;type name="FlatCap_Black"&gt;</t>
  </si>
  <si>
    <t>&lt;type name="FlatCap_BlackCheck"&gt;</t>
  </si>
  <si>
    <t>&lt;type name="FlatCap_Blue"&gt;</t>
  </si>
  <si>
    <t>&lt;type name="FlatCap_Brown"&gt;</t>
  </si>
  <si>
    <t>&lt;type name="FlatCap_BrownCheck"&gt;</t>
  </si>
  <si>
    <t>&lt;type name="FlatCap_Grey"&gt;</t>
  </si>
  <si>
    <t>&lt;type name="FlatCap_GreyCheck"&gt;</t>
  </si>
  <si>
    <t>&lt;type name="FlatCap_Red"&gt;</t>
  </si>
  <si>
    <t>&lt;type name="FurCourierBag"&gt;</t>
  </si>
  <si>
    <t>&lt;type name="FurImprovisedBag"&gt;</t>
  </si>
  <si>
    <t>&lt;type name="GP5GasMask"&gt;</t>
  </si>
  <si>
    <t>&lt;type name="GardenLime"&gt;</t>
  </si>
  <si>
    <t>&lt;type name="GardenPlot"&gt;</t>
  </si>
  <si>
    <t>&lt;type name="GasMask"&gt;</t>
  </si>
  <si>
    <t>&lt;type name="GhillieAtt_Mossy"&gt;</t>
  </si>
  <si>
    <t>&lt;type name="GhillieAtt_Tan"&gt;</t>
  </si>
  <si>
    <t>&lt;type name="GhillieAtt_Woodland"&gt;</t>
  </si>
  <si>
    <t>&lt;type name="GhillieBushrag_Mossy"&gt;</t>
  </si>
  <si>
    <t>&lt;type name="GhillieBushrag_Tan"&gt;</t>
  </si>
  <si>
    <t>&lt;type name="GhillieBushrag_Woodland"&gt;</t>
  </si>
  <si>
    <t>&lt;type name="GhillieHood_Mossy"&gt;</t>
  </si>
  <si>
    <t>&lt;type name="GhillieHood_Tan"&gt;</t>
  </si>
  <si>
    <t>&lt;type name="GhillieHood_Woodland"&gt;</t>
  </si>
  <si>
    <t>&lt;type name="GhillieSuit_Mossy"&gt;</t>
  </si>
  <si>
    <t>&lt;type name="GhillieSuit_Tan"&gt;</t>
  </si>
  <si>
    <t>&lt;type name="GhillieSuit_Woodland"&gt;</t>
  </si>
  <si>
    <t>&lt;type name="GhillieTop_Mossy"&gt;</t>
  </si>
  <si>
    <t>&lt;type name="GhillieTop_Tan"&gt;</t>
  </si>
  <si>
    <t>&lt;type name="GhillieTop_Woodland"&gt;</t>
  </si>
  <si>
    <t>&lt;type name="GiftBox_Large_1"&gt;</t>
  </si>
  <si>
    <t>&lt;type name="GiftBox_Large_2"&gt;</t>
  </si>
  <si>
    <t>&lt;type name="GiftBox_Large_3"&gt;</t>
  </si>
  <si>
    <t>&lt;type name="GiftBox_Large_4"&gt;</t>
  </si>
  <si>
    <t>&lt;type name="GiftBox_Medium_1"&gt;</t>
  </si>
  <si>
    <t>&lt;type name="GiftBox_Medium_2"&gt;</t>
  </si>
  <si>
    <t>&lt;type name="GiftBox_Medium_3"&gt;</t>
  </si>
  <si>
    <t>&lt;type name="GiftBox_Medium_4"&gt;</t>
  </si>
  <si>
    <t>&lt;type name="GiftBox_Small_1"&gt;</t>
  </si>
  <si>
    <t>&lt;type name="GiftBox_Small_2"&gt;</t>
  </si>
  <si>
    <t>&lt;type name="GiftBox_Small_3"&gt;</t>
  </si>
  <si>
    <t>&lt;type name="GiftBox_Small_4"&gt;</t>
  </si>
  <si>
    <t>&lt;type name="Glock19"&gt;</t>
  </si>
  <si>
    <t>&lt;type name="GoatPelt"&gt;</t>
  </si>
  <si>
    <t>&lt;type name="GoatSteakMeat"&gt;</t>
  </si>
  <si>
    <t>&lt;type name="GorkaEJacket_Autumn"&gt;</t>
  </si>
  <si>
    <t>&lt;type name="GorkaEJacket_Flat"&gt;</t>
  </si>
  <si>
    <t>&lt;type name="GorkaEJacket_PautRev"&gt;</t>
  </si>
  <si>
    <t>&lt;type name="GorkaEJacket_Summer"&gt;</t>
  </si>
  <si>
    <t>&lt;type name="GorkaHelmet"&gt;</t>
  </si>
  <si>
    <t>&lt;type name="GorkaHelmetVisor"&gt;</t>
  </si>
  <si>
    <t>&lt;type name="GorkaPants_Autumn"&gt;</t>
  </si>
  <si>
    <t>&lt;type name="GorkaPants_Flat"&gt;</t>
  </si>
  <si>
    <t>&lt;type name="GorkaPants_PautRev"&gt;</t>
  </si>
  <si>
    <t>&lt;type name="GorkaPants_Summer"&gt;</t>
  </si>
  <si>
    <t>&lt;type name="GreatHelm"&gt;</t>
  </si>
  <si>
    <t>&lt;type name="GreenBellPepper"&gt;</t>
  </si>
  <si>
    <t>&lt;type name="Guts"&gt;</t>
  </si>
  <si>
    <t>&lt;type name="Hacksaw"&gt;</t>
  </si>
  <si>
    <t>&lt;type name="Hammer"&gt;</t>
  </si>
  <si>
    <t>&lt;type name="HandDrillKit"&gt;</t>
  </si>
  <si>
    <t>&lt;type name="HandSaw"&gt;</t>
  </si>
  <si>
    <t>&lt;type name="HandcuffKeys"&gt;</t>
  </si>
  <si>
    <t>&lt;usage name="Prison"/&gt;</t>
  </si>
  <si>
    <t>&lt;type name="Handcuffs"&gt;</t>
  </si>
  <si>
    <t>&lt;type name="HandcuffsLocked"&gt;</t>
  </si>
  <si>
    <t>&lt;type name="HatchbackDoors_CoDriver"&gt;</t>
  </si>
  <si>
    <t>&lt;type name="HatchbackDoors_CoDriver_Blue"&gt;</t>
  </si>
  <si>
    <t>&lt;type name="HatchbackDoors_CoDriver_White"&gt;</t>
  </si>
  <si>
    <t>&lt;type name="HatchbackDoors_Driver"&gt;</t>
  </si>
  <si>
    <t>&lt;type name="HatchbackDoors_Driver_Blue"&gt;</t>
  </si>
  <si>
    <t>&lt;type name="HatchbackDoors_Driver_White"&gt;</t>
  </si>
  <si>
    <t>&lt;type name="HatchbackHood"&gt;</t>
  </si>
  <si>
    <t>&lt;type name="HatchbackHood_Blue"&gt;</t>
  </si>
  <si>
    <t>&lt;type name="HatchbackHood_White"&gt;</t>
  </si>
  <si>
    <t>&lt;type name="HatchbackTrunk"&gt;</t>
  </si>
  <si>
    <t>&lt;type name="HatchbackTrunk_Green"&gt;</t>
  </si>
  <si>
    <t>&lt;type name="HatchbackTrunk_White"&gt;</t>
  </si>
  <si>
    <t>&lt;type name="HatchbackWheel"&gt;</t>
  </si>
  <si>
    <t>&lt;type name="HatchbackWheel_Ruined"&gt;</t>
  </si>
  <si>
    <t>&lt;type name="Hatchback_02"&gt;</t>
  </si>
  <si>
    <t>&lt;type name="Hatchback_02_Black"&gt;</t>
  </si>
  <si>
    <t>&lt;type name="Hatchback_02_Blue"&gt;</t>
  </si>
  <si>
    <t>&lt;type name="Hatchback_02_Door_1_1"&gt;</t>
  </si>
  <si>
    <t>&lt;type name="Hatchback_02_Door_1_1_Black"&gt;</t>
  </si>
  <si>
    <t>&lt;type name="Hatchback_02_Door_1_1_Blue"&gt;</t>
  </si>
  <si>
    <t>&lt;type name="Hatchback_02_Door_1_2"&gt;</t>
  </si>
  <si>
    <t>&lt;type name="Hatchback_02_Door_1_2_Black"&gt;</t>
  </si>
  <si>
    <t>&lt;type name="Hatchback_02_Door_1_2_Blue"&gt;</t>
  </si>
  <si>
    <t>&lt;type name="Hatchback_02_Door_2_1"&gt;</t>
  </si>
  <si>
    <t>&lt;type name="Hatchback_02_Door_2_1_Black"&gt;</t>
  </si>
  <si>
    <t>&lt;type name="Hatchback_02_Door_2_1_Blue"&gt;</t>
  </si>
  <si>
    <t>&lt;type name="Hatchback_02_Door_2_2"&gt;</t>
  </si>
  <si>
    <t>&lt;type name="Hatchback_02_Door_2_2_Black"&gt;</t>
  </si>
  <si>
    <t>&lt;type name="Hatchback_02_Door_2_2_Blue"&gt;</t>
  </si>
  <si>
    <t>&lt;type name="Hatchback_02_Hood"&gt;</t>
  </si>
  <si>
    <t>&lt;type name="Hatchback_02_Hood_Black"&gt;</t>
  </si>
  <si>
    <t>&lt;type name="Hatchback_02_Hood_Blue"&gt;</t>
  </si>
  <si>
    <t>&lt;type name="Hatchback_02_Trunk"&gt;</t>
  </si>
  <si>
    <t>&lt;type name="Hatchback_02_Trunk_Black"&gt;</t>
  </si>
  <si>
    <t>&lt;type name="Hatchback_02_Trunk_Blue"&gt;</t>
  </si>
  <si>
    <t>&lt;type name="Hatchback_02_Wheel"&gt;</t>
  </si>
  <si>
    <t>&lt;type name="Hatchback_02_Wheel_Ruined"&gt;</t>
  </si>
  <si>
    <t>&lt;type name="Hatchet"&gt;</t>
  </si>
  <si>
    <t>&lt;type name="HeadlightH7"&gt;</t>
  </si>
  <si>
    <t>&lt;type name="HeadlightH7_Box"&gt;</t>
  </si>
  <si>
    <t>&lt;type name="Headtorch_Black"&gt;</t>
  </si>
  <si>
    <t>&lt;type name="Headtorch_Grey"&gt;</t>
  </si>
  <si>
    <t>&lt;type name="Heatpack"&gt;</t>
  </si>
  <si>
    <t>&lt;type name="HescoBox"&gt;</t>
  </si>
  <si>
    <t>&lt;type name="HighCapacityVest_Black"&gt;</t>
  </si>
  <si>
    <t>&lt;type name="HighCapacityVest_Olive"&gt;</t>
  </si>
  <si>
    <t>&lt;type name="HikingBootsLow_Beige"&gt;</t>
  </si>
  <si>
    <t>&lt;type name="HikingBootsLow_Black"&gt;</t>
  </si>
  <si>
    <t>&lt;type name="HikingBootsLow_Blue"&gt;</t>
  </si>
  <si>
    <t>&lt;type name="HikingBootsLow_Grey"&gt;</t>
  </si>
  <si>
    <t>&lt;type name="HikingBoots_Black"&gt;</t>
  </si>
  <si>
    <t>&lt;type name="HikingBoots_Brown"&gt;</t>
  </si>
  <si>
    <t>&lt;type name="HikingJacket_Black"&gt;</t>
  </si>
  <si>
    <t>&lt;type name="HikingJacket_Blue"&gt;</t>
  </si>
  <si>
    <t>&lt;type name="HikingJacket_Green"&gt;</t>
  </si>
  <si>
    <t>&lt;type name="HikingJacket_Red"&gt;</t>
  </si>
  <si>
    <t>&lt;type name="HockeyHelmet_Black"&gt;</t>
  </si>
  <si>
    <t>&lt;type name="HockeyHelmet_Blue"&gt;</t>
  </si>
  <si>
    <t>&lt;type name="HockeyHelmet_Red"&gt;</t>
  </si>
  <si>
    <t>&lt;type name="HockeyHelmet_White"&gt;</t>
  </si>
  <si>
    <t>&lt;type name="HockeyMask"&gt;</t>
  </si>
  <si>
    <t>&lt;type name="Hoodie_Black"&gt;</t>
  </si>
  <si>
    <t>&lt;type name="Hoodie_Blue"&gt;</t>
  </si>
  <si>
    <t>&lt;type name="Hoodie_Brown"&gt;</t>
  </si>
  <si>
    <t>&lt;type name="Hoodie_Green"&gt;</t>
  </si>
  <si>
    <t>&lt;type name="Hoodie_Grey"&gt;</t>
  </si>
  <si>
    <t>&lt;type name="Hoodie_Red"&gt;</t>
  </si>
  <si>
    <t>&lt;type name="Hook"&gt;</t>
  </si>
  <si>
    <t>&lt;type name="HoxtonMask"&gt;</t>
  </si>
  <si>
    <t>&lt;type name="HumanSteakMeat"&gt;</t>
  </si>
  <si>
    <t>&lt;type name="HunterPants_Autumn"&gt;</t>
  </si>
  <si>
    <t>&lt;type name="HunterPants_Brown"&gt;</t>
  </si>
  <si>
    <t>&lt;type name="HunterPants_Spring"&gt;</t>
  </si>
  <si>
    <t>&lt;type name="HunterPants_Summer"&gt;</t>
  </si>
  <si>
    <t>&lt;type name="HunterPants_Winter"&gt;</t>
  </si>
  <si>
    <t>&lt;type name="HuntingBag"&gt;</t>
  </si>
  <si>
    <t>&lt;type name="HuntingJacket_Autumn"&gt;</t>
  </si>
  <si>
    <t>&lt;type name="HuntingJacket_Brown"&gt;</t>
  </si>
  <si>
    <t>&lt;type name="HuntingJacket_Spring"&gt;</t>
  </si>
  <si>
    <t>&lt;type name="HuntingJacket_Summer"&gt;</t>
  </si>
  <si>
    <t>&lt;type name="HuntingJacket_Winter"&gt;</t>
  </si>
  <si>
    <t>&lt;type name="HuntingKnife"&gt;</t>
  </si>
  <si>
    <t>&lt;type name="HuntingOptic"&gt;</t>
  </si>
  <si>
    <t>&lt;type name="HuntingVest"&gt;</t>
  </si>
  <si>
    <t>&lt;type name="ImprovisedBag"&gt;</t>
  </si>
  <si>
    <t>&lt;type name="ImprovisedFishingRod"&gt;</t>
  </si>
  <si>
    <t>&lt;type name="ImprovisedSuppressor"&gt;</t>
  </si>
  <si>
    <t>&lt;type name="Izh18"&gt;</t>
  </si>
  <si>
    <t>&lt;type name="Izh43Shotgun"&gt;</t>
  </si>
  <si>
    <t>&lt;type name="Jeans_Black"&gt;</t>
  </si>
  <si>
    <t>&lt;type name="Jeans_Blue"&gt;</t>
  </si>
  <si>
    <t>&lt;type name="Jeans_BlueDark"&gt;</t>
  </si>
  <si>
    <t>&lt;type name="Jeans_Brown"&gt;</t>
  </si>
  <si>
    <t>&lt;type name="Jeans_Green"&gt;</t>
  </si>
  <si>
    <t>&lt;type name="Jeans_Grey"&gt;</t>
  </si>
  <si>
    <t>&lt;type name="JoggingShoes_Black"&gt;</t>
  </si>
  <si>
    <t>&lt;type name="JoggingShoes_Blue"&gt;</t>
  </si>
  <si>
    <t>&lt;type name="JoggingShoes_Red"&gt;</t>
  </si>
  <si>
    <t>&lt;type name="JoggingShoes_Violet"&gt;</t>
  </si>
  <si>
    <t>&lt;type name="JoggingShoes_White"&gt;</t>
  </si>
  <si>
    <t>&lt;type name="JumpsuitJacket_Blue"&gt;</t>
  </si>
  <si>
    <t>&lt;type name="JumpsuitJacket_Gray"&gt;</t>
  </si>
  <si>
    <t>&lt;type name="JumpsuitJacket_Green"&gt;</t>
  </si>
  <si>
    <t>&lt;type name="JumpsuitJacket_Red"&gt;</t>
  </si>
  <si>
    <t>&lt;type name="JumpsuitPants_Blue"&gt;</t>
  </si>
  <si>
    <t>&lt;type name="JumpsuitPants_Green"&gt;</t>
  </si>
  <si>
    <t>&lt;type name="JumpsuitPants_Grey"&gt;</t>
  </si>
  <si>
    <t>&lt;type name="JumpsuitPants_Red"&gt;</t>
  </si>
  <si>
    <t>&lt;type name="JungleBoots_Beige"&gt;</t>
  </si>
  <si>
    <t>&lt;type name="JungleBoots_Black"&gt;</t>
  </si>
  <si>
    <t>&lt;type name="JungleBoots_Brown"&gt;</t>
  </si>
  <si>
    <t>&lt;type name="JungleBoots_Green"&gt;</t>
  </si>
  <si>
    <t>&lt;type name="JungleBoots_Olive"&gt;</t>
  </si>
  <si>
    <t>&lt;type name="KashtanOptic"&gt;</t>
  </si>
  <si>
    <t>&lt;type name="KazuarOptic"&gt;</t>
  </si>
  <si>
    <t>&lt;type name="KitchenKnife"&gt;</t>
  </si>
  <si>
    <t>&lt;type name="KobraOptic"&gt;</t>
  </si>
  <si>
    <t>&lt;type name="LabCoat"&gt;</t>
  </si>
  <si>
    <t>&lt;type name="LactariusMushroom"&gt;</t>
  </si>
  <si>
    <t>&lt;type name="LandMineTrap"&gt;</t>
  </si>
  <si>
    <t>&lt;type name="Land_Wreck_Volha_Police"&gt;</t>
  </si>
  <si>
    <t>&lt;type name="Lard"&gt;</t>
  </si>
  <si>
    <t>&lt;type name="LargeGasCanister"&gt;</t>
  </si>
  <si>
    <t>&lt;type name="LargeTent"&gt;</t>
  </si>
  <si>
    <t>&lt;type name="LeatherBelt_Beige"&gt;</t>
  </si>
  <si>
    <t>&lt;type name="LeatherBelt_Black"&gt;</t>
  </si>
  <si>
    <t>&lt;type name="LeatherBelt_Brown"&gt;</t>
  </si>
  <si>
    <t>&lt;type name="LeatherBelt_Natural"&gt;</t>
  </si>
  <si>
    <t>&lt;type name="LeatherGloves_Beige"&gt;</t>
  </si>
  <si>
    <t>&lt;type name="LeatherGloves_Black"&gt;</t>
  </si>
  <si>
    <t>&lt;type name="LeatherGloves_Brown"&gt;</t>
  </si>
  <si>
    <t>&lt;type name="LeatherGloves_Natural"&gt;</t>
  </si>
  <si>
    <t>&lt;type name="LeatherHat_Beige"&gt;</t>
  </si>
  <si>
    <t>&lt;type name="LeatherHat_Black"&gt;</t>
  </si>
  <si>
    <t>&lt;type name="LeatherHat_Brown"&gt;</t>
  </si>
  <si>
    <t>&lt;type name="LeatherHat_Natural"&gt;</t>
  </si>
  <si>
    <t>&lt;type name="LeatherJacket_Beige"&gt;</t>
  </si>
  <si>
    <t>&lt;type name="LeatherJacket_Black"&gt;</t>
  </si>
  <si>
    <t>&lt;type name="LeatherJacket_Brown"&gt;</t>
  </si>
  <si>
    <t>&lt;type name="LeatherJacket_Natural"&gt;</t>
  </si>
  <si>
    <t>&lt;type name="LeatherKnifeSheath"&gt;</t>
  </si>
  <si>
    <t>&lt;type name="LeatherPants_Beige"&gt;</t>
  </si>
  <si>
    <t>&lt;type name="LeatherPants_Black"&gt;</t>
  </si>
  <si>
    <t>&lt;type name="LeatherPants_Brown"&gt;</t>
  </si>
  <si>
    <t>&lt;type name="LeatherPants_Natural"&gt;</t>
  </si>
  <si>
    <t>&lt;type name="LeatherSack_Beige"&gt;</t>
  </si>
  <si>
    <t>&lt;type name="LeatherSack_Black"&gt;</t>
  </si>
  <si>
    <t>&lt;type name="LeatherSack_Brown"&gt;</t>
  </si>
  <si>
    <t>&lt;type name="LeatherSack_Natural"&gt;</t>
  </si>
  <si>
    <t>&lt;type name="LeatherSewingKit"&gt;</t>
  </si>
  <si>
    <t>&lt;type name="LeatherShirt_Natural"&gt;</t>
  </si>
  <si>
    <t>&lt;type name="LeatherShoes_Beige"&gt;</t>
  </si>
  <si>
    <t>&lt;type name="LeatherShoes_Black"&gt;</t>
  </si>
  <si>
    <t>&lt;type name="LeatherShoes_Brown"&gt;</t>
  </si>
  <si>
    <t>&lt;type name="LeatherShoes_Natural"&gt;</t>
  </si>
  <si>
    <t>&lt;type name="LeatherStorageVest_Beige"&gt;</t>
  </si>
  <si>
    <t>&lt;type name="LeatherStorageVest_Black"&gt;</t>
  </si>
  <si>
    <t>&lt;type name="LeatherStorageVest_Brown"&gt;</t>
  </si>
  <si>
    <t>&lt;type name="LeatherStorageVest_Natural"&gt;</t>
  </si>
  <si>
    <t>&lt;type name="Lockpick"&gt;</t>
  </si>
  <si>
    <t>&lt;type name="LongWoodenStick"&gt;</t>
  </si>
  <si>
    <t>&lt;type name="LugWrench"&gt;</t>
  </si>
  <si>
    <t>&lt;type name="M18SmokeGrenade_Green"&gt;</t>
  </si>
  <si>
    <t>&lt;type name="M18SmokeGrenade_Purple"&gt;</t>
  </si>
  <si>
    <t>&lt;type name="M18SmokeGrenade_Red"&gt;</t>
  </si>
  <si>
    <t>&lt;type name="M18SmokeGrenade_White"&gt;</t>
  </si>
  <si>
    <t>&lt;type name="M18SmokeGrenade_Yellow"&gt;</t>
  </si>
  <si>
    <t>&lt;type name="M4A1"&gt;</t>
  </si>
  <si>
    <t>&lt;type name="M4A1_Black"&gt;</t>
  </si>
  <si>
    <t>&lt;type name="M4A1_Green"&gt;</t>
  </si>
  <si>
    <t>&lt;type name="M4_CQBBttstck"&gt;</t>
  </si>
  <si>
    <t>&lt;type name="M4_CarryHandleOptic"&gt;</t>
  </si>
  <si>
    <t>&lt;type name="M4_MPBttstck"&gt;</t>
  </si>
  <si>
    <t>&lt;type name="M4_MPHndgrd"&gt;</t>
  </si>
  <si>
    <t>&lt;type name="M4_OEBttstck"&gt;</t>
  </si>
  <si>
    <t>&lt;type name="M4_PlasticHndgrd"&gt;</t>
  </si>
  <si>
    <t>&lt;type name="M4_RISHndgrd"&gt;</t>
  </si>
  <si>
    <t>&lt;type name="M4_RISHndgrd_Black"&gt;</t>
  </si>
  <si>
    <t>&lt;type name="M4_RISHndgrd_Green"&gt;</t>
  </si>
  <si>
    <t>&lt;type name="M4_Suppressor"&gt;</t>
  </si>
  <si>
    <t>&lt;type name="M4_T3NRDSOptic"&gt;</t>
  </si>
  <si>
    <t>&lt;type name="M65Jacket_Black"&gt;</t>
  </si>
  <si>
    <t>&lt;type name="M65Jacket_Khaki"&gt;</t>
  </si>
  <si>
    <t>&lt;type name="M65Jacket_Olive"&gt;</t>
  </si>
  <si>
    <t>&lt;type name="M65Jacket_Tan"&gt;</t>
  </si>
  <si>
    <t>&lt;type name="M67Grenade"&gt;</t>
  </si>
  <si>
    <t>&lt;type name="M68Optic"&gt;</t>
  </si>
  <si>
    <t>&lt;type name="M9A1_Bayonet"&gt;</t>
  </si>
  <si>
    <t>&lt;type name="MKII"&gt;</t>
  </si>
  <si>
    <t>&lt;type name="MP5K"&gt;</t>
  </si>
  <si>
    <t>&lt;type name="MP5_Compensator"&gt;</t>
  </si>
  <si>
    <t>&lt;type name="MP5_PlasticHndgrd"&gt;</t>
  </si>
  <si>
    <t>&lt;type name="MP5_RailHndgrd"&gt;</t>
  </si>
  <si>
    <t>&lt;type name="MP5k_StockBttstck"&gt;</t>
  </si>
  <si>
    <t>&lt;type name="Machete"&gt;</t>
  </si>
  <si>
    <t>&lt;type name="MacrolepiotaMushroom"&gt;</t>
  </si>
  <si>
    <t>&lt;type name="Mag_1911_7Rnd"&gt;</t>
  </si>
  <si>
    <t>&lt;type name="Mag_AK101_30Rnd"&gt;</t>
  </si>
  <si>
    <t>&lt;type name="Mag_AK74_30Rnd"&gt;</t>
  </si>
  <si>
    <t>&lt;type name="Mag_AKM_30Rnd"&gt;</t>
  </si>
  <si>
    <t>&lt;type name="Mag_AKM_Drum75Rnd"&gt;</t>
  </si>
  <si>
    <t>&lt;type name="Mag_AKM_Palm30Rnd"&gt;</t>
  </si>
  <si>
    <t>&lt;quantmax&gt;70&lt;/quantmax&gt;</t>
  </si>
  <si>
    <t>&lt;type name="Mag_CMAG_10Rnd"&gt;</t>
  </si>
  <si>
    <t>&lt;type name="Mag_CMAG_20Rnd"&gt;</t>
  </si>
  <si>
    <t>&lt;type name="Mag_CMAG_30Rnd"&gt;</t>
  </si>
  <si>
    <t>&lt;type name="Mag_CMAG_40Rnd"&gt;</t>
  </si>
  <si>
    <t>&lt;type name="Mag_CZ61_20Rnd"&gt;</t>
  </si>
  <si>
    <t>&lt;type name="Mag_CZ75_15Rnd"&gt;</t>
  </si>
  <si>
    <t>&lt;quantmin&gt;8&lt;/quantmin&gt;</t>
  </si>
  <si>
    <t>&lt;type name="Mag_FAL_20Rnd"&gt;</t>
  </si>
  <si>
    <t>&lt;type name="Mag_FNX45_15Rnd"&gt;</t>
  </si>
  <si>
    <t>&lt;type name="Mag_Glock_15Rnd"&gt;</t>
  </si>
  <si>
    <t>&lt;type name="Mag_IJ70_8Rnd"&gt;</t>
  </si>
  <si>
    <t>&lt;type name="Mag_MKII_10Rnd"&gt;</t>
  </si>
  <si>
    <t>&lt;type name="Mag_MP5_30Rnd"&gt;</t>
  </si>
  <si>
    <t>&lt;type name="Mag_STANAGCoupled_30Rnd"&gt;</t>
  </si>
  <si>
    <t>&lt;type name="Mag_STANAG_30Rnd"&gt;</t>
  </si>
  <si>
    <t>&lt;type name="Mag_SVD_10Rnd"&gt;</t>
  </si>
  <si>
    <t>&lt;type name="Mag_Saiga_5Rnd"&gt;</t>
  </si>
  <si>
    <t>&lt;type name="Mag_Saiga_8Rnd"&gt;</t>
  </si>
  <si>
    <t>&lt;type name="Mag_Saiga_Drum20Rnd"&gt;</t>
  </si>
  <si>
    <t>&lt;quantmin&gt;15&lt;/quantmin&gt;</t>
  </si>
  <si>
    <t>&lt;type name="Mag_UMP_25Rnd"&gt;</t>
  </si>
  <si>
    <t>&lt;type name="Mag_VSS_10Rnd"&gt;</t>
  </si>
  <si>
    <t>&lt;type name="MakarovIJ70"&gt;</t>
  </si>
  <si>
    <t>&lt;type name="ManSuit_Beige"&gt;</t>
  </si>
  <si>
    <t>&lt;type name="ManSuit_Black"&gt;</t>
  </si>
  <si>
    <t>&lt;type name="ManSuit_Blue"&gt;</t>
  </si>
  <si>
    <t>&lt;type name="ManSuit_Brown"&gt;</t>
  </si>
  <si>
    <t>&lt;type name="ManSuit_DarkGrey"&gt;</t>
  </si>
  <si>
    <t>&lt;type name="ManSuit_Khaki"&gt;</t>
  </si>
  <si>
    <t>&lt;type name="ManSuit_LightGrey"&gt;</t>
  </si>
  <si>
    <t>&lt;type name="ManSuit_White"&gt;</t>
  </si>
  <si>
    <t>&lt;type name="Marmalade"&gt;</t>
  </si>
  <si>
    <t>&lt;type name="Matchbox"&gt;</t>
  </si>
  <si>
    <t>&lt;type name="MedicalScrubsHat_Blue"&gt;</t>
  </si>
  <si>
    <t>&lt;type name="MedicalScrubsHat_Green"&gt;</t>
  </si>
  <si>
    <t>&lt;type name="MedicalScrubsHat_White"&gt;</t>
  </si>
  <si>
    <t>&lt;type name="MedicalScrubsPants_Blue"&gt;</t>
  </si>
  <si>
    <t>&lt;type name="MedicalScrubsPants_Green"&gt;</t>
  </si>
  <si>
    <t>&lt;type name="MedicalScrubsPants_White"&gt;</t>
  </si>
  <si>
    <t>&lt;type name="MedicalScrubsShirt_Blue"&gt;</t>
  </si>
  <si>
    <t>&lt;type name="MedicalScrubsShirt_Green"&gt;</t>
  </si>
  <si>
    <t>&lt;type name="MedicalScrubsShirt_White"&gt;</t>
  </si>
  <si>
    <t>&lt;type name="MediumGasCanister"&gt;</t>
  </si>
  <si>
    <t>&lt;type name="MediumTent"&gt;</t>
  </si>
  <si>
    <t>&lt;type name="Megaphone"&gt;</t>
  </si>
  <si>
    <t>&lt;type name="MetalPlate"&gt;</t>
  </si>
  <si>
    <t>&lt;type name="MetalWire"&gt;</t>
  </si>
  <si>
    <t>&lt;type name="Mich2001Helmet"&gt;</t>
  </si>
  <si>
    <t>&lt;type name="MilitaryBelt"&gt;</t>
  </si>
  <si>
    <t>&lt;type name="MilitaryBeret_CDF"&gt;</t>
  </si>
  <si>
    <t>&lt;type name="MilitaryBeret_ChDKZ"&gt;</t>
  </si>
  <si>
    <t>&lt;type name="MilitaryBeret_NZ"&gt;</t>
  </si>
  <si>
    <t>&lt;type name="MilitaryBeret_Red"&gt;</t>
  </si>
  <si>
    <t>&lt;type name="MilitaryBeret_UN"&gt;</t>
  </si>
  <si>
    <t>&lt;type name="MilitaryBoots_Beige"&gt;</t>
  </si>
  <si>
    <t>&lt;type name="MilitaryBoots_Black"&gt;</t>
  </si>
  <si>
    <t>&lt;type name="MilitaryBoots_Bluerock"&gt;</t>
  </si>
  <si>
    <t>&lt;type name="MilitaryBoots_Brown"&gt;</t>
  </si>
  <si>
    <t>&lt;type name="MilitaryBoots_Redpunk"&gt;</t>
  </si>
  <si>
    <t>&lt;type name="MiniDress_BlueChecker"&gt;</t>
  </si>
  <si>
    <t>&lt;type name="MiniDress_BlueWithDots"&gt;</t>
  </si>
  <si>
    <t>&lt;type name="MiniDress_BrownChecker"&gt;</t>
  </si>
  <si>
    <t>&lt;type name="MiniDress_GreenChecker"&gt;</t>
  </si>
  <si>
    <t>&lt;type name="MiniDress_Pink"&gt;</t>
  </si>
  <si>
    <t>&lt;type name="MiniDress_PinkChecker"&gt;</t>
  </si>
  <si>
    <t>&lt;type name="MiniDress_RedChecker"&gt;</t>
  </si>
  <si>
    <t>&lt;type name="MiniDress_WhiteChecker"&gt;</t>
  </si>
  <si>
    <t>&lt;type name="Morphine"&gt;</t>
  </si>
  <si>
    <t>&lt;type name="Mosin9130"&gt;</t>
  </si>
  <si>
    <t>&lt;type name="Mosin9130_Black"&gt;</t>
  </si>
  <si>
    <t>&lt;type name="Mosin9130_Camo"&gt;</t>
  </si>
  <si>
    <t>&lt;type name="Mosin9130_Green"&gt;</t>
  </si>
  <si>
    <t>&lt;type name="Mosin_Bayonet"&gt;</t>
  </si>
  <si>
    <t>&lt;type name="Mosin_Compensator"&gt;</t>
  </si>
  <si>
    <t>&lt;type name="MotoHelmet_Black"&gt;</t>
  </si>
  <si>
    <t>&lt;type name="MotoHelmet_Blue"&gt;</t>
  </si>
  <si>
    <t>&lt;type name="MotoHelmet_Green"&gt;</t>
  </si>
  <si>
    <t>&lt;type name="MotoHelmet_Grey"&gt;</t>
  </si>
  <si>
    <t>&lt;type name="MotoHelmet_Lime"&gt;</t>
  </si>
  <si>
    <t>&lt;type name="MotoHelmet_Red"&gt;</t>
  </si>
  <si>
    <t>&lt;type name="MotoHelmet_White"&gt;</t>
  </si>
  <si>
    <t>&lt;type name="MountainBag_Blue"&gt;</t>
  </si>
  <si>
    <t>&lt;type name="MountainBag_Green"&gt;</t>
  </si>
  <si>
    <t>&lt;type name="MountainBag_Orange"&gt;</t>
  </si>
  <si>
    <t>&lt;type name="MountainBag_Red"&gt;</t>
  </si>
  <si>
    <t>&lt;type name="MouthRag"&gt;</t>
  </si>
  <si>
    <t>&lt;type name="Mp133Shotgun"&gt;</t>
  </si>
  <si>
    <t>&lt;type name="NBCBootsGray"&gt;</t>
  </si>
  <si>
    <t>&lt;type name="NBCGlovesGray"&gt;</t>
  </si>
  <si>
    <t>&lt;type name="NBCHoodGray"&gt;</t>
  </si>
  <si>
    <t>&lt;type name="NBCJacketGray"&gt;</t>
  </si>
  <si>
    <t>&lt;type name="NBCPantsGray"&gt;</t>
  </si>
  <si>
    <t>&lt;type name="NVGHeadstrap"&gt;</t>
  </si>
  <si>
    <t>&lt;type name="NVGoggles"&gt;</t>
  </si>
  <si>
    <t>&lt;type name="Nail"&gt;</t>
  </si>
  <si>
    <t>&lt;type name="NailBox"&gt;</t>
  </si>
  <si>
    <t>&lt;type name="NailedBaseballBat"&gt;</t>
  </si>
  <si>
    <t>&lt;type name="Netting"&gt;</t>
  </si>
  <si>
    <t>&lt;type name="NioshFaceMask"&gt;</t>
  </si>
  <si>
    <t>&lt;type name="NurseDress_Blue"&gt;</t>
  </si>
  <si>
    <t>&lt;type name="NurseDress_White"&gt;</t>
  </si>
  <si>
    <t>&lt;type name="NylonKnifeSheath"&gt;</t>
  </si>
  <si>
    <t>&lt;type name="OMNOGloves_Brown"&gt;</t>
  </si>
  <si>
    <t>&lt;type name="OMNOGloves_Gray"&gt;</t>
  </si>
  <si>
    <t>&lt;type name="OfficerHat"&gt;</t>
  </si>
  <si>
    <t>&lt;type name="OffroadHatchback"&gt;</t>
  </si>
  <si>
    <t>&lt;type name="OffroadHatchback_Blue"&gt;</t>
  </si>
  <si>
    <t>&lt;type name="OffroadHatchback_White"&gt;</t>
  </si>
  <si>
    <t>&lt;type name="OrienteeringCompass"&gt;</t>
  </si>
  <si>
    <t>&lt;type name="PSO11Optic"&gt;</t>
  </si>
  <si>
    <t>&lt;type name="PSO1Optic"&gt;</t>
  </si>
  <si>
    <t>&lt;type name="PUScopeOptic"&gt;</t>
  </si>
  <si>
    <t>&lt;type name="PainkillerTablets"&gt;</t>
  </si>
  <si>
    <t>&lt;type name="Paper"&gt;</t>
  </si>
  <si>
    <t>&lt;type name="ParamedicJacket_Blue"&gt;</t>
  </si>
  <si>
    <t>&lt;type name="ParamedicJacket_Crimson"&gt;</t>
  </si>
  <si>
    <t>&lt;type name="ParamedicJacket_Green"&gt;</t>
  </si>
  <si>
    <t>&lt;type name="ParamedicPants_Blue"&gt;</t>
  </si>
  <si>
    <t>&lt;type name="ParamedicPants_Crimson"&gt;</t>
  </si>
  <si>
    <t>&lt;type name="ParamedicPants_Green"&gt;</t>
  </si>
  <si>
    <t>&lt;type name="PeachesCan"&gt;</t>
  </si>
  <si>
    <t>&lt;type name="PeachesCan_Opened"&gt;</t>
  </si>
  <si>
    <t>&lt;type name="Pear"&gt;</t>
  </si>
  <si>
    <t>&lt;type name="Pen_Black"&gt;</t>
  </si>
  <si>
    <t>&lt;type name="Pen_Blue"&gt;</t>
  </si>
  <si>
    <t>&lt;type name="Pen_Green"&gt;</t>
  </si>
  <si>
    <t>&lt;type name="Pen_Red"&gt;</t>
  </si>
  <si>
    <t>&lt;type name="PepperSeeds"&gt;</t>
  </si>
  <si>
    <t>&lt;type name="PepperSeedsPack"&gt;</t>
  </si>
  <si>
    <t>&lt;type name="PersonalRadio"&gt;</t>
  </si>
  <si>
    <t>&lt;type name="Pickaxe"&gt;</t>
  </si>
  <si>
    <t>&lt;type name="PigPelt"&gt;</t>
  </si>
  <si>
    <t>&lt;type name="PigSteakMeat"&gt;</t>
  </si>
  <si>
    <t>&lt;type name="PileOfWoodenPlanks"&gt;</t>
  </si>
  <si>
    <t>&lt;type name="PilotkaCap"&gt;</t>
  </si>
  <si>
    <t>&lt;type name="Pipe"&gt;</t>
  </si>
  <si>
    <t>&lt;type name="PistolSuppressor"&gt;</t>
  </si>
  <si>
    <t>&lt;type name="PlantMaterial"&gt;</t>
  </si>
  <si>
    <t>&lt;type name="Plant_Pepper"&gt;</t>
  </si>
  <si>
    <t>&lt;type name="Plant_Potato"&gt;</t>
  </si>
  <si>
    <t>&lt;type name="Plant_Pumpkin"&gt;</t>
  </si>
  <si>
    <t>&lt;type name="Plant_Tomato"&gt;</t>
  </si>
  <si>
    <t>&lt;type name="Plant_Zucchini"&gt;</t>
  </si>
  <si>
    <t>&lt;type name="PlateCarrierHolster"&gt;</t>
  </si>
  <si>
    <t>&lt;type name="PlateCarrierPouches"&gt;</t>
  </si>
  <si>
    <t>&lt;type name="PlateCarrierVest"&gt;</t>
  </si>
  <si>
    <t>&lt;type name="PleurotusMushroom"&gt;</t>
  </si>
  <si>
    <t>&lt;type name="Pliers"&gt;</t>
  </si>
  <si>
    <t>&lt;type name="Plum"&gt;</t>
  </si>
  <si>
    <t>&lt;type name="PoliceCap"&gt;</t>
  </si>
  <si>
    <t>&lt;type name="PoliceJacket"&gt;</t>
  </si>
  <si>
    <t>&lt;type name="PoliceJacketOrel"&gt;</t>
  </si>
  <si>
    <t>&lt;type name="PolicePants"&gt;</t>
  </si>
  <si>
    <t>&lt;type name="PolicePantsOrel"&gt;</t>
  </si>
  <si>
    <t>&lt;type name="PoliceVest"&gt;</t>
  </si>
  <si>
    <t>&lt;type name="PortableGasLamp"&gt;</t>
  </si>
  <si>
    <t>&lt;type name="PortableGasStove"&gt;</t>
  </si>
  <si>
    <t>&lt;type name="Pot"&gt;</t>
  </si>
  <si>
    <t>&lt;type name="Potato"&gt;</t>
  </si>
  <si>
    <t>&lt;type name="PowderedMilk"&gt;</t>
  </si>
  <si>
    <t>&lt;type name="PowerGenerator"&gt;</t>
  </si>
  <si>
    <t>&lt;type name="PressVest_Blue"&gt;</t>
  </si>
  <si>
    <t>&lt;type name="PressVest_LightBlue"&gt;</t>
  </si>
  <si>
    <t>&lt;type name="PrisonUniformJacket"&gt;</t>
  </si>
  <si>
    <t>&lt;type name="PrisonUniformPants"&gt;</t>
  </si>
  <si>
    <t>&lt;type name="PrisonerCap"&gt;</t>
  </si>
  <si>
    <t>&lt;type name="Pumpkin"&gt;</t>
  </si>
  <si>
    <t>&lt;type name="PumpkinHelmet"&gt;</t>
  </si>
  <si>
    <t>&lt;type name="PumpkinSeeds"&gt;</t>
  </si>
  <si>
    <t>&lt;type name="PumpkinSeedsPack"&gt;</t>
  </si>
  <si>
    <t>&lt;type name="PurificationTablets"&gt;</t>
  </si>
  <si>
    <t>&lt;type name="QuiltedJacket_Black"&gt;</t>
  </si>
  <si>
    <t>&lt;type name="QuiltedJacket_Blue"&gt;</t>
  </si>
  <si>
    <t>&lt;type name="QuiltedJacket_Green"&gt;</t>
  </si>
  <si>
    <t>&lt;type name="QuiltedJacket_Grey"&gt;</t>
  </si>
  <si>
    <t>&lt;type name="QuiltedJacket_Orange"&gt;</t>
  </si>
  <si>
    <t>&lt;type name="QuiltedJacket_Red"&gt;</t>
  </si>
  <si>
    <t>&lt;type name="QuiltedJacket_Violet"&gt;</t>
  </si>
  <si>
    <t>&lt;type name="QuiltedJacket_Yellow"&gt;</t>
  </si>
  <si>
    <t>&lt;type name="RDG2SmokeGrenade_Black"&gt;</t>
  </si>
  <si>
    <t>&lt;type name="RDG2SmokeGrenade_White"&gt;</t>
  </si>
  <si>
    <t>&lt;type name="RGD5Grenade"&gt;</t>
  </si>
  <si>
    <t>&lt;type name="RadarCap_Black"&gt;</t>
  </si>
  <si>
    <t>&lt;type name="RadarCap_Blue"&gt;</t>
  </si>
  <si>
    <t>&lt;type name="RadarCap_Brown"&gt;</t>
  </si>
  <si>
    <t>&lt;type name="RadarCap_Green"&gt;</t>
  </si>
  <si>
    <t>&lt;type name="RadarCap_Red"&gt;</t>
  </si>
  <si>
    <t>&lt;type name="Rag"&gt;</t>
  </si>
  <si>
    <t>&lt;type name="Raincoat_Black"&gt;</t>
  </si>
  <si>
    <t>&lt;type name="Raincoat_Blue"&gt;</t>
  </si>
  <si>
    <t>&lt;type name="Raincoat_Green"&gt;</t>
  </si>
  <si>
    <t>&lt;type name="Raincoat_Orange"&gt;</t>
  </si>
  <si>
    <t>&lt;type name="Raincoat_Pink"&gt;</t>
  </si>
  <si>
    <t>&lt;type name="Raincoat_Red"&gt;</t>
  </si>
  <si>
    <t>&lt;type name="Raincoat_Yellow"&gt;</t>
  </si>
  <si>
    <t>&lt;type name="Rangefinder"&gt;</t>
  </si>
  <si>
    <t>&lt;type name="ReflexOptic"&gt;</t>
  </si>
  <si>
    <t>&lt;type name="ReflexVest"&gt;</t>
  </si>
  <si>
    <t>&lt;type name="Rice"&gt;</t>
  </si>
  <si>
    <t>&lt;type name="RidersJacket_Black"&gt;</t>
  </si>
  <si>
    <t>&lt;type name="Roadflare"&gt;</t>
  </si>
  <si>
    <t>&lt;type name="Rope"&gt;</t>
  </si>
  <si>
    <t>&lt;type name="SKS"&gt;</t>
  </si>
  <si>
    <t>&lt;type name="SKS_Bayonet"&gt;</t>
  </si>
  <si>
    <t>&lt;type name="SVD"&gt;</t>
  </si>
  <si>
    <t>&lt;type name="Saiga"&gt;</t>
  </si>
  <si>
    <t>&lt;type name="Saiga_Bttstck"&gt;</t>
  </si>
  <si>
    <t>&lt;type name="SalineBag"&gt;</t>
  </si>
  <si>
    <t>&lt;type name="SalineBagIV"&gt;</t>
  </si>
  <si>
    <t>&lt;type name="SambucusBerry"&gt;</t>
  </si>
  <si>
    <t>&lt;type name="SantasBeard"&gt;</t>
  </si>
  <si>
    <t>&lt;type name="SantasHat"&gt;</t>
  </si>
  <si>
    <t>&lt;type name="SardinesCan"&gt;</t>
  </si>
  <si>
    <t>&lt;type name="SardinesCan_Opened"&gt;</t>
  </si>
  <si>
    <t>&lt;type name="SawedoffIzh18"&gt;</t>
  </si>
  <si>
    <t>&lt;type name="SawedoffIzh43Shotgun"&gt;</t>
  </si>
  <si>
    <t>&lt;type name="SawedoffMosin9130"&gt;</t>
  </si>
  <si>
    <t>&lt;type name="SawedoffMosin9130_Black"&gt;</t>
  </si>
  <si>
    <t>&lt;type name="SawedoffMosin9130_Camo"&gt;</t>
  </si>
  <si>
    <t>&lt;type name="SawedoffMosin9130_Green"&gt;</t>
  </si>
  <si>
    <t>&lt;type name="Screwdriver"&gt;</t>
  </si>
  <si>
    <t>&lt;type name="SeaChest"&gt;</t>
  </si>
  <si>
    <t>&lt;flags count_in_cargo="0" count_in_hoarder="0" count_in_map="1" count_in_player="1" crafted="0" deloot="0"/&gt;</t>
  </si>
  <si>
    <t>&lt;type name="Sedan_02"&gt;</t>
  </si>
  <si>
    <t>&lt;type name="Sedan_02_Door_1_1"&gt;</t>
  </si>
  <si>
    <t>&lt;type name="Sedan_02_Door_1_1_Grey"&gt;</t>
  </si>
  <si>
    <t>&lt;type name="Sedan_02_Door_1_1_Red"&gt;</t>
  </si>
  <si>
    <t>&lt;type name="Sedan_02_Door_1_2"&gt;</t>
  </si>
  <si>
    <t>&lt;type name="Sedan_02_Door_1_2_Grey"&gt;</t>
  </si>
  <si>
    <t>&lt;type name="Sedan_02_Door_1_2_Red"&gt;</t>
  </si>
  <si>
    <t>&lt;type name="Sedan_02_Door_2_1"&gt;</t>
  </si>
  <si>
    <t>&lt;type name="Sedan_02_Door_2_1_Grey"&gt;</t>
  </si>
  <si>
    <t>&lt;type name="Sedan_02_Door_2_1_Red"&gt;</t>
  </si>
  <si>
    <t>&lt;type name="Sedan_02_Door_2_2"&gt;</t>
  </si>
  <si>
    <t>&lt;type name="Sedan_02_Door_2_2_Grey"&gt;</t>
  </si>
  <si>
    <t>&lt;type name="Sedan_02_Door_2_2_Red"&gt;</t>
  </si>
  <si>
    <t>&lt;type name="Sedan_02_Grey"&gt;</t>
  </si>
  <si>
    <t>&lt;type name="Sedan_02_Hood"&gt;</t>
  </si>
  <si>
    <t>&lt;type name="Sedan_02_Hood_Grey"&gt;</t>
  </si>
  <si>
    <t>&lt;type name="Sedan_02_Hood_Red"&gt;</t>
  </si>
  <si>
    <t>&lt;type name="Sedan_02_Red"&gt;</t>
  </si>
  <si>
    <t>&lt;type name="Sedan_02_Trunk"&gt;</t>
  </si>
  <si>
    <t>&lt;type name="Sedan_02_Trunk_Grey"&gt;</t>
  </si>
  <si>
    <t>&lt;type name="Sedan_02_Trunk_Red"&gt;</t>
  </si>
  <si>
    <t>&lt;type name="Sedan_02_Wheel"&gt;</t>
  </si>
  <si>
    <t>&lt;type name="Sedan_02_Wheel_Ruined"&gt;</t>
  </si>
  <si>
    <t>&lt;type name="SewingKit"&gt;</t>
  </si>
  <si>
    <t>&lt;type name="SheepPelt"&gt;</t>
  </si>
  <si>
    <t>&lt;type name="SheepSteakMeat"&gt;</t>
  </si>
  <si>
    <t>&lt;type name="Shirt_BlueCheck"&gt;</t>
  </si>
  <si>
    <t>&lt;type name="Shirt_BlueCheckBright"&gt;</t>
  </si>
  <si>
    <t>&lt;type name="Shirt_GreenCheck"&gt;</t>
  </si>
  <si>
    <t>&lt;type name="Shirt_PlaneBlack"&gt;</t>
  </si>
  <si>
    <t>&lt;type name="Shirt_RedCheck"&gt;</t>
  </si>
  <si>
    <t>&lt;type name="Shirt_WhiteCheck"&gt;</t>
  </si>
  <si>
    <t>&lt;type name="ShortJeans_Black"&gt;</t>
  </si>
  <si>
    <t>&lt;type name="ShortJeans_Blue"&gt;</t>
  </si>
  <si>
    <t>&lt;type name="ShortJeans_Brown"&gt;</t>
  </si>
  <si>
    <t>&lt;type name="ShortJeans_Darkblue"&gt;</t>
  </si>
  <si>
    <t>&lt;type name="ShortJeans_Green"&gt;</t>
  </si>
  <si>
    <t>&lt;type name="ShortJeans_Red"&gt;</t>
  </si>
  <si>
    <t>&lt;type name="Shovel"&gt;</t>
  </si>
  <si>
    <t>&lt;type name="SkateHelmet_Black"&gt;</t>
  </si>
  <si>
    <t>&lt;type name="SkateHelmet_Blue"&gt;</t>
  </si>
  <si>
    <t>&lt;type name="SkateHelmet_Gray"&gt;</t>
  </si>
  <si>
    <t>&lt;type name="SkateHelmet_Green"&gt;</t>
  </si>
  <si>
    <t>&lt;type name="SkateHelmet_Red"&gt;</t>
  </si>
  <si>
    <t>&lt;type name="Skirt_Blue"&gt;</t>
  </si>
  <si>
    <t>&lt;type name="Skirt_Red"&gt;</t>
  </si>
  <si>
    <t>&lt;type name="Skirt_White"&gt;</t>
  </si>
  <si>
    <t>&lt;type name="Skirt_Yellow"&gt;</t>
  </si>
  <si>
    <t>&lt;type name="SlacksPants_Beige"&gt;</t>
  </si>
  <si>
    <t>&lt;type name="SlacksPants_Black"&gt;</t>
  </si>
  <si>
    <t>&lt;type name="SlacksPants_Blue"&gt;</t>
  </si>
  <si>
    <t>&lt;type name="SlacksPants_Brown"&gt;</t>
  </si>
  <si>
    <t>&lt;type name="SlacksPants_DarkGrey"&gt;</t>
  </si>
  <si>
    <t>&lt;type name="SlacksPants_Khaki"&gt;</t>
  </si>
  <si>
    <t>&lt;type name="SlacksPants_LightGrey"&gt;</t>
  </si>
  <si>
    <t>&lt;type name="SlacksPants_White"&gt;</t>
  </si>
  <si>
    <t>&lt;type name="SledgeHammer"&gt;</t>
  </si>
  <si>
    <t>&lt;type name="SlicedPumpkin"&gt;</t>
  </si>
  <si>
    <t>&lt;type name="SmallGasCanister"&gt;</t>
  </si>
  <si>
    <t>&lt;type name="SmallGuts"&gt;</t>
  </si>
  <si>
    <t>&lt;type name="SmallProtectorCase"&gt;</t>
  </si>
  <si>
    <t>&lt;type name="SmallStone"&gt;</t>
  </si>
  <si>
    <t>&lt;quantmax&gt;15&lt;/quantmax&gt;</t>
  </si>
  <si>
    <t>&lt;type name="SmershBag"&gt;</t>
  </si>
  <si>
    <t>&lt;type name="SmershVest"&gt;</t>
  </si>
  <si>
    <t>&lt;type name="Sneakers_Black"&gt;</t>
  </si>
  <si>
    <t>&lt;type name="Sneakers_Gray"&gt;</t>
  </si>
  <si>
    <t>&lt;type name="Sneakers_Green"&gt;</t>
  </si>
  <si>
    <t>&lt;type name="Sneakers_Red"&gt;</t>
  </si>
  <si>
    <t>&lt;type name="Sneakers_White"&gt;</t>
  </si>
  <si>
    <t>&lt;type name="SodaCan_Cola"&gt;</t>
  </si>
  <si>
    <t>&lt;type name="SodaCan_Kvass"&gt;</t>
  </si>
  <si>
    <t>&lt;type name="SodaCan_Pipsi"&gt;</t>
  </si>
  <si>
    <t>&lt;type name="SodaCan_Spite"&gt;</t>
  </si>
  <si>
    <t>&lt;type name="SpaghettiCan"&gt;</t>
  </si>
  <si>
    <t>&lt;type name="SpaghettiCan_Opened"&gt;</t>
  </si>
  <si>
    <t>&lt;type name="SparkPlug"&gt;</t>
  </si>
  <si>
    <t>&lt;type name="Spear"&gt;</t>
  </si>
  <si>
    <t>&lt;type name="SportGlasses_Black"&gt;</t>
  </si>
  <si>
    <t>&lt;type name="SportGlasses_Blue"&gt;</t>
  </si>
  <si>
    <t>&lt;type name="SportGlasses_Green"&gt;</t>
  </si>
  <si>
    <t>&lt;type name="SportGlasses_Orange"&gt;</t>
  </si>
  <si>
    <t>&lt;type name="Spotlight"&gt;</t>
  </si>
  <si>
    <t>&lt;type name="Ssh68Helmet"&gt;</t>
  </si>
  <si>
    <t>&lt;type name="StartKitIV"&gt;</t>
  </si>
  <si>
    <t>&lt;type name="SteakKnife"&gt;</t>
  </si>
  <si>
    <t>&lt;type name="Stone"&gt;</t>
  </si>
  <si>
    <t>&lt;type name="StoneKnife"&gt;</t>
  </si>
  <si>
    <t>&lt;type name="StunBaton"&gt;</t>
  </si>
  <si>
    <t>&lt;type name="SurgicalGloves_Blue"&gt;</t>
  </si>
  <si>
    <t>&lt;type name="SurgicalGloves_Green"&gt;</t>
  </si>
  <si>
    <t>&lt;type name="SurgicalGloves_LightBlue"&gt;</t>
  </si>
  <si>
    <t>&lt;type name="SurgicalGloves_White"&gt;</t>
  </si>
  <si>
    <t>&lt;type name="SurgicalMask"&gt;</t>
  </si>
  <si>
    <t>&lt;type name="Sweater_Blue"&gt;</t>
  </si>
  <si>
    <t>&lt;type name="Sweater_Gray"&gt;</t>
  </si>
  <si>
    <t>&lt;type name="Sweater_Green"&gt;</t>
  </si>
  <si>
    <t>&lt;type name="Sweater_Red"&gt;</t>
  </si>
  <si>
    <t>&lt;type name="TLRLight"&gt;</t>
  </si>
  <si>
    <t>&lt;type name="TShirt_Beige"&gt;</t>
  </si>
  <si>
    <t>&lt;type name="TShirt_Black"&gt;</t>
  </si>
  <si>
    <t>&lt;type name="TShirt_Blue"&gt;</t>
  </si>
  <si>
    <t>&lt;type name="TShirt_Green"&gt;</t>
  </si>
  <si>
    <t>&lt;type name="TShirt_Grey"&gt;</t>
  </si>
  <si>
    <t>&lt;type name="TShirt_OrangeWhiteStripes"&gt;</t>
  </si>
  <si>
    <t>&lt;type name="TShirt_Red"&gt;</t>
  </si>
  <si>
    <t>&lt;type name="TShirt_RedBlackStripes"&gt;</t>
  </si>
  <si>
    <t>&lt;type name="TShirt_White"&gt;</t>
  </si>
  <si>
    <t>&lt;type name="TTSKOBoots"&gt;</t>
  </si>
  <si>
    <t>&lt;type name="TTSKOPants"&gt;</t>
  </si>
  <si>
    <t>&lt;type name="TTsKOJacket_Camo"&gt;</t>
  </si>
  <si>
    <t>&lt;type name="TacticalBaconCan"&gt;</t>
  </si>
  <si>
    <t>&lt;type name="TacticalBaconCan_Opened"&gt;</t>
  </si>
  <si>
    <t>&lt;type name="TacticalGloves_Beige"&gt;</t>
  </si>
  <si>
    <t>&lt;type name="TacticalGloves_Black"&gt;</t>
  </si>
  <si>
    <t>&lt;type name="TacticalGloves_Green"&gt;</t>
  </si>
  <si>
    <t>&lt;type name="TacticalGoggles"&gt;</t>
  </si>
  <si>
    <t>&lt;type name="TacticalShirt_Black"&gt;</t>
  </si>
  <si>
    <t>&lt;type name="TacticalShirt_Grey"&gt;</t>
  </si>
  <si>
    <t>&lt;type name="TacticalShirt_Olive"&gt;</t>
  </si>
  <si>
    <t>&lt;type name="TacticalShirt_Tan"&gt;</t>
  </si>
  <si>
    <t>&lt;type name="TaloonBag_Blue"&gt;</t>
  </si>
  <si>
    <t>&lt;type name="TaloonBag_Green"&gt;</t>
  </si>
  <si>
    <t>&lt;type name="TaloonBag_Orange"&gt;</t>
  </si>
  <si>
    <t>&lt;type name="TaloonBag_Violet"&gt;</t>
  </si>
  <si>
    <t>&lt;type name="TankerHelmet"&gt;</t>
  </si>
  <si>
    <t>&lt;type name="TannedLeather"&gt;</t>
  </si>
  <si>
    <t>&lt;type name="TelnyashkaShirt"&gt;</t>
  </si>
  <si>
    <t>&lt;type name="TetracyclineAntibiotics"&gt;</t>
  </si>
  <si>
    <t>&lt;type name="Thermometer"&gt;</t>
  </si>
  <si>
    <t>&lt;type name="ThickFramesGlasses"&gt;</t>
  </si>
  <si>
    <t>&lt;type name="ThinFramesGlasses"&gt;</t>
  </si>
  <si>
    <t>&lt;type name="TireRepairKit"&gt;</t>
  </si>
  <si>
    <t>&lt;type name="Tomato"&gt;</t>
  </si>
  <si>
    <t>&lt;type name="TomatoSeeds"&gt;</t>
  </si>
  <si>
    <t>&lt;type name="TomatoSeedsPack"&gt;</t>
  </si>
  <si>
    <t>&lt;type name="Torch"&gt;</t>
  </si>
  <si>
    <t>&lt;type name="TortillaBag"&gt;</t>
  </si>
  <si>
    <t>&lt;type name="TrackSuitJacket_Black"&gt;</t>
  </si>
  <si>
    <t>&lt;type name="TrackSuitJacket_Blue"&gt;</t>
  </si>
  <si>
    <t>&lt;type name="TrackSuitJacket_Green"&gt;</t>
  </si>
  <si>
    <t>&lt;type name="TrackSuitJacket_LightBlue"&gt;</t>
  </si>
  <si>
    <t>&lt;type name="TrackSuitJacket_Red"&gt;</t>
  </si>
  <si>
    <t>&lt;type name="TrackSuitPants_Black"&gt;</t>
  </si>
  <si>
    <t>&lt;type name="TrackSuitPants_Blue"&gt;</t>
  </si>
  <si>
    <t>&lt;type name="TrackSuitPants_Green"&gt;</t>
  </si>
  <si>
    <t>&lt;type name="TrackSuitPants_LightBlue"&gt;</t>
  </si>
  <si>
    <t>&lt;type name="TrackSuitPants_Red"&gt;</t>
  </si>
  <si>
    <t>&lt;type name="TransitBus"&gt;</t>
  </si>
  <si>
    <t>&lt;type name="Tripod"&gt;</t>
  </si>
  <si>
    <t>&lt;type name="TruckBattery"&gt;</t>
  </si>
  <si>
    <t>&lt;type name="TunaCan"&gt;</t>
  </si>
  <si>
    <t>&lt;type name="TunaCan_Opened"&gt;</t>
  </si>
  <si>
    <t>&lt;type name="UKAssVest_Black"&gt;</t>
  </si>
  <si>
    <t>&lt;flags count_in_cargo="1" count_in_hoarder="0" count_in_map="1" count_in_player="0" crafted="0" deloot="0"/&gt;</t>
  </si>
  <si>
    <t>&lt;type name="UKAssVest_Camo"&gt;</t>
  </si>
  <si>
    <t>&lt;type name="UKAssVest_Khaki"&gt;</t>
  </si>
  <si>
    <t>&lt;type name="UKAssVest_Olive"&gt;</t>
  </si>
  <si>
    <t>&lt;type name="UMP45"&gt;</t>
  </si>
  <si>
    <t>&lt;type name="USMCJacket_Desert"&gt;</t>
  </si>
  <si>
    <t>&lt;type name="USMCJacket_Woodland"&gt;</t>
  </si>
  <si>
    <t>&lt;type name="USMCPants_Desert"&gt;</t>
  </si>
  <si>
    <t>&lt;type name="USMCPants_Woodland"&gt;</t>
  </si>
  <si>
    <t>&lt;type name="UndergroundStash"&gt;</t>
  </si>
  <si>
    <t>&lt;type name="UniversalLight"&gt;</t>
  </si>
  <si>
    <t>&lt;type name="Ushanka_Black"&gt;</t>
  </si>
  <si>
    <t>&lt;type name="Ushanka_Blue"&gt;</t>
  </si>
  <si>
    <t>&lt;type name="Ushanka_Green"&gt;</t>
  </si>
  <si>
    <t>&lt;type name="V3SDoors_CoDriver"&gt;</t>
  </si>
  <si>
    <t>&lt;type name="V3SDoors_Driver"&gt;</t>
  </si>
  <si>
    <t>&lt;type name="V3SHood"&gt;</t>
  </si>
  <si>
    <t>&lt;type name="V3SWheel"&gt;</t>
  </si>
  <si>
    <t>&lt;type name="V3SWheelDouble"&gt;</t>
  </si>
  <si>
    <t>&lt;type name="V3SWheelDouble_Ruined"&gt;</t>
  </si>
  <si>
    <t>&lt;type name="V3SWheel_Ruined"&gt;</t>
  </si>
  <si>
    <t>&lt;type name="V3S_Cargo"&gt;</t>
  </si>
  <si>
    <t>&lt;type name="V3S_Cargo_Blue"&gt;</t>
  </si>
  <si>
    <t>&lt;type name="V3S_Cargo_Grey"&gt;</t>
  </si>
  <si>
    <t>&lt;type name="V3S_Cargo_Orange"&gt;</t>
  </si>
  <si>
    <t>&lt;type name="V3S_Chassis"&gt;</t>
  </si>
  <si>
    <t>&lt;type name="V3S_Chassis_Blue"&gt;</t>
  </si>
  <si>
    <t>&lt;type name="V3S_Chassis_Grey"&gt;</t>
  </si>
  <si>
    <t>&lt;type name="V3S_Chassis_Orange"&gt;</t>
  </si>
  <si>
    <t>&lt;type name="VSS"&gt;</t>
  </si>
  <si>
    <t>&lt;type name="VitaminBottle"&gt;</t>
  </si>
  <si>
    <t>&lt;type name="Watchtower"&gt;</t>
  </si>
  <si>
    <t>&lt;type name="WatchtowerKit"&gt;</t>
  </si>
  <si>
    <t>&lt;type name="WaterBottle"&gt;</t>
  </si>
  <si>
    <t>&lt;type name="WaterproofBag_Green"&gt;</t>
  </si>
  <si>
    <t>&lt;type name="WaterproofBag_Orange"&gt;</t>
  </si>
  <si>
    <t>&lt;type name="WaterproofBag_Yellow"&gt;</t>
  </si>
  <si>
    <t>&lt;type name="WeaponCleaningKit"&gt;</t>
  </si>
  <si>
    <t>&lt;type name="WeldingMask"&gt;</t>
  </si>
  <si>
    <t>&lt;type name="Wellies_Black"&gt;</t>
  </si>
  <si>
    <t>&lt;type name="Wellies_Brown"&gt;</t>
  </si>
  <si>
    <t>&lt;type name="Wellies_Green"&gt;</t>
  </si>
  <si>
    <t>&lt;type name="Wellies_Grey"&gt;</t>
  </si>
  <si>
    <t>&lt;type name="Whetstone"&gt;</t>
  </si>
  <si>
    <t>&lt;type name="WildboarPelt"&gt;</t>
  </si>
  <si>
    <t>&lt;type name="Winchester70"&gt;</t>
  </si>
  <si>
    <t>&lt;type name="WolfMask"&gt;</t>
  </si>
  <si>
    <t>&lt;type name="WolfPelt"&gt;</t>
  </si>
  <si>
    <t>&lt;type name="WolfSteakMeat"&gt;</t>
  </si>
  <si>
    <t>&lt;type name="WomanSuit_Beige"&gt;</t>
  </si>
  <si>
    <t>&lt;type name="WomanSuit_Black"&gt;</t>
  </si>
  <si>
    <t>&lt;type name="WomanSuit_Blue"&gt;</t>
  </si>
  <si>
    <t>&lt;type name="WomanSuit_Brown"&gt;</t>
  </si>
  <si>
    <t>&lt;type name="WomanSuit_DarkGrey"&gt;</t>
  </si>
  <si>
    <t>&lt;type name="WomanSuit_Khaki"&gt;</t>
  </si>
  <si>
    <t>&lt;type name="WomanSuit_LightGrey"&gt;</t>
  </si>
  <si>
    <t>&lt;type name="WomanSuit_White"&gt;</t>
  </si>
  <si>
    <t>&lt;type name="WoodAxe"&gt;</t>
  </si>
  <si>
    <t>&lt;type name="WoodenCrate"&gt;</t>
  </si>
  <si>
    <t>&lt;type name="WoodenPlank"&gt;</t>
  </si>
  <si>
    <t>&lt;type name="WoodenStick"&gt;</t>
  </si>
  <si>
    <t>&lt;type name="WoolCoat_Beige"&gt;</t>
  </si>
  <si>
    <t>&lt;type name="WoolCoat_Black"&gt;</t>
  </si>
  <si>
    <t>&lt;type name="WoolCoat_BlackCheck"&gt;</t>
  </si>
  <si>
    <t>&lt;type name="WoolCoat_Blue"&gt;</t>
  </si>
  <si>
    <t>&lt;type name="WoolCoat_BlueCheck"&gt;</t>
  </si>
  <si>
    <t>&lt;type name="WoolCoat_BrownCheck"&gt;</t>
  </si>
  <si>
    <t>&lt;type name="WoolCoat_Green"&gt;</t>
  </si>
  <si>
    <t>&lt;type name="WoolCoat_GreyCheck"&gt;</t>
  </si>
  <si>
    <t>&lt;type name="WoolCoat_Red"&gt;</t>
  </si>
  <si>
    <t>&lt;type name="WoolCoat_RedCheck"&gt;</t>
  </si>
  <si>
    <t>&lt;type name="WorkingBoots_Beige"&gt;</t>
  </si>
  <si>
    <t>&lt;type name="WorkingBoots_Brown"&gt;</t>
  </si>
  <si>
    <t>&lt;type name="WorkingBoots_Green"&gt;</t>
  </si>
  <si>
    <t>&lt;type name="WorkingBoots_Grey"&gt;</t>
  </si>
  <si>
    <t>&lt;type name="WorkingBoots_Yellow"&gt;</t>
  </si>
  <si>
    <t>&lt;type name="WorkingGloves_Beige"&gt;</t>
  </si>
  <si>
    <t>&lt;type name="WorkingGloves_Black"&gt;</t>
  </si>
  <si>
    <t>&lt;type name="WorkingGloves_Brown"&gt;</t>
  </si>
  <si>
    <t>&lt;type name="WorkingGloves_Yellow"&gt;</t>
  </si>
  <si>
    <t>&lt;type name="Wreck_Mi8"&gt;</t>
  </si>
  <si>
    <t>&lt;type name="Wreck_UH1Y"&gt;</t>
  </si>
  <si>
    <t>&lt;type name="Wrench"&gt;</t>
  </si>
  <si>
    <t>&lt;type name="XmasLights"&gt;</t>
  </si>
  <si>
    <t>&lt;type name="ZSh3PilotHelmet"&gt;</t>
  </si>
  <si>
    <t>&lt;type name="ZmbF_BlueCollarFat_Blue"&gt;</t>
  </si>
  <si>
    <t>&lt;type name="ZmbF_BlueCollarFat_Green"&gt;</t>
  </si>
  <si>
    <t>&lt;type name="ZmbF_BlueCollarFat_Red"&gt;</t>
  </si>
  <si>
    <t>&lt;type name="ZmbF_BlueCollarFat_White"&gt;</t>
  </si>
  <si>
    <t>&lt;type name="ZmbF_CitizenANormal_Beige"&gt;</t>
  </si>
  <si>
    <t>&lt;type name="ZmbF_CitizenANormal_Blue"&gt;</t>
  </si>
  <si>
    <t>&lt;type name="ZmbF_CitizenANormal_Brown"&gt;</t>
  </si>
  <si>
    <t>&lt;type name="ZmbF_CitizenBSkinny"&gt;</t>
  </si>
  <si>
    <t>&lt;type name="ZmbF_Clerk_Normal_Blue"&gt;</t>
  </si>
  <si>
    <t>&lt;type name="ZmbF_Clerk_Normal_Green"&gt;</t>
  </si>
  <si>
    <t>&lt;type name="ZmbF_Clerk_Normal_Red"&gt;</t>
  </si>
  <si>
    <t>&lt;type name="ZmbF_Clerk_Normal_White"&gt;</t>
  </si>
  <si>
    <t>&lt;type name="ZmbF_DoctorSkinny"&gt;</t>
  </si>
  <si>
    <t>&lt;type name="ZmbF_HikerSkinny_Blue"&gt;</t>
  </si>
  <si>
    <t>&lt;type name="ZmbF_HikerSkinny_Green"&gt;</t>
  </si>
  <si>
    <t>&lt;type name="ZmbF_HikerSkinny_Grey"&gt;</t>
  </si>
  <si>
    <t>&lt;type name="ZmbF_HikerSkinny_Red"&gt;</t>
  </si>
  <si>
    <t>&lt;type name="ZmbF_JoggerSkinny_Blue"&gt;</t>
  </si>
  <si>
    <t>&lt;type name="ZmbF_JoggerSkinny_Brown"&gt;</t>
  </si>
  <si>
    <t>&lt;type name="ZmbF_JoggerSkinny_Green"&gt;</t>
  </si>
  <si>
    <t>&lt;type name="ZmbF_JoggerSkinny_Red"&gt;</t>
  </si>
  <si>
    <t>&lt;type name="ZmbF_JournalistNormal_Blue"&gt;</t>
  </si>
  <si>
    <t>&lt;type name="ZmbF_JournalistNormal_Green"&gt;</t>
  </si>
  <si>
    <t>&lt;type name="ZmbF_JournalistNormal_Red"&gt;</t>
  </si>
  <si>
    <t>&lt;type name="ZmbF_JournalistNormal_White"&gt;</t>
  </si>
  <si>
    <t>&lt;type name="ZmbF_MechanicNormal_Beige"&gt;</t>
  </si>
  <si>
    <t>&lt;type name="ZmbF_MechanicNormal_Green"&gt;</t>
  </si>
  <si>
    <t>&lt;type name="ZmbF_MechanicNormal_Grey"&gt;</t>
  </si>
  <si>
    <t>&lt;type name="ZmbF_MechanicNormal_Orange"&gt;</t>
  </si>
  <si>
    <t>&lt;type name="ZmbF_MilkMaidOld_Beige"&gt;</t>
  </si>
  <si>
    <t>&lt;type name="ZmbF_MilkMaidOld_Black"&gt;</t>
  </si>
  <si>
    <t>&lt;type name="ZmbF_MilkMaidOld_Green"&gt;</t>
  </si>
  <si>
    <t>&lt;type name="ZmbF_MilkMaidOld_Grey"&gt;</t>
  </si>
  <si>
    <t>&lt;type name="ZmbF_NurseFat"&gt;</t>
  </si>
  <si>
    <t>&lt;type name="ZmbF_ParamedicNormal_Blue"&gt;</t>
  </si>
  <si>
    <t>&lt;type name="ZmbF_ParamedicNormal_Green"&gt;</t>
  </si>
  <si>
    <t>&lt;type name="ZmbF_ParamedicNormal_Red"&gt;</t>
  </si>
  <si>
    <t>&lt;type name="ZmbF_PatientOld"&gt;</t>
  </si>
  <si>
    <t>&lt;type name="ZmbF_PoliceWomanNormal"&gt;</t>
  </si>
  <si>
    <t>&lt;type name="ZmbF_ShortSkirt_beige"&gt;</t>
  </si>
  <si>
    <t>&lt;type name="ZmbF_ShortSkirt_black"&gt;</t>
  </si>
  <si>
    <t>&lt;type name="ZmbF_ShortSkirt_brown"&gt;</t>
  </si>
  <si>
    <t>&lt;type name="ZmbF_ShortSkirt_checks"&gt;</t>
  </si>
  <si>
    <t>&lt;type name="ZmbF_ShortSkirt_green"&gt;</t>
  </si>
  <si>
    <t>&lt;type name="ZmbF_ShortSkirt_grey"&gt;</t>
  </si>
  <si>
    <t>&lt;type name="ZmbF_ShortSkirt_red"&gt;</t>
  </si>
  <si>
    <t>&lt;type name="ZmbF_ShortSkirt_stripes"&gt;</t>
  </si>
  <si>
    <t>&lt;type name="ZmbF_ShortSkirt_white"&gt;</t>
  </si>
  <si>
    <t>&lt;type name="ZmbF_ShortSkirt_yellow"&gt;</t>
  </si>
  <si>
    <t>&lt;type name="ZmbF_SkaterYoung_Brown"&gt;</t>
  </si>
  <si>
    <t>&lt;type name="ZmbF_SkaterYoung_Striped"&gt;</t>
  </si>
  <si>
    <t>&lt;type name="ZmbF_SkaterYoung_Violet"&gt;</t>
  </si>
  <si>
    <t>&lt;type name="ZmbF_SurvivorNormal_Blue"&gt;</t>
  </si>
  <si>
    <t>&lt;type name="ZmbF_SurvivorNormal_Orange"&gt;</t>
  </si>
  <si>
    <t>&lt;type name="ZmbF_SurvivorNormal_Red"&gt;</t>
  </si>
  <si>
    <t>&lt;type name="ZmbF_SurvivorNormal_White"&gt;</t>
  </si>
  <si>
    <t>&lt;type name="ZmbF_VillagerOld_Blue"&gt;</t>
  </si>
  <si>
    <t>&lt;type name="ZmbF_VillagerOld_Green"&gt;</t>
  </si>
  <si>
    <t>&lt;type name="ZmbF_VillagerOld_Red"&gt;</t>
  </si>
  <si>
    <t>&lt;type name="ZmbF_VillagerOld_White"&gt;</t>
  </si>
  <si>
    <t>&lt;type name="ZmbM_CitizenASkinny_Blue"&gt;</t>
  </si>
  <si>
    <t>&lt;type name="ZmbM_CitizenASkinny_Brown"&gt;</t>
  </si>
  <si>
    <t>&lt;type name="ZmbM_CitizenASkinny_Grey"&gt;</t>
  </si>
  <si>
    <t>&lt;type name="ZmbM_CitizenASkinny_Red"&gt;</t>
  </si>
  <si>
    <t>&lt;type name="ZmbM_CitizenBFat_Blue"&gt;</t>
  </si>
  <si>
    <t>&lt;type name="ZmbM_CitizenBFat_Green"&gt;</t>
  </si>
  <si>
    <t>&lt;type name="ZmbM_CitizenBFat_Red"&gt;</t>
  </si>
  <si>
    <t>&lt;type name="ZmbM_ClerkFat_Brown"&gt;</t>
  </si>
  <si>
    <t>&lt;type name="ZmbM_ClerkFat_Grey"&gt;</t>
  </si>
  <si>
    <t>&lt;type name="ZmbM_ClerkFat_Khaki"&gt;</t>
  </si>
  <si>
    <t>&lt;type name="ZmbM_ClerkFat_White"&gt;</t>
  </si>
  <si>
    <t>&lt;type name="ZmbM_CommercialPilotOld_Blue"&gt;</t>
  </si>
  <si>
    <t>&lt;type name="ZmbM_CommercialPilotOld_Brown"&gt;</t>
  </si>
  <si>
    <t>&lt;type name="ZmbM_CommercialPilotOld_Grey"&gt;</t>
  </si>
  <si>
    <t>&lt;type name="ZmbM_CommercialPilotOld_Olive"&gt;</t>
  </si>
  <si>
    <t>&lt;type name="ZmbM_ConstrWorkerNormal_Beige"&gt;</t>
  </si>
  <si>
    <t>&lt;type name="ZmbM_ConstrWorkerNormal_Black"&gt;</t>
  </si>
  <si>
    <t>&lt;type name="ZmbM_ConstrWorkerNormal_Green"&gt;</t>
  </si>
  <si>
    <t>&lt;type name="ZmbM_ConstrWorkerNormal_Grey"&gt;</t>
  </si>
  <si>
    <t>&lt;type name="ZmbM_DoctorFat"&gt;</t>
  </si>
  <si>
    <t>&lt;type name="ZmbM_FarmerFat_Beige"&gt;</t>
  </si>
  <si>
    <t>&lt;type name="ZmbM_FarmerFat_Blue"&gt;</t>
  </si>
  <si>
    <t>&lt;type name="ZmbM_FarmerFat_Brown"&gt;</t>
  </si>
  <si>
    <t>&lt;type name="ZmbM_FarmerFat_Green"&gt;</t>
  </si>
  <si>
    <t>&lt;type name="ZmbM_FirefighterNormal"&gt;</t>
  </si>
  <si>
    <t>&lt;type name="ZmbM_FishermanOld_Blue"&gt;</t>
  </si>
  <si>
    <t>&lt;type name="ZmbM_FishermanOld_Green"&gt;</t>
  </si>
  <si>
    <t>&lt;type name="ZmbM_FishermanOld_Grey"&gt;</t>
  </si>
  <si>
    <t>&lt;type name="ZmbM_FishermanOld_Red"&gt;</t>
  </si>
  <si>
    <t>&lt;type name="ZmbM_HandymanNormal_Beige"&gt;</t>
  </si>
  <si>
    <t>&lt;type name="ZmbM_HandymanNormal_Blue"&gt;</t>
  </si>
  <si>
    <t>&lt;type name="ZmbM_HandymanNormal_Green"&gt;</t>
  </si>
  <si>
    <t>&lt;type name="ZmbM_HandymanNormal_Grey"&gt;</t>
  </si>
  <si>
    <t>&lt;type name="ZmbM_HandymanNormal_White"&gt;</t>
  </si>
  <si>
    <t>&lt;type name="ZmbM_HeavyIndustryWorker"&gt;</t>
  </si>
  <si>
    <t>&lt;type name="ZmbM_HermitSkinny_Beige"&gt;</t>
  </si>
  <si>
    <t>&lt;type name="ZmbM_HermitSkinny_Black"&gt;</t>
  </si>
  <si>
    <t>&lt;type name="ZmbM_HermitSkinny_Green"&gt;</t>
  </si>
  <si>
    <t>&lt;type name="ZmbM_HermitSkinny_Red"&gt;</t>
  </si>
  <si>
    <t>&lt;type name="ZmbM_HikerSkinny_Blue"&gt;</t>
  </si>
  <si>
    <t>&lt;type name="ZmbM_HikerSkinny_Green"&gt;</t>
  </si>
  <si>
    <t>&lt;type name="ZmbM_HikerSkinny_Yellow"&gt;</t>
  </si>
  <si>
    <t>&lt;type name="ZmbM_HunterOld_Autumn"&gt;</t>
  </si>
  <si>
    <t>&lt;type name="ZmbM_HunterOld_Spring"&gt;</t>
  </si>
  <si>
    <t>&lt;type name="ZmbM_HunterOld_Summer"&gt;</t>
  </si>
  <si>
    <t>&lt;type name="ZmbM_HunterOld_Winter"&gt;</t>
  </si>
  <si>
    <t>&lt;type name="ZmbM_Jacket_beige"&gt;</t>
  </si>
  <si>
    <t>&lt;type name="ZmbM_Jacket_black"&gt;</t>
  </si>
  <si>
    <t>&lt;type name="ZmbM_Jacket_blue"&gt;</t>
  </si>
  <si>
    <t>&lt;type name="ZmbM_Jacket_bluechecks"&gt;</t>
  </si>
  <si>
    <t>&lt;type name="ZmbM_Jacket_brown"&gt;</t>
  </si>
  <si>
    <t>&lt;type name="ZmbM_Jacket_greenchecks"&gt;</t>
  </si>
  <si>
    <t>&lt;type name="ZmbM_Jacket_grey"&gt;</t>
  </si>
  <si>
    <t>&lt;type name="ZmbM_Jacket_khaki"&gt;</t>
  </si>
  <si>
    <t>&lt;type name="ZmbM_Jacket_magenta"&gt;</t>
  </si>
  <si>
    <t>&lt;type name="ZmbM_Jacket_stripes"&gt;</t>
  </si>
  <si>
    <t>&lt;type name="ZmbM_JoggerSkinny_Blue"&gt;</t>
  </si>
  <si>
    <t>&lt;type name="ZmbM_JoggerSkinny_Green"&gt;</t>
  </si>
  <si>
    <t>&lt;type name="ZmbM_JoggerSkinny_Red"&gt;</t>
  </si>
  <si>
    <t>&lt;type name="ZmbM_JournalistSkinny"&gt;</t>
  </si>
  <si>
    <t>&lt;type name="ZmbM_MechanicSkinny_Blue"&gt;</t>
  </si>
  <si>
    <t>&lt;type name="ZmbM_MechanicSkinny_Green"&gt;</t>
  </si>
  <si>
    <t>&lt;type name="ZmbM_MechanicSkinny_Grey"&gt;</t>
  </si>
  <si>
    <t>&lt;type name="ZmbM_MechanicSkinny_Red"&gt;</t>
  </si>
  <si>
    <t>&lt;type name="ZmbM_MotobikerFat_Beige"&gt;</t>
  </si>
  <si>
    <t>&lt;type name="ZmbM_MotobikerFat_Black"&gt;</t>
  </si>
  <si>
    <t>&lt;type name="ZmbM_MotobikerFat_Blue"&gt;</t>
  </si>
  <si>
    <t>&lt;type name="ZmbM_OffshoreWorker_Green"&gt;</t>
  </si>
  <si>
    <t>&lt;type name="ZmbM_OffshoreWorker_Orange"&gt;</t>
  </si>
  <si>
    <t>&lt;type name="ZmbM_OffshoreWorker_Red"&gt;</t>
  </si>
  <si>
    <t>&lt;type name="ZmbM_OffshoreWorker_Yellow"&gt;</t>
  </si>
  <si>
    <t>&lt;type name="ZmbM_ParamedicNormal_Black"&gt;</t>
  </si>
  <si>
    <t>&lt;type name="ZmbM_ParamedicNormal_Blue"&gt;</t>
  </si>
  <si>
    <t>&lt;type name="ZmbM_ParamedicNormal_Green"&gt;</t>
  </si>
  <si>
    <t>&lt;type name="ZmbM_ParamedicNormal_Red"&gt;</t>
  </si>
  <si>
    <t>&lt;type name="ZmbM_PatientSkinny"&gt;</t>
  </si>
  <si>
    <t>&lt;type name="ZmbM_PatrolNormal_Autumn"&gt;</t>
  </si>
  <si>
    <t>&lt;type name="ZmbM_PatrolNormal_Flat"&gt;</t>
  </si>
  <si>
    <t>&lt;type name="ZmbM_PatrolNormal_PautRev"&gt;</t>
  </si>
  <si>
    <t>&lt;type name="ZmbM_PatrolNormal_Summer"&gt;</t>
  </si>
  <si>
    <t>&lt;type name="ZmbM_PolicemanFat"&gt;</t>
  </si>
  <si>
    <t>&lt;type name="ZmbM_PolicemanSpecForce"&gt;</t>
  </si>
  <si>
    <t>&lt;type name="ZmbM_PrisonerSkinny"&gt;</t>
  </si>
  <si>
    <t>&lt;type name="ZmbM_SkaterYoung_Blue"&gt;</t>
  </si>
  <si>
    <t>&lt;type name="ZmbM_SkaterYoung_Brown"&gt;</t>
  </si>
  <si>
    <t>&lt;type name="ZmbM_SkaterYoung_Green"&gt;</t>
  </si>
  <si>
    <t>&lt;type name="ZmbM_SkaterYoung_Grey"&gt;</t>
  </si>
  <si>
    <t>&lt;type name="ZmbM_SoldierNormal"&gt;</t>
  </si>
  <si>
    <t>&lt;type name="ZmbM_VillagerOld_Blue"&gt;</t>
  </si>
  <si>
    <t>&lt;type name="ZmbM_VillagerOld_Green"&gt;</t>
  </si>
  <si>
    <t>&lt;type name="ZmbM_VillagerOld_White"&gt;</t>
  </si>
  <si>
    <t>&lt;type name="ZmbM_priestPopSkinny"&gt;</t>
  </si>
  <si>
    <t>&lt;type name="ZmbM_usSoldier_normal_Desert"&gt;</t>
  </si>
  <si>
    <t>&lt;type name="ZmbM_usSoldier_normal_Woodland"&gt;</t>
  </si>
  <si>
    <t>&lt;type name="ZmijovkaCap_Black"&gt;</t>
  </si>
  <si>
    <t>&lt;type name="ZmijovkaCap_Blue"&gt;</t>
  </si>
  <si>
    <t>&lt;type name="ZmijovkaCap_Brown"&gt;</t>
  </si>
  <si>
    <t>&lt;type name="ZmijovkaCap_Green"&gt;</t>
  </si>
  <si>
    <t>&lt;type name="ZmijovkaCap_Red"&gt;</t>
  </si>
  <si>
    <t>&lt;type name="Zucchini"&gt;</t>
  </si>
  <si>
    <t>&lt;type name="ZucchiniSeeds"&gt;</t>
  </si>
  <si>
    <t>&lt;type name="ZucchiniSeedsPack"&gt;</t>
  </si>
  <si>
    <t>&lt;!-- WindstridesClothingPack --&gt;</t>
  </si>
  <si>
    <t>&lt;type name="Latex_Leggings"&gt;</t>
  </si>
  <si>
    <t>&lt;type name="Adidas_Leggings"&gt;</t>
  </si>
  <si>
    <t>&lt;type name="Red_Leggings"&gt;</t>
  </si>
  <si>
    <t>&lt;type name="Purple_Leggings"&gt;</t>
  </si>
  <si>
    <t>&lt;type name="White_Leggings"&gt;</t>
  </si>
  <si>
    <t>&lt;type name="PMK_5A_Gas_Mask"&gt;</t>
  </si>
  <si>
    <t>&lt;type name="Poncho_Red_Checkered"&gt;</t>
  </si>
  <si>
    <t>&lt;type name="Poncho_Blue_Checkered"&gt;</t>
  </si>
  <si>
    <t>&lt;type name="Poncho_Yellow_Checkered"&gt;</t>
  </si>
  <si>
    <t>&lt;type name="Poncho_Brown"&gt;</t>
  </si>
  <si>
    <t>&lt;type name="Poncho_Green"&gt;</t>
  </si>
  <si>
    <t>&lt;type name="Poncho_White"&gt;</t>
  </si>
  <si>
    <t>&lt;type name="Poncho_Red"&gt;</t>
  </si>
  <si>
    <t>&lt;type name="Poncho_Black"&gt;</t>
  </si>
  <si>
    <t>&lt;type name="Poncho_BlackAndWhite"&gt;</t>
  </si>
  <si>
    <t>&lt;type name="Poncho_BlackAndWhite2"&gt;</t>
  </si>
  <si>
    <t>&lt;type name="Fingerless_Gloves"&gt;</t>
  </si>
  <si>
    <t>&lt;type name="Military_Sweater"&gt;</t>
  </si>
  <si>
    <t>&lt;type name="Military_Sweater_Red"&gt;</t>
  </si>
  <si>
    <t>&lt;type name="Military_Sweater_Blue"&gt;</t>
  </si>
  <si>
    <t>&lt;type name="Military_Sweater_Green"&gt;</t>
  </si>
  <si>
    <t>&lt;type name="Military_Sweater_Black"&gt;</t>
  </si>
  <si>
    <t>&lt;type name="Military_Sweater_White"&gt;</t>
  </si>
  <si>
    <t>&lt;type name="High_Knee_Sneakers"&gt;</t>
  </si>
  <si>
    <t>&lt;type name="Shemagh_Brown"&gt;</t>
  </si>
  <si>
    <t>&lt;type name="Shemagh_Green"&gt;</t>
  </si>
  <si>
    <t>&lt;type name="Shemagh_Red"&gt;</t>
  </si>
  <si>
    <t>&lt;type name="Shemagh_White"&gt;</t>
  </si>
  <si>
    <t>&lt;type name="Layered_Shirt_Base"&gt;</t>
  </si>
  <si>
    <t>&lt;type name="Layered_Shirt_White"&gt;</t>
  </si>
  <si>
    <t>&lt;type name="Layered_Shirt_Cheburashka"&gt;</t>
  </si>
  <si>
    <t xml:space="preserve">--&gt; </t>
  </si>
  <si>
    <t>&lt;usage name="clothes"/&gt;</t>
  </si>
  <si>
    <t>BearPelt</t>
  </si>
  <si>
    <t>BearSteakMeat</t>
  </si>
  <si>
    <t>&lt;type name="BearPelt"&gt;</t>
  </si>
  <si>
    <t>&lt;type name="BearSteakMeat"&gt;</t>
  </si>
  <si>
    <t>subcat</t>
  </si>
  <si>
    <t>cat</t>
  </si>
  <si>
    <t>Group</t>
  </si>
  <si>
    <t>#tc_clothes</t>
  </si>
  <si>
    <t>#tc_military</t>
  </si>
  <si>
    <t>#tc_food</t>
  </si>
  <si>
    <t>#tc_currency</t>
  </si>
  <si>
    <t>#tc_canned</t>
  </si>
  <si>
    <t>#tc_drinks</t>
  </si>
  <si>
    <t>#tc_pelts</t>
  </si>
  <si>
    <t>#tc_seeds</t>
  </si>
  <si>
    <t>#tc_attachments</t>
  </si>
  <si>
    <t>#tc_magazines</t>
  </si>
  <si>
    <t>#tc_ammo</t>
  </si>
  <si>
    <t>#tc_medic</t>
  </si>
  <si>
    <t>#tc_tools</t>
  </si>
  <si>
    <t>#tc_materials</t>
  </si>
  <si>
    <t>#tc_parts</t>
  </si>
  <si>
    <t>#tc_vehicles</t>
  </si>
  <si>
    <t>id</t>
  </si>
  <si>
    <t xml:space="preserve">"Restock": </t>
  </si>
  <si>
    <t xml:space="preserve">"RestockCap": </t>
  </si>
  <si>
    <t xml:space="preserve">"StockCap": </t>
  </si>
  <si>
    <t xml:space="preserve">"SellingRatioMin": </t>
  </si>
  <si>
    <t xml:space="preserve">"SellingRatioMax": </t>
  </si>
  <si>
    <t xml:space="preserve">"BuingRatioMin": </t>
  </si>
  <si>
    <t xml:space="preserve">"Reputation": </t>
  </si>
  <si>
    <t xml:space="preserve">"SubCategory": </t>
  </si>
  <si>
    <t xml:space="preserve">"Category": </t>
  </si>
  <si>
    <t xml:space="preserve">"Groups": </t>
  </si>
  <si>
    <t xml:space="preserve">    },</t>
  </si>
  <si>
    <t>{</t>
  </si>
  <si>
    <t>stock</t>
  </si>
  <si>
    <t>&lt;type name="Canvas_Backpack_Base"&gt;</t>
  </si>
  <si>
    <t>&lt;type name="Canvas_Backpack_Black"&gt;</t>
  </si>
  <si>
    <t>&lt;type name="Canvas_Backpack_White"&gt;</t>
  </si>
  <si>
    <t>&lt;type name="Canvas_Backpack_Red"&gt;</t>
  </si>
  <si>
    <t>&lt;type name="Canvas_Backpack_Blue"&gt;</t>
  </si>
  <si>
    <t>&lt;type name="Canvas_Backpack_Purple"&gt;</t>
  </si>
  <si>
    <t>&lt;type name="Golden_Winged_Pin"&gt;</t>
  </si>
  <si>
    <t>&lt;type name="Button_Pin_Radioactive"&gt;</t>
  </si>
  <si>
    <t>&lt;type name="Button_Pin_Daisy"&gt;</t>
  </si>
  <si>
    <t>&lt;type name="Repeater"&gt;</t>
  </si>
  <si>
    <t>&lt;type name="AmmoBox_357_20Rnd"&gt;</t>
  </si>
  <si>
    <t>&lt;type name="Ammo_357"&gt;</t>
  </si>
  <si>
    <t>&lt;type name="AmmoBox_12gaRubberSlug_10Rnd"&gt;</t>
  </si>
  <si>
    <t>&lt;type name="Ammo_12gaRubberSlug"&gt;</t>
  </si>
  <si>
    <t>&lt;type name="WE_AK12"&gt;</t>
  </si>
  <si>
    <t>&lt;type name="WE_HoloOptic"&gt;</t>
  </si>
  <si>
    <t>&lt;type name="WE_SCARH"&gt;</t>
  </si>
  <si>
    <t>&lt;type name="WE_HK416"&gt;</t>
  </si>
  <si>
    <t>&lt;type name="WE_M1014"&gt;</t>
  </si>
  <si>
    <t>&lt;type name="WE_KACPDW"&gt;</t>
  </si>
  <si>
    <t>&lt;type name="WE_M1Garand"&gt;</t>
  </si>
  <si>
    <t>&lt;type name="WE_M200"&gt;</t>
  </si>
  <si>
    <t>WoodenPlank</t>
  </si>
  <si>
    <t>alp_LifeInsuranceExclusive</t>
  </si>
  <si>
    <t>Ammo_AE792x33</t>
  </si>
  <si>
    <t>AE_AmmoBox_792x33_20rnd</t>
  </si>
  <si>
    <t>Ammo_AE408</t>
  </si>
  <si>
    <t>AE_AmmoBox_408_20rnd</t>
  </si>
  <si>
    <t>Ammo_AE127x99</t>
  </si>
  <si>
    <t>AE_AmmoBox_127x99_10rnd</t>
  </si>
  <si>
    <t>Ammo_AE338</t>
  </si>
  <si>
    <t>AE_AmmoBox_338_20rnd</t>
  </si>
  <si>
    <t>Ammo_AE300</t>
  </si>
  <si>
    <t>AE_AmmoBox_300_20rnd</t>
  </si>
  <si>
    <t>Ammo_AE223</t>
  </si>
  <si>
    <t>AE_AmmoBox_223_20rnd</t>
  </si>
  <si>
    <t>Ammo_AE762x25</t>
  </si>
  <si>
    <t>AE_AmmoBox_762x25_30rnd</t>
  </si>
  <si>
    <t>Ammo_AE57x28</t>
  </si>
  <si>
    <t>AE_AmmoBox_57x28_30rnd</t>
  </si>
  <si>
    <t>Ammo_AE50AE</t>
  </si>
  <si>
    <t>AE_AmmoBox_50AE_30rnd</t>
  </si>
  <si>
    <t>AmmoBox_12gaRubberSlug_10Rnd</t>
  </si>
  <si>
    <t>Ammo_12gaRubberSlug</t>
  </si>
  <si>
    <t>AmmoBox_357_20Rnd</t>
  </si>
  <si>
    <t>Ammo_357</t>
  </si>
  <si>
    <t>Repeater</t>
  </si>
  <si>
    <t>AE_AmmoBox_46x30_30rnd</t>
  </si>
  <si>
    <t>Ammo_AE46x30</t>
  </si>
  <si>
    <t>Ammo_AE792x57</t>
  </si>
  <si>
    <t>AE_AmmoBox_792x57_20rnd</t>
  </si>
  <si>
    <t>WE_HoloOptic</t>
  </si>
  <si>
    <t>WE_HK416</t>
  </si>
  <si>
    <t>WE_AK12</t>
  </si>
  <si>
    <t>WE_SCARH</t>
  </si>
  <si>
    <t>WE_M1014</t>
  </si>
  <si>
    <t>WE_KACPDW</t>
  </si>
  <si>
    <t>WE_MAT49</t>
  </si>
  <si>
    <t>WE_M1Garand</t>
  </si>
  <si>
    <t>WE_M200</t>
  </si>
  <si>
    <t>&lt;type name="WE_MP5SD"&gt;</t>
  </si>
  <si>
    <t>&lt;type name="WE_MAT49"&gt;</t>
  </si>
  <si>
    <t>&lt;type name="poncho_camo_mung"&gt;</t>
  </si>
  <si>
    <t>&lt;type name="Ammo_AE792x33"&gt;</t>
  </si>
  <si>
    <t>&lt;type name="AE_AmmoBox_792x33_20rnd"&gt;</t>
  </si>
  <si>
    <t>&lt;type name="Ammo_AE408"&gt;</t>
  </si>
  <si>
    <t>&lt;type name="AE_AmmoBox_408_20rnd"&gt;</t>
  </si>
  <si>
    <t>&lt;type name="Ammo_AE792x57"&gt;</t>
  </si>
  <si>
    <t>&lt;type name="AE_AmmoBox_792x57_20rnd"&gt;</t>
  </si>
  <si>
    <t>&lt;type name="Ammo_AE127x99"&gt;</t>
  </si>
  <si>
    <t>&lt;type name="AE_AmmoBox_127x99_10rnd"&gt;</t>
  </si>
  <si>
    <t>&lt;type name="Ammo_AE338"&gt;</t>
  </si>
  <si>
    <t>&lt;type name="AE_AmmoBox_338_20rnd"&gt;</t>
  </si>
  <si>
    <t>&lt;type name="Ammo_AE300"&gt;</t>
  </si>
  <si>
    <t>&lt;type name="AE_AmmoBox_300_20rnd"&gt;</t>
  </si>
  <si>
    <t>&lt;type name="Ammo_AE223"&gt;</t>
  </si>
  <si>
    <t>&lt;type name="AE_AmmoBox_223_20rnd"&gt;</t>
  </si>
  <si>
    <t>&lt;type name="Ammo_AE46x30"&gt;</t>
  </si>
  <si>
    <t>&lt;type name="AE_AmmoBox_46x30_30rnd"&gt;</t>
  </si>
  <si>
    <t>&lt;type name="Ammo_AE762x25"&gt;</t>
  </si>
  <si>
    <t>&lt;type name="AE_AmmoBox_762x25_30rnd"&gt;</t>
  </si>
  <si>
    <t>&lt;type name="Ammo_AE57x28"&gt;</t>
  </si>
  <si>
    <t>&lt;type name="AE_AmmoBox_57x28_30rnd"&gt;</t>
  </si>
  <si>
    <t>&lt;type name="Ammo_AE50AE"&gt;</t>
  </si>
  <si>
    <t>&lt;type name="AE_AmmoBox_50AE_30rnd"&gt;</t>
  </si>
  <si>
    <t>&lt;!-- pridano z Livonie --&gt;</t>
  </si>
  <si>
    <t>&lt;type name="ChristmasTree_Green"&gt;</t>
  </si>
  <si>
    <t>&lt;type name="CivSedanDoors_BackLeft_BlackRust"&gt;</t>
  </si>
  <si>
    <t>&lt;type name="CivSedanDoors_BackLeft_WhiteRust"&gt;</t>
  </si>
  <si>
    <t>&lt;type name="CivSedanDoors_BackLeft_WineRust"&gt;</t>
  </si>
  <si>
    <t>&lt;type name="CivSedanDoors_BackRight_BlackRust"&gt;</t>
  </si>
  <si>
    <t>&lt;type name="CivSedanDoors_BackRight_WhiteRust"&gt;</t>
  </si>
  <si>
    <t>&lt;type name="CivSedanDoors_BackRight_WineRust"&gt;</t>
  </si>
  <si>
    <t>&lt;type name="CivSedanDoors_CoDriver_BlackRust"&gt;</t>
  </si>
  <si>
    <t>&lt;type name="CivSedanDoors_CoDriver_WhiteRust"&gt;</t>
  </si>
  <si>
    <t>&lt;type name="CivSedanDoors_CoDriver_WineRust"&gt;</t>
  </si>
  <si>
    <t>&lt;type name="CivSedanDoors_Driver_BlackRust"&gt;</t>
  </si>
  <si>
    <t>&lt;type name="CivSedanDoors_Driver_WhiteRust"&gt;</t>
  </si>
  <si>
    <t>&lt;type name="CivSedanDoors_Driver_WineRust"&gt;</t>
  </si>
  <si>
    <t>&lt;type name="CivSedanHood_BlackRust"&gt;</t>
  </si>
  <si>
    <t>&lt;type name="CivSedanHood_WhiteRust"&gt;</t>
  </si>
  <si>
    <t>&lt;type name="CivSedanHood_WineRust"&gt;</t>
  </si>
  <si>
    <t>&lt;type name="CivSedanTrunk_BlackRust"&gt;</t>
  </si>
  <si>
    <t>&lt;type name="CivSedanTrunk_WhiteRust"&gt;</t>
  </si>
  <si>
    <t>&lt;type name="CivSedanTrunk_WineRust"&gt;</t>
  </si>
  <si>
    <t>&lt;type name="HatchbackDoors_CoDriver_BlueRust"&gt;</t>
  </si>
  <si>
    <t>&lt;type name="HatchbackDoors_CoDriver_GreenRust"&gt;</t>
  </si>
  <si>
    <t>&lt;type name="HatchbackDoors_CoDriver_WhiteRust"&gt;</t>
  </si>
  <si>
    <t>&lt;type name="HatchbackDoors_Driver_BlueRust"&gt;</t>
  </si>
  <si>
    <t>&lt;type name="HatchbackDoors_Driver_GreenRust"&gt;</t>
  </si>
  <si>
    <t>&lt;type name="HatchbackDoors_Driver_WhiteRust"&gt;</t>
  </si>
  <si>
    <t>&lt;type name="HatchbackHood_BlueRust"&gt;</t>
  </si>
  <si>
    <t>&lt;type name="HatchbackHood_GreenRust"&gt;</t>
  </si>
  <si>
    <t>&lt;type name="HatchbackHood_WhiteRust"&gt;</t>
  </si>
  <si>
    <t>&lt;type name="HatchbackTrunk_BlueRust"&gt;</t>
  </si>
  <si>
    <t>&lt;type name="HatchbackTrunk_GreenRust"&gt;</t>
  </si>
  <si>
    <t>&lt;type name="HatchbackTrunk_WhiteRust"&gt;</t>
  </si>
  <si>
    <t>&lt;type name="Hatchback_02_Door_1_1_BlackRust"&gt;</t>
  </si>
  <si>
    <t>&lt;type name="Hatchback_02_Door_1_1_BlueRust"&gt;</t>
  </si>
  <si>
    <t>&lt;type name="Hatchback_02_Door_1_1_RedRust"&gt;</t>
  </si>
  <si>
    <t>&lt;type name="Hatchback_02_Door_1_2_BlackRust"&gt;</t>
  </si>
  <si>
    <t>&lt;type name="Hatchback_02_Door_1_2_BlueRust"&gt;</t>
  </si>
  <si>
    <t>&lt;type name="Hatchback_02_Door_1_2_RedRust"&gt;</t>
  </si>
  <si>
    <t>&lt;type name="Hatchback_02_Door_2_1_BlackRust"&gt;</t>
  </si>
  <si>
    <t>&lt;type name="Hatchback_02_Door_2_1_BlueRust"&gt;</t>
  </si>
  <si>
    <t>&lt;type name="Hatchback_02_Door_2_1_RedRust"&gt;</t>
  </si>
  <si>
    <t>&lt;type name="Hatchback_02_Door_2_2_BlackRust"&gt;</t>
  </si>
  <si>
    <t>&lt;type name="Hatchback_02_Door_2_2_BlueRust"&gt;</t>
  </si>
  <si>
    <t>&lt;type name="Hatchback_02_Door_2_2_RedRust"&gt;</t>
  </si>
  <si>
    <t>&lt;type name="Hatchback_02_Hood_BlackRust"&gt;</t>
  </si>
  <si>
    <t>&lt;type name="Hatchback_02_Hood_BlueRust"&gt;</t>
  </si>
  <si>
    <t>&lt;type name="Hatchback_02_Hood_RedRust"&gt;</t>
  </si>
  <si>
    <t>&lt;type name="Hatchback_02_Trunk_BlackRust"&gt;</t>
  </si>
  <si>
    <t>&lt;type name="Hatchback_02_Trunk_BlueRust"&gt;</t>
  </si>
  <si>
    <t>&lt;type name="Hatchback_02_Trunk_RedRust"&gt;</t>
  </si>
  <si>
    <t>&lt;type name="Sedan_02_Door_1_1_GreyRust"&gt;</t>
  </si>
  <si>
    <t>&lt;type name="Sedan_02_Door_1_1_RedRust"&gt;</t>
  </si>
  <si>
    <t>&lt;type name="Sedan_02_Door_1_1_YellowRust"&gt;</t>
  </si>
  <si>
    <t>&lt;type name="Sedan_02_Door_1_2_GreyRust"&gt;</t>
  </si>
  <si>
    <t>&lt;type name="Sedan_02_Door_1_2_RedRust"&gt;</t>
  </si>
  <si>
    <t>&lt;type name="Sedan_02_Door_1_2_YellowRust"&gt;</t>
  </si>
  <si>
    <t>&lt;type name="Sedan_02_Door_2_1_GreyRust"&gt;</t>
  </si>
  <si>
    <t>&lt;type name="Sedan_02_Door_2_1_RedRust"&gt;</t>
  </si>
  <si>
    <t>&lt;type name="Sedan_02_Door_2_1_YellowRust"&gt;</t>
  </si>
  <si>
    <t>&lt;type name="Sedan_02_Door_2_2_GreyRust"&gt;</t>
  </si>
  <si>
    <t>&lt;type name="Sedan_02_Door_2_2_RedRust"&gt;</t>
  </si>
  <si>
    <t>&lt;type name="Sedan_02_Door_2_2_YellowRust"&gt;</t>
  </si>
  <si>
    <t>&lt;type name="Sedan_02_Hood_GreyRust"&gt;</t>
  </si>
  <si>
    <t>&lt;type name="Sedan_02_Hood_RedRust"&gt;</t>
  </si>
  <si>
    <t>&lt;type name="Sedan_02_Hood_YellowRust"&gt;</t>
  </si>
  <si>
    <t>&lt;type name="Sedan_02_Trunk_GreyRust"&gt;</t>
  </si>
  <si>
    <t>&lt;type name="Sedan_02_Trunk_RedRust"&gt;</t>
  </si>
  <si>
    <t>&lt;type name="Sedan_02_Trunk_YellowRust"&gt;</t>
  </si>
  <si>
    <t>&lt;type name="HatchbackTrunk_Blue"&gt;</t>
  </si>
  <si>
    <t>&lt;type name="WoodAxe_mung"&gt;</t>
  </si>
  <si>
    <t xml:space="preserve">&lt;/type&gt; </t>
  </si>
  <si>
    <t>&lt;type name="makeshifttent2_mung_Deployed"&gt;</t>
  </si>
  <si>
    <t>&lt;type name="makeshifttent2_mung"&gt;</t>
  </si>
  <si>
    <t>&lt;type name="jaakari_simple_tan_mung"&gt;</t>
  </si>
  <si>
    <t>&lt;type name="jaakari_simple_black_mung"&gt;</t>
  </si>
  <si>
    <t>&lt;type name="jaakari_simple_camo_mung"&gt;</t>
  </si>
  <si>
    <t>&lt;type name="jaakari_simple_brown_mung"&gt;</t>
  </si>
  <si>
    <t>&lt;type name="jaakari_tan_mung"&gt;</t>
  </si>
  <si>
    <t>&lt;type name="jaakari_black_mung"&gt;</t>
  </si>
  <si>
    <t>&lt;type name="jaakari_camo_mung"&gt;</t>
  </si>
  <si>
    <t>&lt;type name="jaakari_brown_mung"&gt;</t>
  </si>
  <si>
    <t xml:space="preserve">&lt;/type&gt;             </t>
  </si>
  <si>
    <t>&lt;type name="alp_LifeInsuranceExclusive"&gt;</t>
  </si>
  <si>
    <t>AK101_Black</t>
  </si>
  <si>
    <t>AK101_Green</t>
  </si>
  <si>
    <t>AK74_Black</t>
  </si>
  <si>
    <t>AK74_Green</t>
  </si>
  <si>
    <t>AKS74U_Black</t>
  </si>
  <si>
    <t>AKS74U_Green</t>
  </si>
  <si>
    <t>AK_FoldingBttstck_Black</t>
  </si>
  <si>
    <t>AK_FoldingBttstck_Green</t>
  </si>
  <si>
    <t>AK_PlasticBttstck_Black</t>
  </si>
  <si>
    <t>AK_PlasticBttstck_Green</t>
  </si>
  <si>
    <t>AK_RailHndgrd_Black</t>
  </si>
  <si>
    <t>AK_RailHndgrd_Green</t>
  </si>
  <si>
    <t>AK_WoodBttstck_Black</t>
  </si>
  <si>
    <t>AK_WoodBttstck_Camo</t>
  </si>
  <si>
    <t>AK_WoodHndgrd_Black</t>
  </si>
  <si>
    <t>AK_WoodHndgrd_Camo</t>
  </si>
  <si>
    <t>Apple</t>
  </si>
  <si>
    <t>AuriculariaMushroom</t>
  </si>
  <si>
    <t>BallisticHelmet_Black</t>
  </si>
  <si>
    <t>BallisticHelmet_Green</t>
  </si>
  <si>
    <t>BandanaMask_BlackPattern</t>
  </si>
  <si>
    <t>BandanaMask_CamoPattern</t>
  </si>
  <si>
    <t>BandanaMask_GreenPattern</t>
  </si>
  <si>
    <t>BandanaMask_PolkaPattern</t>
  </si>
  <si>
    <t>BandanaMask_RedPattern</t>
  </si>
  <si>
    <t>BoletusMushroom</t>
  </si>
  <si>
    <t>CaninaBerry</t>
  </si>
  <si>
    <t>FirefighterAxe_Black</t>
  </si>
  <si>
    <t>FirefighterAxe_Green</t>
  </si>
  <si>
    <t>GhillieAtt_Tan</t>
  </si>
  <si>
    <t>GhillieBushrag_Tan</t>
  </si>
  <si>
    <t>GhillieHood_Tan</t>
  </si>
  <si>
    <t>GhillieSuit_Tan</t>
  </si>
  <si>
    <t>GhillieTop_Tan</t>
  </si>
  <si>
    <t>LactariusMushroom</t>
  </si>
  <si>
    <t>LeatherBelt_Beige</t>
  </si>
  <si>
    <t>LeatherBelt_Black</t>
  </si>
  <si>
    <t>LeatherBelt_Brown</t>
  </si>
  <si>
    <t>LeatherBelt_Natural</t>
  </si>
  <si>
    <t>LeatherGloves_Beige</t>
  </si>
  <si>
    <t>LeatherGloves_Black</t>
  </si>
  <si>
    <t>LeatherGloves_Brown</t>
  </si>
  <si>
    <t>LeatherGloves_Natural</t>
  </si>
  <si>
    <t>LeatherHat_Beige</t>
  </si>
  <si>
    <t>LeatherHat_Black</t>
  </si>
  <si>
    <t>LeatherHat_Brown</t>
  </si>
  <si>
    <t>LeatherHat_Natural</t>
  </si>
  <si>
    <t>LeatherJacket_Beige</t>
  </si>
  <si>
    <t>LeatherJacket_Black</t>
  </si>
  <si>
    <t>LeatherJacket_Brown</t>
  </si>
  <si>
    <t>LeatherJacket_Natural</t>
  </si>
  <si>
    <t>LeatherKnifeSheath</t>
  </si>
  <si>
    <t>LeatherPants_Beige</t>
  </si>
  <si>
    <t>LeatherPants_Black</t>
  </si>
  <si>
    <t>LeatherPants_Brown</t>
  </si>
  <si>
    <t>LeatherPants_Natural</t>
  </si>
  <si>
    <t>LeatherSack_Beige</t>
  </si>
  <si>
    <t>LeatherSack_Black</t>
  </si>
  <si>
    <t>LeatherSack_Brown</t>
  </si>
  <si>
    <t>LeatherSack_Natural</t>
  </si>
  <si>
    <t>LeatherShirt_Natural</t>
  </si>
  <si>
    <t>LeatherShoes_Beige</t>
  </si>
  <si>
    <t>LeatherShoes_Black</t>
  </si>
  <si>
    <t>LeatherShoes_Brown</t>
  </si>
  <si>
    <t>LeatherShoes_Natural</t>
  </si>
  <si>
    <t>LeatherStorageVest_Beige</t>
  </si>
  <si>
    <t>LeatherStorageVest_Black</t>
  </si>
  <si>
    <t>LeatherStorageVest_Brown</t>
  </si>
  <si>
    <t>LeatherStorageVest_Natural</t>
  </si>
  <si>
    <t>M4A1_Black</t>
  </si>
  <si>
    <t>M4A1_Green</t>
  </si>
  <si>
    <t>M4_RISHndgrd_Black</t>
  </si>
  <si>
    <t>M4_RISHndgrd_Green</t>
  </si>
  <si>
    <t>Mosin9130_Black</t>
  </si>
  <si>
    <t>Mosin9130_Camo</t>
  </si>
  <si>
    <t>Mosin9130_Green</t>
  </si>
  <si>
    <t>Nail</t>
  </si>
  <si>
    <t>NailedBaseballBat</t>
  </si>
  <si>
    <t>Pear</t>
  </si>
  <si>
    <t>PepperSeeds</t>
  </si>
  <si>
    <t>PleurotusMushroom</t>
  </si>
  <si>
    <t>Plum</t>
  </si>
  <si>
    <t>Pumpkin</t>
  </si>
  <si>
    <t>PumpkinSeeds</t>
  </si>
  <si>
    <t>SambucusBerry</t>
  </si>
  <si>
    <t>SawedoffIzh18</t>
  </si>
  <si>
    <t>SawedoffIzh43Shotgun</t>
  </si>
  <si>
    <t>SawedoffMosin9130</t>
  </si>
  <si>
    <t>SawedoffMosin9130_Black</t>
  </si>
  <si>
    <t>SawedoffMosin9130_Camo</t>
  </si>
  <si>
    <t>SawedoffMosin9130_Green</t>
  </si>
  <si>
    <t>TannedLeather</t>
  </si>
  <si>
    <t>TomatoSeeds</t>
  </si>
  <si>
    <t>Torch</t>
  </si>
  <si>
    <t>WE_MP5SD</t>
  </si>
  <si>
    <t>ZucchiniSeeds</t>
  </si>
  <si>
    <t>Canvas_Backpack_Base</t>
  </si>
  <si>
    <t>Canvas_Backpack_Black</t>
  </si>
  <si>
    <t>Canvas_Backpack_White</t>
  </si>
  <si>
    <t>Canvas_Backpack_Red</t>
  </si>
  <si>
    <t>Canvas_Backpack_Blue</t>
  </si>
  <si>
    <t>Canvas_Backpack_Purple</t>
  </si>
  <si>
    <t>Golden_Winged_Pin</t>
  </si>
  <si>
    <t>Button_Pin_Radioactive</t>
  </si>
  <si>
    <t>Button_Pin_Daisy</t>
  </si>
  <si>
    <t>poncho_camo_mung</t>
  </si>
  <si>
    <t>CivSedanDoors_BackLeft_BlackRust</t>
  </si>
  <si>
    <t>vehiclesparts</t>
  </si>
  <si>
    <t>CivSedanDoors_BackLeft_WhiteRust</t>
  </si>
  <si>
    <t>CivSedanDoors_BackLeft_WineRust</t>
  </si>
  <si>
    <t>CivSedanDoors_BackRight_BlackRust</t>
  </si>
  <si>
    <t>CivSedanDoors_BackRight_WhiteRust</t>
  </si>
  <si>
    <t>CivSedanDoors_BackRight_WineRust</t>
  </si>
  <si>
    <t>CivSedanDoors_CoDriver_BlackRust</t>
  </si>
  <si>
    <t>CivSedanDoors_CoDriver_WhiteRust</t>
  </si>
  <si>
    <t>CivSedanDoors_CoDriver_WineRust</t>
  </si>
  <si>
    <t>CivSedanDoors_Driver_BlackRust</t>
  </si>
  <si>
    <t>CivSedanDoors_Driver_WhiteRust</t>
  </si>
  <si>
    <t>CivSedanDoors_Driver_WineRust</t>
  </si>
  <si>
    <t>CivSedanHood_BlackRust</t>
  </si>
  <si>
    <t>CivSedanHood_WhiteRust</t>
  </si>
  <si>
    <t>CivSedanHood_WineRust</t>
  </si>
  <si>
    <t>CivSedanTrunk_BlackRust</t>
  </si>
  <si>
    <t>CivSedanTrunk_WhiteRust</t>
  </si>
  <si>
    <t>CivSedanTrunk_WineRust</t>
  </si>
  <si>
    <t>HatchbackDoors_CoDriver_BlueRust</t>
  </si>
  <si>
    <t>HatchbackDoors_CoDriver_GreenRust</t>
  </si>
  <si>
    <t>HatchbackDoors_CoDriver_WhiteRust</t>
  </si>
  <si>
    <t>HatchbackDoors_Driver_BlueRust</t>
  </si>
  <si>
    <t>HatchbackDoors_Driver_GreenRust</t>
  </si>
  <si>
    <t>HatchbackDoors_Driver_WhiteRust</t>
  </si>
  <si>
    <t>HatchbackHood_BlueRust</t>
  </si>
  <si>
    <t>HatchbackHood_GreenRust</t>
  </si>
  <si>
    <t>HatchbackHood_WhiteRust</t>
  </si>
  <si>
    <t>HatchbackTrunk_BlueRust</t>
  </si>
  <si>
    <t>HatchbackTrunk_GreenRust</t>
  </si>
  <si>
    <t>HatchbackTrunk_WhiteRust</t>
  </si>
  <si>
    <t>Hatchback_02_Door_1_1_BlackRust</t>
  </si>
  <si>
    <t>Hatchback_02_Door_1_1_BlueRust</t>
  </si>
  <si>
    <t>Hatchback_02_Door_1_1_RedRust</t>
  </si>
  <si>
    <t>Hatchback_02_Door_1_2_BlackRust</t>
  </si>
  <si>
    <t>Hatchback_02_Door_1_2_BlueRust</t>
  </si>
  <si>
    <t>Hatchback_02_Door_1_2_RedRust</t>
  </si>
  <si>
    <t>Hatchback_02_Door_2_1_BlackRust</t>
  </si>
  <si>
    <t>Hatchback_02_Door_2_1_BlueRust</t>
  </si>
  <si>
    <t>Hatchback_02_Door_2_1_RedRust</t>
  </si>
  <si>
    <t>Hatchback_02_Door_2_2_BlackRust</t>
  </si>
  <si>
    <t>Hatchback_02_Door_2_2_BlueRust</t>
  </si>
  <si>
    <t>Hatchback_02_Door_2_2_RedRust</t>
  </si>
  <si>
    <t>Hatchback_02_Hood_BlackRust</t>
  </si>
  <si>
    <t>Hatchback_02_Hood_BlueRust</t>
  </si>
  <si>
    <t>Hatchback_02_Hood_RedRust</t>
  </si>
  <si>
    <t>Hatchback_02_Trunk_BlackRust</t>
  </si>
  <si>
    <t>Hatchback_02_Trunk_BlueRust</t>
  </si>
  <si>
    <t>Hatchback_02_Trunk_RedRust</t>
  </si>
  <si>
    <t>Sedan_02_Door_1_1_GreyRust</t>
  </si>
  <si>
    <t>Sedan_02_Door_1_1_RedRust</t>
  </si>
  <si>
    <t>Sedan_02_Door_1_1_YellowRust</t>
  </si>
  <si>
    <t>Sedan_02_Door_1_2_GreyRust</t>
  </si>
  <si>
    <t>Sedan_02_Door_1_2_RedRust</t>
  </si>
  <si>
    <t>Sedan_02_Door_1_2_YellowRust</t>
  </si>
  <si>
    <t>Sedan_02_Door_2_1_GreyRust</t>
  </si>
  <si>
    <t>Sedan_02_Door_2_1_RedRust</t>
  </si>
  <si>
    <t>Sedan_02_Door_2_1_YellowRust</t>
  </si>
  <si>
    <t>Sedan_02_Door_2_2_GreyRust</t>
  </si>
  <si>
    <t>Sedan_02_Door_2_2_RedRust</t>
  </si>
  <si>
    <t>Sedan_02_Door_2_2_YellowRust</t>
  </si>
  <si>
    <t>Sedan_02_Hood_GreyRust</t>
  </si>
  <si>
    <t>Sedan_02_Hood_RedRust</t>
  </si>
  <si>
    <t>Sedan_02_Hood_YellowRust</t>
  </si>
  <si>
    <t>Sedan_02_Trunk_GreyRust</t>
  </si>
  <si>
    <t>Sedan_02_Trunk_RedRust</t>
  </si>
  <si>
    <t>Sedan_02_Trunk_YellowRust</t>
  </si>
  <si>
    <t>HatchbackTrunk_Blue</t>
  </si>
  <si>
    <t>WoodAxe_mung</t>
  </si>
  <si>
    <t>jaakari_simple_tan_mung</t>
  </si>
  <si>
    <t>jaakari_simple_black_mung</t>
  </si>
  <si>
    <t>jaakari_simple_camo_mung</t>
  </si>
  <si>
    <t>jaakari_simple_brown_mung</t>
  </si>
  <si>
    <t>jaakari_tan_mung</t>
  </si>
  <si>
    <t>jaakari_black_mung</t>
  </si>
  <si>
    <t>jaakari_camo_mung</t>
  </si>
  <si>
    <t>jaakari_brown_mung</t>
  </si>
  <si>
    <t>&lt;type name="BBP_Bucket"&gt;</t>
  </si>
  <si>
    <t>&lt;type name="BBP_WellKit"&gt;</t>
  </si>
  <si>
    <t>&lt;type name="BBP_Well"&gt;</t>
  </si>
  <si>
    <t>BBP_Bucket</t>
  </si>
  <si>
    <t>BBP_WellKit</t>
  </si>
  <si>
    <t>carrierrig_mung</t>
  </si>
  <si>
    <t>DAYZ</t>
  </si>
  <si>
    <t>WE</t>
  </si>
  <si>
    <t>WIND</t>
  </si>
  <si>
    <t>AE</t>
  </si>
  <si>
    <t>MUNG</t>
  </si>
  <si>
    <t>ND</t>
  </si>
  <si>
    <t>CODELOCK</t>
  </si>
  <si>
    <t>ZIL</t>
  </si>
  <si>
    <t>DEFENDER</t>
  </si>
  <si>
    <t>BBP</t>
  </si>
  <si>
    <t>Subcat</t>
  </si>
  <si>
    <t>#tc_civil</t>
  </si>
  <si>
    <t>#tc_groceries</t>
  </si>
  <si>
    <t>#tc_toys</t>
  </si>
  <si>
    <t>#tc_weapons</t>
  </si>
  <si>
    <t>#tc_head</t>
  </si>
  <si>
    <t>#tc_tops</t>
  </si>
  <si>
    <t>#tc_gloves</t>
  </si>
  <si>
    <t>#tc_pants</t>
  </si>
  <si>
    <t>#tc_boots</t>
  </si>
  <si>
    <t>#tc_belts</t>
  </si>
  <si>
    <t>#tc_vests</t>
  </si>
  <si>
    <t>#tc_cargo</t>
  </si>
  <si>
    <t>#tc_bags</t>
  </si>
  <si>
    <t>#tc_locks</t>
  </si>
  <si>
    <t>#tc_packaged</t>
  </si>
  <si>
    <t>#tc_meat</t>
  </si>
  <si>
    <t>#tc_fruits</t>
  </si>
  <si>
    <t>#tc_knifes</t>
  </si>
  <si>
    <t>#tc_bones</t>
  </si>
  <si>
    <t>#tc_axes</t>
  </si>
  <si>
    <t>#tc_repairs</t>
  </si>
  <si>
    <t>#tc_lights</t>
  </si>
  <si>
    <t>#tc_eletronics</t>
  </si>
  <si>
    <t>#tc_cooking</t>
  </si>
  <si>
    <t>#tc_camping</t>
  </si>
  <si>
    <t>#tc_crafting</t>
  </si>
  <si>
    <t>#tc_equipments</t>
  </si>
  <si>
    <t>#tc_medicaments</t>
  </si>
  <si>
    <t>#tc_pistols</t>
  </si>
  <si>
    <t>#tc_shotguns</t>
  </si>
  <si>
    <t>#tc_submachineguns</t>
  </si>
  <si>
    <t>#tc_rifles</t>
  </si>
  <si>
    <t>#tc_assaultrifles</t>
  </si>
  <si>
    <t>#tc_machineguns</t>
  </si>
  <si>
    <t>#tc_snipers</t>
  </si>
  <si>
    <t>#tc_grenade</t>
  </si>
  <si>
    <t>#tc_mines</t>
  </si>
  <si>
    <t>#tc_optic</t>
  </si>
  <si>
    <t>#tc_bayonets</t>
  </si>
  <si>
    <t>#tc_suppressors</t>
  </si>
  <si>
    <t>#tc_transport</t>
  </si>
  <si>
    <t>#tc_wheels</t>
  </si>
  <si>
    <t>#tc_hood</t>
  </si>
  <si>
    <t>#tc_trunk</t>
  </si>
  <si>
    <t>#tc_doors</t>
  </si>
  <si>
    <t>#tc_rareitems</t>
  </si>
  <si>
    <t>Groups</t>
  </si>
  <si>
    <t>Categories</t>
  </si>
  <si>
    <t>#tc_insurance</t>
  </si>
  <si>
    <t>#tc_nvoptic</t>
  </si>
  <si>
    <t>#tc_handtohand</t>
  </si>
  <si>
    <t>WoodenLog</t>
  </si>
  <si>
    <t>#tc_furnishings</t>
  </si>
  <si>
    <t>WE_HoneyBadger_Olive</t>
  </si>
  <si>
    <t>WE_HoneyBadger_Tan</t>
  </si>
  <si>
    <t>WE_HoneyBadger_Woodland</t>
  </si>
  <si>
    <t>WE_HoneyBadger_Snow</t>
  </si>
  <si>
    <t>WE_M16A3_Green</t>
  </si>
  <si>
    <t>WE_M16A3_Tan</t>
  </si>
  <si>
    <t>WE_M16A3_Woodland</t>
  </si>
  <si>
    <t>WE_M16A3_Snow</t>
  </si>
  <si>
    <t>WE_SCARH_Green</t>
  </si>
  <si>
    <t>WE_SCARH_Tan</t>
  </si>
  <si>
    <t>WE_SCARH_Woodland</t>
  </si>
  <si>
    <t>WE_SCARH_Snow</t>
  </si>
  <si>
    <t>WE_STG44_Green</t>
  </si>
  <si>
    <t>WE_STG44_Tan</t>
  </si>
  <si>
    <t>WE_STG44_Woodland</t>
  </si>
  <si>
    <t>WE_STG44_Snow</t>
  </si>
  <si>
    <t>WE_M1014_Green</t>
  </si>
  <si>
    <t>WE_M1014_Tan</t>
  </si>
  <si>
    <t>WE_M1014_Woodland</t>
  </si>
  <si>
    <t>WE_M1014_Snow</t>
  </si>
  <si>
    <t>WE_MP5SD_Green</t>
  </si>
  <si>
    <t>WE_MP5SD_Tan</t>
  </si>
  <si>
    <t>WE_MP5SD_Woodland</t>
  </si>
  <si>
    <t>WE_MP5SD_Snow</t>
  </si>
  <si>
    <t>WE_M14_Green</t>
  </si>
  <si>
    <t>WE_M14_Tan</t>
  </si>
  <si>
    <t>WE_M14_Woodland</t>
  </si>
  <si>
    <t>WE_M14_Snow</t>
  </si>
  <si>
    <t>WE_M200_Green</t>
  </si>
  <si>
    <t>WE_M200_Tan</t>
  </si>
  <si>
    <t>WE_M200_Woodland</t>
  </si>
  <si>
    <t>WE_M200_Snow</t>
  </si>
  <si>
    <t>WE_M24A3_Green</t>
  </si>
  <si>
    <t>WE_M24A3_Tan</t>
  </si>
  <si>
    <t>WE_M24A3_Woodland</t>
  </si>
  <si>
    <t>WE_M24A3_Snow</t>
  </si>
  <si>
    <t>WE_M82_Green</t>
  </si>
  <si>
    <t>WE_M82_Tan</t>
  </si>
  <si>
    <t>WE_M82_Woodland</t>
  </si>
  <si>
    <t>WE_M82_Snow</t>
  </si>
  <si>
    <t>WE_PSG1_Green</t>
  </si>
  <si>
    <t>WE_PSG1_Tan</t>
  </si>
  <si>
    <t>WE_PSG1_Woodland</t>
  </si>
  <si>
    <t>WE_PSG1_Snow</t>
  </si>
  <si>
    <t>WE_SSG69_Green</t>
  </si>
  <si>
    <t>WE_SSG69_Tan</t>
  </si>
  <si>
    <t>WE_SSG69_Woodland</t>
  </si>
  <si>
    <t>WE_SSG69_Snow</t>
  </si>
  <si>
    <t>#tc_storages</t>
  </si>
  <si>
    <t>DAYZ_notworking</t>
  </si>
  <si>
    <t>Origin</t>
  </si>
  <si>
    <t>price</t>
  </si>
  <si>
    <t>key</t>
  </si>
  <si>
    <t>allowed values</t>
  </si>
  <si>
    <t>Types.xml</t>
  </si>
  <si>
    <t>Key</t>
  </si>
  <si>
    <t>ID trader cateogy</t>
  </si>
  <si>
    <t>Category requirement</t>
  </si>
  <si>
    <t>Item requirement</t>
  </si>
  <si>
    <t>Vojín</t>
  </si>
  <si>
    <t>Private</t>
  </si>
  <si>
    <t>Svobodník</t>
  </si>
  <si>
    <t>Private First Class</t>
  </si>
  <si>
    <t>Desátník</t>
  </si>
  <si>
    <t>Corporal</t>
  </si>
  <si>
    <t>Četař</t>
  </si>
  <si>
    <t>Sergeant</t>
  </si>
  <si>
    <t>Rotný</t>
  </si>
  <si>
    <t>Staff Sergeant</t>
  </si>
  <si>
    <t>Rotmistr</t>
  </si>
  <si>
    <t>Sergeant First Class</t>
  </si>
  <si>
    <t>Nadrotmistr</t>
  </si>
  <si>
    <t>Master Sergeant</t>
  </si>
  <si>
    <t>Praporčík</t>
  </si>
  <si>
    <t>First Sergeant</t>
  </si>
  <si>
    <t>Nadpraporčík</t>
  </si>
  <si>
    <t>Command Sergeant Major</t>
  </si>
  <si>
    <t>Štábní praporčík</t>
  </si>
  <si>
    <t>Sergeant Major of the Army</t>
  </si>
  <si>
    <t>Poručík</t>
  </si>
  <si>
    <t>Second Lieutenant</t>
  </si>
  <si>
    <t>Nadporučík</t>
  </si>
  <si>
    <t>First Lieutenant</t>
  </si>
  <si>
    <t>Kapitán</t>
  </si>
  <si>
    <t>Captain</t>
  </si>
  <si>
    <t>Major</t>
  </si>
  <si>
    <t>Podplukovník</t>
  </si>
  <si>
    <t>Lieutenant Colonel</t>
  </si>
  <si>
    <t>Plukovník</t>
  </si>
  <si>
    <t>Colonel</t>
  </si>
  <si>
    <t>Brigádní generál</t>
  </si>
  <si>
    <t>Brigadier General</t>
  </si>
  <si>
    <t>Generálmajor</t>
  </si>
  <si>
    <t>Major General</t>
  </si>
  <si>
    <t>Generálporučík</t>
  </si>
  <si>
    <t>Lieutenant General</t>
  </si>
  <si>
    <t>Armádní generál</t>
  </si>
  <si>
    <t>General</t>
  </si>
  <si>
    <t>RANK</t>
  </si>
  <si>
    <t>CZE</t>
  </si>
  <si>
    <t>EN</t>
  </si>
  <si>
    <t>Military rank (category)</t>
  </si>
  <si>
    <t>Military rank (item)</t>
  </si>
  <si>
    <t>TraderStock.json</t>
  </si>
  <si>
    <t>TraderIndex.json</t>
  </si>
  <si>
    <t>TraderPrices.json</t>
  </si>
  <si>
    <t>TraderRequiredLevel.json</t>
  </si>
  <si>
    <t>ClassName</t>
  </si>
  <si>
    <t>Editable</t>
  </si>
  <si>
    <t>Input</t>
  </si>
  <si>
    <t>Output</t>
  </si>
  <si>
    <t>Category</t>
  </si>
  <si>
    <t>Min</t>
  </si>
  <si>
    <t>Restock</t>
  </si>
  <si>
    <t>&lt;type name="WE_Mag_Coupled_SCARH_40Rnd"&gt;</t>
  </si>
  <si>
    <t>WE_Mag_Coupled_SCARH_40Rnd</t>
  </si>
  <si>
    <t>&lt;?xml version="1.0" encoding="UTF-8" standalone="yes"?&gt;</t>
  </si>
  <si>
    <t>&lt;type name="AmmoBox_00buck_10Rnd"&gt;</t>
  </si>
  <si>
    <t>&lt;type name="AmmoBox_380_35Rnd"&gt;</t>
  </si>
  <si>
    <t>&lt;type name="AmmoBox_45ACP_25Rnd"&gt;</t>
  </si>
  <si>
    <t>&lt;type name="AmmoBox_9x19_25Rnd"&gt;</t>
  </si>
  <si>
    <t>&lt;type name="Mag_CZ527_5Rnd"&gt;</t>
  </si>
  <si>
    <t>&lt;type name="WE_Mag_SCARH_20Rnd"&gt;</t>
  </si>
  <si>
    <t>&lt;type name="WE_Mag_KACPDW_30Rnd"&gt;</t>
  </si>
  <si>
    <t>&lt;type name="Mag_MP5_15Rnd"&gt;</t>
  </si>
  <si>
    <t>&lt;type name="WE_Mag_MAT49_20Rnd"&gt;</t>
  </si>
  <si>
    <t>&lt;type name="WE_Mag_M9_15Rnd"&gt;</t>
  </si>
  <si>
    <t>&lt;type name="WE_Mag_FiveSeven_20Rnd"&gt;</t>
  </si>
  <si>
    <t>&lt;type name="WE_Mag_DesertEagle_9Rnd"&gt;</t>
  </si>
  <si>
    <t>&lt;type name="WE_Mag_HoneyBadger_30Rnd"&gt;</t>
  </si>
  <si>
    <t>&lt;type name="WE_Mag_Coupled_HoneyBadger_60Rnd"&gt;</t>
  </si>
  <si>
    <t>&lt;type name="WE_Mag_STG44_30Rnd"&gt;</t>
  </si>
  <si>
    <t>&lt;type name="WE_Mag_PPSH41_71Rnd"&gt;</t>
  </si>
  <si>
    <t>&lt;type name="WE_Mag_M14_20Rnd"&gt;</t>
  </si>
  <si>
    <t>&lt;type name="WE_Mag_M24A3_5Rnd"&gt;</t>
  </si>
  <si>
    <t>&lt;type name="WE_Mag_M200_7Rnd"&gt;</t>
  </si>
  <si>
    <t>&lt;type name="WE_Mag_M82_10Rnd"&gt;</t>
  </si>
  <si>
    <t>&lt;type name="WE_Mag_PSG1_20Rnd"&gt;</t>
  </si>
  <si>
    <t>&lt;type name="WE_Mag_SSG69_5Rnd"&gt;</t>
  </si>
  <si>
    <t>AmmoBox_00buck_10Rnd</t>
  </si>
  <si>
    <t>AmmoBox_380_35Rnd</t>
  </si>
  <si>
    <t>AmmoBox_45ACP_25Rnd</t>
  </si>
  <si>
    <t>AmmoBox_9x19_25Rnd</t>
  </si>
  <si>
    <t>Mag_CZ527_5Rnd</t>
  </si>
  <si>
    <t>WE_Mag_SCARH_20Rnd</t>
  </si>
  <si>
    <t>WE_Mag_KACPDW_30Rnd</t>
  </si>
  <si>
    <t>Mag_MP5_15Rnd</t>
  </si>
  <si>
    <t>WE_Mag_MAT49_20Rnd</t>
  </si>
  <si>
    <t>WE_Mag_M9_15Rnd</t>
  </si>
  <si>
    <t>WE_Mag_FiveSeven_20Rnd</t>
  </si>
  <si>
    <t>WE_Mag_DesertEagle_9Rnd</t>
  </si>
  <si>
    <t>WE_Mag_HoneyBadger_30Rnd</t>
  </si>
  <si>
    <t>WE_Mag_Coupled_HoneyBadger_60Rnd</t>
  </si>
  <si>
    <t>WE_Mag_STG44_30Rnd</t>
  </si>
  <si>
    <t>WE_Mag_PPSH41_71Rnd</t>
  </si>
  <si>
    <t>WE_Mag_M14_20Rnd</t>
  </si>
  <si>
    <t>WE_Mag_M24A3_5Rnd</t>
  </si>
  <si>
    <t>WE_Mag_M200_7Rnd</t>
  </si>
  <si>
    <t>WE_Mag_M82_10Rnd</t>
  </si>
  <si>
    <t>WE_Mag_PSG1_20Rnd</t>
  </si>
  <si>
    <t>WE_Mag_SSG69_5Rnd</t>
  </si>
  <si>
    <t>&lt;type name="alp_PlotPoleKit"&gt;</t>
  </si>
  <si>
    <t>&lt;type name="alp_PlotPole"&gt;</t>
  </si>
  <si>
    <t>alp_PlotPoleKit</t>
  </si>
  <si>
    <t>AgaricusMushroom</t>
  </si>
  <si>
    <t>Animal_BosTaurusF_Brown</t>
  </si>
  <si>
    <t>Animal_BosTaurusF_Spotted</t>
  </si>
  <si>
    <t>Animal_BosTaurusF_White</t>
  </si>
  <si>
    <t>Animal_BosTaurus_Brown</t>
  </si>
  <si>
    <t>Animal_BosTaurus_Spotted</t>
  </si>
  <si>
    <t>Animal_BosTaurus_White</t>
  </si>
  <si>
    <t>Animal_CanisLupus_Grey</t>
  </si>
  <si>
    <t>Animal_CanisLupus_White</t>
  </si>
  <si>
    <t>Animal_CapraHircusF</t>
  </si>
  <si>
    <t>Animal_CapraHircus_Black</t>
  </si>
  <si>
    <t>Animal_CapraHircus_Brown</t>
  </si>
  <si>
    <t>Animal_CapraHircus_White</t>
  </si>
  <si>
    <t>Animal_CapreolusCapreolus</t>
  </si>
  <si>
    <t>Animal_CapreolusCapreolusF</t>
  </si>
  <si>
    <t>Animal_CervusElaphus</t>
  </si>
  <si>
    <t>Animal_CervusElaphusF</t>
  </si>
  <si>
    <t>Animal_GallusGallusDomesticus</t>
  </si>
  <si>
    <t>Animal_GallusGallusDomesticusF_Brown</t>
  </si>
  <si>
    <t>Animal_GallusGallusDomesticusF_Spotted</t>
  </si>
  <si>
    <t>Animal_GallusGallusDomesticusF_White</t>
  </si>
  <si>
    <t>Animal_OvisAries</t>
  </si>
  <si>
    <t>Animal_OvisAriesF</t>
  </si>
  <si>
    <t>Animal_SusDomesticus</t>
  </si>
  <si>
    <t>Animal_SusScrofa</t>
  </si>
  <si>
    <t>Animal_UrsusArctos</t>
  </si>
  <si>
    <t>AntiPestsSpray</t>
  </si>
  <si>
    <t>Armband_Black</t>
  </si>
  <si>
    <t>Armband_Blue</t>
  </si>
  <si>
    <t>Armband_Green</t>
  </si>
  <si>
    <t>Armband_Orange</t>
  </si>
  <si>
    <t>Armband_Pink</t>
  </si>
  <si>
    <t>Armband_Red</t>
  </si>
  <si>
    <t>Armband_White</t>
  </si>
  <si>
    <t>Armband_Yellow</t>
  </si>
  <si>
    <t>AthleticShoes_Black</t>
  </si>
  <si>
    <t>BakedBeansCan_Opened</t>
  </si>
  <si>
    <t>Bark_Birch</t>
  </si>
  <si>
    <t>Bark_Oak</t>
  </si>
  <si>
    <t>BarrelHoles_Blue</t>
  </si>
  <si>
    <t>BarrelHoles_Green</t>
  </si>
  <si>
    <t>BarrelHoles_Red</t>
  </si>
  <si>
    <t>BarrelHoles_Yellow</t>
  </si>
  <si>
    <t>BloodBagFull</t>
  </si>
  <si>
    <t>BloodBagIV</t>
  </si>
  <si>
    <t>Bone</t>
  </si>
  <si>
    <t>BoneBait</t>
  </si>
  <si>
    <t>BoneHook</t>
  </si>
  <si>
    <t>BurlapSackCover</t>
  </si>
  <si>
    <t>BurlapStrip</t>
  </si>
  <si>
    <t>CattleProd</t>
  </si>
  <si>
    <t>ChernarusMap_Open</t>
  </si>
  <si>
    <t>ChristmasTree_Green</t>
  </si>
  <si>
    <t>CivSedanWheel_Ruined</t>
  </si>
  <si>
    <t>CourierBag</t>
  </si>
  <si>
    <t>Defibrillator</t>
  </si>
  <si>
    <t>EngineOil</t>
  </si>
  <si>
    <t>Fence</t>
  </si>
  <si>
    <t>FenceKit</t>
  </si>
  <si>
    <t>Fireplace</t>
  </si>
  <si>
    <t>FireplaceIndoor</t>
  </si>
  <si>
    <t>Firewood</t>
  </si>
  <si>
    <t>FurCourierBag</t>
  </si>
  <si>
    <t>FurImprovisedBag</t>
  </si>
  <si>
    <t>GardenPlot</t>
  </si>
  <si>
    <t>GiftBox_Large_1</t>
  </si>
  <si>
    <t>GiftBox_Large_2</t>
  </si>
  <si>
    <t>GiftBox_Large_3</t>
  </si>
  <si>
    <t>GiftBox_Large_4</t>
  </si>
  <si>
    <t>GiftBox_Medium_1</t>
  </si>
  <si>
    <t>GiftBox_Medium_2</t>
  </si>
  <si>
    <t>GiftBox_Medium_3</t>
  </si>
  <si>
    <t>GiftBox_Medium_4</t>
  </si>
  <si>
    <t>GiftBox_Small_1</t>
  </si>
  <si>
    <t>GiftBox_Small_2</t>
  </si>
  <si>
    <t>GiftBox_Small_3</t>
  </si>
  <si>
    <t>GiftBox_Small_4</t>
  </si>
  <si>
    <t>Guts</t>
  </si>
  <si>
    <t>HandDrillKit</t>
  </si>
  <si>
    <t>HandcuffsLocked</t>
  </si>
  <si>
    <t>HatchbackWheel_Ruined</t>
  </si>
  <si>
    <t>Hatchback_02_Wheel_Ruined</t>
  </si>
  <si>
    <t>HeadlightH7</t>
  </si>
  <si>
    <t>HuntingVest</t>
  </si>
  <si>
    <t>ImprovisedBag</t>
  </si>
  <si>
    <t>ImprovisedFishingRod</t>
  </si>
  <si>
    <t>ImprovisedSuppressor</t>
  </si>
  <si>
    <t>Jeans_Black</t>
  </si>
  <si>
    <t>Jeans_Blue</t>
  </si>
  <si>
    <t>Jeans_BlueDark</t>
  </si>
  <si>
    <t>Jeans_Brown</t>
  </si>
  <si>
    <t>Jeans_Green</t>
  </si>
  <si>
    <t>Jeans_Grey</t>
  </si>
  <si>
    <t>JoggingShoes_Black</t>
  </si>
  <si>
    <t>JoggingShoes_Blue</t>
  </si>
  <si>
    <t>JoggingShoes_Red</t>
  </si>
  <si>
    <t>JoggingShoes_Violet</t>
  </si>
  <si>
    <t>JoggingShoes_White</t>
  </si>
  <si>
    <t>Land_Wreck_Volha_Police</t>
  </si>
  <si>
    <t>Lard</t>
  </si>
  <si>
    <t>LongWoodenStick</t>
  </si>
  <si>
    <t>MacrolepiotaMushroom</t>
  </si>
  <si>
    <t>MouthRag</t>
  </si>
  <si>
    <t>Paper</t>
  </si>
  <si>
    <t>PeachesCan_Opened</t>
  </si>
  <si>
    <t>Pen_Black</t>
  </si>
  <si>
    <t>Pen_Blue</t>
  </si>
  <si>
    <t>Pen_Green</t>
  </si>
  <si>
    <t>Pen_Red</t>
  </si>
  <si>
    <t>PileOfWoodenPlanks</t>
  </si>
  <si>
    <t>PlantMaterial</t>
  </si>
  <si>
    <t>Plant_Pepper</t>
  </si>
  <si>
    <t>Plant_Potato</t>
  </si>
  <si>
    <t>Plant_Pumpkin</t>
  </si>
  <si>
    <t>Plant_Tomato</t>
  </si>
  <si>
    <t>Plant_Zucchini</t>
  </si>
  <si>
    <t>PumpkinHelmet</t>
  </si>
  <si>
    <t>Rag</t>
  </si>
  <si>
    <t>ReflexVest</t>
  </si>
  <si>
    <t>SalineBagIV</t>
  </si>
  <si>
    <t>SantasBeard</t>
  </si>
  <si>
    <t>SantasHat</t>
  </si>
  <si>
    <t>SardinesCan_Opened</t>
  </si>
  <si>
    <t>Sedan_02_Wheel_Ruined</t>
  </si>
  <si>
    <t>SlicedPumpkin</t>
  </si>
  <si>
    <t>SmallGuts</t>
  </si>
  <si>
    <t>SmallStone</t>
  </si>
  <si>
    <t>SpaghettiCan_Opened</t>
  </si>
  <si>
    <t>Spear</t>
  </si>
  <si>
    <t>Stone</t>
  </si>
  <si>
    <t>StoneKnife</t>
  </si>
  <si>
    <t>StunBaton</t>
  </si>
  <si>
    <t>TacticalBaconCan_Opened</t>
  </si>
  <si>
    <t>TunaCan_Opened</t>
  </si>
  <si>
    <t>UndergroundStash</t>
  </si>
  <si>
    <t>Watchtower</t>
  </si>
  <si>
    <t>WatchtowerKit</t>
  </si>
  <si>
    <t>WoodenCrate</t>
  </si>
  <si>
    <t>WoodenStick</t>
  </si>
  <si>
    <t>Wreck_Mi8</t>
  </si>
  <si>
    <t>Wreck_UH1Y</t>
  </si>
  <si>
    <t>ZmbF_BlueCollarFat_Blue</t>
  </si>
  <si>
    <t>ZmbF_BlueCollarFat_Green</t>
  </si>
  <si>
    <t>ZmbF_BlueCollarFat_Red</t>
  </si>
  <si>
    <t>ZmbF_BlueCollarFat_White</t>
  </si>
  <si>
    <t>ZmbF_CitizenANormal_Beige</t>
  </si>
  <si>
    <t>ZmbF_CitizenANormal_Blue</t>
  </si>
  <si>
    <t>ZmbF_CitizenANormal_Brown</t>
  </si>
  <si>
    <t>ZmbF_CitizenBSkinny</t>
  </si>
  <si>
    <t>ZmbF_Clerk_Normal_Blue</t>
  </si>
  <si>
    <t>ZmbF_Clerk_Normal_Green</t>
  </si>
  <si>
    <t>ZmbF_Clerk_Normal_Red</t>
  </si>
  <si>
    <t>ZmbF_Clerk_Normal_White</t>
  </si>
  <si>
    <t>ZmbF_DoctorSkinny</t>
  </si>
  <si>
    <t>ZmbF_HikerSkinny_Blue</t>
  </si>
  <si>
    <t>ZmbF_HikerSkinny_Green</t>
  </si>
  <si>
    <t>ZmbF_HikerSkinny_Grey</t>
  </si>
  <si>
    <t>ZmbF_HikerSkinny_Red</t>
  </si>
  <si>
    <t>ZmbF_JoggerSkinny_Blue</t>
  </si>
  <si>
    <t>ZmbF_JoggerSkinny_Brown</t>
  </si>
  <si>
    <t>ZmbF_JoggerSkinny_Green</t>
  </si>
  <si>
    <t>ZmbF_JoggerSkinny_Red</t>
  </si>
  <si>
    <t>ZmbF_JournalistNormal_Blue</t>
  </si>
  <si>
    <t>ZmbF_JournalistNormal_Green</t>
  </si>
  <si>
    <t>ZmbF_JournalistNormal_Red</t>
  </si>
  <si>
    <t>ZmbF_JournalistNormal_White</t>
  </si>
  <si>
    <t>ZmbF_MechanicNormal_Beige</t>
  </si>
  <si>
    <t>ZmbF_MechanicNormal_Green</t>
  </si>
  <si>
    <t>ZmbF_MechanicNormal_Grey</t>
  </si>
  <si>
    <t>ZmbF_MechanicNormal_Orange</t>
  </si>
  <si>
    <t>ZmbF_MilkMaidOld_Beige</t>
  </si>
  <si>
    <t>ZmbF_MilkMaidOld_Black</t>
  </si>
  <si>
    <t>ZmbF_MilkMaidOld_Green</t>
  </si>
  <si>
    <t>ZmbF_MilkMaidOld_Grey</t>
  </si>
  <si>
    <t>ZmbF_NurseFat</t>
  </si>
  <si>
    <t>ZmbF_ParamedicNormal_Blue</t>
  </si>
  <si>
    <t>ZmbF_ParamedicNormal_Green</t>
  </si>
  <si>
    <t>ZmbF_ParamedicNormal_Red</t>
  </si>
  <si>
    <t>ZmbF_PatientOld</t>
  </si>
  <si>
    <t>ZmbF_PoliceWomanNormal</t>
  </si>
  <si>
    <t>ZmbF_ShortSkirt_beige</t>
  </si>
  <si>
    <t>ZmbF_ShortSkirt_black</t>
  </si>
  <si>
    <t>ZmbF_ShortSkirt_brown</t>
  </si>
  <si>
    <t>ZmbF_ShortSkirt_checks</t>
  </si>
  <si>
    <t>ZmbF_ShortSkirt_green</t>
  </si>
  <si>
    <t>ZmbF_ShortSkirt_grey</t>
  </si>
  <si>
    <t>ZmbF_ShortSkirt_red</t>
  </si>
  <si>
    <t>ZmbF_ShortSkirt_stripes</t>
  </si>
  <si>
    <t>ZmbF_ShortSkirt_white</t>
  </si>
  <si>
    <t>ZmbF_ShortSkirt_yellow</t>
  </si>
  <si>
    <t>ZmbF_SkaterYoung_Brown</t>
  </si>
  <si>
    <t>ZmbF_SkaterYoung_Striped</t>
  </si>
  <si>
    <t>ZmbF_SkaterYoung_Violet</t>
  </si>
  <si>
    <t>ZmbF_SurvivorNormal_Blue</t>
  </si>
  <si>
    <t>ZmbF_SurvivorNormal_Orange</t>
  </si>
  <si>
    <t>ZmbF_SurvivorNormal_Red</t>
  </si>
  <si>
    <t>ZmbF_SurvivorNormal_White</t>
  </si>
  <si>
    <t>ZmbF_VillagerOld_Blue</t>
  </si>
  <si>
    <t>ZmbF_VillagerOld_Green</t>
  </si>
  <si>
    <t>ZmbF_VillagerOld_Red</t>
  </si>
  <si>
    <t>ZmbF_VillagerOld_White</t>
  </si>
  <si>
    <t>ZmbM_CitizenASkinny_Blue</t>
  </si>
  <si>
    <t>ZmbM_CitizenASkinny_Brown</t>
  </si>
  <si>
    <t>ZmbM_CitizenASkinny_Grey</t>
  </si>
  <si>
    <t>ZmbM_CitizenASkinny_Red</t>
  </si>
  <si>
    <t>ZmbM_CitizenBFat_Blue</t>
  </si>
  <si>
    <t>ZmbM_CitizenBFat_Green</t>
  </si>
  <si>
    <t>ZmbM_CitizenBFat_Red</t>
  </si>
  <si>
    <t>ZmbM_ClerkFat_Brown</t>
  </si>
  <si>
    <t>ZmbM_ClerkFat_Grey</t>
  </si>
  <si>
    <t>ZmbM_ClerkFat_Khaki</t>
  </si>
  <si>
    <t>ZmbM_ClerkFat_White</t>
  </si>
  <si>
    <t>ZmbM_CommercialPilotOld_Blue</t>
  </si>
  <si>
    <t>ZmbM_CommercialPilotOld_Brown</t>
  </si>
  <si>
    <t>ZmbM_CommercialPilotOld_Grey</t>
  </si>
  <si>
    <t>ZmbM_CommercialPilotOld_Olive</t>
  </si>
  <si>
    <t>ZmbM_ConstrWorkerNormal_Beige</t>
  </si>
  <si>
    <t>ZmbM_ConstrWorkerNormal_Black</t>
  </si>
  <si>
    <t>ZmbM_ConstrWorkerNormal_Green</t>
  </si>
  <si>
    <t>ZmbM_ConstrWorkerNormal_Grey</t>
  </si>
  <si>
    <t>ZmbM_DoctorFat</t>
  </si>
  <si>
    <t>ZmbM_FarmerFat_Beige</t>
  </si>
  <si>
    <t>ZmbM_FarmerFat_Blue</t>
  </si>
  <si>
    <t>ZmbM_FarmerFat_Brown</t>
  </si>
  <si>
    <t>ZmbM_FarmerFat_Green</t>
  </si>
  <si>
    <t>ZmbM_FirefighterNormal</t>
  </si>
  <si>
    <t>ZmbM_FishermanOld_Blue</t>
  </si>
  <si>
    <t>ZmbM_FishermanOld_Green</t>
  </si>
  <si>
    <t>ZmbM_FishermanOld_Grey</t>
  </si>
  <si>
    <t>ZmbM_FishermanOld_Red</t>
  </si>
  <si>
    <t>ZmbM_HandymanNormal_Beige</t>
  </si>
  <si>
    <t>ZmbM_HandymanNormal_Blue</t>
  </si>
  <si>
    <t>ZmbM_HandymanNormal_Green</t>
  </si>
  <si>
    <t>ZmbM_HandymanNormal_Grey</t>
  </si>
  <si>
    <t>ZmbM_HandymanNormal_White</t>
  </si>
  <si>
    <t>ZmbM_HeavyIndustryWorker</t>
  </si>
  <si>
    <t>ZmbM_HermitSkinny_Beige</t>
  </si>
  <si>
    <t>ZmbM_HermitSkinny_Black</t>
  </si>
  <si>
    <t>ZmbM_HermitSkinny_Green</t>
  </si>
  <si>
    <t>ZmbM_HermitSkinny_Red</t>
  </si>
  <si>
    <t>ZmbM_HikerSkinny_Blue</t>
  </si>
  <si>
    <t>ZmbM_HikerSkinny_Green</t>
  </si>
  <si>
    <t>ZmbM_HikerSkinny_Yellow</t>
  </si>
  <si>
    <t>ZmbM_HunterOld_Autumn</t>
  </si>
  <si>
    <t>ZmbM_HunterOld_Spring</t>
  </si>
  <si>
    <t>ZmbM_HunterOld_Summer</t>
  </si>
  <si>
    <t>ZmbM_HunterOld_Winter</t>
  </si>
  <si>
    <t>ZmbM_Jacket_beige</t>
  </si>
  <si>
    <t>ZmbM_Jacket_black</t>
  </si>
  <si>
    <t>ZmbM_Jacket_blue</t>
  </si>
  <si>
    <t>ZmbM_Jacket_bluechecks</t>
  </si>
  <si>
    <t>ZmbM_Jacket_brown</t>
  </si>
  <si>
    <t>ZmbM_Jacket_greenchecks</t>
  </si>
  <si>
    <t>ZmbM_Jacket_grey</t>
  </si>
  <si>
    <t>ZmbM_Jacket_khaki</t>
  </si>
  <si>
    <t>ZmbM_Jacket_magenta</t>
  </si>
  <si>
    <t>ZmbM_Jacket_stripes</t>
  </si>
  <si>
    <t>ZmbM_JoggerSkinny_Blue</t>
  </si>
  <si>
    <t>ZmbM_JoggerSkinny_Green</t>
  </si>
  <si>
    <t>ZmbM_JoggerSkinny_Red</t>
  </si>
  <si>
    <t>ZmbM_JournalistSkinny</t>
  </si>
  <si>
    <t>ZmbM_MechanicSkinny_Blue</t>
  </si>
  <si>
    <t>ZmbM_MechanicSkinny_Green</t>
  </si>
  <si>
    <t>ZmbM_MechanicSkinny_Grey</t>
  </si>
  <si>
    <t>ZmbM_MechanicSkinny_Red</t>
  </si>
  <si>
    <t>ZmbM_MotobikerFat_Beige</t>
  </si>
  <si>
    <t>ZmbM_MotobikerFat_Black</t>
  </si>
  <si>
    <t>ZmbM_MotobikerFat_Blue</t>
  </si>
  <si>
    <t>ZmbM_OffshoreWorker_Green</t>
  </si>
  <si>
    <t>ZmbM_OffshoreWorker_Orange</t>
  </si>
  <si>
    <t>ZmbM_OffshoreWorker_Red</t>
  </si>
  <si>
    <t>ZmbM_OffshoreWorker_Yellow</t>
  </si>
  <si>
    <t>ZmbM_ParamedicNormal_Black</t>
  </si>
  <si>
    <t>ZmbM_ParamedicNormal_Blue</t>
  </si>
  <si>
    <t>ZmbM_ParamedicNormal_Green</t>
  </si>
  <si>
    <t>ZmbM_ParamedicNormal_Red</t>
  </si>
  <si>
    <t>ZmbM_PatientSkinny</t>
  </si>
  <si>
    <t>ZmbM_PatrolNormal_Autumn</t>
  </si>
  <si>
    <t>ZmbM_PatrolNormal_Flat</t>
  </si>
  <si>
    <t>ZmbM_PatrolNormal_PautRev</t>
  </si>
  <si>
    <t>ZmbM_PatrolNormal_Summer</t>
  </si>
  <si>
    <t>ZmbM_PolicemanFat</t>
  </si>
  <si>
    <t>ZmbM_PolicemanSpecForce</t>
  </si>
  <si>
    <t>ZmbM_PrisonerSkinny</t>
  </si>
  <si>
    <t>ZmbM_SkaterYoung_Blue</t>
  </si>
  <si>
    <t>ZmbM_SkaterYoung_Brown</t>
  </si>
  <si>
    <t>ZmbM_SkaterYoung_Green</t>
  </si>
  <si>
    <t>ZmbM_SkaterYoung_Grey</t>
  </si>
  <si>
    <t>ZmbM_SoldierNormal</t>
  </si>
  <si>
    <t>ZmbM_VillagerOld_Blue</t>
  </si>
  <si>
    <t>ZmbM_VillagerOld_Green</t>
  </si>
  <si>
    <t>ZmbM_VillagerOld_White</t>
  </si>
  <si>
    <t>ZmbM_priestPopSkinny</t>
  </si>
  <si>
    <t>ZmbM_usSoldier_normal_Desert</t>
  </si>
  <si>
    <t>ZmbM_usSoldier_normal_Woodland</t>
  </si>
  <si>
    <t>alp_Coin1</t>
  </si>
  <si>
    <t>alp_Coin2</t>
  </si>
  <si>
    <t>alp_Coin5</t>
  </si>
  <si>
    <t>alp_Money10</t>
  </si>
  <si>
    <t>alp_Money20</t>
  </si>
  <si>
    <t>alp_Money100</t>
  </si>
  <si>
    <t>alp_Money500</t>
  </si>
  <si>
    <t>alp_Money1000</t>
  </si>
  <si>
    <t>alp_Barrel_Yellow</t>
  </si>
  <si>
    <t>Bait</t>
  </si>
  <si>
    <t>Bandage</t>
  </si>
  <si>
    <t>ChristmasTree</t>
  </si>
  <si>
    <t>DallasMask</t>
  </si>
  <si>
    <t>HoxtonMask</t>
  </si>
  <si>
    <t>V3SDoors_CoDriver</t>
  </si>
  <si>
    <t>V3SDoors_Driver</t>
  </si>
  <si>
    <t>V3SHood</t>
  </si>
  <si>
    <t>V3SWheel</t>
  </si>
  <si>
    <t>V3SWheelDouble</t>
  </si>
  <si>
    <t>V3SWheelDouble_Ruined</t>
  </si>
  <si>
    <t>V3SWheel_Ruined</t>
  </si>
  <si>
    <t>WolfMask</t>
  </si>
  <si>
    <t>gunwalldisplay_mung</t>
  </si>
  <si>
    <t>gunwall_kit_mung</t>
  </si>
  <si>
    <t>gunwalldisplay_metal_mung</t>
  </si>
  <si>
    <t>gunwall_metal_kit_mung</t>
  </si>
  <si>
    <t>makeshifttent_mung_Deployed</t>
  </si>
  <si>
    <t>makeshifttent_mung</t>
  </si>
  <si>
    <t>BBP_Well</t>
  </si>
  <si>
    <t>BBP_T1_WallKit</t>
  </si>
  <si>
    <t>BBP_T2_WallKit</t>
  </si>
  <si>
    <t>BBP_T3_WallKit</t>
  </si>
  <si>
    <t>BBP_T1_Wall_HalfKit</t>
  </si>
  <si>
    <t>BBP_T2_Wall_HalfKit</t>
  </si>
  <si>
    <t>BBP_T3_Wall_HalfKit</t>
  </si>
  <si>
    <t>BBP_T1_WindowKit</t>
  </si>
  <si>
    <t>BBP_T3_WindowKit</t>
  </si>
  <si>
    <t>BBP_T1_DoorKit</t>
  </si>
  <si>
    <t>BBP_T2_DoorKit</t>
  </si>
  <si>
    <t>BBP_T3_DoorKit</t>
  </si>
  <si>
    <t>BBP_T1_GateKit</t>
  </si>
  <si>
    <t>BBP_T2_GateKit</t>
  </si>
  <si>
    <t>BBP_T3_GateKit</t>
  </si>
  <si>
    <t>BBP_T1_RoofKit</t>
  </si>
  <si>
    <t>BBP_T2_RoofKit</t>
  </si>
  <si>
    <t>BBP_T3_RoofKit</t>
  </si>
  <si>
    <t>BBP_T1_FloorKit</t>
  </si>
  <si>
    <t>BBP_T2_FloorKit</t>
  </si>
  <si>
    <t>BBP_T3_FloorKit</t>
  </si>
  <si>
    <t>BBP_T1_Floor_HatchKit</t>
  </si>
  <si>
    <t>BBP_T3_Floor_HatchKit</t>
  </si>
  <si>
    <t>BBP_T1_StairKit</t>
  </si>
  <si>
    <t>BBP_T1_RampKit</t>
  </si>
  <si>
    <t>BBP_T1_Ramp_WideKit</t>
  </si>
  <si>
    <t>BBP_T1_Wall</t>
  </si>
  <si>
    <t>BBP_T2_Wall</t>
  </si>
  <si>
    <t>BBP_T3_Wall</t>
  </si>
  <si>
    <t>BBP_T1_Wall_Half</t>
  </si>
  <si>
    <t>BBP_T2_Wall_Half</t>
  </si>
  <si>
    <t>BBP_T3_Wall_Half</t>
  </si>
  <si>
    <t>BBP_T1_Window</t>
  </si>
  <si>
    <t>BBP_T3_Window</t>
  </si>
  <si>
    <t>BBP_T1_Door</t>
  </si>
  <si>
    <t>BBP_T2_Door</t>
  </si>
  <si>
    <t>BBP_T3_Door</t>
  </si>
  <si>
    <t>BBP_T1_Gate</t>
  </si>
  <si>
    <t>BBP_T2_Gate</t>
  </si>
  <si>
    <t>BBP_T3_Gate</t>
  </si>
  <si>
    <t>BBP_T1_Roof</t>
  </si>
  <si>
    <t>BBP_T2_Roof</t>
  </si>
  <si>
    <t>BBP_T3_Roof</t>
  </si>
  <si>
    <t>BBP_T1_Floor</t>
  </si>
  <si>
    <t>BBP_T2_Floor</t>
  </si>
  <si>
    <t>BBP_T3_Floor</t>
  </si>
  <si>
    <t>BBP_T1_Floor_Hatch</t>
  </si>
  <si>
    <t>BBP_T3_Floor_Hatch</t>
  </si>
  <si>
    <t>BBP_T1_Stair</t>
  </si>
  <si>
    <t>BBP_T1_Ramp</t>
  </si>
  <si>
    <t>BBP_T1_Ramp_Wide</t>
  </si>
  <si>
    <t>BBP_Cement_Mixer</t>
  </si>
  <si>
    <t>BBP_Blueprint</t>
  </si>
  <si>
    <t>BBP_Workbench</t>
  </si>
  <si>
    <t>BBP_Sun_Shade</t>
  </si>
  <si>
    <t>BBP_Wood_Storage</t>
  </si>
  <si>
    <t>BBP_Magnet_A</t>
  </si>
  <si>
    <t>BBP_Magnet_B</t>
  </si>
  <si>
    <t>BBP_Magnet_C</t>
  </si>
  <si>
    <t>BBP_Magnet_D</t>
  </si>
  <si>
    <t>BBP_Magnet_E</t>
  </si>
  <si>
    <t>BBP_Magnet_F</t>
  </si>
  <si>
    <t>BBP_Magnet_G</t>
  </si>
  <si>
    <t>BBP_Magnet_H</t>
  </si>
  <si>
    <t>BBP_Magnet_I</t>
  </si>
  <si>
    <t>BBP_Magnet_J</t>
  </si>
  <si>
    <t>BBP_Magnet_K</t>
  </si>
  <si>
    <t>BBP_Magnet_L</t>
  </si>
  <si>
    <t>BBP_Magnet_M</t>
  </si>
  <si>
    <t>BBP_Magnet_N</t>
  </si>
  <si>
    <t>BBP_Magnet_O</t>
  </si>
  <si>
    <t>BBP_Magnet_P</t>
  </si>
  <si>
    <t>BBP_Magnet_Q</t>
  </si>
  <si>
    <t>BBP_Magnet_R</t>
  </si>
  <si>
    <t>BBP_Magnet_S</t>
  </si>
  <si>
    <t>BBP_Magnet_T</t>
  </si>
  <si>
    <t>BBP_Magnet_U</t>
  </si>
  <si>
    <t>BBP_Magnet_V</t>
  </si>
  <si>
    <t>BBP_Magnet_W</t>
  </si>
  <si>
    <t>BBP_Magnet_X</t>
  </si>
  <si>
    <t>BBP_Magnet_Y</t>
  </si>
  <si>
    <t>BBP_Magnet_Z</t>
  </si>
  <si>
    <t>BBP_Land_Claim_FlagKit</t>
  </si>
  <si>
    <t>BBP_Land_Claim_Pole</t>
  </si>
  <si>
    <t>BBP_Land_Claim_Flag</t>
  </si>
  <si>
    <t>BBP_Admin_Land_Claim_Flag</t>
  </si>
  <si>
    <t>BBP_Solar</t>
  </si>
  <si>
    <t>BBP_T3_Door_HalfKit</t>
  </si>
  <si>
    <t>BBP_T3_Door_Half</t>
  </si>
  <si>
    <t>BBP_T1_FoundationKit</t>
  </si>
  <si>
    <t>BBP_T1_Foundation</t>
  </si>
  <si>
    <t>BBP_T2_FoundationKit</t>
  </si>
  <si>
    <t>BBP_T2_Foundation</t>
  </si>
  <si>
    <t>BBP_T3_FoundationKit</t>
  </si>
  <si>
    <t>BBP_T3_Foundation</t>
  </si>
  <si>
    <t>BBP_PillarKit</t>
  </si>
  <si>
    <t>BBP_Pillar</t>
  </si>
  <si>
    <t>BBP_Bed</t>
  </si>
  <si>
    <t>BBP_Step_Ladder</t>
  </si>
  <si>
    <t>BBP_T2_WindowKit</t>
  </si>
  <si>
    <t>BBP_T2_Window</t>
  </si>
  <si>
    <t>BBP_T3_StairKit</t>
  </si>
  <si>
    <t>BBP_T3_Stair</t>
  </si>
  <si>
    <t>ProxyDefender110_koleso_destroyed</t>
  </si>
  <si>
    <t>makeshifttent2_mung_Deployed</t>
  </si>
  <si>
    <t>makeshifttent2_mung</t>
  </si>
  <si>
    <t>alp_PlotPole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</si>
</sst>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4"/>
      <color theme="1"/>
      <name val="Calibri"/>
      <family val="2"/>
      <charset val="238"/>
      <scheme val="minor"/>
    </font>
    <font>
      <sz val="7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Fill="1"/>
    <xf numFmtId="0" fontId="0" fillId="0" borderId="0" xfId="0" applyFill="1" applyBorder="1"/>
    <xf numFmtId="0" fontId="0" fillId="0" borderId="1" xfId="0" applyFont="1" applyFill="1" applyBorder="1"/>
    <xf numFmtId="0" fontId="0" fillId="0" borderId="0" xfId="0" applyFont="1" applyFill="1" applyBorder="1"/>
    <xf numFmtId="0" fontId="4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4" fillId="3" borderId="0" xfId="0" applyFont="1" applyFill="1" applyAlignment="1"/>
    <xf numFmtId="0" fontId="2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 textRotation="90"/>
    </xf>
    <xf numFmtId="0" fontId="4" fillId="3" borderId="0" xfId="0" applyFont="1" applyFill="1" applyAlignment="1">
      <alignment horizontal="center"/>
    </xf>
  </cellXfs>
  <cellStyles count="1">
    <cellStyle name="Normální" xfId="0" builtinId="0"/>
  </cellStyles>
  <dxfs count="20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2752725</xdr:colOff>
          <xdr:row>0</xdr:row>
          <xdr:rowOff>76200</xdr:rowOff>
        </xdr:from>
        <xdr:to>
          <xdr:col>0</xdr:col>
          <xdr:colOff>4619625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857250</xdr:colOff>
          <xdr:row>0</xdr:row>
          <xdr:rowOff>47625</xdr:rowOff>
        </xdr:from>
        <xdr:to>
          <xdr:col>0</xdr:col>
          <xdr:colOff>2381250</xdr:colOff>
          <xdr:row>0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ulka1" displayName="Tabulka1" ref="A3:H21564" totalsRowShown="0">
  <autoFilter ref="A3:H21564"/>
  <tableColumns count="8">
    <tableColumn id="1" name="Types.xml"/>
    <tableColumn id="2" name="ClassName"/>
    <tableColumn id="3" name="Category"/>
    <tableColumn id="4" name="Nominal"/>
    <tableColumn id="5" name="Lifetime"/>
    <tableColumn id="8" name="Restock"/>
    <tableColumn id="6" name="Min"/>
    <tableColumn id="7" name="Flag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ulka6" displayName="Tabulka6" ref="A2:R1364" totalsRowShown="0" headerRowDxfId="19" dataDxfId="18">
  <autoFilter ref="A2:R1364"/>
  <tableColumns count="18">
    <tableColumn id="1" name="Key" dataDxfId="17">
      <calculatedColumnFormula>CONCATENATE(J3,K3,L3)</calculatedColumnFormula>
    </tableColumn>
    <tableColumn id="2" name="ID trader cateogy" dataDxfId="16">
      <calculatedColumnFormula>VLOOKUP(A3,TraderCategory!$A$63:$E$556,2,FALSE)</calculatedColumnFormula>
    </tableColumn>
    <tableColumn id="3" name="Category requirement" dataDxfId="15">
      <calculatedColumnFormula>VLOOKUP(A3,TraderCategory!$A$63:$F$556,6,FALSE)</calculatedColumnFormula>
    </tableColumn>
    <tableColumn id="4" name="Military rank (category)" dataDxfId="14">
      <calculatedColumnFormula>VLOOKUP(C3,Tabulka5[],3,FALSE)</calculatedColumnFormula>
    </tableColumn>
    <tableColumn id="5" name="Item requirement" dataDxfId="13"/>
    <tableColumn id="6" name="Military rank (item)" dataDxfId="12">
      <calculatedColumnFormula>VLOOKUP(E3,Tabulka5[],3,FALSE)</calculatedColumnFormula>
    </tableColumn>
    <tableColumn id="7" name="Origin" dataDxfId="11"/>
    <tableColumn id="8" name="ClassName" dataDxfId="10"/>
    <tableColumn id="9" name="Categorie" dataDxfId="9"/>
    <tableColumn id="10" name="Group" dataDxfId="8"/>
    <tableColumn id="11" name="cat" dataDxfId="7"/>
    <tableColumn id="12" name="subcat" dataDxfId="6"/>
    <tableColumn id="13" name="price" dataDxfId="5"/>
    <tableColumn id="14" name="stock" dataDxfId="4"/>
    <tableColumn id="15" name="TraderStock.json" dataDxfId="3">
      <calculatedColumnFormula>"""" &amp;H3 &amp; """: " &amp; N3 &amp; ","</calculatedColumnFormula>
    </tableColumn>
    <tableColumn id="16" name="TraderIndex.json" dataDxfId="2">
      <calculatedColumnFormula>"""" &amp;H3 &amp; """: " &amp; B3 &amp; ","</calculatedColumnFormula>
    </tableColumn>
    <tableColumn id="17" name="TraderPrices.json" dataDxfId="1">
      <calculatedColumnFormula>"""" &amp;H3 &amp; """: " &amp; M3 &amp; ","</calculatedColumnFormula>
    </tableColumn>
    <tableColumn id="18" name="TraderRequiredLevel.json" dataDxfId="0">
      <calculatedColumnFormula>"""" &amp;H3 &amp; """: " &amp; E3 &amp; ","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ulka2" displayName="Tabulka2" ref="C1:E58" totalsRowShown="0">
  <autoFilter ref="C1:E58"/>
  <tableColumns count="3">
    <tableColumn id="1" name="Groups"/>
    <tableColumn id="2" name="Categories"/>
    <tableColumn id="3" name="Subca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ulka3" displayName="Tabulka3" ref="A62:L138" totalsRowShown="0">
  <autoFilter ref="A62:L138"/>
  <tableColumns count="12">
    <tableColumn id="1" name="key">
      <calculatedColumnFormula>CONCATENATE(C63,D63,E63)</calculatedColumnFormula>
    </tableColumn>
    <tableColumn id="2" name="id"/>
    <tableColumn id="3" name="&quot;Groups&quot;: "/>
    <tableColumn id="4" name="&quot;Category&quot;: "/>
    <tableColumn id="5" name="&quot;SubCategory&quot;: "/>
    <tableColumn id="6" name="&quot;Reputation&quot;: "/>
    <tableColumn id="7" name="&quot;Restock&quot;: "/>
    <tableColumn id="8" name="&quot;RestockCap&quot;: "/>
    <tableColumn id="9" name="&quot;StockCap&quot;: "/>
    <tableColumn id="10" name="&quot;SellingRatioMin&quot;: "/>
    <tableColumn id="11" name="&quot;SellingRatioMax&quot;: "/>
    <tableColumn id="12" name="&quot;BuingRatioMin&quot;: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ulka5" displayName="Tabulka5" ref="A1:C21" totalsRowShown="0">
  <autoFilter ref="A1:C21"/>
  <tableColumns count="3">
    <tableColumn id="1" name="RANK"/>
    <tableColumn id="2" name="CZE"/>
    <tableColumn id="3" name="E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H21564"/>
  <sheetViews>
    <sheetView workbookViewId="0">
      <pane ySplit="3" topLeftCell="A19411" activePane="bottomLeft" state="frozen"/>
      <selection pane="bottomLeft" activeCell="A4" sqref="A4:A21564"/>
    </sheetView>
  </sheetViews>
  <sheetFormatPr defaultRowHeight="15" x14ac:dyDescent="0.25"/>
  <cols>
    <col min="1" max="1" width="107.7109375" bestFit="1" customWidth="1"/>
    <col min="2" max="2" width="39.42578125" bestFit="1" customWidth="1"/>
    <col min="3" max="6" width="12.140625" customWidth="1"/>
    <col min="7" max="7" width="10.5703125" customWidth="1"/>
    <col min="8" max="8" width="107.7109375" bestFit="1" customWidth="1"/>
  </cols>
  <sheetData>
    <row r="1" spans="1:8" ht="32.25" customHeight="1" x14ac:dyDescent="0.25"/>
    <row r="2" spans="1:8" ht="18.75" x14ac:dyDescent="0.3">
      <c r="A2" s="6" t="s">
        <v>3288</v>
      </c>
      <c r="C2" s="7" t="s">
        <v>3287</v>
      </c>
      <c r="D2" s="8"/>
      <c r="E2" s="8"/>
      <c r="F2" s="8"/>
      <c r="G2" s="8"/>
    </row>
    <row r="3" spans="1:8" x14ac:dyDescent="0.25">
      <c r="A3" t="s">
        <v>3233</v>
      </c>
      <c r="B3" t="s">
        <v>3286</v>
      </c>
      <c r="C3" t="s">
        <v>3290</v>
      </c>
      <c r="D3" t="s">
        <v>5</v>
      </c>
      <c r="E3" t="s">
        <v>6</v>
      </c>
      <c r="F3" t="s">
        <v>3292</v>
      </c>
      <c r="G3" t="s">
        <v>3291</v>
      </c>
      <c r="H3" t="s">
        <v>9</v>
      </c>
    </row>
    <row r="4" spans="1:8" x14ac:dyDescent="0.25">
      <c r="A4" t="s">
        <v>3295</v>
      </c>
    </row>
    <row r="5" spans="1:8" x14ac:dyDescent="0.25">
      <c r="A5" t="s">
        <v>0</v>
      </c>
    </row>
    <row r="6" spans="1:8" x14ac:dyDescent="0.25">
      <c r="A6" t="s">
        <v>1402</v>
      </c>
      <c r="B6" t="s">
        <v>7</v>
      </c>
      <c r="C6" t="s">
        <v>8</v>
      </c>
      <c r="D6">
        <v>10</v>
      </c>
      <c r="E6">
        <v>7200</v>
      </c>
      <c r="F6">
        <v>1800</v>
      </c>
      <c r="G6">
        <v>5</v>
      </c>
      <c r="H6" t="s">
        <v>19</v>
      </c>
    </row>
    <row r="7" spans="1:8" x14ac:dyDescent="0.25">
      <c r="A7" t="str">
        <f>"&lt;nominal&gt;" &amp;$D$6&amp;"&lt;/nominal&gt;"</f>
        <v>&lt;nominal&gt;10&lt;/nominal&gt;</v>
      </c>
      <c r="B7" t="s">
        <v>7</v>
      </c>
    </row>
    <row r="8" spans="1:8" x14ac:dyDescent="0.25">
      <c r="A8" t="str">
        <f>"&lt;lifetime&gt;" &amp;$E$6&amp;"&lt;/lifetime&gt;"</f>
        <v>&lt;lifetime&gt;7200&lt;/lifetime&gt;</v>
      </c>
      <c r="B8" t="s">
        <v>7</v>
      </c>
    </row>
    <row r="9" spans="1:8" x14ac:dyDescent="0.25">
      <c r="A9" t="str">
        <f>"&lt;restock&gt;" &amp;$F$6&amp;"&lt;/restock&gt;"</f>
        <v>&lt;restock&gt;1800&lt;/restock&gt;</v>
      </c>
      <c r="B9" t="s">
        <v>7</v>
      </c>
    </row>
    <row r="10" spans="1:8" x14ac:dyDescent="0.25">
      <c r="A10" t="str">
        <f>"&lt;min&gt;" &amp;$G$6&amp;"&lt;/min&gt;"</f>
        <v>&lt;min&gt;5&lt;/min&gt;</v>
      </c>
      <c r="B10" t="s">
        <v>7</v>
      </c>
    </row>
    <row r="11" spans="1:8" x14ac:dyDescent="0.25">
      <c r="A11" t="s">
        <v>16</v>
      </c>
      <c r="B11" t="s">
        <v>7</v>
      </c>
    </row>
    <row r="12" spans="1:8" x14ac:dyDescent="0.25">
      <c r="A12" t="s">
        <v>17</v>
      </c>
      <c r="B12" t="s">
        <v>7</v>
      </c>
    </row>
    <row r="13" spans="1:8" x14ac:dyDescent="0.25">
      <c r="A13" t="s">
        <v>18</v>
      </c>
      <c r="B13" t="s">
        <v>7</v>
      </c>
    </row>
    <row r="14" spans="1:8" x14ac:dyDescent="0.25">
      <c r="A14" t="str">
        <f xml:space="preserve"> $H$6</f>
        <v>&lt;flags count_in_cargo="0" count_in_hoarder="0" count_in_map="1" count_in_player="0" crafted="0" deloot="0"/&gt;</v>
      </c>
      <c r="B14" t="s">
        <v>7</v>
      </c>
    </row>
    <row r="15" spans="1:8" x14ac:dyDescent="0.25">
      <c r="A15" t="str">
        <f>"&lt;category name=" &amp;"""" &amp;$C$6&amp;"""/&gt;"</f>
        <v>&lt;category name="weapons"/&gt;</v>
      </c>
      <c r="B15" t="s">
        <v>7</v>
      </c>
    </row>
    <row r="16" spans="1:8" x14ac:dyDescent="0.25">
      <c r="A16" t="s">
        <v>29</v>
      </c>
      <c r="B16" t="s">
        <v>7</v>
      </c>
    </row>
    <row r="17" spans="1:8" x14ac:dyDescent="0.25">
      <c r="A17" t="s">
        <v>22</v>
      </c>
      <c r="B17" t="s">
        <v>7</v>
      </c>
    </row>
    <row r="18" spans="1:8" x14ac:dyDescent="0.25">
      <c r="A18" t="s">
        <v>1403</v>
      </c>
      <c r="B18" t="s">
        <v>347</v>
      </c>
      <c r="C18" t="s">
        <v>8</v>
      </c>
      <c r="D18">
        <v>10</v>
      </c>
      <c r="E18">
        <v>7200</v>
      </c>
      <c r="F18">
        <v>1800</v>
      </c>
      <c r="G18">
        <v>5</v>
      </c>
      <c r="H18" t="s">
        <v>19</v>
      </c>
    </row>
    <row r="19" spans="1:8" x14ac:dyDescent="0.25">
      <c r="A19" t="str">
        <f>"&lt;nominal&gt;" &amp;$D$18&amp;"&lt;/nominal&gt;"</f>
        <v>&lt;nominal&gt;10&lt;/nominal&gt;</v>
      </c>
      <c r="B19" t="s">
        <v>347</v>
      </c>
    </row>
    <row r="20" spans="1:8" x14ac:dyDescent="0.25">
      <c r="A20" t="str">
        <f>"&lt;lifetime&gt;" &amp;$E$18&amp;"&lt;/lifetime&gt;"</f>
        <v>&lt;lifetime&gt;7200&lt;/lifetime&gt;</v>
      </c>
      <c r="B20" t="s">
        <v>347</v>
      </c>
    </row>
    <row r="21" spans="1:8" x14ac:dyDescent="0.25">
      <c r="A21" t="str">
        <f>"&lt;restock&gt;" &amp;$F$18&amp;"&lt;/restock&gt;"</f>
        <v>&lt;restock&gt;1800&lt;/restock&gt;</v>
      </c>
      <c r="B21" t="s">
        <v>347</v>
      </c>
    </row>
    <row r="22" spans="1:8" x14ac:dyDescent="0.25">
      <c r="A22" t="str">
        <f>"&lt;min&gt;" &amp;$G$18&amp;"&lt;/min&gt;"</f>
        <v>&lt;min&gt;5&lt;/min&gt;</v>
      </c>
      <c r="B22" t="s">
        <v>347</v>
      </c>
    </row>
    <row r="23" spans="1:8" x14ac:dyDescent="0.25">
      <c r="A23" t="s">
        <v>16</v>
      </c>
      <c r="B23" t="s">
        <v>347</v>
      </c>
    </row>
    <row r="24" spans="1:8" x14ac:dyDescent="0.25">
      <c r="A24" t="s">
        <v>17</v>
      </c>
      <c r="B24" t="s">
        <v>347</v>
      </c>
    </row>
    <row r="25" spans="1:8" x14ac:dyDescent="0.25">
      <c r="A25" t="s">
        <v>18</v>
      </c>
      <c r="B25" t="s">
        <v>347</v>
      </c>
    </row>
    <row r="26" spans="1:8" x14ac:dyDescent="0.25">
      <c r="A26" t="str">
        <f xml:space="preserve"> $H$18</f>
        <v>&lt;flags count_in_cargo="0" count_in_hoarder="0" count_in_map="1" count_in_player="0" crafted="0" deloot="0"/&gt;</v>
      </c>
      <c r="B26" t="s">
        <v>347</v>
      </c>
    </row>
    <row r="27" spans="1:8" x14ac:dyDescent="0.25">
      <c r="A27" t="str">
        <f>"&lt;category name=" &amp;"""" &amp;$C$18&amp;"""/&gt;"</f>
        <v>&lt;category name="weapons"/&gt;</v>
      </c>
      <c r="B27" t="s">
        <v>347</v>
      </c>
    </row>
    <row r="28" spans="1:8" x14ac:dyDescent="0.25">
      <c r="A28" t="s">
        <v>29</v>
      </c>
      <c r="B28" t="s">
        <v>347</v>
      </c>
    </row>
    <row r="29" spans="1:8" x14ac:dyDescent="0.25">
      <c r="A29" t="s">
        <v>307</v>
      </c>
      <c r="B29" t="s">
        <v>347</v>
      </c>
    </row>
    <row r="30" spans="1:8" x14ac:dyDescent="0.25">
      <c r="A30" t="s">
        <v>22</v>
      </c>
      <c r="B30" t="s">
        <v>347</v>
      </c>
    </row>
    <row r="31" spans="1:8" x14ac:dyDescent="0.25">
      <c r="A31" t="s">
        <v>1404</v>
      </c>
      <c r="B31" t="s">
        <v>2926</v>
      </c>
      <c r="C31" t="s">
        <v>8</v>
      </c>
      <c r="D31">
        <v>0</v>
      </c>
      <c r="E31">
        <v>10800</v>
      </c>
      <c r="F31">
        <v>0</v>
      </c>
      <c r="G31">
        <v>0</v>
      </c>
      <c r="H31" t="s">
        <v>62</v>
      </c>
    </row>
    <row r="32" spans="1:8" x14ac:dyDescent="0.25">
      <c r="A32" t="str">
        <f>"&lt;nominal&gt;" &amp;$D$31&amp;"&lt;/nominal&gt;"</f>
        <v>&lt;nominal&gt;0&lt;/nominal&gt;</v>
      </c>
      <c r="B32" t="s">
        <v>2926</v>
      </c>
    </row>
    <row r="33" spans="1:8" x14ac:dyDescent="0.25">
      <c r="A33" t="str">
        <f>"&lt;lifetime&gt;" &amp;$E$31&amp;"&lt;/lifetime&gt;"</f>
        <v>&lt;lifetime&gt;10800&lt;/lifetime&gt;</v>
      </c>
      <c r="B33" t="s">
        <v>2926</v>
      </c>
    </row>
    <row r="34" spans="1:8" x14ac:dyDescent="0.25">
      <c r="A34" t="str">
        <f>"&lt;restock&gt;" &amp;$F$31&amp;"&lt;/restock&gt;"</f>
        <v>&lt;restock&gt;0&lt;/restock&gt;</v>
      </c>
      <c r="B34" t="s">
        <v>2926</v>
      </c>
    </row>
    <row r="35" spans="1:8" x14ac:dyDescent="0.25">
      <c r="A35" t="str">
        <f>"&lt;min&gt;" &amp;$G$31&amp;"&lt;/min&gt;"</f>
        <v>&lt;min&gt;0&lt;/min&gt;</v>
      </c>
      <c r="B35" t="s">
        <v>2926</v>
      </c>
    </row>
    <row r="36" spans="1:8" x14ac:dyDescent="0.25">
      <c r="A36" t="s">
        <v>16</v>
      </c>
      <c r="B36" t="s">
        <v>2926</v>
      </c>
    </row>
    <row r="37" spans="1:8" x14ac:dyDescent="0.25">
      <c r="A37" t="s">
        <v>17</v>
      </c>
      <c r="B37" t="s">
        <v>2926</v>
      </c>
    </row>
    <row r="38" spans="1:8" x14ac:dyDescent="0.25">
      <c r="A38" t="s">
        <v>18</v>
      </c>
      <c r="B38" t="s">
        <v>2926</v>
      </c>
    </row>
    <row r="39" spans="1:8" x14ac:dyDescent="0.25">
      <c r="A39" t="str">
        <f xml:space="preserve"> $H$31</f>
        <v>&lt;flags count_in_cargo="0" count_in_hoarder="0" count_in_map="1" count_in_player="0" crafted="1" deloot="0"/&gt;</v>
      </c>
      <c r="B39" t="s">
        <v>2926</v>
      </c>
    </row>
    <row r="40" spans="1:8" x14ac:dyDescent="0.25">
      <c r="A40" t="str">
        <f>"&lt;category name=" &amp;"""" &amp;$C$31&amp;"""/&gt;"</f>
        <v>&lt;category name="weapons"/&gt;</v>
      </c>
      <c r="B40" t="s">
        <v>2926</v>
      </c>
    </row>
    <row r="41" spans="1:8" x14ac:dyDescent="0.25">
      <c r="A41" t="s">
        <v>22</v>
      </c>
      <c r="B41" t="s">
        <v>2926</v>
      </c>
    </row>
    <row r="42" spans="1:8" x14ac:dyDescent="0.25">
      <c r="A42" t="s">
        <v>1405</v>
      </c>
      <c r="B42" t="s">
        <v>2927</v>
      </c>
      <c r="C42" t="s">
        <v>8</v>
      </c>
      <c r="D42">
        <v>0</v>
      </c>
      <c r="E42">
        <v>10800</v>
      </c>
      <c r="F42">
        <v>0</v>
      </c>
      <c r="G42">
        <v>0</v>
      </c>
      <c r="H42" t="s">
        <v>62</v>
      </c>
    </row>
    <row r="43" spans="1:8" x14ac:dyDescent="0.25">
      <c r="A43" t="str">
        <f>"&lt;nominal&gt;" &amp;$D$42&amp;"&lt;/nominal&gt;"</f>
        <v>&lt;nominal&gt;0&lt;/nominal&gt;</v>
      </c>
      <c r="B43" t="s">
        <v>2927</v>
      </c>
    </row>
    <row r="44" spans="1:8" x14ac:dyDescent="0.25">
      <c r="A44" t="str">
        <f>"&lt;lifetime&gt;" &amp;$E$42&amp;"&lt;/lifetime&gt;"</f>
        <v>&lt;lifetime&gt;10800&lt;/lifetime&gt;</v>
      </c>
      <c r="B44" t="s">
        <v>2927</v>
      </c>
    </row>
    <row r="45" spans="1:8" x14ac:dyDescent="0.25">
      <c r="A45" t="str">
        <f>"&lt;restock&gt;" &amp;$F$42&amp;"&lt;/restock&gt;"</f>
        <v>&lt;restock&gt;0&lt;/restock&gt;</v>
      </c>
      <c r="B45" t="s">
        <v>2927</v>
      </c>
    </row>
    <row r="46" spans="1:8" x14ac:dyDescent="0.25">
      <c r="A46" t="str">
        <f>"&lt;min&gt;" &amp;$G$42&amp;"&lt;/min&gt;"</f>
        <v>&lt;min&gt;0&lt;/min&gt;</v>
      </c>
      <c r="B46" t="s">
        <v>2927</v>
      </c>
    </row>
    <row r="47" spans="1:8" x14ac:dyDescent="0.25">
      <c r="A47" t="s">
        <v>16</v>
      </c>
      <c r="B47" t="s">
        <v>2927</v>
      </c>
    </row>
    <row r="48" spans="1:8" x14ac:dyDescent="0.25">
      <c r="A48" t="s">
        <v>17</v>
      </c>
      <c r="B48" t="s">
        <v>2927</v>
      </c>
    </row>
    <row r="49" spans="1:8" x14ac:dyDescent="0.25">
      <c r="A49" t="s">
        <v>18</v>
      </c>
      <c r="B49" t="s">
        <v>2927</v>
      </c>
    </row>
    <row r="50" spans="1:8" x14ac:dyDescent="0.25">
      <c r="A50" t="str">
        <f xml:space="preserve"> $H$42</f>
        <v>&lt;flags count_in_cargo="0" count_in_hoarder="0" count_in_map="1" count_in_player="0" crafted="1" deloot="0"/&gt;</v>
      </c>
      <c r="B50" t="s">
        <v>2927</v>
      </c>
    </row>
    <row r="51" spans="1:8" x14ac:dyDescent="0.25">
      <c r="A51" t="str">
        <f>"&lt;category name=" &amp;"""" &amp;$C$42&amp;"""/&gt;"</f>
        <v>&lt;category name="weapons"/&gt;</v>
      </c>
      <c r="B51" t="s">
        <v>2927</v>
      </c>
    </row>
    <row r="52" spans="1:8" x14ac:dyDescent="0.25">
      <c r="A52" t="s">
        <v>22</v>
      </c>
      <c r="B52" t="s">
        <v>2927</v>
      </c>
    </row>
    <row r="53" spans="1:8" x14ac:dyDescent="0.25">
      <c r="A53" t="s">
        <v>1406</v>
      </c>
      <c r="B53" t="s">
        <v>348</v>
      </c>
      <c r="C53" t="s">
        <v>8</v>
      </c>
      <c r="D53">
        <v>10</v>
      </c>
      <c r="E53">
        <v>7200</v>
      </c>
      <c r="F53">
        <v>1800</v>
      </c>
      <c r="G53">
        <v>5</v>
      </c>
      <c r="H53" t="s">
        <v>19</v>
      </c>
    </row>
    <row r="54" spans="1:8" x14ac:dyDescent="0.25">
      <c r="A54" t="str">
        <f>"&lt;nominal&gt;" &amp;$D$53&amp;"&lt;/nominal&gt;"</f>
        <v>&lt;nominal&gt;10&lt;/nominal&gt;</v>
      </c>
      <c r="B54" t="s">
        <v>348</v>
      </c>
    </row>
    <row r="55" spans="1:8" x14ac:dyDescent="0.25">
      <c r="A55" t="str">
        <f>"&lt;lifetime&gt;" &amp;$E$53&amp;"&lt;/lifetime&gt;"</f>
        <v>&lt;lifetime&gt;7200&lt;/lifetime&gt;</v>
      </c>
      <c r="B55" t="s">
        <v>348</v>
      </c>
    </row>
    <row r="56" spans="1:8" x14ac:dyDescent="0.25">
      <c r="A56" t="str">
        <f>"&lt;restock&gt;" &amp;$F$53&amp;"&lt;/restock&gt;"</f>
        <v>&lt;restock&gt;1800&lt;/restock&gt;</v>
      </c>
      <c r="B56" t="s">
        <v>348</v>
      </c>
    </row>
    <row r="57" spans="1:8" x14ac:dyDescent="0.25">
      <c r="A57" t="str">
        <f>"&lt;min&gt;" &amp;$G$53&amp;"&lt;/min&gt;"</f>
        <v>&lt;min&gt;5&lt;/min&gt;</v>
      </c>
      <c r="B57" t="s">
        <v>348</v>
      </c>
    </row>
    <row r="58" spans="1:8" x14ac:dyDescent="0.25">
      <c r="A58" t="s">
        <v>16</v>
      </c>
      <c r="B58" t="s">
        <v>348</v>
      </c>
    </row>
    <row r="59" spans="1:8" x14ac:dyDescent="0.25">
      <c r="A59" t="s">
        <v>17</v>
      </c>
      <c r="B59" t="s">
        <v>348</v>
      </c>
    </row>
    <row r="60" spans="1:8" x14ac:dyDescent="0.25">
      <c r="A60" t="s">
        <v>18</v>
      </c>
      <c r="B60" t="s">
        <v>348</v>
      </c>
    </row>
    <row r="61" spans="1:8" x14ac:dyDescent="0.25">
      <c r="A61" t="str">
        <f xml:space="preserve"> $H$53</f>
        <v>&lt;flags count_in_cargo="0" count_in_hoarder="0" count_in_map="1" count_in_player="0" crafted="0" deloot="0"/&gt;</v>
      </c>
      <c r="B61" t="s">
        <v>348</v>
      </c>
    </row>
    <row r="62" spans="1:8" x14ac:dyDescent="0.25">
      <c r="A62" t="str">
        <f>"&lt;category name=" &amp;"""" &amp;$C$53&amp;"""/&gt;"</f>
        <v>&lt;category name="weapons"/&gt;</v>
      </c>
      <c r="B62" t="s">
        <v>348</v>
      </c>
    </row>
    <row r="63" spans="1:8" x14ac:dyDescent="0.25">
      <c r="A63" t="s">
        <v>29</v>
      </c>
      <c r="B63" t="s">
        <v>348</v>
      </c>
    </row>
    <row r="64" spans="1:8" x14ac:dyDescent="0.25">
      <c r="A64" t="s">
        <v>30</v>
      </c>
      <c r="B64" t="s">
        <v>348</v>
      </c>
    </row>
    <row r="65" spans="1:8" x14ac:dyDescent="0.25">
      <c r="A65" t="s">
        <v>31</v>
      </c>
      <c r="B65" t="s">
        <v>348</v>
      </c>
    </row>
    <row r="66" spans="1:8" x14ac:dyDescent="0.25">
      <c r="A66" t="s">
        <v>307</v>
      </c>
      <c r="B66" t="s">
        <v>348</v>
      </c>
    </row>
    <row r="67" spans="1:8" x14ac:dyDescent="0.25">
      <c r="A67" t="s">
        <v>22</v>
      </c>
      <c r="B67" t="s">
        <v>348</v>
      </c>
    </row>
    <row r="68" spans="1:8" x14ac:dyDescent="0.25">
      <c r="B68" t="s">
        <v>348</v>
      </c>
    </row>
    <row r="69" spans="1:8" x14ac:dyDescent="0.25">
      <c r="A69" t="s">
        <v>2772</v>
      </c>
      <c r="B69" t="s">
        <v>2811</v>
      </c>
      <c r="C69" t="s">
        <v>8</v>
      </c>
      <c r="D69">
        <v>10</v>
      </c>
      <c r="E69">
        <v>7200</v>
      </c>
      <c r="F69">
        <v>1800</v>
      </c>
      <c r="G69">
        <v>5</v>
      </c>
      <c r="H69" t="s">
        <v>19</v>
      </c>
    </row>
    <row r="70" spans="1:8" x14ac:dyDescent="0.25">
      <c r="A70" t="str">
        <f>"&lt;nominal&gt;" &amp;$D$69&amp;"&lt;/nominal&gt;"</f>
        <v>&lt;nominal&gt;10&lt;/nominal&gt;</v>
      </c>
      <c r="B70" t="s">
        <v>2811</v>
      </c>
    </row>
    <row r="71" spans="1:8" x14ac:dyDescent="0.25">
      <c r="A71" t="str">
        <f>"&lt;lifetime&gt;" &amp;$E$69&amp;"&lt;/lifetime&gt;"</f>
        <v>&lt;lifetime&gt;7200&lt;/lifetime&gt;</v>
      </c>
      <c r="B71" t="s">
        <v>2811</v>
      </c>
    </row>
    <row r="72" spans="1:8" x14ac:dyDescent="0.25">
      <c r="A72" t="str">
        <f>"&lt;restock&gt;" &amp;$F$69&amp;"&lt;/restock&gt;"</f>
        <v>&lt;restock&gt;1800&lt;/restock&gt;</v>
      </c>
      <c r="B72" t="s">
        <v>2811</v>
      </c>
    </row>
    <row r="73" spans="1:8" x14ac:dyDescent="0.25">
      <c r="A73" t="str">
        <f>"&lt;min&gt;" &amp;$G$69&amp;"&lt;/min&gt;"</f>
        <v>&lt;min&gt;5&lt;/min&gt;</v>
      </c>
      <c r="B73" t="s">
        <v>2811</v>
      </c>
    </row>
    <row r="74" spans="1:8" x14ac:dyDescent="0.25">
      <c r="A74" t="s">
        <v>16</v>
      </c>
      <c r="B74" t="s">
        <v>2811</v>
      </c>
    </row>
    <row r="75" spans="1:8" x14ac:dyDescent="0.25">
      <c r="A75" t="s">
        <v>17</v>
      </c>
      <c r="B75" t="s">
        <v>2811</v>
      </c>
    </row>
    <row r="76" spans="1:8" x14ac:dyDescent="0.25">
      <c r="A76" t="s">
        <v>18</v>
      </c>
      <c r="B76" t="s">
        <v>2811</v>
      </c>
    </row>
    <row r="77" spans="1:8" x14ac:dyDescent="0.25">
      <c r="A77" t="str">
        <f xml:space="preserve"> $H$69</f>
        <v>&lt;flags count_in_cargo="0" count_in_hoarder="0" count_in_map="1" count_in_player="0" crafted="0" deloot="0"/&gt;</v>
      </c>
      <c r="B77" t="s">
        <v>2811</v>
      </c>
    </row>
    <row r="78" spans="1:8" x14ac:dyDescent="0.25">
      <c r="A78" t="str">
        <f>"&lt;category name=" &amp;"""" &amp;$C$69&amp;"""/&gt;"</f>
        <v>&lt;category name="weapons"/&gt;</v>
      </c>
      <c r="B78" t="s">
        <v>2811</v>
      </c>
    </row>
    <row r="79" spans="1:8" x14ac:dyDescent="0.25">
      <c r="A79" t="s">
        <v>29</v>
      </c>
      <c r="B79" t="s">
        <v>2811</v>
      </c>
    </row>
    <row r="80" spans="1:8" x14ac:dyDescent="0.25">
      <c r="A80" t="s">
        <v>30</v>
      </c>
      <c r="B80" t="s">
        <v>2811</v>
      </c>
    </row>
    <row r="81" spans="1:8" x14ac:dyDescent="0.25">
      <c r="A81" t="s">
        <v>31</v>
      </c>
      <c r="B81" t="s">
        <v>2811</v>
      </c>
    </row>
    <row r="82" spans="1:8" x14ac:dyDescent="0.25">
      <c r="A82" t="s">
        <v>307</v>
      </c>
      <c r="B82" t="s">
        <v>2811</v>
      </c>
    </row>
    <row r="83" spans="1:8" x14ac:dyDescent="0.25">
      <c r="A83" t="s">
        <v>22</v>
      </c>
      <c r="B83" t="s">
        <v>2811</v>
      </c>
    </row>
    <row r="84" spans="1:8" x14ac:dyDescent="0.25">
      <c r="B84" t="s">
        <v>2811</v>
      </c>
    </row>
    <row r="85" spans="1:8" x14ac:dyDescent="0.25">
      <c r="A85" t="s">
        <v>1407</v>
      </c>
      <c r="B85" t="s">
        <v>2928</v>
      </c>
      <c r="C85" t="s">
        <v>8</v>
      </c>
      <c r="D85">
        <v>0</v>
      </c>
      <c r="E85">
        <v>10800</v>
      </c>
      <c r="F85">
        <v>0</v>
      </c>
      <c r="G85">
        <v>0</v>
      </c>
      <c r="H85" t="s">
        <v>62</v>
      </c>
    </row>
    <row r="86" spans="1:8" x14ac:dyDescent="0.25">
      <c r="A86" t="str">
        <f>"&lt;nominal&gt;" &amp;$D$85&amp;"&lt;/nominal&gt;"</f>
        <v>&lt;nominal&gt;0&lt;/nominal&gt;</v>
      </c>
      <c r="B86" t="s">
        <v>2928</v>
      </c>
    </row>
    <row r="87" spans="1:8" x14ac:dyDescent="0.25">
      <c r="A87" t="str">
        <f>"&lt;lifetime&gt;" &amp;$E$85&amp;"&lt;/lifetime&gt;"</f>
        <v>&lt;lifetime&gt;10800&lt;/lifetime&gt;</v>
      </c>
      <c r="B87" t="s">
        <v>2928</v>
      </c>
    </row>
    <row r="88" spans="1:8" x14ac:dyDescent="0.25">
      <c r="A88" t="str">
        <f>"&lt;restock&gt;" &amp;$F$85&amp;"&lt;/restock&gt;"</f>
        <v>&lt;restock&gt;0&lt;/restock&gt;</v>
      </c>
      <c r="B88" t="s">
        <v>2928</v>
      </c>
    </row>
    <row r="89" spans="1:8" x14ac:dyDescent="0.25">
      <c r="A89" t="str">
        <f>"&lt;min&gt;" &amp;$G$85&amp;"&lt;/min&gt;"</f>
        <v>&lt;min&gt;0&lt;/min&gt;</v>
      </c>
      <c r="B89" t="s">
        <v>2928</v>
      </c>
    </row>
    <row r="90" spans="1:8" x14ac:dyDescent="0.25">
      <c r="A90" t="s">
        <v>16</v>
      </c>
      <c r="B90" t="s">
        <v>2928</v>
      </c>
    </row>
    <row r="91" spans="1:8" x14ac:dyDescent="0.25">
      <c r="A91" t="s">
        <v>17</v>
      </c>
      <c r="B91" t="s">
        <v>2928</v>
      </c>
    </row>
    <row r="92" spans="1:8" x14ac:dyDescent="0.25">
      <c r="A92" t="s">
        <v>18</v>
      </c>
      <c r="B92" t="s">
        <v>2928</v>
      </c>
    </row>
    <row r="93" spans="1:8" x14ac:dyDescent="0.25">
      <c r="A93" t="str">
        <f xml:space="preserve"> $H$85</f>
        <v>&lt;flags count_in_cargo="0" count_in_hoarder="0" count_in_map="1" count_in_player="0" crafted="1" deloot="0"/&gt;</v>
      </c>
      <c r="B93" t="s">
        <v>2928</v>
      </c>
    </row>
    <row r="94" spans="1:8" x14ac:dyDescent="0.25">
      <c r="A94" t="str">
        <f>"&lt;category name=" &amp;"""" &amp;$C$85&amp;"""/&gt;"</f>
        <v>&lt;category name="weapons"/&gt;</v>
      </c>
      <c r="B94" t="s">
        <v>2928</v>
      </c>
    </row>
    <row r="95" spans="1:8" x14ac:dyDescent="0.25">
      <c r="A95" t="s">
        <v>22</v>
      </c>
      <c r="B95" t="s">
        <v>2928</v>
      </c>
    </row>
    <row r="96" spans="1:8" x14ac:dyDescent="0.25">
      <c r="A96" t="s">
        <v>1408</v>
      </c>
      <c r="B96" t="s">
        <v>2929</v>
      </c>
      <c r="C96" t="s">
        <v>8</v>
      </c>
      <c r="D96">
        <v>0</v>
      </c>
      <c r="E96">
        <v>10800</v>
      </c>
      <c r="F96">
        <v>0</v>
      </c>
      <c r="G96">
        <v>0</v>
      </c>
      <c r="H96" t="s">
        <v>62</v>
      </c>
    </row>
    <row r="97" spans="1:8" x14ac:dyDescent="0.25">
      <c r="A97" t="str">
        <f>"&lt;nominal&gt;" &amp;$D$96&amp;"&lt;/nominal&gt;"</f>
        <v>&lt;nominal&gt;0&lt;/nominal&gt;</v>
      </c>
      <c r="B97" t="s">
        <v>2929</v>
      </c>
    </row>
    <row r="98" spans="1:8" x14ac:dyDescent="0.25">
      <c r="A98" t="str">
        <f>"&lt;lifetime&gt;" &amp;$E$96&amp;"&lt;/lifetime&gt;"</f>
        <v>&lt;lifetime&gt;10800&lt;/lifetime&gt;</v>
      </c>
      <c r="B98" t="s">
        <v>2929</v>
      </c>
    </row>
    <row r="99" spans="1:8" x14ac:dyDescent="0.25">
      <c r="A99" t="str">
        <f>"&lt;restock&gt;" &amp;$F$96&amp;"&lt;/restock&gt;"</f>
        <v>&lt;restock&gt;0&lt;/restock&gt;</v>
      </c>
      <c r="B99" t="s">
        <v>2929</v>
      </c>
    </row>
    <row r="100" spans="1:8" x14ac:dyDescent="0.25">
      <c r="A100" t="str">
        <f>"&lt;min&gt;" &amp;$G$96&amp;"&lt;/min&gt;"</f>
        <v>&lt;min&gt;0&lt;/min&gt;</v>
      </c>
      <c r="B100" t="s">
        <v>2929</v>
      </c>
    </row>
    <row r="101" spans="1:8" x14ac:dyDescent="0.25">
      <c r="A101" t="s">
        <v>16</v>
      </c>
      <c r="B101" t="s">
        <v>2929</v>
      </c>
    </row>
    <row r="102" spans="1:8" x14ac:dyDescent="0.25">
      <c r="A102" t="s">
        <v>17</v>
      </c>
      <c r="B102" t="s">
        <v>2929</v>
      </c>
    </row>
    <row r="103" spans="1:8" x14ac:dyDescent="0.25">
      <c r="A103" t="s">
        <v>18</v>
      </c>
      <c r="B103" t="s">
        <v>2929</v>
      </c>
    </row>
    <row r="104" spans="1:8" x14ac:dyDescent="0.25">
      <c r="A104" t="str">
        <f xml:space="preserve"> $H$96</f>
        <v>&lt;flags count_in_cargo="0" count_in_hoarder="0" count_in_map="1" count_in_player="0" crafted="1" deloot="0"/&gt;</v>
      </c>
      <c r="B104" t="s">
        <v>2929</v>
      </c>
    </row>
    <row r="105" spans="1:8" x14ac:dyDescent="0.25">
      <c r="A105" t="str">
        <f>"&lt;category name=" &amp;"""" &amp;$C$96&amp;"""/&gt;"</f>
        <v>&lt;category name="weapons"/&gt;</v>
      </c>
      <c r="B105" t="s">
        <v>2929</v>
      </c>
    </row>
    <row r="106" spans="1:8" x14ac:dyDescent="0.25">
      <c r="A106" t="s">
        <v>22</v>
      </c>
      <c r="B106" t="s">
        <v>2929</v>
      </c>
    </row>
    <row r="107" spans="1:8" x14ac:dyDescent="0.25">
      <c r="A107" t="s">
        <v>1409</v>
      </c>
      <c r="B107" t="s">
        <v>349</v>
      </c>
      <c r="C107" t="s">
        <v>8</v>
      </c>
      <c r="D107">
        <v>10</v>
      </c>
      <c r="E107">
        <v>7200</v>
      </c>
      <c r="F107">
        <v>0</v>
      </c>
      <c r="G107">
        <v>5</v>
      </c>
      <c r="H107" t="s">
        <v>19</v>
      </c>
    </row>
    <row r="108" spans="1:8" x14ac:dyDescent="0.25">
      <c r="A108" t="str">
        <f>"&lt;nominal&gt;" &amp;$D$107&amp;"&lt;/nominal&gt;"</f>
        <v>&lt;nominal&gt;10&lt;/nominal&gt;</v>
      </c>
      <c r="B108" t="s">
        <v>349</v>
      </c>
    </row>
    <row r="109" spans="1:8" x14ac:dyDescent="0.25">
      <c r="A109" t="str">
        <f>"&lt;lifetime&gt;" &amp;$E$107&amp;"&lt;/lifetime&gt;"</f>
        <v>&lt;lifetime&gt;7200&lt;/lifetime&gt;</v>
      </c>
      <c r="B109" t="s">
        <v>349</v>
      </c>
    </row>
    <row r="110" spans="1:8" x14ac:dyDescent="0.25">
      <c r="A110" t="str">
        <f>"&lt;restock&gt;" &amp;$F$107&amp;"&lt;/restock&gt;"</f>
        <v>&lt;restock&gt;0&lt;/restock&gt;</v>
      </c>
      <c r="B110" t="s">
        <v>349</v>
      </c>
    </row>
    <row r="111" spans="1:8" x14ac:dyDescent="0.25">
      <c r="A111" t="str">
        <f>"&lt;min&gt;" &amp;$G$107&amp;"&lt;/min&gt;"</f>
        <v>&lt;min&gt;5&lt;/min&gt;</v>
      </c>
      <c r="B111" t="s">
        <v>349</v>
      </c>
    </row>
    <row r="112" spans="1:8" x14ac:dyDescent="0.25">
      <c r="A112" t="s">
        <v>16</v>
      </c>
      <c r="B112" t="s">
        <v>349</v>
      </c>
    </row>
    <row r="113" spans="1:8" x14ac:dyDescent="0.25">
      <c r="A113" t="s">
        <v>17</v>
      </c>
      <c r="B113" t="s">
        <v>349</v>
      </c>
    </row>
    <row r="114" spans="1:8" x14ac:dyDescent="0.25">
      <c r="A114" t="s">
        <v>18</v>
      </c>
      <c r="B114" t="s">
        <v>349</v>
      </c>
    </row>
    <row r="115" spans="1:8" x14ac:dyDescent="0.25">
      <c r="A115" t="str">
        <f xml:space="preserve"> $H$107</f>
        <v>&lt;flags count_in_cargo="0" count_in_hoarder="0" count_in_map="1" count_in_player="0" crafted="0" deloot="0"/&gt;</v>
      </c>
      <c r="B115" t="s">
        <v>349</v>
      </c>
    </row>
    <row r="116" spans="1:8" x14ac:dyDescent="0.25">
      <c r="A116" t="str">
        <f>"&lt;category name=" &amp;"""" &amp;$C$107&amp;"""/&gt;"</f>
        <v>&lt;category name="weapons"/&gt;</v>
      </c>
      <c r="B116" t="s">
        <v>349</v>
      </c>
    </row>
    <row r="117" spans="1:8" x14ac:dyDescent="0.25">
      <c r="A117" t="s">
        <v>29</v>
      </c>
      <c r="B117" t="s">
        <v>349</v>
      </c>
    </row>
    <row r="118" spans="1:8" x14ac:dyDescent="0.25">
      <c r="A118" t="s">
        <v>22</v>
      </c>
      <c r="B118" t="s">
        <v>349</v>
      </c>
    </row>
    <row r="119" spans="1:8" x14ac:dyDescent="0.25">
      <c r="A119" t="s">
        <v>1410</v>
      </c>
      <c r="B119" t="s">
        <v>350</v>
      </c>
      <c r="C119" t="s">
        <v>8</v>
      </c>
      <c r="D119">
        <v>10</v>
      </c>
      <c r="E119">
        <v>7200</v>
      </c>
      <c r="F119">
        <v>0</v>
      </c>
      <c r="G119">
        <v>5</v>
      </c>
      <c r="H119" t="s">
        <v>19</v>
      </c>
    </row>
    <row r="120" spans="1:8" x14ac:dyDescent="0.25">
      <c r="A120" t="str">
        <f>"&lt;nominal&gt;" &amp;$D$119&amp;"&lt;/nominal&gt;"</f>
        <v>&lt;nominal&gt;10&lt;/nominal&gt;</v>
      </c>
      <c r="B120" t="s">
        <v>350</v>
      </c>
    </row>
    <row r="121" spans="1:8" x14ac:dyDescent="0.25">
      <c r="A121" t="str">
        <f>"&lt;lifetime&gt;" &amp;$E$119&amp;"&lt;/lifetime&gt;"</f>
        <v>&lt;lifetime&gt;7200&lt;/lifetime&gt;</v>
      </c>
      <c r="B121" t="s">
        <v>350</v>
      </c>
    </row>
    <row r="122" spans="1:8" x14ac:dyDescent="0.25">
      <c r="A122" t="str">
        <f>"&lt;restock&gt;" &amp;$F$119&amp;"&lt;/restock&gt;"</f>
        <v>&lt;restock&gt;0&lt;/restock&gt;</v>
      </c>
      <c r="B122" t="s">
        <v>350</v>
      </c>
    </row>
    <row r="123" spans="1:8" x14ac:dyDescent="0.25">
      <c r="A123" t="str">
        <f>"&lt;min&gt;" &amp;$G$119&amp;"&lt;/min&gt;"</f>
        <v>&lt;min&gt;5&lt;/min&gt;</v>
      </c>
      <c r="B123" t="s">
        <v>350</v>
      </c>
    </row>
    <row r="124" spans="1:8" x14ac:dyDescent="0.25">
      <c r="A124" t="s">
        <v>16</v>
      </c>
      <c r="B124" t="s">
        <v>350</v>
      </c>
    </row>
    <row r="125" spans="1:8" x14ac:dyDescent="0.25">
      <c r="A125" t="s">
        <v>17</v>
      </c>
      <c r="B125" t="s">
        <v>350</v>
      </c>
    </row>
    <row r="126" spans="1:8" x14ac:dyDescent="0.25">
      <c r="A126" t="s">
        <v>18</v>
      </c>
      <c r="B126" t="s">
        <v>350</v>
      </c>
    </row>
    <row r="127" spans="1:8" x14ac:dyDescent="0.25">
      <c r="A127" t="str">
        <f xml:space="preserve"> $H$119</f>
        <v>&lt;flags count_in_cargo="0" count_in_hoarder="0" count_in_map="1" count_in_player="0" crafted="0" deloot="0"/&gt;</v>
      </c>
      <c r="B127" t="s">
        <v>350</v>
      </c>
    </row>
    <row r="128" spans="1:8" x14ac:dyDescent="0.25">
      <c r="A128" t="str">
        <f>"&lt;category name=" &amp;"""" &amp;$C$119&amp;"""/&gt;"</f>
        <v>&lt;category name="weapons"/&gt;</v>
      </c>
      <c r="B128" t="s">
        <v>350</v>
      </c>
    </row>
    <row r="129" spans="1:8" x14ac:dyDescent="0.25">
      <c r="A129" t="s">
        <v>29</v>
      </c>
      <c r="B129" t="s">
        <v>350</v>
      </c>
    </row>
    <row r="130" spans="1:8" x14ac:dyDescent="0.25">
      <c r="A130" t="s">
        <v>22</v>
      </c>
      <c r="B130" t="s">
        <v>350</v>
      </c>
    </row>
    <row r="131" spans="1:8" x14ac:dyDescent="0.25">
      <c r="A131" t="s">
        <v>1411</v>
      </c>
      <c r="B131" t="s">
        <v>351</v>
      </c>
      <c r="C131" t="s">
        <v>8</v>
      </c>
      <c r="D131">
        <v>10</v>
      </c>
      <c r="E131">
        <v>7200</v>
      </c>
      <c r="F131">
        <v>1800</v>
      </c>
      <c r="G131">
        <v>5</v>
      </c>
      <c r="H131" t="s">
        <v>19</v>
      </c>
    </row>
    <row r="132" spans="1:8" x14ac:dyDescent="0.25">
      <c r="A132" t="str">
        <f>"&lt;nominal&gt;" &amp;$D$131&amp;"&lt;/nominal&gt;"</f>
        <v>&lt;nominal&gt;10&lt;/nominal&gt;</v>
      </c>
      <c r="B132" t="s">
        <v>351</v>
      </c>
    </row>
    <row r="133" spans="1:8" x14ac:dyDescent="0.25">
      <c r="A133" t="str">
        <f>"&lt;lifetime&gt;" &amp;$E$131&amp;"&lt;/lifetime&gt;"</f>
        <v>&lt;lifetime&gt;7200&lt;/lifetime&gt;</v>
      </c>
      <c r="B133" t="s">
        <v>351</v>
      </c>
    </row>
    <row r="134" spans="1:8" x14ac:dyDescent="0.25">
      <c r="A134" t="str">
        <f>"&lt;restock&gt;" &amp;$F$131&amp;"&lt;/restock&gt;"</f>
        <v>&lt;restock&gt;1800&lt;/restock&gt;</v>
      </c>
      <c r="B134" t="s">
        <v>351</v>
      </c>
    </row>
    <row r="135" spans="1:8" x14ac:dyDescent="0.25">
      <c r="A135" t="str">
        <f>"&lt;min&gt;" &amp;$G$131&amp;"&lt;/min&gt;"</f>
        <v>&lt;min&gt;5&lt;/min&gt;</v>
      </c>
      <c r="B135" t="s">
        <v>351</v>
      </c>
    </row>
    <row r="136" spans="1:8" x14ac:dyDescent="0.25">
      <c r="A136" t="s">
        <v>16</v>
      </c>
      <c r="B136" t="s">
        <v>351</v>
      </c>
    </row>
    <row r="137" spans="1:8" x14ac:dyDescent="0.25">
      <c r="A137" t="s">
        <v>17</v>
      </c>
      <c r="B137" t="s">
        <v>351</v>
      </c>
    </row>
    <row r="138" spans="1:8" x14ac:dyDescent="0.25">
      <c r="A138" t="s">
        <v>18</v>
      </c>
      <c r="B138" t="s">
        <v>351</v>
      </c>
    </row>
    <row r="139" spans="1:8" x14ac:dyDescent="0.25">
      <c r="A139" t="str">
        <f xml:space="preserve"> $H$131</f>
        <v>&lt;flags count_in_cargo="0" count_in_hoarder="0" count_in_map="1" count_in_player="0" crafted="0" deloot="0"/&gt;</v>
      </c>
      <c r="B139" t="s">
        <v>351</v>
      </c>
    </row>
    <row r="140" spans="1:8" x14ac:dyDescent="0.25">
      <c r="A140" t="str">
        <f>"&lt;category name=" &amp;"""" &amp;$C$131&amp;"""/&gt;"</f>
        <v>&lt;category name="weapons"/&gt;</v>
      </c>
      <c r="B140" t="s">
        <v>351</v>
      </c>
    </row>
    <row r="141" spans="1:8" x14ac:dyDescent="0.25">
      <c r="A141" t="s">
        <v>29</v>
      </c>
      <c r="B141" t="s">
        <v>351</v>
      </c>
    </row>
    <row r="142" spans="1:8" x14ac:dyDescent="0.25">
      <c r="A142" t="s">
        <v>31</v>
      </c>
      <c r="B142" t="s">
        <v>351</v>
      </c>
    </row>
    <row r="143" spans="1:8" x14ac:dyDescent="0.25">
      <c r="A143" t="s">
        <v>307</v>
      </c>
      <c r="B143" t="s">
        <v>351</v>
      </c>
    </row>
    <row r="144" spans="1:8" x14ac:dyDescent="0.25">
      <c r="A144" t="s">
        <v>22</v>
      </c>
      <c r="B144" t="s">
        <v>351</v>
      </c>
    </row>
    <row r="145" spans="1:8" x14ac:dyDescent="0.25">
      <c r="A145" t="s">
        <v>1412</v>
      </c>
      <c r="B145" t="s">
        <v>352</v>
      </c>
      <c r="C145" t="s">
        <v>8</v>
      </c>
      <c r="D145">
        <v>10</v>
      </c>
      <c r="E145">
        <v>7200</v>
      </c>
      <c r="F145">
        <v>1800</v>
      </c>
      <c r="G145">
        <v>5</v>
      </c>
      <c r="H145" t="s">
        <v>19</v>
      </c>
    </row>
    <row r="146" spans="1:8" x14ac:dyDescent="0.25">
      <c r="A146" t="str">
        <f>"&lt;nominal&gt;" &amp;$D$145&amp;"&lt;/nominal&gt;"</f>
        <v>&lt;nominal&gt;10&lt;/nominal&gt;</v>
      </c>
      <c r="B146" t="s">
        <v>352</v>
      </c>
    </row>
    <row r="147" spans="1:8" x14ac:dyDescent="0.25">
      <c r="A147" t="str">
        <f>"&lt;lifetime&gt;" &amp;$E$145&amp;"&lt;/lifetime&gt;"</f>
        <v>&lt;lifetime&gt;7200&lt;/lifetime&gt;</v>
      </c>
      <c r="B147" t="s">
        <v>352</v>
      </c>
    </row>
    <row r="148" spans="1:8" x14ac:dyDescent="0.25">
      <c r="A148" t="str">
        <f>"&lt;restock&gt;" &amp;$F$145&amp;"&lt;/restock&gt;"</f>
        <v>&lt;restock&gt;1800&lt;/restock&gt;</v>
      </c>
      <c r="B148" t="s">
        <v>352</v>
      </c>
    </row>
    <row r="149" spans="1:8" x14ac:dyDescent="0.25">
      <c r="A149" t="str">
        <f>"&lt;min&gt;" &amp;$G$145&amp;"&lt;/min&gt;"</f>
        <v>&lt;min&gt;5&lt;/min&gt;</v>
      </c>
      <c r="B149" t="s">
        <v>352</v>
      </c>
    </row>
    <row r="150" spans="1:8" x14ac:dyDescent="0.25">
      <c r="A150" t="s">
        <v>16</v>
      </c>
      <c r="B150" t="s">
        <v>352</v>
      </c>
    </row>
    <row r="151" spans="1:8" x14ac:dyDescent="0.25">
      <c r="A151" t="s">
        <v>17</v>
      </c>
      <c r="B151" t="s">
        <v>352</v>
      </c>
    </row>
    <row r="152" spans="1:8" x14ac:dyDescent="0.25">
      <c r="A152" t="s">
        <v>18</v>
      </c>
      <c r="B152" t="s">
        <v>352</v>
      </c>
    </row>
    <row r="153" spans="1:8" x14ac:dyDescent="0.25">
      <c r="A153" t="str">
        <f xml:space="preserve"> $H$145</f>
        <v>&lt;flags count_in_cargo="0" count_in_hoarder="0" count_in_map="1" count_in_player="0" crafted="0" deloot="0"/&gt;</v>
      </c>
      <c r="B153" t="s">
        <v>352</v>
      </c>
    </row>
    <row r="154" spans="1:8" x14ac:dyDescent="0.25">
      <c r="A154" t="str">
        <f>"&lt;category name=" &amp;"""" &amp;$C$145&amp;"""/&gt;"</f>
        <v>&lt;category name="weapons"/&gt;</v>
      </c>
      <c r="B154" t="s">
        <v>352</v>
      </c>
    </row>
    <row r="155" spans="1:8" x14ac:dyDescent="0.25">
      <c r="A155" t="s">
        <v>29</v>
      </c>
      <c r="B155" t="s">
        <v>352</v>
      </c>
    </row>
    <row r="156" spans="1:8" x14ac:dyDescent="0.25">
      <c r="A156" t="s">
        <v>22</v>
      </c>
      <c r="B156" t="s">
        <v>352</v>
      </c>
    </row>
    <row r="157" spans="1:8" x14ac:dyDescent="0.25">
      <c r="A157" t="s">
        <v>1413</v>
      </c>
      <c r="B157" t="s">
        <v>2930</v>
      </c>
      <c r="C157" t="s">
        <v>8</v>
      </c>
      <c r="D157">
        <v>0</v>
      </c>
      <c r="E157">
        <v>10800</v>
      </c>
      <c r="F157">
        <v>0</v>
      </c>
      <c r="G157">
        <v>0</v>
      </c>
      <c r="H157" t="s">
        <v>62</v>
      </c>
    </row>
    <row r="158" spans="1:8" x14ac:dyDescent="0.25">
      <c r="A158" t="str">
        <f>"&lt;nominal&gt;" &amp;$D$157&amp;"&lt;/nominal&gt;"</f>
        <v>&lt;nominal&gt;0&lt;/nominal&gt;</v>
      </c>
      <c r="B158" t="s">
        <v>2930</v>
      </c>
    </row>
    <row r="159" spans="1:8" x14ac:dyDescent="0.25">
      <c r="A159" t="str">
        <f>"&lt;lifetime&gt;" &amp;$E$157&amp;"&lt;/lifetime&gt;"</f>
        <v>&lt;lifetime&gt;10800&lt;/lifetime&gt;</v>
      </c>
      <c r="B159" t="s">
        <v>2930</v>
      </c>
    </row>
    <row r="160" spans="1:8" x14ac:dyDescent="0.25">
      <c r="A160" t="str">
        <f>"&lt;restock&gt;" &amp;$F$157&amp;"&lt;/restock&gt;"</f>
        <v>&lt;restock&gt;0&lt;/restock&gt;</v>
      </c>
      <c r="B160" t="s">
        <v>2930</v>
      </c>
    </row>
    <row r="161" spans="1:8" x14ac:dyDescent="0.25">
      <c r="A161" t="str">
        <f>"&lt;min&gt;" &amp;$G$157&amp;"&lt;/min&gt;"</f>
        <v>&lt;min&gt;0&lt;/min&gt;</v>
      </c>
      <c r="B161" t="s">
        <v>2930</v>
      </c>
    </row>
    <row r="162" spans="1:8" x14ac:dyDescent="0.25">
      <c r="A162" t="s">
        <v>16</v>
      </c>
      <c r="B162" t="s">
        <v>2930</v>
      </c>
    </row>
    <row r="163" spans="1:8" x14ac:dyDescent="0.25">
      <c r="A163" t="s">
        <v>17</v>
      </c>
      <c r="B163" t="s">
        <v>2930</v>
      </c>
    </row>
    <row r="164" spans="1:8" x14ac:dyDescent="0.25">
      <c r="A164" t="s">
        <v>18</v>
      </c>
      <c r="B164" t="s">
        <v>2930</v>
      </c>
    </row>
    <row r="165" spans="1:8" x14ac:dyDescent="0.25">
      <c r="A165" t="str">
        <f xml:space="preserve"> $H$157</f>
        <v>&lt;flags count_in_cargo="0" count_in_hoarder="0" count_in_map="1" count_in_player="0" crafted="1" deloot="0"/&gt;</v>
      </c>
      <c r="B165" t="s">
        <v>2930</v>
      </c>
    </row>
    <row r="166" spans="1:8" x14ac:dyDescent="0.25">
      <c r="A166" t="str">
        <f>"&lt;category name=" &amp;"""" &amp;$C$157&amp;"""/&gt;"</f>
        <v>&lt;category name="weapons"/&gt;</v>
      </c>
      <c r="B166" t="s">
        <v>2930</v>
      </c>
    </row>
    <row r="167" spans="1:8" x14ac:dyDescent="0.25">
      <c r="A167" t="s">
        <v>22</v>
      </c>
      <c r="B167" t="s">
        <v>2930</v>
      </c>
    </row>
    <row r="168" spans="1:8" x14ac:dyDescent="0.25">
      <c r="A168" t="s">
        <v>1414</v>
      </c>
      <c r="B168" t="s">
        <v>353</v>
      </c>
      <c r="C168" t="s">
        <v>8</v>
      </c>
      <c r="D168">
        <v>10</v>
      </c>
      <c r="E168">
        <v>7200</v>
      </c>
      <c r="F168">
        <v>0</v>
      </c>
      <c r="G168">
        <v>5</v>
      </c>
      <c r="H168" t="s">
        <v>19</v>
      </c>
    </row>
    <row r="169" spans="1:8" x14ac:dyDescent="0.25">
      <c r="A169" t="str">
        <f>"&lt;nominal&gt;" &amp;$D$168&amp;"&lt;/nominal&gt;"</f>
        <v>&lt;nominal&gt;10&lt;/nominal&gt;</v>
      </c>
      <c r="B169" t="s">
        <v>353</v>
      </c>
    </row>
    <row r="170" spans="1:8" x14ac:dyDescent="0.25">
      <c r="A170" t="str">
        <f>"&lt;lifetime&gt;" &amp;$E$168&amp;"&lt;/lifetime&gt;"</f>
        <v>&lt;lifetime&gt;7200&lt;/lifetime&gt;</v>
      </c>
      <c r="B170" t="s">
        <v>353</v>
      </c>
    </row>
    <row r="171" spans="1:8" x14ac:dyDescent="0.25">
      <c r="A171" t="str">
        <f>"&lt;restock&gt;" &amp;$F$168&amp;"&lt;/restock&gt;"</f>
        <v>&lt;restock&gt;0&lt;/restock&gt;</v>
      </c>
      <c r="B171" t="s">
        <v>353</v>
      </c>
    </row>
    <row r="172" spans="1:8" x14ac:dyDescent="0.25">
      <c r="A172" t="str">
        <f>"&lt;min&gt;" &amp;$G$168&amp;"&lt;/min&gt;"</f>
        <v>&lt;min&gt;5&lt;/min&gt;</v>
      </c>
      <c r="B172" t="s">
        <v>353</v>
      </c>
    </row>
    <row r="173" spans="1:8" x14ac:dyDescent="0.25">
      <c r="A173" t="s">
        <v>16</v>
      </c>
      <c r="B173" t="s">
        <v>353</v>
      </c>
    </row>
    <row r="174" spans="1:8" x14ac:dyDescent="0.25">
      <c r="A174" t="s">
        <v>17</v>
      </c>
      <c r="B174" t="s">
        <v>353</v>
      </c>
    </row>
    <row r="175" spans="1:8" x14ac:dyDescent="0.25">
      <c r="A175" t="s">
        <v>18</v>
      </c>
      <c r="B175" t="s">
        <v>353</v>
      </c>
    </row>
    <row r="176" spans="1:8" x14ac:dyDescent="0.25">
      <c r="A176" t="str">
        <f xml:space="preserve"> $H$168</f>
        <v>&lt;flags count_in_cargo="0" count_in_hoarder="0" count_in_map="1" count_in_player="0" crafted="0" deloot="0"/&gt;</v>
      </c>
      <c r="B176" t="s">
        <v>353</v>
      </c>
    </row>
    <row r="177" spans="1:8" x14ac:dyDescent="0.25">
      <c r="A177" t="str">
        <f>"&lt;category name=" &amp;"""" &amp;$C$168&amp;"""/&gt;"</f>
        <v>&lt;category name="weapons"/&gt;</v>
      </c>
      <c r="B177" t="s">
        <v>353</v>
      </c>
    </row>
    <row r="178" spans="1:8" x14ac:dyDescent="0.25">
      <c r="A178" t="s">
        <v>29</v>
      </c>
      <c r="B178" t="s">
        <v>353</v>
      </c>
    </row>
    <row r="179" spans="1:8" x14ac:dyDescent="0.25">
      <c r="A179" t="s">
        <v>22</v>
      </c>
      <c r="B179" t="s">
        <v>353</v>
      </c>
    </row>
    <row r="180" spans="1:8" x14ac:dyDescent="0.25">
      <c r="A180" t="s">
        <v>1415</v>
      </c>
      <c r="B180" t="s">
        <v>2931</v>
      </c>
      <c r="C180" t="s">
        <v>8</v>
      </c>
      <c r="D180">
        <v>0</v>
      </c>
      <c r="E180">
        <v>10800</v>
      </c>
      <c r="F180">
        <v>0</v>
      </c>
      <c r="G180">
        <v>0</v>
      </c>
      <c r="H180" t="s">
        <v>62</v>
      </c>
    </row>
    <row r="181" spans="1:8" x14ac:dyDescent="0.25">
      <c r="A181" t="str">
        <f>"&lt;nominal&gt;" &amp;$D$180&amp;"&lt;/nominal&gt;"</f>
        <v>&lt;nominal&gt;0&lt;/nominal&gt;</v>
      </c>
      <c r="B181" t="s">
        <v>2931</v>
      </c>
    </row>
    <row r="182" spans="1:8" x14ac:dyDescent="0.25">
      <c r="A182" t="str">
        <f>"&lt;lifetime&gt;" &amp;$E$180&amp;"&lt;/lifetime&gt;"</f>
        <v>&lt;lifetime&gt;10800&lt;/lifetime&gt;</v>
      </c>
      <c r="B182" t="s">
        <v>2931</v>
      </c>
    </row>
    <row r="183" spans="1:8" x14ac:dyDescent="0.25">
      <c r="A183" t="str">
        <f>"&lt;restock&gt;" &amp;$F$180&amp;"&lt;/restock&gt;"</f>
        <v>&lt;restock&gt;0&lt;/restock&gt;</v>
      </c>
      <c r="B183" t="s">
        <v>2931</v>
      </c>
    </row>
    <row r="184" spans="1:8" x14ac:dyDescent="0.25">
      <c r="A184" t="str">
        <f>"&lt;min&gt;" &amp;$G$180&amp;"&lt;/min&gt;"</f>
        <v>&lt;min&gt;0&lt;/min&gt;</v>
      </c>
      <c r="B184" t="s">
        <v>2931</v>
      </c>
    </row>
    <row r="185" spans="1:8" x14ac:dyDescent="0.25">
      <c r="A185" t="s">
        <v>16</v>
      </c>
      <c r="B185" t="s">
        <v>2931</v>
      </c>
    </row>
    <row r="186" spans="1:8" x14ac:dyDescent="0.25">
      <c r="A186" t="s">
        <v>17</v>
      </c>
      <c r="B186" t="s">
        <v>2931</v>
      </c>
    </row>
    <row r="187" spans="1:8" x14ac:dyDescent="0.25">
      <c r="A187" t="s">
        <v>18</v>
      </c>
      <c r="B187" t="s">
        <v>2931</v>
      </c>
    </row>
    <row r="188" spans="1:8" x14ac:dyDescent="0.25">
      <c r="A188" t="str">
        <f xml:space="preserve"> $H$180</f>
        <v>&lt;flags count_in_cargo="0" count_in_hoarder="0" count_in_map="1" count_in_player="0" crafted="1" deloot="0"/&gt;</v>
      </c>
      <c r="B188" t="s">
        <v>2931</v>
      </c>
    </row>
    <row r="189" spans="1:8" x14ac:dyDescent="0.25">
      <c r="A189" t="str">
        <f>"&lt;category name=" &amp;"""" &amp;$C$180&amp;"""/&gt;"</f>
        <v>&lt;category name="weapons"/&gt;</v>
      </c>
      <c r="B189" t="s">
        <v>2931</v>
      </c>
    </row>
    <row r="190" spans="1:8" x14ac:dyDescent="0.25">
      <c r="A190" t="s">
        <v>22</v>
      </c>
      <c r="B190" t="s">
        <v>2931</v>
      </c>
    </row>
    <row r="191" spans="1:8" x14ac:dyDescent="0.25">
      <c r="A191" t="s">
        <v>1416</v>
      </c>
      <c r="B191" t="s">
        <v>354</v>
      </c>
      <c r="C191" t="s">
        <v>8</v>
      </c>
      <c r="D191">
        <v>10</v>
      </c>
      <c r="E191">
        <v>7200</v>
      </c>
      <c r="F191">
        <v>0</v>
      </c>
      <c r="G191">
        <v>5</v>
      </c>
      <c r="H191" t="s">
        <v>19</v>
      </c>
    </row>
    <row r="192" spans="1:8" x14ac:dyDescent="0.25">
      <c r="A192" t="str">
        <f>"&lt;nominal&gt;" &amp;$D$191&amp;"&lt;/nominal&gt;"</f>
        <v>&lt;nominal&gt;10&lt;/nominal&gt;</v>
      </c>
      <c r="B192" t="s">
        <v>354</v>
      </c>
    </row>
    <row r="193" spans="1:8" x14ac:dyDescent="0.25">
      <c r="A193" t="str">
        <f>"&lt;lifetime&gt;" &amp;$E$191&amp;"&lt;/lifetime&gt;"</f>
        <v>&lt;lifetime&gt;7200&lt;/lifetime&gt;</v>
      </c>
      <c r="B193" t="s">
        <v>354</v>
      </c>
    </row>
    <row r="194" spans="1:8" x14ac:dyDescent="0.25">
      <c r="A194" t="str">
        <f>"&lt;restock&gt;" &amp;$F$191&amp;"&lt;/restock&gt;"</f>
        <v>&lt;restock&gt;0&lt;/restock&gt;</v>
      </c>
      <c r="B194" t="s">
        <v>354</v>
      </c>
    </row>
    <row r="195" spans="1:8" x14ac:dyDescent="0.25">
      <c r="A195" t="str">
        <f>"&lt;min&gt;" &amp;$G$191&amp;"&lt;/min&gt;"</f>
        <v>&lt;min&gt;5&lt;/min&gt;</v>
      </c>
      <c r="B195" t="s">
        <v>354</v>
      </c>
    </row>
    <row r="196" spans="1:8" x14ac:dyDescent="0.25">
      <c r="A196" t="s">
        <v>16</v>
      </c>
      <c r="B196" t="s">
        <v>354</v>
      </c>
    </row>
    <row r="197" spans="1:8" x14ac:dyDescent="0.25">
      <c r="A197" t="s">
        <v>17</v>
      </c>
      <c r="B197" t="s">
        <v>354</v>
      </c>
    </row>
    <row r="198" spans="1:8" x14ac:dyDescent="0.25">
      <c r="A198" t="s">
        <v>18</v>
      </c>
      <c r="B198" t="s">
        <v>354</v>
      </c>
    </row>
    <row r="199" spans="1:8" x14ac:dyDescent="0.25">
      <c r="A199" t="str">
        <f xml:space="preserve"> $H$191</f>
        <v>&lt;flags count_in_cargo="0" count_in_hoarder="0" count_in_map="1" count_in_player="0" crafted="0" deloot="0"/&gt;</v>
      </c>
      <c r="B199" t="s">
        <v>354</v>
      </c>
    </row>
    <row r="200" spans="1:8" x14ac:dyDescent="0.25">
      <c r="A200" t="str">
        <f>"&lt;category name=" &amp;"""" &amp;$C$191&amp;"""/&gt;"</f>
        <v>&lt;category name="weapons"/&gt;</v>
      </c>
      <c r="B200" t="s">
        <v>354</v>
      </c>
    </row>
    <row r="201" spans="1:8" x14ac:dyDescent="0.25">
      <c r="A201" t="s">
        <v>29</v>
      </c>
      <c r="B201" t="s">
        <v>354</v>
      </c>
    </row>
    <row r="202" spans="1:8" x14ac:dyDescent="0.25">
      <c r="A202" t="s">
        <v>30</v>
      </c>
      <c r="B202" t="s">
        <v>354</v>
      </c>
    </row>
    <row r="203" spans="1:8" x14ac:dyDescent="0.25">
      <c r="A203" t="s">
        <v>31</v>
      </c>
      <c r="B203" t="s">
        <v>354</v>
      </c>
    </row>
    <row r="204" spans="1:8" x14ac:dyDescent="0.25">
      <c r="A204" t="s">
        <v>22</v>
      </c>
      <c r="B204" t="s">
        <v>354</v>
      </c>
    </row>
    <row r="205" spans="1:8" x14ac:dyDescent="0.25">
      <c r="A205" t="s">
        <v>1417</v>
      </c>
      <c r="B205" t="s">
        <v>355</v>
      </c>
      <c r="C205" t="s">
        <v>8</v>
      </c>
      <c r="D205">
        <v>10</v>
      </c>
      <c r="E205">
        <v>7200</v>
      </c>
      <c r="F205">
        <v>0</v>
      </c>
      <c r="G205">
        <v>5</v>
      </c>
      <c r="H205" t="s">
        <v>19</v>
      </c>
    </row>
    <row r="206" spans="1:8" x14ac:dyDescent="0.25">
      <c r="A206" t="str">
        <f>"&lt;nominal&gt;" &amp;$D$205&amp;"&lt;/nominal&gt;"</f>
        <v>&lt;nominal&gt;10&lt;/nominal&gt;</v>
      </c>
      <c r="B206" t="s">
        <v>355</v>
      </c>
    </row>
    <row r="207" spans="1:8" x14ac:dyDescent="0.25">
      <c r="A207" t="str">
        <f>"&lt;lifetime&gt;" &amp;$E$205&amp;"&lt;/lifetime&gt;"</f>
        <v>&lt;lifetime&gt;7200&lt;/lifetime&gt;</v>
      </c>
      <c r="B207" t="s">
        <v>355</v>
      </c>
    </row>
    <row r="208" spans="1:8" x14ac:dyDescent="0.25">
      <c r="A208" t="str">
        <f>"&lt;restock&gt;" &amp;$F$205&amp;"&lt;/restock&gt;"</f>
        <v>&lt;restock&gt;0&lt;/restock&gt;</v>
      </c>
      <c r="B208" t="s">
        <v>355</v>
      </c>
    </row>
    <row r="209" spans="1:8" x14ac:dyDescent="0.25">
      <c r="A209" t="str">
        <f>"&lt;min&gt;" &amp;$G$205&amp;"&lt;/min&gt;"</f>
        <v>&lt;min&gt;5&lt;/min&gt;</v>
      </c>
      <c r="B209" t="s">
        <v>355</v>
      </c>
    </row>
    <row r="210" spans="1:8" x14ac:dyDescent="0.25">
      <c r="A210" t="s">
        <v>16</v>
      </c>
      <c r="B210" t="s">
        <v>355</v>
      </c>
    </row>
    <row r="211" spans="1:8" x14ac:dyDescent="0.25">
      <c r="A211" t="s">
        <v>17</v>
      </c>
      <c r="B211" t="s">
        <v>355</v>
      </c>
    </row>
    <row r="212" spans="1:8" x14ac:dyDescent="0.25">
      <c r="A212" t="s">
        <v>18</v>
      </c>
      <c r="B212" t="s">
        <v>355</v>
      </c>
    </row>
    <row r="213" spans="1:8" x14ac:dyDescent="0.25">
      <c r="A213" t="str">
        <f xml:space="preserve"> $H$205</f>
        <v>&lt;flags count_in_cargo="0" count_in_hoarder="0" count_in_map="1" count_in_player="0" crafted="0" deloot="0"/&gt;</v>
      </c>
      <c r="B213" t="s">
        <v>355</v>
      </c>
    </row>
    <row r="214" spans="1:8" x14ac:dyDescent="0.25">
      <c r="A214" t="str">
        <f>"&lt;category name=" &amp;"""" &amp;$C$205&amp;"""/&gt;"</f>
        <v>&lt;category name="weapons"/&gt;</v>
      </c>
      <c r="B214" t="s">
        <v>355</v>
      </c>
    </row>
    <row r="215" spans="1:8" x14ac:dyDescent="0.25">
      <c r="A215" t="s">
        <v>29</v>
      </c>
      <c r="B215" t="s">
        <v>355</v>
      </c>
    </row>
    <row r="216" spans="1:8" x14ac:dyDescent="0.25">
      <c r="A216" t="s">
        <v>22</v>
      </c>
      <c r="B216" t="s">
        <v>355</v>
      </c>
    </row>
    <row r="217" spans="1:8" x14ac:dyDescent="0.25">
      <c r="A217" t="s">
        <v>1418</v>
      </c>
      <c r="B217" t="s">
        <v>2932</v>
      </c>
      <c r="C217" t="s">
        <v>8</v>
      </c>
      <c r="D217">
        <v>0</v>
      </c>
      <c r="E217">
        <v>7200</v>
      </c>
      <c r="F217">
        <v>0</v>
      </c>
      <c r="G217">
        <v>0</v>
      </c>
      <c r="H217" t="s">
        <v>62</v>
      </c>
    </row>
    <row r="218" spans="1:8" x14ac:dyDescent="0.25">
      <c r="A218" t="str">
        <f>"&lt;nominal&gt;" &amp;$D$217&amp;"&lt;/nominal&gt;"</f>
        <v>&lt;nominal&gt;0&lt;/nominal&gt;</v>
      </c>
      <c r="B218" t="s">
        <v>2932</v>
      </c>
    </row>
    <row r="219" spans="1:8" x14ac:dyDescent="0.25">
      <c r="A219" t="str">
        <f>"&lt;lifetime&gt;" &amp;$E$217&amp;"&lt;/lifetime&gt;"</f>
        <v>&lt;lifetime&gt;7200&lt;/lifetime&gt;</v>
      </c>
      <c r="B219" t="s">
        <v>2932</v>
      </c>
    </row>
    <row r="220" spans="1:8" x14ac:dyDescent="0.25">
      <c r="A220" t="str">
        <f>"&lt;restock&gt;" &amp;$F$217&amp;"&lt;/restock&gt;"</f>
        <v>&lt;restock&gt;0&lt;/restock&gt;</v>
      </c>
      <c r="B220" t="s">
        <v>2932</v>
      </c>
    </row>
    <row r="221" spans="1:8" x14ac:dyDescent="0.25">
      <c r="A221" t="str">
        <f>"&lt;min&gt;" &amp;$G$217&amp;"&lt;/min&gt;"</f>
        <v>&lt;min&gt;0&lt;/min&gt;</v>
      </c>
      <c r="B221" t="s">
        <v>2932</v>
      </c>
    </row>
    <row r="222" spans="1:8" x14ac:dyDescent="0.25">
      <c r="A222" t="s">
        <v>16</v>
      </c>
      <c r="B222" t="s">
        <v>2932</v>
      </c>
    </row>
    <row r="223" spans="1:8" x14ac:dyDescent="0.25">
      <c r="A223" t="s">
        <v>17</v>
      </c>
      <c r="B223" t="s">
        <v>2932</v>
      </c>
    </row>
    <row r="224" spans="1:8" x14ac:dyDescent="0.25">
      <c r="A224" t="s">
        <v>18</v>
      </c>
      <c r="B224" t="s">
        <v>2932</v>
      </c>
    </row>
    <row r="225" spans="1:8" x14ac:dyDescent="0.25">
      <c r="A225" t="str">
        <f xml:space="preserve"> $H$217</f>
        <v>&lt;flags count_in_cargo="0" count_in_hoarder="0" count_in_map="1" count_in_player="0" crafted="1" deloot="0"/&gt;</v>
      </c>
      <c r="B225" t="s">
        <v>2932</v>
      </c>
    </row>
    <row r="226" spans="1:8" x14ac:dyDescent="0.25">
      <c r="A226" t="str">
        <f>"&lt;category name=" &amp;"""" &amp;$C$217&amp;"""/&gt;"</f>
        <v>&lt;category name="weapons"/&gt;</v>
      </c>
      <c r="B226" t="s">
        <v>2932</v>
      </c>
    </row>
    <row r="227" spans="1:8" x14ac:dyDescent="0.25">
      <c r="A227" t="s">
        <v>22</v>
      </c>
      <c r="B227" t="s">
        <v>2932</v>
      </c>
    </row>
    <row r="228" spans="1:8" x14ac:dyDescent="0.25">
      <c r="A228" t="s">
        <v>1419</v>
      </c>
      <c r="B228" t="s">
        <v>2933</v>
      </c>
      <c r="C228" t="s">
        <v>8</v>
      </c>
      <c r="D228">
        <v>0</v>
      </c>
      <c r="E228">
        <v>7200</v>
      </c>
      <c r="F228">
        <v>0</v>
      </c>
      <c r="G228">
        <v>0</v>
      </c>
      <c r="H228" t="s">
        <v>62</v>
      </c>
    </row>
    <row r="229" spans="1:8" x14ac:dyDescent="0.25">
      <c r="A229" t="str">
        <f>"&lt;nominal&gt;" &amp;$D$228&amp;"&lt;/nominal&gt;"</f>
        <v>&lt;nominal&gt;0&lt;/nominal&gt;</v>
      </c>
      <c r="B229" t="s">
        <v>2933</v>
      </c>
    </row>
    <row r="230" spans="1:8" x14ac:dyDescent="0.25">
      <c r="A230" t="str">
        <f>"&lt;lifetime&gt;" &amp;$E$228&amp;"&lt;/lifetime&gt;"</f>
        <v>&lt;lifetime&gt;7200&lt;/lifetime&gt;</v>
      </c>
      <c r="B230" t="s">
        <v>2933</v>
      </c>
    </row>
    <row r="231" spans="1:8" x14ac:dyDescent="0.25">
      <c r="A231" t="str">
        <f>"&lt;restock&gt;" &amp;$F$228&amp;"&lt;/restock&gt;"</f>
        <v>&lt;restock&gt;0&lt;/restock&gt;</v>
      </c>
      <c r="B231" t="s">
        <v>2933</v>
      </c>
    </row>
    <row r="232" spans="1:8" x14ac:dyDescent="0.25">
      <c r="A232" t="str">
        <f>"&lt;min&gt;" &amp;$G$228&amp;"&lt;/min&gt;"</f>
        <v>&lt;min&gt;0&lt;/min&gt;</v>
      </c>
      <c r="B232" t="s">
        <v>2933</v>
      </c>
    </row>
    <row r="233" spans="1:8" x14ac:dyDescent="0.25">
      <c r="A233" t="s">
        <v>16</v>
      </c>
      <c r="B233" t="s">
        <v>2933</v>
      </c>
    </row>
    <row r="234" spans="1:8" x14ac:dyDescent="0.25">
      <c r="A234" t="s">
        <v>17</v>
      </c>
      <c r="B234" t="s">
        <v>2933</v>
      </c>
    </row>
    <row r="235" spans="1:8" x14ac:dyDescent="0.25">
      <c r="A235" t="s">
        <v>18</v>
      </c>
      <c r="B235" t="s">
        <v>2933</v>
      </c>
    </row>
    <row r="236" spans="1:8" x14ac:dyDescent="0.25">
      <c r="A236" t="str">
        <f xml:space="preserve"> $H$228</f>
        <v>&lt;flags count_in_cargo="0" count_in_hoarder="0" count_in_map="1" count_in_player="0" crafted="1" deloot="0"/&gt;</v>
      </c>
      <c r="B236" t="s">
        <v>2933</v>
      </c>
    </row>
    <row r="237" spans="1:8" x14ac:dyDescent="0.25">
      <c r="A237" t="str">
        <f>"&lt;category name=" &amp;"""" &amp;$C$228&amp;"""/&gt;"</f>
        <v>&lt;category name="weapons"/&gt;</v>
      </c>
      <c r="B237" t="s">
        <v>2933</v>
      </c>
    </row>
    <row r="238" spans="1:8" x14ac:dyDescent="0.25">
      <c r="A238" t="s">
        <v>22</v>
      </c>
      <c r="B238" t="s">
        <v>2933</v>
      </c>
    </row>
    <row r="239" spans="1:8" x14ac:dyDescent="0.25">
      <c r="A239" t="s">
        <v>1420</v>
      </c>
      <c r="B239" t="s">
        <v>356</v>
      </c>
      <c r="C239" t="s">
        <v>8</v>
      </c>
      <c r="D239">
        <v>10</v>
      </c>
      <c r="E239">
        <v>7200</v>
      </c>
      <c r="F239">
        <v>0</v>
      </c>
      <c r="G239">
        <v>5</v>
      </c>
      <c r="H239" t="s">
        <v>19</v>
      </c>
    </row>
    <row r="240" spans="1:8" x14ac:dyDescent="0.25">
      <c r="A240" t="str">
        <f>"&lt;nominal&gt;" &amp;$D$239&amp;"&lt;/nominal&gt;"</f>
        <v>&lt;nominal&gt;10&lt;/nominal&gt;</v>
      </c>
      <c r="B240" t="s">
        <v>356</v>
      </c>
    </row>
    <row r="241" spans="1:8" x14ac:dyDescent="0.25">
      <c r="A241" t="str">
        <f>"&lt;lifetime&gt;" &amp;$E$239&amp;"&lt;/lifetime&gt;"</f>
        <v>&lt;lifetime&gt;7200&lt;/lifetime&gt;</v>
      </c>
      <c r="B241" t="s">
        <v>356</v>
      </c>
    </row>
    <row r="242" spans="1:8" x14ac:dyDescent="0.25">
      <c r="A242" t="str">
        <f>"&lt;restock&gt;" &amp;$F$239&amp;"&lt;/restock&gt;"</f>
        <v>&lt;restock&gt;0&lt;/restock&gt;</v>
      </c>
      <c r="B242" t="s">
        <v>356</v>
      </c>
    </row>
    <row r="243" spans="1:8" x14ac:dyDescent="0.25">
      <c r="A243" t="str">
        <f>"&lt;min&gt;" &amp;$G$239&amp;"&lt;/min&gt;"</f>
        <v>&lt;min&gt;5&lt;/min&gt;</v>
      </c>
      <c r="B243" t="s">
        <v>356</v>
      </c>
    </row>
    <row r="244" spans="1:8" x14ac:dyDescent="0.25">
      <c r="A244" t="s">
        <v>16</v>
      </c>
      <c r="B244" t="s">
        <v>356</v>
      </c>
    </row>
    <row r="245" spans="1:8" x14ac:dyDescent="0.25">
      <c r="A245" t="s">
        <v>17</v>
      </c>
      <c r="B245" t="s">
        <v>356</v>
      </c>
    </row>
    <row r="246" spans="1:8" x14ac:dyDescent="0.25">
      <c r="A246" t="s">
        <v>18</v>
      </c>
      <c r="B246" t="s">
        <v>356</v>
      </c>
    </row>
    <row r="247" spans="1:8" x14ac:dyDescent="0.25">
      <c r="A247" t="str">
        <f xml:space="preserve"> $H$239</f>
        <v>&lt;flags count_in_cargo="0" count_in_hoarder="0" count_in_map="1" count_in_player="0" crafted="0" deloot="0"/&gt;</v>
      </c>
      <c r="B247" t="s">
        <v>356</v>
      </c>
    </row>
    <row r="248" spans="1:8" x14ac:dyDescent="0.25">
      <c r="A248" t="str">
        <f>"&lt;category name=" &amp;"""" &amp;$C$239&amp;"""/&gt;"</f>
        <v>&lt;category name="weapons"/&gt;</v>
      </c>
      <c r="B248" t="s">
        <v>356</v>
      </c>
    </row>
    <row r="249" spans="1:8" x14ac:dyDescent="0.25">
      <c r="A249" t="s">
        <v>29</v>
      </c>
      <c r="B249" t="s">
        <v>356</v>
      </c>
    </row>
    <row r="250" spans="1:8" x14ac:dyDescent="0.25">
      <c r="A250" t="s">
        <v>22</v>
      </c>
      <c r="B250" t="s">
        <v>356</v>
      </c>
    </row>
    <row r="251" spans="1:8" x14ac:dyDescent="0.25">
      <c r="A251" t="s">
        <v>1421</v>
      </c>
      <c r="B251" t="s">
        <v>2934</v>
      </c>
      <c r="C251" t="s">
        <v>8</v>
      </c>
      <c r="D251">
        <v>0</v>
      </c>
      <c r="E251">
        <v>7200</v>
      </c>
      <c r="F251">
        <v>0</v>
      </c>
      <c r="G251">
        <v>0</v>
      </c>
      <c r="H251" t="s">
        <v>62</v>
      </c>
    </row>
    <row r="252" spans="1:8" x14ac:dyDescent="0.25">
      <c r="A252" t="str">
        <f>"&lt;nominal&gt;" &amp;$D$251&amp;"&lt;/nominal&gt;"</f>
        <v>&lt;nominal&gt;0&lt;/nominal&gt;</v>
      </c>
      <c r="B252" t="s">
        <v>2934</v>
      </c>
    </row>
    <row r="253" spans="1:8" x14ac:dyDescent="0.25">
      <c r="A253" t="str">
        <f>"&lt;lifetime&gt;" &amp;$E$251&amp;"&lt;/lifetime&gt;"</f>
        <v>&lt;lifetime&gt;7200&lt;/lifetime&gt;</v>
      </c>
      <c r="B253" t="s">
        <v>2934</v>
      </c>
    </row>
    <row r="254" spans="1:8" x14ac:dyDescent="0.25">
      <c r="A254" t="str">
        <f>"&lt;restock&gt;" &amp;$F$251&amp;"&lt;/restock&gt;"</f>
        <v>&lt;restock&gt;0&lt;/restock&gt;</v>
      </c>
      <c r="B254" t="s">
        <v>2934</v>
      </c>
    </row>
    <row r="255" spans="1:8" x14ac:dyDescent="0.25">
      <c r="A255" t="str">
        <f>"&lt;min&gt;" &amp;$G$251&amp;"&lt;/min&gt;"</f>
        <v>&lt;min&gt;0&lt;/min&gt;</v>
      </c>
      <c r="B255" t="s">
        <v>2934</v>
      </c>
    </row>
    <row r="256" spans="1:8" x14ac:dyDescent="0.25">
      <c r="A256" t="s">
        <v>16</v>
      </c>
      <c r="B256" t="s">
        <v>2934</v>
      </c>
    </row>
    <row r="257" spans="1:8" x14ac:dyDescent="0.25">
      <c r="A257" t="s">
        <v>17</v>
      </c>
      <c r="B257" t="s">
        <v>2934</v>
      </c>
    </row>
    <row r="258" spans="1:8" x14ac:dyDescent="0.25">
      <c r="A258" t="s">
        <v>18</v>
      </c>
      <c r="B258" t="s">
        <v>2934</v>
      </c>
    </row>
    <row r="259" spans="1:8" x14ac:dyDescent="0.25">
      <c r="A259" t="str">
        <f xml:space="preserve"> $H$251</f>
        <v>&lt;flags count_in_cargo="0" count_in_hoarder="0" count_in_map="1" count_in_player="0" crafted="1" deloot="0"/&gt;</v>
      </c>
      <c r="B259" t="s">
        <v>2934</v>
      </c>
    </row>
    <row r="260" spans="1:8" x14ac:dyDescent="0.25">
      <c r="A260" t="str">
        <f>"&lt;category name=" &amp;"""" &amp;$C$251&amp;"""/&gt;"</f>
        <v>&lt;category name="weapons"/&gt;</v>
      </c>
      <c r="B260" t="s">
        <v>2934</v>
      </c>
    </row>
    <row r="261" spans="1:8" x14ac:dyDescent="0.25">
      <c r="A261" t="s">
        <v>22</v>
      </c>
      <c r="B261" t="s">
        <v>2934</v>
      </c>
    </row>
    <row r="262" spans="1:8" x14ac:dyDescent="0.25">
      <c r="A262" t="s">
        <v>1422</v>
      </c>
      <c r="B262" t="s">
        <v>2935</v>
      </c>
      <c r="C262" t="s">
        <v>8</v>
      </c>
      <c r="D262">
        <v>0</v>
      </c>
      <c r="E262">
        <v>7200</v>
      </c>
      <c r="F262">
        <v>0</v>
      </c>
      <c r="G262">
        <v>0</v>
      </c>
      <c r="H262" t="s">
        <v>62</v>
      </c>
    </row>
    <row r="263" spans="1:8" x14ac:dyDescent="0.25">
      <c r="A263" t="str">
        <f>"&lt;nominal&gt;" &amp;$D$262&amp;"&lt;/nominal&gt;"</f>
        <v>&lt;nominal&gt;0&lt;/nominal&gt;</v>
      </c>
      <c r="B263" t="s">
        <v>2935</v>
      </c>
    </row>
    <row r="264" spans="1:8" x14ac:dyDescent="0.25">
      <c r="A264" t="str">
        <f>"&lt;lifetime&gt;" &amp;$E$262&amp;"&lt;/lifetime&gt;"</f>
        <v>&lt;lifetime&gt;7200&lt;/lifetime&gt;</v>
      </c>
      <c r="B264" t="s">
        <v>2935</v>
      </c>
    </row>
    <row r="265" spans="1:8" x14ac:dyDescent="0.25">
      <c r="A265" t="str">
        <f>"&lt;restock&gt;" &amp;$F$262&amp;"&lt;/restock&gt;"</f>
        <v>&lt;restock&gt;0&lt;/restock&gt;</v>
      </c>
      <c r="B265" t="s">
        <v>2935</v>
      </c>
    </row>
    <row r="266" spans="1:8" x14ac:dyDescent="0.25">
      <c r="A266" t="str">
        <f>"&lt;min&gt;" &amp;$G$262&amp;"&lt;/min&gt;"</f>
        <v>&lt;min&gt;0&lt;/min&gt;</v>
      </c>
      <c r="B266" t="s">
        <v>2935</v>
      </c>
    </row>
    <row r="267" spans="1:8" x14ac:dyDescent="0.25">
      <c r="A267" t="s">
        <v>16</v>
      </c>
      <c r="B267" t="s">
        <v>2935</v>
      </c>
    </row>
    <row r="268" spans="1:8" x14ac:dyDescent="0.25">
      <c r="A268" t="s">
        <v>17</v>
      </c>
      <c r="B268" t="s">
        <v>2935</v>
      </c>
    </row>
    <row r="269" spans="1:8" x14ac:dyDescent="0.25">
      <c r="A269" t="s">
        <v>18</v>
      </c>
      <c r="B269" t="s">
        <v>2935</v>
      </c>
    </row>
    <row r="270" spans="1:8" x14ac:dyDescent="0.25">
      <c r="A270" t="str">
        <f xml:space="preserve"> $H$262</f>
        <v>&lt;flags count_in_cargo="0" count_in_hoarder="0" count_in_map="1" count_in_player="0" crafted="1" deloot="0"/&gt;</v>
      </c>
      <c r="B270" t="s">
        <v>2935</v>
      </c>
    </row>
    <row r="271" spans="1:8" x14ac:dyDescent="0.25">
      <c r="A271" t="str">
        <f>"&lt;category name=" &amp;"""" &amp;$C$262&amp;"""/&gt;"</f>
        <v>&lt;category name="weapons"/&gt;</v>
      </c>
      <c r="B271" t="s">
        <v>2935</v>
      </c>
    </row>
    <row r="272" spans="1:8" x14ac:dyDescent="0.25">
      <c r="A272" t="s">
        <v>22</v>
      </c>
      <c r="B272" t="s">
        <v>2935</v>
      </c>
    </row>
    <row r="273" spans="1:8" x14ac:dyDescent="0.25">
      <c r="A273" t="s">
        <v>1423</v>
      </c>
      <c r="B273" t="s">
        <v>357</v>
      </c>
      <c r="C273" t="s">
        <v>8</v>
      </c>
      <c r="D273">
        <v>10</v>
      </c>
      <c r="E273">
        <v>7200</v>
      </c>
      <c r="F273">
        <v>0</v>
      </c>
      <c r="G273">
        <v>5</v>
      </c>
      <c r="H273" t="s">
        <v>19</v>
      </c>
    </row>
    <row r="274" spans="1:8" x14ac:dyDescent="0.25">
      <c r="A274" t="str">
        <f>"&lt;nominal&gt;" &amp;$D$273&amp;"&lt;/nominal&gt;"</f>
        <v>&lt;nominal&gt;10&lt;/nominal&gt;</v>
      </c>
      <c r="B274" t="s">
        <v>357</v>
      </c>
    </row>
    <row r="275" spans="1:8" x14ac:dyDescent="0.25">
      <c r="A275" t="str">
        <f>"&lt;lifetime&gt;" &amp;$E$273&amp;"&lt;/lifetime&gt;"</f>
        <v>&lt;lifetime&gt;7200&lt;/lifetime&gt;</v>
      </c>
      <c r="B275" t="s">
        <v>357</v>
      </c>
    </row>
    <row r="276" spans="1:8" x14ac:dyDescent="0.25">
      <c r="A276" t="str">
        <f>"&lt;restock&gt;" &amp;$F$273&amp;"&lt;/restock&gt;"</f>
        <v>&lt;restock&gt;0&lt;/restock&gt;</v>
      </c>
      <c r="B276" t="s">
        <v>357</v>
      </c>
    </row>
    <row r="277" spans="1:8" x14ac:dyDescent="0.25">
      <c r="A277" t="str">
        <f>"&lt;min&gt;" &amp;$G$273&amp;"&lt;/min&gt;"</f>
        <v>&lt;min&gt;5&lt;/min&gt;</v>
      </c>
      <c r="B277" t="s">
        <v>357</v>
      </c>
    </row>
    <row r="278" spans="1:8" x14ac:dyDescent="0.25">
      <c r="A278" t="s">
        <v>16</v>
      </c>
      <c r="B278" t="s">
        <v>357</v>
      </c>
    </row>
    <row r="279" spans="1:8" x14ac:dyDescent="0.25">
      <c r="A279" t="s">
        <v>17</v>
      </c>
      <c r="B279" t="s">
        <v>357</v>
      </c>
    </row>
    <row r="280" spans="1:8" x14ac:dyDescent="0.25">
      <c r="A280" t="s">
        <v>18</v>
      </c>
      <c r="B280" t="s">
        <v>357</v>
      </c>
    </row>
    <row r="281" spans="1:8" x14ac:dyDescent="0.25">
      <c r="A281" t="str">
        <f xml:space="preserve"> $H$273</f>
        <v>&lt;flags count_in_cargo="0" count_in_hoarder="0" count_in_map="1" count_in_player="0" crafted="0" deloot="0"/&gt;</v>
      </c>
      <c r="B281" t="s">
        <v>357</v>
      </c>
    </row>
    <row r="282" spans="1:8" x14ac:dyDescent="0.25">
      <c r="A282" t="str">
        <f>"&lt;category name=" &amp;"""" &amp;$C$273&amp;"""/&gt;"</f>
        <v>&lt;category name="weapons"/&gt;</v>
      </c>
      <c r="B282" t="s">
        <v>357</v>
      </c>
    </row>
    <row r="283" spans="1:8" x14ac:dyDescent="0.25">
      <c r="A283" t="s">
        <v>29</v>
      </c>
      <c r="B283" t="s">
        <v>357</v>
      </c>
    </row>
    <row r="284" spans="1:8" x14ac:dyDescent="0.25">
      <c r="A284" t="s">
        <v>22</v>
      </c>
      <c r="B284" t="s">
        <v>357</v>
      </c>
    </row>
    <row r="285" spans="1:8" x14ac:dyDescent="0.25">
      <c r="A285" t="s">
        <v>1424</v>
      </c>
      <c r="B285" t="s">
        <v>358</v>
      </c>
      <c r="C285" t="s">
        <v>8</v>
      </c>
      <c r="D285">
        <v>10</v>
      </c>
      <c r="E285">
        <v>7200</v>
      </c>
      <c r="F285">
        <v>0</v>
      </c>
      <c r="G285">
        <v>5</v>
      </c>
      <c r="H285" t="s">
        <v>19</v>
      </c>
    </row>
    <row r="286" spans="1:8" x14ac:dyDescent="0.25">
      <c r="A286" t="str">
        <f>"&lt;nominal&gt;" &amp;$D$285&amp;"&lt;/nominal&gt;"</f>
        <v>&lt;nominal&gt;10&lt;/nominal&gt;</v>
      </c>
      <c r="B286" t="s">
        <v>358</v>
      </c>
    </row>
    <row r="287" spans="1:8" x14ac:dyDescent="0.25">
      <c r="A287" t="str">
        <f>"&lt;lifetime&gt;" &amp;$E$285&amp;"&lt;/lifetime&gt;"</f>
        <v>&lt;lifetime&gt;7200&lt;/lifetime&gt;</v>
      </c>
      <c r="B287" t="s">
        <v>358</v>
      </c>
    </row>
    <row r="288" spans="1:8" x14ac:dyDescent="0.25">
      <c r="A288" t="str">
        <f>"&lt;restock&gt;" &amp;$F$285&amp;"&lt;/restock&gt;"</f>
        <v>&lt;restock&gt;0&lt;/restock&gt;</v>
      </c>
      <c r="B288" t="s">
        <v>358</v>
      </c>
    </row>
    <row r="289" spans="1:8" x14ac:dyDescent="0.25">
      <c r="A289" t="str">
        <f>"&lt;min&gt;" &amp;$G$285&amp;"&lt;/min&gt;"</f>
        <v>&lt;min&gt;5&lt;/min&gt;</v>
      </c>
      <c r="B289" t="s">
        <v>358</v>
      </c>
    </row>
    <row r="290" spans="1:8" x14ac:dyDescent="0.25">
      <c r="A290" t="s">
        <v>16</v>
      </c>
      <c r="B290" t="s">
        <v>358</v>
      </c>
    </row>
    <row r="291" spans="1:8" x14ac:dyDescent="0.25">
      <c r="A291" t="s">
        <v>17</v>
      </c>
      <c r="B291" t="s">
        <v>358</v>
      </c>
    </row>
    <row r="292" spans="1:8" x14ac:dyDescent="0.25">
      <c r="A292" t="s">
        <v>18</v>
      </c>
      <c r="B292" t="s">
        <v>358</v>
      </c>
    </row>
    <row r="293" spans="1:8" x14ac:dyDescent="0.25">
      <c r="A293" t="str">
        <f xml:space="preserve"> $H$285</f>
        <v>&lt;flags count_in_cargo="0" count_in_hoarder="0" count_in_map="1" count_in_player="0" crafted="0" deloot="0"/&gt;</v>
      </c>
      <c r="B293" t="s">
        <v>358</v>
      </c>
    </row>
    <row r="294" spans="1:8" x14ac:dyDescent="0.25">
      <c r="A294" t="str">
        <f>"&lt;category name=" &amp;"""" &amp;$C$285&amp;"""/&gt;"</f>
        <v>&lt;category name="weapons"/&gt;</v>
      </c>
      <c r="B294" t="s">
        <v>358</v>
      </c>
    </row>
    <row r="295" spans="1:8" x14ac:dyDescent="0.25">
      <c r="A295" t="s">
        <v>20</v>
      </c>
      <c r="B295" t="s">
        <v>358</v>
      </c>
    </row>
    <row r="296" spans="1:8" x14ac:dyDescent="0.25">
      <c r="A296" t="s">
        <v>29</v>
      </c>
      <c r="B296" t="s">
        <v>358</v>
      </c>
    </row>
    <row r="297" spans="1:8" x14ac:dyDescent="0.25">
      <c r="A297" t="s">
        <v>22</v>
      </c>
      <c r="B297" t="s">
        <v>358</v>
      </c>
    </row>
    <row r="298" spans="1:8" x14ac:dyDescent="0.25">
      <c r="A298" t="s">
        <v>1425</v>
      </c>
      <c r="B298" t="s">
        <v>2936</v>
      </c>
      <c r="C298" t="s">
        <v>8</v>
      </c>
      <c r="D298">
        <v>0</v>
      </c>
      <c r="E298">
        <v>7200</v>
      </c>
      <c r="F298">
        <v>0</v>
      </c>
      <c r="G298">
        <v>0</v>
      </c>
      <c r="H298" t="s">
        <v>62</v>
      </c>
    </row>
    <row r="299" spans="1:8" x14ac:dyDescent="0.25">
      <c r="A299" t="str">
        <f>"&lt;nominal&gt;" &amp;$D$298&amp;"&lt;/nominal&gt;"</f>
        <v>&lt;nominal&gt;0&lt;/nominal&gt;</v>
      </c>
      <c r="B299" t="s">
        <v>2936</v>
      </c>
    </row>
    <row r="300" spans="1:8" x14ac:dyDescent="0.25">
      <c r="A300" t="str">
        <f>"&lt;lifetime&gt;" &amp;$E$298&amp;"&lt;/lifetime&gt;"</f>
        <v>&lt;lifetime&gt;7200&lt;/lifetime&gt;</v>
      </c>
      <c r="B300" t="s">
        <v>2936</v>
      </c>
    </row>
    <row r="301" spans="1:8" x14ac:dyDescent="0.25">
      <c r="A301" t="str">
        <f>"&lt;restock&gt;" &amp;$F$298&amp;"&lt;/restock&gt;"</f>
        <v>&lt;restock&gt;0&lt;/restock&gt;</v>
      </c>
      <c r="B301" t="s">
        <v>2936</v>
      </c>
    </row>
    <row r="302" spans="1:8" x14ac:dyDescent="0.25">
      <c r="A302" t="str">
        <f>"&lt;min&gt;" &amp;$G$298&amp;"&lt;/min&gt;"</f>
        <v>&lt;min&gt;0&lt;/min&gt;</v>
      </c>
      <c r="B302" t="s">
        <v>2936</v>
      </c>
    </row>
    <row r="303" spans="1:8" x14ac:dyDescent="0.25">
      <c r="A303" t="s">
        <v>16</v>
      </c>
      <c r="B303" t="s">
        <v>2936</v>
      </c>
    </row>
    <row r="304" spans="1:8" x14ac:dyDescent="0.25">
      <c r="A304" t="s">
        <v>17</v>
      </c>
      <c r="B304" t="s">
        <v>2936</v>
      </c>
    </row>
    <row r="305" spans="1:8" x14ac:dyDescent="0.25">
      <c r="A305" t="s">
        <v>18</v>
      </c>
      <c r="B305" t="s">
        <v>2936</v>
      </c>
    </row>
    <row r="306" spans="1:8" x14ac:dyDescent="0.25">
      <c r="A306" t="str">
        <f xml:space="preserve"> $H$298</f>
        <v>&lt;flags count_in_cargo="0" count_in_hoarder="0" count_in_map="1" count_in_player="0" crafted="1" deloot="0"/&gt;</v>
      </c>
      <c r="B306" t="s">
        <v>2936</v>
      </c>
    </row>
    <row r="307" spans="1:8" x14ac:dyDescent="0.25">
      <c r="A307" t="str">
        <f>"&lt;category name=" &amp;"""" &amp;$C$298&amp;"""/&gt;"</f>
        <v>&lt;category name="weapons"/&gt;</v>
      </c>
      <c r="B307" t="s">
        <v>2936</v>
      </c>
    </row>
    <row r="308" spans="1:8" x14ac:dyDescent="0.25">
      <c r="A308" t="s">
        <v>22</v>
      </c>
      <c r="B308" t="s">
        <v>2936</v>
      </c>
    </row>
    <row r="309" spans="1:8" x14ac:dyDescent="0.25">
      <c r="A309" t="s">
        <v>1426</v>
      </c>
      <c r="B309" t="s">
        <v>2937</v>
      </c>
      <c r="C309" t="s">
        <v>8</v>
      </c>
      <c r="D309">
        <v>0</v>
      </c>
      <c r="E309">
        <v>7200</v>
      </c>
      <c r="F309">
        <v>0</v>
      </c>
      <c r="G309">
        <v>0</v>
      </c>
      <c r="H309" t="s">
        <v>62</v>
      </c>
    </row>
    <row r="310" spans="1:8" x14ac:dyDescent="0.25">
      <c r="A310" t="str">
        <f>"&lt;nominal&gt;" &amp;$D$309&amp;"&lt;/nominal&gt;"</f>
        <v>&lt;nominal&gt;0&lt;/nominal&gt;</v>
      </c>
      <c r="B310" t="s">
        <v>2937</v>
      </c>
    </row>
    <row r="311" spans="1:8" x14ac:dyDescent="0.25">
      <c r="A311" t="str">
        <f>"&lt;lifetime&gt;" &amp;$E$309&amp;"&lt;/lifetime&gt;"</f>
        <v>&lt;lifetime&gt;7200&lt;/lifetime&gt;</v>
      </c>
      <c r="B311" t="s">
        <v>2937</v>
      </c>
    </row>
    <row r="312" spans="1:8" x14ac:dyDescent="0.25">
      <c r="A312" t="str">
        <f>"&lt;restock&gt;" &amp;$F$309&amp;"&lt;/restock&gt;"</f>
        <v>&lt;restock&gt;0&lt;/restock&gt;</v>
      </c>
      <c r="B312" t="s">
        <v>2937</v>
      </c>
    </row>
    <row r="313" spans="1:8" x14ac:dyDescent="0.25">
      <c r="A313" t="str">
        <f>"&lt;min&gt;" &amp;$G$309&amp;"&lt;/min&gt;"</f>
        <v>&lt;min&gt;0&lt;/min&gt;</v>
      </c>
      <c r="B313" t="s">
        <v>2937</v>
      </c>
    </row>
    <row r="314" spans="1:8" x14ac:dyDescent="0.25">
      <c r="A314" t="s">
        <v>16</v>
      </c>
      <c r="B314" t="s">
        <v>2937</v>
      </c>
    </row>
    <row r="315" spans="1:8" x14ac:dyDescent="0.25">
      <c r="A315" t="s">
        <v>17</v>
      </c>
      <c r="B315" t="s">
        <v>2937</v>
      </c>
    </row>
    <row r="316" spans="1:8" x14ac:dyDescent="0.25">
      <c r="A316" t="s">
        <v>18</v>
      </c>
      <c r="B316" t="s">
        <v>2937</v>
      </c>
    </row>
    <row r="317" spans="1:8" x14ac:dyDescent="0.25">
      <c r="A317" t="str">
        <f xml:space="preserve"> $H$309</f>
        <v>&lt;flags count_in_cargo="0" count_in_hoarder="0" count_in_map="1" count_in_player="0" crafted="1" deloot="0"/&gt;</v>
      </c>
      <c r="B317" t="s">
        <v>2937</v>
      </c>
    </row>
    <row r="318" spans="1:8" x14ac:dyDescent="0.25">
      <c r="A318" t="str">
        <f>"&lt;category name=" &amp;"""" &amp;$C$309&amp;"""/&gt;"</f>
        <v>&lt;category name="weapons"/&gt;</v>
      </c>
      <c r="B318" t="s">
        <v>2937</v>
      </c>
    </row>
    <row r="319" spans="1:8" x14ac:dyDescent="0.25">
      <c r="A319" t="s">
        <v>22</v>
      </c>
      <c r="B319" t="s">
        <v>2937</v>
      </c>
    </row>
    <row r="320" spans="1:8" x14ac:dyDescent="0.25">
      <c r="A320" t="s">
        <v>1427</v>
      </c>
      <c r="B320" t="s">
        <v>359</v>
      </c>
      <c r="C320" t="s">
        <v>8</v>
      </c>
      <c r="D320">
        <v>10</v>
      </c>
      <c r="E320">
        <v>7200</v>
      </c>
      <c r="F320">
        <v>14400</v>
      </c>
      <c r="G320">
        <v>5</v>
      </c>
      <c r="H320" t="s">
        <v>19</v>
      </c>
    </row>
    <row r="321" spans="1:8" x14ac:dyDescent="0.25">
      <c r="A321" t="str">
        <f>"&lt;nominal&gt;" &amp;$D$320&amp;"&lt;/nominal&gt;"</f>
        <v>&lt;nominal&gt;10&lt;/nominal&gt;</v>
      </c>
      <c r="B321" t="s">
        <v>359</v>
      </c>
    </row>
    <row r="322" spans="1:8" x14ac:dyDescent="0.25">
      <c r="A322" t="str">
        <f>"&lt;lifetime&gt;" &amp;$E$320&amp;"&lt;/lifetime&gt;"</f>
        <v>&lt;lifetime&gt;7200&lt;/lifetime&gt;</v>
      </c>
      <c r="B322" t="s">
        <v>359</v>
      </c>
    </row>
    <row r="323" spans="1:8" x14ac:dyDescent="0.25">
      <c r="A323" t="str">
        <f>"&lt;restock&gt;" &amp;$F$320&amp;"&lt;/restock&gt;"</f>
        <v>&lt;restock&gt;14400&lt;/restock&gt;</v>
      </c>
      <c r="B323" t="s">
        <v>359</v>
      </c>
    </row>
    <row r="324" spans="1:8" x14ac:dyDescent="0.25">
      <c r="A324" t="str">
        <f>"&lt;min&gt;" &amp;$G$320&amp;"&lt;/min&gt;"</f>
        <v>&lt;min&gt;5&lt;/min&gt;</v>
      </c>
      <c r="B324" t="s">
        <v>359</v>
      </c>
    </row>
    <row r="325" spans="1:8" x14ac:dyDescent="0.25">
      <c r="A325" t="s">
        <v>16</v>
      </c>
      <c r="B325" t="s">
        <v>359</v>
      </c>
    </row>
    <row r="326" spans="1:8" x14ac:dyDescent="0.25">
      <c r="A326" t="s">
        <v>17</v>
      </c>
      <c r="B326" t="s">
        <v>359</v>
      </c>
    </row>
    <row r="327" spans="1:8" x14ac:dyDescent="0.25">
      <c r="A327" t="s">
        <v>18</v>
      </c>
      <c r="B327" t="s">
        <v>359</v>
      </c>
    </row>
    <row r="328" spans="1:8" x14ac:dyDescent="0.25">
      <c r="A328" t="str">
        <f xml:space="preserve"> $H$320</f>
        <v>&lt;flags count_in_cargo="0" count_in_hoarder="0" count_in_map="1" count_in_player="0" crafted="0" deloot="0"/&gt;</v>
      </c>
      <c r="B328" t="s">
        <v>359</v>
      </c>
    </row>
    <row r="329" spans="1:8" x14ac:dyDescent="0.25">
      <c r="A329" t="str">
        <f>"&lt;category name=" &amp;"""" &amp;$C$320&amp;"""/&gt;"</f>
        <v>&lt;category name="weapons"/&gt;</v>
      </c>
      <c r="B329" t="s">
        <v>359</v>
      </c>
    </row>
    <row r="330" spans="1:8" x14ac:dyDescent="0.25">
      <c r="A330" t="s">
        <v>29</v>
      </c>
      <c r="B330" t="s">
        <v>359</v>
      </c>
    </row>
    <row r="331" spans="1:8" x14ac:dyDescent="0.25">
      <c r="A331" t="s">
        <v>22</v>
      </c>
      <c r="B331" t="s">
        <v>359</v>
      </c>
    </row>
    <row r="332" spans="1:8" x14ac:dyDescent="0.25">
      <c r="A332" t="s">
        <v>1428</v>
      </c>
      <c r="B332" t="s">
        <v>360</v>
      </c>
      <c r="C332" t="s">
        <v>8</v>
      </c>
      <c r="D332">
        <v>10</v>
      </c>
      <c r="E332">
        <v>7200</v>
      </c>
      <c r="F332">
        <v>0</v>
      </c>
      <c r="G332">
        <v>5</v>
      </c>
      <c r="H332" t="s">
        <v>19</v>
      </c>
    </row>
    <row r="333" spans="1:8" x14ac:dyDescent="0.25">
      <c r="A333" t="str">
        <f>"&lt;nominal&gt;" &amp;$D$332&amp;"&lt;/nominal&gt;"</f>
        <v>&lt;nominal&gt;10&lt;/nominal&gt;</v>
      </c>
      <c r="B333" t="s">
        <v>360</v>
      </c>
    </row>
    <row r="334" spans="1:8" x14ac:dyDescent="0.25">
      <c r="A334" t="str">
        <f>"&lt;lifetime&gt;" &amp;$E$332&amp;"&lt;/lifetime&gt;"</f>
        <v>&lt;lifetime&gt;7200&lt;/lifetime&gt;</v>
      </c>
      <c r="B334" t="s">
        <v>360</v>
      </c>
    </row>
    <row r="335" spans="1:8" x14ac:dyDescent="0.25">
      <c r="A335" t="str">
        <f>"&lt;restock&gt;" &amp;$F$332&amp;"&lt;/restock&gt;"</f>
        <v>&lt;restock&gt;0&lt;/restock&gt;</v>
      </c>
      <c r="B335" t="s">
        <v>360</v>
      </c>
    </row>
    <row r="336" spans="1:8" x14ac:dyDescent="0.25">
      <c r="A336" t="str">
        <f>"&lt;min&gt;" &amp;$G$332&amp;"&lt;/min&gt;"</f>
        <v>&lt;min&gt;5&lt;/min&gt;</v>
      </c>
      <c r="B336" t="s">
        <v>360</v>
      </c>
    </row>
    <row r="337" spans="1:8" x14ac:dyDescent="0.25">
      <c r="A337" t="s">
        <v>16</v>
      </c>
      <c r="B337" t="s">
        <v>360</v>
      </c>
    </row>
    <row r="338" spans="1:8" x14ac:dyDescent="0.25">
      <c r="A338" t="s">
        <v>17</v>
      </c>
      <c r="B338" t="s">
        <v>360</v>
      </c>
    </row>
    <row r="339" spans="1:8" x14ac:dyDescent="0.25">
      <c r="A339" t="s">
        <v>18</v>
      </c>
      <c r="B339" t="s">
        <v>360</v>
      </c>
    </row>
    <row r="340" spans="1:8" x14ac:dyDescent="0.25">
      <c r="A340" t="str">
        <f xml:space="preserve"> $H$332</f>
        <v>&lt;flags count_in_cargo="0" count_in_hoarder="0" count_in_map="1" count_in_player="0" crafted="0" deloot="0"/&gt;</v>
      </c>
      <c r="B340" t="s">
        <v>360</v>
      </c>
    </row>
    <row r="341" spans="1:8" x14ac:dyDescent="0.25">
      <c r="A341" t="str">
        <f>"&lt;category name=" &amp;"""" &amp;$C$332&amp;"""/&gt;"</f>
        <v>&lt;category name="weapons"/&gt;</v>
      </c>
      <c r="B341" t="s">
        <v>360</v>
      </c>
    </row>
    <row r="342" spans="1:8" x14ac:dyDescent="0.25">
      <c r="A342" t="s">
        <v>29</v>
      </c>
      <c r="B342" t="s">
        <v>360</v>
      </c>
    </row>
    <row r="343" spans="1:8" x14ac:dyDescent="0.25">
      <c r="A343" t="s">
        <v>22</v>
      </c>
      <c r="B343" t="s">
        <v>360</v>
      </c>
    </row>
    <row r="344" spans="1:8" x14ac:dyDescent="0.25">
      <c r="A344" t="s">
        <v>1429</v>
      </c>
      <c r="B344" t="s">
        <v>2938</v>
      </c>
      <c r="C344" t="s">
        <v>8</v>
      </c>
      <c r="D344">
        <v>0</v>
      </c>
      <c r="E344">
        <v>7200</v>
      </c>
      <c r="F344">
        <v>0</v>
      </c>
      <c r="G344">
        <v>0</v>
      </c>
      <c r="H344" t="s">
        <v>62</v>
      </c>
    </row>
    <row r="345" spans="1:8" x14ac:dyDescent="0.25">
      <c r="A345" t="str">
        <f>"&lt;nominal&gt;" &amp;$D$344&amp;"&lt;/nominal&gt;"</f>
        <v>&lt;nominal&gt;0&lt;/nominal&gt;</v>
      </c>
      <c r="B345" t="s">
        <v>2938</v>
      </c>
    </row>
    <row r="346" spans="1:8" x14ac:dyDescent="0.25">
      <c r="A346" t="str">
        <f>"&lt;lifetime&gt;" &amp;$E$344&amp;"&lt;/lifetime&gt;"</f>
        <v>&lt;lifetime&gt;7200&lt;/lifetime&gt;</v>
      </c>
      <c r="B346" t="s">
        <v>2938</v>
      </c>
    </row>
    <row r="347" spans="1:8" x14ac:dyDescent="0.25">
      <c r="A347" t="str">
        <f>"&lt;restock&gt;" &amp;$F$344&amp;"&lt;/restock&gt;"</f>
        <v>&lt;restock&gt;0&lt;/restock&gt;</v>
      </c>
      <c r="B347" t="s">
        <v>2938</v>
      </c>
    </row>
    <row r="348" spans="1:8" x14ac:dyDescent="0.25">
      <c r="A348" t="str">
        <f>"&lt;min&gt;" &amp;$G$344&amp;"&lt;/min&gt;"</f>
        <v>&lt;min&gt;0&lt;/min&gt;</v>
      </c>
      <c r="B348" t="s">
        <v>2938</v>
      </c>
    </row>
    <row r="349" spans="1:8" x14ac:dyDescent="0.25">
      <c r="A349" t="s">
        <v>16</v>
      </c>
      <c r="B349" t="s">
        <v>2938</v>
      </c>
    </row>
    <row r="350" spans="1:8" x14ac:dyDescent="0.25">
      <c r="A350" t="s">
        <v>17</v>
      </c>
      <c r="B350" t="s">
        <v>2938</v>
      </c>
    </row>
    <row r="351" spans="1:8" x14ac:dyDescent="0.25">
      <c r="A351" t="s">
        <v>18</v>
      </c>
      <c r="B351" t="s">
        <v>2938</v>
      </c>
    </row>
    <row r="352" spans="1:8" x14ac:dyDescent="0.25">
      <c r="A352" t="str">
        <f xml:space="preserve"> $H$344</f>
        <v>&lt;flags count_in_cargo="0" count_in_hoarder="0" count_in_map="1" count_in_player="0" crafted="1" deloot="0"/&gt;</v>
      </c>
      <c r="B352" t="s">
        <v>2938</v>
      </c>
    </row>
    <row r="353" spans="1:8" x14ac:dyDescent="0.25">
      <c r="A353" t="str">
        <f>"&lt;category name=" &amp;"""" &amp;$C$344&amp;"""/&gt;"</f>
        <v>&lt;category name="weapons"/&gt;</v>
      </c>
      <c r="B353" t="s">
        <v>2938</v>
      </c>
    </row>
    <row r="354" spans="1:8" x14ac:dyDescent="0.25">
      <c r="A354" t="s">
        <v>22</v>
      </c>
      <c r="B354" t="s">
        <v>2938</v>
      </c>
    </row>
    <row r="355" spans="1:8" x14ac:dyDescent="0.25">
      <c r="A355" t="s">
        <v>1430</v>
      </c>
      <c r="B355" t="s">
        <v>2939</v>
      </c>
      <c r="C355" t="s">
        <v>8</v>
      </c>
      <c r="D355">
        <v>0</v>
      </c>
      <c r="E355">
        <v>7200</v>
      </c>
      <c r="F355">
        <v>0</v>
      </c>
      <c r="G355">
        <v>0</v>
      </c>
      <c r="H355" t="s">
        <v>62</v>
      </c>
    </row>
    <row r="356" spans="1:8" x14ac:dyDescent="0.25">
      <c r="A356" t="str">
        <f>"&lt;nominal&gt;" &amp;$D$355&amp;"&lt;/nominal&gt;"</f>
        <v>&lt;nominal&gt;0&lt;/nominal&gt;</v>
      </c>
      <c r="B356" t="s">
        <v>2939</v>
      </c>
    </row>
    <row r="357" spans="1:8" x14ac:dyDescent="0.25">
      <c r="A357" t="str">
        <f>"&lt;lifetime&gt;" &amp;$E$355&amp;"&lt;/lifetime&gt;"</f>
        <v>&lt;lifetime&gt;7200&lt;/lifetime&gt;</v>
      </c>
      <c r="B357" t="s">
        <v>2939</v>
      </c>
    </row>
    <row r="358" spans="1:8" x14ac:dyDescent="0.25">
      <c r="A358" t="str">
        <f>"&lt;restock&gt;" &amp;$F$355&amp;"&lt;/restock&gt;"</f>
        <v>&lt;restock&gt;0&lt;/restock&gt;</v>
      </c>
      <c r="B358" t="s">
        <v>2939</v>
      </c>
    </row>
    <row r="359" spans="1:8" x14ac:dyDescent="0.25">
      <c r="A359" t="str">
        <f>"&lt;min&gt;" &amp;$G$355&amp;"&lt;/min&gt;"</f>
        <v>&lt;min&gt;0&lt;/min&gt;</v>
      </c>
      <c r="B359" t="s">
        <v>2939</v>
      </c>
    </row>
    <row r="360" spans="1:8" x14ac:dyDescent="0.25">
      <c r="A360" t="s">
        <v>16</v>
      </c>
      <c r="B360" t="s">
        <v>2939</v>
      </c>
    </row>
    <row r="361" spans="1:8" x14ac:dyDescent="0.25">
      <c r="A361" t="s">
        <v>17</v>
      </c>
      <c r="B361" t="s">
        <v>2939</v>
      </c>
    </row>
    <row r="362" spans="1:8" x14ac:dyDescent="0.25">
      <c r="A362" t="s">
        <v>18</v>
      </c>
      <c r="B362" t="s">
        <v>2939</v>
      </c>
    </row>
    <row r="363" spans="1:8" x14ac:dyDescent="0.25">
      <c r="A363" t="str">
        <f xml:space="preserve"> $H$355</f>
        <v>&lt;flags count_in_cargo="0" count_in_hoarder="0" count_in_map="1" count_in_player="0" crafted="1" deloot="0"/&gt;</v>
      </c>
      <c r="B363" t="s">
        <v>2939</v>
      </c>
    </row>
    <row r="364" spans="1:8" x14ac:dyDescent="0.25">
      <c r="A364" t="str">
        <f>"&lt;category name=" &amp;"""" &amp;$C$355&amp;"""/&gt;"</f>
        <v>&lt;category name="weapons"/&gt;</v>
      </c>
      <c r="B364" t="s">
        <v>2939</v>
      </c>
    </row>
    <row r="365" spans="1:8" x14ac:dyDescent="0.25">
      <c r="A365" t="s">
        <v>22</v>
      </c>
      <c r="B365" t="s">
        <v>2939</v>
      </c>
    </row>
    <row r="366" spans="1:8" x14ac:dyDescent="0.25">
      <c r="A366" t="s">
        <v>1431</v>
      </c>
      <c r="B366" t="s">
        <v>361</v>
      </c>
      <c r="C366" t="s">
        <v>8</v>
      </c>
      <c r="D366">
        <v>10</v>
      </c>
      <c r="E366">
        <v>7200</v>
      </c>
      <c r="F366">
        <v>0</v>
      </c>
      <c r="G366">
        <v>5</v>
      </c>
      <c r="H366" t="s">
        <v>19</v>
      </c>
    </row>
    <row r="367" spans="1:8" x14ac:dyDescent="0.25">
      <c r="A367" t="str">
        <f>"&lt;nominal&gt;" &amp;$D$366&amp;"&lt;/nominal&gt;"</f>
        <v>&lt;nominal&gt;10&lt;/nominal&gt;</v>
      </c>
      <c r="B367" t="s">
        <v>361</v>
      </c>
    </row>
    <row r="368" spans="1:8" x14ac:dyDescent="0.25">
      <c r="A368" t="str">
        <f>"&lt;lifetime&gt;" &amp;$E$366&amp;"&lt;/lifetime&gt;"</f>
        <v>&lt;lifetime&gt;7200&lt;/lifetime&gt;</v>
      </c>
      <c r="B368" t="s">
        <v>361</v>
      </c>
    </row>
    <row r="369" spans="1:8" x14ac:dyDescent="0.25">
      <c r="A369" t="str">
        <f>"&lt;restock&gt;" &amp;$F$366&amp;"&lt;/restock&gt;"</f>
        <v>&lt;restock&gt;0&lt;/restock&gt;</v>
      </c>
      <c r="B369" t="s">
        <v>361</v>
      </c>
    </row>
    <row r="370" spans="1:8" x14ac:dyDescent="0.25">
      <c r="A370" t="str">
        <f>"&lt;min&gt;" &amp;$G$366&amp;"&lt;/min&gt;"</f>
        <v>&lt;min&gt;5&lt;/min&gt;</v>
      </c>
      <c r="B370" t="s">
        <v>361</v>
      </c>
    </row>
    <row r="371" spans="1:8" x14ac:dyDescent="0.25">
      <c r="A371" t="s">
        <v>16</v>
      </c>
      <c r="B371" t="s">
        <v>361</v>
      </c>
    </row>
    <row r="372" spans="1:8" x14ac:dyDescent="0.25">
      <c r="A372" t="s">
        <v>17</v>
      </c>
      <c r="B372" t="s">
        <v>361</v>
      </c>
    </row>
    <row r="373" spans="1:8" x14ac:dyDescent="0.25">
      <c r="A373" t="s">
        <v>18</v>
      </c>
      <c r="B373" t="s">
        <v>361</v>
      </c>
    </row>
    <row r="374" spans="1:8" x14ac:dyDescent="0.25">
      <c r="A374" t="str">
        <f xml:space="preserve"> $H$366</f>
        <v>&lt;flags count_in_cargo="0" count_in_hoarder="0" count_in_map="1" count_in_player="0" crafted="0" deloot="0"/&gt;</v>
      </c>
      <c r="B374" t="s">
        <v>361</v>
      </c>
    </row>
    <row r="375" spans="1:8" x14ac:dyDescent="0.25">
      <c r="A375" t="str">
        <f>"&lt;category name=" &amp;"""" &amp;$C$366&amp;"""/&gt;"</f>
        <v>&lt;category name="weapons"/&gt;</v>
      </c>
      <c r="B375" t="s">
        <v>361</v>
      </c>
    </row>
    <row r="376" spans="1:8" x14ac:dyDescent="0.25">
      <c r="A376" t="s">
        <v>29</v>
      </c>
      <c r="B376" t="s">
        <v>361</v>
      </c>
    </row>
    <row r="377" spans="1:8" x14ac:dyDescent="0.25">
      <c r="A377" t="s">
        <v>22</v>
      </c>
      <c r="B377" t="s">
        <v>361</v>
      </c>
    </row>
    <row r="378" spans="1:8" x14ac:dyDescent="0.25">
      <c r="A378" t="s">
        <v>1432</v>
      </c>
      <c r="B378" t="s">
        <v>2940</v>
      </c>
      <c r="C378" t="s">
        <v>8</v>
      </c>
      <c r="D378">
        <v>0</v>
      </c>
      <c r="E378">
        <v>7200</v>
      </c>
      <c r="F378">
        <v>0</v>
      </c>
      <c r="G378">
        <v>0</v>
      </c>
      <c r="H378" t="s">
        <v>62</v>
      </c>
    </row>
    <row r="379" spans="1:8" x14ac:dyDescent="0.25">
      <c r="A379" t="str">
        <f>"&lt;nominal&gt;" &amp;$D$378&amp;"&lt;/nominal&gt;"</f>
        <v>&lt;nominal&gt;0&lt;/nominal&gt;</v>
      </c>
      <c r="B379" t="s">
        <v>2940</v>
      </c>
    </row>
    <row r="380" spans="1:8" x14ac:dyDescent="0.25">
      <c r="A380" t="str">
        <f>"&lt;lifetime&gt;" &amp;$E$378&amp;"&lt;/lifetime&gt;"</f>
        <v>&lt;lifetime&gt;7200&lt;/lifetime&gt;</v>
      </c>
      <c r="B380" t="s">
        <v>2940</v>
      </c>
    </row>
    <row r="381" spans="1:8" x14ac:dyDescent="0.25">
      <c r="A381" t="str">
        <f>"&lt;restock&gt;" &amp;$F$378&amp;"&lt;/restock&gt;"</f>
        <v>&lt;restock&gt;0&lt;/restock&gt;</v>
      </c>
      <c r="B381" t="s">
        <v>2940</v>
      </c>
    </row>
    <row r="382" spans="1:8" x14ac:dyDescent="0.25">
      <c r="A382" t="str">
        <f>"&lt;min&gt;" &amp;$G$378&amp;"&lt;/min&gt;"</f>
        <v>&lt;min&gt;0&lt;/min&gt;</v>
      </c>
      <c r="B382" t="s">
        <v>2940</v>
      </c>
    </row>
    <row r="383" spans="1:8" x14ac:dyDescent="0.25">
      <c r="A383" t="s">
        <v>16</v>
      </c>
      <c r="B383" t="s">
        <v>2940</v>
      </c>
    </row>
    <row r="384" spans="1:8" x14ac:dyDescent="0.25">
      <c r="A384" t="s">
        <v>17</v>
      </c>
      <c r="B384" t="s">
        <v>2940</v>
      </c>
    </row>
    <row r="385" spans="1:8" x14ac:dyDescent="0.25">
      <c r="A385" t="s">
        <v>18</v>
      </c>
      <c r="B385" t="s">
        <v>2940</v>
      </c>
    </row>
    <row r="386" spans="1:8" x14ac:dyDescent="0.25">
      <c r="A386" t="str">
        <f xml:space="preserve"> $H$378</f>
        <v>&lt;flags count_in_cargo="0" count_in_hoarder="0" count_in_map="1" count_in_player="0" crafted="1" deloot="0"/&gt;</v>
      </c>
      <c r="B386" t="s">
        <v>2940</v>
      </c>
    </row>
    <row r="387" spans="1:8" x14ac:dyDescent="0.25">
      <c r="A387" t="str">
        <f>"&lt;category name=" &amp;"""" &amp;$C$378&amp;"""/&gt;"</f>
        <v>&lt;category name="weapons"/&gt;</v>
      </c>
      <c r="B387" t="s">
        <v>2940</v>
      </c>
    </row>
    <row r="388" spans="1:8" x14ac:dyDescent="0.25">
      <c r="A388" t="s">
        <v>22</v>
      </c>
      <c r="B388" t="s">
        <v>2940</v>
      </c>
    </row>
    <row r="389" spans="1:8" x14ac:dyDescent="0.25">
      <c r="A389" t="s">
        <v>1433</v>
      </c>
      <c r="B389" t="s">
        <v>2941</v>
      </c>
      <c r="C389" t="s">
        <v>8</v>
      </c>
      <c r="D389">
        <v>0</v>
      </c>
      <c r="E389">
        <v>7200</v>
      </c>
      <c r="F389">
        <v>0</v>
      </c>
      <c r="G389">
        <v>0</v>
      </c>
      <c r="H389" t="s">
        <v>62</v>
      </c>
    </row>
    <row r="390" spans="1:8" x14ac:dyDescent="0.25">
      <c r="A390" t="str">
        <f>"&lt;nominal&gt;" &amp;$D$389&amp;"&lt;/nominal&gt;"</f>
        <v>&lt;nominal&gt;0&lt;/nominal&gt;</v>
      </c>
      <c r="B390" t="s">
        <v>2941</v>
      </c>
    </row>
    <row r="391" spans="1:8" x14ac:dyDescent="0.25">
      <c r="A391" t="str">
        <f>"&lt;lifetime&gt;" &amp;$E$389&amp;"&lt;/lifetime&gt;"</f>
        <v>&lt;lifetime&gt;7200&lt;/lifetime&gt;</v>
      </c>
      <c r="B391" t="s">
        <v>2941</v>
      </c>
    </row>
    <row r="392" spans="1:8" x14ac:dyDescent="0.25">
      <c r="A392" t="str">
        <f>"&lt;restock&gt;" &amp;$F$389&amp;"&lt;/restock&gt;"</f>
        <v>&lt;restock&gt;0&lt;/restock&gt;</v>
      </c>
      <c r="B392" t="s">
        <v>2941</v>
      </c>
    </row>
    <row r="393" spans="1:8" x14ac:dyDescent="0.25">
      <c r="A393" t="str">
        <f>"&lt;min&gt;" &amp;$G$389&amp;"&lt;/min&gt;"</f>
        <v>&lt;min&gt;0&lt;/min&gt;</v>
      </c>
      <c r="B393" t="s">
        <v>2941</v>
      </c>
    </row>
    <row r="394" spans="1:8" x14ac:dyDescent="0.25">
      <c r="A394" t="s">
        <v>16</v>
      </c>
      <c r="B394" t="s">
        <v>2941</v>
      </c>
    </row>
    <row r="395" spans="1:8" x14ac:dyDescent="0.25">
      <c r="A395" t="s">
        <v>17</v>
      </c>
      <c r="B395" t="s">
        <v>2941</v>
      </c>
    </row>
    <row r="396" spans="1:8" x14ac:dyDescent="0.25">
      <c r="A396" t="s">
        <v>18</v>
      </c>
      <c r="B396" t="s">
        <v>2941</v>
      </c>
    </row>
    <row r="397" spans="1:8" x14ac:dyDescent="0.25">
      <c r="A397" t="str">
        <f xml:space="preserve"> $H$389</f>
        <v>&lt;flags count_in_cargo="0" count_in_hoarder="0" count_in_map="1" count_in_player="0" crafted="1" deloot="0"/&gt;</v>
      </c>
      <c r="B397" t="s">
        <v>2941</v>
      </c>
    </row>
    <row r="398" spans="1:8" x14ac:dyDescent="0.25">
      <c r="A398" t="str">
        <f>"&lt;category name=" &amp;"""" &amp;$C$389&amp;"""/&gt;"</f>
        <v>&lt;category name="weapons"/&gt;</v>
      </c>
      <c r="B398" t="s">
        <v>2941</v>
      </c>
    </row>
    <row r="399" spans="1:8" x14ac:dyDescent="0.25">
      <c r="A399" t="s">
        <v>22</v>
      </c>
      <c r="B399" t="s">
        <v>2941</v>
      </c>
    </row>
    <row r="400" spans="1:8" x14ac:dyDescent="0.25">
      <c r="A400" t="s">
        <v>1434</v>
      </c>
      <c r="B400" t="s">
        <v>3343</v>
      </c>
      <c r="C400" t="s">
        <v>8</v>
      </c>
      <c r="D400">
        <v>0</v>
      </c>
      <c r="E400">
        <v>900</v>
      </c>
      <c r="F400">
        <v>0</v>
      </c>
      <c r="G400">
        <v>0</v>
      </c>
      <c r="H400" t="s">
        <v>62</v>
      </c>
    </row>
    <row r="401" spans="1:8" x14ac:dyDescent="0.25">
      <c r="A401" t="str">
        <f>"&lt;nominal&gt;" &amp;$D$400&amp;"&lt;/nominal&gt;"</f>
        <v>&lt;nominal&gt;0&lt;/nominal&gt;</v>
      </c>
      <c r="B401" t="s">
        <v>3343</v>
      </c>
    </row>
    <row r="402" spans="1:8" x14ac:dyDescent="0.25">
      <c r="A402" t="str">
        <f>"&lt;lifetime&gt;" &amp;$E$400&amp;"&lt;/lifetime&gt;"</f>
        <v>&lt;lifetime&gt;900&lt;/lifetime&gt;</v>
      </c>
      <c r="B402" t="s">
        <v>3343</v>
      </c>
    </row>
    <row r="403" spans="1:8" x14ac:dyDescent="0.25">
      <c r="A403" t="str">
        <f>"&lt;restock&gt;" &amp;$F$400&amp;"&lt;/restock&gt;"</f>
        <v>&lt;restock&gt;0&lt;/restock&gt;</v>
      </c>
      <c r="B403" t="s">
        <v>3343</v>
      </c>
    </row>
    <row r="404" spans="1:8" x14ac:dyDescent="0.25">
      <c r="A404" t="str">
        <f>"&lt;min&gt;" &amp;$G$400&amp;"&lt;/min&gt;"</f>
        <v>&lt;min&gt;0&lt;/min&gt;</v>
      </c>
      <c r="B404" t="s">
        <v>3343</v>
      </c>
    </row>
    <row r="405" spans="1:8" x14ac:dyDescent="0.25">
      <c r="A405" t="s">
        <v>16</v>
      </c>
      <c r="B405" t="s">
        <v>3343</v>
      </c>
    </row>
    <row r="406" spans="1:8" x14ac:dyDescent="0.25">
      <c r="A406" t="s">
        <v>17</v>
      </c>
      <c r="B406" t="s">
        <v>3343</v>
      </c>
    </row>
    <row r="407" spans="1:8" x14ac:dyDescent="0.25">
      <c r="A407" t="s">
        <v>18</v>
      </c>
      <c r="B407" t="s">
        <v>3343</v>
      </c>
    </row>
    <row r="408" spans="1:8" x14ac:dyDescent="0.25">
      <c r="A408" t="str">
        <f xml:space="preserve"> $H$400</f>
        <v>&lt;flags count_in_cargo="0" count_in_hoarder="0" count_in_map="1" count_in_player="0" crafted="1" deloot="0"/&gt;</v>
      </c>
      <c r="B408" t="s">
        <v>3343</v>
      </c>
    </row>
    <row r="409" spans="1:8" x14ac:dyDescent="0.25">
      <c r="A409" t="str">
        <f>"&lt;category name=" &amp;"""" &amp;$C$400&amp;"""/&gt;"</f>
        <v>&lt;category name="weapons"/&gt;</v>
      </c>
      <c r="B409" t="s">
        <v>3343</v>
      </c>
    </row>
    <row r="410" spans="1:8" x14ac:dyDescent="0.25">
      <c r="A410" t="s">
        <v>22</v>
      </c>
      <c r="B410" t="s">
        <v>3343</v>
      </c>
    </row>
    <row r="411" spans="1:8" x14ac:dyDescent="0.25">
      <c r="A411" t="s">
        <v>1435</v>
      </c>
      <c r="B411" t="s">
        <v>362</v>
      </c>
      <c r="C411" t="s">
        <v>363</v>
      </c>
      <c r="D411">
        <v>5</v>
      </c>
      <c r="E411">
        <v>21600</v>
      </c>
      <c r="F411">
        <v>1800</v>
      </c>
      <c r="G411">
        <v>1</v>
      </c>
      <c r="H411" t="s">
        <v>24</v>
      </c>
    </row>
    <row r="412" spans="1:8" x14ac:dyDescent="0.25">
      <c r="A412" t="str">
        <f>"&lt;nominal&gt;" &amp;$D$411&amp;"&lt;/nominal&gt;"</f>
        <v>&lt;nominal&gt;5&lt;/nominal&gt;</v>
      </c>
      <c r="B412" t="s">
        <v>362</v>
      </c>
    </row>
    <row r="413" spans="1:8" x14ac:dyDescent="0.25">
      <c r="A413" t="str">
        <f>"&lt;lifetime&gt;" &amp;$E$411&amp;"&lt;/lifetime&gt;"</f>
        <v>&lt;lifetime&gt;21600&lt;/lifetime&gt;</v>
      </c>
      <c r="B413" t="s">
        <v>362</v>
      </c>
    </row>
    <row r="414" spans="1:8" x14ac:dyDescent="0.25">
      <c r="A414" t="str">
        <f>"&lt;restock&gt;" &amp;$F$411&amp;"&lt;/restock&gt;"</f>
        <v>&lt;restock&gt;1800&lt;/restock&gt;</v>
      </c>
      <c r="B414" t="s">
        <v>362</v>
      </c>
    </row>
    <row r="415" spans="1:8" x14ac:dyDescent="0.25">
      <c r="A415" t="str">
        <f>"&lt;min&gt;" &amp;$G$411&amp;"&lt;/min&gt;"</f>
        <v>&lt;min&gt;1&lt;/min&gt;</v>
      </c>
      <c r="B415" t="s">
        <v>362</v>
      </c>
    </row>
    <row r="416" spans="1:8" x14ac:dyDescent="0.25">
      <c r="A416" t="s">
        <v>16</v>
      </c>
      <c r="B416" t="s">
        <v>362</v>
      </c>
    </row>
    <row r="417" spans="1:8" x14ac:dyDescent="0.25">
      <c r="A417" t="s">
        <v>17</v>
      </c>
      <c r="B417" t="s">
        <v>362</v>
      </c>
    </row>
    <row r="418" spans="1:8" x14ac:dyDescent="0.25">
      <c r="A418" t="s">
        <v>18</v>
      </c>
      <c r="B418" t="s">
        <v>362</v>
      </c>
    </row>
    <row r="419" spans="1:8" x14ac:dyDescent="0.25">
      <c r="A419" t="str">
        <f xml:space="preserve"> $H$411</f>
        <v>&lt;flags count_in_cargo="1" count_in_hoarder="1" count_in_map="1" count_in_player="1" crafted="0" deloot="0"/&gt;</v>
      </c>
      <c r="B419" t="s">
        <v>362</v>
      </c>
    </row>
    <row r="420" spans="1:8" x14ac:dyDescent="0.25">
      <c r="A420" t="str">
        <f>"&lt;category name=" &amp;"""" &amp;$C$411&amp;"""/&gt;"</f>
        <v>&lt;category name="containers"/&gt;</v>
      </c>
      <c r="B420" t="s">
        <v>362</v>
      </c>
    </row>
    <row r="421" spans="1:8" x14ac:dyDescent="0.25">
      <c r="A421" t="s">
        <v>29</v>
      </c>
      <c r="B421" t="s">
        <v>362</v>
      </c>
    </row>
    <row r="422" spans="1:8" x14ac:dyDescent="0.25">
      <c r="A422" t="s">
        <v>22</v>
      </c>
      <c r="B422" t="s">
        <v>362</v>
      </c>
    </row>
    <row r="423" spans="1:8" x14ac:dyDescent="0.25">
      <c r="A423" t="s">
        <v>1436</v>
      </c>
      <c r="B423" t="s">
        <v>364</v>
      </c>
      <c r="C423" t="s">
        <v>363</v>
      </c>
      <c r="D423">
        <v>5</v>
      </c>
      <c r="E423">
        <v>21600</v>
      </c>
      <c r="F423">
        <v>1800</v>
      </c>
      <c r="G423">
        <v>1</v>
      </c>
      <c r="H423" t="s">
        <v>24</v>
      </c>
    </row>
    <row r="424" spans="1:8" x14ac:dyDescent="0.25">
      <c r="A424" t="str">
        <f>"&lt;nominal&gt;" &amp;$D$423&amp;"&lt;/nominal&gt;"</f>
        <v>&lt;nominal&gt;5&lt;/nominal&gt;</v>
      </c>
      <c r="B424" t="s">
        <v>364</v>
      </c>
    </row>
    <row r="425" spans="1:8" x14ac:dyDescent="0.25">
      <c r="A425" t="str">
        <f>"&lt;lifetime&gt;" &amp;$E$423&amp;"&lt;/lifetime&gt;"</f>
        <v>&lt;lifetime&gt;21600&lt;/lifetime&gt;</v>
      </c>
      <c r="B425" t="s">
        <v>364</v>
      </c>
    </row>
    <row r="426" spans="1:8" x14ac:dyDescent="0.25">
      <c r="A426" t="str">
        <f>"&lt;restock&gt;" &amp;$F$423&amp;"&lt;/restock&gt;"</f>
        <v>&lt;restock&gt;1800&lt;/restock&gt;</v>
      </c>
      <c r="B426" t="s">
        <v>364</v>
      </c>
    </row>
    <row r="427" spans="1:8" x14ac:dyDescent="0.25">
      <c r="A427" t="str">
        <f>"&lt;min&gt;" &amp;$G$423&amp;"&lt;/min&gt;"</f>
        <v>&lt;min&gt;1&lt;/min&gt;</v>
      </c>
      <c r="B427" t="s">
        <v>364</v>
      </c>
    </row>
    <row r="428" spans="1:8" x14ac:dyDescent="0.25">
      <c r="A428" t="s">
        <v>16</v>
      </c>
      <c r="B428" t="s">
        <v>364</v>
      </c>
    </row>
    <row r="429" spans="1:8" x14ac:dyDescent="0.25">
      <c r="A429" t="s">
        <v>17</v>
      </c>
      <c r="B429" t="s">
        <v>364</v>
      </c>
    </row>
    <row r="430" spans="1:8" x14ac:dyDescent="0.25">
      <c r="A430" t="s">
        <v>18</v>
      </c>
      <c r="B430" t="s">
        <v>364</v>
      </c>
    </row>
    <row r="431" spans="1:8" x14ac:dyDescent="0.25">
      <c r="A431" t="str">
        <f xml:space="preserve"> $H$423</f>
        <v>&lt;flags count_in_cargo="1" count_in_hoarder="1" count_in_map="1" count_in_player="1" crafted="0" deloot="0"/&gt;</v>
      </c>
      <c r="B431" t="s">
        <v>364</v>
      </c>
    </row>
    <row r="432" spans="1:8" x14ac:dyDescent="0.25">
      <c r="A432" t="str">
        <f>"&lt;category name=" &amp;"""" &amp;$C$423&amp;"""/&gt;"</f>
        <v>&lt;category name="containers"/&gt;</v>
      </c>
      <c r="B432" t="s">
        <v>364</v>
      </c>
    </row>
    <row r="433" spans="1:8" x14ac:dyDescent="0.25">
      <c r="A433" t="s">
        <v>29</v>
      </c>
      <c r="B433" t="s">
        <v>364</v>
      </c>
    </row>
    <row r="434" spans="1:8" x14ac:dyDescent="0.25">
      <c r="A434" t="s">
        <v>22</v>
      </c>
      <c r="B434" t="s">
        <v>364</v>
      </c>
    </row>
    <row r="435" spans="1:8" x14ac:dyDescent="0.25">
      <c r="A435" t="s">
        <v>1437</v>
      </c>
      <c r="B435" t="s">
        <v>365</v>
      </c>
      <c r="C435" t="s">
        <v>363</v>
      </c>
      <c r="D435">
        <v>5</v>
      </c>
      <c r="E435">
        <v>21600</v>
      </c>
      <c r="F435">
        <v>1800</v>
      </c>
      <c r="G435">
        <v>1</v>
      </c>
      <c r="H435" t="s">
        <v>24</v>
      </c>
    </row>
    <row r="436" spans="1:8" x14ac:dyDescent="0.25">
      <c r="A436" t="str">
        <f>"&lt;nominal&gt;" &amp;$D$435&amp;"&lt;/nominal&gt;"</f>
        <v>&lt;nominal&gt;5&lt;/nominal&gt;</v>
      </c>
      <c r="B436" t="s">
        <v>365</v>
      </c>
    </row>
    <row r="437" spans="1:8" x14ac:dyDescent="0.25">
      <c r="A437" t="str">
        <f>"&lt;lifetime&gt;" &amp;$E$435&amp;"&lt;/lifetime&gt;"</f>
        <v>&lt;lifetime&gt;21600&lt;/lifetime&gt;</v>
      </c>
      <c r="B437" t="s">
        <v>365</v>
      </c>
    </row>
    <row r="438" spans="1:8" x14ac:dyDescent="0.25">
      <c r="A438" t="str">
        <f>"&lt;restock&gt;" &amp;$F$435&amp;"&lt;/restock&gt;"</f>
        <v>&lt;restock&gt;1800&lt;/restock&gt;</v>
      </c>
      <c r="B438" t="s">
        <v>365</v>
      </c>
    </row>
    <row r="439" spans="1:8" x14ac:dyDescent="0.25">
      <c r="A439" t="str">
        <f>"&lt;min&gt;" &amp;$G$435&amp;"&lt;/min&gt;"</f>
        <v>&lt;min&gt;1&lt;/min&gt;</v>
      </c>
      <c r="B439" t="s">
        <v>365</v>
      </c>
    </row>
    <row r="440" spans="1:8" x14ac:dyDescent="0.25">
      <c r="A440" t="s">
        <v>16</v>
      </c>
      <c r="B440" t="s">
        <v>365</v>
      </c>
    </row>
    <row r="441" spans="1:8" x14ac:dyDescent="0.25">
      <c r="A441" t="s">
        <v>17</v>
      </c>
      <c r="B441" t="s">
        <v>365</v>
      </c>
    </row>
    <row r="442" spans="1:8" x14ac:dyDescent="0.25">
      <c r="A442" t="s">
        <v>18</v>
      </c>
      <c r="B442" t="s">
        <v>365</v>
      </c>
    </row>
    <row r="443" spans="1:8" x14ac:dyDescent="0.25">
      <c r="A443" t="str">
        <f xml:space="preserve"> $H$435</f>
        <v>&lt;flags count_in_cargo="1" count_in_hoarder="1" count_in_map="1" count_in_player="1" crafted="0" deloot="0"/&gt;</v>
      </c>
      <c r="B443" t="s">
        <v>365</v>
      </c>
    </row>
    <row r="444" spans="1:8" x14ac:dyDescent="0.25">
      <c r="A444" t="str">
        <f>"&lt;category name=" &amp;"""" &amp;$C$435&amp;"""/&gt;"</f>
        <v>&lt;category name="containers"/&gt;</v>
      </c>
      <c r="B444" t="s">
        <v>365</v>
      </c>
    </row>
    <row r="445" spans="1:8" x14ac:dyDescent="0.25">
      <c r="A445" t="s">
        <v>29</v>
      </c>
      <c r="B445" t="s">
        <v>365</v>
      </c>
    </row>
    <row r="446" spans="1:8" x14ac:dyDescent="0.25">
      <c r="A446" t="s">
        <v>22</v>
      </c>
      <c r="B446" t="s">
        <v>365</v>
      </c>
    </row>
    <row r="447" spans="1:8" x14ac:dyDescent="0.25">
      <c r="A447" t="s">
        <v>1438</v>
      </c>
      <c r="B447" t="s">
        <v>366</v>
      </c>
      <c r="C447" t="s">
        <v>363</v>
      </c>
      <c r="D447">
        <v>30</v>
      </c>
      <c r="E447">
        <v>3888000</v>
      </c>
      <c r="F447">
        <v>0</v>
      </c>
      <c r="G447">
        <v>20</v>
      </c>
      <c r="H447" t="s">
        <v>38</v>
      </c>
    </row>
    <row r="448" spans="1:8" x14ac:dyDescent="0.25">
      <c r="A448" t="str">
        <f>"&lt;nominal&gt;" &amp;$D$447&amp;"&lt;/nominal&gt;"</f>
        <v>&lt;nominal&gt;30&lt;/nominal&gt;</v>
      </c>
      <c r="B448" t="s">
        <v>366</v>
      </c>
    </row>
    <row r="449" spans="1:8" x14ac:dyDescent="0.25">
      <c r="A449" t="str">
        <f>"&lt;lifetime&gt;" &amp;$E$447&amp;"&lt;/lifetime&gt;"</f>
        <v>&lt;lifetime&gt;3888000&lt;/lifetime&gt;</v>
      </c>
      <c r="B449" t="s">
        <v>366</v>
      </c>
    </row>
    <row r="450" spans="1:8" x14ac:dyDescent="0.25">
      <c r="A450" t="str">
        <f>"&lt;restock&gt;" &amp;$F$447&amp;"&lt;/restock&gt;"</f>
        <v>&lt;restock&gt;0&lt;/restock&gt;</v>
      </c>
      <c r="B450" t="s">
        <v>366</v>
      </c>
    </row>
    <row r="451" spans="1:8" x14ac:dyDescent="0.25">
      <c r="A451" t="str">
        <f>"&lt;min&gt;" &amp;$G$447&amp;"&lt;/min&gt;"</f>
        <v>&lt;min&gt;20&lt;/min&gt;</v>
      </c>
      <c r="B451" t="s">
        <v>366</v>
      </c>
    </row>
    <row r="452" spans="1:8" x14ac:dyDescent="0.25">
      <c r="A452" t="s">
        <v>16</v>
      </c>
      <c r="B452" t="s">
        <v>366</v>
      </c>
    </row>
    <row r="453" spans="1:8" x14ac:dyDescent="0.25">
      <c r="A453" t="s">
        <v>17</v>
      </c>
      <c r="B453" t="s">
        <v>366</v>
      </c>
    </row>
    <row r="454" spans="1:8" x14ac:dyDescent="0.25">
      <c r="A454" t="s">
        <v>18</v>
      </c>
      <c r="B454" t="s">
        <v>366</v>
      </c>
    </row>
    <row r="455" spans="1:8" x14ac:dyDescent="0.25">
      <c r="A455" t="str">
        <f xml:space="preserve"> $H$447</f>
        <v>&lt;flags count_in_cargo="0" count_in_hoarder="0" count_in_map="1" count_in_player="0" crafted="0" deloot="1"/&gt;</v>
      </c>
      <c r="B455" t="s">
        <v>366</v>
      </c>
    </row>
    <row r="456" spans="1:8" x14ac:dyDescent="0.25">
      <c r="A456" t="str">
        <f>"&lt;category name=" &amp;"""" &amp;$C$447&amp;"""/&gt;"</f>
        <v>&lt;category name="containers"/&gt;</v>
      </c>
      <c r="B456" t="s">
        <v>366</v>
      </c>
    </row>
    <row r="457" spans="1:8" x14ac:dyDescent="0.25">
      <c r="A457" t="s">
        <v>29</v>
      </c>
      <c r="B457" t="s">
        <v>366</v>
      </c>
    </row>
    <row r="458" spans="1:8" x14ac:dyDescent="0.25">
      <c r="A458" t="s">
        <v>22</v>
      </c>
      <c r="B458" t="s">
        <v>366</v>
      </c>
    </row>
    <row r="459" spans="1:8" x14ac:dyDescent="0.25">
      <c r="A459" t="s">
        <v>3296</v>
      </c>
      <c r="B459" t="s">
        <v>3318</v>
      </c>
      <c r="C459" t="s">
        <v>8</v>
      </c>
      <c r="D459">
        <v>20</v>
      </c>
      <c r="E459">
        <v>10800</v>
      </c>
      <c r="F459">
        <v>0</v>
      </c>
      <c r="G459">
        <v>10</v>
      </c>
      <c r="H459" t="s">
        <v>19</v>
      </c>
    </row>
    <row r="460" spans="1:8" x14ac:dyDescent="0.25">
      <c r="A460" t="str">
        <f>"&lt;nominal&gt;" &amp;$D$459&amp;"&lt;/nominal&gt;"</f>
        <v>&lt;nominal&gt;20&lt;/nominal&gt;</v>
      </c>
      <c r="B460" t="s">
        <v>3318</v>
      </c>
    </row>
    <row r="461" spans="1:8" x14ac:dyDescent="0.25">
      <c r="A461" t="str">
        <f>"&lt;lifetime&gt;" &amp;$E$459&amp;"&lt;/lifetime&gt;"</f>
        <v>&lt;lifetime&gt;10800&lt;/lifetime&gt;</v>
      </c>
      <c r="B461" t="s">
        <v>3318</v>
      </c>
    </row>
    <row r="462" spans="1:8" x14ac:dyDescent="0.25">
      <c r="A462" t="str">
        <f>"&lt;restock&gt;" &amp;$F$459&amp;"&lt;/restock&gt;"</f>
        <v>&lt;restock&gt;0&lt;/restock&gt;</v>
      </c>
      <c r="B462" t="s">
        <v>3318</v>
      </c>
    </row>
    <row r="463" spans="1:8" x14ac:dyDescent="0.25">
      <c r="A463" t="str">
        <f>"&lt;min&gt;" &amp;$G$459&amp;"&lt;/min&gt;"</f>
        <v>&lt;min&gt;10&lt;/min&gt;</v>
      </c>
      <c r="B463" t="s">
        <v>3318</v>
      </c>
    </row>
    <row r="464" spans="1:8" x14ac:dyDescent="0.25">
      <c r="A464" t="s">
        <v>16</v>
      </c>
      <c r="B464" t="s">
        <v>3318</v>
      </c>
    </row>
    <row r="465" spans="1:8" x14ac:dyDescent="0.25">
      <c r="A465" t="s">
        <v>17</v>
      </c>
      <c r="B465" t="s">
        <v>3318</v>
      </c>
    </row>
    <row r="466" spans="1:8" x14ac:dyDescent="0.25">
      <c r="A466" t="s">
        <v>18</v>
      </c>
      <c r="B466" t="s">
        <v>3318</v>
      </c>
    </row>
    <row r="467" spans="1:8" x14ac:dyDescent="0.25">
      <c r="A467" t="str">
        <f xml:space="preserve"> $H$459</f>
        <v>&lt;flags count_in_cargo="0" count_in_hoarder="0" count_in_map="1" count_in_player="0" crafted="0" deloot="0"/&gt;</v>
      </c>
      <c r="B467" t="s">
        <v>3318</v>
      </c>
    </row>
    <row r="468" spans="1:8" x14ac:dyDescent="0.25">
      <c r="A468" t="str">
        <f>"&lt;category name=" &amp;"""" &amp;$C$459&amp;"""/&gt;"</f>
        <v>&lt;category name="weapons"/&gt;</v>
      </c>
      <c r="B468" t="s">
        <v>3318</v>
      </c>
    </row>
    <row r="469" spans="1:8" x14ac:dyDescent="0.25">
      <c r="A469" t="s">
        <v>173</v>
      </c>
      <c r="B469" t="s">
        <v>3318</v>
      </c>
    </row>
    <row r="470" spans="1:8" x14ac:dyDescent="0.25">
      <c r="A470" t="s">
        <v>67</v>
      </c>
      <c r="B470" t="s">
        <v>3318</v>
      </c>
    </row>
    <row r="471" spans="1:8" x14ac:dyDescent="0.25">
      <c r="A471" t="s">
        <v>22</v>
      </c>
      <c r="B471" t="s">
        <v>3318</v>
      </c>
    </row>
    <row r="472" spans="1:8" x14ac:dyDescent="0.25">
      <c r="A472" t="s">
        <v>1439</v>
      </c>
      <c r="B472" t="s">
        <v>367</v>
      </c>
      <c r="C472" t="s">
        <v>8</v>
      </c>
      <c r="D472">
        <v>20</v>
      </c>
      <c r="E472">
        <v>10800</v>
      </c>
      <c r="F472">
        <v>0</v>
      </c>
      <c r="G472">
        <v>10</v>
      </c>
      <c r="H472" t="s">
        <v>19</v>
      </c>
    </row>
    <row r="473" spans="1:8" x14ac:dyDescent="0.25">
      <c r="A473" t="str">
        <f>"&lt;nominal&gt;" &amp;$D$472&amp;"&lt;/nominal&gt;"</f>
        <v>&lt;nominal&gt;20&lt;/nominal&gt;</v>
      </c>
      <c r="B473" t="s">
        <v>367</v>
      </c>
    </row>
    <row r="474" spans="1:8" x14ac:dyDescent="0.25">
      <c r="A474" t="str">
        <f>"&lt;lifetime&gt;" &amp;$E$472&amp;"&lt;/lifetime&gt;"</f>
        <v>&lt;lifetime&gt;10800&lt;/lifetime&gt;</v>
      </c>
      <c r="B474" t="s">
        <v>367</v>
      </c>
    </row>
    <row r="475" spans="1:8" x14ac:dyDescent="0.25">
      <c r="A475" t="str">
        <f>"&lt;restock&gt;" &amp;$F$472&amp;"&lt;/restock&gt;"</f>
        <v>&lt;restock&gt;0&lt;/restock&gt;</v>
      </c>
      <c r="B475" t="s">
        <v>367</v>
      </c>
    </row>
    <row r="476" spans="1:8" x14ac:dyDescent="0.25">
      <c r="A476" t="str">
        <f>"&lt;min&gt;" &amp;$G$472&amp;"&lt;/min&gt;"</f>
        <v>&lt;min&gt;10&lt;/min&gt;</v>
      </c>
      <c r="B476" t="s">
        <v>367</v>
      </c>
    </row>
    <row r="477" spans="1:8" x14ac:dyDescent="0.25">
      <c r="A477" t="s">
        <v>16</v>
      </c>
      <c r="B477" t="s">
        <v>367</v>
      </c>
    </row>
    <row r="478" spans="1:8" x14ac:dyDescent="0.25">
      <c r="A478" t="s">
        <v>17</v>
      </c>
      <c r="B478" t="s">
        <v>367</v>
      </c>
    </row>
    <row r="479" spans="1:8" x14ac:dyDescent="0.25">
      <c r="A479" t="s">
        <v>18</v>
      </c>
      <c r="B479" t="s">
        <v>367</v>
      </c>
    </row>
    <row r="480" spans="1:8" x14ac:dyDescent="0.25">
      <c r="A480" t="str">
        <f xml:space="preserve"> $H$472</f>
        <v>&lt;flags count_in_cargo="0" count_in_hoarder="0" count_in_map="1" count_in_player="0" crafted="0" deloot="0"/&gt;</v>
      </c>
      <c r="B480" t="s">
        <v>367</v>
      </c>
    </row>
    <row r="481" spans="1:8" x14ac:dyDescent="0.25">
      <c r="A481" t="str">
        <f>"&lt;category name=" &amp;"""" &amp;$C$472&amp;"""/&gt;"</f>
        <v>&lt;category name="weapons"/&gt;</v>
      </c>
      <c r="B481" t="s">
        <v>367</v>
      </c>
    </row>
    <row r="482" spans="1:8" x14ac:dyDescent="0.25">
      <c r="A482" t="s">
        <v>173</v>
      </c>
      <c r="B482" t="s">
        <v>367</v>
      </c>
    </row>
    <row r="483" spans="1:8" x14ac:dyDescent="0.25">
      <c r="A483" t="s">
        <v>67</v>
      </c>
      <c r="B483" t="s">
        <v>367</v>
      </c>
    </row>
    <row r="484" spans="1:8" x14ac:dyDescent="0.25">
      <c r="A484" t="s">
        <v>22</v>
      </c>
      <c r="B484" t="s">
        <v>367</v>
      </c>
    </row>
    <row r="485" spans="1:8" x14ac:dyDescent="0.25">
      <c r="A485" t="s">
        <v>1440</v>
      </c>
      <c r="B485" t="s">
        <v>368</v>
      </c>
      <c r="C485" t="s">
        <v>8</v>
      </c>
      <c r="D485">
        <v>20</v>
      </c>
      <c r="E485">
        <v>7200</v>
      </c>
      <c r="F485">
        <v>0</v>
      </c>
      <c r="G485">
        <v>10</v>
      </c>
      <c r="H485" t="s">
        <v>19</v>
      </c>
    </row>
    <row r="486" spans="1:8" x14ac:dyDescent="0.25">
      <c r="A486" t="str">
        <f>"&lt;nominal&gt;" &amp;$D$485&amp;"&lt;/nominal&gt;"</f>
        <v>&lt;nominal&gt;20&lt;/nominal&gt;</v>
      </c>
      <c r="B486" t="s">
        <v>368</v>
      </c>
    </row>
    <row r="487" spans="1:8" x14ac:dyDescent="0.25">
      <c r="A487" t="str">
        <f>"&lt;lifetime&gt;" &amp;$E$485&amp;"&lt;/lifetime&gt;"</f>
        <v>&lt;lifetime&gt;7200&lt;/lifetime&gt;</v>
      </c>
      <c r="B487" t="s">
        <v>368</v>
      </c>
    </row>
    <row r="488" spans="1:8" x14ac:dyDescent="0.25">
      <c r="A488" t="str">
        <f>"&lt;restock&gt;" &amp;$F$485&amp;"&lt;/restock&gt;"</f>
        <v>&lt;restock&gt;0&lt;/restock&gt;</v>
      </c>
      <c r="B488" t="s">
        <v>368</v>
      </c>
    </row>
    <row r="489" spans="1:8" x14ac:dyDescent="0.25">
      <c r="A489" t="str">
        <f>"&lt;min&gt;" &amp;$G$485&amp;"&lt;/min&gt;"</f>
        <v>&lt;min&gt;10&lt;/min&gt;</v>
      </c>
      <c r="B489" t="s">
        <v>368</v>
      </c>
    </row>
    <row r="490" spans="1:8" x14ac:dyDescent="0.25">
      <c r="A490" t="s">
        <v>16</v>
      </c>
      <c r="B490" t="s">
        <v>368</v>
      </c>
    </row>
    <row r="491" spans="1:8" x14ac:dyDescent="0.25">
      <c r="A491" t="s">
        <v>17</v>
      </c>
      <c r="B491" t="s">
        <v>368</v>
      </c>
    </row>
    <row r="492" spans="1:8" x14ac:dyDescent="0.25">
      <c r="A492" t="s">
        <v>18</v>
      </c>
      <c r="B492" t="s">
        <v>368</v>
      </c>
    </row>
    <row r="493" spans="1:8" x14ac:dyDescent="0.25">
      <c r="A493" t="str">
        <f xml:space="preserve"> $H$485</f>
        <v>&lt;flags count_in_cargo="0" count_in_hoarder="0" count_in_map="1" count_in_player="0" crafted="0" deloot="0"/&gt;</v>
      </c>
      <c r="B493" t="s">
        <v>368</v>
      </c>
    </row>
    <row r="494" spans="1:8" x14ac:dyDescent="0.25">
      <c r="A494" t="str">
        <f>"&lt;category name=" &amp;"""" &amp;$C$485&amp;"""/&gt;"</f>
        <v>&lt;category name="weapons"/&gt;</v>
      </c>
      <c r="B494" t="s">
        <v>368</v>
      </c>
    </row>
    <row r="495" spans="1:8" x14ac:dyDescent="0.25">
      <c r="A495" t="s">
        <v>20</v>
      </c>
      <c r="B495" t="s">
        <v>368</v>
      </c>
    </row>
    <row r="496" spans="1:8" x14ac:dyDescent="0.25">
      <c r="A496" t="s">
        <v>39</v>
      </c>
      <c r="B496" t="s">
        <v>368</v>
      </c>
    </row>
    <row r="497" spans="1:8" x14ac:dyDescent="0.25">
      <c r="A497" t="s">
        <v>40</v>
      </c>
      <c r="B497" t="s">
        <v>368</v>
      </c>
    </row>
    <row r="498" spans="1:8" x14ac:dyDescent="0.25">
      <c r="A498" t="s">
        <v>22</v>
      </c>
      <c r="B498" t="s">
        <v>368</v>
      </c>
    </row>
    <row r="499" spans="1:8" x14ac:dyDescent="0.25">
      <c r="A499" t="s">
        <v>1441</v>
      </c>
      <c r="B499" t="s">
        <v>369</v>
      </c>
      <c r="C499" t="s">
        <v>8</v>
      </c>
      <c r="D499">
        <v>5</v>
      </c>
      <c r="E499">
        <v>10800</v>
      </c>
      <c r="F499">
        <v>0</v>
      </c>
      <c r="G499">
        <v>2</v>
      </c>
      <c r="H499" t="s">
        <v>19</v>
      </c>
    </row>
    <row r="500" spans="1:8" x14ac:dyDescent="0.25">
      <c r="A500" t="str">
        <f>"&lt;nominal&gt;" &amp;$D$499&amp;"&lt;/nominal&gt;"</f>
        <v>&lt;nominal&gt;5&lt;/nominal&gt;</v>
      </c>
      <c r="B500" t="s">
        <v>369</v>
      </c>
    </row>
    <row r="501" spans="1:8" x14ac:dyDescent="0.25">
      <c r="A501" t="str">
        <f>"&lt;lifetime&gt;" &amp;$E$499&amp;"&lt;/lifetime&gt;"</f>
        <v>&lt;lifetime&gt;10800&lt;/lifetime&gt;</v>
      </c>
      <c r="B501" t="s">
        <v>369</v>
      </c>
    </row>
    <row r="502" spans="1:8" x14ac:dyDescent="0.25">
      <c r="A502" t="str">
        <f>"&lt;restock&gt;" &amp;$F$499&amp;"&lt;/restock&gt;"</f>
        <v>&lt;restock&gt;0&lt;/restock&gt;</v>
      </c>
      <c r="B502" t="s">
        <v>369</v>
      </c>
    </row>
    <row r="503" spans="1:8" x14ac:dyDescent="0.25">
      <c r="A503" t="str">
        <f>"&lt;min&gt;" &amp;$G$499&amp;"&lt;/min&gt;"</f>
        <v>&lt;min&gt;2&lt;/min&gt;</v>
      </c>
      <c r="B503" t="s">
        <v>369</v>
      </c>
    </row>
    <row r="504" spans="1:8" x14ac:dyDescent="0.25">
      <c r="A504" t="s">
        <v>16</v>
      </c>
      <c r="B504" t="s">
        <v>369</v>
      </c>
    </row>
    <row r="505" spans="1:8" x14ac:dyDescent="0.25">
      <c r="A505" t="s">
        <v>17</v>
      </c>
      <c r="B505" t="s">
        <v>369</v>
      </c>
    </row>
    <row r="506" spans="1:8" x14ac:dyDescent="0.25">
      <c r="A506" t="s">
        <v>18</v>
      </c>
      <c r="B506" t="s">
        <v>369</v>
      </c>
    </row>
    <row r="507" spans="1:8" x14ac:dyDescent="0.25">
      <c r="A507" t="str">
        <f xml:space="preserve"> $H$499</f>
        <v>&lt;flags count_in_cargo="0" count_in_hoarder="0" count_in_map="1" count_in_player="0" crafted="0" deloot="0"/&gt;</v>
      </c>
      <c r="B507" t="s">
        <v>369</v>
      </c>
    </row>
    <row r="508" spans="1:8" x14ac:dyDescent="0.25">
      <c r="A508" t="str">
        <f>"&lt;category name=" &amp;"""" &amp;$C$499&amp;"""/&gt;"</f>
        <v>&lt;category name="weapons"/&gt;</v>
      </c>
      <c r="B508" t="s">
        <v>369</v>
      </c>
    </row>
    <row r="509" spans="1:8" x14ac:dyDescent="0.25">
      <c r="A509" t="s">
        <v>20</v>
      </c>
      <c r="B509" t="s">
        <v>369</v>
      </c>
    </row>
    <row r="510" spans="1:8" x14ac:dyDescent="0.25">
      <c r="A510" t="s">
        <v>67</v>
      </c>
      <c r="B510" t="s">
        <v>369</v>
      </c>
    </row>
    <row r="511" spans="1:8" x14ac:dyDescent="0.25">
      <c r="A511" t="s">
        <v>31</v>
      </c>
      <c r="B511" t="s">
        <v>369</v>
      </c>
    </row>
    <row r="512" spans="1:8" x14ac:dyDescent="0.25">
      <c r="A512" t="s">
        <v>307</v>
      </c>
      <c r="B512" t="s">
        <v>369</v>
      </c>
    </row>
    <row r="513" spans="1:8" x14ac:dyDescent="0.25">
      <c r="A513" t="s">
        <v>22</v>
      </c>
      <c r="B513" t="s">
        <v>369</v>
      </c>
    </row>
    <row r="514" spans="1:8" x14ac:dyDescent="0.25">
      <c r="A514" t="s">
        <v>1442</v>
      </c>
      <c r="B514" t="s">
        <v>370</v>
      </c>
      <c r="C514" t="s">
        <v>8</v>
      </c>
      <c r="D514">
        <v>10</v>
      </c>
      <c r="E514">
        <v>7200</v>
      </c>
      <c r="F514">
        <v>0</v>
      </c>
      <c r="G514">
        <v>5</v>
      </c>
      <c r="H514" t="s">
        <v>19</v>
      </c>
    </row>
    <row r="515" spans="1:8" x14ac:dyDescent="0.25">
      <c r="A515" t="str">
        <f>"&lt;nominal&gt;" &amp;$D$514&amp;"&lt;/nominal&gt;"</f>
        <v>&lt;nominal&gt;10&lt;/nominal&gt;</v>
      </c>
      <c r="B515" t="s">
        <v>370</v>
      </c>
    </row>
    <row r="516" spans="1:8" x14ac:dyDescent="0.25">
      <c r="A516" t="str">
        <f>"&lt;lifetime&gt;" &amp;$E$514&amp;"&lt;/lifetime&gt;"</f>
        <v>&lt;lifetime&gt;7200&lt;/lifetime&gt;</v>
      </c>
      <c r="B516" t="s">
        <v>370</v>
      </c>
    </row>
    <row r="517" spans="1:8" x14ac:dyDescent="0.25">
      <c r="A517" t="str">
        <f>"&lt;restock&gt;" &amp;$F$514&amp;"&lt;/restock&gt;"</f>
        <v>&lt;restock&gt;0&lt;/restock&gt;</v>
      </c>
      <c r="B517" t="s">
        <v>370</v>
      </c>
    </row>
    <row r="518" spans="1:8" x14ac:dyDescent="0.25">
      <c r="A518" t="str">
        <f>"&lt;min&gt;" &amp;$G$514&amp;"&lt;/min&gt;"</f>
        <v>&lt;min&gt;5&lt;/min&gt;</v>
      </c>
      <c r="B518" t="s">
        <v>370</v>
      </c>
    </row>
    <row r="519" spans="1:8" x14ac:dyDescent="0.25">
      <c r="A519" t="s">
        <v>16</v>
      </c>
      <c r="B519" t="s">
        <v>370</v>
      </c>
    </row>
    <row r="520" spans="1:8" x14ac:dyDescent="0.25">
      <c r="A520" t="s">
        <v>17</v>
      </c>
      <c r="B520" t="s">
        <v>370</v>
      </c>
    </row>
    <row r="521" spans="1:8" x14ac:dyDescent="0.25">
      <c r="A521" t="s">
        <v>18</v>
      </c>
      <c r="B521" t="s">
        <v>370</v>
      </c>
    </row>
    <row r="522" spans="1:8" x14ac:dyDescent="0.25">
      <c r="A522" t="str">
        <f xml:space="preserve"> $H$514</f>
        <v>&lt;flags count_in_cargo="0" count_in_hoarder="0" count_in_map="1" count_in_player="0" crafted="0" deloot="0"/&gt;</v>
      </c>
      <c r="B522" t="s">
        <v>370</v>
      </c>
    </row>
    <row r="523" spans="1:8" x14ac:dyDescent="0.25">
      <c r="A523" t="str">
        <f>"&lt;category name=" &amp;"""" &amp;$C$514&amp;"""/&gt;"</f>
        <v>&lt;category name="weapons"/&gt;</v>
      </c>
      <c r="B523" t="s">
        <v>370</v>
      </c>
    </row>
    <row r="524" spans="1:8" x14ac:dyDescent="0.25">
      <c r="A524" t="s">
        <v>29</v>
      </c>
      <c r="B524" t="s">
        <v>370</v>
      </c>
    </row>
    <row r="525" spans="1:8" x14ac:dyDescent="0.25">
      <c r="A525" t="s">
        <v>30</v>
      </c>
      <c r="B525" t="s">
        <v>370</v>
      </c>
    </row>
    <row r="526" spans="1:8" x14ac:dyDescent="0.25">
      <c r="A526" t="s">
        <v>31</v>
      </c>
      <c r="B526" t="s">
        <v>370</v>
      </c>
    </row>
    <row r="527" spans="1:8" x14ac:dyDescent="0.25">
      <c r="A527" t="s">
        <v>307</v>
      </c>
      <c r="B527" t="s">
        <v>370</v>
      </c>
    </row>
    <row r="528" spans="1:8" x14ac:dyDescent="0.25">
      <c r="A528" t="s">
        <v>22</v>
      </c>
      <c r="B528" t="s">
        <v>370</v>
      </c>
    </row>
    <row r="529" spans="1:8" x14ac:dyDescent="0.25">
      <c r="A529" t="s">
        <v>3297</v>
      </c>
      <c r="B529" t="s">
        <v>3319</v>
      </c>
      <c r="C529" t="s">
        <v>8</v>
      </c>
      <c r="D529">
        <v>20</v>
      </c>
      <c r="E529">
        <v>10800</v>
      </c>
      <c r="F529">
        <v>0</v>
      </c>
      <c r="G529">
        <v>10</v>
      </c>
      <c r="H529" t="s">
        <v>19</v>
      </c>
    </row>
    <row r="530" spans="1:8" x14ac:dyDescent="0.25">
      <c r="A530" t="str">
        <f>"&lt;nominal&gt;" &amp;$D$529&amp;"&lt;/nominal&gt;"</f>
        <v>&lt;nominal&gt;20&lt;/nominal&gt;</v>
      </c>
      <c r="B530" t="s">
        <v>3319</v>
      </c>
    </row>
    <row r="531" spans="1:8" x14ac:dyDescent="0.25">
      <c r="A531" t="str">
        <f>"&lt;lifetime&gt;" &amp;$E$529&amp;"&lt;/lifetime&gt;"</f>
        <v>&lt;lifetime&gt;10800&lt;/lifetime&gt;</v>
      </c>
      <c r="B531" t="s">
        <v>3319</v>
      </c>
    </row>
    <row r="532" spans="1:8" x14ac:dyDescent="0.25">
      <c r="A532" t="str">
        <f>"&lt;restock&gt;" &amp;$F$529&amp;"&lt;/restock&gt;"</f>
        <v>&lt;restock&gt;0&lt;/restock&gt;</v>
      </c>
      <c r="B532" t="s">
        <v>3319</v>
      </c>
    </row>
    <row r="533" spans="1:8" x14ac:dyDescent="0.25">
      <c r="A533" t="str">
        <f>"&lt;min&gt;" &amp;$G$529&amp;"&lt;/min&gt;"</f>
        <v>&lt;min&gt;10&lt;/min&gt;</v>
      </c>
      <c r="B533" t="s">
        <v>3319</v>
      </c>
    </row>
    <row r="534" spans="1:8" x14ac:dyDescent="0.25">
      <c r="A534" t="s">
        <v>16</v>
      </c>
      <c r="B534" t="s">
        <v>3319</v>
      </c>
    </row>
    <row r="535" spans="1:8" x14ac:dyDescent="0.25">
      <c r="A535" t="s">
        <v>17</v>
      </c>
      <c r="B535" t="s">
        <v>3319</v>
      </c>
    </row>
    <row r="536" spans="1:8" x14ac:dyDescent="0.25">
      <c r="A536" t="s">
        <v>18</v>
      </c>
      <c r="B536" t="s">
        <v>3319</v>
      </c>
    </row>
    <row r="537" spans="1:8" x14ac:dyDescent="0.25">
      <c r="A537" t="str">
        <f xml:space="preserve"> $H$529</f>
        <v>&lt;flags count_in_cargo="0" count_in_hoarder="0" count_in_map="1" count_in_player="0" crafted="0" deloot="0"/&gt;</v>
      </c>
      <c r="B537" t="s">
        <v>3319</v>
      </c>
    </row>
    <row r="538" spans="1:8" x14ac:dyDescent="0.25">
      <c r="A538" t="str">
        <f>"&lt;category name=" &amp;"""" &amp;$C$529&amp;"""/&gt;"</f>
        <v>&lt;category name="weapons"/&gt;</v>
      </c>
      <c r="B538" t="s">
        <v>3319</v>
      </c>
    </row>
    <row r="539" spans="1:8" x14ac:dyDescent="0.25">
      <c r="A539" t="s">
        <v>173</v>
      </c>
      <c r="B539" t="s">
        <v>3319</v>
      </c>
    </row>
    <row r="540" spans="1:8" x14ac:dyDescent="0.25">
      <c r="A540" t="s">
        <v>22</v>
      </c>
      <c r="B540" t="s">
        <v>3319</v>
      </c>
    </row>
    <row r="541" spans="1:8" x14ac:dyDescent="0.25">
      <c r="A541" t="s">
        <v>3298</v>
      </c>
      <c r="B541" t="s">
        <v>3320</v>
      </c>
      <c r="C541" t="s">
        <v>8</v>
      </c>
      <c r="D541">
        <v>20</v>
      </c>
      <c r="E541">
        <v>10800</v>
      </c>
      <c r="F541">
        <v>0</v>
      </c>
      <c r="G541">
        <v>10</v>
      </c>
      <c r="H541" t="s">
        <v>19</v>
      </c>
    </row>
    <row r="542" spans="1:8" x14ac:dyDescent="0.25">
      <c r="A542" t="str">
        <f>"&lt;nominal&gt;" &amp;$D$541&amp;"&lt;/nominal&gt;"</f>
        <v>&lt;nominal&gt;20&lt;/nominal&gt;</v>
      </c>
      <c r="B542" t="s">
        <v>3320</v>
      </c>
    </row>
    <row r="543" spans="1:8" x14ac:dyDescent="0.25">
      <c r="A543" t="str">
        <f>"&lt;lifetime&gt;" &amp;$E$541&amp;"&lt;/lifetime&gt;"</f>
        <v>&lt;lifetime&gt;10800&lt;/lifetime&gt;</v>
      </c>
      <c r="B543" t="s">
        <v>3320</v>
      </c>
    </row>
    <row r="544" spans="1:8" x14ac:dyDescent="0.25">
      <c r="A544" t="str">
        <f>"&lt;restock&gt;" &amp;$F$541&amp;"&lt;/restock&gt;"</f>
        <v>&lt;restock&gt;0&lt;/restock&gt;</v>
      </c>
      <c r="B544" t="s">
        <v>3320</v>
      </c>
    </row>
    <row r="545" spans="1:8" x14ac:dyDescent="0.25">
      <c r="A545" t="str">
        <f>"&lt;min&gt;" &amp;$G$541&amp;"&lt;/min&gt;"</f>
        <v>&lt;min&gt;10&lt;/min&gt;</v>
      </c>
      <c r="B545" t="s">
        <v>3320</v>
      </c>
    </row>
    <row r="546" spans="1:8" x14ac:dyDescent="0.25">
      <c r="A546" t="s">
        <v>16</v>
      </c>
      <c r="B546" t="s">
        <v>3320</v>
      </c>
    </row>
    <row r="547" spans="1:8" x14ac:dyDescent="0.25">
      <c r="A547" t="s">
        <v>17</v>
      </c>
      <c r="B547" t="s">
        <v>3320</v>
      </c>
    </row>
    <row r="548" spans="1:8" x14ac:dyDescent="0.25">
      <c r="A548" t="s">
        <v>18</v>
      </c>
      <c r="B548" t="s">
        <v>3320</v>
      </c>
    </row>
    <row r="549" spans="1:8" x14ac:dyDescent="0.25">
      <c r="A549" t="str">
        <f xml:space="preserve"> $H$541</f>
        <v>&lt;flags count_in_cargo="0" count_in_hoarder="0" count_in_map="1" count_in_player="0" crafted="0" deloot="0"/&gt;</v>
      </c>
      <c r="B549" t="s">
        <v>3320</v>
      </c>
    </row>
    <row r="550" spans="1:8" x14ac:dyDescent="0.25">
      <c r="A550" t="str">
        <f>"&lt;category name=" &amp;"""" &amp;$C$541&amp;"""/&gt;"</f>
        <v>&lt;category name="weapons"/&gt;</v>
      </c>
      <c r="B550" t="s">
        <v>3320</v>
      </c>
    </row>
    <row r="551" spans="1:8" x14ac:dyDescent="0.25">
      <c r="A551" t="s">
        <v>29</v>
      </c>
      <c r="B551" t="s">
        <v>3320</v>
      </c>
    </row>
    <row r="552" spans="1:8" x14ac:dyDescent="0.25">
      <c r="A552" t="s">
        <v>22</v>
      </c>
      <c r="B552" t="s">
        <v>3320</v>
      </c>
    </row>
    <row r="553" spans="1:8" x14ac:dyDescent="0.25">
      <c r="A553" t="s">
        <v>1443</v>
      </c>
      <c r="B553" t="s">
        <v>371</v>
      </c>
      <c r="C553" t="s">
        <v>8</v>
      </c>
      <c r="D553">
        <v>5</v>
      </c>
      <c r="E553">
        <v>10800</v>
      </c>
      <c r="F553">
        <v>0</v>
      </c>
      <c r="G553">
        <v>2</v>
      </c>
      <c r="H553" t="s">
        <v>19</v>
      </c>
    </row>
    <row r="554" spans="1:8" x14ac:dyDescent="0.25">
      <c r="A554" t="str">
        <f>"&lt;nominal&gt;" &amp;$D$553&amp;"&lt;/nominal&gt;"</f>
        <v>&lt;nominal&gt;5&lt;/nominal&gt;</v>
      </c>
      <c r="B554" t="s">
        <v>371</v>
      </c>
    </row>
    <row r="555" spans="1:8" x14ac:dyDescent="0.25">
      <c r="A555" t="str">
        <f>"&lt;lifetime&gt;" &amp;$E$553&amp;"&lt;/lifetime&gt;"</f>
        <v>&lt;lifetime&gt;10800&lt;/lifetime&gt;</v>
      </c>
      <c r="B555" t="s">
        <v>371</v>
      </c>
    </row>
    <row r="556" spans="1:8" x14ac:dyDescent="0.25">
      <c r="A556" t="str">
        <f>"&lt;restock&gt;" &amp;$F$553&amp;"&lt;/restock&gt;"</f>
        <v>&lt;restock&gt;0&lt;/restock&gt;</v>
      </c>
      <c r="B556" t="s">
        <v>371</v>
      </c>
    </row>
    <row r="557" spans="1:8" x14ac:dyDescent="0.25">
      <c r="A557" t="str">
        <f>"&lt;min&gt;" &amp;$G$553&amp;"&lt;/min&gt;"</f>
        <v>&lt;min&gt;2&lt;/min&gt;</v>
      </c>
      <c r="B557" t="s">
        <v>371</v>
      </c>
    </row>
    <row r="558" spans="1:8" x14ac:dyDescent="0.25">
      <c r="A558" t="s">
        <v>16</v>
      </c>
      <c r="B558" t="s">
        <v>371</v>
      </c>
    </row>
    <row r="559" spans="1:8" x14ac:dyDescent="0.25">
      <c r="A559" t="s">
        <v>17</v>
      </c>
      <c r="B559" t="s">
        <v>371</v>
      </c>
    </row>
    <row r="560" spans="1:8" x14ac:dyDescent="0.25">
      <c r="A560" t="s">
        <v>18</v>
      </c>
      <c r="B560" t="s">
        <v>371</v>
      </c>
    </row>
    <row r="561" spans="1:8" x14ac:dyDescent="0.25">
      <c r="A561" t="str">
        <f xml:space="preserve"> $H$553</f>
        <v>&lt;flags count_in_cargo="0" count_in_hoarder="0" count_in_map="1" count_in_player="0" crafted="0" deloot="0"/&gt;</v>
      </c>
      <c r="B561" t="s">
        <v>371</v>
      </c>
    </row>
    <row r="562" spans="1:8" x14ac:dyDescent="0.25">
      <c r="A562" t="str">
        <f>"&lt;category name=" &amp;"""" &amp;$C$553&amp;"""/&gt;"</f>
        <v>&lt;category name="weapons"/&gt;</v>
      </c>
      <c r="B562" t="s">
        <v>371</v>
      </c>
    </row>
    <row r="563" spans="1:8" x14ac:dyDescent="0.25">
      <c r="A563" t="s">
        <v>20</v>
      </c>
      <c r="B563" t="s">
        <v>371</v>
      </c>
    </row>
    <row r="564" spans="1:8" x14ac:dyDescent="0.25">
      <c r="A564" t="s">
        <v>29</v>
      </c>
      <c r="B564" t="s">
        <v>371</v>
      </c>
    </row>
    <row r="565" spans="1:8" x14ac:dyDescent="0.25">
      <c r="A565" t="s">
        <v>31</v>
      </c>
      <c r="B565" t="s">
        <v>371</v>
      </c>
    </row>
    <row r="566" spans="1:8" x14ac:dyDescent="0.25">
      <c r="A566" t="s">
        <v>307</v>
      </c>
      <c r="B566" t="s">
        <v>371</v>
      </c>
    </row>
    <row r="567" spans="1:8" x14ac:dyDescent="0.25">
      <c r="A567" t="s">
        <v>22</v>
      </c>
      <c r="B567" t="s">
        <v>371</v>
      </c>
    </row>
    <row r="568" spans="1:8" x14ac:dyDescent="0.25">
      <c r="A568" t="s">
        <v>1444</v>
      </c>
      <c r="B568" t="s">
        <v>372</v>
      </c>
      <c r="C568" t="s">
        <v>8</v>
      </c>
      <c r="D568">
        <v>10</v>
      </c>
      <c r="E568">
        <v>10800</v>
      </c>
      <c r="F568">
        <v>0</v>
      </c>
      <c r="G568">
        <v>5</v>
      </c>
      <c r="H568" t="s">
        <v>19</v>
      </c>
    </row>
    <row r="569" spans="1:8" x14ac:dyDescent="0.25">
      <c r="A569" t="str">
        <f>"&lt;nominal&gt;" &amp;$D$568&amp;"&lt;/nominal&gt;"</f>
        <v>&lt;nominal&gt;10&lt;/nominal&gt;</v>
      </c>
      <c r="B569" t="s">
        <v>372</v>
      </c>
    </row>
    <row r="570" spans="1:8" x14ac:dyDescent="0.25">
      <c r="A570" t="str">
        <f>"&lt;lifetime&gt;" &amp;$E$568&amp;"&lt;/lifetime&gt;"</f>
        <v>&lt;lifetime&gt;10800&lt;/lifetime&gt;</v>
      </c>
      <c r="B570" t="s">
        <v>372</v>
      </c>
    </row>
    <row r="571" spans="1:8" x14ac:dyDescent="0.25">
      <c r="A571" t="str">
        <f>"&lt;restock&gt;" &amp;$F$568&amp;"&lt;/restock&gt;"</f>
        <v>&lt;restock&gt;0&lt;/restock&gt;</v>
      </c>
      <c r="B571" t="s">
        <v>372</v>
      </c>
    </row>
    <row r="572" spans="1:8" x14ac:dyDescent="0.25">
      <c r="A572" t="str">
        <f>"&lt;min&gt;" &amp;$G$568&amp;"&lt;/min&gt;"</f>
        <v>&lt;min&gt;5&lt;/min&gt;</v>
      </c>
      <c r="B572" t="s">
        <v>372</v>
      </c>
    </row>
    <row r="573" spans="1:8" x14ac:dyDescent="0.25">
      <c r="A573" t="s">
        <v>16</v>
      </c>
      <c r="B573" t="s">
        <v>372</v>
      </c>
    </row>
    <row r="574" spans="1:8" x14ac:dyDescent="0.25">
      <c r="A574" t="s">
        <v>17</v>
      </c>
      <c r="B574" t="s">
        <v>372</v>
      </c>
    </row>
    <row r="575" spans="1:8" x14ac:dyDescent="0.25">
      <c r="A575" t="s">
        <v>18</v>
      </c>
      <c r="B575" t="s">
        <v>372</v>
      </c>
    </row>
    <row r="576" spans="1:8" x14ac:dyDescent="0.25">
      <c r="A576" t="str">
        <f xml:space="preserve"> $H$568</f>
        <v>&lt;flags count_in_cargo="0" count_in_hoarder="0" count_in_map="1" count_in_player="0" crafted="0" deloot="0"/&gt;</v>
      </c>
      <c r="B576" t="s">
        <v>372</v>
      </c>
    </row>
    <row r="577" spans="1:8" x14ac:dyDescent="0.25">
      <c r="A577" t="str">
        <f>"&lt;category name=" &amp;"""" &amp;$C$568&amp;"""/&gt;"</f>
        <v>&lt;category name="weapons"/&gt;</v>
      </c>
      <c r="B577" t="s">
        <v>372</v>
      </c>
    </row>
    <row r="578" spans="1:8" x14ac:dyDescent="0.25">
      <c r="A578" t="s">
        <v>20</v>
      </c>
      <c r="B578" t="s">
        <v>372</v>
      </c>
    </row>
    <row r="579" spans="1:8" x14ac:dyDescent="0.25">
      <c r="A579" t="s">
        <v>29</v>
      </c>
      <c r="B579" t="s">
        <v>372</v>
      </c>
    </row>
    <row r="580" spans="1:8" x14ac:dyDescent="0.25">
      <c r="A580" t="s">
        <v>31</v>
      </c>
      <c r="B580" t="s">
        <v>372</v>
      </c>
    </row>
    <row r="581" spans="1:8" x14ac:dyDescent="0.25">
      <c r="A581" t="s">
        <v>307</v>
      </c>
      <c r="B581" t="s">
        <v>372</v>
      </c>
    </row>
    <row r="582" spans="1:8" x14ac:dyDescent="0.25">
      <c r="A582" t="s">
        <v>22</v>
      </c>
      <c r="B582" t="s">
        <v>372</v>
      </c>
    </row>
    <row r="583" spans="1:8" x14ac:dyDescent="0.25">
      <c r="A583" t="s">
        <v>1445</v>
      </c>
      <c r="B583" t="s">
        <v>373</v>
      </c>
      <c r="C583" t="s">
        <v>8</v>
      </c>
      <c r="D583">
        <v>5</v>
      </c>
      <c r="E583">
        <v>10800</v>
      </c>
      <c r="F583">
        <v>0</v>
      </c>
      <c r="G583">
        <v>2</v>
      </c>
      <c r="H583" t="s">
        <v>19</v>
      </c>
    </row>
    <row r="584" spans="1:8" x14ac:dyDescent="0.25">
      <c r="A584" t="str">
        <f>"&lt;nominal&gt;" &amp;$D$583&amp;"&lt;/nominal&gt;"</f>
        <v>&lt;nominal&gt;5&lt;/nominal&gt;</v>
      </c>
      <c r="B584" t="s">
        <v>373</v>
      </c>
    </row>
    <row r="585" spans="1:8" x14ac:dyDescent="0.25">
      <c r="A585" t="str">
        <f>"&lt;lifetime&gt;" &amp;$E$583&amp;"&lt;/lifetime&gt;"</f>
        <v>&lt;lifetime&gt;10800&lt;/lifetime&gt;</v>
      </c>
      <c r="B585" t="s">
        <v>373</v>
      </c>
    </row>
    <row r="586" spans="1:8" x14ac:dyDescent="0.25">
      <c r="A586" t="str">
        <f>"&lt;restock&gt;" &amp;$F$583&amp;"&lt;/restock&gt;"</f>
        <v>&lt;restock&gt;0&lt;/restock&gt;</v>
      </c>
      <c r="B586" t="s">
        <v>373</v>
      </c>
    </row>
    <row r="587" spans="1:8" x14ac:dyDescent="0.25">
      <c r="A587" t="str">
        <f>"&lt;min&gt;" &amp;$G$583&amp;"&lt;/min&gt;"</f>
        <v>&lt;min&gt;2&lt;/min&gt;</v>
      </c>
      <c r="B587" t="s">
        <v>373</v>
      </c>
    </row>
    <row r="588" spans="1:8" x14ac:dyDescent="0.25">
      <c r="A588" t="s">
        <v>16</v>
      </c>
      <c r="B588" t="s">
        <v>373</v>
      </c>
    </row>
    <row r="589" spans="1:8" x14ac:dyDescent="0.25">
      <c r="A589" t="s">
        <v>17</v>
      </c>
      <c r="B589" t="s">
        <v>373</v>
      </c>
    </row>
    <row r="590" spans="1:8" x14ac:dyDescent="0.25">
      <c r="A590" t="s">
        <v>18</v>
      </c>
      <c r="B590" t="s">
        <v>373</v>
      </c>
    </row>
    <row r="591" spans="1:8" x14ac:dyDescent="0.25">
      <c r="A591" t="str">
        <f xml:space="preserve"> $H$583</f>
        <v>&lt;flags count_in_cargo="0" count_in_hoarder="0" count_in_map="1" count_in_player="0" crafted="0" deloot="0"/&gt;</v>
      </c>
      <c r="B591" t="s">
        <v>373</v>
      </c>
    </row>
    <row r="592" spans="1:8" x14ac:dyDescent="0.25">
      <c r="A592" t="str">
        <f>"&lt;category name=" &amp;"""" &amp;$C$583&amp;"""/&gt;"</f>
        <v>&lt;category name="weapons"/&gt;</v>
      </c>
      <c r="B592" t="s">
        <v>373</v>
      </c>
    </row>
    <row r="593" spans="1:8" x14ac:dyDescent="0.25">
      <c r="A593" t="s">
        <v>20</v>
      </c>
      <c r="B593" t="s">
        <v>373</v>
      </c>
    </row>
    <row r="594" spans="1:8" x14ac:dyDescent="0.25">
      <c r="A594" t="s">
        <v>29</v>
      </c>
      <c r="B594" t="s">
        <v>373</v>
      </c>
    </row>
    <row r="595" spans="1:8" x14ac:dyDescent="0.25">
      <c r="A595" t="s">
        <v>31</v>
      </c>
      <c r="B595" t="s">
        <v>373</v>
      </c>
    </row>
    <row r="596" spans="1:8" x14ac:dyDescent="0.25">
      <c r="A596" t="s">
        <v>307</v>
      </c>
      <c r="B596" t="s">
        <v>373</v>
      </c>
    </row>
    <row r="597" spans="1:8" x14ac:dyDescent="0.25">
      <c r="A597" t="s">
        <v>22</v>
      </c>
      <c r="B597" t="s">
        <v>373</v>
      </c>
    </row>
    <row r="598" spans="1:8" x14ac:dyDescent="0.25">
      <c r="A598" t="s">
        <v>1446</v>
      </c>
      <c r="B598" t="s">
        <v>374</v>
      </c>
      <c r="C598" t="s">
        <v>8</v>
      </c>
      <c r="D598">
        <v>10</v>
      </c>
      <c r="E598">
        <v>10800</v>
      </c>
      <c r="F598">
        <v>0</v>
      </c>
      <c r="G598">
        <v>5</v>
      </c>
      <c r="H598" t="s">
        <v>19</v>
      </c>
    </row>
    <row r="599" spans="1:8" x14ac:dyDescent="0.25">
      <c r="A599" t="str">
        <f>"&lt;nominal&gt;" &amp;$D$598&amp;"&lt;/nominal&gt;"</f>
        <v>&lt;nominal&gt;10&lt;/nominal&gt;</v>
      </c>
      <c r="B599" t="s">
        <v>374</v>
      </c>
    </row>
    <row r="600" spans="1:8" x14ac:dyDescent="0.25">
      <c r="A600" t="str">
        <f>"&lt;lifetime&gt;" &amp;$E$598&amp;"&lt;/lifetime&gt;"</f>
        <v>&lt;lifetime&gt;10800&lt;/lifetime&gt;</v>
      </c>
      <c r="B600" t="s">
        <v>374</v>
      </c>
    </row>
    <row r="601" spans="1:8" x14ac:dyDescent="0.25">
      <c r="A601" t="str">
        <f>"&lt;restock&gt;" &amp;$F$598&amp;"&lt;/restock&gt;"</f>
        <v>&lt;restock&gt;0&lt;/restock&gt;</v>
      </c>
      <c r="B601" t="s">
        <v>374</v>
      </c>
    </row>
    <row r="602" spans="1:8" x14ac:dyDescent="0.25">
      <c r="A602" t="str">
        <f>"&lt;min&gt;" &amp;$G$598&amp;"&lt;/min&gt;"</f>
        <v>&lt;min&gt;5&lt;/min&gt;</v>
      </c>
      <c r="B602" t="s">
        <v>374</v>
      </c>
    </row>
    <row r="603" spans="1:8" x14ac:dyDescent="0.25">
      <c r="A603" t="s">
        <v>16</v>
      </c>
      <c r="B603" t="s">
        <v>374</v>
      </c>
    </row>
    <row r="604" spans="1:8" x14ac:dyDescent="0.25">
      <c r="A604" t="s">
        <v>17</v>
      </c>
      <c r="B604" t="s">
        <v>374</v>
      </c>
    </row>
    <row r="605" spans="1:8" x14ac:dyDescent="0.25">
      <c r="A605" t="s">
        <v>18</v>
      </c>
      <c r="B605" t="s">
        <v>374</v>
      </c>
    </row>
    <row r="606" spans="1:8" x14ac:dyDescent="0.25">
      <c r="A606" t="str">
        <f xml:space="preserve"> $H$598</f>
        <v>&lt;flags count_in_cargo="0" count_in_hoarder="0" count_in_map="1" count_in_player="0" crafted="0" deloot="0"/&gt;</v>
      </c>
      <c r="B606" t="s">
        <v>374</v>
      </c>
    </row>
    <row r="607" spans="1:8" x14ac:dyDescent="0.25">
      <c r="A607" t="str">
        <f>"&lt;category name=" &amp;"""" &amp;$C$598&amp;"""/&gt;"</f>
        <v>&lt;category name="weapons"/&gt;</v>
      </c>
      <c r="B607" t="s">
        <v>374</v>
      </c>
    </row>
    <row r="608" spans="1:8" x14ac:dyDescent="0.25">
      <c r="A608" t="s">
        <v>29</v>
      </c>
      <c r="B608" t="s">
        <v>374</v>
      </c>
    </row>
    <row r="609" spans="1:8" x14ac:dyDescent="0.25">
      <c r="A609" t="s">
        <v>31</v>
      </c>
      <c r="B609" t="s">
        <v>374</v>
      </c>
    </row>
    <row r="610" spans="1:8" x14ac:dyDescent="0.25">
      <c r="A610" t="s">
        <v>307</v>
      </c>
      <c r="B610" t="s">
        <v>374</v>
      </c>
    </row>
    <row r="611" spans="1:8" x14ac:dyDescent="0.25">
      <c r="A611" t="s">
        <v>22</v>
      </c>
      <c r="B611" t="s">
        <v>374</v>
      </c>
    </row>
    <row r="612" spans="1:8" x14ac:dyDescent="0.25">
      <c r="A612" t="s">
        <v>1447</v>
      </c>
      <c r="B612" t="s">
        <v>375</v>
      </c>
      <c r="C612" t="s">
        <v>8</v>
      </c>
      <c r="D612">
        <v>5</v>
      </c>
      <c r="E612">
        <v>10800</v>
      </c>
      <c r="F612">
        <v>0</v>
      </c>
      <c r="G612">
        <v>2</v>
      </c>
      <c r="H612" t="s">
        <v>19</v>
      </c>
    </row>
    <row r="613" spans="1:8" x14ac:dyDescent="0.25">
      <c r="A613" t="str">
        <f>"&lt;nominal&gt;" &amp;$D$612&amp;"&lt;/nominal&gt;"</f>
        <v>&lt;nominal&gt;5&lt;/nominal&gt;</v>
      </c>
      <c r="B613" t="s">
        <v>375</v>
      </c>
    </row>
    <row r="614" spans="1:8" x14ac:dyDescent="0.25">
      <c r="A614" t="str">
        <f>"&lt;lifetime&gt;" &amp;$E$612&amp;"&lt;/lifetime&gt;"</f>
        <v>&lt;lifetime&gt;10800&lt;/lifetime&gt;</v>
      </c>
      <c r="B614" t="s">
        <v>375</v>
      </c>
    </row>
    <row r="615" spans="1:8" x14ac:dyDescent="0.25">
      <c r="A615" t="str">
        <f>"&lt;restock&gt;" &amp;$F$612&amp;"&lt;/restock&gt;"</f>
        <v>&lt;restock&gt;0&lt;/restock&gt;</v>
      </c>
      <c r="B615" t="s">
        <v>375</v>
      </c>
    </row>
    <row r="616" spans="1:8" x14ac:dyDescent="0.25">
      <c r="A616" t="str">
        <f>"&lt;min&gt;" &amp;$G$612&amp;"&lt;/min&gt;"</f>
        <v>&lt;min&gt;2&lt;/min&gt;</v>
      </c>
      <c r="B616" t="s">
        <v>375</v>
      </c>
    </row>
    <row r="617" spans="1:8" x14ac:dyDescent="0.25">
      <c r="A617" t="s">
        <v>16</v>
      </c>
      <c r="B617" t="s">
        <v>375</v>
      </c>
    </row>
    <row r="618" spans="1:8" x14ac:dyDescent="0.25">
      <c r="A618" t="s">
        <v>17</v>
      </c>
      <c r="B618" t="s">
        <v>375</v>
      </c>
    </row>
    <row r="619" spans="1:8" x14ac:dyDescent="0.25">
      <c r="A619" t="s">
        <v>18</v>
      </c>
      <c r="B619" t="s">
        <v>375</v>
      </c>
    </row>
    <row r="620" spans="1:8" x14ac:dyDescent="0.25">
      <c r="A620" t="str">
        <f xml:space="preserve"> $H$612</f>
        <v>&lt;flags count_in_cargo="0" count_in_hoarder="0" count_in_map="1" count_in_player="0" crafted="0" deloot="0"/&gt;</v>
      </c>
      <c r="B620" t="s">
        <v>375</v>
      </c>
    </row>
    <row r="621" spans="1:8" x14ac:dyDescent="0.25">
      <c r="A621" t="str">
        <f>"&lt;category name=" &amp;"""" &amp;$C$612&amp;"""/&gt;"</f>
        <v>&lt;category name="weapons"/&gt;</v>
      </c>
      <c r="B621" t="s">
        <v>375</v>
      </c>
    </row>
    <row r="622" spans="1:8" x14ac:dyDescent="0.25">
      <c r="A622" t="s">
        <v>20</v>
      </c>
      <c r="B622" t="s">
        <v>375</v>
      </c>
    </row>
    <row r="623" spans="1:8" x14ac:dyDescent="0.25">
      <c r="A623" t="s">
        <v>29</v>
      </c>
      <c r="B623" t="s">
        <v>375</v>
      </c>
    </row>
    <row r="624" spans="1:8" x14ac:dyDescent="0.25">
      <c r="A624" t="s">
        <v>31</v>
      </c>
      <c r="B624" t="s">
        <v>375</v>
      </c>
    </row>
    <row r="625" spans="1:8" x14ac:dyDescent="0.25">
      <c r="A625" t="s">
        <v>307</v>
      </c>
      <c r="B625" t="s">
        <v>375</v>
      </c>
    </row>
    <row r="626" spans="1:8" x14ac:dyDescent="0.25">
      <c r="A626" t="s">
        <v>22</v>
      </c>
      <c r="B626" t="s">
        <v>375</v>
      </c>
    </row>
    <row r="627" spans="1:8" x14ac:dyDescent="0.25">
      <c r="A627" t="s">
        <v>1448</v>
      </c>
      <c r="B627" t="s">
        <v>376</v>
      </c>
      <c r="C627" t="s">
        <v>8</v>
      </c>
      <c r="D627">
        <v>10</v>
      </c>
      <c r="E627">
        <v>10800</v>
      </c>
      <c r="F627">
        <v>0</v>
      </c>
      <c r="G627">
        <v>5</v>
      </c>
      <c r="H627" t="s">
        <v>19</v>
      </c>
    </row>
    <row r="628" spans="1:8" x14ac:dyDescent="0.25">
      <c r="A628" t="str">
        <f>"&lt;nominal&gt;" &amp;$D$627&amp;"&lt;/nominal&gt;"</f>
        <v>&lt;nominal&gt;10&lt;/nominal&gt;</v>
      </c>
      <c r="B628" t="s">
        <v>376</v>
      </c>
    </row>
    <row r="629" spans="1:8" x14ac:dyDescent="0.25">
      <c r="A629" t="str">
        <f>"&lt;lifetime&gt;" &amp;$E$627&amp;"&lt;/lifetime&gt;"</f>
        <v>&lt;lifetime&gt;10800&lt;/lifetime&gt;</v>
      </c>
      <c r="B629" t="s">
        <v>376</v>
      </c>
    </row>
    <row r="630" spans="1:8" x14ac:dyDescent="0.25">
      <c r="A630" t="str">
        <f>"&lt;restock&gt;" &amp;$F$627&amp;"&lt;/restock&gt;"</f>
        <v>&lt;restock&gt;0&lt;/restock&gt;</v>
      </c>
      <c r="B630" t="s">
        <v>376</v>
      </c>
    </row>
    <row r="631" spans="1:8" x14ac:dyDescent="0.25">
      <c r="A631" t="str">
        <f>"&lt;min&gt;" &amp;$G$627&amp;"&lt;/min&gt;"</f>
        <v>&lt;min&gt;5&lt;/min&gt;</v>
      </c>
      <c r="B631" t="s">
        <v>376</v>
      </c>
    </row>
    <row r="632" spans="1:8" x14ac:dyDescent="0.25">
      <c r="A632" t="s">
        <v>16</v>
      </c>
      <c r="B632" t="s">
        <v>376</v>
      </c>
    </row>
    <row r="633" spans="1:8" x14ac:dyDescent="0.25">
      <c r="A633" t="s">
        <v>17</v>
      </c>
      <c r="B633" t="s">
        <v>376</v>
      </c>
    </row>
    <row r="634" spans="1:8" x14ac:dyDescent="0.25">
      <c r="A634" t="s">
        <v>18</v>
      </c>
      <c r="B634" t="s">
        <v>376</v>
      </c>
    </row>
    <row r="635" spans="1:8" x14ac:dyDescent="0.25">
      <c r="A635" t="str">
        <f xml:space="preserve"> $H$627</f>
        <v>&lt;flags count_in_cargo="0" count_in_hoarder="0" count_in_map="1" count_in_player="0" crafted="0" deloot="0"/&gt;</v>
      </c>
      <c r="B635" t="s">
        <v>376</v>
      </c>
    </row>
    <row r="636" spans="1:8" x14ac:dyDescent="0.25">
      <c r="A636" t="str">
        <f>"&lt;category name=" &amp;"""" &amp;$C$627&amp;"""/&gt;"</f>
        <v>&lt;category name="weapons"/&gt;</v>
      </c>
      <c r="B636" t="s">
        <v>376</v>
      </c>
    </row>
    <row r="637" spans="1:8" x14ac:dyDescent="0.25">
      <c r="A637" t="s">
        <v>29</v>
      </c>
      <c r="B637" t="s">
        <v>376</v>
      </c>
    </row>
    <row r="638" spans="1:8" x14ac:dyDescent="0.25">
      <c r="A638" t="s">
        <v>67</v>
      </c>
      <c r="B638" t="s">
        <v>376</v>
      </c>
    </row>
    <row r="639" spans="1:8" x14ac:dyDescent="0.25">
      <c r="A639" t="s">
        <v>31</v>
      </c>
      <c r="B639" t="s">
        <v>376</v>
      </c>
    </row>
    <row r="640" spans="1:8" x14ac:dyDescent="0.25">
      <c r="A640" t="s">
        <v>307</v>
      </c>
      <c r="B640" t="s">
        <v>376</v>
      </c>
    </row>
    <row r="641" spans="1:8" x14ac:dyDescent="0.25">
      <c r="A641" t="s">
        <v>22</v>
      </c>
      <c r="B641" t="s">
        <v>376</v>
      </c>
    </row>
    <row r="642" spans="1:8" x14ac:dyDescent="0.25">
      <c r="A642" t="s">
        <v>1449</v>
      </c>
      <c r="B642" t="s">
        <v>377</v>
      </c>
      <c r="C642" t="s">
        <v>8</v>
      </c>
      <c r="D642">
        <v>5</v>
      </c>
      <c r="E642">
        <v>10800</v>
      </c>
      <c r="F642">
        <v>0</v>
      </c>
      <c r="G642">
        <v>2</v>
      </c>
      <c r="H642" t="s">
        <v>19</v>
      </c>
    </row>
    <row r="643" spans="1:8" x14ac:dyDescent="0.25">
      <c r="A643" t="str">
        <f>"&lt;nominal&gt;" &amp;$D$642&amp;"&lt;/nominal&gt;"</f>
        <v>&lt;nominal&gt;5&lt;/nominal&gt;</v>
      </c>
      <c r="B643" t="s">
        <v>377</v>
      </c>
    </row>
    <row r="644" spans="1:8" x14ac:dyDescent="0.25">
      <c r="A644" t="str">
        <f>"&lt;lifetime&gt;" &amp;$E$642&amp;"&lt;/lifetime&gt;"</f>
        <v>&lt;lifetime&gt;10800&lt;/lifetime&gt;</v>
      </c>
      <c r="B644" t="s">
        <v>377</v>
      </c>
    </row>
    <row r="645" spans="1:8" x14ac:dyDescent="0.25">
      <c r="A645" t="str">
        <f>"&lt;restock&gt;" &amp;$F$642&amp;"&lt;/restock&gt;"</f>
        <v>&lt;restock&gt;0&lt;/restock&gt;</v>
      </c>
      <c r="B645" t="s">
        <v>377</v>
      </c>
    </row>
    <row r="646" spans="1:8" x14ac:dyDescent="0.25">
      <c r="A646" t="str">
        <f>"&lt;min&gt;" &amp;$G$642&amp;"&lt;/min&gt;"</f>
        <v>&lt;min&gt;2&lt;/min&gt;</v>
      </c>
      <c r="B646" t="s">
        <v>377</v>
      </c>
    </row>
    <row r="647" spans="1:8" x14ac:dyDescent="0.25">
      <c r="A647" t="s">
        <v>16</v>
      </c>
      <c r="B647" t="s">
        <v>377</v>
      </c>
    </row>
    <row r="648" spans="1:8" x14ac:dyDescent="0.25">
      <c r="A648" t="s">
        <v>17</v>
      </c>
      <c r="B648" t="s">
        <v>377</v>
      </c>
    </row>
    <row r="649" spans="1:8" x14ac:dyDescent="0.25">
      <c r="A649" t="s">
        <v>18</v>
      </c>
      <c r="B649" t="s">
        <v>377</v>
      </c>
    </row>
    <row r="650" spans="1:8" x14ac:dyDescent="0.25">
      <c r="A650" t="str">
        <f xml:space="preserve"> $H$642</f>
        <v>&lt;flags count_in_cargo="0" count_in_hoarder="0" count_in_map="1" count_in_player="0" crafted="0" deloot="0"/&gt;</v>
      </c>
      <c r="B650" t="s">
        <v>377</v>
      </c>
    </row>
    <row r="651" spans="1:8" x14ac:dyDescent="0.25">
      <c r="A651" t="str">
        <f>"&lt;category name=" &amp;"""" &amp;$C$642&amp;"""/&gt;"</f>
        <v>&lt;category name="weapons"/&gt;</v>
      </c>
      <c r="B651" t="s">
        <v>377</v>
      </c>
    </row>
    <row r="652" spans="1:8" x14ac:dyDescent="0.25">
      <c r="A652" t="s">
        <v>20</v>
      </c>
      <c r="B652" t="s">
        <v>377</v>
      </c>
    </row>
    <row r="653" spans="1:8" x14ac:dyDescent="0.25">
      <c r="A653" t="s">
        <v>29</v>
      </c>
      <c r="B653" t="s">
        <v>377</v>
      </c>
    </row>
    <row r="654" spans="1:8" x14ac:dyDescent="0.25">
      <c r="A654" t="s">
        <v>31</v>
      </c>
      <c r="B654" t="s">
        <v>377</v>
      </c>
    </row>
    <row r="655" spans="1:8" x14ac:dyDescent="0.25">
      <c r="A655" t="s">
        <v>307</v>
      </c>
      <c r="B655" t="s">
        <v>377</v>
      </c>
    </row>
    <row r="656" spans="1:8" x14ac:dyDescent="0.25">
      <c r="A656" t="s">
        <v>22</v>
      </c>
      <c r="B656" t="s">
        <v>377</v>
      </c>
    </row>
    <row r="657" spans="1:8" x14ac:dyDescent="0.25">
      <c r="A657" t="s">
        <v>1450</v>
      </c>
      <c r="B657" t="s">
        <v>378</v>
      </c>
      <c r="C657" t="s">
        <v>8</v>
      </c>
      <c r="D657">
        <v>10</v>
      </c>
      <c r="E657">
        <v>10800</v>
      </c>
      <c r="F657">
        <v>0</v>
      </c>
      <c r="G657">
        <v>5</v>
      </c>
      <c r="H657" t="s">
        <v>19</v>
      </c>
    </row>
    <row r="658" spans="1:8" x14ac:dyDescent="0.25">
      <c r="A658" t="str">
        <f>"&lt;nominal&gt;" &amp;$D$657&amp;"&lt;/nominal&gt;"</f>
        <v>&lt;nominal&gt;10&lt;/nominal&gt;</v>
      </c>
      <c r="B658" t="s">
        <v>378</v>
      </c>
    </row>
    <row r="659" spans="1:8" x14ac:dyDescent="0.25">
      <c r="A659" t="str">
        <f>"&lt;lifetime&gt;" &amp;$E$657&amp;"&lt;/lifetime&gt;"</f>
        <v>&lt;lifetime&gt;10800&lt;/lifetime&gt;</v>
      </c>
      <c r="B659" t="s">
        <v>378</v>
      </c>
    </row>
    <row r="660" spans="1:8" x14ac:dyDescent="0.25">
      <c r="A660" t="str">
        <f>"&lt;restock&gt;" &amp;$F$657&amp;"&lt;/restock&gt;"</f>
        <v>&lt;restock&gt;0&lt;/restock&gt;</v>
      </c>
      <c r="B660" t="s">
        <v>378</v>
      </c>
    </row>
    <row r="661" spans="1:8" x14ac:dyDescent="0.25">
      <c r="A661" t="str">
        <f>"&lt;min&gt;" &amp;$G$657&amp;"&lt;/min&gt;"</f>
        <v>&lt;min&gt;5&lt;/min&gt;</v>
      </c>
      <c r="B661" t="s">
        <v>378</v>
      </c>
    </row>
    <row r="662" spans="1:8" x14ac:dyDescent="0.25">
      <c r="A662" t="s">
        <v>16</v>
      </c>
      <c r="B662" t="s">
        <v>378</v>
      </c>
    </row>
    <row r="663" spans="1:8" x14ac:dyDescent="0.25">
      <c r="A663" t="s">
        <v>17</v>
      </c>
      <c r="B663" t="s">
        <v>378</v>
      </c>
    </row>
    <row r="664" spans="1:8" x14ac:dyDescent="0.25">
      <c r="A664" t="s">
        <v>18</v>
      </c>
      <c r="B664" t="s">
        <v>378</v>
      </c>
    </row>
    <row r="665" spans="1:8" x14ac:dyDescent="0.25">
      <c r="A665" t="str">
        <f xml:space="preserve"> $H$657</f>
        <v>&lt;flags count_in_cargo="0" count_in_hoarder="0" count_in_map="1" count_in_player="0" crafted="0" deloot="0"/&gt;</v>
      </c>
      <c r="B665" t="s">
        <v>378</v>
      </c>
    </row>
    <row r="666" spans="1:8" x14ac:dyDescent="0.25">
      <c r="A666" t="str">
        <f>"&lt;category name=" &amp;"""" &amp;$C$657&amp;"""/&gt;"</f>
        <v>&lt;category name="weapons"/&gt;</v>
      </c>
      <c r="B666" t="s">
        <v>378</v>
      </c>
    </row>
    <row r="667" spans="1:8" x14ac:dyDescent="0.25">
      <c r="A667" t="s">
        <v>29</v>
      </c>
      <c r="B667" t="s">
        <v>378</v>
      </c>
    </row>
    <row r="668" spans="1:8" x14ac:dyDescent="0.25">
      <c r="A668" t="s">
        <v>67</v>
      </c>
      <c r="B668" t="s">
        <v>378</v>
      </c>
    </row>
    <row r="669" spans="1:8" x14ac:dyDescent="0.25">
      <c r="A669" t="s">
        <v>30</v>
      </c>
      <c r="B669" t="s">
        <v>378</v>
      </c>
    </row>
    <row r="670" spans="1:8" x14ac:dyDescent="0.25">
      <c r="A670" t="s">
        <v>31</v>
      </c>
      <c r="B670" t="s">
        <v>378</v>
      </c>
    </row>
    <row r="671" spans="1:8" x14ac:dyDescent="0.25">
      <c r="A671" t="s">
        <v>307</v>
      </c>
      <c r="B671" t="s">
        <v>378</v>
      </c>
    </row>
    <row r="672" spans="1:8" x14ac:dyDescent="0.25">
      <c r="A672" t="s">
        <v>22</v>
      </c>
      <c r="B672" t="s">
        <v>378</v>
      </c>
    </row>
    <row r="673" spans="1:8" x14ac:dyDescent="0.25">
      <c r="A673" t="s">
        <v>3299</v>
      </c>
      <c r="B673" t="s">
        <v>3321</v>
      </c>
      <c r="C673" t="s">
        <v>8</v>
      </c>
      <c r="D673">
        <v>20</v>
      </c>
      <c r="E673">
        <v>10800</v>
      </c>
      <c r="F673">
        <v>0</v>
      </c>
      <c r="G673">
        <v>10</v>
      </c>
      <c r="H673" t="s">
        <v>19</v>
      </c>
    </row>
    <row r="674" spans="1:8" x14ac:dyDescent="0.25">
      <c r="A674" t="str">
        <f>"&lt;nominal&gt;" &amp;$D$673&amp;"&lt;/nominal&gt;"</f>
        <v>&lt;nominal&gt;20&lt;/nominal&gt;</v>
      </c>
      <c r="B674" t="s">
        <v>3321</v>
      </c>
    </row>
    <row r="675" spans="1:8" x14ac:dyDescent="0.25">
      <c r="A675" t="str">
        <f>"&lt;lifetime&gt;" &amp;$E$673&amp;"&lt;/lifetime&gt;"</f>
        <v>&lt;lifetime&gt;10800&lt;/lifetime&gt;</v>
      </c>
      <c r="B675" t="s">
        <v>3321</v>
      </c>
    </row>
    <row r="676" spans="1:8" x14ac:dyDescent="0.25">
      <c r="A676" t="str">
        <f>"&lt;restock&gt;" &amp;$F$673&amp;"&lt;/restock&gt;"</f>
        <v>&lt;restock&gt;0&lt;/restock&gt;</v>
      </c>
      <c r="B676" t="s">
        <v>3321</v>
      </c>
    </row>
    <row r="677" spans="1:8" x14ac:dyDescent="0.25">
      <c r="A677" t="str">
        <f>"&lt;min&gt;" &amp;$G$673&amp;"&lt;/min&gt;"</f>
        <v>&lt;min&gt;10&lt;/min&gt;</v>
      </c>
      <c r="B677" t="s">
        <v>3321</v>
      </c>
    </row>
    <row r="678" spans="1:8" x14ac:dyDescent="0.25">
      <c r="A678" t="s">
        <v>16</v>
      </c>
      <c r="B678" t="s">
        <v>3321</v>
      </c>
    </row>
    <row r="679" spans="1:8" x14ac:dyDescent="0.25">
      <c r="A679" t="s">
        <v>17</v>
      </c>
      <c r="B679" t="s">
        <v>3321</v>
      </c>
    </row>
    <row r="680" spans="1:8" x14ac:dyDescent="0.25">
      <c r="A680" t="s">
        <v>18</v>
      </c>
      <c r="B680" t="s">
        <v>3321</v>
      </c>
    </row>
    <row r="681" spans="1:8" x14ac:dyDescent="0.25">
      <c r="A681" t="str">
        <f xml:space="preserve"> $H$673</f>
        <v>&lt;flags count_in_cargo="0" count_in_hoarder="0" count_in_map="1" count_in_player="0" crafted="0" deloot="0"/&gt;</v>
      </c>
      <c r="B681" t="s">
        <v>3321</v>
      </c>
    </row>
    <row r="682" spans="1:8" x14ac:dyDescent="0.25">
      <c r="A682" t="str">
        <f>"&lt;category name=" &amp;"""" &amp;$C$673&amp;"""/&gt;"</f>
        <v>&lt;category name="weapons"/&gt;</v>
      </c>
      <c r="B682" t="s">
        <v>3321</v>
      </c>
    </row>
    <row r="683" spans="1:8" x14ac:dyDescent="0.25">
      <c r="A683" t="s">
        <v>29</v>
      </c>
      <c r="B683" t="s">
        <v>3321</v>
      </c>
    </row>
    <row r="684" spans="1:8" x14ac:dyDescent="0.25">
      <c r="A684" t="s">
        <v>173</v>
      </c>
      <c r="B684" t="s">
        <v>3321</v>
      </c>
    </row>
    <row r="685" spans="1:8" x14ac:dyDescent="0.25">
      <c r="A685" t="s">
        <v>22</v>
      </c>
      <c r="B685" t="s">
        <v>3321</v>
      </c>
    </row>
    <row r="686" spans="1:8" x14ac:dyDescent="0.25">
      <c r="A686" t="s">
        <v>1451</v>
      </c>
      <c r="B686" t="s">
        <v>379</v>
      </c>
      <c r="C686" t="s">
        <v>8</v>
      </c>
      <c r="D686">
        <v>5</v>
      </c>
      <c r="E686">
        <v>10800</v>
      </c>
      <c r="F686">
        <v>0</v>
      </c>
      <c r="G686">
        <v>2</v>
      </c>
      <c r="H686" t="s">
        <v>19</v>
      </c>
    </row>
    <row r="687" spans="1:8" x14ac:dyDescent="0.25">
      <c r="A687" t="str">
        <f>"&lt;nominal&gt;" &amp;$D$686&amp;"&lt;/nominal&gt;"</f>
        <v>&lt;nominal&gt;5&lt;/nominal&gt;</v>
      </c>
      <c r="B687" t="s">
        <v>379</v>
      </c>
    </row>
    <row r="688" spans="1:8" x14ac:dyDescent="0.25">
      <c r="A688" t="str">
        <f>"&lt;lifetime&gt;" &amp;$E$686&amp;"&lt;/lifetime&gt;"</f>
        <v>&lt;lifetime&gt;10800&lt;/lifetime&gt;</v>
      </c>
      <c r="B688" t="s">
        <v>379</v>
      </c>
    </row>
    <row r="689" spans="1:8" x14ac:dyDescent="0.25">
      <c r="A689" t="str">
        <f>"&lt;restock&gt;" &amp;$F$686&amp;"&lt;/restock&gt;"</f>
        <v>&lt;restock&gt;0&lt;/restock&gt;</v>
      </c>
      <c r="B689" t="s">
        <v>379</v>
      </c>
    </row>
    <row r="690" spans="1:8" x14ac:dyDescent="0.25">
      <c r="A690" t="str">
        <f>"&lt;min&gt;" &amp;$G$686&amp;"&lt;/min&gt;"</f>
        <v>&lt;min&gt;2&lt;/min&gt;</v>
      </c>
      <c r="B690" t="s">
        <v>379</v>
      </c>
    </row>
    <row r="691" spans="1:8" x14ac:dyDescent="0.25">
      <c r="A691" t="s">
        <v>16</v>
      </c>
      <c r="B691" t="s">
        <v>379</v>
      </c>
    </row>
    <row r="692" spans="1:8" x14ac:dyDescent="0.25">
      <c r="A692" t="s">
        <v>17</v>
      </c>
      <c r="B692" t="s">
        <v>379</v>
      </c>
    </row>
    <row r="693" spans="1:8" x14ac:dyDescent="0.25">
      <c r="A693" t="s">
        <v>18</v>
      </c>
      <c r="B693" t="s">
        <v>379</v>
      </c>
    </row>
    <row r="694" spans="1:8" x14ac:dyDescent="0.25">
      <c r="A694" t="str">
        <f xml:space="preserve"> $H$686</f>
        <v>&lt;flags count_in_cargo="0" count_in_hoarder="0" count_in_map="1" count_in_player="0" crafted="0" deloot="0"/&gt;</v>
      </c>
      <c r="B694" t="s">
        <v>379</v>
      </c>
    </row>
    <row r="695" spans="1:8" x14ac:dyDescent="0.25">
      <c r="A695" t="str">
        <f>"&lt;category name=" &amp;"""" &amp;$C$686&amp;"""/&gt;"</f>
        <v>&lt;category name="weapons"/&gt;</v>
      </c>
      <c r="B695" t="s">
        <v>379</v>
      </c>
    </row>
    <row r="696" spans="1:8" x14ac:dyDescent="0.25">
      <c r="A696" t="s">
        <v>29</v>
      </c>
      <c r="B696" t="s">
        <v>379</v>
      </c>
    </row>
    <row r="697" spans="1:8" x14ac:dyDescent="0.25">
      <c r="A697" t="s">
        <v>307</v>
      </c>
      <c r="B697" t="s">
        <v>379</v>
      </c>
    </row>
    <row r="698" spans="1:8" x14ac:dyDescent="0.25">
      <c r="A698" t="s">
        <v>22</v>
      </c>
      <c r="B698" t="s">
        <v>379</v>
      </c>
    </row>
    <row r="699" spans="1:8" x14ac:dyDescent="0.25">
      <c r="A699" t="s">
        <v>1452</v>
      </c>
      <c r="B699" t="s">
        <v>380</v>
      </c>
      <c r="C699" t="s">
        <v>8</v>
      </c>
      <c r="D699">
        <v>10</v>
      </c>
      <c r="E699">
        <v>10800</v>
      </c>
      <c r="F699">
        <v>0</v>
      </c>
      <c r="G699">
        <v>5</v>
      </c>
      <c r="H699" t="s">
        <v>19</v>
      </c>
    </row>
    <row r="700" spans="1:8" x14ac:dyDescent="0.25">
      <c r="A700" t="str">
        <f>"&lt;nominal&gt;" &amp;$D$699&amp;"&lt;/nominal&gt;"</f>
        <v>&lt;nominal&gt;10&lt;/nominal&gt;</v>
      </c>
      <c r="B700" t="s">
        <v>380</v>
      </c>
    </row>
    <row r="701" spans="1:8" x14ac:dyDescent="0.25">
      <c r="A701" t="str">
        <f>"&lt;lifetime&gt;" &amp;$E$699&amp;"&lt;/lifetime&gt;"</f>
        <v>&lt;lifetime&gt;10800&lt;/lifetime&gt;</v>
      </c>
      <c r="B701" t="s">
        <v>380</v>
      </c>
    </row>
    <row r="702" spans="1:8" x14ac:dyDescent="0.25">
      <c r="A702" t="str">
        <f>"&lt;restock&gt;" &amp;$F$699&amp;"&lt;/restock&gt;"</f>
        <v>&lt;restock&gt;0&lt;/restock&gt;</v>
      </c>
      <c r="B702" t="s">
        <v>380</v>
      </c>
    </row>
    <row r="703" spans="1:8" x14ac:dyDescent="0.25">
      <c r="A703" t="str">
        <f>"&lt;min&gt;" &amp;$G$699&amp;"&lt;/min&gt;"</f>
        <v>&lt;min&gt;5&lt;/min&gt;</v>
      </c>
      <c r="B703" t="s">
        <v>380</v>
      </c>
    </row>
    <row r="704" spans="1:8" x14ac:dyDescent="0.25">
      <c r="A704" t="s">
        <v>16</v>
      </c>
      <c r="B704" t="s">
        <v>380</v>
      </c>
    </row>
    <row r="705" spans="1:8" x14ac:dyDescent="0.25">
      <c r="A705" t="s">
        <v>17</v>
      </c>
      <c r="B705" t="s">
        <v>380</v>
      </c>
    </row>
    <row r="706" spans="1:8" x14ac:dyDescent="0.25">
      <c r="A706" t="s">
        <v>18</v>
      </c>
      <c r="B706" t="s">
        <v>380</v>
      </c>
    </row>
    <row r="707" spans="1:8" x14ac:dyDescent="0.25">
      <c r="A707" t="str">
        <f xml:space="preserve"> $H$699</f>
        <v>&lt;flags count_in_cargo="0" count_in_hoarder="0" count_in_map="1" count_in_player="0" crafted="0" deloot="0"/&gt;</v>
      </c>
      <c r="B707" t="s">
        <v>380</v>
      </c>
    </row>
    <row r="708" spans="1:8" x14ac:dyDescent="0.25">
      <c r="A708" t="str">
        <f>"&lt;category name=" &amp;"""" &amp;$C$699&amp;"""/&gt;"</f>
        <v>&lt;category name="weapons"/&gt;</v>
      </c>
      <c r="B708" t="s">
        <v>380</v>
      </c>
    </row>
    <row r="709" spans="1:8" x14ac:dyDescent="0.25">
      <c r="A709" t="s">
        <v>29</v>
      </c>
      <c r="B709" t="s">
        <v>380</v>
      </c>
    </row>
    <row r="710" spans="1:8" x14ac:dyDescent="0.25">
      <c r="A710" t="s">
        <v>22</v>
      </c>
      <c r="B710" t="s">
        <v>380</v>
      </c>
    </row>
    <row r="711" spans="1:8" x14ac:dyDescent="0.25">
      <c r="A711" t="s">
        <v>1453</v>
      </c>
      <c r="B711" t="s">
        <v>381</v>
      </c>
      <c r="C711" t="s">
        <v>8</v>
      </c>
      <c r="D711">
        <v>40</v>
      </c>
      <c r="E711">
        <v>7200</v>
      </c>
      <c r="F711">
        <v>0</v>
      </c>
      <c r="G711">
        <v>20</v>
      </c>
      <c r="H711" t="s">
        <v>19</v>
      </c>
    </row>
    <row r="712" spans="1:8" x14ac:dyDescent="0.25">
      <c r="A712" t="str">
        <f>"&lt;nominal&gt;" &amp;$D$711&amp;"&lt;/nominal&gt;"</f>
        <v>&lt;nominal&gt;40&lt;/nominal&gt;</v>
      </c>
      <c r="B712" t="s">
        <v>381</v>
      </c>
    </row>
    <row r="713" spans="1:8" x14ac:dyDescent="0.25">
      <c r="A713" t="str">
        <f>"&lt;lifetime&gt;" &amp;$E$711&amp;"&lt;/lifetime&gt;"</f>
        <v>&lt;lifetime&gt;7200&lt;/lifetime&gt;</v>
      </c>
      <c r="B713" t="s">
        <v>381</v>
      </c>
    </row>
    <row r="714" spans="1:8" x14ac:dyDescent="0.25">
      <c r="A714" t="str">
        <f>"&lt;restock&gt;" &amp;$F$711&amp;"&lt;/restock&gt;"</f>
        <v>&lt;restock&gt;0&lt;/restock&gt;</v>
      </c>
      <c r="B714" t="s">
        <v>381</v>
      </c>
    </row>
    <row r="715" spans="1:8" x14ac:dyDescent="0.25">
      <c r="A715" t="str">
        <f>"&lt;min&gt;" &amp;$G$711&amp;"&lt;/min&gt;"</f>
        <v>&lt;min&gt;20&lt;/min&gt;</v>
      </c>
      <c r="B715" t="s">
        <v>381</v>
      </c>
    </row>
    <row r="716" spans="1:8" x14ac:dyDescent="0.25">
      <c r="A716" t="s">
        <v>45</v>
      </c>
      <c r="B716" t="s">
        <v>381</v>
      </c>
    </row>
    <row r="717" spans="1:8" x14ac:dyDescent="0.25">
      <c r="A717" t="s">
        <v>321</v>
      </c>
      <c r="B717" t="s">
        <v>381</v>
      </c>
    </row>
    <row r="718" spans="1:8" x14ac:dyDescent="0.25">
      <c r="A718" t="s">
        <v>18</v>
      </c>
      <c r="B718" t="s">
        <v>381</v>
      </c>
    </row>
    <row r="719" spans="1:8" x14ac:dyDescent="0.25">
      <c r="A719" t="str">
        <f xml:space="preserve"> $H$711</f>
        <v>&lt;flags count_in_cargo="0" count_in_hoarder="0" count_in_map="1" count_in_player="0" crafted="0" deloot="0"/&gt;</v>
      </c>
      <c r="B719" t="s">
        <v>381</v>
      </c>
    </row>
    <row r="720" spans="1:8" x14ac:dyDescent="0.25">
      <c r="A720" t="str">
        <f>"&lt;category name=" &amp;"""" &amp;$C$711&amp;"""/&gt;"</f>
        <v>&lt;category name="weapons"/&gt;</v>
      </c>
      <c r="B720" t="s">
        <v>381</v>
      </c>
    </row>
    <row r="721" spans="1:8" x14ac:dyDescent="0.25">
      <c r="A721" t="s">
        <v>173</v>
      </c>
      <c r="B721" t="s">
        <v>381</v>
      </c>
    </row>
    <row r="722" spans="1:8" x14ac:dyDescent="0.25">
      <c r="A722" t="s">
        <v>56</v>
      </c>
      <c r="B722" t="s">
        <v>381</v>
      </c>
    </row>
    <row r="723" spans="1:8" x14ac:dyDescent="0.25">
      <c r="A723" t="s">
        <v>39</v>
      </c>
      <c r="B723" t="s">
        <v>381</v>
      </c>
    </row>
    <row r="724" spans="1:8" x14ac:dyDescent="0.25">
      <c r="A724" t="s">
        <v>40</v>
      </c>
      <c r="B724" t="s">
        <v>381</v>
      </c>
    </row>
    <row r="725" spans="1:8" x14ac:dyDescent="0.25">
      <c r="A725" t="s">
        <v>67</v>
      </c>
      <c r="B725" t="s">
        <v>381</v>
      </c>
    </row>
    <row r="726" spans="1:8" x14ac:dyDescent="0.25">
      <c r="A726" t="s">
        <v>82</v>
      </c>
      <c r="B726" t="s">
        <v>381</v>
      </c>
    </row>
    <row r="727" spans="1:8" x14ac:dyDescent="0.25">
      <c r="A727" t="s">
        <v>30</v>
      </c>
      <c r="B727" t="s">
        <v>381</v>
      </c>
    </row>
    <row r="728" spans="1:8" x14ac:dyDescent="0.25">
      <c r="A728" t="s">
        <v>31</v>
      </c>
      <c r="B728" t="s">
        <v>381</v>
      </c>
    </row>
    <row r="729" spans="1:8" x14ac:dyDescent="0.25">
      <c r="A729" t="s">
        <v>22</v>
      </c>
      <c r="B729" t="s">
        <v>381</v>
      </c>
    </row>
    <row r="730" spans="1:8" x14ac:dyDescent="0.25">
      <c r="A730" t="s">
        <v>1454</v>
      </c>
      <c r="B730" t="s">
        <v>382</v>
      </c>
      <c r="C730" t="s">
        <v>8</v>
      </c>
      <c r="D730">
        <v>40</v>
      </c>
      <c r="E730">
        <v>7200</v>
      </c>
      <c r="F730">
        <v>0</v>
      </c>
      <c r="G730">
        <v>20</v>
      </c>
      <c r="H730" t="s">
        <v>19</v>
      </c>
    </row>
    <row r="731" spans="1:8" x14ac:dyDescent="0.25">
      <c r="A731" t="str">
        <f>"&lt;nominal&gt;" &amp;$D$730&amp;"&lt;/nominal&gt;"</f>
        <v>&lt;nominal&gt;40&lt;/nominal&gt;</v>
      </c>
      <c r="B731" t="s">
        <v>382</v>
      </c>
    </row>
    <row r="732" spans="1:8" x14ac:dyDescent="0.25">
      <c r="A732" t="str">
        <f>"&lt;lifetime&gt;" &amp;$E$730&amp;"&lt;/lifetime&gt;"</f>
        <v>&lt;lifetime&gt;7200&lt;/lifetime&gt;</v>
      </c>
      <c r="B732" t="s">
        <v>382</v>
      </c>
    </row>
    <row r="733" spans="1:8" x14ac:dyDescent="0.25">
      <c r="A733" t="str">
        <f>"&lt;restock&gt;" &amp;$F$730&amp;"&lt;/restock&gt;"</f>
        <v>&lt;restock&gt;0&lt;/restock&gt;</v>
      </c>
      <c r="B733" t="s">
        <v>382</v>
      </c>
    </row>
    <row r="734" spans="1:8" x14ac:dyDescent="0.25">
      <c r="A734" t="str">
        <f>"&lt;min&gt;" &amp;$G$730&amp;"&lt;/min&gt;"</f>
        <v>&lt;min&gt;20&lt;/min&gt;</v>
      </c>
      <c r="B734" t="s">
        <v>382</v>
      </c>
    </row>
    <row r="735" spans="1:8" x14ac:dyDescent="0.25">
      <c r="A735" t="s">
        <v>45</v>
      </c>
      <c r="B735" t="s">
        <v>382</v>
      </c>
    </row>
    <row r="736" spans="1:8" x14ac:dyDescent="0.25">
      <c r="A736" t="s">
        <v>321</v>
      </c>
      <c r="B736" t="s">
        <v>382</v>
      </c>
    </row>
    <row r="737" spans="1:8" x14ac:dyDescent="0.25">
      <c r="A737" t="s">
        <v>18</v>
      </c>
      <c r="B737" t="s">
        <v>382</v>
      </c>
    </row>
    <row r="738" spans="1:8" x14ac:dyDescent="0.25">
      <c r="A738" t="str">
        <f xml:space="preserve"> $H$730</f>
        <v>&lt;flags count_in_cargo="0" count_in_hoarder="0" count_in_map="1" count_in_player="0" crafted="0" deloot="0"/&gt;</v>
      </c>
      <c r="B738" t="s">
        <v>382</v>
      </c>
    </row>
    <row r="739" spans="1:8" x14ac:dyDescent="0.25">
      <c r="A739" t="str">
        <f>"&lt;category name=" &amp;"""" &amp;$C$730&amp;"""/&gt;"</f>
        <v>&lt;category name="weapons"/&gt;</v>
      </c>
      <c r="B739" t="s">
        <v>382</v>
      </c>
    </row>
    <row r="740" spans="1:8" x14ac:dyDescent="0.25">
      <c r="A740" t="s">
        <v>173</v>
      </c>
      <c r="B740" t="s">
        <v>382</v>
      </c>
    </row>
    <row r="741" spans="1:8" x14ac:dyDescent="0.25">
      <c r="A741" t="s">
        <v>56</v>
      </c>
      <c r="B741" t="s">
        <v>382</v>
      </c>
    </row>
    <row r="742" spans="1:8" x14ac:dyDescent="0.25">
      <c r="A742" t="s">
        <v>39</v>
      </c>
      <c r="B742" t="s">
        <v>382</v>
      </c>
    </row>
    <row r="743" spans="1:8" x14ac:dyDescent="0.25">
      <c r="A743" t="s">
        <v>40</v>
      </c>
      <c r="B743" t="s">
        <v>382</v>
      </c>
    </row>
    <row r="744" spans="1:8" x14ac:dyDescent="0.25">
      <c r="A744" t="s">
        <v>67</v>
      </c>
      <c r="B744" t="s">
        <v>382</v>
      </c>
    </row>
    <row r="745" spans="1:8" x14ac:dyDescent="0.25">
      <c r="A745" t="s">
        <v>82</v>
      </c>
      <c r="B745" t="s">
        <v>382</v>
      </c>
    </row>
    <row r="746" spans="1:8" x14ac:dyDescent="0.25">
      <c r="A746" t="s">
        <v>30</v>
      </c>
      <c r="B746" t="s">
        <v>382</v>
      </c>
    </row>
    <row r="747" spans="1:8" x14ac:dyDescent="0.25">
      <c r="A747" t="s">
        <v>31</v>
      </c>
      <c r="B747" t="s">
        <v>382</v>
      </c>
    </row>
    <row r="748" spans="1:8" x14ac:dyDescent="0.25">
      <c r="A748" t="s">
        <v>22</v>
      </c>
      <c r="B748" t="s">
        <v>382</v>
      </c>
    </row>
    <row r="749" spans="1:8" x14ac:dyDescent="0.25">
      <c r="A749" t="s">
        <v>1455</v>
      </c>
      <c r="B749" t="s">
        <v>383</v>
      </c>
      <c r="C749" t="s">
        <v>8</v>
      </c>
      <c r="D749">
        <v>40</v>
      </c>
      <c r="E749">
        <v>7200</v>
      </c>
      <c r="F749">
        <v>0</v>
      </c>
      <c r="G749">
        <v>20</v>
      </c>
      <c r="H749" t="s">
        <v>19</v>
      </c>
    </row>
    <row r="750" spans="1:8" x14ac:dyDescent="0.25">
      <c r="A750" t="str">
        <f>"&lt;nominal&gt;" &amp;$D$749&amp;"&lt;/nominal&gt;"</f>
        <v>&lt;nominal&gt;40&lt;/nominal&gt;</v>
      </c>
      <c r="B750" t="s">
        <v>383</v>
      </c>
    </row>
    <row r="751" spans="1:8" x14ac:dyDescent="0.25">
      <c r="A751" t="str">
        <f>"&lt;lifetime&gt;" &amp;$E$749&amp;"&lt;/lifetime&gt;"</f>
        <v>&lt;lifetime&gt;7200&lt;/lifetime&gt;</v>
      </c>
      <c r="B751" t="s">
        <v>383</v>
      </c>
    </row>
    <row r="752" spans="1:8" x14ac:dyDescent="0.25">
      <c r="A752" t="str">
        <f>"&lt;restock&gt;" &amp;$F$749&amp;"&lt;/restock&gt;"</f>
        <v>&lt;restock&gt;0&lt;/restock&gt;</v>
      </c>
      <c r="B752" t="s">
        <v>383</v>
      </c>
    </row>
    <row r="753" spans="1:8" x14ac:dyDescent="0.25">
      <c r="A753" t="str">
        <f>"&lt;min&gt;" &amp;$G$749&amp;"&lt;/min&gt;"</f>
        <v>&lt;min&gt;20&lt;/min&gt;</v>
      </c>
      <c r="B753" t="s">
        <v>383</v>
      </c>
    </row>
    <row r="754" spans="1:8" x14ac:dyDescent="0.25">
      <c r="A754" t="s">
        <v>320</v>
      </c>
      <c r="B754" t="s">
        <v>383</v>
      </c>
    </row>
    <row r="755" spans="1:8" x14ac:dyDescent="0.25">
      <c r="A755" t="s">
        <v>46</v>
      </c>
      <c r="B755" t="s">
        <v>383</v>
      </c>
    </row>
    <row r="756" spans="1:8" x14ac:dyDescent="0.25">
      <c r="A756" t="s">
        <v>18</v>
      </c>
      <c r="B756" t="s">
        <v>383</v>
      </c>
    </row>
    <row r="757" spans="1:8" x14ac:dyDescent="0.25">
      <c r="A757" t="str">
        <f xml:space="preserve"> $H$749</f>
        <v>&lt;flags count_in_cargo="0" count_in_hoarder="0" count_in_map="1" count_in_player="0" crafted="0" deloot="0"/&gt;</v>
      </c>
      <c r="B757" t="s">
        <v>383</v>
      </c>
    </row>
    <row r="758" spans="1:8" x14ac:dyDescent="0.25">
      <c r="A758" t="str">
        <f>"&lt;category name=" &amp;"""" &amp;$C$749&amp;"""/&gt;"</f>
        <v>&lt;category name="weapons"/&gt;</v>
      </c>
      <c r="B758" t="s">
        <v>383</v>
      </c>
    </row>
    <row r="759" spans="1:8" x14ac:dyDescent="0.25">
      <c r="A759" t="s">
        <v>20</v>
      </c>
      <c r="B759" t="s">
        <v>383</v>
      </c>
    </row>
    <row r="760" spans="1:8" x14ac:dyDescent="0.25">
      <c r="A760" t="s">
        <v>39</v>
      </c>
      <c r="B760" t="s">
        <v>383</v>
      </c>
    </row>
    <row r="761" spans="1:8" x14ac:dyDescent="0.25">
      <c r="A761" t="s">
        <v>40</v>
      </c>
      <c r="B761" t="s">
        <v>383</v>
      </c>
    </row>
    <row r="762" spans="1:8" x14ac:dyDescent="0.25">
      <c r="A762" t="s">
        <v>22</v>
      </c>
      <c r="B762" t="s">
        <v>383</v>
      </c>
    </row>
    <row r="763" spans="1:8" x14ac:dyDescent="0.25">
      <c r="A763" t="s">
        <v>1456</v>
      </c>
      <c r="B763" t="s">
        <v>384</v>
      </c>
      <c r="C763" t="s">
        <v>8</v>
      </c>
      <c r="D763">
        <v>20</v>
      </c>
      <c r="E763">
        <v>7200</v>
      </c>
      <c r="F763">
        <v>180</v>
      </c>
      <c r="G763">
        <v>10</v>
      </c>
      <c r="H763" t="s">
        <v>19</v>
      </c>
    </row>
    <row r="764" spans="1:8" x14ac:dyDescent="0.25">
      <c r="A764" t="str">
        <f>"&lt;nominal&gt;" &amp;$D$763&amp;"&lt;/nominal&gt;"</f>
        <v>&lt;nominal&gt;20&lt;/nominal&gt;</v>
      </c>
      <c r="B764" t="s">
        <v>384</v>
      </c>
    </row>
    <row r="765" spans="1:8" x14ac:dyDescent="0.25">
      <c r="A765" t="str">
        <f>"&lt;lifetime&gt;" &amp;$E$763&amp;"&lt;/lifetime&gt;"</f>
        <v>&lt;lifetime&gt;7200&lt;/lifetime&gt;</v>
      </c>
      <c r="B765" t="s">
        <v>384</v>
      </c>
    </row>
    <row r="766" spans="1:8" x14ac:dyDescent="0.25">
      <c r="A766" t="str">
        <f>"&lt;restock&gt;" &amp;$F$763&amp;"&lt;/restock&gt;"</f>
        <v>&lt;restock&gt;180&lt;/restock&gt;</v>
      </c>
      <c r="B766" t="s">
        <v>384</v>
      </c>
    </row>
    <row r="767" spans="1:8" x14ac:dyDescent="0.25">
      <c r="A767" t="str">
        <f>"&lt;min&gt;" &amp;$G$763&amp;"&lt;/min&gt;"</f>
        <v>&lt;min&gt;10&lt;/min&gt;</v>
      </c>
      <c r="B767" t="s">
        <v>384</v>
      </c>
    </row>
    <row r="768" spans="1:8" x14ac:dyDescent="0.25">
      <c r="A768" t="s">
        <v>1457</v>
      </c>
      <c r="B768" t="s">
        <v>384</v>
      </c>
    </row>
    <row r="769" spans="1:8" x14ac:dyDescent="0.25">
      <c r="A769" t="s">
        <v>50</v>
      </c>
      <c r="B769" t="s">
        <v>384</v>
      </c>
    </row>
    <row r="770" spans="1:8" x14ac:dyDescent="0.25">
      <c r="A770" t="s">
        <v>18</v>
      </c>
      <c r="B770" t="s">
        <v>384</v>
      </c>
    </row>
    <row r="771" spans="1:8" x14ac:dyDescent="0.25">
      <c r="A771" t="str">
        <f xml:space="preserve"> $H$763</f>
        <v>&lt;flags count_in_cargo="0" count_in_hoarder="0" count_in_map="1" count_in_player="0" crafted="0" deloot="0"/&gt;</v>
      </c>
      <c r="B771" t="s">
        <v>384</v>
      </c>
    </row>
    <row r="772" spans="1:8" x14ac:dyDescent="0.25">
      <c r="A772" t="str">
        <f>"&lt;category name=" &amp;"""" &amp;$C$763&amp;"""/&gt;"</f>
        <v>&lt;category name="weapons"/&gt;</v>
      </c>
      <c r="B772" t="s">
        <v>384</v>
      </c>
    </row>
    <row r="773" spans="1:8" x14ac:dyDescent="0.25">
      <c r="A773" t="s">
        <v>20</v>
      </c>
      <c r="B773" t="s">
        <v>384</v>
      </c>
    </row>
    <row r="774" spans="1:8" x14ac:dyDescent="0.25">
      <c r="A774" t="s">
        <v>56</v>
      </c>
      <c r="B774" t="s">
        <v>384</v>
      </c>
    </row>
    <row r="775" spans="1:8" x14ac:dyDescent="0.25">
      <c r="A775" t="s">
        <v>40</v>
      </c>
      <c r="B775" t="s">
        <v>384</v>
      </c>
    </row>
    <row r="776" spans="1:8" x14ac:dyDescent="0.25">
      <c r="A776" t="s">
        <v>67</v>
      </c>
      <c r="B776" t="s">
        <v>384</v>
      </c>
    </row>
    <row r="777" spans="1:8" x14ac:dyDescent="0.25">
      <c r="A777" t="s">
        <v>22</v>
      </c>
      <c r="B777" t="s">
        <v>384</v>
      </c>
    </row>
    <row r="778" spans="1:8" x14ac:dyDescent="0.25">
      <c r="A778" t="s">
        <v>1458</v>
      </c>
      <c r="B778" t="s">
        <v>385</v>
      </c>
      <c r="C778" t="s">
        <v>8</v>
      </c>
      <c r="D778">
        <v>10</v>
      </c>
      <c r="E778">
        <v>10800</v>
      </c>
      <c r="F778">
        <v>1800</v>
      </c>
      <c r="G778">
        <v>4</v>
      </c>
      <c r="H778" t="s">
        <v>19</v>
      </c>
    </row>
    <row r="779" spans="1:8" x14ac:dyDescent="0.25">
      <c r="A779" t="str">
        <f>"&lt;nominal&gt;" &amp;$D$778&amp;"&lt;/nominal&gt;"</f>
        <v>&lt;nominal&gt;10&lt;/nominal&gt;</v>
      </c>
      <c r="B779" t="s">
        <v>385</v>
      </c>
    </row>
    <row r="780" spans="1:8" x14ac:dyDescent="0.25">
      <c r="A780" t="str">
        <f>"&lt;lifetime&gt;" &amp;$E$778&amp;"&lt;/lifetime&gt;"</f>
        <v>&lt;lifetime&gt;10800&lt;/lifetime&gt;</v>
      </c>
      <c r="B780" t="s">
        <v>385</v>
      </c>
    </row>
    <row r="781" spans="1:8" x14ac:dyDescent="0.25">
      <c r="A781" t="str">
        <f>"&lt;restock&gt;" &amp;$F$778&amp;"&lt;/restock&gt;"</f>
        <v>&lt;restock&gt;1800&lt;/restock&gt;</v>
      </c>
      <c r="B781" t="s">
        <v>385</v>
      </c>
    </row>
    <row r="782" spans="1:8" x14ac:dyDescent="0.25">
      <c r="A782" t="str">
        <f>"&lt;min&gt;" &amp;$G$778&amp;"&lt;/min&gt;"</f>
        <v>&lt;min&gt;4&lt;/min&gt;</v>
      </c>
      <c r="B782" t="s">
        <v>385</v>
      </c>
    </row>
    <row r="783" spans="1:8" x14ac:dyDescent="0.25">
      <c r="A783" t="s">
        <v>1457</v>
      </c>
      <c r="B783" t="s">
        <v>385</v>
      </c>
    </row>
    <row r="784" spans="1:8" x14ac:dyDescent="0.25">
      <c r="A784" t="s">
        <v>1459</v>
      </c>
      <c r="B784" t="s">
        <v>385</v>
      </c>
    </row>
    <row r="785" spans="1:8" x14ac:dyDescent="0.25">
      <c r="A785" t="s">
        <v>18</v>
      </c>
      <c r="B785" t="s">
        <v>385</v>
      </c>
    </row>
    <row r="786" spans="1:8" x14ac:dyDescent="0.25">
      <c r="A786" t="str">
        <f xml:space="preserve"> $H$778</f>
        <v>&lt;flags count_in_cargo="0" count_in_hoarder="0" count_in_map="1" count_in_player="0" crafted="0" deloot="0"/&gt;</v>
      </c>
      <c r="B786" t="s">
        <v>385</v>
      </c>
    </row>
    <row r="787" spans="1:8" x14ac:dyDescent="0.25">
      <c r="A787" t="str">
        <f>"&lt;category name=" &amp;"""" &amp;$C$778&amp;"""/&gt;"</f>
        <v>&lt;category name="weapons"/&gt;</v>
      </c>
      <c r="B787" t="s">
        <v>385</v>
      </c>
    </row>
    <row r="788" spans="1:8" x14ac:dyDescent="0.25">
      <c r="A788" t="s">
        <v>20</v>
      </c>
      <c r="B788" t="s">
        <v>385</v>
      </c>
    </row>
    <row r="789" spans="1:8" x14ac:dyDescent="0.25">
      <c r="A789" t="s">
        <v>67</v>
      </c>
      <c r="B789" t="s">
        <v>385</v>
      </c>
    </row>
    <row r="790" spans="1:8" x14ac:dyDescent="0.25">
      <c r="A790" t="s">
        <v>31</v>
      </c>
      <c r="B790" t="s">
        <v>385</v>
      </c>
    </row>
    <row r="791" spans="1:8" x14ac:dyDescent="0.25">
      <c r="A791" t="s">
        <v>307</v>
      </c>
      <c r="B791" t="s">
        <v>385</v>
      </c>
    </row>
    <row r="792" spans="1:8" x14ac:dyDescent="0.25">
      <c r="A792" t="s">
        <v>22</v>
      </c>
      <c r="B792" t="s">
        <v>385</v>
      </c>
    </row>
    <row r="793" spans="1:8" x14ac:dyDescent="0.25">
      <c r="A793" t="s">
        <v>1460</v>
      </c>
      <c r="B793" t="s">
        <v>386</v>
      </c>
      <c r="C793" t="s">
        <v>8</v>
      </c>
      <c r="D793">
        <v>60</v>
      </c>
      <c r="E793">
        <v>7200</v>
      </c>
      <c r="F793">
        <v>0</v>
      </c>
      <c r="G793">
        <v>40</v>
      </c>
      <c r="H793" t="s">
        <v>19</v>
      </c>
    </row>
    <row r="794" spans="1:8" x14ac:dyDescent="0.25">
      <c r="A794" t="str">
        <f>"&lt;nominal&gt;" &amp;$D$793&amp;"&lt;/nominal&gt;"</f>
        <v>&lt;nominal&gt;60&lt;/nominal&gt;</v>
      </c>
      <c r="B794" t="s">
        <v>386</v>
      </c>
    </row>
    <row r="795" spans="1:8" x14ac:dyDescent="0.25">
      <c r="A795" t="str">
        <f>"&lt;lifetime&gt;" &amp;$E$793&amp;"&lt;/lifetime&gt;"</f>
        <v>&lt;lifetime&gt;7200&lt;/lifetime&gt;</v>
      </c>
      <c r="B795" t="s">
        <v>386</v>
      </c>
    </row>
    <row r="796" spans="1:8" x14ac:dyDescent="0.25">
      <c r="A796" t="str">
        <f>"&lt;restock&gt;" &amp;$F$793&amp;"&lt;/restock&gt;"</f>
        <v>&lt;restock&gt;0&lt;/restock&gt;</v>
      </c>
      <c r="B796" t="s">
        <v>386</v>
      </c>
    </row>
    <row r="797" spans="1:8" x14ac:dyDescent="0.25">
      <c r="A797" t="str">
        <f>"&lt;min&gt;" &amp;$G$793&amp;"&lt;/min&gt;"</f>
        <v>&lt;min&gt;40&lt;/min&gt;</v>
      </c>
      <c r="B797" t="s">
        <v>386</v>
      </c>
    </row>
    <row r="798" spans="1:8" x14ac:dyDescent="0.25">
      <c r="A798" t="s">
        <v>45</v>
      </c>
      <c r="B798" t="s">
        <v>386</v>
      </c>
    </row>
    <row r="799" spans="1:8" x14ac:dyDescent="0.25">
      <c r="A799" t="s">
        <v>328</v>
      </c>
      <c r="B799" t="s">
        <v>386</v>
      </c>
    </row>
    <row r="800" spans="1:8" x14ac:dyDescent="0.25">
      <c r="A800" t="s">
        <v>18</v>
      </c>
      <c r="B800" t="s">
        <v>386</v>
      </c>
    </row>
    <row r="801" spans="1:8" x14ac:dyDescent="0.25">
      <c r="A801" t="str">
        <f xml:space="preserve"> $H$793</f>
        <v>&lt;flags count_in_cargo="0" count_in_hoarder="0" count_in_map="1" count_in_player="0" crafted="0" deloot="0"/&gt;</v>
      </c>
      <c r="B801" t="s">
        <v>386</v>
      </c>
    </row>
    <row r="802" spans="1:8" x14ac:dyDescent="0.25">
      <c r="A802" t="str">
        <f>"&lt;category name=" &amp;"""" &amp;$C$793&amp;"""/&gt;"</f>
        <v>&lt;category name="weapons"/&gt;</v>
      </c>
      <c r="B802" t="s">
        <v>386</v>
      </c>
    </row>
    <row r="803" spans="1:8" x14ac:dyDescent="0.25">
      <c r="A803" t="s">
        <v>39</v>
      </c>
      <c r="B803" t="s">
        <v>386</v>
      </c>
    </row>
    <row r="804" spans="1:8" x14ac:dyDescent="0.25">
      <c r="A804" t="s">
        <v>40</v>
      </c>
      <c r="B804" t="s">
        <v>386</v>
      </c>
    </row>
    <row r="805" spans="1:8" x14ac:dyDescent="0.25">
      <c r="A805" t="s">
        <v>22</v>
      </c>
      <c r="B805" t="s">
        <v>386</v>
      </c>
    </row>
    <row r="806" spans="1:8" x14ac:dyDescent="0.25">
      <c r="A806" t="s">
        <v>1461</v>
      </c>
      <c r="B806" t="s">
        <v>387</v>
      </c>
      <c r="C806" t="s">
        <v>8</v>
      </c>
      <c r="D806">
        <v>40</v>
      </c>
      <c r="E806">
        <v>7200</v>
      </c>
      <c r="F806">
        <v>180</v>
      </c>
      <c r="G806">
        <v>20</v>
      </c>
      <c r="H806" t="s">
        <v>19</v>
      </c>
    </row>
    <row r="807" spans="1:8" x14ac:dyDescent="0.25">
      <c r="A807" t="str">
        <f>"&lt;nominal&gt;" &amp;$D$806&amp;"&lt;/nominal&gt;"</f>
        <v>&lt;nominal&gt;40&lt;/nominal&gt;</v>
      </c>
      <c r="B807" t="s">
        <v>387</v>
      </c>
    </row>
    <row r="808" spans="1:8" x14ac:dyDescent="0.25">
      <c r="A808" t="str">
        <f>"&lt;lifetime&gt;" &amp;$E$806&amp;"&lt;/lifetime&gt;"</f>
        <v>&lt;lifetime&gt;7200&lt;/lifetime&gt;</v>
      </c>
      <c r="B808" t="s">
        <v>387</v>
      </c>
    </row>
    <row r="809" spans="1:8" x14ac:dyDescent="0.25">
      <c r="A809" t="str">
        <f>"&lt;restock&gt;" &amp;$F$806&amp;"&lt;/restock&gt;"</f>
        <v>&lt;restock&gt;180&lt;/restock&gt;</v>
      </c>
      <c r="B809" t="s">
        <v>387</v>
      </c>
    </row>
    <row r="810" spans="1:8" x14ac:dyDescent="0.25">
      <c r="A810" t="str">
        <f>"&lt;min&gt;" &amp;$G$806&amp;"&lt;/min&gt;"</f>
        <v>&lt;min&gt;20&lt;/min&gt;</v>
      </c>
      <c r="B810" t="s">
        <v>387</v>
      </c>
    </row>
    <row r="811" spans="1:8" x14ac:dyDescent="0.25">
      <c r="A811" t="s">
        <v>337</v>
      </c>
      <c r="B811" t="s">
        <v>387</v>
      </c>
    </row>
    <row r="812" spans="1:8" x14ac:dyDescent="0.25">
      <c r="A812" t="s">
        <v>46</v>
      </c>
      <c r="B812" t="s">
        <v>387</v>
      </c>
    </row>
    <row r="813" spans="1:8" x14ac:dyDescent="0.25">
      <c r="A813" t="s">
        <v>18</v>
      </c>
      <c r="B813" t="s">
        <v>387</v>
      </c>
    </row>
    <row r="814" spans="1:8" x14ac:dyDescent="0.25">
      <c r="A814" t="str">
        <f xml:space="preserve"> $H$806</f>
        <v>&lt;flags count_in_cargo="0" count_in_hoarder="0" count_in_map="1" count_in_player="0" crafted="0" deloot="0"/&gt;</v>
      </c>
      <c r="B814" t="s">
        <v>387</v>
      </c>
    </row>
    <row r="815" spans="1:8" x14ac:dyDescent="0.25">
      <c r="A815" t="str">
        <f>"&lt;category name=" &amp;"""" &amp;$C$806&amp;"""/&gt;"</f>
        <v>&lt;category name="weapons"/&gt;</v>
      </c>
      <c r="B815" t="s">
        <v>387</v>
      </c>
    </row>
    <row r="816" spans="1:8" x14ac:dyDescent="0.25">
      <c r="A816" t="s">
        <v>29</v>
      </c>
      <c r="B816" t="s">
        <v>387</v>
      </c>
    </row>
    <row r="817" spans="1:8" x14ac:dyDescent="0.25">
      <c r="A817" t="s">
        <v>22</v>
      </c>
      <c r="B817" t="s">
        <v>387</v>
      </c>
    </row>
    <row r="818" spans="1:8" x14ac:dyDescent="0.25">
      <c r="A818" t="s">
        <v>1462</v>
      </c>
      <c r="B818" t="s">
        <v>388</v>
      </c>
      <c r="C818" t="s">
        <v>8</v>
      </c>
      <c r="D818">
        <v>20</v>
      </c>
      <c r="E818">
        <v>10800</v>
      </c>
      <c r="F818">
        <v>0</v>
      </c>
      <c r="G818">
        <v>10</v>
      </c>
      <c r="H818" t="s">
        <v>19</v>
      </c>
    </row>
    <row r="819" spans="1:8" x14ac:dyDescent="0.25">
      <c r="A819" t="str">
        <f>"&lt;nominal&gt;" &amp;$D$818&amp;"&lt;/nominal&gt;"</f>
        <v>&lt;nominal&gt;20&lt;/nominal&gt;</v>
      </c>
      <c r="B819" t="s">
        <v>388</v>
      </c>
    </row>
    <row r="820" spans="1:8" x14ac:dyDescent="0.25">
      <c r="A820" t="str">
        <f>"&lt;lifetime&gt;" &amp;$E$818&amp;"&lt;/lifetime&gt;"</f>
        <v>&lt;lifetime&gt;10800&lt;/lifetime&gt;</v>
      </c>
      <c r="B820" t="s">
        <v>388</v>
      </c>
    </row>
    <row r="821" spans="1:8" x14ac:dyDescent="0.25">
      <c r="A821" t="str">
        <f>"&lt;restock&gt;" &amp;$F$818&amp;"&lt;/restock&gt;"</f>
        <v>&lt;restock&gt;0&lt;/restock&gt;</v>
      </c>
      <c r="B821" t="s">
        <v>388</v>
      </c>
    </row>
    <row r="822" spans="1:8" x14ac:dyDescent="0.25">
      <c r="A822" t="str">
        <f>"&lt;min&gt;" &amp;$G$818&amp;"&lt;/min&gt;"</f>
        <v>&lt;min&gt;10&lt;/min&gt;</v>
      </c>
      <c r="B822" t="s">
        <v>388</v>
      </c>
    </row>
    <row r="823" spans="1:8" x14ac:dyDescent="0.25">
      <c r="A823" t="s">
        <v>45</v>
      </c>
      <c r="B823" t="s">
        <v>388</v>
      </c>
    </row>
    <row r="824" spans="1:8" x14ac:dyDescent="0.25">
      <c r="A824" t="s">
        <v>46</v>
      </c>
      <c r="B824" t="s">
        <v>388</v>
      </c>
    </row>
    <row r="825" spans="1:8" x14ac:dyDescent="0.25">
      <c r="A825" t="s">
        <v>18</v>
      </c>
      <c r="B825" t="s">
        <v>388</v>
      </c>
    </row>
    <row r="826" spans="1:8" x14ac:dyDescent="0.25">
      <c r="A826" t="str">
        <f xml:space="preserve"> $H$818</f>
        <v>&lt;flags count_in_cargo="0" count_in_hoarder="0" count_in_map="1" count_in_player="0" crafted="0" deloot="0"/&gt;</v>
      </c>
      <c r="B826" t="s">
        <v>388</v>
      </c>
    </row>
    <row r="827" spans="1:8" x14ac:dyDescent="0.25">
      <c r="A827" t="str">
        <f>"&lt;category name=" &amp;"""" &amp;$C$818&amp;"""/&gt;"</f>
        <v>&lt;category name="weapons"/&gt;</v>
      </c>
      <c r="B827" t="s">
        <v>388</v>
      </c>
    </row>
    <row r="828" spans="1:8" x14ac:dyDescent="0.25">
      <c r="A828" t="s">
        <v>20</v>
      </c>
      <c r="B828" t="s">
        <v>388</v>
      </c>
    </row>
    <row r="829" spans="1:8" x14ac:dyDescent="0.25">
      <c r="A829" t="s">
        <v>29</v>
      </c>
      <c r="B829" t="s">
        <v>388</v>
      </c>
    </row>
    <row r="830" spans="1:8" x14ac:dyDescent="0.25">
      <c r="A830" t="s">
        <v>22</v>
      </c>
      <c r="B830" t="s">
        <v>388</v>
      </c>
    </row>
    <row r="831" spans="1:8" x14ac:dyDescent="0.25">
      <c r="A831" t="s">
        <v>1463</v>
      </c>
      <c r="B831" t="s">
        <v>389</v>
      </c>
      <c r="C831" t="s">
        <v>8</v>
      </c>
      <c r="D831">
        <v>10</v>
      </c>
      <c r="E831">
        <v>10800</v>
      </c>
      <c r="F831">
        <v>1800</v>
      </c>
      <c r="G831">
        <v>4</v>
      </c>
      <c r="H831" t="s">
        <v>19</v>
      </c>
    </row>
    <row r="832" spans="1:8" x14ac:dyDescent="0.25">
      <c r="A832" t="str">
        <f>"&lt;nominal&gt;" &amp;$D$831&amp;"&lt;/nominal&gt;"</f>
        <v>&lt;nominal&gt;10&lt;/nominal&gt;</v>
      </c>
      <c r="B832" t="s">
        <v>389</v>
      </c>
    </row>
    <row r="833" spans="1:8" x14ac:dyDescent="0.25">
      <c r="A833" t="str">
        <f>"&lt;lifetime&gt;" &amp;$E$831&amp;"&lt;/lifetime&gt;"</f>
        <v>&lt;lifetime&gt;10800&lt;/lifetime&gt;</v>
      </c>
      <c r="B833" t="s">
        <v>389</v>
      </c>
    </row>
    <row r="834" spans="1:8" x14ac:dyDescent="0.25">
      <c r="A834" t="str">
        <f>"&lt;restock&gt;" &amp;$F$831&amp;"&lt;/restock&gt;"</f>
        <v>&lt;restock&gt;1800&lt;/restock&gt;</v>
      </c>
      <c r="B834" t="s">
        <v>389</v>
      </c>
    </row>
    <row r="835" spans="1:8" x14ac:dyDescent="0.25">
      <c r="A835" t="str">
        <f>"&lt;min&gt;" &amp;$G$831&amp;"&lt;/min&gt;"</f>
        <v>&lt;min&gt;4&lt;/min&gt;</v>
      </c>
      <c r="B835" t="s">
        <v>389</v>
      </c>
    </row>
    <row r="836" spans="1:8" x14ac:dyDescent="0.25">
      <c r="A836" t="s">
        <v>45</v>
      </c>
      <c r="B836" t="s">
        <v>389</v>
      </c>
    </row>
    <row r="837" spans="1:8" x14ac:dyDescent="0.25">
      <c r="A837" t="s">
        <v>1459</v>
      </c>
      <c r="B837" t="s">
        <v>389</v>
      </c>
    </row>
    <row r="838" spans="1:8" x14ac:dyDescent="0.25">
      <c r="A838" t="s">
        <v>18</v>
      </c>
      <c r="B838" t="s">
        <v>389</v>
      </c>
    </row>
    <row r="839" spans="1:8" x14ac:dyDescent="0.25">
      <c r="A839" t="str">
        <f xml:space="preserve"> $H$831</f>
        <v>&lt;flags count_in_cargo="0" count_in_hoarder="0" count_in_map="1" count_in_player="0" crafted="0" deloot="0"/&gt;</v>
      </c>
      <c r="B839" t="s">
        <v>389</v>
      </c>
    </row>
    <row r="840" spans="1:8" x14ac:dyDescent="0.25">
      <c r="A840" t="str">
        <f>"&lt;category name=" &amp;"""" &amp;$C$831&amp;"""/&gt;"</f>
        <v>&lt;category name="weapons"/&gt;</v>
      </c>
      <c r="B840" t="s">
        <v>389</v>
      </c>
    </row>
    <row r="841" spans="1:8" x14ac:dyDescent="0.25">
      <c r="A841" t="s">
        <v>20</v>
      </c>
      <c r="B841" t="s">
        <v>389</v>
      </c>
    </row>
    <row r="842" spans="1:8" x14ac:dyDescent="0.25">
      <c r="A842" t="s">
        <v>29</v>
      </c>
      <c r="B842" t="s">
        <v>389</v>
      </c>
    </row>
    <row r="843" spans="1:8" x14ac:dyDescent="0.25">
      <c r="A843" t="s">
        <v>22</v>
      </c>
      <c r="B843" t="s">
        <v>389</v>
      </c>
    </row>
    <row r="844" spans="1:8" x14ac:dyDescent="0.25">
      <c r="A844" t="s">
        <v>1464</v>
      </c>
      <c r="B844" t="s">
        <v>390</v>
      </c>
      <c r="C844" t="s">
        <v>8</v>
      </c>
      <c r="D844">
        <v>20</v>
      </c>
      <c r="E844">
        <v>7200</v>
      </c>
      <c r="F844">
        <v>0</v>
      </c>
      <c r="G844">
        <v>10</v>
      </c>
      <c r="H844" t="s">
        <v>19</v>
      </c>
    </row>
    <row r="845" spans="1:8" x14ac:dyDescent="0.25">
      <c r="A845" t="str">
        <f>"&lt;nominal&gt;" &amp;$D$844&amp;"&lt;/nominal&gt;"</f>
        <v>&lt;nominal&gt;20&lt;/nominal&gt;</v>
      </c>
      <c r="B845" t="s">
        <v>390</v>
      </c>
    </row>
    <row r="846" spans="1:8" x14ac:dyDescent="0.25">
      <c r="A846" t="str">
        <f>"&lt;lifetime&gt;" &amp;$E$844&amp;"&lt;/lifetime&gt;"</f>
        <v>&lt;lifetime&gt;7200&lt;/lifetime&gt;</v>
      </c>
      <c r="B846" t="s">
        <v>390</v>
      </c>
    </row>
    <row r="847" spans="1:8" x14ac:dyDescent="0.25">
      <c r="A847" t="str">
        <f>"&lt;restock&gt;" &amp;$F$844&amp;"&lt;/restock&gt;"</f>
        <v>&lt;restock&gt;0&lt;/restock&gt;</v>
      </c>
      <c r="B847" t="s">
        <v>390</v>
      </c>
    </row>
    <row r="848" spans="1:8" x14ac:dyDescent="0.25">
      <c r="A848" t="str">
        <f>"&lt;min&gt;" &amp;$G$844&amp;"&lt;/min&gt;"</f>
        <v>&lt;min&gt;10&lt;/min&gt;</v>
      </c>
      <c r="B848" t="s">
        <v>390</v>
      </c>
    </row>
    <row r="849" spans="1:8" x14ac:dyDescent="0.25">
      <c r="A849" t="s">
        <v>327</v>
      </c>
      <c r="B849" t="s">
        <v>390</v>
      </c>
    </row>
    <row r="850" spans="1:8" x14ac:dyDescent="0.25">
      <c r="A850" t="s">
        <v>46</v>
      </c>
      <c r="B850" t="s">
        <v>390</v>
      </c>
    </row>
    <row r="851" spans="1:8" x14ac:dyDescent="0.25">
      <c r="A851" t="s">
        <v>18</v>
      </c>
      <c r="B851" t="s">
        <v>390</v>
      </c>
    </row>
    <row r="852" spans="1:8" x14ac:dyDescent="0.25">
      <c r="A852" t="str">
        <f xml:space="preserve"> $H$844</f>
        <v>&lt;flags count_in_cargo="0" count_in_hoarder="0" count_in_map="1" count_in_player="0" crafted="0" deloot="0"/&gt;</v>
      </c>
      <c r="B852" t="s">
        <v>390</v>
      </c>
    </row>
    <row r="853" spans="1:8" x14ac:dyDescent="0.25">
      <c r="A853" t="str">
        <f>"&lt;category name=" &amp;"""" &amp;$C$844&amp;"""/&gt;"</f>
        <v>&lt;category name="weapons"/&gt;</v>
      </c>
      <c r="B853" t="s">
        <v>390</v>
      </c>
    </row>
    <row r="854" spans="1:8" x14ac:dyDescent="0.25">
      <c r="A854" t="s">
        <v>29</v>
      </c>
      <c r="B854" t="s">
        <v>390</v>
      </c>
    </row>
    <row r="855" spans="1:8" x14ac:dyDescent="0.25">
      <c r="A855" t="s">
        <v>30</v>
      </c>
      <c r="B855" t="s">
        <v>390</v>
      </c>
    </row>
    <row r="856" spans="1:8" x14ac:dyDescent="0.25">
      <c r="A856" t="s">
        <v>31</v>
      </c>
      <c r="B856" t="s">
        <v>390</v>
      </c>
    </row>
    <row r="857" spans="1:8" x14ac:dyDescent="0.25">
      <c r="A857" t="s">
        <v>307</v>
      </c>
      <c r="B857" t="s">
        <v>390</v>
      </c>
    </row>
    <row r="858" spans="1:8" x14ac:dyDescent="0.25">
      <c r="A858" t="s">
        <v>22</v>
      </c>
      <c r="B858" t="s">
        <v>390</v>
      </c>
    </row>
    <row r="859" spans="1:8" x14ac:dyDescent="0.25">
      <c r="A859" t="s">
        <v>1465</v>
      </c>
      <c r="B859" t="s">
        <v>391</v>
      </c>
      <c r="C859" t="s">
        <v>8</v>
      </c>
      <c r="D859">
        <v>10</v>
      </c>
      <c r="E859">
        <v>10800</v>
      </c>
      <c r="F859">
        <v>1800</v>
      </c>
      <c r="G859">
        <v>4</v>
      </c>
      <c r="H859" t="s">
        <v>19</v>
      </c>
    </row>
    <row r="860" spans="1:8" x14ac:dyDescent="0.25">
      <c r="A860" t="str">
        <f>"&lt;nominal&gt;" &amp;$D$859&amp;"&lt;/nominal&gt;"</f>
        <v>&lt;nominal&gt;10&lt;/nominal&gt;</v>
      </c>
      <c r="B860" t="s">
        <v>391</v>
      </c>
    </row>
    <row r="861" spans="1:8" x14ac:dyDescent="0.25">
      <c r="A861" t="str">
        <f>"&lt;lifetime&gt;" &amp;$E$859&amp;"&lt;/lifetime&gt;"</f>
        <v>&lt;lifetime&gt;10800&lt;/lifetime&gt;</v>
      </c>
      <c r="B861" t="s">
        <v>391</v>
      </c>
    </row>
    <row r="862" spans="1:8" x14ac:dyDescent="0.25">
      <c r="A862" t="str">
        <f>"&lt;restock&gt;" &amp;$F$859&amp;"&lt;/restock&gt;"</f>
        <v>&lt;restock&gt;1800&lt;/restock&gt;</v>
      </c>
      <c r="B862" t="s">
        <v>391</v>
      </c>
    </row>
    <row r="863" spans="1:8" x14ac:dyDescent="0.25">
      <c r="A863" t="str">
        <f>"&lt;min&gt;" &amp;$G$859&amp;"&lt;/min&gt;"</f>
        <v>&lt;min&gt;4&lt;/min&gt;</v>
      </c>
      <c r="B863" t="s">
        <v>391</v>
      </c>
    </row>
    <row r="864" spans="1:8" x14ac:dyDescent="0.25">
      <c r="A864" t="s">
        <v>1457</v>
      </c>
      <c r="B864" t="s">
        <v>391</v>
      </c>
    </row>
    <row r="865" spans="1:8" x14ac:dyDescent="0.25">
      <c r="A865" t="s">
        <v>1459</v>
      </c>
      <c r="B865" t="s">
        <v>391</v>
      </c>
    </row>
    <row r="866" spans="1:8" x14ac:dyDescent="0.25">
      <c r="A866" t="s">
        <v>18</v>
      </c>
      <c r="B866" t="s">
        <v>391</v>
      </c>
    </row>
    <row r="867" spans="1:8" x14ac:dyDescent="0.25">
      <c r="A867" t="str">
        <f xml:space="preserve"> $H$859</f>
        <v>&lt;flags count_in_cargo="0" count_in_hoarder="0" count_in_map="1" count_in_player="0" crafted="0" deloot="0"/&gt;</v>
      </c>
      <c r="B867" t="s">
        <v>391</v>
      </c>
    </row>
    <row r="868" spans="1:8" x14ac:dyDescent="0.25">
      <c r="A868" t="str">
        <f>"&lt;category name=" &amp;"""" &amp;$C$859&amp;"""/&gt;"</f>
        <v>&lt;category name="weapons"/&gt;</v>
      </c>
      <c r="B868" t="s">
        <v>391</v>
      </c>
    </row>
    <row r="869" spans="1:8" x14ac:dyDescent="0.25">
      <c r="A869" t="s">
        <v>20</v>
      </c>
      <c r="B869" t="s">
        <v>391</v>
      </c>
    </row>
    <row r="870" spans="1:8" x14ac:dyDescent="0.25">
      <c r="A870" t="s">
        <v>29</v>
      </c>
      <c r="B870" t="s">
        <v>391</v>
      </c>
    </row>
    <row r="871" spans="1:8" x14ac:dyDescent="0.25">
      <c r="A871" t="s">
        <v>30</v>
      </c>
      <c r="B871" t="s">
        <v>391</v>
      </c>
    </row>
    <row r="872" spans="1:8" x14ac:dyDescent="0.25">
      <c r="A872" t="s">
        <v>31</v>
      </c>
      <c r="B872" t="s">
        <v>391</v>
      </c>
    </row>
    <row r="873" spans="1:8" x14ac:dyDescent="0.25">
      <c r="A873" t="s">
        <v>307</v>
      </c>
      <c r="B873" t="s">
        <v>391</v>
      </c>
    </row>
    <row r="874" spans="1:8" x14ac:dyDescent="0.25">
      <c r="A874" t="s">
        <v>22</v>
      </c>
      <c r="B874" t="s">
        <v>391</v>
      </c>
    </row>
    <row r="875" spans="1:8" x14ac:dyDescent="0.25">
      <c r="A875" t="s">
        <v>1466</v>
      </c>
      <c r="B875" t="s">
        <v>392</v>
      </c>
      <c r="C875" t="s">
        <v>8</v>
      </c>
      <c r="D875">
        <v>20</v>
      </c>
      <c r="E875">
        <v>7200</v>
      </c>
      <c r="F875">
        <v>0</v>
      </c>
      <c r="G875">
        <v>10</v>
      </c>
      <c r="H875" t="s">
        <v>19</v>
      </c>
    </row>
    <row r="876" spans="1:8" x14ac:dyDescent="0.25">
      <c r="A876" t="str">
        <f>"&lt;nominal&gt;" &amp;$D$875&amp;"&lt;/nominal&gt;"</f>
        <v>&lt;nominal&gt;20&lt;/nominal&gt;</v>
      </c>
      <c r="B876" t="s">
        <v>392</v>
      </c>
    </row>
    <row r="877" spans="1:8" x14ac:dyDescent="0.25">
      <c r="A877" t="str">
        <f>"&lt;lifetime&gt;" &amp;$E$875&amp;"&lt;/lifetime&gt;"</f>
        <v>&lt;lifetime&gt;7200&lt;/lifetime&gt;</v>
      </c>
      <c r="B877" t="s">
        <v>392</v>
      </c>
    </row>
    <row r="878" spans="1:8" x14ac:dyDescent="0.25">
      <c r="A878" t="str">
        <f>"&lt;restock&gt;" &amp;$F$875&amp;"&lt;/restock&gt;"</f>
        <v>&lt;restock&gt;0&lt;/restock&gt;</v>
      </c>
      <c r="B878" t="s">
        <v>392</v>
      </c>
    </row>
    <row r="879" spans="1:8" x14ac:dyDescent="0.25">
      <c r="A879" t="str">
        <f>"&lt;min&gt;" &amp;$G$875&amp;"&lt;/min&gt;"</f>
        <v>&lt;min&gt;10&lt;/min&gt;</v>
      </c>
      <c r="B879" t="s">
        <v>392</v>
      </c>
    </row>
    <row r="880" spans="1:8" x14ac:dyDescent="0.25">
      <c r="A880" t="s">
        <v>320</v>
      </c>
      <c r="B880" t="s">
        <v>392</v>
      </c>
    </row>
    <row r="881" spans="1:8" x14ac:dyDescent="0.25">
      <c r="A881" t="s">
        <v>46</v>
      </c>
      <c r="B881" t="s">
        <v>392</v>
      </c>
    </row>
    <row r="882" spans="1:8" x14ac:dyDescent="0.25">
      <c r="A882" t="s">
        <v>18</v>
      </c>
      <c r="B882" t="s">
        <v>392</v>
      </c>
    </row>
    <row r="883" spans="1:8" x14ac:dyDescent="0.25">
      <c r="A883" t="str">
        <f xml:space="preserve"> $H$875</f>
        <v>&lt;flags count_in_cargo="0" count_in_hoarder="0" count_in_map="1" count_in_player="0" crafted="0" deloot="0"/&gt;</v>
      </c>
      <c r="B883" t="s">
        <v>392</v>
      </c>
    </row>
    <row r="884" spans="1:8" x14ac:dyDescent="0.25">
      <c r="A884" t="str">
        <f>"&lt;category name=" &amp;"""" &amp;$C$875&amp;"""/&gt;"</f>
        <v>&lt;category name="weapons"/&gt;</v>
      </c>
      <c r="B884" t="s">
        <v>392</v>
      </c>
    </row>
    <row r="885" spans="1:8" x14ac:dyDescent="0.25">
      <c r="A885" t="s">
        <v>20</v>
      </c>
      <c r="B885" t="s">
        <v>392</v>
      </c>
    </row>
    <row r="886" spans="1:8" x14ac:dyDescent="0.25">
      <c r="A886" t="s">
        <v>56</v>
      </c>
      <c r="B886" t="s">
        <v>392</v>
      </c>
    </row>
    <row r="887" spans="1:8" x14ac:dyDescent="0.25">
      <c r="A887" t="s">
        <v>39</v>
      </c>
      <c r="B887" t="s">
        <v>392</v>
      </c>
    </row>
    <row r="888" spans="1:8" x14ac:dyDescent="0.25">
      <c r="A888" t="s">
        <v>40</v>
      </c>
      <c r="B888" t="s">
        <v>392</v>
      </c>
    </row>
    <row r="889" spans="1:8" x14ac:dyDescent="0.25">
      <c r="A889" t="s">
        <v>67</v>
      </c>
      <c r="B889" t="s">
        <v>392</v>
      </c>
    </row>
    <row r="890" spans="1:8" x14ac:dyDescent="0.25">
      <c r="A890" t="s">
        <v>22</v>
      </c>
      <c r="B890" t="s">
        <v>392</v>
      </c>
    </row>
    <row r="891" spans="1:8" x14ac:dyDescent="0.25">
      <c r="A891" t="s">
        <v>1467</v>
      </c>
      <c r="B891" t="s">
        <v>393</v>
      </c>
      <c r="C891" t="s">
        <v>8</v>
      </c>
      <c r="D891">
        <v>10</v>
      </c>
      <c r="E891">
        <v>10800</v>
      </c>
      <c r="F891">
        <v>1800</v>
      </c>
      <c r="G891">
        <v>4</v>
      </c>
      <c r="H891" t="s">
        <v>19</v>
      </c>
    </row>
    <row r="892" spans="1:8" x14ac:dyDescent="0.25">
      <c r="A892" t="str">
        <f>"&lt;nominal&gt;" &amp;$D$891&amp;"&lt;/nominal&gt;"</f>
        <v>&lt;nominal&gt;10&lt;/nominal&gt;</v>
      </c>
      <c r="B892" t="s">
        <v>393</v>
      </c>
    </row>
    <row r="893" spans="1:8" x14ac:dyDescent="0.25">
      <c r="A893" t="str">
        <f>"&lt;lifetime&gt;" &amp;$E$891&amp;"&lt;/lifetime&gt;"</f>
        <v>&lt;lifetime&gt;10800&lt;/lifetime&gt;</v>
      </c>
      <c r="B893" t="s">
        <v>393</v>
      </c>
    </row>
    <row r="894" spans="1:8" x14ac:dyDescent="0.25">
      <c r="A894" t="str">
        <f>"&lt;restock&gt;" &amp;$F$891&amp;"&lt;/restock&gt;"</f>
        <v>&lt;restock&gt;1800&lt;/restock&gt;</v>
      </c>
      <c r="B894" t="s">
        <v>393</v>
      </c>
    </row>
    <row r="895" spans="1:8" x14ac:dyDescent="0.25">
      <c r="A895" t="str">
        <f>"&lt;min&gt;" &amp;$G$891&amp;"&lt;/min&gt;"</f>
        <v>&lt;min&gt;4&lt;/min&gt;</v>
      </c>
      <c r="B895" t="s">
        <v>393</v>
      </c>
    </row>
    <row r="896" spans="1:8" x14ac:dyDescent="0.25">
      <c r="A896" t="s">
        <v>1457</v>
      </c>
      <c r="B896" t="s">
        <v>393</v>
      </c>
    </row>
    <row r="897" spans="1:8" x14ac:dyDescent="0.25">
      <c r="A897" t="s">
        <v>1459</v>
      </c>
      <c r="B897" t="s">
        <v>393</v>
      </c>
    </row>
    <row r="898" spans="1:8" x14ac:dyDescent="0.25">
      <c r="A898" t="s">
        <v>18</v>
      </c>
      <c r="B898" t="s">
        <v>393</v>
      </c>
    </row>
    <row r="899" spans="1:8" x14ac:dyDescent="0.25">
      <c r="A899" t="str">
        <f xml:space="preserve"> $H$891</f>
        <v>&lt;flags count_in_cargo="0" count_in_hoarder="0" count_in_map="1" count_in_player="0" crafted="0" deloot="0"/&gt;</v>
      </c>
      <c r="B899" t="s">
        <v>393</v>
      </c>
    </row>
    <row r="900" spans="1:8" x14ac:dyDescent="0.25">
      <c r="A900" t="str">
        <f>"&lt;category name=" &amp;"""" &amp;$C$891&amp;"""/&gt;"</f>
        <v>&lt;category name="weapons"/&gt;</v>
      </c>
      <c r="B900" t="s">
        <v>393</v>
      </c>
    </row>
    <row r="901" spans="1:8" x14ac:dyDescent="0.25">
      <c r="A901" t="s">
        <v>20</v>
      </c>
      <c r="B901" t="s">
        <v>393</v>
      </c>
    </row>
    <row r="902" spans="1:8" x14ac:dyDescent="0.25">
      <c r="A902" t="s">
        <v>29</v>
      </c>
      <c r="B902" t="s">
        <v>393</v>
      </c>
    </row>
    <row r="903" spans="1:8" x14ac:dyDescent="0.25">
      <c r="A903" t="s">
        <v>30</v>
      </c>
      <c r="B903" t="s">
        <v>393</v>
      </c>
    </row>
    <row r="904" spans="1:8" x14ac:dyDescent="0.25">
      <c r="A904" t="s">
        <v>31</v>
      </c>
      <c r="B904" t="s">
        <v>393</v>
      </c>
    </row>
    <row r="905" spans="1:8" x14ac:dyDescent="0.25">
      <c r="A905" t="s">
        <v>307</v>
      </c>
      <c r="B905" t="s">
        <v>393</v>
      </c>
    </row>
    <row r="906" spans="1:8" x14ac:dyDescent="0.25">
      <c r="A906" t="s">
        <v>22</v>
      </c>
      <c r="B906" t="s">
        <v>393</v>
      </c>
    </row>
    <row r="907" spans="1:8" x14ac:dyDescent="0.25">
      <c r="A907" t="s">
        <v>1468</v>
      </c>
      <c r="B907" t="s">
        <v>394</v>
      </c>
      <c r="C907" t="s">
        <v>8</v>
      </c>
      <c r="D907">
        <v>20</v>
      </c>
      <c r="E907">
        <v>7200</v>
      </c>
      <c r="F907">
        <v>0</v>
      </c>
      <c r="G907">
        <v>10</v>
      </c>
      <c r="H907" t="s">
        <v>19</v>
      </c>
    </row>
    <row r="908" spans="1:8" x14ac:dyDescent="0.25">
      <c r="A908" t="str">
        <f>"&lt;nominal&gt;" &amp;$D$907&amp;"&lt;/nominal&gt;"</f>
        <v>&lt;nominal&gt;20&lt;/nominal&gt;</v>
      </c>
      <c r="B908" t="s">
        <v>394</v>
      </c>
    </row>
    <row r="909" spans="1:8" x14ac:dyDescent="0.25">
      <c r="A909" t="str">
        <f>"&lt;lifetime&gt;" &amp;$E$907&amp;"&lt;/lifetime&gt;"</f>
        <v>&lt;lifetime&gt;7200&lt;/lifetime&gt;</v>
      </c>
      <c r="B909" t="s">
        <v>394</v>
      </c>
    </row>
    <row r="910" spans="1:8" x14ac:dyDescent="0.25">
      <c r="A910" t="str">
        <f>"&lt;restock&gt;" &amp;$F$907&amp;"&lt;/restock&gt;"</f>
        <v>&lt;restock&gt;0&lt;/restock&gt;</v>
      </c>
      <c r="B910" t="s">
        <v>394</v>
      </c>
    </row>
    <row r="911" spans="1:8" x14ac:dyDescent="0.25">
      <c r="A911" t="str">
        <f>"&lt;min&gt;" &amp;$G$907&amp;"&lt;/min&gt;"</f>
        <v>&lt;min&gt;10&lt;/min&gt;</v>
      </c>
      <c r="B911" t="s">
        <v>394</v>
      </c>
    </row>
    <row r="912" spans="1:8" x14ac:dyDescent="0.25">
      <c r="A912" t="s">
        <v>45</v>
      </c>
      <c r="B912" t="s">
        <v>394</v>
      </c>
    </row>
    <row r="913" spans="1:8" x14ac:dyDescent="0.25">
      <c r="A913" t="s">
        <v>328</v>
      </c>
      <c r="B913" t="s">
        <v>394</v>
      </c>
    </row>
    <row r="914" spans="1:8" x14ac:dyDescent="0.25">
      <c r="A914" t="s">
        <v>18</v>
      </c>
      <c r="B914" t="s">
        <v>394</v>
      </c>
    </row>
    <row r="915" spans="1:8" x14ac:dyDescent="0.25">
      <c r="A915" t="str">
        <f xml:space="preserve"> $H$907</f>
        <v>&lt;flags count_in_cargo="0" count_in_hoarder="0" count_in_map="1" count_in_player="0" crafted="0" deloot="0"/&gt;</v>
      </c>
      <c r="B915" t="s">
        <v>394</v>
      </c>
    </row>
    <row r="916" spans="1:8" x14ac:dyDescent="0.25">
      <c r="A916" t="str">
        <f>"&lt;category name=" &amp;"""" &amp;$C$907&amp;"""/&gt;"</f>
        <v>&lt;category name="weapons"/&gt;</v>
      </c>
      <c r="B916" t="s">
        <v>394</v>
      </c>
    </row>
    <row r="917" spans="1:8" x14ac:dyDescent="0.25">
      <c r="A917" t="s">
        <v>20</v>
      </c>
      <c r="B917" t="s">
        <v>394</v>
      </c>
    </row>
    <row r="918" spans="1:8" x14ac:dyDescent="0.25">
      <c r="A918" t="s">
        <v>56</v>
      </c>
      <c r="B918" t="s">
        <v>394</v>
      </c>
    </row>
    <row r="919" spans="1:8" x14ac:dyDescent="0.25">
      <c r="A919" t="s">
        <v>39</v>
      </c>
      <c r="B919" t="s">
        <v>394</v>
      </c>
    </row>
    <row r="920" spans="1:8" x14ac:dyDescent="0.25">
      <c r="A920" t="s">
        <v>40</v>
      </c>
      <c r="B920" t="s">
        <v>394</v>
      </c>
    </row>
    <row r="921" spans="1:8" x14ac:dyDescent="0.25">
      <c r="A921" t="s">
        <v>67</v>
      </c>
      <c r="B921" t="s">
        <v>394</v>
      </c>
    </row>
    <row r="922" spans="1:8" x14ac:dyDescent="0.25">
      <c r="A922" t="s">
        <v>30</v>
      </c>
      <c r="B922" t="s">
        <v>394</v>
      </c>
    </row>
    <row r="923" spans="1:8" x14ac:dyDescent="0.25">
      <c r="A923" t="s">
        <v>31</v>
      </c>
      <c r="B923" t="s">
        <v>394</v>
      </c>
    </row>
    <row r="924" spans="1:8" x14ac:dyDescent="0.25">
      <c r="A924" t="s">
        <v>307</v>
      </c>
      <c r="B924" t="s">
        <v>394</v>
      </c>
    </row>
    <row r="925" spans="1:8" x14ac:dyDescent="0.25">
      <c r="A925" t="s">
        <v>22</v>
      </c>
      <c r="B925" t="s">
        <v>394</v>
      </c>
    </row>
    <row r="926" spans="1:8" x14ac:dyDescent="0.25">
      <c r="A926" t="s">
        <v>1469</v>
      </c>
      <c r="B926" t="s">
        <v>395</v>
      </c>
      <c r="C926" t="s">
        <v>8</v>
      </c>
      <c r="D926">
        <v>10</v>
      </c>
      <c r="E926">
        <v>10800</v>
      </c>
      <c r="F926">
        <v>1800</v>
      </c>
      <c r="G926">
        <v>4</v>
      </c>
      <c r="H926" t="s">
        <v>19</v>
      </c>
    </row>
    <row r="927" spans="1:8" x14ac:dyDescent="0.25">
      <c r="A927" t="str">
        <f>"&lt;nominal&gt;" &amp;$D$926&amp;"&lt;/nominal&gt;"</f>
        <v>&lt;nominal&gt;10&lt;/nominal&gt;</v>
      </c>
      <c r="B927" t="s">
        <v>395</v>
      </c>
    </row>
    <row r="928" spans="1:8" x14ac:dyDescent="0.25">
      <c r="A928" t="str">
        <f>"&lt;lifetime&gt;" &amp;$E$926&amp;"&lt;/lifetime&gt;"</f>
        <v>&lt;lifetime&gt;10800&lt;/lifetime&gt;</v>
      </c>
      <c r="B928" t="s">
        <v>395</v>
      </c>
    </row>
    <row r="929" spans="1:8" x14ac:dyDescent="0.25">
      <c r="A929" t="str">
        <f>"&lt;restock&gt;" &amp;$F$926&amp;"&lt;/restock&gt;"</f>
        <v>&lt;restock&gt;1800&lt;/restock&gt;</v>
      </c>
      <c r="B929" t="s">
        <v>395</v>
      </c>
    </row>
    <row r="930" spans="1:8" x14ac:dyDescent="0.25">
      <c r="A930" t="str">
        <f>"&lt;min&gt;" &amp;$G$926&amp;"&lt;/min&gt;"</f>
        <v>&lt;min&gt;4&lt;/min&gt;</v>
      </c>
      <c r="B930" t="s">
        <v>395</v>
      </c>
    </row>
    <row r="931" spans="1:8" x14ac:dyDescent="0.25">
      <c r="A931" t="s">
        <v>1457</v>
      </c>
      <c r="B931" t="s">
        <v>395</v>
      </c>
    </row>
    <row r="932" spans="1:8" x14ac:dyDescent="0.25">
      <c r="A932" t="s">
        <v>1459</v>
      </c>
      <c r="B932" t="s">
        <v>395</v>
      </c>
    </row>
    <row r="933" spans="1:8" x14ac:dyDescent="0.25">
      <c r="A933" t="s">
        <v>18</v>
      </c>
      <c r="B933" t="s">
        <v>395</v>
      </c>
    </row>
    <row r="934" spans="1:8" x14ac:dyDescent="0.25">
      <c r="A934" t="str">
        <f xml:space="preserve"> $H$926</f>
        <v>&lt;flags count_in_cargo="0" count_in_hoarder="0" count_in_map="1" count_in_player="0" crafted="0" deloot="0"/&gt;</v>
      </c>
      <c r="B934" t="s">
        <v>395</v>
      </c>
    </row>
    <row r="935" spans="1:8" x14ac:dyDescent="0.25">
      <c r="A935" t="str">
        <f>"&lt;category name=" &amp;"""" &amp;$C$926&amp;"""/&gt;"</f>
        <v>&lt;category name="weapons"/&gt;</v>
      </c>
      <c r="B935" t="s">
        <v>395</v>
      </c>
    </row>
    <row r="936" spans="1:8" x14ac:dyDescent="0.25">
      <c r="A936" t="s">
        <v>20</v>
      </c>
      <c r="B936" t="s">
        <v>395</v>
      </c>
    </row>
    <row r="937" spans="1:8" x14ac:dyDescent="0.25">
      <c r="A937" t="s">
        <v>29</v>
      </c>
      <c r="B937" t="s">
        <v>395</v>
      </c>
    </row>
    <row r="938" spans="1:8" x14ac:dyDescent="0.25">
      <c r="A938" t="s">
        <v>30</v>
      </c>
      <c r="B938" t="s">
        <v>395</v>
      </c>
    </row>
    <row r="939" spans="1:8" x14ac:dyDescent="0.25">
      <c r="A939" t="s">
        <v>31</v>
      </c>
      <c r="B939" t="s">
        <v>395</v>
      </c>
    </row>
    <row r="940" spans="1:8" x14ac:dyDescent="0.25">
      <c r="A940" t="s">
        <v>307</v>
      </c>
      <c r="B940" t="s">
        <v>395</v>
      </c>
    </row>
    <row r="941" spans="1:8" x14ac:dyDescent="0.25">
      <c r="A941" t="s">
        <v>22</v>
      </c>
      <c r="B941" t="s">
        <v>395</v>
      </c>
    </row>
    <row r="942" spans="1:8" x14ac:dyDescent="0.25">
      <c r="A942" t="s">
        <v>1470</v>
      </c>
      <c r="B942" t="s">
        <v>396</v>
      </c>
      <c r="C942" t="s">
        <v>8</v>
      </c>
      <c r="D942">
        <v>40</v>
      </c>
      <c r="E942">
        <v>7200</v>
      </c>
      <c r="F942">
        <v>0</v>
      </c>
      <c r="G942">
        <v>20</v>
      </c>
      <c r="H942" t="s">
        <v>19</v>
      </c>
    </row>
    <row r="943" spans="1:8" x14ac:dyDescent="0.25">
      <c r="A943" t="str">
        <f>"&lt;nominal&gt;" &amp;$D$942&amp;"&lt;/nominal&gt;"</f>
        <v>&lt;nominal&gt;40&lt;/nominal&gt;</v>
      </c>
      <c r="B943" t="s">
        <v>396</v>
      </c>
    </row>
    <row r="944" spans="1:8" x14ac:dyDescent="0.25">
      <c r="A944" t="str">
        <f>"&lt;lifetime&gt;" &amp;$E$942&amp;"&lt;/lifetime&gt;"</f>
        <v>&lt;lifetime&gt;7200&lt;/lifetime&gt;</v>
      </c>
      <c r="B944" t="s">
        <v>396</v>
      </c>
    </row>
    <row r="945" spans="1:8" x14ac:dyDescent="0.25">
      <c r="A945" t="str">
        <f>"&lt;restock&gt;" &amp;$F$942&amp;"&lt;/restock&gt;"</f>
        <v>&lt;restock&gt;0&lt;/restock&gt;</v>
      </c>
      <c r="B945" t="s">
        <v>396</v>
      </c>
    </row>
    <row r="946" spans="1:8" x14ac:dyDescent="0.25">
      <c r="A946" t="str">
        <f>"&lt;min&gt;" &amp;$G$942&amp;"&lt;/min&gt;"</f>
        <v>&lt;min&gt;20&lt;/min&gt;</v>
      </c>
      <c r="B946" t="s">
        <v>396</v>
      </c>
    </row>
    <row r="947" spans="1:8" x14ac:dyDescent="0.25">
      <c r="A947" t="s">
        <v>337</v>
      </c>
      <c r="B947" t="s">
        <v>396</v>
      </c>
    </row>
    <row r="948" spans="1:8" x14ac:dyDescent="0.25">
      <c r="A948" t="s">
        <v>1459</v>
      </c>
      <c r="B948" t="s">
        <v>396</v>
      </c>
    </row>
    <row r="949" spans="1:8" x14ac:dyDescent="0.25">
      <c r="A949" t="s">
        <v>18</v>
      </c>
      <c r="B949" t="s">
        <v>396</v>
      </c>
    </row>
    <row r="950" spans="1:8" x14ac:dyDescent="0.25">
      <c r="A950" t="str">
        <f xml:space="preserve"> $H$942</f>
        <v>&lt;flags count_in_cargo="0" count_in_hoarder="0" count_in_map="1" count_in_player="0" crafted="0" deloot="0"/&gt;</v>
      </c>
      <c r="B950" t="s">
        <v>396</v>
      </c>
    </row>
    <row r="951" spans="1:8" x14ac:dyDescent="0.25">
      <c r="A951" t="str">
        <f>"&lt;category name=" &amp;"""" &amp;$C$942&amp;"""/&gt;"</f>
        <v>&lt;category name="weapons"/&gt;</v>
      </c>
      <c r="B951" t="s">
        <v>396</v>
      </c>
    </row>
    <row r="952" spans="1:8" x14ac:dyDescent="0.25">
      <c r="A952" t="s">
        <v>173</v>
      </c>
      <c r="B952" t="s">
        <v>396</v>
      </c>
    </row>
    <row r="953" spans="1:8" x14ac:dyDescent="0.25">
      <c r="A953" t="s">
        <v>39</v>
      </c>
      <c r="B953" t="s">
        <v>396</v>
      </c>
    </row>
    <row r="954" spans="1:8" x14ac:dyDescent="0.25">
      <c r="A954" t="s">
        <v>40</v>
      </c>
      <c r="B954" t="s">
        <v>396</v>
      </c>
    </row>
    <row r="955" spans="1:8" x14ac:dyDescent="0.25">
      <c r="A955" t="s">
        <v>22</v>
      </c>
      <c r="B955" t="s">
        <v>396</v>
      </c>
    </row>
    <row r="956" spans="1:8" x14ac:dyDescent="0.25">
      <c r="A956" t="s">
        <v>1471</v>
      </c>
      <c r="B956" t="s">
        <v>397</v>
      </c>
      <c r="C956" t="s">
        <v>8</v>
      </c>
      <c r="D956">
        <v>20</v>
      </c>
      <c r="E956">
        <v>10800</v>
      </c>
      <c r="F956">
        <v>0</v>
      </c>
      <c r="G956">
        <v>10</v>
      </c>
      <c r="H956" t="s">
        <v>19</v>
      </c>
    </row>
    <row r="957" spans="1:8" x14ac:dyDescent="0.25">
      <c r="A957" t="str">
        <f>"&lt;nominal&gt;" &amp;$D$956&amp;"&lt;/nominal&gt;"</f>
        <v>&lt;nominal&gt;20&lt;/nominal&gt;</v>
      </c>
      <c r="B957" t="s">
        <v>397</v>
      </c>
    </row>
    <row r="958" spans="1:8" x14ac:dyDescent="0.25">
      <c r="A958" t="str">
        <f>"&lt;lifetime&gt;" &amp;$E$956&amp;"&lt;/lifetime&gt;"</f>
        <v>&lt;lifetime&gt;10800&lt;/lifetime&gt;</v>
      </c>
      <c r="B958" t="s">
        <v>397</v>
      </c>
    </row>
    <row r="959" spans="1:8" x14ac:dyDescent="0.25">
      <c r="A959" t="str">
        <f>"&lt;restock&gt;" &amp;$F$956&amp;"&lt;/restock&gt;"</f>
        <v>&lt;restock&gt;0&lt;/restock&gt;</v>
      </c>
      <c r="B959" t="s">
        <v>397</v>
      </c>
    </row>
    <row r="960" spans="1:8" x14ac:dyDescent="0.25">
      <c r="A960" t="str">
        <f>"&lt;min&gt;" &amp;$G$956&amp;"&lt;/min&gt;"</f>
        <v>&lt;min&gt;10&lt;/min&gt;</v>
      </c>
      <c r="B960" t="s">
        <v>397</v>
      </c>
    </row>
    <row r="961" spans="1:8" x14ac:dyDescent="0.25">
      <c r="A961" t="s">
        <v>45</v>
      </c>
      <c r="B961" t="s">
        <v>397</v>
      </c>
    </row>
    <row r="962" spans="1:8" x14ac:dyDescent="0.25">
      <c r="A962" t="s">
        <v>328</v>
      </c>
      <c r="B962" t="s">
        <v>397</v>
      </c>
    </row>
    <row r="963" spans="1:8" x14ac:dyDescent="0.25">
      <c r="A963" t="s">
        <v>18</v>
      </c>
      <c r="B963" t="s">
        <v>397</v>
      </c>
    </row>
    <row r="964" spans="1:8" x14ac:dyDescent="0.25">
      <c r="A964" t="str">
        <f xml:space="preserve"> $H$956</f>
        <v>&lt;flags count_in_cargo="0" count_in_hoarder="0" count_in_map="1" count_in_player="0" crafted="0" deloot="0"/&gt;</v>
      </c>
      <c r="B964" t="s">
        <v>397</v>
      </c>
    </row>
    <row r="965" spans="1:8" x14ac:dyDescent="0.25">
      <c r="A965" t="str">
        <f>"&lt;category name=" &amp;"""" &amp;$C$956&amp;"""/&gt;"</f>
        <v>&lt;category name="weapons"/&gt;</v>
      </c>
      <c r="B965" t="s">
        <v>397</v>
      </c>
    </row>
    <row r="966" spans="1:8" x14ac:dyDescent="0.25">
      <c r="A966" t="s">
        <v>29</v>
      </c>
      <c r="B966" t="s">
        <v>397</v>
      </c>
    </row>
    <row r="967" spans="1:8" x14ac:dyDescent="0.25">
      <c r="A967" t="s">
        <v>22</v>
      </c>
      <c r="B967" t="s">
        <v>397</v>
      </c>
    </row>
    <row r="968" spans="1:8" x14ac:dyDescent="0.25">
      <c r="A968" t="s">
        <v>1472</v>
      </c>
      <c r="B968" t="s">
        <v>398</v>
      </c>
      <c r="C968" t="s">
        <v>8</v>
      </c>
      <c r="D968">
        <v>10</v>
      </c>
      <c r="E968">
        <v>10800</v>
      </c>
      <c r="F968">
        <v>0</v>
      </c>
      <c r="G968">
        <v>4</v>
      </c>
      <c r="H968" t="s">
        <v>19</v>
      </c>
    </row>
    <row r="969" spans="1:8" x14ac:dyDescent="0.25">
      <c r="A969" t="str">
        <f>"&lt;nominal&gt;" &amp;$D$968&amp;"&lt;/nominal&gt;"</f>
        <v>&lt;nominal&gt;10&lt;/nominal&gt;</v>
      </c>
      <c r="B969" t="s">
        <v>398</v>
      </c>
    </row>
    <row r="970" spans="1:8" x14ac:dyDescent="0.25">
      <c r="A970" t="str">
        <f>"&lt;lifetime&gt;" &amp;$E$968&amp;"&lt;/lifetime&gt;"</f>
        <v>&lt;lifetime&gt;10800&lt;/lifetime&gt;</v>
      </c>
      <c r="B970" t="s">
        <v>398</v>
      </c>
    </row>
    <row r="971" spans="1:8" x14ac:dyDescent="0.25">
      <c r="A971" t="str">
        <f>"&lt;restock&gt;" &amp;$F$968&amp;"&lt;/restock&gt;"</f>
        <v>&lt;restock&gt;0&lt;/restock&gt;</v>
      </c>
      <c r="B971" t="s">
        <v>398</v>
      </c>
    </row>
    <row r="972" spans="1:8" x14ac:dyDescent="0.25">
      <c r="A972" t="str">
        <f>"&lt;min&gt;" &amp;$G$968&amp;"&lt;/min&gt;"</f>
        <v>&lt;min&gt;4&lt;/min&gt;</v>
      </c>
      <c r="B972" t="s">
        <v>398</v>
      </c>
    </row>
    <row r="973" spans="1:8" x14ac:dyDescent="0.25">
      <c r="A973" t="s">
        <v>45</v>
      </c>
      <c r="B973" t="s">
        <v>398</v>
      </c>
    </row>
    <row r="974" spans="1:8" x14ac:dyDescent="0.25">
      <c r="A974" t="s">
        <v>328</v>
      </c>
      <c r="B974" t="s">
        <v>398</v>
      </c>
    </row>
    <row r="975" spans="1:8" x14ac:dyDescent="0.25">
      <c r="A975" t="s">
        <v>18</v>
      </c>
      <c r="B975" t="s">
        <v>398</v>
      </c>
    </row>
    <row r="976" spans="1:8" x14ac:dyDescent="0.25">
      <c r="A976" t="str">
        <f xml:space="preserve"> $H$968</f>
        <v>&lt;flags count_in_cargo="0" count_in_hoarder="0" count_in_map="1" count_in_player="0" crafted="0" deloot="0"/&gt;</v>
      </c>
      <c r="B976" t="s">
        <v>398</v>
      </c>
    </row>
    <row r="977" spans="1:8" x14ac:dyDescent="0.25">
      <c r="A977" t="str">
        <f>"&lt;category name=" &amp;"""" &amp;$C$968&amp;"""/&gt;"</f>
        <v>&lt;category name="weapons"/&gt;</v>
      </c>
      <c r="B977" t="s">
        <v>398</v>
      </c>
    </row>
    <row r="978" spans="1:8" x14ac:dyDescent="0.25">
      <c r="A978" t="s">
        <v>29</v>
      </c>
      <c r="B978" t="s">
        <v>398</v>
      </c>
    </row>
    <row r="979" spans="1:8" x14ac:dyDescent="0.25">
      <c r="A979" t="s">
        <v>31</v>
      </c>
      <c r="B979" t="s">
        <v>398</v>
      </c>
    </row>
    <row r="980" spans="1:8" x14ac:dyDescent="0.25">
      <c r="A980" t="s">
        <v>307</v>
      </c>
      <c r="B980" t="s">
        <v>398</v>
      </c>
    </row>
    <row r="981" spans="1:8" x14ac:dyDescent="0.25">
      <c r="A981" t="s">
        <v>22</v>
      </c>
      <c r="B981" t="s">
        <v>398</v>
      </c>
    </row>
    <row r="982" spans="1:8" x14ac:dyDescent="0.25">
      <c r="A982" t="s">
        <v>1473</v>
      </c>
      <c r="B982" t="s">
        <v>3344</v>
      </c>
      <c r="D982">
        <v>0</v>
      </c>
      <c r="E982">
        <v>1800</v>
      </c>
      <c r="F982">
        <v>0</v>
      </c>
      <c r="G982">
        <v>0</v>
      </c>
      <c r="H982" t="s">
        <v>19</v>
      </c>
    </row>
    <row r="983" spans="1:8" x14ac:dyDescent="0.25">
      <c r="A983" t="str">
        <f>"&lt;nominal&gt;" &amp;$D$982&amp;"&lt;/nominal&gt;"</f>
        <v>&lt;nominal&gt;0&lt;/nominal&gt;</v>
      </c>
      <c r="B983" t="s">
        <v>3344</v>
      </c>
    </row>
    <row r="984" spans="1:8" x14ac:dyDescent="0.25">
      <c r="A984" t="str">
        <f>"&lt;lifetime&gt;" &amp;$E$982&amp;"&lt;/lifetime&gt;"</f>
        <v>&lt;lifetime&gt;1800&lt;/lifetime&gt;</v>
      </c>
      <c r="B984" t="s">
        <v>3344</v>
      </c>
    </row>
    <row r="985" spans="1:8" x14ac:dyDescent="0.25">
      <c r="A985" t="str">
        <f>"&lt;restock&gt;" &amp;$F$982&amp;"&lt;/restock&gt;"</f>
        <v>&lt;restock&gt;0&lt;/restock&gt;</v>
      </c>
      <c r="B985" t="s">
        <v>3344</v>
      </c>
    </row>
    <row r="986" spans="1:8" x14ac:dyDescent="0.25">
      <c r="A986" t="str">
        <f>"&lt;min&gt;" &amp;$G$982&amp;"&lt;/min&gt;"</f>
        <v>&lt;min&gt;0&lt;/min&gt;</v>
      </c>
      <c r="B986" t="s">
        <v>3344</v>
      </c>
    </row>
    <row r="987" spans="1:8" x14ac:dyDescent="0.25">
      <c r="A987" t="s">
        <v>16</v>
      </c>
      <c r="B987" t="s">
        <v>3344</v>
      </c>
    </row>
    <row r="988" spans="1:8" x14ac:dyDescent="0.25">
      <c r="A988" t="s">
        <v>17</v>
      </c>
      <c r="B988" t="s">
        <v>3344</v>
      </c>
    </row>
    <row r="989" spans="1:8" x14ac:dyDescent="0.25">
      <c r="A989" t="s">
        <v>18</v>
      </c>
      <c r="B989" t="s">
        <v>3344</v>
      </c>
    </row>
    <row r="990" spans="1:8" x14ac:dyDescent="0.25">
      <c r="A990" t="str">
        <f xml:space="preserve"> $H$982</f>
        <v>&lt;flags count_in_cargo="0" count_in_hoarder="0" count_in_map="1" count_in_player="0" crafted="0" deloot="0"/&gt;</v>
      </c>
      <c r="B990" t="s">
        <v>3344</v>
      </c>
    </row>
    <row r="991" spans="1:8" x14ac:dyDescent="0.25">
      <c r="A991" t="s">
        <v>22</v>
      </c>
      <c r="B991" t="s">
        <v>3344</v>
      </c>
    </row>
    <row r="992" spans="1:8" x14ac:dyDescent="0.25">
      <c r="A992" t="s">
        <v>1474</v>
      </c>
      <c r="B992" t="s">
        <v>3345</v>
      </c>
      <c r="D992">
        <v>0</v>
      </c>
      <c r="E992">
        <v>1800</v>
      </c>
      <c r="F992">
        <v>0</v>
      </c>
      <c r="G992">
        <v>0</v>
      </c>
      <c r="H992" t="s">
        <v>19</v>
      </c>
    </row>
    <row r="993" spans="1:8" x14ac:dyDescent="0.25">
      <c r="A993" t="str">
        <f>"&lt;nominal&gt;" &amp;$D$992&amp;"&lt;/nominal&gt;"</f>
        <v>&lt;nominal&gt;0&lt;/nominal&gt;</v>
      </c>
      <c r="B993" t="s">
        <v>3345</v>
      </c>
    </row>
    <row r="994" spans="1:8" x14ac:dyDescent="0.25">
      <c r="A994" t="str">
        <f>"&lt;lifetime&gt;" &amp;$E$992&amp;"&lt;/lifetime&gt;"</f>
        <v>&lt;lifetime&gt;1800&lt;/lifetime&gt;</v>
      </c>
      <c r="B994" t="s">
        <v>3345</v>
      </c>
    </row>
    <row r="995" spans="1:8" x14ac:dyDescent="0.25">
      <c r="A995" t="str">
        <f>"&lt;restock&gt;" &amp;$F$992&amp;"&lt;/restock&gt;"</f>
        <v>&lt;restock&gt;0&lt;/restock&gt;</v>
      </c>
      <c r="B995" t="s">
        <v>3345</v>
      </c>
    </row>
    <row r="996" spans="1:8" x14ac:dyDescent="0.25">
      <c r="A996" t="str">
        <f>"&lt;min&gt;" &amp;$G$992&amp;"&lt;/min&gt;"</f>
        <v>&lt;min&gt;0&lt;/min&gt;</v>
      </c>
      <c r="B996" t="s">
        <v>3345</v>
      </c>
    </row>
    <row r="997" spans="1:8" x14ac:dyDescent="0.25">
      <c r="A997" t="s">
        <v>16</v>
      </c>
      <c r="B997" t="s">
        <v>3345</v>
      </c>
    </row>
    <row r="998" spans="1:8" x14ac:dyDescent="0.25">
      <c r="A998" t="s">
        <v>17</v>
      </c>
      <c r="B998" t="s">
        <v>3345</v>
      </c>
    </row>
    <row r="999" spans="1:8" x14ac:dyDescent="0.25">
      <c r="A999" t="s">
        <v>18</v>
      </c>
      <c r="B999" t="s">
        <v>3345</v>
      </c>
    </row>
    <row r="1000" spans="1:8" x14ac:dyDescent="0.25">
      <c r="A1000" t="str">
        <f xml:space="preserve"> $H$992</f>
        <v>&lt;flags count_in_cargo="0" count_in_hoarder="0" count_in_map="1" count_in_player="0" crafted="0" deloot="0"/&gt;</v>
      </c>
      <c r="B1000" t="s">
        <v>3345</v>
      </c>
    </row>
    <row r="1001" spans="1:8" x14ac:dyDescent="0.25">
      <c r="A1001" t="s">
        <v>22</v>
      </c>
      <c r="B1001" t="s">
        <v>3345</v>
      </c>
    </row>
    <row r="1002" spans="1:8" x14ac:dyDescent="0.25">
      <c r="A1002" t="s">
        <v>1475</v>
      </c>
      <c r="B1002" t="s">
        <v>3346</v>
      </c>
      <c r="D1002">
        <v>0</v>
      </c>
      <c r="E1002">
        <v>1800</v>
      </c>
      <c r="F1002">
        <v>0</v>
      </c>
      <c r="G1002">
        <v>0</v>
      </c>
      <c r="H1002" t="s">
        <v>19</v>
      </c>
    </row>
    <row r="1003" spans="1:8" x14ac:dyDescent="0.25">
      <c r="A1003" t="str">
        <f>"&lt;nominal&gt;" &amp;$D$1002&amp;"&lt;/nominal&gt;"</f>
        <v>&lt;nominal&gt;0&lt;/nominal&gt;</v>
      </c>
      <c r="B1003" t="s">
        <v>3346</v>
      </c>
    </row>
    <row r="1004" spans="1:8" x14ac:dyDescent="0.25">
      <c r="A1004" t="str">
        <f>"&lt;lifetime&gt;" &amp;$E$1002&amp;"&lt;/lifetime&gt;"</f>
        <v>&lt;lifetime&gt;1800&lt;/lifetime&gt;</v>
      </c>
      <c r="B1004" t="s">
        <v>3346</v>
      </c>
    </row>
    <row r="1005" spans="1:8" x14ac:dyDescent="0.25">
      <c r="A1005" t="str">
        <f>"&lt;restock&gt;" &amp;$F$1002&amp;"&lt;/restock&gt;"</f>
        <v>&lt;restock&gt;0&lt;/restock&gt;</v>
      </c>
      <c r="B1005" t="s">
        <v>3346</v>
      </c>
    </row>
    <row r="1006" spans="1:8" x14ac:dyDescent="0.25">
      <c r="A1006" t="str">
        <f>"&lt;min&gt;" &amp;$G$1002&amp;"&lt;/min&gt;"</f>
        <v>&lt;min&gt;0&lt;/min&gt;</v>
      </c>
      <c r="B1006" t="s">
        <v>3346</v>
      </c>
    </row>
    <row r="1007" spans="1:8" x14ac:dyDescent="0.25">
      <c r="A1007" t="s">
        <v>16</v>
      </c>
      <c r="B1007" t="s">
        <v>3346</v>
      </c>
    </row>
    <row r="1008" spans="1:8" x14ac:dyDescent="0.25">
      <c r="A1008" t="s">
        <v>17</v>
      </c>
      <c r="B1008" t="s">
        <v>3346</v>
      </c>
    </row>
    <row r="1009" spans="1:8" x14ac:dyDescent="0.25">
      <c r="A1009" t="s">
        <v>18</v>
      </c>
      <c r="B1009" t="s">
        <v>3346</v>
      </c>
    </row>
    <row r="1010" spans="1:8" x14ac:dyDescent="0.25">
      <c r="A1010" t="str">
        <f xml:space="preserve"> $H$1002</f>
        <v>&lt;flags count_in_cargo="0" count_in_hoarder="0" count_in_map="1" count_in_player="0" crafted="0" deloot="0"/&gt;</v>
      </c>
      <c r="B1010" t="s">
        <v>3346</v>
      </c>
    </row>
    <row r="1011" spans="1:8" x14ac:dyDescent="0.25">
      <c r="A1011" t="s">
        <v>22</v>
      </c>
      <c r="B1011" t="s">
        <v>3346</v>
      </c>
    </row>
    <row r="1012" spans="1:8" x14ac:dyDescent="0.25">
      <c r="A1012" t="s">
        <v>1476</v>
      </c>
      <c r="B1012" t="s">
        <v>3347</v>
      </c>
      <c r="D1012">
        <v>0</v>
      </c>
      <c r="E1012">
        <v>1800</v>
      </c>
      <c r="F1012">
        <v>0</v>
      </c>
      <c r="G1012">
        <v>0</v>
      </c>
      <c r="H1012" t="s">
        <v>19</v>
      </c>
    </row>
    <row r="1013" spans="1:8" x14ac:dyDescent="0.25">
      <c r="A1013" t="str">
        <f>"&lt;nominal&gt;" &amp;$D$1012&amp;"&lt;/nominal&gt;"</f>
        <v>&lt;nominal&gt;0&lt;/nominal&gt;</v>
      </c>
      <c r="B1013" t="s">
        <v>3347</v>
      </c>
    </row>
    <row r="1014" spans="1:8" x14ac:dyDescent="0.25">
      <c r="A1014" t="str">
        <f>"&lt;lifetime&gt;" &amp;$E$1012&amp;"&lt;/lifetime&gt;"</f>
        <v>&lt;lifetime&gt;1800&lt;/lifetime&gt;</v>
      </c>
      <c r="B1014" t="s">
        <v>3347</v>
      </c>
    </row>
    <row r="1015" spans="1:8" x14ac:dyDescent="0.25">
      <c r="A1015" t="str">
        <f>"&lt;restock&gt;" &amp;$F$1012&amp;"&lt;/restock&gt;"</f>
        <v>&lt;restock&gt;0&lt;/restock&gt;</v>
      </c>
      <c r="B1015" t="s">
        <v>3347</v>
      </c>
    </row>
    <row r="1016" spans="1:8" x14ac:dyDescent="0.25">
      <c r="A1016" t="str">
        <f>"&lt;min&gt;" &amp;$G$1012&amp;"&lt;/min&gt;"</f>
        <v>&lt;min&gt;0&lt;/min&gt;</v>
      </c>
      <c r="B1016" t="s">
        <v>3347</v>
      </c>
    </row>
    <row r="1017" spans="1:8" x14ac:dyDescent="0.25">
      <c r="A1017" t="s">
        <v>16</v>
      </c>
      <c r="B1017" t="s">
        <v>3347</v>
      </c>
    </row>
    <row r="1018" spans="1:8" x14ac:dyDescent="0.25">
      <c r="A1018" t="s">
        <v>17</v>
      </c>
      <c r="B1018" t="s">
        <v>3347</v>
      </c>
    </row>
    <row r="1019" spans="1:8" x14ac:dyDescent="0.25">
      <c r="A1019" t="s">
        <v>18</v>
      </c>
      <c r="B1019" t="s">
        <v>3347</v>
      </c>
    </row>
    <row r="1020" spans="1:8" x14ac:dyDescent="0.25">
      <c r="A1020" t="str">
        <f xml:space="preserve"> $H$1012</f>
        <v>&lt;flags count_in_cargo="0" count_in_hoarder="0" count_in_map="1" count_in_player="0" crafted="0" deloot="0"/&gt;</v>
      </c>
      <c r="B1020" t="s">
        <v>3347</v>
      </c>
    </row>
    <row r="1021" spans="1:8" x14ac:dyDescent="0.25">
      <c r="A1021" t="s">
        <v>22</v>
      </c>
      <c r="B1021" t="s">
        <v>3347</v>
      </c>
    </row>
    <row r="1022" spans="1:8" x14ac:dyDescent="0.25">
      <c r="A1022" t="s">
        <v>1477</v>
      </c>
      <c r="B1022" t="s">
        <v>3348</v>
      </c>
      <c r="D1022">
        <v>0</v>
      </c>
      <c r="E1022">
        <v>1800</v>
      </c>
      <c r="F1022">
        <v>0</v>
      </c>
      <c r="G1022">
        <v>0</v>
      </c>
      <c r="H1022" t="s">
        <v>19</v>
      </c>
    </row>
    <row r="1023" spans="1:8" x14ac:dyDescent="0.25">
      <c r="A1023" t="str">
        <f>"&lt;nominal&gt;" &amp;$D$1022&amp;"&lt;/nominal&gt;"</f>
        <v>&lt;nominal&gt;0&lt;/nominal&gt;</v>
      </c>
      <c r="B1023" t="s">
        <v>3348</v>
      </c>
    </row>
    <row r="1024" spans="1:8" x14ac:dyDescent="0.25">
      <c r="A1024" t="str">
        <f>"&lt;lifetime&gt;" &amp;$E$1022&amp;"&lt;/lifetime&gt;"</f>
        <v>&lt;lifetime&gt;1800&lt;/lifetime&gt;</v>
      </c>
      <c r="B1024" t="s">
        <v>3348</v>
      </c>
    </row>
    <row r="1025" spans="1:8" x14ac:dyDescent="0.25">
      <c r="A1025" t="str">
        <f>"&lt;restock&gt;" &amp;$F$1022&amp;"&lt;/restock&gt;"</f>
        <v>&lt;restock&gt;0&lt;/restock&gt;</v>
      </c>
      <c r="B1025" t="s">
        <v>3348</v>
      </c>
    </row>
    <row r="1026" spans="1:8" x14ac:dyDescent="0.25">
      <c r="A1026" t="str">
        <f>"&lt;min&gt;" &amp;$G$1022&amp;"&lt;/min&gt;"</f>
        <v>&lt;min&gt;0&lt;/min&gt;</v>
      </c>
      <c r="B1026" t="s">
        <v>3348</v>
      </c>
    </row>
    <row r="1027" spans="1:8" x14ac:dyDescent="0.25">
      <c r="A1027" t="s">
        <v>16</v>
      </c>
      <c r="B1027" t="s">
        <v>3348</v>
      </c>
    </row>
    <row r="1028" spans="1:8" x14ac:dyDescent="0.25">
      <c r="A1028" t="s">
        <v>17</v>
      </c>
      <c r="B1028" t="s">
        <v>3348</v>
      </c>
    </row>
    <row r="1029" spans="1:8" x14ac:dyDescent="0.25">
      <c r="A1029" t="s">
        <v>18</v>
      </c>
      <c r="B1029" t="s">
        <v>3348</v>
      </c>
    </row>
    <row r="1030" spans="1:8" x14ac:dyDescent="0.25">
      <c r="A1030" t="str">
        <f xml:space="preserve"> $H$1022</f>
        <v>&lt;flags count_in_cargo="0" count_in_hoarder="0" count_in_map="1" count_in_player="0" crafted="0" deloot="0"/&gt;</v>
      </c>
      <c r="B1030" t="s">
        <v>3348</v>
      </c>
    </row>
    <row r="1031" spans="1:8" x14ac:dyDescent="0.25">
      <c r="A1031" t="s">
        <v>22</v>
      </c>
      <c r="B1031" t="s">
        <v>3348</v>
      </c>
    </row>
    <row r="1032" spans="1:8" x14ac:dyDescent="0.25">
      <c r="A1032" t="s">
        <v>1478</v>
      </c>
      <c r="B1032" t="s">
        <v>3349</v>
      </c>
      <c r="D1032">
        <v>0</v>
      </c>
      <c r="E1032">
        <v>1800</v>
      </c>
      <c r="F1032">
        <v>0</v>
      </c>
      <c r="G1032">
        <v>0</v>
      </c>
      <c r="H1032" t="s">
        <v>19</v>
      </c>
    </row>
    <row r="1033" spans="1:8" x14ac:dyDescent="0.25">
      <c r="A1033" t="str">
        <f>"&lt;nominal&gt;" &amp;$D$1032&amp;"&lt;/nominal&gt;"</f>
        <v>&lt;nominal&gt;0&lt;/nominal&gt;</v>
      </c>
      <c r="B1033" t="s">
        <v>3349</v>
      </c>
    </row>
    <row r="1034" spans="1:8" x14ac:dyDescent="0.25">
      <c r="A1034" t="str">
        <f>"&lt;lifetime&gt;" &amp;$E$1032&amp;"&lt;/lifetime&gt;"</f>
        <v>&lt;lifetime&gt;1800&lt;/lifetime&gt;</v>
      </c>
      <c r="B1034" t="s">
        <v>3349</v>
      </c>
    </row>
    <row r="1035" spans="1:8" x14ac:dyDescent="0.25">
      <c r="A1035" t="str">
        <f>"&lt;restock&gt;" &amp;$F$1032&amp;"&lt;/restock&gt;"</f>
        <v>&lt;restock&gt;0&lt;/restock&gt;</v>
      </c>
      <c r="B1035" t="s">
        <v>3349</v>
      </c>
    </row>
    <row r="1036" spans="1:8" x14ac:dyDescent="0.25">
      <c r="A1036" t="str">
        <f>"&lt;min&gt;" &amp;$G$1032&amp;"&lt;/min&gt;"</f>
        <v>&lt;min&gt;0&lt;/min&gt;</v>
      </c>
      <c r="B1036" t="s">
        <v>3349</v>
      </c>
    </row>
    <row r="1037" spans="1:8" x14ac:dyDescent="0.25">
      <c r="A1037" t="s">
        <v>16</v>
      </c>
      <c r="B1037" t="s">
        <v>3349</v>
      </c>
    </row>
    <row r="1038" spans="1:8" x14ac:dyDescent="0.25">
      <c r="A1038" t="s">
        <v>17</v>
      </c>
      <c r="B1038" t="s">
        <v>3349</v>
      </c>
    </row>
    <row r="1039" spans="1:8" x14ac:dyDescent="0.25">
      <c r="A1039" t="s">
        <v>18</v>
      </c>
      <c r="B1039" t="s">
        <v>3349</v>
      </c>
    </row>
    <row r="1040" spans="1:8" x14ac:dyDescent="0.25">
      <c r="A1040" t="str">
        <f xml:space="preserve"> $H$1032</f>
        <v>&lt;flags count_in_cargo="0" count_in_hoarder="0" count_in_map="1" count_in_player="0" crafted="0" deloot="0"/&gt;</v>
      </c>
      <c r="B1040" t="s">
        <v>3349</v>
      </c>
    </row>
    <row r="1041" spans="1:8" x14ac:dyDescent="0.25">
      <c r="A1041" t="s">
        <v>22</v>
      </c>
      <c r="B1041" t="s">
        <v>3349</v>
      </c>
    </row>
    <row r="1042" spans="1:8" x14ac:dyDescent="0.25">
      <c r="A1042" t="s">
        <v>1479</v>
      </c>
      <c r="B1042" t="s">
        <v>3350</v>
      </c>
      <c r="D1042">
        <v>0</v>
      </c>
      <c r="E1042">
        <v>1800</v>
      </c>
      <c r="F1042">
        <v>0</v>
      </c>
      <c r="G1042">
        <v>0</v>
      </c>
      <c r="H1042" t="s">
        <v>19</v>
      </c>
    </row>
    <row r="1043" spans="1:8" x14ac:dyDescent="0.25">
      <c r="A1043" t="str">
        <f>"&lt;nominal&gt;" &amp;$D$1042&amp;"&lt;/nominal&gt;"</f>
        <v>&lt;nominal&gt;0&lt;/nominal&gt;</v>
      </c>
      <c r="B1043" t="s">
        <v>3350</v>
      </c>
    </row>
    <row r="1044" spans="1:8" x14ac:dyDescent="0.25">
      <c r="A1044" t="str">
        <f>"&lt;lifetime&gt;" &amp;$E$1042&amp;"&lt;/lifetime&gt;"</f>
        <v>&lt;lifetime&gt;1800&lt;/lifetime&gt;</v>
      </c>
      <c r="B1044" t="s">
        <v>3350</v>
      </c>
    </row>
    <row r="1045" spans="1:8" x14ac:dyDescent="0.25">
      <c r="A1045" t="str">
        <f>"&lt;restock&gt;" &amp;$F$1042&amp;"&lt;/restock&gt;"</f>
        <v>&lt;restock&gt;0&lt;/restock&gt;</v>
      </c>
      <c r="B1045" t="s">
        <v>3350</v>
      </c>
    </row>
    <row r="1046" spans="1:8" x14ac:dyDescent="0.25">
      <c r="A1046" t="str">
        <f>"&lt;min&gt;" &amp;$G$1042&amp;"&lt;/min&gt;"</f>
        <v>&lt;min&gt;0&lt;/min&gt;</v>
      </c>
      <c r="B1046" t="s">
        <v>3350</v>
      </c>
    </row>
    <row r="1047" spans="1:8" x14ac:dyDescent="0.25">
      <c r="A1047" t="s">
        <v>16</v>
      </c>
      <c r="B1047" t="s">
        <v>3350</v>
      </c>
    </row>
    <row r="1048" spans="1:8" x14ac:dyDescent="0.25">
      <c r="A1048" t="s">
        <v>17</v>
      </c>
      <c r="B1048" t="s">
        <v>3350</v>
      </c>
    </row>
    <row r="1049" spans="1:8" x14ac:dyDescent="0.25">
      <c r="A1049" t="s">
        <v>18</v>
      </c>
      <c r="B1049" t="s">
        <v>3350</v>
      </c>
    </row>
    <row r="1050" spans="1:8" x14ac:dyDescent="0.25">
      <c r="A1050" t="str">
        <f xml:space="preserve"> $H$1042</f>
        <v>&lt;flags count_in_cargo="0" count_in_hoarder="0" count_in_map="1" count_in_player="0" crafted="0" deloot="0"/&gt;</v>
      </c>
      <c r="B1050" t="s">
        <v>3350</v>
      </c>
    </row>
    <row r="1051" spans="1:8" x14ac:dyDescent="0.25">
      <c r="A1051" t="s">
        <v>22</v>
      </c>
      <c r="B1051" t="s">
        <v>3350</v>
      </c>
    </row>
    <row r="1052" spans="1:8" x14ac:dyDescent="0.25">
      <c r="A1052" t="s">
        <v>1480</v>
      </c>
      <c r="B1052" t="s">
        <v>3351</v>
      </c>
      <c r="D1052">
        <v>0</v>
      </c>
      <c r="E1052">
        <v>1800</v>
      </c>
      <c r="F1052">
        <v>0</v>
      </c>
      <c r="G1052">
        <v>0</v>
      </c>
      <c r="H1052" t="s">
        <v>19</v>
      </c>
    </row>
    <row r="1053" spans="1:8" x14ac:dyDescent="0.25">
      <c r="A1053" t="str">
        <f>"&lt;nominal&gt;" &amp;$D$1052&amp;"&lt;/nominal&gt;"</f>
        <v>&lt;nominal&gt;0&lt;/nominal&gt;</v>
      </c>
      <c r="B1053" t="s">
        <v>3351</v>
      </c>
    </row>
    <row r="1054" spans="1:8" x14ac:dyDescent="0.25">
      <c r="A1054" t="str">
        <f>"&lt;lifetime&gt;" &amp;$E$1052&amp;"&lt;/lifetime&gt;"</f>
        <v>&lt;lifetime&gt;1800&lt;/lifetime&gt;</v>
      </c>
      <c r="B1054" t="s">
        <v>3351</v>
      </c>
    </row>
    <row r="1055" spans="1:8" x14ac:dyDescent="0.25">
      <c r="A1055" t="str">
        <f>"&lt;restock&gt;" &amp;$F$1052&amp;"&lt;/restock&gt;"</f>
        <v>&lt;restock&gt;0&lt;/restock&gt;</v>
      </c>
      <c r="B1055" t="s">
        <v>3351</v>
      </c>
    </row>
    <row r="1056" spans="1:8" x14ac:dyDescent="0.25">
      <c r="A1056" t="str">
        <f>"&lt;min&gt;" &amp;$G$1052&amp;"&lt;/min&gt;"</f>
        <v>&lt;min&gt;0&lt;/min&gt;</v>
      </c>
      <c r="B1056" t="s">
        <v>3351</v>
      </c>
    </row>
    <row r="1057" spans="1:8" x14ac:dyDescent="0.25">
      <c r="A1057" t="s">
        <v>16</v>
      </c>
      <c r="B1057" t="s">
        <v>3351</v>
      </c>
    </row>
    <row r="1058" spans="1:8" x14ac:dyDescent="0.25">
      <c r="A1058" t="s">
        <v>17</v>
      </c>
      <c r="B1058" t="s">
        <v>3351</v>
      </c>
    </row>
    <row r="1059" spans="1:8" x14ac:dyDescent="0.25">
      <c r="A1059" t="s">
        <v>18</v>
      </c>
      <c r="B1059" t="s">
        <v>3351</v>
      </c>
    </row>
    <row r="1060" spans="1:8" x14ac:dyDescent="0.25">
      <c r="A1060" t="str">
        <f xml:space="preserve"> $H$1052</f>
        <v>&lt;flags count_in_cargo="0" count_in_hoarder="0" count_in_map="1" count_in_player="0" crafted="0" deloot="0"/&gt;</v>
      </c>
      <c r="B1060" t="s">
        <v>3351</v>
      </c>
    </row>
    <row r="1061" spans="1:8" x14ac:dyDescent="0.25">
      <c r="A1061" t="s">
        <v>22</v>
      </c>
      <c r="B1061" t="s">
        <v>3351</v>
      </c>
    </row>
    <row r="1062" spans="1:8" x14ac:dyDescent="0.25">
      <c r="A1062" t="s">
        <v>1481</v>
      </c>
      <c r="B1062" t="s">
        <v>3352</v>
      </c>
      <c r="D1062">
        <v>0</v>
      </c>
      <c r="E1062">
        <v>1800</v>
      </c>
      <c r="F1062">
        <v>0</v>
      </c>
      <c r="G1062">
        <v>0</v>
      </c>
      <c r="H1062" t="s">
        <v>19</v>
      </c>
    </row>
    <row r="1063" spans="1:8" x14ac:dyDescent="0.25">
      <c r="A1063" t="str">
        <f>"&lt;nominal&gt;" &amp;$D$1062&amp;"&lt;/nominal&gt;"</f>
        <v>&lt;nominal&gt;0&lt;/nominal&gt;</v>
      </c>
      <c r="B1063" t="s">
        <v>3352</v>
      </c>
    </row>
    <row r="1064" spans="1:8" x14ac:dyDescent="0.25">
      <c r="A1064" t="str">
        <f>"&lt;lifetime&gt;" &amp;$E$1062&amp;"&lt;/lifetime&gt;"</f>
        <v>&lt;lifetime&gt;1800&lt;/lifetime&gt;</v>
      </c>
      <c r="B1064" t="s">
        <v>3352</v>
      </c>
    </row>
    <row r="1065" spans="1:8" x14ac:dyDescent="0.25">
      <c r="A1065" t="str">
        <f>"&lt;restock&gt;" &amp;$F$1062&amp;"&lt;/restock&gt;"</f>
        <v>&lt;restock&gt;0&lt;/restock&gt;</v>
      </c>
      <c r="B1065" t="s">
        <v>3352</v>
      </c>
    </row>
    <row r="1066" spans="1:8" x14ac:dyDescent="0.25">
      <c r="A1066" t="str">
        <f>"&lt;min&gt;" &amp;$G$1062&amp;"&lt;/min&gt;"</f>
        <v>&lt;min&gt;0&lt;/min&gt;</v>
      </c>
      <c r="B1066" t="s">
        <v>3352</v>
      </c>
    </row>
    <row r="1067" spans="1:8" x14ac:dyDescent="0.25">
      <c r="A1067" t="s">
        <v>16</v>
      </c>
      <c r="B1067" t="s">
        <v>3352</v>
      </c>
    </row>
    <row r="1068" spans="1:8" x14ac:dyDescent="0.25">
      <c r="A1068" t="s">
        <v>17</v>
      </c>
      <c r="B1068" t="s">
        <v>3352</v>
      </c>
    </row>
    <row r="1069" spans="1:8" x14ac:dyDescent="0.25">
      <c r="A1069" t="s">
        <v>18</v>
      </c>
      <c r="B1069" t="s">
        <v>3352</v>
      </c>
    </row>
    <row r="1070" spans="1:8" x14ac:dyDescent="0.25">
      <c r="A1070" t="str">
        <f xml:space="preserve"> $H$1062</f>
        <v>&lt;flags count_in_cargo="0" count_in_hoarder="0" count_in_map="1" count_in_player="0" crafted="0" deloot="0"/&gt;</v>
      </c>
      <c r="B1070" t="s">
        <v>3352</v>
      </c>
    </row>
    <row r="1071" spans="1:8" x14ac:dyDescent="0.25">
      <c r="A1071" t="s">
        <v>22</v>
      </c>
      <c r="B1071" t="s">
        <v>3352</v>
      </c>
    </row>
    <row r="1072" spans="1:8" x14ac:dyDescent="0.25">
      <c r="A1072" t="s">
        <v>1482</v>
      </c>
      <c r="B1072" t="s">
        <v>3353</v>
      </c>
      <c r="D1072">
        <v>0</v>
      </c>
      <c r="E1072">
        <v>1800</v>
      </c>
      <c r="F1072">
        <v>0</v>
      </c>
      <c r="G1072">
        <v>0</v>
      </c>
      <c r="H1072" t="s">
        <v>19</v>
      </c>
    </row>
    <row r="1073" spans="1:8" x14ac:dyDescent="0.25">
      <c r="A1073" t="str">
        <f>"&lt;nominal&gt;" &amp;$D$1072&amp;"&lt;/nominal&gt;"</f>
        <v>&lt;nominal&gt;0&lt;/nominal&gt;</v>
      </c>
      <c r="B1073" t="s">
        <v>3353</v>
      </c>
    </row>
    <row r="1074" spans="1:8" x14ac:dyDescent="0.25">
      <c r="A1074" t="str">
        <f>"&lt;lifetime&gt;" &amp;$E$1072&amp;"&lt;/lifetime&gt;"</f>
        <v>&lt;lifetime&gt;1800&lt;/lifetime&gt;</v>
      </c>
      <c r="B1074" t="s">
        <v>3353</v>
      </c>
    </row>
    <row r="1075" spans="1:8" x14ac:dyDescent="0.25">
      <c r="A1075" t="str">
        <f>"&lt;restock&gt;" &amp;$F$1072&amp;"&lt;/restock&gt;"</f>
        <v>&lt;restock&gt;0&lt;/restock&gt;</v>
      </c>
      <c r="B1075" t="s">
        <v>3353</v>
      </c>
    </row>
    <row r="1076" spans="1:8" x14ac:dyDescent="0.25">
      <c r="A1076" t="str">
        <f>"&lt;min&gt;" &amp;$G$1072&amp;"&lt;/min&gt;"</f>
        <v>&lt;min&gt;0&lt;/min&gt;</v>
      </c>
      <c r="B1076" t="s">
        <v>3353</v>
      </c>
    </row>
    <row r="1077" spans="1:8" x14ac:dyDescent="0.25">
      <c r="A1077" t="s">
        <v>16</v>
      </c>
      <c r="B1077" t="s">
        <v>3353</v>
      </c>
    </row>
    <row r="1078" spans="1:8" x14ac:dyDescent="0.25">
      <c r="A1078" t="s">
        <v>17</v>
      </c>
      <c r="B1078" t="s">
        <v>3353</v>
      </c>
    </row>
    <row r="1079" spans="1:8" x14ac:dyDescent="0.25">
      <c r="A1079" t="s">
        <v>18</v>
      </c>
      <c r="B1079" t="s">
        <v>3353</v>
      </c>
    </row>
    <row r="1080" spans="1:8" x14ac:dyDescent="0.25">
      <c r="A1080" t="str">
        <f xml:space="preserve"> $H$1072</f>
        <v>&lt;flags count_in_cargo="0" count_in_hoarder="0" count_in_map="1" count_in_player="0" crafted="0" deloot="0"/&gt;</v>
      </c>
      <c r="B1080" t="s">
        <v>3353</v>
      </c>
    </row>
    <row r="1081" spans="1:8" x14ac:dyDescent="0.25">
      <c r="A1081" t="s">
        <v>22</v>
      </c>
      <c r="B1081" t="s">
        <v>3353</v>
      </c>
    </row>
    <row r="1082" spans="1:8" x14ac:dyDescent="0.25">
      <c r="A1082" t="s">
        <v>1483</v>
      </c>
      <c r="B1082" t="s">
        <v>3354</v>
      </c>
      <c r="D1082">
        <v>0</v>
      </c>
      <c r="E1082">
        <v>1800</v>
      </c>
      <c r="F1082">
        <v>0</v>
      </c>
      <c r="G1082">
        <v>0</v>
      </c>
      <c r="H1082" t="s">
        <v>19</v>
      </c>
    </row>
    <row r="1083" spans="1:8" x14ac:dyDescent="0.25">
      <c r="A1083" t="str">
        <f>"&lt;nominal&gt;" &amp;$D$1082&amp;"&lt;/nominal&gt;"</f>
        <v>&lt;nominal&gt;0&lt;/nominal&gt;</v>
      </c>
      <c r="B1083" t="s">
        <v>3354</v>
      </c>
    </row>
    <row r="1084" spans="1:8" x14ac:dyDescent="0.25">
      <c r="A1084" t="str">
        <f>"&lt;lifetime&gt;" &amp;$E$1082&amp;"&lt;/lifetime&gt;"</f>
        <v>&lt;lifetime&gt;1800&lt;/lifetime&gt;</v>
      </c>
      <c r="B1084" t="s">
        <v>3354</v>
      </c>
    </row>
    <row r="1085" spans="1:8" x14ac:dyDescent="0.25">
      <c r="A1085" t="str">
        <f>"&lt;restock&gt;" &amp;$F$1082&amp;"&lt;/restock&gt;"</f>
        <v>&lt;restock&gt;0&lt;/restock&gt;</v>
      </c>
      <c r="B1085" t="s">
        <v>3354</v>
      </c>
    </row>
    <row r="1086" spans="1:8" x14ac:dyDescent="0.25">
      <c r="A1086" t="str">
        <f>"&lt;min&gt;" &amp;$G$1082&amp;"&lt;/min&gt;"</f>
        <v>&lt;min&gt;0&lt;/min&gt;</v>
      </c>
      <c r="B1086" t="s">
        <v>3354</v>
      </c>
    </row>
    <row r="1087" spans="1:8" x14ac:dyDescent="0.25">
      <c r="A1087" t="s">
        <v>16</v>
      </c>
      <c r="B1087" t="s">
        <v>3354</v>
      </c>
    </row>
    <row r="1088" spans="1:8" x14ac:dyDescent="0.25">
      <c r="A1088" t="s">
        <v>17</v>
      </c>
      <c r="B1088" t="s">
        <v>3354</v>
      </c>
    </row>
    <row r="1089" spans="1:8" x14ac:dyDescent="0.25">
      <c r="A1089" t="s">
        <v>18</v>
      </c>
      <c r="B1089" t="s">
        <v>3354</v>
      </c>
    </row>
    <row r="1090" spans="1:8" x14ac:dyDescent="0.25">
      <c r="A1090" t="str">
        <f xml:space="preserve"> $H$1082</f>
        <v>&lt;flags count_in_cargo="0" count_in_hoarder="0" count_in_map="1" count_in_player="0" crafted="0" deloot="0"/&gt;</v>
      </c>
      <c r="B1090" t="s">
        <v>3354</v>
      </c>
    </row>
    <row r="1091" spans="1:8" x14ac:dyDescent="0.25">
      <c r="A1091" t="s">
        <v>22</v>
      </c>
      <c r="B1091" t="s">
        <v>3354</v>
      </c>
    </row>
    <row r="1092" spans="1:8" x14ac:dyDescent="0.25">
      <c r="A1092" t="s">
        <v>1484</v>
      </c>
      <c r="B1092" t="s">
        <v>3355</v>
      </c>
      <c r="D1092">
        <v>0</v>
      </c>
      <c r="E1092">
        <v>1800</v>
      </c>
      <c r="F1092">
        <v>0</v>
      </c>
      <c r="G1092">
        <v>0</v>
      </c>
      <c r="H1092" t="s">
        <v>19</v>
      </c>
    </row>
    <row r="1093" spans="1:8" x14ac:dyDescent="0.25">
      <c r="A1093" t="str">
        <f>"&lt;nominal&gt;" &amp;$D$1092&amp;"&lt;/nominal&gt;"</f>
        <v>&lt;nominal&gt;0&lt;/nominal&gt;</v>
      </c>
      <c r="B1093" t="s">
        <v>3355</v>
      </c>
    </row>
    <row r="1094" spans="1:8" x14ac:dyDescent="0.25">
      <c r="A1094" t="str">
        <f>"&lt;lifetime&gt;" &amp;$E$1092&amp;"&lt;/lifetime&gt;"</f>
        <v>&lt;lifetime&gt;1800&lt;/lifetime&gt;</v>
      </c>
      <c r="B1094" t="s">
        <v>3355</v>
      </c>
    </row>
    <row r="1095" spans="1:8" x14ac:dyDescent="0.25">
      <c r="A1095" t="str">
        <f>"&lt;restock&gt;" &amp;$F$1092&amp;"&lt;/restock&gt;"</f>
        <v>&lt;restock&gt;0&lt;/restock&gt;</v>
      </c>
      <c r="B1095" t="s">
        <v>3355</v>
      </c>
    </row>
    <row r="1096" spans="1:8" x14ac:dyDescent="0.25">
      <c r="A1096" t="str">
        <f>"&lt;min&gt;" &amp;$G$1092&amp;"&lt;/min&gt;"</f>
        <v>&lt;min&gt;0&lt;/min&gt;</v>
      </c>
      <c r="B1096" t="s">
        <v>3355</v>
      </c>
    </row>
    <row r="1097" spans="1:8" x14ac:dyDescent="0.25">
      <c r="A1097" t="s">
        <v>16</v>
      </c>
      <c r="B1097" t="s">
        <v>3355</v>
      </c>
    </row>
    <row r="1098" spans="1:8" x14ac:dyDescent="0.25">
      <c r="A1098" t="s">
        <v>17</v>
      </c>
      <c r="B1098" t="s">
        <v>3355</v>
      </c>
    </row>
    <row r="1099" spans="1:8" x14ac:dyDescent="0.25">
      <c r="A1099" t="s">
        <v>18</v>
      </c>
      <c r="B1099" t="s">
        <v>3355</v>
      </c>
    </row>
    <row r="1100" spans="1:8" x14ac:dyDescent="0.25">
      <c r="A1100" t="str">
        <f xml:space="preserve"> $H$1092</f>
        <v>&lt;flags count_in_cargo="0" count_in_hoarder="0" count_in_map="1" count_in_player="0" crafted="0" deloot="0"/&gt;</v>
      </c>
      <c r="B1100" t="s">
        <v>3355</v>
      </c>
    </row>
    <row r="1101" spans="1:8" x14ac:dyDescent="0.25">
      <c r="A1101" t="s">
        <v>22</v>
      </c>
      <c r="B1101" t="s">
        <v>3355</v>
      </c>
    </row>
    <row r="1102" spans="1:8" x14ac:dyDescent="0.25">
      <c r="A1102" t="s">
        <v>1485</v>
      </c>
      <c r="B1102" t="s">
        <v>3356</v>
      </c>
      <c r="D1102">
        <v>0</v>
      </c>
      <c r="E1102">
        <v>1800</v>
      </c>
      <c r="F1102">
        <v>0</v>
      </c>
      <c r="G1102">
        <v>0</v>
      </c>
      <c r="H1102" t="s">
        <v>19</v>
      </c>
    </row>
    <row r="1103" spans="1:8" x14ac:dyDescent="0.25">
      <c r="A1103" t="str">
        <f>"&lt;nominal&gt;" &amp;$D$1102&amp;"&lt;/nominal&gt;"</f>
        <v>&lt;nominal&gt;0&lt;/nominal&gt;</v>
      </c>
      <c r="B1103" t="s">
        <v>3356</v>
      </c>
    </row>
    <row r="1104" spans="1:8" x14ac:dyDescent="0.25">
      <c r="A1104" t="str">
        <f>"&lt;lifetime&gt;" &amp;$E$1102&amp;"&lt;/lifetime&gt;"</f>
        <v>&lt;lifetime&gt;1800&lt;/lifetime&gt;</v>
      </c>
      <c r="B1104" t="s">
        <v>3356</v>
      </c>
    </row>
    <row r="1105" spans="1:8" x14ac:dyDescent="0.25">
      <c r="A1105" t="str">
        <f>"&lt;restock&gt;" &amp;$F$1102&amp;"&lt;/restock&gt;"</f>
        <v>&lt;restock&gt;0&lt;/restock&gt;</v>
      </c>
      <c r="B1105" t="s">
        <v>3356</v>
      </c>
    </row>
    <row r="1106" spans="1:8" x14ac:dyDescent="0.25">
      <c r="A1106" t="str">
        <f>"&lt;min&gt;" &amp;$G$1102&amp;"&lt;/min&gt;"</f>
        <v>&lt;min&gt;0&lt;/min&gt;</v>
      </c>
      <c r="B1106" t="s">
        <v>3356</v>
      </c>
    </row>
    <row r="1107" spans="1:8" x14ac:dyDescent="0.25">
      <c r="A1107" t="s">
        <v>16</v>
      </c>
      <c r="B1107" t="s">
        <v>3356</v>
      </c>
    </row>
    <row r="1108" spans="1:8" x14ac:dyDescent="0.25">
      <c r="A1108" t="s">
        <v>17</v>
      </c>
      <c r="B1108" t="s">
        <v>3356</v>
      </c>
    </row>
    <row r="1109" spans="1:8" x14ac:dyDescent="0.25">
      <c r="A1109" t="s">
        <v>18</v>
      </c>
      <c r="B1109" t="s">
        <v>3356</v>
      </c>
    </row>
    <row r="1110" spans="1:8" x14ac:dyDescent="0.25">
      <c r="A1110" t="str">
        <f xml:space="preserve"> $H$1102</f>
        <v>&lt;flags count_in_cargo="0" count_in_hoarder="0" count_in_map="1" count_in_player="0" crafted="0" deloot="0"/&gt;</v>
      </c>
      <c r="B1110" t="s">
        <v>3356</v>
      </c>
    </row>
    <row r="1111" spans="1:8" x14ac:dyDescent="0.25">
      <c r="A1111" t="s">
        <v>22</v>
      </c>
      <c r="B1111" t="s">
        <v>3356</v>
      </c>
    </row>
    <row r="1112" spans="1:8" x14ac:dyDescent="0.25">
      <c r="A1112" t="s">
        <v>1486</v>
      </c>
      <c r="B1112" t="s">
        <v>3357</v>
      </c>
      <c r="D1112">
        <v>0</v>
      </c>
      <c r="E1112">
        <v>1800</v>
      </c>
      <c r="F1112">
        <v>0</v>
      </c>
      <c r="G1112">
        <v>0</v>
      </c>
      <c r="H1112" t="s">
        <v>19</v>
      </c>
    </row>
    <row r="1113" spans="1:8" x14ac:dyDescent="0.25">
      <c r="A1113" t="str">
        <f>"&lt;nominal&gt;" &amp;$D$1112&amp;"&lt;/nominal&gt;"</f>
        <v>&lt;nominal&gt;0&lt;/nominal&gt;</v>
      </c>
      <c r="B1113" t="s">
        <v>3357</v>
      </c>
    </row>
    <row r="1114" spans="1:8" x14ac:dyDescent="0.25">
      <c r="A1114" t="str">
        <f>"&lt;lifetime&gt;" &amp;$E$1112&amp;"&lt;/lifetime&gt;"</f>
        <v>&lt;lifetime&gt;1800&lt;/lifetime&gt;</v>
      </c>
      <c r="B1114" t="s">
        <v>3357</v>
      </c>
    </row>
    <row r="1115" spans="1:8" x14ac:dyDescent="0.25">
      <c r="A1115" t="str">
        <f>"&lt;restock&gt;" &amp;$F$1112&amp;"&lt;/restock&gt;"</f>
        <v>&lt;restock&gt;0&lt;/restock&gt;</v>
      </c>
      <c r="B1115" t="s">
        <v>3357</v>
      </c>
    </row>
    <row r="1116" spans="1:8" x14ac:dyDescent="0.25">
      <c r="A1116" t="str">
        <f>"&lt;min&gt;" &amp;$G$1112&amp;"&lt;/min&gt;"</f>
        <v>&lt;min&gt;0&lt;/min&gt;</v>
      </c>
      <c r="B1116" t="s">
        <v>3357</v>
      </c>
    </row>
    <row r="1117" spans="1:8" x14ac:dyDescent="0.25">
      <c r="A1117" t="s">
        <v>16</v>
      </c>
      <c r="B1117" t="s">
        <v>3357</v>
      </c>
    </row>
    <row r="1118" spans="1:8" x14ac:dyDescent="0.25">
      <c r="A1118" t="s">
        <v>17</v>
      </c>
      <c r="B1118" t="s">
        <v>3357</v>
      </c>
    </row>
    <row r="1119" spans="1:8" x14ac:dyDescent="0.25">
      <c r="A1119" t="s">
        <v>18</v>
      </c>
      <c r="B1119" t="s">
        <v>3357</v>
      </c>
    </row>
    <row r="1120" spans="1:8" x14ac:dyDescent="0.25">
      <c r="A1120" t="str">
        <f xml:space="preserve"> $H$1112</f>
        <v>&lt;flags count_in_cargo="0" count_in_hoarder="0" count_in_map="1" count_in_player="0" crafted="0" deloot="0"/&gt;</v>
      </c>
      <c r="B1120" t="s">
        <v>3357</v>
      </c>
    </row>
    <row r="1121" spans="1:8" x14ac:dyDescent="0.25">
      <c r="A1121" t="s">
        <v>22</v>
      </c>
      <c r="B1121" t="s">
        <v>3357</v>
      </c>
    </row>
    <row r="1122" spans="1:8" x14ac:dyDescent="0.25">
      <c r="A1122" t="s">
        <v>1487</v>
      </c>
      <c r="B1122" t="s">
        <v>3358</v>
      </c>
      <c r="D1122">
        <v>0</v>
      </c>
      <c r="E1122">
        <v>1800</v>
      </c>
      <c r="F1122">
        <v>0</v>
      </c>
      <c r="G1122">
        <v>0</v>
      </c>
      <c r="H1122" t="s">
        <v>19</v>
      </c>
    </row>
    <row r="1123" spans="1:8" x14ac:dyDescent="0.25">
      <c r="A1123" t="str">
        <f>"&lt;nominal&gt;" &amp;$D$1122&amp;"&lt;/nominal&gt;"</f>
        <v>&lt;nominal&gt;0&lt;/nominal&gt;</v>
      </c>
      <c r="B1123" t="s">
        <v>3358</v>
      </c>
    </row>
    <row r="1124" spans="1:8" x14ac:dyDescent="0.25">
      <c r="A1124" t="str">
        <f>"&lt;lifetime&gt;" &amp;$E$1122&amp;"&lt;/lifetime&gt;"</f>
        <v>&lt;lifetime&gt;1800&lt;/lifetime&gt;</v>
      </c>
      <c r="B1124" t="s">
        <v>3358</v>
      </c>
    </row>
    <row r="1125" spans="1:8" x14ac:dyDescent="0.25">
      <c r="A1125" t="str">
        <f>"&lt;restock&gt;" &amp;$F$1122&amp;"&lt;/restock&gt;"</f>
        <v>&lt;restock&gt;0&lt;/restock&gt;</v>
      </c>
      <c r="B1125" t="s">
        <v>3358</v>
      </c>
    </row>
    <row r="1126" spans="1:8" x14ac:dyDescent="0.25">
      <c r="A1126" t="str">
        <f>"&lt;min&gt;" &amp;$G$1122&amp;"&lt;/min&gt;"</f>
        <v>&lt;min&gt;0&lt;/min&gt;</v>
      </c>
      <c r="B1126" t="s">
        <v>3358</v>
      </c>
    </row>
    <row r="1127" spans="1:8" x14ac:dyDescent="0.25">
      <c r="A1127" t="s">
        <v>16</v>
      </c>
      <c r="B1127" t="s">
        <v>3358</v>
      </c>
    </row>
    <row r="1128" spans="1:8" x14ac:dyDescent="0.25">
      <c r="A1128" t="s">
        <v>17</v>
      </c>
      <c r="B1128" t="s">
        <v>3358</v>
      </c>
    </row>
    <row r="1129" spans="1:8" x14ac:dyDescent="0.25">
      <c r="A1129" t="s">
        <v>18</v>
      </c>
      <c r="B1129" t="s">
        <v>3358</v>
      </c>
    </row>
    <row r="1130" spans="1:8" x14ac:dyDescent="0.25">
      <c r="A1130" t="str">
        <f xml:space="preserve"> $H$1122</f>
        <v>&lt;flags count_in_cargo="0" count_in_hoarder="0" count_in_map="1" count_in_player="0" crafted="0" deloot="0"/&gt;</v>
      </c>
      <c r="B1130" t="s">
        <v>3358</v>
      </c>
    </row>
    <row r="1131" spans="1:8" x14ac:dyDescent="0.25">
      <c r="A1131" t="s">
        <v>22</v>
      </c>
      <c r="B1131" t="s">
        <v>3358</v>
      </c>
    </row>
    <row r="1132" spans="1:8" x14ac:dyDescent="0.25">
      <c r="A1132" t="s">
        <v>1488</v>
      </c>
      <c r="B1132" t="s">
        <v>3359</v>
      </c>
      <c r="D1132">
        <v>0</v>
      </c>
      <c r="E1132">
        <v>1800</v>
      </c>
      <c r="F1132">
        <v>0</v>
      </c>
      <c r="G1132">
        <v>0</v>
      </c>
      <c r="H1132" t="s">
        <v>19</v>
      </c>
    </row>
    <row r="1133" spans="1:8" x14ac:dyDescent="0.25">
      <c r="A1133" t="str">
        <f>"&lt;nominal&gt;" &amp;$D$1132&amp;"&lt;/nominal&gt;"</f>
        <v>&lt;nominal&gt;0&lt;/nominal&gt;</v>
      </c>
      <c r="B1133" t="s">
        <v>3359</v>
      </c>
    </row>
    <row r="1134" spans="1:8" x14ac:dyDescent="0.25">
      <c r="A1134" t="str">
        <f>"&lt;lifetime&gt;" &amp;$E$1132&amp;"&lt;/lifetime&gt;"</f>
        <v>&lt;lifetime&gt;1800&lt;/lifetime&gt;</v>
      </c>
      <c r="B1134" t="s">
        <v>3359</v>
      </c>
    </row>
    <row r="1135" spans="1:8" x14ac:dyDescent="0.25">
      <c r="A1135" t="str">
        <f>"&lt;restock&gt;" &amp;$F$1132&amp;"&lt;/restock&gt;"</f>
        <v>&lt;restock&gt;0&lt;/restock&gt;</v>
      </c>
      <c r="B1135" t="s">
        <v>3359</v>
      </c>
    </row>
    <row r="1136" spans="1:8" x14ac:dyDescent="0.25">
      <c r="A1136" t="str">
        <f>"&lt;min&gt;" &amp;$G$1132&amp;"&lt;/min&gt;"</f>
        <v>&lt;min&gt;0&lt;/min&gt;</v>
      </c>
      <c r="B1136" t="s">
        <v>3359</v>
      </c>
    </row>
    <row r="1137" spans="1:8" x14ac:dyDescent="0.25">
      <c r="A1137" t="s">
        <v>16</v>
      </c>
      <c r="B1137" t="s">
        <v>3359</v>
      </c>
    </row>
    <row r="1138" spans="1:8" x14ac:dyDescent="0.25">
      <c r="A1138" t="s">
        <v>17</v>
      </c>
      <c r="B1138" t="s">
        <v>3359</v>
      </c>
    </row>
    <row r="1139" spans="1:8" x14ac:dyDescent="0.25">
      <c r="A1139" t="s">
        <v>18</v>
      </c>
      <c r="B1139" t="s">
        <v>3359</v>
      </c>
    </row>
    <row r="1140" spans="1:8" x14ac:dyDescent="0.25">
      <c r="A1140" t="str">
        <f xml:space="preserve"> $H$1132</f>
        <v>&lt;flags count_in_cargo="0" count_in_hoarder="0" count_in_map="1" count_in_player="0" crafted="0" deloot="0"/&gt;</v>
      </c>
      <c r="B1140" t="s">
        <v>3359</v>
      </c>
    </row>
    <row r="1141" spans="1:8" x14ac:dyDescent="0.25">
      <c r="A1141" t="s">
        <v>22</v>
      </c>
      <c r="B1141" t="s">
        <v>3359</v>
      </c>
    </row>
    <row r="1142" spans="1:8" x14ac:dyDescent="0.25">
      <c r="A1142" t="s">
        <v>1489</v>
      </c>
      <c r="B1142" t="s">
        <v>3360</v>
      </c>
      <c r="D1142">
        <v>0</v>
      </c>
      <c r="E1142">
        <v>1800</v>
      </c>
      <c r="F1142">
        <v>0</v>
      </c>
      <c r="G1142">
        <v>0</v>
      </c>
      <c r="H1142" t="s">
        <v>19</v>
      </c>
    </row>
    <row r="1143" spans="1:8" x14ac:dyDescent="0.25">
      <c r="A1143" t="str">
        <f>"&lt;nominal&gt;" &amp;$D$1142&amp;"&lt;/nominal&gt;"</f>
        <v>&lt;nominal&gt;0&lt;/nominal&gt;</v>
      </c>
      <c r="B1143" t="s">
        <v>3360</v>
      </c>
    </row>
    <row r="1144" spans="1:8" x14ac:dyDescent="0.25">
      <c r="A1144" t="str">
        <f>"&lt;lifetime&gt;" &amp;$E$1142&amp;"&lt;/lifetime&gt;"</f>
        <v>&lt;lifetime&gt;1800&lt;/lifetime&gt;</v>
      </c>
      <c r="B1144" t="s">
        <v>3360</v>
      </c>
    </row>
    <row r="1145" spans="1:8" x14ac:dyDescent="0.25">
      <c r="A1145" t="str">
        <f>"&lt;restock&gt;" &amp;$F$1142&amp;"&lt;/restock&gt;"</f>
        <v>&lt;restock&gt;0&lt;/restock&gt;</v>
      </c>
      <c r="B1145" t="s">
        <v>3360</v>
      </c>
    </row>
    <row r="1146" spans="1:8" x14ac:dyDescent="0.25">
      <c r="A1146" t="str">
        <f>"&lt;min&gt;" &amp;$G$1142&amp;"&lt;/min&gt;"</f>
        <v>&lt;min&gt;0&lt;/min&gt;</v>
      </c>
      <c r="B1146" t="s">
        <v>3360</v>
      </c>
    </row>
    <row r="1147" spans="1:8" x14ac:dyDescent="0.25">
      <c r="A1147" t="s">
        <v>16</v>
      </c>
      <c r="B1147" t="s">
        <v>3360</v>
      </c>
    </row>
    <row r="1148" spans="1:8" x14ac:dyDescent="0.25">
      <c r="A1148" t="s">
        <v>17</v>
      </c>
      <c r="B1148" t="s">
        <v>3360</v>
      </c>
    </row>
    <row r="1149" spans="1:8" x14ac:dyDescent="0.25">
      <c r="A1149" t="s">
        <v>18</v>
      </c>
      <c r="B1149" t="s">
        <v>3360</v>
      </c>
    </row>
    <row r="1150" spans="1:8" x14ac:dyDescent="0.25">
      <c r="A1150" t="str">
        <f xml:space="preserve"> $H$1142</f>
        <v>&lt;flags count_in_cargo="0" count_in_hoarder="0" count_in_map="1" count_in_player="0" crafted="0" deloot="0"/&gt;</v>
      </c>
      <c r="B1150" t="s">
        <v>3360</v>
      </c>
    </row>
    <row r="1151" spans="1:8" x14ac:dyDescent="0.25">
      <c r="A1151" t="s">
        <v>22</v>
      </c>
      <c r="B1151" t="s">
        <v>3360</v>
      </c>
    </row>
    <row r="1152" spans="1:8" x14ac:dyDescent="0.25">
      <c r="A1152" t="s">
        <v>1490</v>
      </c>
      <c r="B1152" t="s">
        <v>3361</v>
      </c>
      <c r="D1152">
        <v>0</v>
      </c>
      <c r="E1152">
        <v>1800</v>
      </c>
      <c r="F1152">
        <v>0</v>
      </c>
      <c r="G1152">
        <v>0</v>
      </c>
      <c r="H1152" t="s">
        <v>19</v>
      </c>
    </row>
    <row r="1153" spans="1:8" x14ac:dyDescent="0.25">
      <c r="A1153" t="str">
        <f>"&lt;nominal&gt;" &amp;$D$1152&amp;"&lt;/nominal&gt;"</f>
        <v>&lt;nominal&gt;0&lt;/nominal&gt;</v>
      </c>
      <c r="B1153" t="s">
        <v>3361</v>
      </c>
    </row>
    <row r="1154" spans="1:8" x14ac:dyDescent="0.25">
      <c r="A1154" t="str">
        <f>"&lt;lifetime&gt;" &amp;$E$1152&amp;"&lt;/lifetime&gt;"</f>
        <v>&lt;lifetime&gt;1800&lt;/lifetime&gt;</v>
      </c>
      <c r="B1154" t="s">
        <v>3361</v>
      </c>
    </row>
    <row r="1155" spans="1:8" x14ac:dyDescent="0.25">
      <c r="A1155" t="str">
        <f>"&lt;restock&gt;" &amp;$F$1152&amp;"&lt;/restock&gt;"</f>
        <v>&lt;restock&gt;0&lt;/restock&gt;</v>
      </c>
      <c r="B1155" t="s">
        <v>3361</v>
      </c>
    </row>
    <row r="1156" spans="1:8" x14ac:dyDescent="0.25">
      <c r="A1156" t="str">
        <f>"&lt;min&gt;" &amp;$G$1152&amp;"&lt;/min&gt;"</f>
        <v>&lt;min&gt;0&lt;/min&gt;</v>
      </c>
      <c r="B1156" t="s">
        <v>3361</v>
      </c>
    </row>
    <row r="1157" spans="1:8" x14ac:dyDescent="0.25">
      <c r="A1157" t="s">
        <v>16</v>
      </c>
      <c r="B1157" t="s">
        <v>3361</v>
      </c>
    </row>
    <row r="1158" spans="1:8" x14ac:dyDescent="0.25">
      <c r="A1158" t="s">
        <v>17</v>
      </c>
      <c r="B1158" t="s">
        <v>3361</v>
      </c>
    </row>
    <row r="1159" spans="1:8" x14ac:dyDescent="0.25">
      <c r="A1159" t="s">
        <v>18</v>
      </c>
      <c r="B1159" t="s">
        <v>3361</v>
      </c>
    </row>
    <row r="1160" spans="1:8" x14ac:dyDescent="0.25">
      <c r="A1160" t="str">
        <f xml:space="preserve"> $H$1152</f>
        <v>&lt;flags count_in_cargo="0" count_in_hoarder="0" count_in_map="1" count_in_player="0" crafted="0" deloot="0"/&gt;</v>
      </c>
      <c r="B1160" t="s">
        <v>3361</v>
      </c>
    </row>
    <row r="1161" spans="1:8" x14ac:dyDescent="0.25">
      <c r="A1161" t="s">
        <v>22</v>
      </c>
      <c r="B1161" t="s">
        <v>3361</v>
      </c>
    </row>
    <row r="1162" spans="1:8" x14ac:dyDescent="0.25">
      <c r="A1162" t="s">
        <v>1491</v>
      </c>
      <c r="B1162" t="s">
        <v>3362</v>
      </c>
      <c r="D1162">
        <v>0</v>
      </c>
      <c r="E1162">
        <v>1800</v>
      </c>
      <c r="F1162">
        <v>0</v>
      </c>
      <c r="G1162">
        <v>0</v>
      </c>
      <c r="H1162" t="s">
        <v>19</v>
      </c>
    </row>
    <row r="1163" spans="1:8" x14ac:dyDescent="0.25">
      <c r="A1163" t="str">
        <f>"&lt;nominal&gt;" &amp;$D$1162&amp;"&lt;/nominal&gt;"</f>
        <v>&lt;nominal&gt;0&lt;/nominal&gt;</v>
      </c>
      <c r="B1163" t="s">
        <v>3362</v>
      </c>
    </row>
    <row r="1164" spans="1:8" x14ac:dyDescent="0.25">
      <c r="A1164" t="str">
        <f>"&lt;lifetime&gt;" &amp;$E$1162&amp;"&lt;/lifetime&gt;"</f>
        <v>&lt;lifetime&gt;1800&lt;/lifetime&gt;</v>
      </c>
      <c r="B1164" t="s">
        <v>3362</v>
      </c>
    </row>
    <row r="1165" spans="1:8" x14ac:dyDescent="0.25">
      <c r="A1165" t="str">
        <f>"&lt;restock&gt;" &amp;$F$1162&amp;"&lt;/restock&gt;"</f>
        <v>&lt;restock&gt;0&lt;/restock&gt;</v>
      </c>
      <c r="B1165" t="s">
        <v>3362</v>
      </c>
    </row>
    <row r="1166" spans="1:8" x14ac:dyDescent="0.25">
      <c r="A1166" t="str">
        <f>"&lt;min&gt;" &amp;$G$1162&amp;"&lt;/min&gt;"</f>
        <v>&lt;min&gt;0&lt;/min&gt;</v>
      </c>
      <c r="B1166" t="s">
        <v>3362</v>
      </c>
    </row>
    <row r="1167" spans="1:8" x14ac:dyDescent="0.25">
      <c r="A1167" t="s">
        <v>16</v>
      </c>
      <c r="B1167" t="s">
        <v>3362</v>
      </c>
    </row>
    <row r="1168" spans="1:8" x14ac:dyDescent="0.25">
      <c r="A1168" t="s">
        <v>17</v>
      </c>
      <c r="B1168" t="s">
        <v>3362</v>
      </c>
    </row>
    <row r="1169" spans="1:8" x14ac:dyDescent="0.25">
      <c r="A1169" t="s">
        <v>18</v>
      </c>
      <c r="B1169" t="s">
        <v>3362</v>
      </c>
    </row>
    <row r="1170" spans="1:8" x14ac:dyDescent="0.25">
      <c r="A1170" t="str">
        <f xml:space="preserve"> $H$1162</f>
        <v>&lt;flags count_in_cargo="0" count_in_hoarder="0" count_in_map="1" count_in_player="0" crafted="0" deloot="0"/&gt;</v>
      </c>
      <c r="B1170" t="s">
        <v>3362</v>
      </c>
    </row>
    <row r="1171" spans="1:8" x14ac:dyDescent="0.25">
      <c r="A1171" t="s">
        <v>22</v>
      </c>
      <c r="B1171" t="s">
        <v>3362</v>
      </c>
    </row>
    <row r="1172" spans="1:8" x14ac:dyDescent="0.25">
      <c r="A1172" t="s">
        <v>1492</v>
      </c>
      <c r="B1172" t="s">
        <v>3363</v>
      </c>
      <c r="D1172">
        <v>0</v>
      </c>
      <c r="E1172">
        <v>1800</v>
      </c>
      <c r="F1172">
        <v>0</v>
      </c>
      <c r="G1172">
        <v>0</v>
      </c>
      <c r="H1172" t="s">
        <v>19</v>
      </c>
    </row>
    <row r="1173" spans="1:8" x14ac:dyDescent="0.25">
      <c r="A1173" t="str">
        <f>"&lt;nominal&gt;" &amp;$D$1172&amp;"&lt;/nominal&gt;"</f>
        <v>&lt;nominal&gt;0&lt;/nominal&gt;</v>
      </c>
      <c r="B1173" t="s">
        <v>3363</v>
      </c>
    </row>
    <row r="1174" spans="1:8" x14ac:dyDescent="0.25">
      <c r="A1174" t="str">
        <f>"&lt;lifetime&gt;" &amp;$E$1172&amp;"&lt;/lifetime&gt;"</f>
        <v>&lt;lifetime&gt;1800&lt;/lifetime&gt;</v>
      </c>
      <c r="B1174" t="s">
        <v>3363</v>
      </c>
    </row>
    <row r="1175" spans="1:8" x14ac:dyDescent="0.25">
      <c r="A1175" t="str">
        <f>"&lt;restock&gt;" &amp;$F$1172&amp;"&lt;/restock&gt;"</f>
        <v>&lt;restock&gt;0&lt;/restock&gt;</v>
      </c>
      <c r="B1175" t="s">
        <v>3363</v>
      </c>
    </row>
    <row r="1176" spans="1:8" x14ac:dyDescent="0.25">
      <c r="A1176" t="str">
        <f>"&lt;min&gt;" &amp;$G$1172&amp;"&lt;/min&gt;"</f>
        <v>&lt;min&gt;0&lt;/min&gt;</v>
      </c>
      <c r="B1176" t="s">
        <v>3363</v>
      </c>
    </row>
    <row r="1177" spans="1:8" x14ac:dyDescent="0.25">
      <c r="A1177" t="s">
        <v>16</v>
      </c>
      <c r="B1177" t="s">
        <v>3363</v>
      </c>
    </row>
    <row r="1178" spans="1:8" x14ac:dyDescent="0.25">
      <c r="A1178" t="s">
        <v>17</v>
      </c>
      <c r="B1178" t="s">
        <v>3363</v>
      </c>
    </row>
    <row r="1179" spans="1:8" x14ac:dyDescent="0.25">
      <c r="A1179" t="s">
        <v>18</v>
      </c>
      <c r="B1179" t="s">
        <v>3363</v>
      </c>
    </row>
    <row r="1180" spans="1:8" x14ac:dyDescent="0.25">
      <c r="A1180" t="str">
        <f xml:space="preserve"> $H$1172</f>
        <v>&lt;flags count_in_cargo="0" count_in_hoarder="0" count_in_map="1" count_in_player="0" crafted="0" deloot="0"/&gt;</v>
      </c>
      <c r="B1180" t="s">
        <v>3363</v>
      </c>
    </row>
    <row r="1181" spans="1:8" x14ac:dyDescent="0.25">
      <c r="A1181" t="s">
        <v>22</v>
      </c>
      <c r="B1181" t="s">
        <v>3363</v>
      </c>
    </row>
    <row r="1182" spans="1:8" x14ac:dyDescent="0.25">
      <c r="A1182" t="s">
        <v>1493</v>
      </c>
      <c r="B1182" t="s">
        <v>3364</v>
      </c>
      <c r="D1182">
        <v>0</v>
      </c>
      <c r="E1182">
        <v>1800</v>
      </c>
      <c r="F1182">
        <v>0</v>
      </c>
      <c r="G1182">
        <v>0</v>
      </c>
      <c r="H1182" t="s">
        <v>19</v>
      </c>
    </row>
    <row r="1183" spans="1:8" x14ac:dyDescent="0.25">
      <c r="A1183" t="str">
        <f>"&lt;nominal&gt;" &amp;$D$1182&amp;"&lt;/nominal&gt;"</f>
        <v>&lt;nominal&gt;0&lt;/nominal&gt;</v>
      </c>
      <c r="B1183" t="s">
        <v>3364</v>
      </c>
    </row>
    <row r="1184" spans="1:8" x14ac:dyDescent="0.25">
      <c r="A1184" t="str">
        <f>"&lt;lifetime&gt;" &amp;$E$1182&amp;"&lt;/lifetime&gt;"</f>
        <v>&lt;lifetime&gt;1800&lt;/lifetime&gt;</v>
      </c>
      <c r="B1184" t="s">
        <v>3364</v>
      </c>
    </row>
    <row r="1185" spans="1:8" x14ac:dyDescent="0.25">
      <c r="A1185" t="str">
        <f>"&lt;restock&gt;" &amp;$F$1182&amp;"&lt;/restock&gt;"</f>
        <v>&lt;restock&gt;0&lt;/restock&gt;</v>
      </c>
      <c r="B1185" t="s">
        <v>3364</v>
      </c>
    </row>
    <row r="1186" spans="1:8" x14ac:dyDescent="0.25">
      <c r="A1186" t="str">
        <f>"&lt;min&gt;" &amp;$G$1182&amp;"&lt;/min&gt;"</f>
        <v>&lt;min&gt;0&lt;/min&gt;</v>
      </c>
      <c r="B1186" t="s">
        <v>3364</v>
      </c>
    </row>
    <row r="1187" spans="1:8" x14ac:dyDescent="0.25">
      <c r="A1187" t="s">
        <v>16</v>
      </c>
      <c r="B1187" t="s">
        <v>3364</v>
      </c>
    </row>
    <row r="1188" spans="1:8" x14ac:dyDescent="0.25">
      <c r="A1188" t="s">
        <v>17</v>
      </c>
      <c r="B1188" t="s">
        <v>3364</v>
      </c>
    </row>
    <row r="1189" spans="1:8" x14ac:dyDescent="0.25">
      <c r="A1189" t="s">
        <v>18</v>
      </c>
      <c r="B1189" t="s">
        <v>3364</v>
      </c>
    </row>
    <row r="1190" spans="1:8" x14ac:dyDescent="0.25">
      <c r="A1190" t="str">
        <f xml:space="preserve"> $H$1182</f>
        <v>&lt;flags count_in_cargo="0" count_in_hoarder="0" count_in_map="1" count_in_player="0" crafted="0" deloot="0"/&gt;</v>
      </c>
      <c r="B1190" t="s">
        <v>3364</v>
      </c>
    </row>
    <row r="1191" spans="1:8" x14ac:dyDescent="0.25">
      <c r="A1191" t="s">
        <v>22</v>
      </c>
      <c r="B1191" t="s">
        <v>3364</v>
      </c>
    </row>
    <row r="1192" spans="1:8" x14ac:dyDescent="0.25">
      <c r="A1192" t="s">
        <v>1494</v>
      </c>
      <c r="B1192" t="s">
        <v>3365</v>
      </c>
      <c r="D1192">
        <v>0</v>
      </c>
      <c r="E1192">
        <v>1800</v>
      </c>
      <c r="F1192">
        <v>0</v>
      </c>
      <c r="G1192">
        <v>0</v>
      </c>
      <c r="H1192" t="s">
        <v>19</v>
      </c>
    </row>
    <row r="1193" spans="1:8" x14ac:dyDescent="0.25">
      <c r="A1193" t="str">
        <f>"&lt;nominal&gt;" &amp;$D$1192&amp;"&lt;/nominal&gt;"</f>
        <v>&lt;nominal&gt;0&lt;/nominal&gt;</v>
      </c>
      <c r="B1193" t="s">
        <v>3365</v>
      </c>
    </row>
    <row r="1194" spans="1:8" x14ac:dyDescent="0.25">
      <c r="A1194" t="str">
        <f>"&lt;lifetime&gt;" &amp;$E$1192&amp;"&lt;/lifetime&gt;"</f>
        <v>&lt;lifetime&gt;1800&lt;/lifetime&gt;</v>
      </c>
      <c r="B1194" t="s">
        <v>3365</v>
      </c>
    </row>
    <row r="1195" spans="1:8" x14ac:dyDescent="0.25">
      <c r="A1195" t="str">
        <f>"&lt;restock&gt;" &amp;$F$1192&amp;"&lt;/restock&gt;"</f>
        <v>&lt;restock&gt;0&lt;/restock&gt;</v>
      </c>
      <c r="B1195" t="s">
        <v>3365</v>
      </c>
    </row>
    <row r="1196" spans="1:8" x14ac:dyDescent="0.25">
      <c r="A1196" t="str">
        <f>"&lt;min&gt;" &amp;$G$1192&amp;"&lt;/min&gt;"</f>
        <v>&lt;min&gt;0&lt;/min&gt;</v>
      </c>
      <c r="B1196" t="s">
        <v>3365</v>
      </c>
    </row>
    <row r="1197" spans="1:8" x14ac:dyDescent="0.25">
      <c r="A1197" t="s">
        <v>16</v>
      </c>
      <c r="B1197" t="s">
        <v>3365</v>
      </c>
    </row>
    <row r="1198" spans="1:8" x14ac:dyDescent="0.25">
      <c r="A1198" t="s">
        <v>17</v>
      </c>
      <c r="B1198" t="s">
        <v>3365</v>
      </c>
    </row>
    <row r="1199" spans="1:8" x14ac:dyDescent="0.25">
      <c r="A1199" t="s">
        <v>18</v>
      </c>
      <c r="B1199" t="s">
        <v>3365</v>
      </c>
    </row>
    <row r="1200" spans="1:8" x14ac:dyDescent="0.25">
      <c r="A1200" t="str">
        <f xml:space="preserve"> $H$1192</f>
        <v>&lt;flags count_in_cargo="0" count_in_hoarder="0" count_in_map="1" count_in_player="0" crafted="0" deloot="0"/&gt;</v>
      </c>
      <c r="B1200" t="s">
        <v>3365</v>
      </c>
    </row>
    <row r="1201" spans="1:8" x14ac:dyDescent="0.25">
      <c r="A1201" t="s">
        <v>22</v>
      </c>
      <c r="B1201" t="s">
        <v>3365</v>
      </c>
    </row>
    <row r="1202" spans="1:8" x14ac:dyDescent="0.25">
      <c r="A1202" t="s">
        <v>1495</v>
      </c>
      <c r="B1202" t="s">
        <v>3366</v>
      </c>
      <c r="D1202">
        <v>0</v>
      </c>
      <c r="E1202">
        <v>1800</v>
      </c>
      <c r="F1202">
        <v>0</v>
      </c>
      <c r="G1202">
        <v>0</v>
      </c>
      <c r="H1202" t="s">
        <v>19</v>
      </c>
    </row>
    <row r="1203" spans="1:8" x14ac:dyDescent="0.25">
      <c r="A1203" t="str">
        <f>"&lt;nominal&gt;" &amp;$D$1202&amp;"&lt;/nominal&gt;"</f>
        <v>&lt;nominal&gt;0&lt;/nominal&gt;</v>
      </c>
      <c r="B1203" t="s">
        <v>3366</v>
      </c>
    </row>
    <row r="1204" spans="1:8" x14ac:dyDescent="0.25">
      <c r="A1204" t="str">
        <f>"&lt;lifetime&gt;" &amp;$E$1202&amp;"&lt;/lifetime&gt;"</f>
        <v>&lt;lifetime&gt;1800&lt;/lifetime&gt;</v>
      </c>
      <c r="B1204" t="s">
        <v>3366</v>
      </c>
    </row>
    <row r="1205" spans="1:8" x14ac:dyDescent="0.25">
      <c r="A1205" t="str">
        <f>"&lt;restock&gt;" &amp;$F$1202&amp;"&lt;/restock&gt;"</f>
        <v>&lt;restock&gt;0&lt;/restock&gt;</v>
      </c>
      <c r="B1205" t="s">
        <v>3366</v>
      </c>
    </row>
    <row r="1206" spans="1:8" x14ac:dyDescent="0.25">
      <c r="A1206" t="str">
        <f>"&lt;min&gt;" &amp;$G$1202&amp;"&lt;/min&gt;"</f>
        <v>&lt;min&gt;0&lt;/min&gt;</v>
      </c>
      <c r="B1206" t="s">
        <v>3366</v>
      </c>
    </row>
    <row r="1207" spans="1:8" x14ac:dyDescent="0.25">
      <c r="A1207" t="s">
        <v>16</v>
      </c>
      <c r="B1207" t="s">
        <v>3366</v>
      </c>
    </row>
    <row r="1208" spans="1:8" x14ac:dyDescent="0.25">
      <c r="A1208" t="s">
        <v>17</v>
      </c>
      <c r="B1208" t="s">
        <v>3366</v>
      </c>
    </row>
    <row r="1209" spans="1:8" x14ac:dyDescent="0.25">
      <c r="A1209" t="s">
        <v>18</v>
      </c>
      <c r="B1209" t="s">
        <v>3366</v>
      </c>
    </row>
    <row r="1210" spans="1:8" x14ac:dyDescent="0.25">
      <c r="A1210" t="str">
        <f xml:space="preserve"> $H$1202</f>
        <v>&lt;flags count_in_cargo="0" count_in_hoarder="0" count_in_map="1" count_in_player="0" crafted="0" deloot="0"/&gt;</v>
      </c>
      <c r="B1210" t="s">
        <v>3366</v>
      </c>
    </row>
    <row r="1211" spans="1:8" x14ac:dyDescent="0.25">
      <c r="A1211" t="s">
        <v>22</v>
      </c>
      <c r="B1211" t="s">
        <v>3366</v>
      </c>
    </row>
    <row r="1212" spans="1:8" x14ac:dyDescent="0.25">
      <c r="A1212" t="s">
        <v>1496</v>
      </c>
      <c r="B1212" t="s">
        <v>3367</v>
      </c>
      <c r="D1212">
        <v>0</v>
      </c>
      <c r="E1212">
        <v>1800</v>
      </c>
      <c r="F1212">
        <v>0</v>
      </c>
      <c r="G1212">
        <v>0</v>
      </c>
      <c r="H1212" t="s">
        <v>19</v>
      </c>
    </row>
    <row r="1213" spans="1:8" x14ac:dyDescent="0.25">
      <c r="A1213" t="str">
        <f>"&lt;nominal&gt;" &amp;$D$1212&amp;"&lt;/nominal&gt;"</f>
        <v>&lt;nominal&gt;0&lt;/nominal&gt;</v>
      </c>
      <c r="B1213" t="s">
        <v>3367</v>
      </c>
    </row>
    <row r="1214" spans="1:8" x14ac:dyDescent="0.25">
      <c r="A1214" t="str">
        <f>"&lt;lifetime&gt;" &amp;$E$1212&amp;"&lt;/lifetime&gt;"</f>
        <v>&lt;lifetime&gt;1800&lt;/lifetime&gt;</v>
      </c>
      <c r="B1214" t="s">
        <v>3367</v>
      </c>
    </row>
    <row r="1215" spans="1:8" x14ac:dyDescent="0.25">
      <c r="A1215" t="str">
        <f>"&lt;restock&gt;" &amp;$F$1212&amp;"&lt;/restock&gt;"</f>
        <v>&lt;restock&gt;0&lt;/restock&gt;</v>
      </c>
      <c r="B1215" t="s">
        <v>3367</v>
      </c>
    </row>
    <row r="1216" spans="1:8" x14ac:dyDescent="0.25">
      <c r="A1216" t="str">
        <f>"&lt;min&gt;" &amp;$G$1212&amp;"&lt;/min&gt;"</f>
        <v>&lt;min&gt;0&lt;/min&gt;</v>
      </c>
      <c r="B1216" t="s">
        <v>3367</v>
      </c>
    </row>
    <row r="1217" spans="1:8" x14ac:dyDescent="0.25">
      <c r="A1217" t="s">
        <v>16</v>
      </c>
      <c r="B1217" t="s">
        <v>3367</v>
      </c>
    </row>
    <row r="1218" spans="1:8" x14ac:dyDescent="0.25">
      <c r="A1218" t="s">
        <v>17</v>
      </c>
      <c r="B1218" t="s">
        <v>3367</v>
      </c>
    </row>
    <row r="1219" spans="1:8" x14ac:dyDescent="0.25">
      <c r="A1219" t="s">
        <v>18</v>
      </c>
      <c r="B1219" t="s">
        <v>3367</v>
      </c>
    </row>
    <row r="1220" spans="1:8" x14ac:dyDescent="0.25">
      <c r="A1220" t="str">
        <f xml:space="preserve"> $H$1212</f>
        <v>&lt;flags count_in_cargo="0" count_in_hoarder="0" count_in_map="1" count_in_player="0" crafted="0" deloot="0"/&gt;</v>
      </c>
      <c r="B1220" t="s">
        <v>3367</v>
      </c>
    </row>
    <row r="1221" spans="1:8" x14ac:dyDescent="0.25">
      <c r="A1221" t="s">
        <v>22</v>
      </c>
      <c r="B1221" t="s">
        <v>3367</v>
      </c>
    </row>
    <row r="1222" spans="1:8" x14ac:dyDescent="0.25">
      <c r="A1222" t="s">
        <v>1497</v>
      </c>
      <c r="B1222" t="s">
        <v>3368</v>
      </c>
      <c r="D1222">
        <v>0</v>
      </c>
      <c r="E1222">
        <v>1800</v>
      </c>
      <c r="F1222">
        <v>0</v>
      </c>
      <c r="G1222">
        <v>0</v>
      </c>
      <c r="H1222" t="s">
        <v>19</v>
      </c>
    </row>
    <row r="1223" spans="1:8" x14ac:dyDescent="0.25">
      <c r="A1223" t="str">
        <f>"&lt;nominal&gt;" &amp;$D$1222&amp;"&lt;/nominal&gt;"</f>
        <v>&lt;nominal&gt;0&lt;/nominal&gt;</v>
      </c>
      <c r="B1223" t="s">
        <v>3368</v>
      </c>
    </row>
    <row r="1224" spans="1:8" x14ac:dyDescent="0.25">
      <c r="A1224" t="str">
        <f>"&lt;lifetime&gt;" &amp;$E$1222&amp;"&lt;/lifetime&gt;"</f>
        <v>&lt;lifetime&gt;1800&lt;/lifetime&gt;</v>
      </c>
      <c r="B1224" t="s">
        <v>3368</v>
      </c>
    </row>
    <row r="1225" spans="1:8" x14ac:dyDescent="0.25">
      <c r="A1225" t="str">
        <f>"&lt;restock&gt;" &amp;$F$1222&amp;"&lt;/restock&gt;"</f>
        <v>&lt;restock&gt;0&lt;/restock&gt;</v>
      </c>
      <c r="B1225" t="s">
        <v>3368</v>
      </c>
    </row>
    <row r="1226" spans="1:8" x14ac:dyDescent="0.25">
      <c r="A1226" t="str">
        <f>"&lt;min&gt;" &amp;$G$1222&amp;"&lt;/min&gt;"</f>
        <v>&lt;min&gt;0&lt;/min&gt;</v>
      </c>
      <c r="B1226" t="s">
        <v>3368</v>
      </c>
    </row>
    <row r="1227" spans="1:8" x14ac:dyDescent="0.25">
      <c r="A1227" t="s">
        <v>16</v>
      </c>
      <c r="B1227" t="s">
        <v>3368</v>
      </c>
    </row>
    <row r="1228" spans="1:8" x14ac:dyDescent="0.25">
      <c r="A1228" t="s">
        <v>17</v>
      </c>
      <c r="B1228" t="s">
        <v>3368</v>
      </c>
    </row>
    <row r="1229" spans="1:8" x14ac:dyDescent="0.25">
      <c r="A1229" t="s">
        <v>18</v>
      </c>
      <c r="B1229" t="s">
        <v>3368</v>
      </c>
    </row>
    <row r="1230" spans="1:8" x14ac:dyDescent="0.25">
      <c r="A1230" t="str">
        <f xml:space="preserve"> $H$1222</f>
        <v>&lt;flags count_in_cargo="0" count_in_hoarder="0" count_in_map="1" count_in_player="0" crafted="0" deloot="0"/&gt;</v>
      </c>
      <c r="B1230" t="s">
        <v>3368</v>
      </c>
    </row>
    <row r="1231" spans="1:8" x14ac:dyDescent="0.25">
      <c r="A1231" t="s">
        <v>22</v>
      </c>
      <c r="B1231" t="s">
        <v>3368</v>
      </c>
    </row>
    <row r="1232" spans="1:8" x14ac:dyDescent="0.25">
      <c r="A1232" t="s">
        <v>1498</v>
      </c>
      <c r="B1232" t="s">
        <v>3369</v>
      </c>
      <c r="D1232">
        <v>0</v>
      </c>
      <c r="E1232">
        <v>1800</v>
      </c>
      <c r="F1232">
        <v>0</v>
      </c>
      <c r="G1232">
        <v>0</v>
      </c>
      <c r="H1232" t="s">
        <v>62</v>
      </c>
    </row>
    <row r="1233" spans="1:8" x14ac:dyDescent="0.25">
      <c r="A1233" t="str">
        <f>"&lt;nominal&gt;" &amp;$D$1232&amp;"&lt;/nominal&gt;"</f>
        <v>&lt;nominal&gt;0&lt;/nominal&gt;</v>
      </c>
      <c r="B1233" t="s">
        <v>3369</v>
      </c>
    </row>
    <row r="1234" spans="1:8" x14ac:dyDescent="0.25">
      <c r="A1234" t="str">
        <f>"&lt;lifetime&gt;" &amp;$E$1232&amp;"&lt;/lifetime&gt;"</f>
        <v>&lt;lifetime&gt;1800&lt;/lifetime&gt;</v>
      </c>
      <c r="B1234" t="s">
        <v>3369</v>
      </c>
    </row>
    <row r="1235" spans="1:8" x14ac:dyDescent="0.25">
      <c r="A1235" t="str">
        <f>"&lt;restock&gt;" &amp;$F$1232&amp;"&lt;/restock&gt;"</f>
        <v>&lt;restock&gt;0&lt;/restock&gt;</v>
      </c>
      <c r="B1235" t="s">
        <v>3369</v>
      </c>
    </row>
    <row r="1236" spans="1:8" x14ac:dyDescent="0.25">
      <c r="A1236" t="str">
        <f>"&lt;min&gt;" &amp;$G$1232&amp;"&lt;/min&gt;"</f>
        <v>&lt;min&gt;0&lt;/min&gt;</v>
      </c>
      <c r="B1236" t="s">
        <v>3369</v>
      </c>
    </row>
    <row r="1237" spans="1:8" x14ac:dyDescent="0.25">
      <c r="A1237" t="s">
        <v>16</v>
      </c>
      <c r="B1237" t="s">
        <v>3369</v>
      </c>
    </row>
    <row r="1238" spans="1:8" x14ac:dyDescent="0.25">
      <c r="A1238" t="s">
        <v>17</v>
      </c>
      <c r="B1238" t="s">
        <v>3369</v>
      </c>
    </row>
    <row r="1239" spans="1:8" x14ac:dyDescent="0.25">
      <c r="A1239" t="s">
        <v>18</v>
      </c>
      <c r="B1239" t="s">
        <v>3369</v>
      </c>
    </row>
    <row r="1240" spans="1:8" x14ac:dyDescent="0.25">
      <c r="A1240" t="str">
        <f xml:space="preserve"> $H$1232</f>
        <v>&lt;flags count_in_cargo="0" count_in_hoarder="0" count_in_map="1" count_in_player="0" crafted="1" deloot="0"/&gt;</v>
      </c>
      <c r="B1240" t="s">
        <v>3369</v>
      </c>
    </row>
    <row r="1241" spans="1:8" x14ac:dyDescent="0.25">
      <c r="A1241" t="s">
        <v>22</v>
      </c>
      <c r="B1241" t="s">
        <v>3369</v>
      </c>
    </row>
    <row r="1242" spans="1:8" x14ac:dyDescent="0.25">
      <c r="A1242" t="s">
        <v>1499</v>
      </c>
      <c r="B1242" t="s">
        <v>2942</v>
      </c>
      <c r="C1242" t="s">
        <v>399</v>
      </c>
      <c r="D1242">
        <v>0</v>
      </c>
      <c r="E1242">
        <v>900</v>
      </c>
      <c r="F1242">
        <v>0</v>
      </c>
      <c r="G1242">
        <v>0</v>
      </c>
      <c r="H1242" t="s">
        <v>62</v>
      </c>
    </row>
    <row r="1243" spans="1:8" x14ac:dyDescent="0.25">
      <c r="A1243" t="str">
        <f>"&lt;nominal&gt;" &amp;$D$1242&amp;"&lt;/nominal&gt;"</f>
        <v>&lt;nominal&gt;0&lt;/nominal&gt;</v>
      </c>
      <c r="B1243" t="s">
        <v>2942</v>
      </c>
    </row>
    <row r="1244" spans="1:8" x14ac:dyDescent="0.25">
      <c r="A1244" t="str">
        <f>"&lt;lifetime&gt;" &amp;$E$1242&amp;"&lt;/lifetime&gt;"</f>
        <v>&lt;lifetime&gt;900&lt;/lifetime&gt;</v>
      </c>
      <c r="B1244" t="s">
        <v>2942</v>
      </c>
    </row>
    <row r="1245" spans="1:8" x14ac:dyDescent="0.25">
      <c r="A1245" t="str">
        <f>"&lt;restock&gt;" &amp;$F$1242&amp;"&lt;/restock&gt;"</f>
        <v>&lt;restock&gt;0&lt;/restock&gt;</v>
      </c>
      <c r="B1245" t="s">
        <v>2942</v>
      </c>
    </row>
    <row r="1246" spans="1:8" x14ac:dyDescent="0.25">
      <c r="A1246" t="str">
        <f>"&lt;min&gt;" &amp;$G$1242&amp;"&lt;/min&gt;"</f>
        <v>&lt;min&gt;0&lt;/min&gt;</v>
      </c>
      <c r="B1246" t="s">
        <v>2942</v>
      </c>
    </row>
    <row r="1247" spans="1:8" x14ac:dyDescent="0.25">
      <c r="A1247" t="s">
        <v>16</v>
      </c>
      <c r="B1247" t="s">
        <v>2942</v>
      </c>
    </row>
    <row r="1248" spans="1:8" x14ac:dyDescent="0.25">
      <c r="A1248" t="s">
        <v>17</v>
      </c>
      <c r="B1248" t="s">
        <v>2942</v>
      </c>
    </row>
    <row r="1249" spans="1:8" x14ac:dyDescent="0.25">
      <c r="A1249" t="s">
        <v>18</v>
      </c>
      <c r="B1249" t="s">
        <v>2942</v>
      </c>
    </row>
    <row r="1250" spans="1:8" x14ac:dyDescent="0.25">
      <c r="A1250" t="str">
        <f xml:space="preserve"> $H$1242</f>
        <v>&lt;flags count_in_cargo="0" count_in_hoarder="0" count_in_map="1" count_in_player="0" crafted="1" deloot="0"/&gt;</v>
      </c>
      <c r="B1250" t="s">
        <v>2942</v>
      </c>
    </row>
    <row r="1251" spans="1:8" x14ac:dyDescent="0.25">
      <c r="A1251" t="str">
        <f>"&lt;category name=" &amp;"""" &amp;$C$1242&amp;"""/&gt;"</f>
        <v>&lt;category name="food"/&gt;</v>
      </c>
      <c r="B1251" t="s">
        <v>2942</v>
      </c>
    </row>
    <row r="1252" spans="1:8" x14ac:dyDescent="0.25">
      <c r="A1252" t="s">
        <v>22</v>
      </c>
      <c r="B1252" t="s">
        <v>2942</v>
      </c>
    </row>
    <row r="1253" spans="1:8" x14ac:dyDescent="0.25">
      <c r="A1253" t="s">
        <v>1500</v>
      </c>
      <c r="B1253" t="s">
        <v>3370</v>
      </c>
      <c r="D1253">
        <v>0</v>
      </c>
      <c r="E1253">
        <v>5600</v>
      </c>
      <c r="F1253">
        <v>0</v>
      </c>
      <c r="G1253">
        <v>0</v>
      </c>
      <c r="H1253" t="s">
        <v>62</v>
      </c>
    </row>
    <row r="1254" spans="1:8" x14ac:dyDescent="0.25">
      <c r="A1254" t="str">
        <f>"&lt;nominal&gt;" &amp;$D$1253&amp;"&lt;/nominal&gt;"</f>
        <v>&lt;nominal&gt;0&lt;/nominal&gt;</v>
      </c>
      <c r="B1254" t="s">
        <v>3370</v>
      </c>
    </row>
    <row r="1255" spans="1:8" x14ac:dyDescent="0.25">
      <c r="A1255" t="str">
        <f>"&lt;lifetime&gt;" &amp;$E$1253&amp;"&lt;/lifetime&gt;"</f>
        <v>&lt;lifetime&gt;5600&lt;/lifetime&gt;</v>
      </c>
      <c r="B1255" t="s">
        <v>3370</v>
      </c>
    </row>
    <row r="1256" spans="1:8" x14ac:dyDescent="0.25">
      <c r="A1256" t="str">
        <f>"&lt;restock&gt;" &amp;$F$1253&amp;"&lt;/restock&gt;"</f>
        <v>&lt;restock&gt;0&lt;/restock&gt;</v>
      </c>
      <c r="B1256" t="s">
        <v>3370</v>
      </c>
    </row>
    <row r="1257" spans="1:8" x14ac:dyDescent="0.25">
      <c r="A1257" t="str">
        <f>"&lt;min&gt;" &amp;$G$1253&amp;"&lt;/min&gt;"</f>
        <v>&lt;min&gt;0&lt;/min&gt;</v>
      </c>
      <c r="B1257" t="s">
        <v>3370</v>
      </c>
    </row>
    <row r="1258" spans="1:8" x14ac:dyDescent="0.25">
      <c r="A1258" t="s">
        <v>16</v>
      </c>
      <c r="B1258" t="s">
        <v>3370</v>
      </c>
    </row>
    <row r="1259" spans="1:8" x14ac:dyDescent="0.25">
      <c r="A1259" t="s">
        <v>17</v>
      </c>
      <c r="B1259" t="s">
        <v>3370</v>
      </c>
    </row>
    <row r="1260" spans="1:8" x14ac:dyDescent="0.25">
      <c r="A1260" t="s">
        <v>18</v>
      </c>
      <c r="B1260" t="s">
        <v>3370</v>
      </c>
    </row>
    <row r="1261" spans="1:8" x14ac:dyDescent="0.25">
      <c r="A1261" t="str">
        <f xml:space="preserve"> $H$1253</f>
        <v>&lt;flags count_in_cargo="0" count_in_hoarder="0" count_in_map="1" count_in_player="0" crafted="1" deloot="0"/&gt;</v>
      </c>
      <c r="B1261" t="s">
        <v>3370</v>
      </c>
    </row>
    <row r="1262" spans="1:8" x14ac:dyDescent="0.25">
      <c r="A1262" t="s">
        <v>22</v>
      </c>
      <c r="B1262" t="s">
        <v>3370</v>
      </c>
    </row>
    <row r="1263" spans="1:8" x14ac:dyDescent="0.25">
      <c r="A1263" t="s">
        <v>1501</v>
      </c>
      <c r="B1263" t="s">
        <v>3371</v>
      </c>
      <c r="D1263">
        <v>0</v>
      </c>
      <c r="E1263">
        <v>5600</v>
      </c>
      <c r="F1263">
        <v>0</v>
      </c>
      <c r="G1263">
        <v>0</v>
      </c>
      <c r="H1263" t="s">
        <v>62</v>
      </c>
    </row>
    <row r="1264" spans="1:8" x14ac:dyDescent="0.25">
      <c r="A1264" t="str">
        <f>"&lt;nominal&gt;" &amp;$D$1263&amp;"&lt;/nominal&gt;"</f>
        <v>&lt;nominal&gt;0&lt;/nominal&gt;</v>
      </c>
      <c r="B1264" t="s">
        <v>3371</v>
      </c>
    </row>
    <row r="1265" spans="1:8" x14ac:dyDescent="0.25">
      <c r="A1265" t="str">
        <f>"&lt;lifetime&gt;" &amp;$E$1263&amp;"&lt;/lifetime&gt;"</f>
        <v>&lt;lifetime&gt;5600&lt;/lifetime&gt;</v>
      </c>
      <c r="B1265" t="s">
        <v>3371</v>
      </c>
    </row>
    <row r="1266" spans="1:8" x14ac:dyDescent="0.25">
      <c r="A1266" t="str">
        <f>"&lt;restock&gt;" &amp;$F$1263&amp;"&lt;/restock&gt;"</f>
        <v>&lt;restock&gt;0&lt;/restock&gt;</v>
      </c>
      <c r="B1266" t="s">
        <v>3371</v>
      </c>
    </row>
    <row r="1267" spans="1:8" x14ac:dyDescent="0.25">
      <c r="A1267" t="str">
        <f>"&lt;min&gt;" &amp;$G$1263&amp;"&lt;/min&gt;"</f>
        <v>&lt;min&gt;0&lt;/min&gt;</v>
      </c>
      <c r="B1267" t="s">
        <v>3371</v>
      </c>
    </row>
    <row r="1268" spans="1:8" x14ac:dyDescent="0.25">
      <c r="A1268" t="s">
        <v>16</v>
      </c>
      <c r="B1268" t="s">
        <v>3371</v>
      </c>
    </row>
    <row r="1269" spans="1:8" x14ac:dyDescent="0.25">
      <c r="A1269" t="s">
        <v>17</v>
      </c>
      <c r="B1269" t="s">
        <v>3371</v>
      </c>
    </row>
    <row r="1270" spans="1:8" x14ac:dyDescent="0.25">
      <c r="A1270" t="s">
        <v>18</v>
      </c>
      <c r="B1270" t="s">
        <v>3371</v>
      </c>
    </row>
    <row r="1271" spans="1:8" x14ac:dyDescent="0.25">
      <c r="A1271" t="str">
        <f xml:space="preserve"> $H$1263</f>
        <v>&lt;flags count_in_cargo="0" count_in_hoarder="0" count_in_map="1" count_in_player="0" crafted="1" deloot="0"/&gt;</v>
      </c>
      <c r="B1271" t="s">
        <v>3371</v>
      </c>
    </row>
    <row r="1272" spans="1:8" x14ac:dyDescent="0.25">
      <c r="A1272" t="s">
        <v>22</v>
      </c>
      <c r="B1272" t="s">
        <v>3371</v>
      </c>
    </row>
    <row r="1273" spans="1:8" x14ac:dyDescent="0.25">
      <c r="A1273" t="s">
        <v>1502</v>
      </c>
      <c r="B1273" t="s">
        <v>3372</v>
      </c>
      <c r="D1273">
        <v>0</v>
      </c>
      <c r="E1273">
        <v>5600</v>
      </c>
      <c r="F1273">
        <v>0</v>
      </c>
      <c r="G1273">
        <v>0</v>
      </c>
      <c r="H1273" t="s">
        <v>62</v>
      </c>
    </row>
    <row r="1274" spans="1:8" x14ac:dyDescent="0.25">
      <c r="A1274" t="str">
        <f>"&lt;nominal&gt;" &amp;$D$1273&amp;"&lt;/nominal&gt;"</f>
        <v>&lt;nominal&gt;0&lt;/nominal&gt;</v>
      </c>
      <c r="B1274" t="s">
        <v>3372</v>
      </c>
    </row>
    <row r="1275" spans="1:8" x14ac:dyDescent="0.25">
      <c r="A1275" t="str">
        <f>"&lt;lifetime&gt;" &amp;$E$1273&amp;"&lt;/lifetime&gt;"</f>
        <v>&lt;lifetime&gt;5600&lt;/lifetime&gt;</v>
      </c>
      <c r="B1275" t="s">
        <v>3372</v>
      </c>
    </row>
    <row r="1276" spans="1:8" x14ac:dyDescent="0.25">
      <c r="A1276" t="str">
        <f>"&lt;restock&gt;" &amp;$F$1273&amp;"&lt;/restock&gt;"</f>
        <v>&lt;restock&gt;0&lt;/restock&gt;</v>
      </c>
      <c r="B1276" t="s">
        <v>3372</v>
      </c>
    </row>
    <row r="1277" spans="1:8" x14ac:dyDescent="0.25">
      <c r="A1277" t="str">
        <f>"&lt;min&gt;" &amp;$G$1273&amp;"&lt;/min&gt;"</f>
        <v>&lt;min&gt;0&lt;/min&gt;</v>
      </c>
      <c r="B1277" t="s">
        <v>3372</v>
      </c>
    </row>
    <row r="1278" spans="1:8" x14ac:dyDescent="0.25">
      <c r="A1278" t="s">
        <v>16</v>
      </c>
      <c r="B1278" t="s">
        <v>3372</v>
      </c>
    </row>
    <row r="1279" spans="1:8" x14ac:dyDescent="0.25">
      <c r="A1279" t="s">
        <v>17</v>
      </c>
      <c r="B1279" t="s">
        <v>3372</v>
      </c>
    </row>
    <row r="1280" spans="1:8" x14ac:dyDescent="0.25">
      <c r="A1280" t="s">
        <v>18</v>
      </c>
      <c r="B1280" t="s">
        <v>3372</v>
      </c>
    </row>
    <row r="1281" spans="1:8" x14ac:dyDescent="0.25">
      <c r="A1281" t="str">
        <f xml:space="preserve"> $H$1273</f>
        <v>&lt;flags count_in_cargo="0" count_in_hoarder="0" count_in_map="1" count_in_player="0" crafted="1" deloot="0"/&gt;</v>
      </c>
      <c r="B1281" t="s">
        <v>3372</v>
      </c>
    </row>
    <row r="1282" spans="1:8" x14ac:dyDescent="0.25">
      <c r="A1282" t="s">
        <v>22</v>
      </c>
      <c r="B1282" t="s">
        <v>3372</v>
      </c>
    </row>
    <row r="1283" spans="1:8" x14ac:dyDescent="0.25">
      <c r="A1283" t="s">
        <v>1503</v>
      </c>
      <c r="B1283" t="s">
        <v>3373</v>
      </c>
      <c r="D1283">
        <v>0</v>
      </c>
      <c r="E1283">
        <v>5600</v>
      </c>
      <c r="F1283">
        <v>0</v>
      </c>
      <c r="G1283">
        <v>0</v>
      </c>
      <c r="H1283" t="s">
        <v>62</v>
      </c>
    </row>
    <row r="1284" spans="1:8" x14ac:dyDescent="0.25">
      <c r="A1284" t="str">
        <f>"&lt;nominal&gt;" &amp;$D$1283&amp;"&lt;/nominal&gt;"</f>
        <v>&lt;nominal&gt;0&lt;/nominal&gt;</v>
      </c>
      <c r="B1284" t="s">
        <v>3373</v>
      </c>
    </row>
    <row r="1285" spans="1:8" x14ac:dyDescent="0.25">
      <c r="A1285" t="str">
        <f>"&lt;lifetime&gt;" &amp;$E$1283&amp;"&lt;/lifetime&gt;"</f>
        <v>&lt;lifetime&gt;5600&lt;/lifetime&gt;</v>
      </c>
      <c r="B1285" t="s">
        <v>3373</v>
      </c>
    </row>
    <row r="1286" spans="1:8" x14ac:dyDescent="0.25">
      <c r="A1286" t="str">
        <f>"&lt;restock&gt;" &amp;$F$1283&amp;"&lt;/restock&gt;"</f>
        <v>&lt;restock&gt;0&lt;/restock&gt;</v>
      </c>
      <c r="B1286" t="s">
        <v>3373</v>
      </c>
    </row>
    <row r="1287" spans="1:8" x14ac:dyDescent="0.25">
      <c r="A1287" t="str">
        <f>"&lt;min&gt;" &amp;$G$1283&amp;"&lt;/min&gt;"</f>
        <v>&lt;min&gt;0&lt;/min&gt;</v>
      </c>
      <c r="B1287" t="s">
        <v>3373</v>
      </c>
    </row>
    <row r="1288" spans="1:8" x14ac:dyDescent="0.25">
      <c r="A1288" t="s">
        <v>16</v>
      </c>
      <c r="B1288" t="s">
        <v>3373</v>
      </c>
    </row>
    <row r="1289" spans="1:8" x14ac:dyDescent="0.25">
      <c r="A1289" t="s">
        <v>17</v>
      </c>
      <c r="B1289" t="s">
        <v>3373</v>
      </c>
    </row>
    <row r="1290" spans="1:8" x14ac:dyDescent="0.25">
      <c r="A1290" t="s">
        <v>18</v>
      </c>
      <c r="B1290" t="s">
        <v>3373</v>
      </c>
    </row>
    <row r="1291" spans="1:8" x14ac:dyDescent="0.25">
      <c r="A1291" t="str">
        <f xml:space="preserve"> $H$1283</f>
        <v>&lt;flags count_in_cargo="0" count_in_hoarder="0" count_in_map="1" count_in_player="0" crafted="1" deloot="0"/&gt;</v>
      </c>
      <c r="B1291" t="s">
        <v>3373</v>
      </c>
    </row>
    <row r="1292" spans="1:8" x14ac:dyDescent="0.25">
      <c r="A1292" t="s">
        <v>22</v>
      </c>
      <c r="B1292" t="s">
        <v>3373</v>
      </c>
    </row>
    <row r="1293" spans="1:8" x14ac:dyDescent="0.25">
      <c r="A1293" t="s">
        <v>1504</v>
      </c>
      <c r="B1293" t="s">
        <v>3374</v>
      </c>
      <c r="D1293">
        <v>0</v>
      </c>
      <c r="E1293">
        <v>5600</v>
      </c>
      <c r="F1293">
        <v>0</v>
      </c>
      <c r="G1293">
        <v>0</v>
      </c>
      <c r="H1293" t="s">
        <v>62</v>
      </c>
    </row>
    <row r="1294" spans="1:8" x14ac:dyDescent="0.25">
      <c r="A1294" t="str">
        <f>"&lt;nominal&gt;" &amp;$D$1293&amp;"&lt;/nominal&gt;"</f>
        <v>&lt;nominal&gt;0&lt;/nominal&gt;</v>
      </c>
      <c r="B1294" t="s">
        <v>3374</v>
      </c>
    </row>
    <row r="1295" spans="1:8" x14ac:dyDescent="0.25">
      <c r="A1295" t="str">
        <f>"&lt;lifetime&gt;" &amp;$E$1293&amp;"&lt;/lifetime&gt;"</f>
        <v>&lt;lifetime&gt;5600&lt;/lifetime&gt;</v>
      </c>
      <c r="B1295" t="s">
        <v>3374</v>
      </c>
    </row>
    <row r="1296" spans="1:8" x14ac:dyDescent="0.25">
      <c r="A1296" t="str">
        <f>"&lt;restock&gt;" &amp;$F$1293&amp;"&lt;/restock&gt;"</f>
        <v>&lt;restock&gt;0&lt;/restock&gt;</v>
      </c>
      <c r="B1296" t="s">
        <v>3374</v>
      </c>
    </row>
    <row r="1297" spans="1:8" x14ac:dyDescent="0.25">
      <c r="A1297" t="str">
        <f>"&lt;min&gt;" &amp;$G$1293&amp;"&lt;/min&gt;"</f>
        <v>&lt;min&gt;0&lt;/min&gt;</v>
      </c>
      <c r="B1297" t="s">
        <v>3374</v>
      </c>
    </row>
    <row r="1298" spans="1:8" x14ac:dyDescent="0.25">
      <c r="A1298" t="s">
        <v>16</v>
      </c>
      <c r="B1298" t="s">
        <v>3374</v>
      </c>
    </row>
    <row r="1299" spans="1:8" x14ac:dyDescent="0.25">
      <c r="A1299" t="s">
        <v>17</v>
      </c>
      <c r="B1299" t="s">
        <v>3374</v>
      </c>
    </row>
    <row r="1300" spans="1:8" x14ac:dyDescent="0.25">
      <c r="A1300" t="s">
        <v>18</v>
      </c>
      <c r="B1300" t="s">
        <v>3374</v>
      </c>
    </row>
    <row r="1301" spans="1:8" x14ac:dyDescent="0.25">
      <c r="A1301" t="str">
        <f xml:space="preserve"> $H$1293</f>
        <v>&lt;flags count_in_cargo="0" count_in_hoarder="0" count_in_map="1" count_in_player="0" crafted="1" deloot="0"/&gt;</v>
      </c>
      <c r="B1301" t="s">
        <v>3374</v>
      </c>
    </row>
    <row r="1302" spans="1:8" x14ac:dyDescent="0.25">
      <c r="A1302" t="s">
        <v>22</v>
      </c>
      <c r="B1302" t="s">
        <v>3374</v>
      </c>
    </row>
    <row r="1303" spans="1:8" x14ac:dyDescent="0.25">
      <c r="A1303" t="s">
        <v>1505</v>
      </c>
      <c r="B1303" t="s">
        <v>3375</v>
      </c>
      <c r="D1303">
        <v>0</v>
      </c>
      <c r="E1303">
        <v>5600</v>
      </c>
      <c r="F1303">
        <v>0</v>
      </c>
      <c r="G1303">
        <v>0</v>
      </c>
      <c r="H1303" t="s">
        <v>62</v>
      </c>
    </row>
    <row r="1304" spans="1:8" x14ac:dyDescent="0.25">
      <c r="A1304" t="str">
        <f>"&lt;nominal&gt;" &amp;$D$1303&amp;"&lt;/nominal&gt;"</f>
        <v>&lt;nominal&gt;0&lt;/nominal&gt;</v>
      </c>
      <c r="B1304" t="s">
        <v>3375</v>
      </c>
    </row>
    <row r="1305" spans="1:8" x14ac:dyDescent="0.25">
      <c r="A1305" t="str">
        <f>"&lt;lifetime&gt;" &amp;$E$1303&amp;"&lt;/lifetime&gt;"</f>
        <v>&lt;lifetime&gt;5600&lt;/lifetime&gt;</v>
      </c>
      <c r="B1305" t="s">
        <v>3375</v>
      </c>
    </row>
    <row r="1306" spans="1:8" x14ac:dyDescent="0.25">
      <c r="A1306" t="str">
        <f>"&lt;restock&gt;" &amp;$F$1303&amp;"&lt;/restock&gt;"</f>
        <v>&lt;restock&gt;0&lt;/restock&gt;</v>
      </c>
      <c r="B1306" t="s">
        <v>3375</v>
      </c>
    </row>
    <row r="1307" spans="1:8" x14ac:dyDescent="0.25">
      <c r="A1307" t="str">
        <f>"&lt;min&gt;" &amp;$G$1303&amp;"&lt;/min&gt;"</f>
        <v>&lt;min&gt;0&lt;/min&gt;</v>
      </c>
      <c r="B1307" t="s">
        <v>3375</v>
      </c>
    </row>
    <row r="1308" spans="1:8" x14ac:dyDescent="0.25">
      <c r="A1308" t="s">
        <v>16</v>
      </c>
      <c r="B1308" t="s">
        <v>3375</v>
      </c>
    </row>
    <row r="1309" spans="1:8" x14ac:dyDescent="0.25">
      <c r="A1309" t="s">
        <v>17</v>
      </c>
      <c r="B1309" t="s">
        <v>3375</v>
      </c>
    </row>
    <row r="1310" spans="1:8" x14ac:dyDescent="0.25">
      <c r="A1310" t="s">
        <v>18</v>
      </c>
      <c r="B1310" t="s">
        <v>3375</v>
      </c>
    </row>
    <row r="1311" spans="1:8" x14ac:dyDescent="0.25">
      <c r="A1311" t="str">
        <f xml:space="preserve"> $H$1303</f>
        <v>&lt;flags count_in_cargo="0" count_in_hoarder="0" count_in_map="1" count_in_player="0" crafted="1" deloot="0"/&gt;</v>
      </c>
      <c r="B1311" t="s">
        <v>3375</v>
      </c>
    </row>
    <row r="1312" spans="1:8" x14ac:dyDescent="0.25">
      <c r="A1312" t="s">
        <v>22</v>
      </c>
      <c r="B1312" t="s">
        <v>3375</v>
      </c>
    </row>
    <row r="1313" spans="1:8" x14ac:dyDescent="0.25">
      <c r="A1313" t="s">
        <v>1506</v>
      </c>
      <c r="B1313" t="s">
        <v>3376</v>
      </c>
      <c r="D1313">
        <v>0</v>
      </c>
      <c r="E1313">
        <v>5600</v>
      </c>
      <c r="F1313">
        <v>0</v>
      </c>
      <c r="G1313">
        <v>0</v>
      </c>
      <c r="H1313" t="s">
        <v>62</v>
      </c>
    </row>
    <row r="1314" spans="1:8" x14ac:dyDescent="0.25">
      <c r="A1314" t="str">
        <f>"&lt;nominal&gt;" &amp;$D$1313&amp;"&lt;/nominal&gt;"</f>
        <v>&lt;nominal&gt;0&lt;/nominal&gt;</v>
      </c>
      <c r="B1314" t="s">
        <v>3376</v>
      </c>
    </row>
    <row r="1315" spans="1:8" x14ac:dyDescent="0.25">
      <c r="A1315" t="str">
        <f>"&lt;lifetime&gt;" &amp;$E$1313&amp;"&lt;/lifetime&gt;"</f>
        <v>&lt;lifetime&gt;5600&lt;/lifetime&gt;</v>
      </c>
      <c r="B1315" t="s">
        <v>3376</v>
      </c>
    </row>
    <row r="1316" spans="1:8" x14ac:dyDescent="0.25">
      <c r="A1316" t="str">
        <f>"&lt;restock&gt;" &amp;$F$1313&amp;"&lt;/restock&gt;"</f>
        <v>&lt;restock&gt;0&lt;/restock&gt;</v>
      </c>
      <c r="B1316" t="s">
        <v>3376</v>
      </c>
    </row>
    <row r="1317" spans="1:8" x14ac:dyDescent="0.25">
      <c r="A1317" t="str">
        <f>"&lt;min&gt;" &amp;$G$1313&amp;"&lt;/min&gt;"</f>
        <v>&lt;min&gt;0&lt;/min&gt;</v>
      </c>
      <c r="B1317" t="s">
        <v>3376</v>
      </c>
    </row>
    <row r="1318" spans="1:8" x14ac:dyDescent="0.25">
      <c r="A1318" t="s">
        <v>16</v>
      </c>
      <c r="B1318" t="s">
        <v>3376</v>
      </c>
    </row>
    <row r="1319" spans="1:8" x14ac:dyDescent="0.25">
      <c r="A1319" t="s">
        <v>17</v>
      </c>
      <c r="B1319" t="s">
        <v>3376</v>
      </c>
    </row>
    <row r="1320" spans="1:8" x14ac:dyDescent="0.25">
      <c r="A1320" t="s">
        <v>18</v>
      </c>
      <c r="B1320" t="s">
        <v>3376</v>
      </c>
    </row>
    <row r="1321" spans="1:8" x14ac:dyDescent="0.25">
      <c r="A1321" t="str">
        <f xml:space="preserve"> $H$1313</f>
        <v>&lt;flags count_in_cargo="0" count_in_hoarder="0" count_in_map="1" count_in_player="0" crafted="1" deloot="0"/&gt;</v>
      </c>
      <c r="B1321" t="s">
        <v>3376</v>
      </c>
    </row>
    <row r="1322" spans="1:8" x14ac:dyDescent="0.25">
      <c r="A1322" t="s">
        <v>22</v>
      </c>
      <c r="B1322" t="s">
        <v>3376</v>
      </c>
    </row>
    <row r="1323" spans="1:8" x14ac:dyDescent="0.25">
      <c r="A1323" t="s">
        <v>1507</v>
      </c>
      <c r="B1323" t="s">
        <v>3377</v>
      </c>
      <c r="D1323">
        <v>0</v>
      </c>
      <c r="E1323">
        <v>5600</v>
      </c>
      <c r="F1323">
        <v>0</v>
      </c>
      <c r="G1323">
        <v>0</v>
      </c>
      <c r="H1323" t="s">
        <v>62</v>
      </c>
    </row>
    <row r="1324" spans="1:8" x14ac:dyDescent="0.25">
      <c r="A1324" t="str">
        <f>"&lt;nominal&gt;" &amp;$D$1323&amp;"&lt;/nominal&gt;"</f>
        <v>&lt;nominal&gt;0&lt;/nominal&gt;</v>
      </c>
      <c r="B1324" t="s">
        <v>3377</v>
      </c>
    </row>
    <row r="1325" spans="1:8" x14ac:dyDescent="0.25">
      <c r="A1325" t="str">
        <f>"&lt;lifetime&gt;" &amp;$E$1323&amp;"&lt;/lifetime&gt;"</f>
        <v>&lt;lifetime&gt;5600&lt;/lifetime&gt;</v>
      </c>
      <c r="B1325" t="s">
        <v>3377</v>
      </c>
    </row>
    <row r="1326" spans="1:8" x14ac:dyDescent="0.25">
      <c r="A1326" t="str">
        <f>"&lt;restock&gt;" &amp;$F$1323&amp;"&lt;/restock&gt;"</f>
        <v>&lt;restock&gt;0&lt;/restock&gt;</v>
      </c>
      <c r="B1326" t="s">
        <v>3377</v>
      </c>
    </row>
    <row r="1327" spans="1:8" x14ac:dyDescent="0.25">
      <c r="A1327" t="str">
        <f>"&lt;min&gt;" &amp;$G$1323&amp;"&lt;/min&gt;"</f>
        <v>&lt;min&gt;0&lt;/min&gt;</v>
      </c>
      <c r="B1327" t="s">
        <v>3377</v>
      </c>
    </row>
    <row r="1328" spans="1:8" x14ac:dyDescent="0.25">
      <c r="A1328" t="s">
        <v>16</v>
      </c>
      <c r="B1328" t="s">
        <v>3377</v>
      </c>
    </row>
    <row r="1329" spans="1:8" x14ac:dyDescent="0.25">
      <c r="A1329" t="s">
        <v>17</v>
      </c>
      <c r="B1329" t="s">
        <v>3377</v>
      </c>
    </row>
    <row r="1330" spans="1:8" x14ac:dyDescent="0.25">
      <c r="A1330" t="s">
        <v>18</v>
      </c>
      <c r="B1330" t="s">
        <v>3377</v>
      </c>
    </row>
    <row r="1331" spans="1:8" x14ac:dyDescent="0.25">
      <c r="A1331" t="str">
        <f xml:space="preserve"> $H$1323</f>
        <v>&lt;flags count_in_cargo="0" count_in_hoarder="0" count_in_map="1" count_in_player="0" crafted="1" deloot="0"/&gt;</v>
      </c>
      <c r="B1331" t="s">
        <v>3377</v>
      </c>
    </row>
    <row r="1332" spans="1:8" x14ac:dyDescent="0.25">
      <c r="A1332" t="s">
        <v>22</v>
      </c>
      <c r="B1332" t="s">
        <v>3377</v>
      </c>
    </row>
    <row r="1333" spans="1:8" x14ac:dyDescent="0.25">
      <c r="A1333" t="s">
        <v>1508</v>
      </c>
      <c r="B1333" t="s">
        <v>400</v>
      </c>
      <c r="C1333" t="s">
        <v>363</v>
      </c>
      <c r="D1333">
        <v>5</v>
      </c>
      <c r="E1333">
        <v>21600</v>
      </c>
      <c r="F1333">
        <v>0</v>
      </c>
      <c r="G1333">
        <v>2</v>
      </c>
      <c r="H1333" t="s">
        <v>19</v>
      </c>
    </row>
    <row r="1334" spans="1:8" x14ac:dyDescent="0.25">
      <c r="A1334" t="str">
        <f>"&lt;nominal&gt;" &amp;$D$1333&amp;"&lt;/nominal&gt;"</f>
        <v>&lt;nominal&gt;5&lt;/nominal&gt;</v>
      </c>
      <c r="B1334" t="s">
        <v>400</v>
      </c>
    </row>
    <row r="1335" spans="1:8" x14ac:dyDescent="0.25">
      <c r="A1335" t="str">
        <f>"&lt;lifetime&gt;" &amp;$E$1333&amp;"&lt;/lifetime&gt;"</f>
        <v>&lt;lifetime&gt;21600&lt;/lifetime&gt;</v>
      </c>
      <c r="B1335" t="s">
        <v>400</v>
      </c>
    </row>
    <row r="1336" spans="1:8" x14ac:dyDescent="0.25">
      <c r="A1336" t="str">
        <f>"&lt;restock&gt;" &amp;$F$1333&amp;"&lt;/restock&gt;"</f>
        <v>&lt;restock&gt;0&lt;/restock&gt;</v>
      </c>
      <c r="B1336" t="s">
        <v>400</v>
      </c>
    </row>
    <row r="1337" spans="1:8" x14ac:dyDescent="0.25">
      <c r="A1337" t="str">
        <f>"&lt;min&gt;" &amp;$G$1333&amp;"&lt;/min&gt;"</f>
        <v>&lt;min&gt;2&lt;/min&gt;</v>
      </c>
      <c r="B1337" t="s">
        <v>400</v>
      </c>
    </row>
    <row r="1338" spans="1:8" x14ac:dyDescent="0.25">
      <c r="A1338" t="s">
        <v>16</v>
      </c>
      <c r="B1338" t="s">
        <v>400</v>
      </c>
    </row>
    <row r="1339" spans="1:8" x14ac:dyDescent="0.25">
      <c r="A1339" t="s">
        <v>17</v>
      </c>
      <c r="B1339" t="s">
        <v>400</v>
      </c>
    </row>
    <row r="1340" spans="1:8" x14ac:dyDescent="0.25">
      <c r="A1340" t="s">
        <v>18</v>
      </c>
      <c r="B1340" t="s">
        <v>400</v>
      </c>
    </row>
    <row r="1341" spans="1:8" x14ac:dyDescent="0.25">
      <c r="A1341" t="str">
        <f xml:space="preserve"> $H$1333</f>
        <v>&lt;flags count_in_cargo="0" count_in_hoarder="0" count_in_map="1" count_in_player="0" crafted="0" deloot="0"/&gt;</v>
      </c>
      <c r="B1341" t="s">
        <v>400</v>
      </c>
    </row>
    <row r="1342" spans="1:8" x14ac:dyDescent="0.25">
      <c r="A1342" t="str">
        <f>"&lt;category name=" &amp;"""" &amp;$C$1333&amp;"""/&gt;"</f>
        <v>&lt;category name="containers"/&gt;</v>
      </c>
      <c r="B1342" t="s">
        <v>400</v>
      </c>
    </row>
    <row r="1343" spans="1:8" x14ac:dyDescent="0.25">
      <c r="A1343" t="s">
        <v>29</v>
      </c>
      <c r="B1343" t="s">
        <v>400</v>
      </c>
    </row>
    <row r="1344" spans="1:8" x14ac:dyDescent="0.25">
      <c r="A1344" t="s">
        <v>22</v>
      </c>
      <c r="B1344" t="s">
        <v>400</v>
      </c>
    </row>
    <row r="1345" spans="1:8" x14ac:dyDescent="0.25">
      <c r="A1345" t="s">
        <v>1509</v>
      </c>
      <c r="B1345" t="s">
        <v>401</v>
      </c>
      <c r="C1345" t="s">
        <v>363</v>
      </c>
      <c r="D1345">
        <v>5</v>
      </c>
      <c r="E1345">
        <v>21600</v>
      </c>
      <c r="F1345">
        <v>0</v>
      </c>
      <c r="G1345">
        <v>2</v>
      </c>
      <c r="H1345" t="s">
        <v>19</v>
      </c>
    </row>
    <row r="1346" spans="1:8" x14ac:dyDescent="0.25">
      <c r="A1346" t="str">
        <f>"&lt;nominal&gt;" &amp;$D$1345&amp;"&lt;/nominal&gt;"</f>
        <v>&lt;nominal&gt;5&lt;/nominal&gt;</v>
      </c>
      <c r="B1346" t="s">
        <v>401</v>
      </c>
    </row>
    <row r="1347" spans="1:8" x14ac:dyDescent="0.25">
      <c r="A1347" t="str">
        <f>"&lt;lifetime&gt;" &amp;$E$1345&amp;"&lt;/lifetime&gt;"</f>
        <v>&lt;lifetime&gt;21600&lt;/lifetime&gt;</v>
      </c>
      <c r="B1347" t="s">
        <v>401</v>
      </c>
    </row>
    <row r="1348" spans="1:8" x14ac:dyDescent="0.25">
      <c r="A1348" t="str">
        <f>"&lt;restock&gt;" &amp;$F$1345&amp;"&lt;/restock&gt;"</f>
        <v>&lt;restock&gt;0&lt;/restock&gt;</v>
      </c>
      <c r="B1348" t="s">
        <v>401</v>
      </c>
    </row>
    <row r="1349" spans="1:8" x14ac:dyDescent="0.25">
      <c r="A1349" t="str">
        <f>"&lt;min&gt;" &amp;$G$1345&amp;"&lt;/min&gt;"</f>
        <v>&lt;min&gt;2&lt;/min&gt;</v>
      </c>
      <c r="B1349" t="s">
        <v>401</v>
      </c>
    </row>
    <row r="1350" spans="1:8" x14ac:dyDescent="0.25">
      <c r="A1350" t="s">
        <v>16</v>
      </c>
      <c r="B1350" t="s">
        <v>401</v>
      </c>
    </row>
    <row r="1351" spans="1:8" x14ac:dyDescent="0.25">
      <c r="A1351" t="s">
        <v>17</v>
      </c>
      <c r="B1351" t="s">
        <v>401</v>
      </c>
    </row>
    <row r="1352" spans="1:8" x14ac:dyDescent="0.25">
      <c r="A1352" t="s">
        <v>18</v>
      </c>
      <c r="B1352" t="s">
        <v>401</v>
      </c>
    </row>
    <row r="1353" spans="1:8" x14ac:dyDescent="0.25">
      <c r="A1353" t="str">
        <f xml:space="preserve"> $H$1345</f>
        <v>&lt;flags count_in_cargo="0" count_in_hoarder="0" count_in_map="1" count_in_player="0" crafted="0" deloot="0"/&gt;</v>
      </c>
      <c r="B1353" t="s">
        <v>401</v>
      </c>
    </row>
    <row r="1354" spans="1:8" x14ac:dyDescent="0.25">
      <c r="A1354" t="str">
        <f>"&lt;category name=" &amp;"""" &amp;$C$1345&amp;"""/&gt;"</f>
        <v>&lt;category name="containers"/&gt;</v>
      </c>
      <c r="B1354" t="s">
        <v>401</v>
      </c>
    </row>
    <row r="1355" spans="1:8" x14ac:dyDescent="0.25">
      <c r="A1355" t="s">
        <v>29</v>
      </c>
      <c r="B1355" t="s">
        <v>401</v>
      </c>
    </row>
    <row r="1356" spans="1:8" x14ac:dyDescent="0.25">
      <c r="A1356" t="s">
        <v>22</v>
      </c>
      <c r="B1356" t="s">
        <v>401</v>
      </c>
    </row>
    <row r="1357" spans="1:8" x14ac:dyDescent="0.25">
      <c r="A1357" t="s">
        <v>1510</v>
      </c>
      <c r="B1357" t="s">
        <v>402</v>
      </c>
      <c r="C1357" t="s">
        <v>363</v>
      </c>
      <c r="D1357">
        <v>5</v>
      </c>
      <c r="E1357">
        <v>21600</v>
      </c>
      <c r="F1357">
        <v>0</v>
      </c>
      <c r="G1357">
        <v>2</v>
      </c>
      <c r="H1357" t="s">
        <v>19</v>
      </c>
    </row>
    <row r="1358" spans="1:8" x14ac:dyDescent="0.25">
      <c r="A1358" t="str">
        <f>"&lt;nominal&gt;" &amp;$D$1357&amp;"&lt;/nominal&gt;"</f>
        <v>&lt;nominal&gt;5&lt;/nominal&gt;</v>
      </c>
      <c r="B1358" t="s">
        <v>402</v>
      </c>
    </row>
    <row r="1359" spans="1:8" x14ac:dyDescent="0.25">
      <c r="A1359" t="str">
        <f>"&lt;lifetime&gt;" &amp;$E$1357&amp;"&lt;/lifetime&gt;"</f>
        <v>&lt;lifetime&gt;21600&lt;/lifetime&gt;</v>
      </c>
      <c r="B1359" t="s">
        <v>402</v>
      </c>
    </row>
    <row r="1360" spans="1:8" x14ac:dyDescent="0.25">
      <c r="A1360" t="str">
        <f>"&lt;restock&gt;" &amp;$F$1357&amp;"&lt;/restock&gt;"</f>
        <v>&lt;restock&gt;0&lt;/restock&gt;</v>
      </c>
      <c r="B1360" t="s">
        <v>402</v>
      </c>
    </row>
    <row r="1361" spans="1:8" x14ac:dyDescent="0.25">
      <c r="A1361" t="str">
        <f>"&lt;min&gt;" &amp;$G$1357&amp;"&lt;/min&gt;"</f>
        <v>&lt;min&gt;2&lt;/min&gt;</v>
      </c>
      <c r="B1361" t="s">
        <v>402</v>
      </c>
    </row>
    <row r="1362" spans="1:8" x14ac:dyDescent="0.25">
      <c r="A1362" t="s">
        <v>16</v>
      </c>
      <c r="B1362" t="s">
        <v>402</v>
      </c>
    </row>
    <row r="1363" spans="1:8" x14ac:dyDescent="0.25">
      <c r="A1363" t="s">
        <v>17</v>
      </c>
      <c r="B1363" t="s">
        <v>402</v>
      </c>
    </row>
    <row r="1364" spans="1:8" x14ac:dyDescent="0.25">
      <c r="A1364" t="s">
        <v>18</v>
      </c>
      <c r="B1364" t="s">
        <v>402</v>
      </c>
    </row>
    <row r="1365" spans="1:8" x14ac:dyDescent="0.25">
      <c r="A1365" t="str">
        <f xml:space="preserve"> $H$1357</f>
        <v>&lt;flags count_in_cargo="0" count_in_hoarder="0" count_in_map="1" count_in_player="0" crafted="0" deloot="0"/&gt;</v>
      </c>
      <c r="B1365" t="s">
        <v>402</v>
      </c>
    </row>
    <row r="1366" spans="1:8" x14ac:dyDescent="0.25">
      <c r="A1366" t="str">
        <f>"&lt;category name=" &amp;"""" &amp;$C$1357&amp;"""/&gt;"</f>
        <v>&lt;category name="containers"/&gt;</v>
      </c>
      <c r="B1366" t="s">
        <v>402</v>
      </c>
    </row>
    <row r="1367" spans="1:8" x14ac:dyDescent="0.25">
      <c r="A1367" t="s">
        <v>29</v>
      </c>
      <c r="B1367" t="s">
        <v>402</v>
      </c>
    </row>
    <row r="1368" spans="1:8" x14ac:dyDescent="0.25">
      <c r="A1368" t="s">
        <v>22</v>
      </c>
      <c r="B1368" t="s">
        <v>402</v>
      </c>
    </row>
    <row r="1369" spans="1:8" x14ac:dyDescent="0.25">
      <c r="A1369" t="s">
        <v>1511</v>
      </c>
      <c r="B1369" t="s">
        <v>3378</v>
      </c>
      <c r="C1369" t="s">
        <v>403</v>
      </c>
      <c r="D1369">
        <v>0</v>
      </c>
      <c r="E1369">
        <v>900</v>
      </c>
      <c r="F1369">
        <v>0</v>
      </c>
      <c r="G1369">
        <v>0</v>
      </c>
      <c r="H1369" t="s">
        <v>19</v>
      </c>
    </row>
    <row r="1370" spans="1:8" x14ac:dyDescent="0.25">
      <c r="A1370" t="str">
        <f>"&lt;nominal&gt;" &amp;$D$1369&amp;"&lt;/nominal&gt;"</f>
        <v>&lt;nominal&gt;0&lt;/nominal&gt;</v>
      </c>
      <c r="B1370" t="s">
        <v>3378</v>
      </c>
    </row>
    <row r="1371" spans="1:8" x14ac:dyDescent="0.25">
      <c r="A1371" t="str">
        <f>"&lt;lifetime&gt;" &amp;$E$1369&amp;"&lt;/lifetime&gt;"</f>
        <v>&lt;lifetime&gt;900&lt;/lifetime&gt;</v>
      </c>
      <c r="B1371" t="s">
        <v>3378</v>
      </c>
    </row>
    <row r="1372" spans="1:8" x14ac:dyDescent="0.25">
      <c r="A1372" t="str">
        <f>"&lt;restock&gt;" &amp;$F$1369&amp;"&lt;/restock&gt;"</f>
        <v>&lt;restock&gt;0&lt;/restock&gt;</v>
      </c>
      <c r="B1372" t="s">
        <v>3378</v>
      </c>
    </row>
    <row r="1373" spans="1:8" x14ac:dyDescent="0.25">
      <c r="A1373" t="str">
        <f>"&lt;min&gt;" &amp;$G$1369&amp;"&lt;/min&gt;"</f>
        <v>&lt;min&gt;0&lt;/min&gt;</v>
      </c>
      <c r="B1373" t="s">
        <v>3378</v>
      </c>
    </row>
    <row r="1374" spans="1:8" x14ac:dyDescent="0.25">
      <c r="A1374" t="s">
        <v>16</v>
      </c>
      <c r="B1374" t="s">
        <v>3378</v>
      </c>
    </row>
    <row r="1375" spans="1:8" x14ac:dyDescent="0.25">
      <c r="A1375" t="s">
        <v>17</v>
      </c>
      <c r="B1375" t="s">
        <v>3378</v>
      </c>
    </row>
    <row r="1376" spans="1:8" x14ac:dyDescent="0.25">
      <c r="A1376" t="s">
        <v>18</v>
      </c>
      <c r="B1376" t="s">
        <v>3378</v>
      </c>
    </row>
    <row r="1377" spans="1:8" x14ac:dyDescent="0.25">
      <c r="A1377" t="str">
        <f xml:space="preserve"> $H$1369</f>
        <v>&lt;flags count_in_cargo="0" count_in_hoarder="0" count_in_map="1" count_in_player="0" crafted="0" deloot="0"/&gt;</v>
      </c>
      <c r="B1377" t="s">
        <v>3378</v>
      </c>
    </row>
    <row r="1378" spans="1:8" x14ac:dyDescent="0.25">
      <c r="A1378" t="str">
        <f>"&lt;category name=" &amp;"""" &amp;$C$1369&amp;"""/&gt;"</f>
        <v>&lt;category name="clothes"/&gt;</v>
      </c>
      <c r="B1378" t="s">
        <v>3378</v>
      </c>
    </row>
    <row r="1379" spans="1:8" x14ac:dyDescent="0.25">
      <c r="A1379" t="s">
        <v>25</v>
      </c>
      <c r="B1379" t="s">
        <v>3378</v>
      </c>
    </row>
    <row r="1380" spans="1:8" x14ac:dyDescent="0.25">
      <c r="A1380" t="s">
        <v>39</v>
      </c>
      <c r="B1380" t="s">
        <v>3378</v>
      </c>
    </row>
    <row r="1381" spans="1:8" x14ac:dyDescent="0.25">
      <c r="A1381" t="s">
        <v>92</v>
      </c>
      <c r="B1381" t="s">
        <v>3378</v>
      </c>
    </row>
    <row r="1382" spans="1:8" x14ac:dyDescent="0.25">
      <c r="A1382" t="s">
        <v>22</v>
      </c>
      <c r="B1382" t="s">
        <v>3378</v>
      </c>
    </row>
    <row r="1383" spans="1:8" x14ac:dyDescent="0.25">
      <c r="A1383" t="s">
        <v>1512</v>
      </c>
      <c r="B1383" t="s">
        <v>404</v>
      </c>
      <c r="C1383" t="s">
        <v>403</v>
      </c>
      <c r="D1383">
        <v>20</v>
      </c>
      <c r="E1383">
        <v>2700</v>
      </c>
      <c r="F1383">
        <v>0</v>
      </c>
      <c r="G1383">
        <v>10</v>
      </c>
      <c r="H1383" t="s">
        <v>19</v>
      </c>
    </row>
    <row r="1384" spans="1:8" x14ac:dyDescent="0.25">
      <c r="A1384" t="str">
        <f>"&lt;nominal&gt;" &amp;$D$1383&amp;"&lt;/nominal&gt;"</f>
        <v>&lt;nominal&gt;20&lt;/nominal&gt;</v>
      </c>
      <c r="B1384" t="s">
        <v>404</v>
      </c>
    </row>
    <row r="1385" spans="1:8" x14ac:dyDescent="0.25">
      <c r="A1385" t="str">
        <f>"&lt;lifetime&gt;" &amp;$E$1383&amp;"&lt;/lifetime&gt;"</f>
        <v>&lt;lifetime&gt;2700&lt;/lifetime&gt;</v>
      </c>
      <c r="B1385" t="s">
        <v>404</v>
      </c>
    </row>
    <row r="1386" spans="1:8" x14ac:dyDescent="0.25">
      <c r="A1386" t="str">
        <f>"&lt;restock&gt;" &amp;$F$1383&amp;"&lt;/restock&gt;"</f>
        <v>&lt;restock&gt;0&lt;/restock&gt;</v>
      </c>
      <c r="B1386" t="s">
        <v>404</v>
      </c>
    </row>
    <row r="1387" spans="1:8" x14ac:dyDescent="0.25">
      <c r="A1387" t="str">
        <f>"&lt;min&gt;" &amp;$G$1383&amp;"&lt;/min&gt;"</f>
        <v>&lt;min&gt;10&lt;/min&gt;</v>
      </c>
      <c r="B1387" t="s">
        <v>404</v>
      </c>
    </row>
    <row r="1388" spans="1:8" x14ac:dyDescent="0.25">
      <c r="A1388" t="s">
        <v>16</v>
      </c>
      <c r="B1388" t="s">
        <v>404</v>
      </c>
    </row>
    <row r="1389" spans="1:8" x14ac:dyDescent="0.25">
      <c r="A1389" t="s">
        <v>17</v>
      </c>
      <c r="B1389" t="s">
        <v>404</v>
      </c>
    </row>
    <row r="1390" spans="1:8" x14ac:dyDescent="0.25">
      <c r="A1390" t="s">
        <v>18</v>
      </c>
      <c r="B1390" t="s">
        <v>404</v>
      </c>
    </row>
    <row r="1391" spans="1:8" x14ac:dyDescent="0.25">
      <c r="A1391" t="str">
        <f xml:space="preserve"> $H$1383</f>
        <v>&lt;flags count_in_cargo="0" count_in_hoarder="0" count_in_map="1" count_in_player="0" crafted="0" deloot="0"/&gt;</v>
      </c>
      <c r="B1391" t="s">
        <v>404</v>
      </c>
    </row>
    <row r="1392" spans="1:8" x14ac:dyDescent="0.25">
      <c r="A1392" t="str">
        <f>"&lt;category name=" &amp;"""" &amp;$C$1383&amp;"""/&gt;"</f>
        <v>&lt;category name="clothes"/&gt;</v>
      </c>
      <c r="B1392" t="s">
        <v>404</v>
      </c>
    </row>
    <row r="1393" spans="1:8" x14ac:dyDescent="0.25">
      <c r="A1393" t="s">
        <v>25</v>
      </c>
      <c r="B1393" t="s">
        <v>404</v>
      </c>
    </row>
    <row r="1394" spans="1:8" x14ac:dyDescent="0.25">
      <c r="A1394" t="s">
        <v>39</v>
      </c>
      <c r="B1394" t="s">
        <v>404</v>
      </c>
    </row>
    <row r="1395" spans="1:8" x14ac:dyDescent="0.25">
      <c r="A1395" t="s">
        <v>92</v>
      </c>
      <c r="B1395" t="s">
        <v>404</v>
      </c>
    </row>
    <row r="1396" spans="1:8" x14ac:dyDescent="0.25">
      <c r="A1396" t="s">
        <v>22</v>
      </c>
      <c r="B1396" t="s">
        <v>404</v>
      </c>
    </row>
    <row r="1397" spans="1:8" x14ac:dyDescent="0.25">
      <c r="A1397" t="s">
        <v>1513</v>
      </c>
      <c r="B1397" t="s">
        <v>405</v>
      </c>
      <c r="C1397" t="s">
        <v>403</v>
      </c>
      <c r="D1397">
        <v>20</v>
      </c>
      <c r="E1397">
        <v>2700</v>
      </c>
      <c r="F1397">
        <v>0</v>
      </c>
      <c r="G1397">
        <v>10</v>
      </c>
      <c r="H1397" t="s">
        <v>19</v>
      </c>
    </row>
    <row r="1398" spans="1:8" x14ac:dyDescent="0.25">
      <c r="A1398" t="str">
        <f>"&lt;nominal&gt;" &amp;$D$1397&amp;"&lt;/nominal&gt;"</f>
        <v>&lt;nominal&gt;20&lt;/nominal&gt;</v>
      </c>
      <c r="B1398" t="s">
        <v>405</v>
      </c>
    </row>
    <row r="1399" spans="1:8" x14ac:dyDescent="0.25">
      <c r="A1399" t="str">
        <f>"&lt;lifetime&gt;" &amp;$E$1397&amp;"&lt;/lifetime&gt;"</f>
        <v>&lt;lifetime&gt;2700&lt;/lifetime&gt;</v>
      </c>
      <c r="B1399" t="s">
        <v>405</v>
      </c>
    </row>
    <row r="1400" spans="1:8" x14ac:dyDescent="0.25">
      <c r="A1400" t="str">
        <f>"&lt;restock&gt;" &amp;$F$1397&amp;"&lt;/restock&gt;"</f>
        <v>&lt;restock&gt;0&lt;/restock&gt;</v>
      </c>
      <c r="B1400" t="s">
        <v>405</v>
      </c>
    </row>
    <row r="1401" spans="1:8" x14ac:dyDescent="0.25">
      <c r="A1401" t="str">
        <f>"&lt;min&gt;" &amp;$G$1397&amp;"&lt;/min&gt;"</f>
        <v>&lt;min&gt;10&lt;/min&gt;</v>
      </c>
      <c r="B1401" t="s">
        <v>405</v>
      </c>
    </row>
    <row r="1402" spans="1:8" x14ac:dyDescent="0.25">
      <c r="A1402" t="s">
        <v>16</v>
      </c>
      <c r="B1402" t="s">
        <v>405</v>
      </c>
    </row>
    <row r="1403" spans="1:8" x14ac:dyDescent="0.25">
      <c r="A1403" t="s">
        <v>17</v>
      </c>
      <c r="B1403" t="s">
        <v>405</v>
      </c>
    </row>
    <row r="1404" spans="1:8" x14ac:dyDescent="0.25">
      <c r="A1404" t="s">
        <v>18</v>
      </c>
      <c r="B1404" t="s">
        <v>405</v>
      </c>
    </row>
    <row r="1405" spans="1:8" x14ac:dyDescent="0.25">
      <c r="A1405" t="str">
        <f xml:space="preserve"> $H$1397</f>
        <v>&lt;flags count_in_cargo="0" count_in_hoarder="0" count_in_map="1" count_in_player="0" crafted="0" deloot="0"/&gt;</v>
      </c>
      <c r="B1405" t="s">
        <v>405</v>
      </c>
    </row>
    <row r="1406" spans="1:8" x14ac:dyDescent="0.25">
      <c r="A1406" t="str">
        <f>"&lt;category name=" &amp;"""" &amp;$C$1397&amp;"""/&gt;"</f>
        <v>&lt;category name="clothes"/&gt;</v>
      </c>
      <c r="B1406" t="s">
        <v>405</v>
      </c>
    </row>
    <row r="1407" spans="1:8" x14ac:dyDescent="0.25">
      <c r="A1407" t="s">
        <v>25</v>
      </c>
      <c r="B1407" t="s">
        <v>405</v>
      </c>
    </row>
    <row r="1408" spans="1:8" x14ac:dyDescent="0.25">
      <c r="A1408" t="s">
        <v>39</v>
      </c>
      <c r="B1408" t="s">
        <v>405</v>
      </c>
    </row>
    <row r="1409" spans="1:8" x14ac:dyDescent="0.25">
      <c r="A1409" t="s">
        <v>92</v>
      </c>
      <c r="B1409" t="s">
        <v>405</v>
      </c>
    </row>
    <row r="1410" spans="1:8" x14ac:dyDescent="0.25">
      <c r="A1410" t="s">
        <v>22</v>
      </c>
      <c r="B1410" t="s">
        <v>405</v>
      </c>
    </row>
    <row r="1411" spans="1:8" x14ac:dyDescent="0.25">
      <c r="A1411" t="s">
        <v>1514</v>
      </c>
      <c r="B1411" t="s">
        <v>406</v>
      </c>
      <c r="C1411" t="s">
        <v>403</v>
      </c>
      <c r="D1411">
        <v>20</v>
      </c>
      <c r="E1411">
        <v>2700</v>
      </c>
      <c r="F1411">
        <v>0</v>
      </c>
      <c r="G1411">
        <v>10</v>
      </c>
      <c r="H1411" t="s">
        <v>19</v>
      </c>
    </row>
    <row r="1412" spans="1:8" x14ac:dyDescent="0.25">
      <c r="A1412" t="str">
        <f>"&lt;nominal&gt;" &amp;$D$1411&amp;"&lt;/nominal&gt;"</f>
        <v>&lt;nominal&gt;20&lt;/nominal&gt;</v>
      </c>
      <c r="B1412" t="s">
        <v>406</v>
      </c>
    </row>
    <row r="1413" spans="1:8" x14ac:dyDescent="0.25">
      <c r="A1413" t="str">
        <f>"&lt;lifetime&gt;" &amp;$E$1411&amp;"&lt;/lifetime&gt;"</f>
        <v>&lt;lifetime&gt;2700&lt;/lifetime&gt;</v>
      </c>
      <c r="B1413" t="s">
        <v>406</v>
      </c>
    </row>
    <row r="1414" spans="1:8" x14ac:dyDescent="0.25">
      <c r="A1414" t="str">
        <f>"&lt;restock&gt;" &amp;$F$1411&amp;"&lt;/restock&gt;"</f>
        <v>&lt;restock&gt;0&lt;/restock&gt;</v>
      </c>
      <c r="B1414" t="s">
        <v>406</v>
      </c>
    </row>
    <row r="1415" spans="1:8" x14ac:dyDescent="0.25">
      <c r="A1415" t="str">
        <f>"&lt;min&gt;" &amp;$G$1411&amp;"&lt;/min&gt;"</f>
        <v>&lt;min&gt;10&lt;/min&gt;</v>
      </c>
      <c r="B1415" t="s">
        <v>406</v>
      </c>
    </row>
    <row r="1416" spans="1:8" x14ac:dyDescent="0.25">
      <c r="A1416" t="s">
        <v>16</v>
      </c>
      <c r="B1416" t="s">
        <v>406</v>
      </c>
    </row>
    <row r="1417" spans="1:8" x14ac:dyDescent="0.25">
      <c r="A1417" t="s">
        <v>17</v>
      </c>
      <c r="B1417" t="s">
        <v>406</v>
      </c>
    </row>
    <row r="1418" spans="1:8" x14ac:dyDescent="0.25">
      <c r="A1418" t="s">
        <v>18</v>
      </c>
      <c r="B1418" t="s">
        <v>406</v>
      </c>
    </row>
    <row r="1419" spans="1:8" x14ac:dyDescent="0.25">
      <c r="A1419" t="str">
        <f xml:space="preserve"> $H$1411</f>
        <v>&lt;flags count_in_cargo="0" count_in_hoarder="0" count_in_map="1" count_in_player="0" crafted="0" deloot="0"/&gt;</v>
      </c>
      <c r="B1419" t="s">
        <v>406</v>
      </c>
    </row>
    <row r="1420" spans="1:8" x14ac:dyDescent="0.25">
      <c r="A1420" t="str">
        <f>"&lt;category name=" &amp;"""" &amp;$C$1411&amp;"""/&gt;"</f>
        <v>&lt;category name="clothes"/&gt;</v>
      </c>
      <c r="B1420" t="s">
        <v>406</v>
      </c>
    </row>
    <row r="1421" spans="1:8" x14ac:dyDescent="0.25">
      <c r="A1421" t="s">
        <v>25</v>
      </c>
      <c r="B1421" t="s">
        <v>406</v>
      </c>
    </row>
    <row r="1422" spans="1:8" x14ac:dyDescent="0.25">
      <c r="A1422" t="s">
        <v>39</v>
      </c>
      <c r="B1422" t="s">
        <v>406</v>
      </c>
    </row>
    <row r="1423" spans="1:8" x14ac:dyDescent="0.25">
      <c r="A1423" t="s">
        <v>92</v>
      </c>
      <c r="B1423" t="s">
        <v>406</v>
      </c>
    </row>
    <row r="1424" spans="1:8" x14ac:dyDescent="0.25">
      <c r="A1424" t="s">
        <v>22</v>
      </c>
      <c r="B1424" t="s">
        <v>406</v>
      </c>
    </row>
    <row r="1425" spans="1:8" x14ac:dyDescent="0.25">
      <c r="A1425" t="s">
        <v>1515</v>
      </c>
      <c r="B1425" t="s">
        <v>407</v>
      </c>
      <c r="C1425" t="s">
        <v>403</v>
      </c>
      <c r="D1425">
        <v>20</v>
      </c>
      <c r="E1425">
        <v>2700</v>
      </c>
      <c r="F1425">
        <v>0</v>
      </c>
      <c r="G1425">
        <v>10</v>
      </c>
      <c r="H1425" t="s">
        <v>19</v>
      </c>
    </row>
    <row r="1426" spans="1:8" x14ac:dyDescent="0.25">
      <c r="A1426" t="str">
        <f>"&lt;nominal&gt;" &amp;$D$1425&amp;"&lt;/nominal&gt;"</f>
        <v>&lt;nominal&gt;20&lt;/nominal&gt;</v>
      </c>
      <c r="B1426" t="s">
        <v>407</v>
      </c>
    </row>
    <row r="1427" spans="1:8" x14ac:dyDescent="0.25">
      <c r="A1427" t="str">
        <f>"&lt;lifetime&gt;" &amp;$E$1425&amp;"&lt;/lifetime&gt;"</f>
        <v>&lt;lifetime&gt;2700&lt;/lifetime&gt;</v>
      </c>
      <c r="B1427" t="s">
        <v>407</v>
      </c>
    </row>
    <row r="1428" spans="1:8" x14ac:dyDescent="0.25">
      <c r="A1428" t="str">
        <f>"&lt;restock&gt;" &amp;$F$1425&amp;"&lt;/restock&gt;"</f>
        <v>&lt;restock&gt;0&lt;/restock&gt;</v>
      </c>
      <c r="B1428" t="s">
        <v>407</v>
      </c>
    </row>
    <row r="1429" spans="1:8" x14ac:dyDescent="0.25">
      <c r="A1429" t="str">
        <f>"&lt;min&gt;" &amp;$G$1425&amp;"&lt;/min&gt;"</f>
        <v>&lt;min&gt;10&lt;/min&gt;</v>
      </c>
      <c r="B1429" t="s">
        <v>407</v>
      </c>
    </row>
    <row r="1430" spans="1:8" x14ac:dyDescent="0.25">
      <c r="A1430" t="s">
        <v>16</v>
      </c>
      <c r="B1430" t="s">
        <v>407</v>
      </c>
    </row>
    <row r="1431" spans="1:8" x14ac:dyDescent="0.25">
      <c r="A1431" t="s">
        <v>17</v>
      </c>
      <c r="B1431" t="s">
        <v>407</v>
      </c>
    </row>
    <row r="1432" spans="1:8" x14ac:dyDescent="0.25">
      <c r="A1432" t="s">
        <v>18</v>
      </c>
      <c r="B1432" t="s">
        <v>407</v>
      </c>
    </row>
    <row r="1433" spans="1:8" x14ac:dyDescent="0.25">
      <c r="A1433" t="str">
        <f xml:space="preserve"> $H$1425</f>
        <v>&lt;flags count_in_cargo="0" count_in_hoarder="0" count_in_map="1" count_in_player="0" crafted="0" deloot="0"/&gt;</v>
      </c>
      <c r="B1433" t="s">
        <v>407</v>
      </c>
    </row>
    <row r="1434" spans="1:8" x14ac:dyDescent="0.25">
      <c r="A1434" t="str">
        <f>"&lt;category name=" &amp;"""" &amp;$C$1425&amp;"""/&gt;"</f>
        <v>&lt;category name="clothes"/&gt;</v>
      </c>
      <c r="B1434" t="s">
        <v>407</v>
      </c>
    </row>
    <row r="1435" spans="1:8" x14ac:dyDescent="0.25">
      <c r="A1435" t="s">
        <v>25</v>
      </c>
      <c r="B1435" t="s">
        <v>407</v>
      </c>
    </row>
    <row r="1436" spans="1:8" x14ac:dyDescent="0.25">
      <c r="A1436" t="s">
        <v>39</v>
      </c>
      <c r="B1436" t="s">
        <v>407</v>
      </c>
    </row>
    <row r="1437" spans="1:8" x14ac:dyDescent="0.25">
      <c r="A1437" t="s">
        <v>92</v>
      </c>
      <c r="B1437" t="s">
        <v>407</v>
      </c>
    </row>
    <row r="1438" spans="1:8" x14ac:dyDescent="0.25">
      <c r="A1438" t="s">
        <v>22</v>
      </c>
      <c r="B1438" t="s">
        <v>407</v>
      </c>
    </row>
    <row r="1439" spans="1:8" x14ac:dyDescent="0.25">
      <c r="A1439" t="s">
        <v>1516</v>
      </c>
      <c r="B1439" t="s">
        <v>2943</v>
      </c>
      <c r="C1439" t="s">
        <v>399</v>
      </c>
      <c r="D1439">
        <v>0</v>
      </c>
      <c r="E1439">
        <v>900</v>
      </c>
      <c r="F1439">
        <v>0</v>
      </c>
      <c r="G1439">
        <v>0</v>
      </c>
      <c r="H1439" t="s">
        <v>62</v>
      </c>
    </row>
    <row r="1440" spans="1:8" x14ac:dyDescent="0.25">
      <c r="A1440" t="str">
        <f>"&lt;nominal&gt;" &amp;$D$1439&amp;"&lt;/nominal&gt;"</f>
        <v>&lt;nominal&gt;0&lt;/nominal&gt;</v>
      </c>
      <c r="B1440" t="s">
        <v>2943</v>
      </c>
    </row>
    <row r="1441" spans="1:8" x14ac:dyDescent="0.25">
      <c r="A1441" t="str">
        <f>"&lt;lifetime&gt;" &amp;$E$1439&amp;"&lt;/lifetime&gt;"</f>
        <v>&lt;lifetime&gt;900&lt;/lifetime&gt;</v>
      </c>
      <c r="B1441" t="s">
        <v>2943</v>
      </c>
    </row>
    <row r="1442" spans="1:8" x14ac:dyDescent="0.25">
      <c r="A1442" t="str">
        <f>"&lt;restock&gt;" &amp;$F$1439&amp;"&lt;/restock&gt;"</f>
        <v>&lt;restock&gt;0&lt;/restock&gt;</v>
      </c>
      <c r="B1442" t="s">
        <v>2943</v>
      </c>
    </row>
    <row r="1443" spans="1:8" x14ac:dyDescent="0.25">
      <c r="A1443" t="str">
        <f>"&lt;min&gt;" &amp;$G$1439&amp;"&lt;/min&gt;"</f>
        <v>&lt;min&gt;0&lt;/min&gt;</v>
      </c>
      <c r="B1443" t="s">
        <v>2943</v>
      </c>
    </row>
    <row r="1444" spans="1:8" x14ac:dyDescent="0.25">
      <c r="A1444" t="s">
        <v>16</v>
      </c>
      <c r="B1444" t="s">
        <v>2943</v>
      </c>
    </row>
    <row r="1445" spans="1:8" x14ac:dyDescent="0.25">
      <c r="A1445" t="s">
        <v>17</v>
      </c>
      <c r="B1445" t="s">
        <v>2943</v>
      </c>
    </row>
    <row r="1446" spans="1:8" x14ac:dyDescent="0.25">
      <c r="A1446" t="s">
        <v>18</v>
      </c>
      <c r="B1446" t="s">
        <v>2943</v>
      </c>
    </row>
    <row r="1447" spans="1:8" x14ac:dyDescent="0.25">
      <c r="A1447" t="str">
        <f xml:space="preserve"> $H$1439</f>
        <v>&lt;flags count_in_cargo="0" count_in_hoarder="0" count_in_map="1" count_in_player="0" crafted="1" deloot="0"/&gt;</v>
      </c>
      <c r="B1447" t="s">
        <v>2943</v>
      </c>
    </row>
    <row r="1448" spans="1:8" x14ac:dyDescent="0.25">
      <c r="A1448" t="str">
        <f>"&lt;category name=" &amp;"""" &amp;$C$1439&amp;"""/&gt;"</f>
        <v>&lt;category name="food"/&gt;</v>
      </c>
      <c r="B1448" t="s">
        <v>2943</v>
      </c>
    </row>
    <row r="1449" spans="1:8" x14ac:dyDescent="0.25">
      <c r="A1449" t="s">
        <v>22</v>
      </c>
      <c r="B1449" t="s">
        <v>2943</v>
      </c>
    </row>
    <row r="1450" spans="1:8" x14ac:dyDescent="0.25">
      <c r="A1450" t="s">
        <v>1517</v>
      </c>
      <c r="B1450" t="s">
        <v>408</v>
      </c>
      <c r="C1450" t="s">
        <v>403</v>
      </c>
      <c r="D1450">
        <v>20</v>
      </c>
      <c r="E1450">
        <v>2700</v>
      </c>
      <c r="F1450">
        <v>0</v>
      </c>
      <c r="G1450">
        <v>10</v>
      </c>
      <c r="H1450" t="s">
        <v>19</v>
      </c>
    </row>
    <row r="1451" spans="1:8" x14ac:dyDescent="0.25">
      <c r="A1451" t="str">
        <f>"&lt;nominal&gt;" &amp;$D$1450&amp;"&lt;/nominal&gt;"</f>
        <v>&lt;nominal&gt;20&lt;/nominal&gt;</v>
      </c>
      <c r="B1451" t="s">
        <v>408</v>
      </c>
    </row>
    <row r="1452" spans="1:8" x14ac:dyDescent="0.25">
      <c r="A1452" t="str">
        <f>"&lt;lifetime&gt;" &amp;$E$1450&amp;"&lt;/lifetime&gt;"</f>
        <v>&lt;lifetime&gt;2700&lt;/lifetime&gt;</v>
      </c>
      <c r="B1452" t="s">
        <v>408</v>
      </c>
    </row>
    <row r="1453" spans="1:8" x14ac:dyDescent="0.25">
      <c r="A1453" t="str">
        <f>"&lt;restock&gt;" &amp;$F$1450&amp;"&lt;/restock&gt;"</f>
        <v>&lt;restock&gt;0&lt;/restock&gt;</v>
      </c>
      <c r="B1453" t="s">
        <v>408</v>
      </c>
    </row>
    <row r="1454" spans="1:8" x14ac:dyDescent="0.25">
      <c r="A1454" t="str">
        <f>"&lt;min&gt;" &amp;$G$1450&amp;"&lt;/min&gt;"</f>
        <v>&lt;min&gt;10&lt;/min&gt;</v>
      </c>
      <c r="B1454" t="s">
        <v>408</v>
      </c>
    </row>
    <row r="1455" spans="1:8" x14ac:dyDescent="0.25">
      <c r="A1455" t="s">
        <v>16</v>
      </c>
      <c r="B1455" t="s">
        <v>408</v>
      </c>
    </row>
    <row r="1456" spans="1:8" x14ac:dyDescent="0.25">
      <c r="A1456" t="s">
        <v>17</v>
      </c>
      <c r="B1456" t="s">
        <v>408</v>
      </c>
    </row>
    <row r="1457" spans="1:8" x14ac:dyDescent="0.25">
      <c r="A1457" t="s">
        <v>18</v>
      </c>
      <c r="B1457" t="s">
        <v>408</v>
      </c>
    </row>
    <row r="1458" spans="1:8" x14ac:dyDescent="0.25">
      <c r="A1458" t="str">
        <f xml:space="preserve"> $H$1450</f>
        <v>&lt;flags count_in_cargo="0" count_in_hoarder="0" count_in_map="1" count_in_player="0" crafted="0" deloot="0"/&gt;</v>
      </c>
      <c r="B1458" t="s">
        <v>408</v>
      </c>
    </row>
    <row r="1459" spans="1:8" x14ac:dyDescent="0.25">
      <c r="A1459" t="str">
        <f>"&lt;category name=" &amp;"""" &amp;$C$1450&amp;"""/&gt;"</f>
        <v>&lt;category name="clothes"/&gt;</v>
      </c>
      <c r="B1459" t="s">
        <v>408</v>
      </c>
    </row>
    <row r="1460" spans="1:8" x14ac:dyDescent="0.25">
      <c r="A1460" t="s">
        <v>20</v>
      </c>
      <c r="B1460" t="s">
        <v>408</v>
      </c>
    </row>
    <row r="1461" spans="1:8" x14ac:dyDescent="0.25">
      <c r="A1461" t="s">
        <v>29</v>
      </c>
      <c r="B1461" t="s">
        <v>408</v>
      </c>
    </row>
    <row r="1462" spans="1:8" x14ac:dyDescent="0.25">
      <c r="A1462" t="s">
        <v>173</v>
      </c>
      <c r="B1462" t="s">
        <v>408</v>
      </c>
    </row>
    <row r="1463" spans="1:8" x14ac:dyDescent="0.25">
      <c r="A1463" t="s">
        <v>39</v>
      </c>
      <c r="B1463" t="s">
        <v>408</v>
      </c>
    </row>
    <row r="1464" spans="1:8" x14ac:dyDescent="0.25">
      <c r="A1464" t="s">
        <v>22</v>
      </c>
      <c r="B1464" t="s">
        <v>408</v>
      </c>
    </row>
    <row r="1465" spans="1:8" x14ac:dyDescent="0.25">
      <c r="A1465" t="s">
        <v>1518</v>
      </c>
      <c r="B1465" t="s">
        <v>409</v>
      </c>
      <c r="C1465" t="s">
        <v>8</v>
      </c>
      <c r="D1465">
        <v>20</v>
      </c>
      <c r="E1465">
        <v>7200</v>
      </c>
      <c r="F1465">
        <v>0</v>
      </c>
      <c r="G1465">
        <v>10</v>
      </c>
      <c r="H1465" t="s">
        <v>19</v>
      </c>
    </row>
    <row r="1466" spans="1:8" x14ac:dyDescent="0.25">
      <c r="A1466" t="str">
        <f>"&lt;nominal&gt;" &amp;$D$1465&amp;"&lt;/nominal&gt;"</f>
        <v>&lt;nominal&gt;20&lt;/nominal&gt;</v>
      </c>
      <c r="B1466" t="s">
        <v>409</v>
      </c>
    </row>
    <row r="1467" spans="1:8" x14ac:dyDescent="0.25">
      <c r="A1467" t="str">
        <f>"&lt;lifetime&gt;" &amp;$E$1465&amp;"&lt;/lifetime&gt;"</f>
        <v>&lt;lifetime&gt;7200&lt;/lifetime&gt;</v>
      </c>
      <c r="B1467" t="s">
        <v>409</v>
      </c>
    </row>
    <row r="1468" spans="1:8" x14ac:dyDescent="0.25">
      <c r="A1468" t="str">
        <f>"&lt;restock&gt;" &amp;$F$1465&amp;"&lt;/restock&gt;"</f>
        <v>&lt;restock&gt;0&lt;/restock&gt;</v>
      </c>
      <c r="B1468" t="s">
        <v>409</v>
      </c>
    </row>
    <row r="1469" spans="1:8" x14ac:dyDescent="0.25">
      <c r="A1469" t="str">
        <f>"&lt;min&gt;" &amp;$G$1465&amp;"&lt;/min&gt;"</f>
        <v>&lt;min&gt;10&lt;/min&gt;</v>
      </c>
      <c r="B1469" t="s">
        <v>409</v>
      </c>
    </row>
    <row r="1470" spans="1:8" x14ac:dyDescent="0.25">
      <c r="A1470" t="s">
        <v>16</v>
      </c>
      <c r="B1470" t="s">
        <v>409</v>
      </c>
    </row>
    <row r="1471" spans="1:8" x14ac:dyDescent="0.25">
      <c r="A1471" t="s">
        <v>17</v>
      </c>
      <c r="B1471" t="s">
        <v>409</v>
      </c>
    </row>
    <row r="1472" spans="1:8" x14ac:dyDescent="0.25">
      <c r="A1472" t="s">
        <v>18</v>
      </c>
      <c r="B1472" t="s">
        <v>409</v>
      </c>
    </row>
    <row r="1473" spans="1:8" x14ac:dyDescent="0.25">
      <c r="A1473" t="str">
        <f xml:space="preserve"> $H$1465</f>
        <v>&lt;flags count_in_cargo="0" count_in_hoarder="0" count_in_map="1" count_in_player="0" crafted="0" deloot="0"/&gt;</v>
      </c>
      <c r="B1473" t="s">
        <v>409</v>
      </c>
    </row>
    <row r="1474" spans="1:8" x14ac:dyDescent="0.25">
      <c r="A1474" t="str">
        <f>"&lt;category name=" &amp;"""" &amp;$C$1465&amp;"""/&gt;"</f>
        <v>&lt;category name="weapons"/&gt;</v>
      </c>
      <c r="B1474" t="s">
        <v>409</v>
      </c>
    </row>
    <row r="1475" spans="1:8" x14ac:dyDescent="0.25">
      <c r="A1475" t="s">
        <v>67</v>
      </c>
      <c r="B1475" t="s">
        <v>409</v>
      </c>
    </row>
    <row r="1476" spans="1:8" x14ac:dyDescent="0.25">
      <c r="A1476" t="s">
        <v>82</v>
      </c>
      <c r="B1476" t="s">
        <v>409</v>
      </c>
    </row>
    <row r="1477" spans="1:8" x14ac:dyDescent="0.25">
      <c r="A1477" t="s">
        <v>30</v>
      </c>
      <c r="B1477" t="s">
        <v>409</v>
      </c>
    </row>
    <row r="1478" spans="1:8" x14ac:dyDescent="0.25">
      <c r="A1478" t="s">
        <v>31</v>
      </c>
      <c r="B1478" t="s">
        <v>409</v>
      </c>
    </row>
    <row r="1479" spans="1:8" x14ac:dyDescent="0.25">
      <c r="A1479" t="s">
        <v>22</v>
      </c>
      <c r="B1479" t="s">
        <v>409</v>
      </c>
    </row>
    <row r="1480" spans="1:8" x14ac:dyDescent="0.25">
      <c r="A1480" t="s">
        <v>1519</v>
      </c>
      <c r="B1480" t="s">
        <v>410</v>
      </c>
      <c r="C1480" t="s">
        <v>403</v>
      </c>
      <c r="D1480">
        <v>10</v>
      </c>
      <c r="E1480">
        <v>7200</v>
      </c>
      <c r="F1480">
        <v>600</v>
      </c>
      <c r="G1480">
        <v>5</v>
      </c>
      <c r="H1480" t="s">
        <v>19</v>
      </c>
    </row>
    <row r="1481" spans="1:8" x14ac:dyDescent="0.25">
      <c r="A1481" t="str">
        <f>"&lt;nominal&gt;" &amp;$D$1480&amp;"&lt;/nominal&gt;"</f>
        <v>&lt;nominal&gt;10&lt;/nominal&gt;</v>
      </c>
      <c r="B1481" t="s">
        <v>410</v>
      </c>
    </row>
    <row r="1482" spans="1:8" x14ac:dyDescent="0.25">
      <c r="A1482" t="str">
        <f>"&lt;lifetime&gt;" &amp;$E$1480&amp;"&lt;/lifetime&gt;"</f>
        <v>&lt;lifetime&gt;7200&lt;/lifetime&gt;</v>
      </c>
      <c r="B1482" t="s">
        <v>410</v>
      </c>
    </row>
    <row r="1483" spans="1:8" x14ac:dyDescent="0.25">
      <c r="A1483" t="str">
        <f>"&lt;restock&gt;" &amp;$F$1480&amp;"&lt;/restock&gt;"</f>
        <v>&lt;restock&gt;600&lt;/restock&gt;</v>
      </c>
      <c r="B1483" t="s">
        <v>410</v>
      </c>
    </row>
    <row r="1484" spans="1:8" x14ac:dyDescent="0.25">
      <c r="A1484" t="str">
        <f>"&lt;min&gt;" &amp;$G$1480&amp;"&lt;/min&gt;"</f>
        <v>&lt;min&gt;5&lt;/min&gt;</v>
      </c>
      <c r="B1484" t="s">
        <v>410</v>
      </c>
    </row>
    <row r="1485" spans="1:8" x14ac:dyDescent="0.25">
      <c r="A1485" t="s">
        <v>16</v>
      </c>
      <c r="B1485" t="s">
        <v>410</v>
      </c>
    </row>
    <row r="1486" spans="1:8" x14ac:dyDescent="0.25">
      <c r="A1486" t="s">
        <v>17</v>
      </c>
      <c r="B1486" t="s">
        <v>410</v>
      </c>
    </row>
    <row r="1487" spans="1:8" x14ac:dyDescent="0.25">
      <c r="A1487" t="s">
        <v>18</v>
      </c>
      <c r="B1487" t="s">
        <v>410</v>
      </c>
    </row>
    <row r="1488" spans="1:8" x14ac:dyDescent="0.25">
      <c r="A1488" t="str">
        <f xml:space="preserve"> $H$1480</f>
        <v>&lt;flags count_in_cargo="0" count_in_hoarder="0" count_in_map="1" count_in_player="0" crafted="0" deloot="0"/&gt;</v>
      </c>
      <c r="B1488" t="s">
        <v>410</v>
      </c>
    </row>
    <row r="1489" spans="1:8" x14ac:dyDescent="0.25">
      <c r="A1489" t="str">
        <f>"&lt;category name=" &amp;"""" &amp;$C$1480&amp;"""/&gt;"</f>
        <v>&lt;category name="clothes"/&gt;</v>
      </c>
      <c r="B1489" t="s">
        <v>410</v>
      </c>
    </row>
    <row r="1490" spans="1:8" x14ac:dyDescent="0.25">
      <c r="A1490" t="s">
        <v>29</v>
      </c>
      <c r="B1490" t="s">
        <v>410</v>
      </c>
    </row>
    <row r="1491" spans="1:8" x14ac:dyDescent="0.25">
      <c r="A1491" t="s">
        <v>22</v>
      </c>
      <c r="B1491" t="s">
        <v>410</v>
      </c>
    </row>
    <row r="1492" spans="1:8" x14ac:dyDescent="0.25">
      <c r="A1492" t="s">
        <v>1520</v>
      </c>
      <c r="B1492" t="s">
        <v>411</v>
      </c>
      <c r="C1492" t="s">
        <v>403</v>
      </c>
      <c r="D1492">
        <v>10</v>
      </c>
      <c r="E1492">
        <v>7200</v>
      </c>
      <c r="F1492">
        <v>600</v>
      </c>
      <c r="G1492">
        <v>5</v>
      </c>
      <c r="H1492" t="s">
        <v>19</v>
      </c>
    </row>
    <row r="1493" spans="1:8" x14ac:dyDescent="0.25">
      <c r="A1493" t="str">
        <f>"&lt;nominal&gt;" &amp;$D$1492&amp;"&lt;/nominal&gt;"</f>
        <v>&lt;nominal&gt;10&lt;/nominal&gt;</v>
      </c>
      <c r="B1493" t="s">
        <v>411</v>
      </c>
    </row>
    <row r="1494" spans="1:8" x14ac:dyDescent="0.25">
      <c r="A1494" t="str">
        <f>"&lt;lifetime&gt;" &amp;$E$1492&amp;"&lt;/lifetime&gt;"</f>
        <v>&lt;lifetime&gt;7200&lt;/lifetime&gt;</v>
      </c>
      <c r="B1494" t="s">
        <v>411</v>
      </c>
    </row>
    <row r="1495" spans="1:8" x14ac:dyDescent="0.25">
      <c r="A1495" t="str">
        <f>"&lt;restock&gt;" &amp;$F$1492&amp;"&lt;/restock&gt;"</f>
        <v>&lt;restock&gt;600&lt;/restock&gt;</v>
      </c>
      <c r="B1495" t="s">
        <v>411</v>
      </c>
    </row>
    <row r="1496" spans="1:8" x14ac:dyDescent="0.25">
      <c r="A1496" t="str">
        <f>"&lt;min&gt;" &amp;$G$1492&amp;"&lt;/min&gt;"</f>
        <v>&lt;min&gt;5&lt;/min&gt;</v>
      </c>
      <c r="B1496" t="s">
        <v>411</v>
      </c>
    </row>
    <row r="1497" spans="1:8" x14ac:dyDescent="0.25">
      <c r="A1497" t="s">
        <v>16</v>
      </c>
      <c r="B1497" t="s">
        <v>411</v>
      </c>
    </row>
    <row r="1498" spans="1:8" x14ac:dyDescent="0.25">
      <c r="A1498" t="s">
        <v>17</v>
      </c>
      <c r="B1498" t="s">
        <v>411</v>
      </c>
    </row>
    <row r="1499" spans="1:8" x14ac:dyDescent="0.25">
      <c r="A1499" t="s">
        <v>18</v>
      </c>
      <c r="B1499" t="s">
        <v>411</v>
      </c>
    </row>
    <row r="1500" spans="1:8" x14ac:dyDescent="0.25">
      <c r="A1500" t="str">
        <f xml:space="preserve"> $H$1492</f>
        <v>&lt;flags count_in_cargo="0" count_in_hoarder="0" count_in_map="1" count_in_player="0" crafted="0" deloot="0"/&gt;</v>
      </c>
      <c r="B1500" t="s">
        <v>411</v>
      </c>
    </row>
    <row r="1501" spans="1:8" x14ac:dyDescent="0.25">
      <c r="A1501" t="str">
        <f>"&lt;category name=" &amp;"""" &amp;$C$1492&amp;"""/&gt;"</f>
        <v>&lt;category name="clothes"/&gt;</v>
      </c>
      <c r="B1501" t="s">
        <v>411</v>
      </c>
    </row>
    <row r="1502" spans="1:8" x14ac:dyDescent="0.25">
      <c r="A1502" t="s">
        <v>29</v>
      </c>
      <c r="B1502" t="s">
        <v>411</v>
      </c>
    </row>
    <row r="1503" spans="1:8" x14ac:dyDescent="0.25">
      <c r="A1503" t="s">
        <v>22</v>
      </c>
      <c r="B1503" t="s">
        <v>411</v>
      </c>
    </row>
    <row r="1504" spans="1:8" x14ac:dyDescent="0.25">
      <c r="A1504" t="s">
        <v>1521</v>
      </c>
      <c r="B1504" t="s">
        <v>412</v>
      </c>
      <c r="C1504" t="s">
        <v>8</v>
      </c>
      <c r="D1504">
        <v>10</v>
      </c>
      <c r="E1504">
        <v>10800</v>
      </c>
      <c r="F1504">
        <v>0</v>
      </c>
      <c r="G1504">
        <v>5</v>
      </c>
      <c r="H1504" t="s">
        <v>19</v>
      </c>
    </row>
    <row r="1505" spans="1:8" x14ac:dyDescent="0.25">
      <c r="A1505" t="str">
        <f>"&lt;nominal&gt;" &amp;$D$1504&amp;"&lt;/nominal&gt;"</f>
        <v>&lt;nominal&gt;10&lt;/nominal&gt;</v>
      </c>
      <c r="B1505" t="s">
        <v>412</v>
      </c>
    </row>
    <row r="1506" spans="1:8" x14ac:dyDescent="0.25">
      <c r="A1506" t="str">
        <f>"&lt;lifetime&gt;" &amp;$E$1504&amp;"&lt;/lifetime&gt;"</f>
        <v>&lt;lifetime&gt;10800&lt;/lifetime&gt;</v>
      </c>
      <c r="B1506" t="s">
        <v>412</v>
      </c>
    </row>
    <row r="1507" spans="1:8" x14ac:dyDescent="0.25">
      <c r="A1507" t="str">
        <f>"&lt;restock&gt;" &amp;$F$1504&amp;"&lt;/restock&gt;"</f>
        <v>&lt;restock&gt;0&lt;/restock&gt;</v>
      </c>
      <c r="B1507" t="s">
        <v>412</v>
      </c>
    </row>
    <row r="1508" spans="1:8" x14ac:dyDescent="0.25">
      <c r="A1508" t="str">
        <f>"&lt;min&gt;" &amp;$G$1504&amp;"&lt;/min&gt;"</f>
        <v>&lt;min&gt;5&lt;/min&gt;</v>
      </c>
      <c r="B1508" t="s">
        <v>412</v>
      </c>
    </row>
    <row r="1509" spans="1:8" x14ac:dyDescent="0.25">
      <c r="A1509" t="s">
        <v>16</v>
      </c>
      <c r="B1509" t="s">
        <v>412</v>
      </c>
    </row>
    <row r="1510" spans="1:8" x14ac:dyDescent="0.25">
      <c r="A1510" t="s">
        <v>17</v>
      </c>
      <c r="B1510" t="s">
        <v>412</v>
      </c>
    </row>
    <row r="1511" spans="1:8" x14ac:dyDescent="0.25">
      <c r="A1511" t="s">
        <v>18</v>
      </c>
      <c r="B1511" t="s">
        <v>412</v>
      </c>
    </row>
    <row r="1512" spans="1:8" x14ac:dyDescent="0.25">
      <c r="A1512" t="str">
        <f xml:space="preserve"> $H$1504</f>
        <v>&lt;flags count_in_cargo="0" count_in_hoarder="0" count_in_map="1" count_in_player="0" crafted="0" deloot="0"/&gt;</v>
      </c>
      <c r="B1512" t="s">
        <v>412</v>
      </c>
    </row>
    <row r="1513" spans="1:8" x14ac:dyDescent="0.25">
      <c r="A1513" t="str">
        <f>"&lt;category name=" &amp;"""" &amp;$C$1504&amp;"""/&gt;"</f>
        <v>&lt;category name="weapons"/&gt;</v>
      </c>
      <c r="B1513" t="s">
        <v>412</v>
      </c>
    </row>
    <row r="1514" spans="1:8" x14ac:dyDescent="0.25">
      <c r="A1514" t="s">
        <v>29</v>
      </c>
      <c r="B1514" t="s">
        <v>412</v>
      </c>
    </row>
    <row r="1515" spans="1:8" x14ac:dyDescent="0.25">
      <c r="A1515" t="s">
        <v>30</v>
      </c>
      <c r="B1515" t="s">
        <v>412</v>
      </c>
    </row>
    <row r="1516" spans="1:8" x14ac:dyDescent="0.25">
      <c r="A1516" t="s">
        <v>31</v>
      </c>
      <c r="B1516" t="s">
        <v>412</v>
      </c>
    </row>
    <row r="1517" spans="1:8" x14ac:dyDescent="0.25">
      <c r="A1517" t="s">
        <v>307</v>
      </c>
      <c r="B1517" t="s">
        <v>412</v>
      </c>
    </row>
    <row r="1518" spans="1:8" x14ac:dyDescent="0.25">
      <c r="A1518" t="s">
        <v>22</v>
      </c>
      <c r="B1518" t="s">
        <v>412</v>
      </c>
    </row>
    <row r="1519" spans="1:8" x14ac:dyDescent="0.25">
      <c r="B1519" t="s">
        <v>412</v>
      </c>
    </row>
    <row r="1520" spans="1:8" x14ac:dyDescent="0.25">
      <c r="A1520" t="s">
        <v>2773</v>
      </c>
      <c r="B1520" t="s">
        <v>2809</v>
      </c>
      <c r="C1520" t="s">
        <v>8</v>
      </c>
      <c r="D1520">
        <v>10</v>
      </c>
      <c r="E1520">
        <v>10800</v>
      </c>
      <c r="F1520">
        <v>0</v>
      </c>
      <c r="G1520">
        <v>5</v>
      </c>
      <c r="H1520" t="s">
        <v>19</v>
      </c>
    </row>
    <row r="1521" spans="1:8" x14ac:dyDescent="0.25">
      <c r="A1521" t="str">
        <f>"&lt;nominal&gt;" &amp;$D$1520&amp;"&lt;/nominal&gt;"</f>
        <v>&lt;nominal&gt;10&lt;/nominal&gt;</v>
      </c>
      <c r="B1521" t="s">
        <v>2809</v>
      </c>
    </row>
    <row r="1522" spans="1:8" x14ac:dyDescent="0.25">
      <c r="A1522" t="str">
        <f>"&lt;lifetime&gt;" &amp;$E$1520&amp;"&lt;/lifetime&gt;"</f>
        <v>&lt;lifetime&gt;10800&lt;/lifetime&gt;</v>
      </c>
      <c r="B1522" t="s">
        <v>2809</v>
      </c>
    </row>
    <row r="1523" spans="1:8" x14ac:dyDescent="0.25">
      <c r="A1523" t="str">
        <f>"&lt;restock&gt;" &amp;$F$1520&amp;"&lt;/restock&gt;"</f>
        <v>&lt;restock&gt;0&lt;/restock&gt;</v>
      </c>
      <c r="B1523" t="s">
        <v>2809</v>
      </c>
    </row>
    <row r="1524" spans="1:8" x14ac:dyDescent="0.25">
      <c r="A1524" t="str">
        <f>"&lt;min&gt;" &amp;$G$1520&amp;"&lt;/min&gt;"</f>
        <v>&lt;min&gt;5&lt;/min&gt;</v>
      </c>
      <c r="B1524" t="s">
        <v>2809</v>
      </c>
    </row>
    <row r="1525" spans="1:8" x14ac:dyDescent="0.25">
      <c r="A1525" t="s">
        <v>16</v>
      </c>
      <c r="B1525" t="s">
        <v>2809</v>
      </c>
    </row>
    <row r="1526" spans="1:8" x14ac:dyDescent="0.25">
      <c r="A1526" t="s">
        <v>17</v>
      </c>
      <c r="B1526" t="s">
        <v>2809</v>
      </c>
    </row>
    <row r="1527" spans="1:8" x14ac:dyDescent="0.25">
      <c r="A1527" t="s">
        <v>18</v>
      </c>
      <c r="B1527" t="s">
        <v>2809</v>
      </c>
    </row>
    <row r="1528" spans="1:8" x14ac:dyDescent="0.25">
      <c r="A1528" t="str">
        <f xml:space="preserve"> $H$1520</f>
        <v>&lt;flags count_in_cargo="0" count_in_hoarder="0" count_in_map="1" count_in_player="0" crafted="0" deloot="0"/&gt;</v>
      </c>
      <c r="B1528" t="s">
        <v>2809</v>
      </c>
    </row>
    <row r="1529" spans="1:8" x14ac:dyDescent="0.25">
      <c r="A1529" t="str">
        <f>"&lt;category name=" &amp;"""" &amp;$C$1520&amp;"""/&gt;"</f>
        <v>&lt;category name="weapons"/&gt;</v>
      </c>
      <c r="B1529" t="s">
        <v>2809</v>
      </c>
    </row>
    <row r="1530" spans="1:8" x14ac:dyDescent="0.25">
      <c r="A1530" t="s">
        <v>29</v>
      </c>
      <c r="B1530" t="s">
        <v>2809</v>
      </c>
    </row>
    <row r="1531" spans="1:8" x14ac:dyDescent="0.25">
      <c r="A1531" t="s">
        <v>30</v>
      </c>
      <c r="B1531" t="s">
        <v>2809</v>
      </c>
    </row>
    <row r="1532" spans="1:8" x14ac:dyDescent="0.25">
      <c r="A1532" t="s">
        <v>31</v>
      </c>
      <c r="B1532" t="s">
        <v>2809</v>
      </c>
    </row>
    <row r="1533" spans="1:8" x14ac:dyDescent="0.25">
      <c r="A1533" t="s">
        <v>307</v>
      </c>
      <c r="B1533" t="s">
        <v>2809</v>
      </c>
    </row>
    <row r="1534" spans="1:8" x14ac:dyDescent="0.25">
      <c r="A1534" t="s">
        <v>22</v>
      </c>
      <c r="B1534" t="s">
        <v>2809</v>
      </c>
    </row>
    <row r="1535" spans="1:8" x14ac:dyDescent="0.25">
      <c r="B1535" t="s">
        <v>2809</v>
      </c>
    </row>
    <row r="1536" spans="1:8" x14ac:dyDescent="0.25">
      <c r="A1536" t="s">
        <v>1522</v>
      </c>
      <c r="B1536" t="s">
        <v>3647</v>
      </c>
      <c r="D1536">
        <v>0</v>
      </c>
      <c r="E1536">
        <v>7200</v>
      </c>
      <c r="F1536">
        <v>0</v>
      </c>
      <c r="G1536">
        <v>0</v>
      </c>
      <c r="H1536" t="s">
        <v>62</v>
      </c>
    </row>
    <row r="1537" spans="1:8" x14ac:dyDescent="0.25">
      <c r="A1537" t="str">
        <f>"&lt;nominal&gt;" &amp;$D$1536&amp;"&lt;/nominal&gt;"</f>
        <v>&lt;nominal&gt;0&lt;/nominal&gt;</v>
      </c>
      <c r="B1537" t="s">
        <v>3647</v>
      </c>
    </row>
    <row r="1538" spans="1:8" x14ac:dyDescent="0.25">
      <c r="A1538" t="str">
        <f>"&lt;lifetime&gt;" &amp;$E$1536&amp;"&lt;/lifetime&gt;"</f>
        <v>&lt;lifetime&gt;7200&lt;/lifetime&gt;</v>
      </c>
      <c r="B1538" t="s">
        <v>3647</v>
      </c>
    </row>
    <row r="1539" spans="1:8" x14ac:dyDescent="0.25">
      <c r="A1539" t="str">
        <f>"&lt;restock&gt;" &amp;$F$1536&amp;"&lt;/restock&gt;"</f>
        <v>&lt;restock&gt;0&lt;/restock&gt;</v>
      </c>
      <c r="B1539" t="s">
        <v>3647</v>
      </c>
    </row>
    <row r="1540" spans="1:8" x14ac:dyDescent="0.25">
      <c r="A1540" t="str">
        <f>"&lt;min&gt;" &amp;$G$1536&amp;"&lt;/min&gt;"</f>
        <v>&lt;min&gt;0&lt;/min&gt;</v>
      </c>
      <c r="B1540" t="s">
        <v>3647</v>
      </c>
    </row>
    <row r="1541" spans="1:8" x14ac:dyDescent="0.25">
      <c r="A1541" t="s">
        <v>16</v>
      </c>
      <c r="B1541" t="s">
        <v>3647</v>
      </c>
    </row>
    <row r="1542" spans="1:8" x14ac:dyDescent="0.25">
      <c r="A1542" t="s">
        <v>17</v>
      </c>
      <c r="B1542" t="s">
        <v>3647</v>
      </c>
    </row>
    <row r="1543" spans="1:8" x14ac:dyDescent="0.25">
      <c r="A1543" t="s">
        <v>18</v>
      </c>
      <c r="B1543" t="s">
        <v>3647</v>
      </c>
    </row>
    <row r="1544" spans="1:8" x14ac:dyDescent="0.25">
      <c r="A1544" t="str">
        <f xml:space="preserve"> $H$1536</f>
        <v>&lt;flags count_in_cargo="0" count_in_hoarder="0" count_in_map="1" count_in_player="0" crafted="1" deloot="0"/&gt;</v>
      </c>
      <c r="B1544" t="s">
        <v>3647</v>
      </c>
    </row>
    <row r="1545" spans="1:8" x14ac:dyDescent="0.25">
      <c r="A1545" t="s">
        <v>22</v>
      </c>
      <c r="B1545" t="s">
        <v>3647</v>
      </c>
    </row>
    <row r="1546" spans="1:8" x14ac:dyDescent="0.25">
      <c r="A1546" t="s">
        <v>1523</v>
      </c>
      <c r="B1546" t="s">
        <v>413</v>
      </c>
      <c r="C1546" t="s">
        <v>399</v>
      </c>
      <c r="D1546">
        <v>2</v>
      </c>
      <c r="E1546">
        <v>3600</v>
      </c>
      <c r="F1546">
        <v>0</v>
      </c>
      <c r="G1546">
        <v>1</v>
      </c>
      <c r="H1546" t="s">
        <v>19</v>
      </c>
    </row>
    <row r="1547" spans="1:8" x14ac:dyDescent="0.25">
      <c r="A1547" t="str">
        <f>"&lt;nominal&gt;" &amp;$D$1546&amp;"&lt;/nominal&gt;"</f>
        <v>&lt;nominal&gt;2&lt;/nominal&gt;</v>
      </c>
      <c r="B1547" t="s">
        <v>413</v>
      </c>
    </row>
    <row r="1548" spans="1:8" x14ac:dyDescent="0.25">
      <c r="A1548" t="str">
        <f>"&lt;lifetime&gt;" &amp;$E$1546&amp;"&lt;/lifetime&gt;"</f>
        <v>&lt;lifetime&gt;3600&lt;/lifetime&gt;</v>
      </c>
      <c r="B1548" t="s">
        <v>413</v>
      </c>
    </row>
    <row r="1549" spans="1:8" x14ac:dyDescent="0.25">
      <c r="A1549" t="str">
        <f>"&lt;restock&gt;" &amp;$F$1546&amp;"&lt;/restock&gt;"</f>
        <v>&lt;restock&gt;0&lt;/restock&gt;</v>
      </c>
      <c r="B1549" t="s">
        <v>413</v>
      </c>
    </row>
    <row r="1550" spans="1:8" x14ac:dyDescent="0.25">
      <c r="A1550" t="str">
        <f>"&lt;min&gt;" &amp;$G$1546&amp;"&lt;/min&gt;"</f>
        <v>&lt;min&gt;1&lt;/min&gt;</v>
      </c>
      <c r="B1550" t="s">
        <v>413</v>
      </c>
    </row>
    <row r="1551" spans="1:8" x14ac:dyDescent="0.25">
      <c r="A1551" t="s">
        <v>16</v>
      </c>
      <c r="B1551" t="s">
        <v>413</v>
      </c>
    </row>
    <row r="1552" spans="1:8" x14ac:dyDescent="0.25">
      <c r="A1552" t="s">
        <v>17</v>
      </c>
      <c r="B1552" t="s">
        <v>413</v>
      </c>
    </row>
    <row r="1553" spans="1:8" x14ac:dyDescent="0.25">
      <c r="A1553" t="s">
        <v>18</v>
      </c>
      <c r="B1553" t="s">
        <v>413</v>
      </c>
    </row>
    <row r="1554" spans="1:8" x14ac:dyDescent="0.25">
      <c r="A1554" t="str">
        <f xml:space="preserve"> $H$1546</f>
        <v>&lt;flags count_in_cargo="0" count_in_hoarder="0" count_in_map="1" count_in_player="0" crafted="0" deloot="0"/&gt;</v>
      </c>
      <c r="B1554" t="s">
        <v>413</v>
      </c>
    </row>
    <row r="1555" spans="1:8" x14ac:dyDescent="0.25">
      <c r="A1555" t="str">
        <f>"&lt;category name=" &amp;"""" &amp;$C$1546&amp;"""/&gt;"</f>
        <v>&lt;category name="food"/&gt;</v>
      </c>
      <c r="B1555" t="s">
        <v>413</v>
      </c>
    </row>
    <row r="1556" spans="1:8" x14ac:dyDescent="0.25">
      <c r="A1556" t="s">
        <v>20</v>
      </c>
      <c r="B1556" t="s">
        <v>413</v>
      </c>
    </row>
    <row r="1557" spans="1:8" x14ac:dyDescent="0.25">
      <c r="A1557" t="s">
        <v>39</v>
      </c>
      <c r="B1557" t="s">
        <v>413</v>
      </c>
    </row>
    <row r="1558" spans="1:8" x14ac:dyDescent="0.25">
      <c r="A1558" t="s">
        <v>40</v>
      </c>
      <c r="B1558" t="s">
        <v>413</v>
      </c>
    </row>
    <row r="1559" spans="1:8" x14ac:dyDescent="0.25">
      <c r="A1559" t="s">
        <v>82</v>
      </c>
      <c r="B1559" t="s">
        <v>413</v>
      </c>
    </row>
    <row r="1560" spans="1:8" x14ac:dyDescent="0.25">
      <c r="A1560" t="s">
        <v>30</v>
      </c>
      <c r="B1560" t="s">
        <v>413</v>
      </c>
    </row>
    <row r="1561" spans="1:8" x14ac:dyDescent="0.25">
      <c r="A1561" t="s">
        <v>31</v>
      </c>
      <c r="B1561" t="s">
        <v>413</v>
      </c>
    </row>
    <row r="1562" spans="1:8" x14ac:dyDescent="0.25">
      <c r="A1562" t="s">
        <v>22</v>
      </c>
      <c r="B1562" t="s">
        <v>413</v>
      </c>
    </row>
    <row r="1563" spans="1:8" x14ac:dyDescent="0.25">
      <c r="A1563" t="s">
        <v>1524</v>
      </c>
      <c r="B1563" t="s">
        <v>3379</v>
      </c>
      <c r="C1563" t="s">
        <v>399</v>
      </c>
      <c r="D1563">
        <v>0</v>
      </c>
      <c r="E1563">
        <v>3600</v>
      </c>
      <c r="F1563">
        <v>0</v>
      </c>
      <c r="G1563">
        <v>0</v>
      </c>
      <c r="H1563" t="s">
        <v>62</v>
      </c>
    </row>
    <row r="1564" spans="1:8" x14ac:dyDescent="0.25">
      <c r="A1564" t="str">
        <f>"&lt;nominal&gt;" &amp;$D$1563&amp;"&lt;/nominal&gt;"</f>
        <v>&lt;nominal&gt;0&lt;/nominal&gt;</v>
      </c>
      <c r="B1564" t="s">
        <v>3379</v>
      </c>
    </row>
    <row r="1565" spans="1:8" x14ac:dyDescent="0.25">
      <c r="A1565" t="str">
        <f>"&lt;lifetime&gt;" &amp;$E$1563&amp;"&lt;/lifetime&gt;"</f>
        <v>&lt;lifetime&gt;3600&lt;/lifetime&gt;</v>
      </c>
      <c r="B1565" t="s">
        <v>3379</v>
      </c>
    </row>
    <row r="1566" spans="1:8" x14ac:dyDescent="0.25">
      <c r="A1566" t="str">
        <f>"&lt;restock&gt;" &amp;$F$1563&amp;"&lt;/restock&gt;"</f>
        <v>&lt;restock&gt;0&lt;/restock&gt;</v>
      </c>
      <c r="B1566" t="s">
        <v>3379</v>
      </c>
    </row>
    <row r="1567" spans="1:8" x14ac:dyDescent="0.25">
      <c r="A1567" t="str">
        <f>"&lt;min&gt;" &amp;$G$1563&amp;"&lt;/min&gt;"</f>
        <v>&lt;min&gt;0&lt;/min&gt;</v>
      </c>
      <c r="B1567" t="s">
        <v>3379</v>
      </c>
    </row>
    <row r="1568" spans="1:8" x14ac:dyDescent="0.25">
      <c r="A1568" t="s">
        <v>16</v>
      </c>
      <c r="B1568" t="s">
        <v>3379</v>
      </c>
    </row>
    <row r="1569" spans="1:8" x14ac:dyDescent="0.25">
      <c r="A1569" t="s">
        <v>17</v>
      </c>
      <c r="B1569" t="s">
        <v>3379</v>
      </c>
    </row>
    <row r="1570" spans="1:8" x14ac:dyDescent="0.25">
      <c r="A1570" t="s">
        <v>18</v>
      </c>
      <c r="B1570" t="s">
        <v>3379</v>
      </c>
    </row>
    <row r="1571" spans="1:8" x14ac:dyDescent="0.25">
      <c r="A1571" t="str">
        <f xml:space="preserve"> $H$1563</f>
        <v>&lt;flags count_in_cargo="0" count_in_hoarder="0" count_in_map="1" count_in_player="0" crafted="1" deloot="0"/&gt;</v>
      </c>
      <c r="B1571" t="s">
        <v>3379</v>
      </c>
    </row>
    <row r="1572" spans="1:8" x14ac:dyDescent="0.25">
      <c r="A1572" t="str">
        <f>"&lt;category name=" &amp;"""" &amp;$C$1563&amp;"""/&gt;"</f>
        <v>&lt;category name="food"/&gt;</v>
      </c>
      <c r="B1572" t="s">
        <v>3379</v>
      </c>
    </row>
    <row r="1573" spans="1:8" x14ac:dyDescent="0.25">
      <c r="A1573" t="s">
        <v>22</v>
      </c>
      <c r="B1573" t="s">
        <v>3379</v>
      </c>
    </row>
    <row r="1574" spans="1:8" x14ac:dyDescent="0.25">
      <c r="A1574" t="s">
        <v>1525</v>
      </c>
      <c r="B1574" t="s">
        <v>414</v>
      </c>
      <c r="C1574" t="s">
        <v>403</v>
      </c>
      <c r="D1574">
        <v>20</v>
      </c>
      <c r="E1574">
        <v>7200</v>
      </c>
      <c r="F1574">
        <v>0</v>
      </c>
      <c r="G1574">
        <v>10</v>
      </c>
      <c r="H1574" t="s">
        <v>19</v>
      </c>
    </row>
    <row r="1575" spans="1:8" x14ac:dyDescent="0.25">
      <c r="A1575" t="str">
        <f>"&lt;nominal&gt;" &amp;$D$1574&amp;"&lt;/nominal&gt;"</f>
        <v>&lt;nominal&gt;20&lt;/nominal&gt;</v>
      </c>
      <c r="B1575" t="s">
        <v>414</v>
      </c>
    </row>
    <row r="1576" spans="1:8" x14ac:dyDescent="0.25">
      <c r="A1576" t="str">
        <f>"&lt;lifetime&gt;" &amp;$E$1574&amp;"&lt;/lifetime&gt;"</f>
        <v>&lt;lifetime&gt;7200&lt;/lifetime&gt;</v>
      </c>
      <c r="B1576" t="s">
        <v>414</v>
      </c>
    </row>
    <row r="1577" spans="1:8" x14ac:dyDescent="0.25">
      <c r="A1577" t="str">
        <f>"&lt;restock&gt;" &amp;$F$1574&amp;"&lt;/restock&gt;"</f>
        <v>&lt;restock&gt;0&lt;/restock&gt;</v>
      </c>
      <c r="B1577" t="s">
        <v>414</v>
      </c>
    </row>
    <row r="1578" spans="1:8" x14ac:dyDescent="0.25">
      <c r="A1578" t="str">
        <f>"&lt;min&gt;" &amp;$G$1574&amp;"&lt;/min&gt;"</f>
        <v>&lt;min&gt;10&lt;/min&gt;</v>
      </c>
      <c r="B1578" t="s">
        <v>414</v>
      </c>
    </row>
    <row r="1579" spans="1:8" x14ac:dyDescent="0.25">
      <c r="A1579" t="s">
        <v>16</v>
      </c>
      <c r="B1579" t="s">
        <v>414</v>
      </c>
    </row>
    <row r="1580" spans="1:8" x14ac:dyDescent="0.25">
      <c r="A1580" t="s">
        <v>17</v>
      </c>
      <c r="B1580" t="s">
        <v>414</v>
      </c>
    </row>
    <row r="1581" spans="1:8" x14ac:dyDescent="0.25">
      <c r="A1581" t="s">
        <v>18</v>
      </c>
      <c r="B1581" t="s">
        <v>414</v>
      </c>
    </row>
    <row r="1582" spans="1:8" x14ac:dyDescent="0.25">
      <c r="A1582" t="str">
        <f xml:space="preserve"> $H$1574</f>
        <v>&lt;flags count_in_cargo="0" count_in_hoarder="0" count_in_map="1" count_in_player="0" crafted="0" deloot="0"/&gt;</v>
      </c>
      <c r="B1582" t="s">
        <v>414</v>
      </c>
    </row>
    <row r="1583" spans="1:8" x14ac:dyDescent="0.25">
      <c r="A1583" t="str">
        <f>"&lt;category name=" &amp;"""" &amp;$C$1574&amp;"""/&gt;"</f>
        <v>&lt;category name="clothes"/&gt;</v>
      </c>
      <c r="B1583" t="s">
        <v>414</v>
      </c>
    </row>
    <row r="1584" spans="1:8" x14ac:dyDescent="0.25">
      <c r="A1584" t="s">
        <v>39</v>
      </c>
      <c r="B1584" t="s">
        <v>414</v>
      </c>
    </row>
    <row r="1585" spans="1:8" x14ac:dyDescent="0.25">
      <c r="A1585" t="s">
        <v>40</v>
      </c>
      <c r="B1585" t="s">
        <v>414</v>
      </c>
    </row>
    <row r="1586" spans="1:8" x14ac:dyDescent="0.25">
      <c r="A1586" t="s">
        <v>22</v>
      </c>
      <c r="B1586" t="s">
        <v>414</v>
      </c>
    </row>
    <row r="1587" spans="1:8" x14ac:dyDescent="0.25">
      <c r="A1587" t="s">
        <v>1526</v>
      </c>
      <c r="B1587" t="s">
        <v>415</v>
      </c>
      <c r="C1587" t="s">
        <v>403</v>
      </c>
      <c r="D1587">
        <v>15</v>
      </c>
      <c r="E1587">
        <v>7200</v>
      </c>
      <c r="F1587">
        <v>0</v>
      </c>
      <c r="G1587">
        <v>5</v>
      </c>
      <c r="H1587" t="s">
        <v>19</v>
      </c>
    </row>
    <row r="1588" spans="1:8" x14ac:dyDescent="0.25">
      <c r="A1588" t="str">
        <f>"&lt;nominal&gt;" &amp;$D$1587&amp;"&lt;/nominal&gt;"</f>
        <v>&lt;nominal&gt;15&lt;/nominal&gt;</v>
      </c>
      <c r="B1588" t="s">
        <v>415</v>
      </c>
    </row>
    <row r="1589" spans="1:8" x14ac:dyDescent="0.25">
      <c r="A1589" t="str">
        <f>"&lt;lifetime&gt;" &amp;$E$1587&amp;"&lt;/lifetime&gt;"</f>
        <v>&lt;lifetime&gt;7200&lt;/lifetime&gt;</v>
      </c>
      <c r="B1589" t="s">
        <v>415</v>
      </c>
    </row>
    <row r="1590" spans="1:8" x14ac:dyDescent="0.25">
      <c r="A1590" t="str">
        <f>"&lt;restock&gt;" &amp;$F$1587&amp;"&lt;/restock&gt;"</f>
        <v>&lt;restock&gt;0&lt;/restock&gt;</v>
      </c>
      <c r="B1590" t="s">
        <v>415</v>
      </c>
    </row>
    <row r="1591" spans="1:8" x14ac:dyDescent="0.25">
      <c r="A1591" t="str">
        <f>"&lt;min&gt;" &amp;$G$1587&amp;"&lt;/min&gt;"</f>
        <v>&lt;min&gt;5&lt;/min&gt;</v>
      </c>
      <c r="B1591" t="s">
        <v>415</v>
      </c>
    </row>
    <row r="1592" spans="1:8" x14ac:dyDescent="0.25">
      <c r="A1592" t="s">
        <v>16</v>
      </c>
      <c r="B1592" t="s">
        <v>415</v>
      </c>
    </row>
    <row r="1593" spans="1:8" x14ac:dyDescent="0.25">
      <c r="A1593" t="s">
        <v>17</v>
      </c>
      <c r="B1593" t="s">
        <v>415</v>
      </c>
    </row>
    <row r="1594" spans="1:8" x14ac:dyDescent="0.25">
      <c r="A1594" t="s">
        <v>18</v>
      </c>
      <c r="B1594" t="s">
        <v>415</v>
      </c>
    </row>
    <row r="1595" spans="1:8" x14ac:dyDescent="0.25">
      <c r="A1595" t="str">
        <f xml:space="preserve"> $H$1587</f>
        <v>&lt;flags count_in_cargo="0" count_in_hoarder="0" count_in_map="1" count_in_player="0" crafted="0" deloot="0"/&gt;</v>
      </c>
      <c r="B1595" t="s">
        <v>415</v>
      </c>
    </row>
    <row r="1596" spans="1:8" x14ac:dyDescent="0.25">
      <c r="A1596" t="str">
        <f>"&lt;category name=" &amp;"""" &amp;$C$1587&amp;"""/&gt;"</f>
        <v>&lt;category name="clothes"/&gt;</v>
      </c>
      <c r="B1596" t="s">
        <v>415</v>
      </c>
    </row>
    <row r="1597" spans="1:8" x14ac:dyDescent="0.25">
      <c r="A1597" t="s">
        <v>39</v>
      </c>
      <c r="B1597" t="s">
        <v>415</v>
      </c>
    </row>
    <row r="1598" spans="1:8" x14ac:dyDescent="0.25">
      <c r="A1598" t="s">
        <v>40</v>
      </c>
      <c r="B1598" t="s">
        <v>415</v>
      </c>
    </row>
    <row r="1599" spans="1:8" x14ac:dyDescent="0.25">
      <c r="A1599" t="s">
        <v>22</v>
      </c>
      <c r="B1599" t="s">
        <v>415</v>
      </c>
    </row>
    <row r="1600" spans="1:8" x14ac:dyDescent="0.25">
      <c r="A1600" t="s">
        <v>1527</v>
      </c>
      <c r="B1600" t="s">
        <v>416</v>
      </c>
      <c r="C1600" t="s">
        <v>403</v>
      </c>
      <c r="D1600">
        <v>20</v>
      </c>
      <c r="E1600">
        <v>7200</v>
      </c>
      <c r="F1600">
        <v>0</v>
      </c>
      <c r="G1600">
        <v>10</v>
      </c>
      <c r="H1600" t="s">
        <v>19</v>
      </c>
    </row>
    <row r="1601" spans="1:8" x14ac:dyDescent="0.25">
      <c r="A1601" t="str">
        <f>"&lt;nominal&gt;" &amp;$D$1600&amp;"&lt;/nominal&gt;"</f>
        <v>&lt;nominal&gt;20&lt;/nominal&gt;</v>
      </c>
      <c r="B1601" t="s">
        <v>416</v>
      </c>
    </row>
    <row r="1602" spans="1:8" x14ac:dyDescent="0.25">
      <c r="A1602" t="str">
        <f>"&lt;lifetime&gt;" &amp;$E$1600&amp;"&lt;/lifetime&gt;"</f>
        <v>&lt;lifetime&gt;7200&lt;/lifetime&gt;</v>
      </c>
      <c r="B1602" t="s">
        <v>416</v>
      </c>
    </row>
    <row r="1603" spans="1:8" x14ac:dyDescent="0.25">
      <c r="A1603" t="str">
        <f>"&lt;restock&gt;" &amp;$F$1600&amp;"&lt;/restock&gt;"</f>
        <v>&lt;restock&gt;0&lt;/restock&gt;</v>
      </c>
      <c r="B1603" t="s">
        <v>416</v>
      </c>
    </row>
    <row r="1604" spans="1:8" x14ac:dyDescent="0.25">
      <c r="A1604" t="str">
        <f>"&lt;min&gt;" &amp;$G$1600&amp;"&lt;/min&gt;"</f>
        <v>&lt;min&gt;10&lt;/min&gt;</v>
      </c>
      <c r="B1604" t="s">
        <v>416</v>
      </c>
    </row>
    <row r="1605" spans="1:8" x14ac:dyDescent="0.25">
      <c r="A1605" t="s">
        <v>16</v>
      </c>
      <c r="B1605" t="s">
        <v>416</v>
      </c>
    </row>
    <row r="1606" spans="1:8" x14ac:dyDescent="0.25">
      <c r="A1606" t="s">
        <v>17</v>
      </c>
      <c r="B1606" t="s">
        <v>416</v>
      </c>
    </row>
    <row r="1607" spans="1:8" x14ac:dyDescent="0.25">
      <c r="A1607" t="s">
        <v>18</v>
      </c>
      <c r="B1607" t="s">
        <v>416</v>
      </c>
    </row>
    <row r="1608" spans="1:8" x14ac:dyDescent="0.25">
      <c r="A1608" t="str">
        <f xml:space="preserve"> $H$1600</f>
        <v>&lt;flags count_in_cargo="0" count_in_hoarder="0" count_in_map="1" count_in_player="0" crafted="0" deloot="0"/&gt;</v>
      </c>
      <c r="B1608" t="s">
        <v>416</v>
      </c>
    </row>
    <row r="1609" spans="1:8" x14ac:dyDescent="0.25">
      <c r="A1609" t="str">
        <f>"&lt;category name=" &amp;"""" &amp;$C$1600&amp;"""/&gt;"</f>
        <v>&lt;category name="clothes"/&gt;</v>
      </c>
      <c r="B1609" t="s">
        <v>416</v>
      </c>
    </row>
    <row r="1610" spans="1:8" x14ac:dyDescent="0.25">
      <c r="A1610" t="s">
        <v>39</v>
      </c>
      <c r="B1610" t="s">
        <v>416</v>
      </c>
    </row>
    <row r="1611" spans="1:8" x14ac:dyDescent="0.25">
      <c r="A1611" t="s">
        <v>40</v>
      </c>
      <c r="B1611" t="s">
        <v>416</v>
      </c>
    </row>
    <row r="1612" spans="1:8" x14ac:dyDescent="0.25">
      <c r="A1612" t="s">
        <v>22</v>
      </c>
      <c r="B1612" t="s">
        <v>416</v>
      </c>
    </row>
    <row r="1613" spans="1:8" x14ac:dyDescent="0.25">
      <c r="A1613" t="s">
        <v>1528</v>
      </c>
      <c r="B1613" t="s">
        <v>417</v>
      </c>
      <c r="C1613" t="s">
        <v>403</v>
      </c>
      <c r="D1613">
        <v>15</v>
      </c>
      <c r="E1613">
        <v>7200</v>
      </c>
      <c r="F1613">
        <v>0</v>
      </c>
      <c r="G1613">
        <v>5</v>
      </c>
      <c r="H1613" t="s">
        <v>19</v>
      </c>
    </row>
    <row r="1614" spans="1:8" x14ac:dyDescent="0.25">
      <c r="A1614" t="str">
        <f>"&lt;nominal&gt;" &amp;$D$1613&amp;"&lt;/nominal&gt;"</f>
        <v>&lt;nominal&gt;15&lt;/nominal&gt;</v>
      </c>
      <c r="B1614" t="s">
        <v>417</v>
      </c>
    </row>
    <row r="1615" spans="1:8" x14ac:dyDescent="0.25">
      <c r="A1615" t="str">
        <f>"&lt;lifetime&gt;" &amp;$E$1613&amp;"&lt;/lifetime&gt;"</f>
        <v>&lt;lifetime&gt;7200&lt;/lifetime&gt;</v>
      </c>
      <c r="B1615" t="s">
        <v>417</v>
      </c>
    </row>
    <row r="1616" spans="1:8" x14ac:dyDescent="0.25">
      <c r="A1616" t="str">
        <f>"&lt;restock&gt;" &amp;$F$1613&amp;"&lt;/restock&gt;"</f>
        <v>&lt;restock&gt;0&lt;/restock&gt;</v>
      </c>
      <c r="B1616" t="s">
        <v>417</v>
      </c>
    </row>
    <row r="1617" spans="1:8" x14ac:dyDescent="0.25">
      <c r="A1617" t="str">
        <f>"&lt;min&gt;" &amp;$G$1613&amp;"&lt;/min&gt;"</f>
        <v>&lt;min&gt;5&lt;/min&gt;</v>
      </c>
      <c r="B1617" t="s">
        <v>417</v>
      </c>
    </row>
    <row r="1618" spans="1:8" x14ac:dyDescent="0.25">
      <c r="A1618" t="s">
        <v>16</v>
      </c>
      <c r="B1618" t="s">
        <v>417</v>
      </c>
    </row>
    <row r="1619" spans="1:8" x14ac:dyDescent="0.25">
      <c r="A1619" t="s">
        <v>17</v>
      </c>
      <c r="B1619" t="s">
        <v>417</v>
      </c>
    </row>
    <row r="1620" spans="1:8" x14ac:dyDescent="0.25">
      <c r="A1620" t="s">
        <v>18</v>
      </c>
      <c r="B1620" t="s">
        <v>417</v>
      </c>
    </row>
    <row r="1621" spans="1:8" x14ac:dyDescent="0.25">
      <c r="A1621" t="str">
        <f xml:space="preserve"> $H$1613</f>
        <v>&lt;flags count_in_cargo="0" count_in_hoarder="0" count_in_map="1" count_in_player="0" crafted="0" deloot="0"/&gt;</v>
      </c>
      <c r="B1621" t="s">
        <v>417</v>
      </c>
    </row>
    <row r="1622" spans="1:8" x14ac:dyDescent="0.25">
      <c r="A1622" t="str">
        <f>"&lt;category name=" &amp;"""" &amp;$C$1613&amp;"""/&gt;"</f>
        <v>&lt;category name="clothes"/&gt;</v>
      </c>
      <c r="B1622" t="s">
        <v>417</v>
      </c>
    </row>
    <row r="1623" spans="1:8" x14ac:dyDescent="0.25">
      <c r="A1623" t="s">
        <v>39</v>
      </c>
      <c r="B1623" t="s">
        <v>417</v>
      </c>
    </row>
    <row r="1624" spans="1:8" x14ac:dyDescent="0.25">
      <c r="A1624" t="s">
        <v>40</v>
      </c>
      <c r="B1624" t="s">
        <v>417</v>
      </c>
    </row>
    <row r="1625" spans="1:8" x14ac:dyDescent="0.25">
      <c r="A1625" t="s">
        <v>22</v>
      </c>
      <c r="B1625" t="s">
        <v>417</v>
      </c>
    </row>
    <row r="1626" spans="1:8" x14ac:dyDescent="0.25">
      <c r="A1626" t="s">
        <v>1529</v>
      </c>
      <c r="B1626" t="s">
        <v>418</v>
      </c>
      <c r="C1626" t="s">
        <v>403</v>
      </c>
      <c r="D1626">
        <v>15</v>
      </c>
      <c r="E1626">
        <v>10800</v>
      </c>
      <c r="F1626">
        <v>0</v>
      </c>
      <c r="G1626">
        <v>5</v>
      </c>
      <c r="H1626" t="s">
        <v>19</v>
      </c>
    </row>
    <row r="1627" spans="1:8" x14ac:dyDescent="0.25">
      <c r="A1627" t="str">
        <f>"&lt;nominal&gt;" &amp;$D$1626&amp;"&lt;/nominal&gt;"</f>
        <v>&lt;nominal&gt;15&lt;/nominal&gt;</v>
      </c>
      <c r="B1627" t="s">
        <v>418</v>
      </c>
    </row>
    <row r="1628" spans="1:8" x14ac:dyDescent="0.25">
      <c r="A1628" t="str">
        <f>"&lt;lifetime&gt;" &amp;$E$1626&amp;"&lt;/lifetime&gt;"</f>
        <v>&lt;lifetime&gt;10800&lt;/lifetime&gt;</v>
      </c>
      <c r="B1628" t="s">
        <v>418</v>
      </c>
    </row>
    <row r="1629" spans="1:8" x14ac:dyDescent="0.25">
      <c r="A1629" t="str">
        <f>"&lt;restock&gt;" &amp;$F$1626&amp;"&lt;/restock&gt;"</f>
        <v>&lt;restock&gt;0&lt;/restock&gt;</v>
      </c>
      <c r="B1629" t="s">
        <v>418</v>
      </c>
    </row>
    <row r="1630" spans="1:8" x14ac:dyDescent="0.25">
      <c r="A1630" t="str">
        <f>"&lt;min&gt;" &amp;$G$1626&amp;"&lt;/min&gt;"</f>
        <v>&lt;min&gt;5&lt;/min&gt;</v>
      </c>
      <c r="B1630" t="s">
        <v>418</v>
      </c>
    </row>
    <row r="1631" spans="1:8" x14ac:dyDescent="0.25">
      <c r="A1631" t="s">
        <v>16</v>
      </c>
      <c r="B1631" t="s">
        <v>418</v>
      </c>
    </row>
    <row r="1632" spans="1:8" x14ac:dyDescent="0.25">
      <c r="A1632" t="s">
        <v>17</v>
      </c>
      <c r="B1632" t="s">
        <v>418</v>
      </c>
    </row>
    <row r="1633" spans="1:8" x14ac:dyDescent="0.25">
      <c r="A1633" t="s">
        <v>18</v>
      </c>
      <c r="B1633" t="s">
        <v>418</v>
      </c>
    </row>
    <row r="1634" spans="1:8" x14ac:dyDescent="0.25">
      <c r="A1634" t="str">
        <f xml:space="preserve"> $H$1626</f>
        <v>&lt;flags count_in_cargo="0" count_in_hoarder="0" count_in_map="1" count_in_player="0" crafted="0" deloot="0"/&gt;</v>
      </c>
      <c r="B1634" t="s">
        <v>418</v>
      </c>
    </row>
    <row r="1635" spans="1:8" x14ac:dyDescent="0.25">
      <c r="A1635" t="str">
        <f>"&lt;category name=" &amp;"""" &amp;$C$1626&amp;"""/&gt;"</f>
        <v>&lt;category name="clothes"/&gt;</v>
      </c>
      <c r="B1635" t="s">
        <v>418</v>
      </c>
    </row>
    <row r="1636" spans="1:8" x14ac:dyDescent="0.25">
      <c r="A1636" t="s">
        <v>20</v>
      </c>
      <c r="B1636" t="s">
        <v>418</v>
      </c>
    </row>
    <row r="1637" spans="1:8" x14ac:dyDescent="0.25">
      <c r="A1637" t="s">
        <v>55</v>
      </c>
      <c r="B1637" t="s">
        <v>418</v>
      </c>
    </row>
    <row r="1638" spans="1:8" x14ac:dyDescent="0.25">
      <c r="A1638" t="s">
        <v>39</v>
      </c>
      <c r="B1638" t="s">
        <v>418</v>
      </c>
    </row>
    <row r="1639" spans="1:8" x14ac:dyDescent="0.25">
      <c r="A1639" t="s">
        <v>40</v>
      </c>
      <c r="B1639" t="s">
        <v>418</v>
      </c>
    </row>
    <row r="1640" spans="1:8" x14ac:dyDescent="0.25">
      <c r="A1640" t="s">
        <v>22</v>
      </c>
      <c r="B1640" t="s">
        <v>418</v>
      </c>
    </row>
    <row r="1641" spans="1:8" x14ac:dyDescent="0.25">
      <c r="A1641" t="s">
        <v>1530</v>
      </c>
      <c r="B1641" t="s">
        <v>419</v>
      </c>
      <c r="C1641" t="s">
        <v>403</v>
      </c>
      <c r="D1641">
        <v>20</v>
      </c>
      <c r="E1641">
        <v>10800</v>
      </c>
      <c r="F1641">
        <v>0</v>
      </c>
      <c r="G1641">
        <v>10</v>
      </c>
      <c r="H1641" t="s">
        <v>19</v>
      </c>
    </row>
    <row r="1642" spans="1:8" x14ac:dyDescent="0.25">
      <c r="A1642" t="str">
        <f>"&lt;nominal&gt;" &amp;$D$1641&amp;"&lt;/nominal&gt;"</f>
        <v>&lt;nominal&gt;20&lt;/nominal&gt;</v>
      </c>
      <c r="B1642" t="s">
        <v>419</v>
      </c>
    </row>
    <row r="1643" spans="1:8" x14ac:dyDescent="0.25">
      <c r="A1643" t="str">
        <f>"&lt;lifetime&gt;" &amp;$E$1641&amp;"&lt;/lifetime&gt;"</f>
        <v>&lt;lifetime&gt;10800&lt;/lifetime&gt;</v>
      </c>
      <c r="B1643" t="s">
        <v>419</v>
      </c>
    </row>
    <row r="1644" spans="1:8" x14ac:dyDescent="0.25">
      <c r="A1644" t="str">
        <f>"&lt;restock&gt;" &amp;$F$1641&amp;"&lt;/restock&gt;"</f>
        <v>&lt;restock&gt;0&lt;/restock&gt;</v>
      </c>
      <c r="B1644" t="s">
        <v>419</v>
      </c>
    </row>
    <row r="1645" spans="1:8" x14ac:dyDescent="0.25">
      <c r="A1645" t="str">
        <f>"&lt;min&gt;" &amp;$G$1641&amp;"&lt;/min&gt;"</f>
        <v>&lt;min&gt;10&lt;/min&gt;</v>
      </c>
      <c r="B1645" t="s">
        <v>419</v>
      </c>
    </row>
    <row r="1646" spans="1:8" x14ac:dyDescent="0.25">
      <c r="A1646" t="s">
        <v>16</v>
      </c>
      <c r="B1646" t="s">
        <v>419</v>
      </c>
    </row>
    <row r="1647" spans="1:8" x14ac:dyDescent="0.25">
      <c r="A1647" t="s">
        <v>17</v>
      </c>
      <c r="B1647" t="s">
        <v>419</v>
      </c>
    </row>
    <row r="1648" spans="1:8" x14ac:dyDescent="0.25">
      <c r="A1648" t="s">
        <v>18</v>
      </c>
      <c r="B1648" t="s">
        <v>419</v>
      </c>
    </row>
    <row r="1649" spans="1:8" x14ac:dyDescent="0.25">
      <c r="A1649" t="str">
        <f xml:space="preserve"> $H$1641</f>
        <v>&lt;flags count_in_cargo="0" count_in_hoarder="0" count_in_map="1" count_in_player="0" crafted="0" deloot="0"/&gt;</v>
      </c>
      <c r="B1649" t="s">
        <v>419</v>
      </c>
    </row>
    <row r="1650" spans="1:8" x14ac:dyDescent="0.25">
      <c r="A1650" t="str">
        <f>"&lt;category name=" &amp;"""" &amp;$C$1641&amp;"""/&gt;"</f>
        <v>&lt;category name="clothes"/&gt;</v>
      </c>
      <c r="B1650" t="s">
        <v>419</v>
      </c>
    </row>
    <row r="1651" spans="1:8" x14ac:dyDescent="0.25">
      <c r="A1651" t="s">
        <v>20</v>
      </c>
      <c r="B1651" t="s">
        <v>419</v>
      </c>
    </row>
    <row r="1652" spans="1:8" x14ac:dyDescent="0.25">
      <c r="A1652" t="s">
        <v>55</v>
      </c>
      <c r="B1652" t="s">
        <v>419</v>
      </c>
    </row>
    <row r="1653" spans="1:8" x14ac:dyDescent="0.25">
      <c r="A1653" t="s">
        <v>39</v>
      </c>
      <c r="B1653" t="s">
        <v>419</v>
      </c>
    </row>
    <row r="1654" spans="1:8" x14ac:dyDescent="0.25">
      <c r="A1654" t="s">
        <v>40</v>
      </c>
      <c r="B1654" t="s">
        <v>419</v>
      </c>
    </row>
    <row r="1655" spans="1:8" x14ac:dyDescent="0.25">
      <c r="A1655" t="s">
        <v>22</v>
      </c>
      <c r="B1655" t="s">
        <v>419</v>
      </c>
    </row>
    <row r="1656" spans="1:8" x14ac:dyDescent="0.25">
      <c r="A1656" t="s">
        <v>1531</v>
      </c>
      <c r="B1656" t="s">
        <v>420</v>
      </c>
      <c r="C1656" t="s">
        <v>403</v>
      </c>
      <c r="D1656">
        <v>10</v>
      </c>
      <c r="E1656">
        <v>10800</v>
      </c>
      <c r="F1656">
        <v>0</v>
      </c>
      <c r="G1656">
        <v>5</v>
      </c>
      <c r="H1656" t="s">
        <v>19</v>
      </c>
    </row>
    <row r="1657" spans="1:8" x14ac:dyDescent="0.25">
      <c r="A1657" t="str">
        <f>"&lt;nominal&gt;" &amp;$D$1656&amp;"&lt;/nominal&gt;"</f>
        <v>&lt;nominal&gt;10&lt;/nominal&gt;</v>
      </c>
      <c r="B1657" t="s">
        <v>420</v>
      </c>
    </row>
    <row r="1658" spans="1:8" x14ac:dyDescent="0.25">
      <c r="A1658" t="str">
        <f>"&lt;lifetime&gt;" &amp;$E$1656&amp;"&lt;/lifetime&gt;"</f>
        <v>&lt;lifetime&gt;10800&lt;/lifetime&gt;</v>
      </c>
      <c r="B1658" t="s">
        <v>420</v>
      </c>
    </row>
    <row r="1659" spans="1:8" x14ac:dyDescent="0.25">
      <c r="A1659" t="str">
        <f>"&lt;restock&gt;" &amp;$F$1656&amp;"&lt;/restock&gt;"</f>
        <v>&lt;restock&gt;0&lt;/restock&gt;</v>
      </c>
      <c r="B1659" t="s">
        <v>420</v>
      </c>
    </row>
    <row r="1660" spans="1:8" x14ac:dyDescent="0.25">
      <c r="A1660" t="str">
        <f>"&lt;min&gt;" &amp;$G$1656&amp;"&lt;/min&gt;"</f>
        <v>&lt;min&gt;5&lt;/min&gt;</v>
      </c>
      <c r="B1660" t="s">
        <v>420</v>
      </c>
    </row>
    <row r="1661" spans="1:8" x14ac:dyDescent="0.25">
      <c r="A1661" t="s">
        <v>16</v>
      </c>
      <c r="B1661" t="s">
        <v>420</v>
      </c>
    </row>
    <row r="1662" spans="1:8" x14ac:dyDescent="0.25">
      <c r="A1662" t="s">
        <v>17</v>
      </c>
      <c r="B1662" t="s">
        <v>420</v>
      </c>
    </row>
    <row r="1663" spans="1:8" x14ac:dyDescent="0.25">
      <c r="A1663" t="s">
        <v>18</v>
      </c>
      <c r="B1663" t="s">
        <v>420</v>
      </c>
    </row>
    <row r="1664" spans="1:8" x14ac:dyDescent="0.25">
      <c r="A1664" t="str">
        <f xml:space="preserve"> $H$1656</f>
        <v>&lt;flags count_in_cargo="0" count_in_hoarder="0" count_in_map="1" count_in_player="0" crafted="0" deloot="0"/&gt;</v>
      </c>
      <c r="B1664" t="s">
        <v>420</v>
      </c>
    </row>
    <row r="1665" spans="1:8" x14ac:dyDescent="0.25">
      <c r="A1665" t="str">
        <f>"&lt;category name=" &amp;"""" &amp;$C$1656&amp;"""/&gt;"</f>
        <v>&lt;category name="clothes"/&gt;</v>
      </c>
      <c r="B1665" t="s">
        <v>420</v>
      </c>
    </row>
    <row r="1666" spans="1:8" x14ac:dyDescent="0.25">
      <c r="A1666" t="s">
        <v>20</v>
      </c>
      <c r="B1666" t="s">
        <v>420</v>
      </c>
    </row>
    <row r="1667" spans="1:8" x14ac:dyDescent="0.25">
      <c r="A1667" t="s">
        <v>29</v>
      </c>
      <c r="B1667" t="s">
        <v>420</v>
      </c>
    </row>
    <row r="1668" spans="1:8" x14ac:dyDescent="0.25">
      <c r="A1668" t="s">
        <v>31</v>
      </c>
      <c r="B1668" t="s">
        <v>420</v>
      </c>
    </row>
    <row r="1669" spans="1:8" x14ac:dyDescent="0.25">
      <c r="A1669" t="s">
        <v>307</v>
      </c>
      <c r="B1669" t="s">
        <v>420</v>
      </c>
    </row>
    <row r="1670" spans="1:8" x14ac:dyDescent="0.25">
      <c r="A1670" t="s">
        <v>22</v>
      </c>
      <c r="B1670" t="s">
        <v>420</v>
      </c>
    </row>
    <row r="1671" spans="1:8" x14ac:dyDescent="0.25">
      <c r="A1671" t="s">
        <v>1532</v>
      </c>
      <c r="B1671" t="s">
        <v>421</v>
      </c>
      <c r="C1671" t="s">
        <v>403</v>
      </c>
      <c r="D1671">
        <v>30</v>
      </c>
      <c r="E1671">
        <v>10800</v>
      </c>
      <c r="F1671">
        <v>0</v>
      </c>
      <c r="G1671">
        <v>20</v>
      </c>
      <c r="H1671" t="s">
        <v>19</v>
      </c>
    </row>
    <row r="1672" spans="1:8" x14ac:dyDescent="0.25">
      <c r="A1672" t="str">
        <f>"&lt;nominal&gt;" &amp;$D$1671&amp;"&lt;/nominal&gt;"</f>
        <v>&lt;nominal&gt;30&lt;/nominal&gt;</v>
      </c>
      <c r="B1672" t="s">
        <v>421</v>
      </c>
    </row>
    <row r="1673" spans="1:8" x14ac:dyDescent="0.25">
      <c r="A1673" t="str">
        <f>"&lt;lifetime&gt;" &amp;$E$1671&amp;"&lt;/lifetime&gt;"</f>
        <v>&lt;lifetime&gt;10800&lt;/lifetime&gt;</v>
      </c>
      <c r="B1673" t="s">
        <v>421</v>
      </c>
    </row>
    <row r="1674" spans="1:8" x14ac:dyDescent="0.25">
      <c r="A1674" t="str">
        <f>"&lt;restock&gt;" &amp;$F$1671&amp;"&lt;/restock&gt;"</f>
        <v>&lt;restock&gt;0&lt;/restock&gt;</v>
      </c>
      <c r="B1674" t="s">
        <v>421</v>
      </c>
    </row>
    <row r="1675" spans="1:8" x14ac:dyDescent="0.25">
      <c r="A1675" t="str">
        <f>"&lt;min&gt;" &amp;$G$1671&amp;"&lt;/min&gt;"</f>
        <v>&lt;min&gt;20&lt;/min&gt;</v>
      </c>
      <c r="B1675" t="s">
        <v>421</v>
      </c>
    </row>
    <row r="1676" spans="1:8" x14ac:dyDescent="0.25">
      <c r="A1676" t="s">
        <v>16</v>
      </c>
      <c r="B1676" t="s">
        <v>421</v>
      </c>
    </row>
    <row r="1677" spans="1:8" x14ac:dyDescent="0.25">
      <c r="A1677" t="s">
        <v>17</v>
      </c>
      <c r="B1677" t="s">
        <v>421</v>
      </c>
    </row>
    <row r="1678" spans="1:8" x14ac:dyDescent="0.25">
      <c r="A1678" t="s">
        <v>18</v>
      </c>
      <c r="B1678" t="s">
        <v>421</v>
      </c>
    </row>
    <row r="1679" spans="1:8" x14ac:dyDescent="0.25">
      <c r="A1679" t="str">
        <f xml:space="preserve"> $H$1671</f>
        <v>&lt;flags count_in_cargo="0" count_in_hoarder="0" count_in_map="1" count_in_player="0" crafted="0" deloot="0"/&gt;</v>
      </c>
      <c r="B1679" t="s">
        <v>421</v>
      </c>
    </row>
    <row r="1680" spans="1:8" x14ac:dyDescent="0.25">
      <c r="A1680" t="str">
        <f>"&lt;category name=" &amp;"""" &amp;$C$1671&amp;"""/&gt;"</f>
        <v>&lt;category name="clothes"/&gt;</v>
      </c>
      <c r="B1680" t="s">
        <v>421</v>
      </c>
    </row>
    <row r="1681" spans="1:8" x14ac:dyDescent="0.25">
      <c r="A1681" t="s">
        <v>20</v>
      </c>
      <c r="B1681" t="s">
        <v>421</v>
      </c>
    </row>
    <row r="1682" spans="1:8" x14ac:dyDescent="0.25">
      <c r="A1682" t="s">
        <v>55</v>
      </c>
      <c r="B1682" t="s">
        <v>421</v>
      </c>
    </row>
    <row r="1683" spans="1:8" x14ac:dyDescent="0.25">
      <c r="A1683" t="s">
        <v>39</v>
      </c>
      <c r="B1683" t="s">
        <v>421</v>
      </c>
    </row>
    <row r="1684" spans="1:8" x14ac:dyDescent="0.25">
      <c r="A1684" t="s">
        <v>40</v>
      </c>
      <c r="B1684" t="s">
        <v>421</v>
      </c>
    </row>
    <row r="1685" spans="1:8" x14ac:dyDescent="0.25">
      <c r="A1685" t="s">
        <v>22</v>
      </c>
      <c r="B1685" t="s">
        <v>421</v>
      </c>
    </row>
    <row r="1686" spans="1:8" x14ac:dyDescent="0.25">
      <c r="A1686" t="s">
        <v>1533</v>
      </c>
      <c r="B1686" t="s">
        <v>422</v>
      </c>
      <c r="C1686" t="s">
        <v>403</v>
      </c>
      <c r="D1686">
        <v>20</v>
      </c>
      <c r="E1686">
        <v>10800</v>
      </c>
      <c r="F1686">
        <v>0</v>
      </c>
      <c r="G1686">
        <v>10</v>
      </c>
      <c r="H1686" t="s">
        <v>19</v>
      </c>
    </row>
    <row r="1687" spans="1:8" x14ac:dyDescent="0.25">
      <c r="A1687" t="str">
        <f>"&lt;nominal&gt;" &amp;$D$1686&amp;"&lt;/nominal&gt;"</f>
        <v>&lt;nominal&gt;20&lt;/nominal&gt;</v>
      </c>
      <c r="B1687" t="s">
        <v>422</v>
      </c>
    </row>
    <row r="1688" spans="1:8" x14ac:dyDescent="0.25">
      <c r="A1688" t="str">
        <f>"&lt;lifetime&gt;" &amp;$E$1686&amp;"&lt;/lifetime&gt;"</f>
        <v>&lt;lifetime&gt;10800&lt;/lifetime&gt;</v>
      </c>
      <c r="B1688" t="s">
        <v>422</v>
      </c>
    </row>
    <row r="1689" spans="1:8" x14ac:dyDescent="0.25">
      <c r="A1689" t="str">
        <f>"&lt;restock&gt;" &amp;$F$1686&amp;"&lt;/restock&gt;"</f>
        <v>&lt;restock&gt;0&lt;/restock&gt;</v>
      </c>
      <c r="B1689" t="s">
        <v>422</v>
      </c>
    </row>
    <row r="1690" spans="1:8" x14ac:dyDescent="0.25">
      <c r="A1690" t="str">
        <f>"&lt;min&gt;" &amp;$G$1686&amp;"&lt;/min&gt;"</f>
        <v>&lt;min&gt;10&lt;/min&gt;</v>
      </c>
      <c r="B1690" t="s">
        <v>422</v>
      </c>
    </row>
    <row r="1691" spans="1:8" x14ac:dyDescent="0.25">
      <c r="A1691" t="s">
        <v>16</v>
      </c>
      <c r="B1691" t="s">
        <v>422</v>
      </c>
    </row>
    <row r="1692" spans="1:8" x14ac:dyDescent="0.25">
      <c r="A1692" t="s">
        <v>17</v>
      </c>
      <c r="B1692" t="s">
        <v>422</v>
      </c>
    </row>
    <row r="1693" spans="1:8" x14ac:dyDescent="0.25">
      <c r="A1693" t="s">
        <v>18</v>
      </c>
      <c r="B1693" t="s">
        <v>422</v>
      </c>
    </row>
    <row r="1694" spans="1:8" x14ac:dyDescent="0.25">
      <c r="A1694" t="str">
        <f xml:space="preserve"> $H$1686</f>
        <v>&lt;flags count_in_cargo="0" count_in_hoarder="0" count_in_map="1" count_in_player="0" crafted="0" deloot="0"/&gt;</v>
      </c>
      <c r="B1694" t="s">
        <v>422</v>
      </c>
    </row>
    <row r="1695" spans="1:8" x14ac:dyDescent="0.25">
      <c r="A1695" t="str">
        <f>"&lt;category name=" &amp;"""" &amp;$C$1686&amp;"""/&gt;"</f>
        <v>&lt;category name="clothes"/&gt;</v>
      </c>
      <c r="B1695" t="s">
        <v>422</v>
      </c>
    </row>
    <row r="1696" spans="1:8" x14ac:dyDescent="0.25">
      <c r="A1696" t="s">
        <v>20</v>
      </c>
      <c r="B1696" t="s">
        <v>422</v>
      </c>
    </row>
    <row r="1697" spans="1:8" x14ac:dyDescent="0.25">
      <c r="A1697" t="s">
        <v>29</v>
      </c>
      <c r="B1697" t="s">
        <v>422</v>
      </c>
    </row>
    <row r="1698" spans="1:8" x14ac:dyDescent="0.25">
      <c r="A1698" t="s">
        <v>55</v>
      </c>
      <c r="B1698" t="s">
        <v>422</v>
      </c>
    </row>
    <row r="1699" spans="1:8" x14ac:dyDescent="0.25">
      <c r="A1699" t="s">
        <v>39</v>
      </c>
      <c r="B1699" t="s">
        <v>422</v>
      </c>
    </row>
    <row r="1700" spans="1:8" x14ac:dyDescent="0.25">
      <c r="A1700" t="s">
        <v>40</v>
      </c>
      <c r="B1700" t="s">
        <v>422</v>
      </c>
    </row>
    <row r="1701" spans="1:8" x14ac:dyDescent="0.25">
      <c r="A1701" t="s">
        <v>31</v>
      </c>
      <c r="B1701" t="s">
        <v>422</v>
      </c>
    </row>
    <row r="1702" spans="1:8" x14ac:dyDescent="0.25">
      <c r="A1702" t="s">
        <v>307</v>
      </c>
      <c r="B1702" t="s">
        <v>422</v>
      </c>
    </row>
    <row r="1703" spans="1:8" x14ac:dyDescent="0.25">
      <c r="A1703" t="s">
        <v>22</v>
      </c>
      <c r="B1703" t="s">
        <v>422</v>
      </c>
    </row>
    <row r="1704" spans="1:8" x14ac:dyDescent="0.25">
      <c r="A1704" t="s">
        <v>1534</v>
      </c>
      <c r="B1704" t="s">
        <v>423</v>
      </c>
      <c r="C1704" t="s">
        <v>403</v>
      </c>
      <c r="D1704">
        <v>30</v>
      </c>
      <c r="E1704">
        <v>10800</v>
      </c>
      <c r="F1704">
        <v>0</v>
      </c>
      <c r="G1704">
        <v>20</v>
      </c>
      <c r="H1704" t="s">
        <v>19</v>
      </c>
    </row>
    <row r="1705" spans="1:8" x14ac:dyDescent="0.25">
      <c r="A1705" t="str">
        <f>"&lt;nominal&gt;" &amp;$D$1704&amp;"&lt;/nominal&gt;"</f>
        <v>&lt;nominal&gt;30&lt;/nominal&gt;</v>
      </c>
      <c r="B1705" t="s">
        <v>423</v>
      </c>
    </row>
    <row r="1706" spans="1:8" x14ac:dyDescent="0.25">
      <c r="A1706" t="str">
        <f>"&lt;lifetime&gt;" &amp;$E$1704&amp;"&lt;/lifetime&gt;"</f>
        <v>&lt;lifetime&gt;10800&lt;/lifetime&gt;</v>
      </c>
      <c r="B1706" t="s">
        <v>423</v>
      </c>
    </row>
    <row r="1707" spans="1:8" x14ac:dyDescent="0.25">
      <c r="A1707" t="str">
        <f>"&lt;restock&gt;" &amp;$F$1704&amp;"&lt;/restock&gt;"</f>
        <v>&lt;restock&gt;0&lt;/restock&gt;</v>
      </c>
      <c r="B1707" t="s">
        <v>423</v>
      </c>
    </row>
    <row r="1708" spans="1:8" x14ac:dyDescent="0.25">
      <c r="A1708" t="str">
        <f>"&lt;min&gt;" &amp;$G$1704&amp;"&lt;/min&gt;"</f>
        <v>&lt;min&gt;20&lt;/min&gt;</v>
      </c>
      <c r="B1708" t="s">
        <v>423</v>
      </c>
    </row>
    <row r="1709" spans="1:8" x14ac:dyDescent="0.25">
      <c r="A1709" t="s">
        <v>16</v>
      </c>
      <c r="B1709" t="s">
        <v>423</v>
      </c>
    </row>
    <row r="1710" spans="1:8" x14ac:dyDescent="0.25">
      <c r="A1710" t="s">
        <v>17</v>
      </c>
      <c r="B1710" t="s">
        <v>423</v>
      </c>
    </row>
    <row r="1711" spans="1:8" x14ac:dyDescent="0.25">
      <c r="A1711" t="s">
        <v>18</v>
      </c>
      <c r="B1711" t="s">
        <v>423</v>
      </c>
    </row>
    <row r="1712" spans="1:8" x14ac:dyDescent="0.25">
      <c r="A1712" t="str">
        <f xml:space="preserve"> $H$1704</f>
        <v>&lt;flags count_in_cargo="0" count_in_hoarder="0" count_in_map="1" count_in_player="0" crafted="0" deloot="0"/&gt;</v>
      </c>
      <c r="B1712" t="s">
        <v>423</v>
      </c>
    </row>
    <row r="1713" spans="1:8" x14ac:dyDescent="0.25">
      <c r="A1713" t="str">
        <f>"&lt;category name=" &amp;"""" &amp;$C$1704&amp;"""/&gt;"</f>
        <v>&lt;category name="clothes"/&gt;</v>
      </c>
      <c r="B1713" t="s">
        <v>423</v>
      </c>
    </row>
    <row r="1714" spans="1:8" x14ac:dyDescent="0.25">
      <c r="A1714" t="s">
        <v>20</v>
      </c>
      <c r="B1714" t="s">
        <v>423</v>
      </c>
    </row>
    <row r="1715" spans="1:8" x14ac:dyDescent="0.25">
      <c r="A1715" t="s">
        <v>55</v>
      </c>
      <c r="B1715" t="s">
        <v>423</v>
      </c>
    </row>
    <row r="1716" spans="1:8" x14ac:dyDescent="0.25">
      <c r="A1716" t="s">
        <v>39</v>
      </c>
      <c r="B1716" t="s">
        <v>423</v>
      </c>
    </row>
    <row r="1717" spans="1:8" x14ac:dyDescent="0.25">
      <c r="A1717" t="s">
        <v>40</v>
      </c>
      <c r="B1717" t="s">
        <v>423</v>
      </c>
    </row>
    <row r="1718" spans="1:8" x14ac:dyDescent="0.25">
      <c r="A1718" t="s">
        <v>22</v>
      </c>
      <c r="B1718" t="s">
        <v>423</v>
      </c>
    </row>
    <row r="1719" spans="1:8" x14ac:dyDescent="0.25">
      <c r="A1719" t="s">
        <v>1535</v>
      </c>
      <c r="B1719" t="s">
        <v>424</v>
      </c>
      <c r="C1719" t="s">
        <v>403</v>
      </c>
      <c r="D1719">
        <v>30</v>
      </c>
      <c r="E1719">
        <v>10800</v>
      </c>
      <c r="F1719">
        <v>0</v>
      </c>
      <c r="G1719">
        <v>20</v>
      </c>
      <c r="H1719" t="s">
        <v>19</v>
      </c>
    </row>
    <row r="1720" spans="1:8" x14ac:dyDescent="0.25">
      <c r="A1720" t="str">
        <f>"&lt;nominal&gt;" &amp;$D$1719&amp;"&lt;/nominal&gt;"</f>
        <v>&lt;nominal&gt;30&lt;/nominal&gt;</v>
      </c>
      <c r="B1720" t="s">
        <v>424</v>
      </c>
    </row>
    <row r="1721" spans="1:8" x14ac:dyDescent="0.25">
      <c r="A1721" t="str">
        <f>"&lt;lifetime&gt;" &amp;$E$1719&amp;"&lt;/lifetime&gt;"</f>
        <v>&lt;lifetime&gt;10800&lt;/lifetime&gt;</v>
      </c>
      <c r="B1721" t="s">
        <v>424</v>
      </c>
    </row>
    <row r="1722" spans="1:8" x14ac:dyDescent="0.25">
      <c r="A1722" t="str">
        <f>"&lt;restock&gt;" &amp;$F$1719&amp;"&lt;/restock&gt;"</f>
        <v>&lt;restock&gt;0&lt;/restock&gt;</v>
      </c>
      <c r="B1722" t="s">
        <v>424</v>
      </c>
    </row>
    <row r="1723" spans="1:8" x14ac:dyDescent="0.25">
      <c r="A1723" t="str">
        <f>"&lt;min&gt;" &amp;$G$1719&amp;"&lt;/min&gt;"</f>
        <v>&lt;min&gt;20&lt;/min&gt;</v>
      </c>
      <c r="B1723" t="s">
        <v>424</v>
      </c>
    </row>
    <row r="1724" spans="1:8" x14ac:dyDescent="0.25">
      <c r="A1724" t="s">
        <v>16</v>
      </c>
      <c r="B1724" t="s">
        <v>424</v>
      </c>
    </row>
    <row r="1725" spans="1:8" x14ac:dyDescent="0.25">
      <c r="A1725" t="s">
        <v>17</v>
      </c>
      <c r="B1725" t="s">
        <v>424</v>
      </c>
    </row>
    <row r="1726" spans="1:8" x14ac:dyDescent="0.25">
      <c r="A1726" t="s">
        <v>18</v>
      </c>
      <c r="B1726" t="s">
        <v>424</v>
      </c>
    </row>
    <row r="1727" spans="1:8" x14ac:dyDescent="0.25">
      <c r="A1727" t="str">
        <f xml:space="preserve"> $H$1719</f>
        <v>&lt;flags count_in_cargo="0" count_in_hoarder="0" count_in_map="1" count_in_player="0" crafted="0" deloot="0"/&gt;</v>
      </c>
      <c r="B1727" t="s">
        <v>424</v>
      </c>
    </row>
    <row r="1728" spans="1:8" x14ac:dyDescent="0.25">
      <c r="A1728" t="str">
        <f>"&lt;category name=" &amp;"""" &amp;$C$1719&amp;"""/&gt;"</f>
        <v>&lt;category name="clothes"/&gt;</v>
      </c>
      <c r="B1728" t="s">
        <v>424</v>
      </c>
    </row>
    <row r="1729" spans="1:8" x14ac:dyDescent="0.25">
      <c r="A1729" t="s">
        <v>20</v>
      </c>
      <c r="B1729" t="s">
        <v>424</v>
      </c>
    </row>
    <row r="1730" spans="1:8" x14ac:dyDescent="0.25">
      <c r="A1730" t="s">
        <v>55</v>
      </c>
      <c r="B1730" t="s">
        <v>424</v>
      </c>
    </row>
    <row r="1731" spans="1:8" x14ac:dyDescent="0.25">
      <c r="A1731" t="s">
        <v>39</v>
      </c>
      <c r="B1731" t="s">
        <v>424</v>
      </c>
    </row>
    <row r="1732" spans="1:8" x14ac:dyDescent="0.25">
      <c r="A1732" t="s">
        <v>40</v>
      </c>
      <c r="B1732" t="s">
        <v>424</v>
      </c>
    </row>
    <row r="1733" spans="1:8" x14ac:dyDescent="0.25">
      <c r="A1733" t="s">
        <v>22</v>
      </c>
      <c r="B1733" t="s">
        <v>424</v>
      </c>
    </row>
    <row r="1734" spans="1:8" x14ac:dyDescent="0.25">
      <c r="A1734" t="s">
        <v>1536</v>
      </c>
      <c r="B1734" t="s">
        <v>2944</v>
      </c>
      <c r="C1734" t="s">
        <v>403</v>
      </c>
      <c r="D1734">
        <v>0</v>
      </c>
      <c r="E1734">
        <v>5600</v>
      </c>
      <c r="F1734">
        <v>0</v>
      </c>
      <c r="G1734">
        <v>0</v>
      </c>
      <c r="H1734" t="s">
        <v>62</v>
      </c>
    </row>
    <row r="1735" spans="1:8" x14ac:dyDescent="0.25">
      <c r="A1735" t="str">
        <f>"&lt;nominal&gt;" &amp;$D$1734&amp;"&lt;/nominal&gt;"</f>
        <v>&lt;nominal&gt;0&lt;/nominal&gt;</v>
      </c>
      <c r="B1735" t="s">
        <v>2944</v>
      </c>
    </row>
    <row r="1736" spans="1:8" x14ac:dyDescent="0.25">
      <c r="A1736" t="str">
        <f>"&lt;lifetime&gt;" &amp;$E$1734&amp;"&lt;/lifetime&gt;"</f>
        <v>&lt;lifetime&gt;5600&lt;/lifetime&gt;</v>
      </c>
      <c r="B1736" t="s">
        <v>2944</v>
      </c>
    </row>
    <row r="1737" spans="1:8" x14ac:dyDescent="0.25">
      <c r="A1737" t="str">
        <f>"&lt;restock&gt;" &amp;$F$1734&amp;"&lt;/restock&gt;"</f>
        <v>&lt;restock&gt;0&lt;/restock&gt;</v>
      </c>
      <c r="B1737" t="s">
        <v>2944</v>
      </c>
    </row>
    <row r="1738" spans="1:8" x14ac:dyDescent="0.25">
      <c r="A1738" t="str">
        <f>"&lt;min&gt;" &amp;$G$1734&amp;"&lt;/min&gt;"</f>
        <v>&lt;min&gt;0&lt;/min&gt;</v>
      </c>
      <c r="B1738" t="s">
        <v>2944</v>
      </c>
    </row>
    <row r="1739" spans="1:8" x14ac:dyDescent="0.25">
      <c r="A1739" t="s">
        <v>16</v>
      </c>
      <c r="B1739" t="s">
        <v>2944</v>
      </c>
    </row>
    <row r="1740" spans="1:8" x14ac:dyDescent="0.25">
      <c r="A1740" t="s">
        <v>17</v>
      </c>
      <c r="B1740" t="s">
        <v>2944</v>
      </c>
    </row>
    <row r="1741" spans="1:8" x14ac:dyDescent="0.25">
      <c r="A1741" t="s">
        <v>18</v>
      </c>
      <c r="B1741" t="s">
        <v>2944</v>
      </c>
    </row>
    <row r="1742" spans="1:8" x14ac:dyDescent="0.25">
      <c r="A1742" t="str">
        <f xml:space="preserve"> $H$1734</f>
        <v>&lt;flags count_in_cargo="0" count_in_hoarder="0" count_in_map="1" count_in_player="0" crafted="1" deloot="0"/&gt;</v>
      </c>
      <c r="B1742" t="s">
        <v>2944</v>
      </c>
    </row>
    <row r="1743" spans="1:8" x14ac:dyDescent="0.25">
      <c r="A1743" t="str">
        <f>"&lt;category name=" &amp;"""" &amp;$C$1734&amp;"""/&gt;"</f>
        <v>&lt;category name="clothes"/&gt;</v>
      </c>
      <c r="B1743" t="s">
        <v>2944</v>
      </c>
    </row>
    <row r="1744" spans="1:8" x14ac:dyDescent="0.25">
      <c r="A1744" t="s">
        <v>22</v>
      </c>
      <c r="B1744" t="s">
        <v>2944</v>
      </c>
    </row>
    <row r="1745" spans="1:8" x14ac:dyDescent="0.25">
      <c r="A1745" t="s">
        <v>1537</v>
      </c>
      <c r="B1745" t="s">
        <v>2945</v>
      </c>
      <c r="C1745" t="s">
        <v>403</v>
      </c>
      <c r="D1745">
        <v>0</v>
      </c>
      <c r="E1745">
        <v>5600</v>
      </c>
      <c r="F1745">
        <v>0</v>
      </c>
      <c r="G1745">
        <v>0</v>
      </c>
      <c r="H1745" t="s">
        <v>62</v>
      </c>
    </row>
    <row r="1746" spans="1:8" x14ac:dyDescent="0.25">
      <c r="A1746" t="str">
        <f>"&lt;nominal&gt;" &amp;$D$1745&amp;"&lt;/nominal&gt;"</f>
        <v>&lt;nominal&gt;0&lt;/nominal&gt;</v>
      </c>
      <c r="B1746" t="s">
        <v>2945</v>
      </c>
    </row>
    <row r="1747" spans="1:8" x14ac:dyDescent="0.25">
      <c r="A1747" t="str">
        <f>"&lt;lifetime&gt;" &amp;$E$1745&amp;"&lt;/lifetime&gt;"</f>
        <v>&lt;lifetime&gt;5600&lt;/lifetime&gt;</v>
      </c>
      <c r="B1747" t="s">
        <v>2945</v>
      </c>
    </row>
    <row r="1748" spans="1:8" x14ac:dyDescent="0.25">
      <c r="A1748" t="str">
        <f>"&lt;restock&gt;" &amp;$F$1745&amp;"&lt;/restock&gt;"</f>
        <v>&lt;restock&gt;0&lt;/restock&gt;</v>
      </c>
      <c r="B1748" t="s">
        <v>2945</v>
      </c>
    </row>
    <row r="1749" spans="1:8" x14ac:dyDescent="0.25">
      <c r="A1749" t="str">
        <f>"&lt;min&gt;" &amp;$G$1745&amp;"&lt;/min&gt;"</f>
        <v>&lt;min&gt;0&lt;/min&gt;</v>
      </c>
      <c r="B1749" t="s">
        <v>2945</v>
      </c>
    </row>
    <row r="1750" spans="1:8" x14ac:dyDescent="0.25">
      <c r="A1750" t="s">
        <v>16</v>
      </c>
      <c r="B1750" t="s">
        <v>2945</v>
      </c>
    </row>
    <row r="1751" spans="1:8" x14ac:dyDescent="0.25">
      <c r="A1751" t="s">
        <v>17</v>
      </c>
      <c r="B1751" t="s">
        <v>2945</v>
      </c>
    </row>
    <row r="1752" spans="1:8" x14ac:dyDescent="0.25">
      <c r="A1752" t="s">
        <v>18</v>
      </c>
      <c r="B1752" t="s">
        <v>2945</v>
      </c>
    </row>
    <row r="1753" spans="1:8" x14ac:dyDescent="0.25">
      <c r="A1753" t="str">
        <f xml:space="preserve"> $H$1745</f>
        <v>&lt;flags count_in_cargo="0" count_in_hoarder="0" count_in_map="1" count_in_player="0" crafted="1" deloot="0"/&gt;</v>
      </c>
      <c r="B1753" t="s">
        <v>2945</v>
      </c>
    </row>
    <row r="1754" spans="1:8" x14ac:dyDescent="0.25">
      <c r="A1754" t="str">
        <f>"&lt;category name=" &amp;"""" &amp;$C$1745&amp;"""/&gt;"</f>
        <v>&lt;category name="clothes"/&gt;</v>
      </c>
      <c r="B1754" t="s">
        <v>2945</v>
      </c>
    </row>
    <row r="1755" spans="1:8" x14ac:dyDescent="0.25">
      <c r="A1755" t="s">
        <v>22</v>
      </c>
      <c r="B1755" t="s">
        <v>2945</v>
      </c>
    </row>
    <row r="1756" spans="1:8" x14ac:dyDescent="0.25">
      <c r="A1756" t="s">
        <v>1538</v>
      </c>
      <c r="B1756" t="s">
        <v>425</v>
      </c>
      <c r="C1756" t="s">
        <v>403</v>
      </c>
      <c r="D1756">
        <v>10</v>
      </c>
      <c r="E1756">
        <v>5600</v>
      </c>
      <c r="F1756">
        <v>1800</v>
      </c>
      <c r="G1756">
        <v>4</v>
      </c>
      <c r="H1756" t="s">
        <v>19</v>
      </c>
    </row>
    <row r="1757" spans="1:8" x14ac:dyDescent="0.25">
      <c r="A1757" t="str">
        <f>"&lt;nominal&gt;" &amp;$D$1756&amp;"&lt;/nominal&gt;"</f>
        <v>&lt;nominal&gt;10&lt;/nominal&gt;</v>
      </c>
      <c r="B1757" t="s">
        <v>425</v>
      </c>
    </row>
    <row r="1758" spans="1:8" x14ac:dyDescent="0.25">
      <c r="A1758" t="str">
        <f>"&lt;lifetime&gt;" &amp;$E$1756&amp;"&lt;/lifetime&gt;"</f>
        <v>&lt;lifetime&gt;5600&lt;/lifetime&gt;</v>
      </c>
      <c r="B1758" t="s">
        <v>425</v>
      </c>
    </row>
    <row r="1759" spans="1:8" x14ac:dyDescent="0.25">
      <c r="A1759" t="str">
        <f>"&lt;restock&gt;" &amp;$F$1756&amp;"&lt;/restock&gt;"</f>
        <v>&lt;restock&gt;1800&lt;/restock&gt;</v>
      </c>
      <c r="B1759" t="s">
        <v>425</v>
      </c>
    </row>
    <row r="1760" spans="1:8" x14ac:dyDescent="0.25">
      <c r="A1760" t="str">
        <f>"&lt;min&gt;" &amp;$G$1756&amp;"&lt;/min&gt;"</f>
        <v>&lt;min&gt;4&lt;/min&gt;</v>
      </c>
      <c r="B1760" t="s">
        <v>425</v>
      </c>
    </row>
    <row r="1761" spans="1:8" x14ac:dyDescent="0.25">
      <c r="A1761" t="s">
        <v>16</v>
      </c>
      <c r="B1761" t="s">
        <v>425</v>
      </c>
    </row>
    <row r="1762" spans="1:8" x14ac:dyDescent="0.25">
      <c r="A1762" t="s">
        <v>17</v>
      </c>
      <c r="B1762" t="s">
        <v>425</v>
      </c>
    </row>
    <row r="1763" spans="1:8" x14ac:dyDescent="0.25">
      <c r="A1763" t="s">
        <v>18</v>
      </c>
      <c r="B1763" t="s">
        <v>425</v>
      </c>
    </row>
    <row r="1764" spans="1:8" x14ac:dyDescent="0.25">
      <c r="A1764" t="str">
        <f xml:space="preserve"> $H$1756</f>
        <v>&lt;flags count_in_cargo="0" count_in_hoarder="0" count_in_map="1" count_in_player="0" crafted="0" deloot="0"/&gt;</v>
      </c>
      <c r="B1764" t="s">
        <v>425</v>
      </c>
    </row>
    <row r="1765" spans="1:8" x14ac:dyDescent="0.25">
      <c r="A1765" t="str">
        <f>"&lt;category name=" &amp;"""" &amp;$C$1756&amp;"""/&gt;"</f>
        <v>&lt;category name="clothes"/&gt;</v>
      </c>
      <c r="B1765" t="s">
        <v>425</v>
      </c>
    </row>
    <row r="1766" spans="1:8" x14ac:dyDescent="0.25">
      <c r="A1766" t="s">
        <v>29</v>
      </c>
      <c r="B1766" t="s">
        <v>425</v>
      </c>
    </row>
    <row r="1767" spans="1:8" x14ac:dyDescent="0.25">
      <c r="A1767" t="s">
        <v>22</v>
      </c>
      <c r="B1767" t="s">
        <v>425</v>
      </c>
    </row>
    <row r="1768" spans="1:8" x14ac:dyDescent="0.25">
      <c r="A1768" t="s">
        <v>1539</v>
      </c>
      <c r="B1768" t="s">
        <v>3648</v>
      </c>
      <c r="C1768" t="s">
        <v>426</v>
      </c>
      <c r="D1768">
        <v>35</v>
      </c>
      <c r="E1768">
        <v>2700</v>
      </c>
      <c r="F1768">
        <v>0</v>
      </c>
      <c r="G1768">
        <v>20</v>
      </c>
      <c r="H1768" t="s">
        <v>19</v>
      </c>
    </row>
    <row r="1769" spans="1:8" x14ac:dyDescent="0.25">
      <c r="A1769" t="str">
        <f>"&lt;nominal&gt;" &amp;$D$1768&amp;"&lt;/nominal&gt;"</f>
        <v>&lt;nominal&gt;35&lt;/nominal&gt;</v>
      </c>
      <c r="B1769" t="s">
        <v>3648</v>
      </c>
    </row>
    <row r="1770" spans="1:8" x14ac:dyDescent="0.25">
      <c r="A1770" t="str">
        <f>"&lt;lifetime&gt;" &amp;$E$1768&amp;"&lt;/lifetime&gt;"</f>
        <v>&lt;lifetime&gt;2700&lt;/lifetime&gt;</v>
      </c>
      <c r="B1770" t="s">
        <v>3648</v>
      </c>
    </row>
    <row r="1771" spans="1:8" x14ac:dyDescent="0.25">
      <c r="A1771" t="str">
        <f>"&lt;restock&gt;" &amp;$F$1768&amp;"&lt;/restock&gt;"</f>
        <v>&lt;restock&gt;0&lt;/restock&gt;</v>
      </c>
      <c r="B1771" t="s">
        <v>3648</v>
      </c>
    </row>
    <row r="1772" spans="1:8" x14ac:dyDescent="0.25">
      <c r="A1772" t="str">
        <f>"&lt;min&gt;" &amp;$G$1768&amp;"&lt;/min&gt;"</f>
        <v>&lt;min&gt;20&lt;/min&gt;</v>
      </c>
      <c r="B1772" t="s">
        <v>3648</v>
      </c>
    </row>
    <row r="1773" spans="1:8" x14ac:dyDescent="0.25">
      <c r="A1773" t="s">
        <v>16</v>
      </c>
      <c r="B1773" t="s">
        <v>3648</v>
      </c>
    </row>
    <row r="1774" spans="1:8" x14ac:dyDescent="0.25">
      <c r="A1774" t="s">
        <v>17</v>
      </c>
      <c r="B1774" t="s">
        <v>3648</v>
      </c>
    </row>
    <row r="1775" spans="1:8" x14ac:dyDescent="0.25">
      <c r="A1775" t="s">
        <v>18</v>
      </c>
      <c r="B1775" t="s">
        <v>3648</v>
      </c>
    </row>
    <row r="1776" spans="1:8" x14ac:dyDescent="0.25">
      <c r="A1776" t="str">
        <f xml:space="preserve"> $H$1768</f>
        <v>&lt;flags count_in_cargo="0" count_in_hoarder="0" count_in_map="1" count_in_player="0" crafted="0" deloot="0"/&gt;</v>
      </c>
      <c r="B1776" t="s">
        <v>3648</v>
      </c>
    </row>
    <row r="1777" spans="1:8" x14ac:dyDescent="0.25">
      <c r="A1777" t="str">
        <f>"&lt;category name=" &amp;"""" &amp;$C$1768&amp;"""/&gt;"</f>
        <v>&lt;category name="tools"/&gt;</v>
      </c>
      <c r="B1777" t="s">
        <v>3648</v>
      </c>
    </row>
    <row r="1778" spans="1:8" x14ac:dyDescent="0.25">
      <c r="A1778" t="s">
        <v>20</v>
      </c>
      <c r="B1778" t="s">
        <v>3648</v>
      </c>
    </row>
    <row r="1779" spans="1:8" x14ac:dyDescent="0.25">
      <c r="A1779" t="s">
        <v>21</v>
      </c>
      <c r="B1779" t="s">
        <v>3648</v>
      </c>
    </row>
    <row r="1780" spans="1:8" x14ac:dyDescent="0.25">
      <c r="A1780" t="s">
        <v>22</v>
      </c>
      <c r="B1780" t="s">
        <v>3648</v>
      </c>
    </row>
    <row r="1781" spans="1:8" x14ac:dyDescent="0.25">
      <c r="A1781" t="s">
        <v>1540</v>
      </c>
      <c r="B1781" t="s">
        <v>427</v>
      </c>
      <c r="C1781" t="s">
        <v>426</v>
      </c>
      <c r="D1781">
        <v>40</v>
      </c>
      <c r="E1781">
        <v>5600</v>
      </c>
      <c r="F1781">
        <v>0</v>
      </c>
      <c r="G1781">
        <v>25</v>
      </c>
      <c r="H1781" t="s">
        <v>19</v>
      </c>
    </row>
    <row r="1782" spans="1:8" x14ac:dyDescent="0.25">
      <c r="A1782" t="str">
        <f>"&lt;nominal&gt;" &amp;$D$1781&amp;"&lt;/nominal&gt;"</f>
        <v>&lt;nominal&gt;40&lt;/nominal&gt;</v>
      </c>
      <c r="B1782" t="s">
        <v>427</v>
      </c>
    </row>
    <row r="1783" spans="1:8" x14ac:dyDescent="0.25">
      <c r="A1783" t="str">
        <f>"&lt;lifetime&gt;" &amp;$E$1781&amp;"&lt;/lifetime&gt;"</f>
        <v>&lt;lifetime&gt;5600&lt;/lifetime&gt;</v>
      </c>
      <c r="B1783" t="s">
        <v>427</v>
      </c>
    </row>
    <row r="1784" spans="1:8" x14ac:dyDescent="0.25">
      <c r="A1784" t="str">
        <f>"&lt;restock&gt;" &amp;$F$1781&amp;"&lt;/restock&gt;"</f>
        <v>&lt;restock&gt;0&lt;/restock&gt;</v>
      </c>
      <c r="B1784" t="s">
        <v>427</v>
      </c>
    </row>
    <row r="1785" spans="1:8" x14ac:dyDescent="0.25">
      <c r="A1785" t="str">
        <f>"&lt;min&gt;" &amp;$G$1781&amp;"&lt;/min&gt;"</f>
        <v>&lt;min&gt;25&lt;/min&gt;</v>
      </c>
      <c r="B1785" t="s">
        <v>427</v>
      </c>
    </row>
    <row r="1786" spans="1:8" x14ac:dyDescent="0.25">
      <c r="A1786" t="s">
        <v>16</v>
      </c>
      <c r="B1786" t="s">
        <v>427</v>
      </c>
    </row>
    <row r="1787" spans="1:8" x14ac:dyDescent="0.25">
      <c r="A1787" t="s">
        <v>17</v>
      </c>
      <c r="B1787" t="s">
        <v>427</v>
      </c>
    </row>
    <row r="1788" spans="1:8" x14ac:dyDescent="0.25">
      <c r="A1788" t="s">
        <v>18</v>
      </c>
      <c r="B1788" t="s">
        <v>427</v>
      </c>
    </row>
    <row r="1789" spans="1:8" x14ac:dyDescent="0.25">
      <c r="A1789" t="str">
        <f xml:space="preserve"> $H$1781</f>
        <v>&lt;flags count_in_cargo="0" count_in_hoarder="0" count_in_map="1" count_in_player="0" crafted="0" deloot="0"/&gt;</v>
      </c>
      <c r="B1789" t="s">
        <v>427</v>
      </c>
    </row>
    <row r="1790" spans="1:8" x14ac:dyDescent="0.25">
      <c r="A1790" t="str">
        <f>"&lt;category name=" &amp;"""" &amp;$C$1781&amp;"""/&gt;"</f>
        <v>&lt;category name="tools"/&gt;</v>
      </c>
      <c r="B1790" t="s">
        <v>427</v>
      </c>
    </row>
    <row r="1791" spans="1:8" x14ac:dyDescent="0.25">
      <c r="A1791" t="s">
        <v>20</v>
      </c>
      <c r="B1791" t="s">
        <v>427</v>
      </c>
    </row>
    <row r="1792" spans="1:8" x14ac:dyDescent="0.25">
      <c r="A1792" t="s">
        <v>21</v>
      </c>
      <c r="B1792" t="s">
        <v>427</v>
      </c>
    </row>
    <row r="1793" spans="1:8" x14ac:dyDescent="0.25">
      <c r="A1793" t="s">
        <v>22</v>
      </c>
      <c r="B1793" t="s">
        <v>427</v>
      </c>
    </row>
    <row r="1794" spans="1:8" x14ac:dyDescent="0.25">
      <c r="A1794" t="s">
        <v>1541</v>
      </c>
      <c r="B1794" t="s">
        <v>2946</v>
      </c>
      <c r="C1794" t="s">
        <v>403</v>
      </c>
      <c r="D1794">
        <v>0</v>
      </c>
      <c r="E1794">
        <v>180</v>
      </c>
      <c r="F1794">
        <v>0</v>
      </c>
      <c r="G1794">
        <v>0</v>
      </c>
      <c r="H1794" t="s">
        <v>62</v>
      </c>
    </row>
    <row r="1795" spans="1:8" x14ac:dyDescent="0.25">
      <c r="A1795" t="str">
        <f>"&lt;nominal&gt;" &amp;$D$1794&amp;"&lt;/nominal&gt;"</f>
        <v>&lt;nominal&gt;0&lt;/nominal&gt;</v>
      </c>
      <c r="B1795" t="s">
        <v>2946</v>
      </c>
    </row>
    <row r="1796" spans="1:8" x14ac:dyDescent="0.25">
      <c r="A1796" t="str">
        <f>"&lt;lifetime&gt;" &amp;$E$1794&amp;"&lt;/lifetime&gt;"</f>
        <v>&lt;lifetime&gt;180&lt;/lifetime&gt;</v>
      </c>
      <c r="B1796" t="s">
        <v>2946</v>
      </c>
    </row>
    <row r="1797" spans="1:8" x14ac:dyDescent="0.25">
      <c r="A1797" t="str">
        <f>"&lt;restock&gt;" &amp;$F$1794&amp;"&lt;/restock&gt;"</f>
        <v>&lt;restock&gt;0&lt;/restock&gt;</v>
      </c>
      <c r="B1797" t="s">
        <v>2946</v>
      </c>
    </row>
    <row r="1798" spans="1:8" x14ac:dyDescent="0.25">
      <c r="A1798" t="str">
        <f>"&lt;min&gt;" &amp;$G$1794&amp;"&lt;/min&gt;"</f>
        <v>&lt;min&gt;0&lt;/min&gt;</v>
      </c>
      <c r="B1798" t="s">
        <v>2946</v>
      </c>
    </row>
    <row r="1799" spans="1:8" x14ac:dyDescent="0.25">
      <c r="A1799" t="s">
        <v>16</v>
      </c>
      <c r="B1799" t="s">
        <v>2946</v>
      </c>
    </row>
    <row r="1800" spans="1:8" x14ac:dyDescent="0.25">
      <c r="A1800" t="s">
        <v>17</v>
      </c>
      <c r="B1800" t="s">
        <v>2946</v>
      </c>
    </row>
    <row r="1801" spans="1:8" x14ac:dyDescent="0.25">
      <c r="A1801" t="s">
        <v>18</v>
      </c>
      <c r="B1801" t="s">
        <v>2946</v>
      </c>
    </row>
    <row r="1802" spans="1:8" x14ac:dyDescent="0.25">
      <c r="A1802" t="str">
        <f xml:space="preserve"> $H$1794</f>
        <v>&lt;flags count_in_cargo="0" count_in_hoarder="0" count_in_map="1" count_in_player="0" crafted="1" deloot="0"/&gt;</v>
      </c>
      <c r="B1802" t="s">
        <v>2946</v>
      </c>
    </row>
    <row r="1803" spans="1:8" x14ac:dyDescent="0.25">
      <c r="A1803" t="str">
        <f>"&lt;category name=" &amp;"""" &amp;$C$1794&amp;"""/&gt;"</f>
        <v>&lt;category name="clothes"/&gt;</v>
      </c>
      <c r="B1803" t="s">
        <v>2946</v>
      </c>
    </row>
    <row r="1804" spans="1:8" x14ac:dyDescent="0.25">
      <c r="A1804" t="s">
        <v>22</v>
      </c>
      <c r="B1804" t="s">
        <v>2946</v>
      </c>
    </row>
    <row r="1805" spans="1:8" x14ac:dyDescent="0.25">
      <c r="A1805" t="s">
        <v>1542</v>
      </c>
      <c r="B1805" t="s">
        <v>2947</v>
      </c>
      <c r="C1805" t="s">
        <v>403</v>
      </c>
      <c r="D1805">
        <v>0</v>
      </c>
      <c r="E1805">
        <v>180</v>
      </c>
      <c r="F1805">
        <v>0</v>
      </c>
      <c r="G1805">
        <v>0</v>
      </c>
      <c r="H1805" t="s">
        <v>62</v>
      </c>
    </row>
    <row r="1806" spans="1:8" x14ac:dyDescent="0.25">
      <c r="A1806" t="str">
        <f>"&lt;nominal&gt;" &amp;$D$1805&amp;"&lt;/nominal&gt;"</f>
        <v>&lt;nominal&gt;0&lt;/nominal&gt;</v>
      </c>
      <c r="B1806" t="s">
        <v>2947</v>
      </c>
    </row>
    <row r="1807" spans="1:8" x14ac:dyDescent="0.25">
      <c r="A1807" t="str">
        <f>"&lt;lifetime&gt;" &amp;$E$1805&amp;"&lt;/lifetime&gt;"</f>
        <v>&lt;lifetime&gt;180&lt;/lifetime&gt;</v>
      </c>
      <c r="B1807" t="s">
        <v>2947</v>
      </c>
    </row>
    <row r="1808" spans="1:8" x14ac:dyDescent="0.25">
      <c r="A1808" t="str">
        <f>"&lt;restock&gt;" &amp;$F$1805&amp;"&lt;/restock&gt;"</f>
        <v>&lt;restock&gt;0&lt;/restock&gt;</v>
      </c>
      <c r="B1808" t="s">
        <v>2947</v>
      </c>
    </row>
    <row r="1809" spans="1:8" x14ac:dyDescent="0.25">
      <c r="A1809" t="str">
        <f>"&lt;min&gt;" &amp;$G$1805&amp;"&lt;/min&gt;"</f>
        <v>&lt;min&gt;0&lt;/min&gt;</v>
      </c>
      <c r="B1809" t="s">
        <v>2947</v>
      </c>
    </row>
    <row r="1810" spans="1:8" x14ac:dyDescent="0.25">
      <c r="A1810" t="s">
        <v>16</v>
      </c>
      <c r="B1810" t="s">
        <v>2947</v>
      </c>
    </row>
    <row r="1811" spans="1:8" x14ac:dyDescent="0.25">
      <c r="A1811" t="s">
        <v>17</v>
      </c>
      <c r="B1811" t="s">
        <v>2947</v>
      </c>
    </row>
    <row r="1812" spans="1:8" x14ac:dyDescent="0.25">
      <c r="A1812" t="s">
        <v>18</v>
      </c>
      <c r="B1812" t="s">
        <v>2947</v>
      </c>
    </row>
    <row r="1813" spans="1:8" x14ac:dyDescent="0.25">
      <c r="A1813" t="str">
        <f xml:space="preserve"> $H$1805</f>
        <v>&lt;flags count_in_cargo="0" count_in_hoarder="0" count_in_map="1" count_in_player="0" crafted="1" deloot="0"/&gt;</v>
      </c>
      <c r="B1813" t="s">
        <v>2947</v>
      </c>
    </row>
    <row r="1814" spans="1:8" x14ac:dyDescent="0.25">
      <c r="A1814" t="str">
        <f>"&lt;category name=" &amp;"""" &amp;$C$1805&amp;"""/&gt;"</f>
        <v>&lt;category name="clothes"/&gt;</v>
      </c>
      <c r="B1814" t="s">
        <v>2947</v>
      </c>
    </row>
    <row r="1815" spans="1:8" x14ac:dyDescent="0.25">
      <c r="A1815" t="s">
        <v>22</v>
      </c>
      <c r="B1815" t="s">
        <v>2947</v>
      </c>
    </row>
    <row r="1816" spans="1:8" x14ac:dyDescent="0.25">
      <c r="A1816" t="s">
        <v>1543</v>
      </c>
      <c r="B1816" t="s">
        <v>2948</v>
      </c>
      <c r="C1816" t="s">
        <v>403</v>
      </c>
      <c r="D1816">
        <v>0</v>
      </c>
      <c r="E1816">
        <v>180</v>
      </c>
      <c r="F1816">
        <v>0</v>
      </c>
      <c r="G1816">
        <v>0</v>
      </c>
      <c r="H1816" t="s">
        <v>62</v>
      </c>
    </row>
    <row r="1817" spans="1:8" x14ac:dyDescent="0.25">
      <c r="A1817" t="str">
        <f>"&lt;nominal&gt;" &amp;$D$1816&amp;"&lt;/nominal&gt;"</f>
        <v>&lt;nominal&gt;0&lt;/nominal&gt;</v>
      </c>
      <c r="B1817" t="s">
        <v>2948</v>
      </c>
    </row>
    <row r="1818" spans="1:8" x14ac:dyDescent="0.25">
      <c r="A1818" t="str">
        <f>"&lt;lifetime&gt;" &amp;$E$1816&amp;"&lt;/lifetime&gt;"</f>
        <v>&lt;lifetime&gt;180&lt;/lifetime&gt;</v>
      </c>
      <c r="B1818" t="s">
        <v>2948</v>
      </c>
    </row>
    <row r="1819" spans="1:8" x14ac:dyDescent="0.25">
      <c r="A1819" t="str">
        <f>"&lt;restock&gt;" &amp;$F$1816&amp;"&lt;/restock&gt;"</f>
        <v>&lt;restock&gt;0&lt;/restock&gt;</v>
      </c>
      <c r="B1819" t="s">
        <v>2948</v>
      </c>
    </row>
    <row r="1820" spans="1:8" x14ac:dyDescent="0.25">
      <c r="A1820" t="str">
        <f>"&lt;min&gt;" &amp;$G$1816&amp;"&lt;/min&gt;"</f>
        <v>&lt;min&gt;0&lt;/min&gt;</v>
      </c>
      <c r="B1820" t="s">
        <v>2948</v>
      </c>
    </row>
    <row r="1821" spans="1:8" x14ac:dyDescent="0.25">
      <c r="A1821" t="s">
        <v>16</v>
      </c>
      <c r="B1821" t="s">
        <v>2948</v>
      </c>
    </row>
    <row r="1822" spans="1:8" x14ac:dyDescent="0.25">
      <c r="A1822" t="s">
        <v>17</v>
      </c>
      <c r="B1822" t="s">
        <v>2948</v>
      </c>
    </row>
    <row r="1823" spans="1:8" x14ac:dyDescent="0.25">
      <c r="A1823" t="s">
        <v>18</v>
      </c>
      <c r="B1823" t="s">
        <v>2948</v>
      </c>
    </row>
    <row r="1824" spans="1:8" x14ac:dyDescent="0.25">
      <c r="A1824" t="str">
        <f xml:space="preserve"> $H$1816</f>
        <v>&lt;flags count_in_cargo="0" count_in_hoarder="0" count_in_map="1" count_in_player="0" crafted="1" deloot="0"/&gt;</v>
      </c>
      <c r="B1824" t="s">
        <v>2948</v>
      </c>
    </row>
    <row r="1825" spans="1:8" x14ac:dyDescent="0.25">
      <c r="A1825" t="str">
        <f>"&lt;category name=" &amp;"""" &amp;$C$1816&amp;"""/&gt;"</f>
        <v>&lt;category name="clothes"/&gt;</v>
      </c>
      <c r="B1825" t="s">
        <v>2948</v>
      </c>
    </row>
    <row r="1826" spans="1:8" x14ac:dyDescent="0.25">
      <c r="A1826" t="s">
        <v>22</v>
      </c>
      <c r="B1826" t="s">
        <v>2948</v>
      </c>
    </row>
    <row r="1827" spans="1:8" x14ac:dyDescent="0.25">
      <c r="A1827" t="s">
        <v>1544</v>
      </c>
      <c r="B1827" t="s">
        <v>2949</v>
      </c>
      <c r="C1827" t="s">
        <v>403</v>
      </c>
      <c r="D1827">
        <v>0</v>
      </c>
      <c r="E1827">
        <v>180</v>
      </c>
      <c r="F1827">
        <v>0</v>
      </c>
      <c r="G1827">
        <v>0</v>
      </c>
      <c r="H1827" t="s">
        <v>62</v>
      </c>
    </row>
    <row r="1828" spans="1:8" x14ac:dyDescent="0.25">
      <c r="A1828" t="str">
        <f>"&lt;nominal&gt;" &amp;$D$1827&amp;"&lt;/nominal&gt;"</f>
        <v>&lt;nominal&gt;0&lt;/nominal&gt;</v>
      </c>
      <c r="B1828" t="s">
        <v>2949</v>
      </c>
    </row>
    <row r="1829" spans="1:8" x14ac:dyDescent="0.25">
      <c r="A1829" t="str">
        <f>"&lt;lifetime&gt;" &amp;$E$1827&amp;"&lt;/lifetime&gt;"</f>
        <v>&lt;lifetime&gt;180&lt;/lifetime&gt;</v>
      </c>
      <c r="B1829" t="s">
        <v>2949</v>
      </c>
    </row>
    <row r="1830" spans="1:8" x14ac:dyDescent="0.25">
      <c r="A1830" t="str">
        <f>"&lt;restock&gt;" &amp;$F$1827&amp;"&lt;/restock&gt;"</f>
        <v>&lt;restock&gt;0&lt;/restock&gt;</v>
      </c>
      <c r="B1830" t="s">
        <v>2949</v>
      </c>
    </row>
    <row r="1831" spans="1:8" x14ac:dyDescent="0.25">
      <c r="A1831" t="str">
        <f>"&lt;min&gt;" &amp;$G$1827&amp;"&lt;/min&gt;"</f>
        <v>&lt;min&gt;0&lt;/min&gt;</v>
      </c>
      <c r="B1831" t="s">
        <v>2949</v>
      </c>
    </row>
    <row r="1832" spans="1:8" x14ac:dyDescent="0.25">
      <c r="A1832" t="s">
        <v>16</v>
      </c>
      <c r="B1832" t="s">
        <v>2949</v>
      </c>
    </row>
    <row r="1833" spans="1:8" x14ac:dyDescent="0.25">
      <c r="A1833" t="s">
        <v>17</v>
      </c>
      <c r="B1833" t="s">
        <v>2949</v>
      </c>
    </row>
    <row r="1834" spans="1:8" x14ac:dyDescent="0.25">
      <c r="A1834" t="s">
        <v>18</v>
      </c>
      <c r="B1834" t="s">
        <v>2949</v>
      </c>
    </row>
    <row r="1835" spans="1:8" x14ac:dyDescent="0.25">
      <c r="A1835" t="str">
        <f xml:space="preserve"> $H$1827</f>
        <v>&lt;flags count_in_cargo="0" count_in_hoarder="0" count_in_map="1" count_in_player="0" crafted="1" deloot="0"/&gt;</v>
      </c>
      <c r="B1835" t="s">
        <v>2949</v>
      </c>
    </row>
    <row r="1836" spans="1:8" x14ac:dyDescent="0.25">
      <c r="A1836" t="str">
        <f>"&lt;category name=" &amp;"""" &amp;$C$1827&amp;"""/&gt;"</f>
        <v>&lt;category name="clothes"/&gt;</v>
      </c>
      <c r="B1836" t="s">
        <v>2949</v>
      </c>
    </row>
    <row r="1837" spans="1:8" x14ac:dyDescent="0.25">
      <c r="A1837" t="s">
        <v>22</v>
      </c>
      <c r="B1837" t="s">
        <v>2949</v>
      </c>
    </row>
    <row r="1838" spans="1:8" x14ac:dyDescent="0.25">
      <c r="A1838" t="s">
        <v>1545</v>
      </c>
      <c r="B1838" t="s">
        <v>2950</v>
      </c>
      <c r="C1838" t="s">
        <v>403</v>
      </c>
      <c r="D1838">
        <v>0</v>
      </c>
      <c r="E1838">
        <v>180</v>
      </c>
      <c r="F1838">
        <v>0</v>
      </c>
      <c r="G1838">
        <v>0</v>
      </c>
      <c r="H1838" t="s">
        <v>62</v>
      </c>
    </row>
    <row r="1839" spans="1:8" x14ac:dyDescent="0.25">
      <c r="A1839" t="str">
        <f>"&lt;nominal&gt;" &amp;$D$1838&amp;"&lt;/nominal&gt;"</f>
        <v>&lt;nominal&gt;0&lt;/nominal&gt;</v>
      </c>
      <c r="B1839" t="s">
        <v>2950</v>
      </c>
    </row>
    <row r="1840" spans="1:8" x14ac:dyDescent="0.25">
      <c r="A1840" t="str">
        <f>"&lt;lifetime&gt;" &amp;$E$1838&amp;"&lt;/lifetime&gt;"</f>
        <v>&lt;lifetime&gt;180&lt;/lifetime&gt;</v>
      </c>
      <c r="B1840" t="s">
        <v>2950</v>
      </c>
    </row>
    <row r="1841" spans="1:8" x14ac:dyDescent="0.25">
      <c r="A1841" t="str">
        <f>"&lt;restock&gt;" &amp;$F$1838&amp;"&lt;/restock&gt;"</f>
        <v>&lt;restock&gt;0&lt;/restock&gt;</v>
      </c>
      <c r="B1841" t="s">
        <v>2950</v>
      </c>
    </row>
    <row r="1842" spans="1:8" x14ac:dyDescent="0.25">
      <c r="A1842" t="str">
        <f>"&lt;min&gt;" &amp;$G$1838&amp;"&lt;/min&gt;"</f>
        <v>&lt;min&gt;0&lt;/min&gt;</v>
      </c>
      <c r="B1842" t="s">
        <v>2950</v>
      </c>
    </row>
    <row r="1843" spans="1:8" x14ac:dyDescent="0.25">
      <c r="A1843" t="s">
        <v>16</v>
      </c>
      <c r="B1843" t="s">
        <v>2950</v>
      </c>
    </row>
    <row r="1844" spans="1:8" x14ac:dyDescent="0.25">
      <c r="A1844" t="s">
        <v>17</v>
      </c>
      <c r="B1844" t="s">
        <v>2950</v>
      </c>
    </row>
    <row r="1845" spans="1:8" x14ac:dyDescent="0.25">
      <c r="A1845" t="s">
        <v>18</v>
      </c>
      <c r="B1845" t="s">
        <v>2950</v>
      </c>
    </row>
    <row r="1846" spans="1:8" x14ac:dyDescent="0.25">
      <c r="A1846" t="str">
        <f xml:space="preserve"> $H$1838</f>
        <v>&lt;flags count_in_cargo="0" count_in_hoarder="0" count_in_map="1" count_in_player="0" crafted="1" deloot="0"/&gt;</v>
      </c>
      <c r="B1846" t="s">
        <v>2950</v>
      </c>
    </row>
    <row r="1847" spans="1:8" x14ac:dyDescent="0.25">
      <c r="A1847" t="str">
        <f>"&lt;category name=" &amp;"""" &amp;$C$1838&amp;"""/&gt;"</f>
        <v>&lt;category name="clothes"/&gt;</v>
      </c>
      <c r="B1847" t="s">
        <v>2950</v>
      </c>
    </row>
    <row r="1848" spans="1:8" x14ac:dyDescent="0.25">
      <c r="A1848" t="s">
        <v>22</v>
      </c>
      <c r="B1848" t="s">
        <v>2950</v>
      </c>
    </row>
    <row r="1849" spans="1:8" x14ac:dyDescent="0.25">
      <c r="A1849" t="s">
        <v>1546</v>
      </c>
      <c r="B1849" t="s">
        <v>428</v>
      </c>
      <c r="C1849" t="s">
        <v>403</v>
      </c>
      <c r="D1849">
        <v>15</v>
      </c>
      <c r="E1849">
        <v>1800</v>
      </c>
      <c r="F1849">
        <v>0</v>
      </c>
      <c r="G1849">
        <v>5</v>
      </c>
      <c r="H1849" t="s">
        <v>19</v>
      </c>
    </row>
    <row r="1850" spans="1:8" x14ac:dyDescent="0.25">
      <c r="A1850" t="str">
        <f>"&lt;nominal&gt;" &amp;$D$1849&amp;"&lt;/nominal&gt;"</f>
        <v>&lt;nominal&gt;15&lt;/nominal&gt;</v>
      </c>
      <c r="B1850" t="s">
        <v>428</v>
      </c>
    </row>
    <row r="1851" spans="1:8" x14ac:dyDescent="0.25">
      <c r="A1851" t="str">
        <f>"&lt;lifetime&gt;" &amp;$E$1849&amp;"&lt;/lifetime&gt;"</f>
        <v>&lt;lifetime&gt;1800&lt;/lifetime&gt;</v>
      </c>
      <c r="B1851" t="s">
        <v>428</v>
      </c>
    </row>
    <row r="1852" spans="1:8" x14ac:dyDescent="0.25">
      <c r="A1852" t="str">
        <f>"&lt;restock&gt;" &amp;$F$1849&amp;"&lt;/restock&gt;"</f>
        <v>&lt;restock&gt;0&lt;/restock&gt;</v>
      </c>
      <c r="B1852" t="s">
        <v>428</v>
      </c>
    </row>
    <row r="1853" spans="1:8" x14ac:dyDescent="0.25">
      <c r="A1853" t="str">
        <f>"&lt;min&gt;" &amp;$G$1849&amp;"&lt;/min&gt;"</f>
        <v>&lt;min&gt;5&lt;/min&gt;</v>
      </c>
      <c r="B1853" t="s">
        <v>428</v>
      </c>
    </row>
    <row r="1854" spans="1:8" x14ac:dyDescent="0.25">
      <c r="A1854" t="s">
        <v>16</v>
      </c>
      <c r="B1854" t="s">
        <v>428</v>
      </c>
    </row>
    <row r="1855" spans="1:8" x14ac:dyDescent="0.25">
      <c r="A1855" t="s">
        <v>17</v>
      </c>
      <c r="B1855" t="s">
        <v>428</v>
      </c>
    </row>
    <row r="1856" spans="1:8" x14ac:dyDescent="0.25">
      <c r="A1856" t="s">
        <v>18</v>
      </c>
      <c r="B1856" t="s">
        <v>428</v>
      </c>
    </row>
    <row r="1857" spans="1:8" x14ac:dyDescent="0.25">
      <c r="A1857" t="str">
        <f xml:space="preserve"> $H$1849</f>
        <v>&lt;flags count_in_cargo="0" count_in_hoarder="0" count_in_map="1" count_in_player="0" crafted="0" deloot="0"/&gt;</v>
      </c>
      <c r="B1857" t="s">
        <v>428</v>
      </c>
    </row>
    <row r="1858" spans="1:8" x14ac:dyDescent="0.25">
      <c r="A1858" t="str">
        <f>"&lt;category name=" &amp;"""" &amp;$C$1849&amp;"""/&gt;"</f>
        <v>&lt;category name="clothes"/&gt;</v>
      </c>
      <c r="B1858" t="s">
        <v>428</v>
      </c>
    </row>
    <row r="1859" spans="1:8" x14ac:dyDescent="0.25">
      <c r="A1859" t="s">
        <v>39</v>
      </c>
      <c r="B1859" t="s">
        <v>428</v>
      </c>
    </row>
    <row r="1860" spans="1:8" x14ac:dyDescent="0.25">
      <c r="A1860" t="s">
        <v>40</v>
      </c>
      <c r="B1860" t="s">
        <v>428</v>
      </c>
    </row>
    <row r="1861" spans="1:8" x14ac:dyDescent="0.25">
      <c r="A1861" t="s">
        <v>22</v>
      </c>
      <c r="B1861" t="s">
        <v>428</v>
      </c>
    </row>
    <row r="1862" spans="1:8" x14ac:dyDescent="0.25">
      <c r="A1862" t="s">
        <v>1547</v>
      </c>
      <c r="B1862" t="s">
        <v>429</v>
      </c>
      <c r="C1862" t="s">
        <v>403</v>
      </c>
      <c r="D1862">
        <v>15</v>
      </c>
      <c r="E1862">
        <v>1800</v>
      </c>
      <c r="F1862">
        <v>0</v>
      </c>
      <c r="G1862">
        <v>5</v>
      </c>
      <c r="H1862" t="s">
        <v>19</v>
      </c>
    </row>
    <row r="1863" spans="1:8" x14ac:dyDescent="0.25">
      <c r="A1863" t="str">
        <f>"&lt;nominal&gt;" &amp;$D$1862&amp;"&lt;/nominal&gt;"</f>
        <v>&lt;nominal&gt;15&lt;/nominal&gt;</v>
      </c>
      <c r="B1863" t="s">
        <v>429</v>
      </c>
    </row>
    <row r="1864" spans="1:8" x14ac:dyDescent="0.25">
      <c r="A1864" t="str">
        <f>"&lt;lifetime&gt;" &amp;$E$1862&amp;"&lt;/lifetime&gt;"</f>
        <v>&lt;lifetime&gt;1800&lt;/lifetime&gt;</v>
      </c>
      <c r="B1864" t="s">
        <v>429</v>
      </c>
    </row>
    <row r="1865" spans="1:8" x14ac:dyDescent="0.25">
      <c r="A1865" t="str">
        <f>"&lt;restock&gt;" &amp;$F$1862&amp;"&lt;/restock&gt;"</f>
        <v>&lt;restock&gt;0&lt;/restock&gt;</v>
      </c>
      <c r="B1865" t="s">
        <v>429</v>
      </c>
    </row>
    <row r="1866" spans="1:8" x14ac:dyDescent="0.25">
      <c r="A1866" t="str">
        <f>"&lt;min&gt;" &amp;$G$1862&amp;"&lt;/min&gt;"</f>
        <v>&lt;min&gt;5&lt;/min&gt;</v>
      </c>
      <c r="B1866" t="s">
        <v>429</v>
      </c>
    </row>
    <row r="1867" spans="1:8" x14ac:dyDescent="0.25">
      <c r="A1867" t="s">
        <v>16</v>
      </c>
      <c r="B1867" t="s">
        <v>429</v>
      </c>
    </row>
    <row r="1868" spans="1:8" x14ac:dyDescent="0.25">
      <c r="A1868" t="s">
        <v>17</v>
      </c>
      <c r="B1868" t="s">
        <v>429</v>
      </c>
    </row>
    <row r="1869" spans="1:8" x14ac:dyDescent="0.25">
      <c r="A1869" t="s">
        <v>18</v>
      </c>
      <c r="B1869" t="s">
        <v>429</v>
      </c>
    </row>
    <row r="1870" spans="1:8" x14ac:dyDescent="0.25">
      <c r="A1870" t="str">
        <f xml:space="preserve"> $H$1862</f>
        <v>&lt;flags count_in_cargo="0" count_in_hoarder="0" count_in_map="1" count_in_player="0" crafted="0" deloot="0"/&gt;</v>
      </c>
      <c r="B1870" t="s">
        <v>429</v>
      </c>
    </row>
    <row r="1871" spans="1:8" x14ac:dyDescent="0.25">
      <c r="A1871" t="str">
        <f>"&lt;category name=" &amp;"""" &amp;$C$1862&amp;"""/&gt;"</f>
        <v>&lt;category name="clothes"/&gt;</v>
      </c>
      <c r="B1871" t="s">
        <v>429</v>
      </c>
    </row>
    <row r="1872" spans="1:8" x14ac:dyDescent="0.25">
      <c r="A1872" t="s">
        <v>39</v>
      </c>
      <c r="B1872" t="s">
        <v>429</v>
      </c>
    </row>
    <row r="1873" spans="1:8" x14ac:dyDescent="0.25">
      <c r="A1873" t="s">
        <v>40</v>
      </c>
      <c r="B1873" t="s">
        <v>429</v>
      </c>
    </row>
    <row r="1874" spans="1:8" x14ac:dyDescent="0.25">
      <c r="A1874" t="s">
        <v>22</v>
      </c>
      <c r="B1874" t="s">
        <v>429</v>
      </c>
    </row>
    <row r="1875" spans="1:8" x14ac:dyDescent="0.25">
      <c r="A1875" t="s">
        <v>1548</v>
      </c>
      <c r="B1875" t="s">
        <v>430</v>
      </c>
      <c r="C1875" t="s">
        <v>403</v>
      </c>
      <c r="D1875">
        <v>15</v>
      </c>
      <c r="E1875">
        <v>1800</v>
      </c>
      <c r="F1875">
        <v>0</v>
      </c>
      <c r="G1875">
        <v>5</v>
      </c>
      <c r="H1875" t="s">
        <v>19</v>
      </c>
    </row>
    <row r="1876" spans="1:8" x14ac:dyDescent="0.25">
      <c r="A1876" t="str">
        <f>"&lt;nominal&gt;" &amp;$D$1875&amp;"&lt;/nominal&gt;"</f>
        <v>&lt;nominal&gt;15&lt;/nominal&gt;</v>
      </c>
      <c r="B1876" t="s">
        <v>430</v>
      </c>
    </row>
    <row r="1877" spans="1:8" x14ac:dyDescent="0.25">
      <c r="A1877" t="str">
        <f>"&lt;lifetime&gt;" &amp;$E$1875&amp;"&lt;/lifetime&gt;"</f>
        <v>&lt;lifetime&gt;1800&lt;/lifetime&gt;</v>
      </c>
      <c r="B1877" t="s">
        <v>430</v>
      </c>
    </row>
    <row r="1878" spans="1:8" x14ac:dyDescent="0.25">
      <c r="A1878" t="str">
        <f>"&lt;restock&gt;" &amp;$F$1875&amp;"&lt;/restock&gt;"</f>
        <v>&lt;restock&gt;0&lt;/restock&gt;</v>
      </c>
      <c r="B1878" t="s">
        <v>430</v>
      </c>
    </row>
    <row r="1879" spans="1:8" x14ac:dyDescent="0.25">
      <c r="A1879" t="str">
        <f>"&lt;min&gt;" &amp;$G$1875&amp;"&lt;/min&gt;"</f>
        <v>&lt;min&gt;5&lt;/min&gt;</v>
      </c>
      <c r="B1879" t="s">
        <v>430</v>
      </c>
    </row>
    <row r="1880" spans="1:8" x14ac:dyDescent="0.25">
      <c r="A1880" t="s">
        <v>16</v>
      </c>
      <c r="B1880" t="s">
        <v>430</v>
      </c>
    </row>
    <row r="1881" spans="1:8" x14ac:dyDescent="0.25">
      <c r="A1881" t="s">
        <v>17</v>
      </c>
      <c r="B1881" t="s">
        <v>430</v>
      </c>
    </row>
    <row r="1882" spans="1:8" x14ac:dyDescent="0.25">
      <c r="A1882" t="s">
        <v>18</v>
      </c>
      <c r="B1882" t="s">
        <v>430</v>
      </c>
    </row>
    <row r="1883" spans="1:8" x14ac:dyDescent="0.25">
      <c r="A1883" t="str">
        <f xml:space="preserve"> $H$1875</f>
        <v>&lt;flags count_in_cargo="0" count_in_hoarder="0" count_in_map="1" count_in_player="0" crafted="0" deloot="0"/&gt;</v>
      </c>
      <c r="B1883" t="s">
        <v>430</v>
      </c>
    </row>
    <row r="1884" spans="1:8" x14ac:dyDescent="0.25">
      <c r="A1884" t="str">
        <f>"&lt;category name=" &amp;"""" &amp;$C$1875&amp;"""/&gt;"</f>
        <v>&lt;category name="clothes"/&gt;</v>
      </c>
      <c r="B1884" t="s">
        <v>430</v>
      </c>
    </row>
    <row r="1885" spans="1:8" x14ac:dyDescent="0.25">
      <c r="A1885" t="s">
        <v>39</v>
      </c>
      <c r="B1885" t="s">
        <v>430</v>
      </c>
    </row>
    <row r="1886" spans="1:8" x14ac:dyDescent="0.25">
      <c r="A1886" t="s">
        <v>40</v>
      </c>
      <c r="B1886" t="s">
        <v>430</v>
      </c>
    </row>
    <row r="1887" spans="1:8" x14ac:dyDescent="0.25">
      <c r="A1887" t="s">
        <v>22</v>
      </c>
      <c r="B1887" t="s">
        <v>430</v>
      </c>
    </row>
    <row r="1888" spans="1:8" x14ac:dyDescent="0.25">
      <c r="A1888" t="s">
        <v>1549</v>
      </c>
      <c r="B1888" t="s">
        <v>431</v>
      </c>
      <c r="C1888" t="s">
        <v>403</v>
      </c>
      <c r="D1888">
        <v>15</v>
      </c>
      <c r="E1888">
        <v>1800</v>
      </c>
      <c r="F1888">
        <v>0</v>
      </c>
      <c r="G1888">
        <v>5</v>
      </c>
      <c r="H1888" t="s">
        <v>19</v>
      </c>
    </row>
    <row r="1889" spans="1:8" x14ac:dyDescent="0.25">
      <c r="A1889" t="str">
        <f>"&lt;nominal&gt;" &amp;$D$1888&amp;"&lt;/nominal&gt;"</f>
        <v>&lt;nominal&gt;15&lt;/nominal&gt;</v>
      </c>
      <c r="B1889" t="s">
        <v>431</v>
      </c>
    </row>
    <row r="1890" spans="1:8" x14ac:dyDescent="0.25">
      <c r="A1890" t="str">
        <f>"&lt;lifetime&gt;" &amp;$E$1888&amp;"&lt;/lifetime&gt;"</f>
        <v>&lt;lifetime&gt;1800&lt;/lifetime&gt;</v>
      </c>
      <c r="B1890" t="s">
        <v>431</v>
      </c>
    </row>
    <row r="1891" spans="1:8" x14ac:dyDescent="0.25">
      <c r="A1891" t="str">
        <f>"&lt;restock&gt;" &amp;$F$1888&amp;"&lt;/restock&gt;"</f>
        <v>&lt;restock&gt;0&lt;/restock&gt;</v>
      </c>
      <c r="B1891" t="s">
        <v>431</v>
      </c>
    </row>
    <row r="1892" spans="1:8" x14ac:dyDescent="0.25">
      <c r="A1892" t="str">
        <f>"&lt;min&gt;" &amp;$G$1888&amp;"&lt;/min&gt;"</f>
        <v>&lt;min&gt;5&lt;/min&gt;</v>
      </c>
      <c r="B1892" t="s">
        <v>431</v>
      </c>
    </row>
    <row r="1893" spans="1:8" x14ac:dyDescent="0.25">
      <c r="A1893" t="s">
        <v>16</v>
      </c>
      <c r="B1893" t="s">
        <v>431</v>
      </c>
    </row>
    <row r="1894" spans="1:8" x14ac:dyDescent="0.25">
      <c r="A1894" t="s">
        <v>17</v>
      </c>
      <c r="B1894" t="s">
        <v>431</v>
      </c>
    </row>
    <row r="1895" spans="1:8" x14ac:dyDescent="0.25">
      <c r="A1895" t="s">
        <v>18</v>
      </c>
      <c r="B1895" t="s">
        <v>431</v>
      </c>
    </row>
    <row r="1896" spans="1:8" x14ac:dyDescent="0.25">
      <c r="A1896" t="str">
        <f xml:space="preserve"> $H$1888</f>
        <v>&lt;flags count_in_cargo="0" count_in_hoarder="0" count_in_map="1" count_in_player="0" crafted="0" deloot="0"/&gt;</v>
      </c>
      <c r="B1896" t="s">
        <v>431</v>
      </c>
    </row>
    <row r="1897" spans="1:8" x14ac:dyDescent="0.25">
      <c r="A1897" t="str">
        <f>"&lt;category name=" &amp;"""" &amp;$C$1888&amp;"""/&gt;"</f>
        <v>&lt;category name="clothes"/&gt;</v>
      </c>
      <c r="B1897" t="s">
        <v>431</v>
      </c>
    </row>
    <row r="1898" spans="1:8" x14ac:dyDescent="0.25">
      <c r="A1898" t="s">
        <v>39</v>
      </c>
      <c r="B1898" t="s">
        <v>431</v>
      </c>
    </row>
    <row r="1899" spans="1:8" x14ac:dyDescent="0.25">
      <c r="A1899" t="s">
        <v>40</v>
      </c>
      <c r="B1899" t="s">
        <v>431</v>
      </c>
    </row>
    <row r="1900" spans="1:8" x14ac:dyDescent="0.25">
      <c r="A1900" t="s">
        <v>22</v>
      </c>
      <c r="B1900" t="s">
        <v>431</v>
      </c>
    </row>
    <row r="1901" spans="1:8" x14ac:dyDescent="0.25">
      <c r="A1901" t="s">
        <v>1550</v>
      </c>
      <c r="B1901" t="s">
        <v>432</v>
      </c>
      <c r="C1901" t="s">
        <v>403</v>
      </c>
      <c r="D1901">
        <v>15</v>
      </c>
      <c r="E1901">
        <v>1800</v>
      </c>
      <c r="F1901">
        <v>0</v>
      </c>
      <c r="G1901">
        <v>5</v>
      </c>
      <c r="H1901" t="s">
        <v>19</v>
      </c>
    </row>
    <row r="1902" spans="1:8" x14ac:dyDescent="0.25">
      <c r="A1902" t="str">
        <f>"&lt;nominal&gt;" &amp;$D$1901&amp;"&lt;/nominal&gt;"</f>
        <v>&lt;nominal&gt;15&lt;/nominal&gt;</v>
      </c>
      <c r="B1902" t="s">
        <v>432</v>
      </c>
    </row>
    <row r="1903" spans="1:8" x14ac:dyDescent="0.25">
      <c r="A1903" t="str">
        <f>"&lt;lifetime&gt;" &amp;$E$1901&amp;"&lt;/lifetime&gt;"</f>
        <v>&lt;lifetime&gt;1800&lt;/lifetime&gt;</v>
      </c>
      <c r="B1903" t="s">
        <v>432</v>
      </c>
    </row>
    <row r="1904" spans="1:8" x14ac:dyDescent="0.25">
      <c r="A1904" t="str">
        <f>"&lt;restock&gt;" &amp;$F$1901&amp;"&lt;/restock&gt;"</f>
        <v>&lt;restock&gt;0&lt;/restock&gt;</v>
      </c>
      <c r="B1904" t="s">
        <v>432</v>
      </c>
    </row>
    <row r="1905" spans="1:8" x14ac:dyDescent="0.25">
      <c r="A1905" t="str">
        <f>"&lt;min&gt;" &amp;$G$1901&amp;"&lt;/min&gt;"</f>
        <v>&lt;min&gt;5&lt;/min&gt;</v>
      </c>
      <c r="B1905" t="s">
        <v>432</v>
      </c>
    </row>
    <row r="1906" spans="1:8" x14ac:dyDescent="0.25">
      <c r="A1906" t="s">
        <v>16</v>
      </c>
      <c r="B1906" t="s">
        <v>432</v>
      </c>
    </row>
    <row r="1907" spans="1:8" x14ac:dyDescent="0.25">
      <c r="A1907" t="s">
        <v>17</v>
      </c>
      <c r="B1907" t="s">
        <v>432</v>
      </c>
    </row>
    <row r="1908" spans="1:8" x14ac:dyDescent="0.25">
      <c r="A1908" t="s">
        <v>18</v>
      </c>
      <c r="B1908" t="s">
        <v>432</v>
      </c>
    </row>
    <row r="1909" spans="1:8" x14ac:dyDescent="0.25">
      <c r="A1909" t="str">
        <f xml:space="preserve"> $H$1901</f>
        <v>&lt;flags count_in_cargo="0" count_in_hoarder="0" count_in_map="1" count_in_player="0" crafted="0" deloot="0"/&gt;</v>
      </c>
      <c r="B1909" t="s">
        <v>432</v>
      </c>
    </row>
    <row r="1910" spans="1:8" x14ac:dyDescent="0.25">
      <c r="A1910" t="str">
        <f>"&lt;category name=" &amp;"""" &amp;$C$1901&amp;"""/&gt;"</f>
        <v>&lt;category name="clothes"/&gt;</v>
      </c>
      <c r="B1910" t="s">
        <v>432</v>
      </c>
    </row>
    <row r="1911" spans="1:8" x14ac:dyDescent="0.25">
      <c r="A1911" t="s">
        <v>39</v>
      </c>
      <c r="B1911" t="s">
        <v>432</v>
      </c>
    </row>
    <row r="1912" spans="1:8" x14ac:dyDescent="0.25">
      <c r="A1912" t="s">
        <v>40</v>
      </c>
      <c r="B1912" t="s">
        <v>432</v>
      </c>
    </row>
    <row r="1913" spans="1:8" x14ac:dyDescent="0.25">
      <c r="A1913" t="s">
        <v>22</v>
      </c>
      <c r="B1913" t="s">
        <v>432</v>
      </c>
    </row>
    <row r="1914" spans="1:8" x14ac:dyDescent="0.25">
      <c r="A1914" t="s">
        <v>1551</v>
      </c>
      <c r="B1914" t="s">
        <v>433</v>
      </c>
      <c r="C1914" t="s">
        <v>426</v>
      </c>
      <c r="D1914">
        <v>40</v>
      </c>
      <c r="E1914">
        <v>7200</v>
      </c>
      <c r="F1914">
        <v>0</v>
      </c>
      <c r="G1914">
        <v>20</v>
      </c>
      <c r="H1914" t="s">
        <v>19</v>
      </c>
    </row>
    <row r="1915" spans="1:8" x14ac:dyDescent="0.25">
      <c r="A1915" t="str">
        <f>"&lt;nominal&gt;" &amp;$D$1914&amp;"&lt;/nominal&gt;"</f>
        <v>&lt;nominal&gt;40&lt;/nominal&gt;</v>
      </c>
      <c r="B1915" t="s">
        <v>433</v>
      </c>
    </row>
    <row r="1916" spans="1:8" x14ac:dyDescent="0.25">
      <c r="A1916" t="str">
        <f>"&lt;lifetime&gt;" &amp;$E$1914&amp;"&lt;/lifetime&gt;"</f>
        <v>&lt;lifetime&gt;7200&lt;/lifetime&gt;</v>
      </c>
      <c r="B1916" t="s">
        <v>433</v>
      </c>
    </row>
    <row r="1917" spans="1:8" x14ac:dyDescent="0.25">
      <c r="A1917" t="str">
        <f>"&lt;restock&gt;" &amp;$F$1914&amp;"&lt;/restock&gt;"</f>
        <v>&lt;restock&gt;0&lt;/restock&gt;</v>
      </c>
      <c r="B1917" t="s">
        <v>433</v>
      </c>
    </row>
    <row r="1918" spans="1:8" x14ac:dyDescent="0.25">
      <c r="A1918" t="str">
        <f>"&lt;min&gt;" &amp;$G$1914&amp;"&lt;/min&gt;"</f>
        <v>&lt;min&gt;20&lt;/min&gt;</v>
      </c>
      <c r="B1918" t="s">
        <v>433</v>
      </c>
    </row>
    <row r="1919" spans="1:8" x14ac:dyDescent="0.25">
      <c r="A1919" t="s">
        <v>16</v>
      </c>
      <c r="B1919" t="s">
        <v>433</v>
      </c>
    </row>
    <row r="1920" spans="1:8" x14ac:dyDescent="0.25">
      <c r="A1920" t="s">
        <v>17</v>
      </c>
      <c r="B1920" t="s">
        <v>433</v>
      </c>
    </row>
    <row r="1921" spans="1:8" x14ac:dyDescent="0.25">
      <c r="A1921" t="s">
        <v>18</v>
      </c>
      <c r="B1921" t="s">
        <v>433</v>
      </c>
    </row>
    <row r="1922" spans="1:8" x14ac:dyDescent="0.25">
      <c r="A1922" t="str">
        <f xml:space="preserve"> $H$1914</f>
        <v>&lt;flags count_in_cargo="0" count_in_hoarder="0" count_in_map="1" count_in_player="0" crafted="0" deloot="0"/&gt;</v>
      </c>
      <c r="B1922" t="s">
        <v>433</v>
      </c>
    </row>
    <row r="1923" spans="1:8" x14ac:dyDescent="0.25">
      <c r="A1923" t="str">
        <f>"&lt;category name=" &amp;"""" &amp;$C$1914&amp;"""/&gt;"</f>
        <v>&lt;category name="tools"/&gt;</v>
      </c>
      <c r="B1923" t="s">
        <v>433</v>
      </c>
    </row>
    <row r="1924" spans="1:8" x14ac:dyDescent="0.25">
      <c r="A1924" t="s">
        <v>55</v>
      </c>
      <c r="B1924" t="s">
        <v>433</v>
      </c>
    </row>
    <row r="1925" spans="1:8" x14ac:dyDescent="0.25">
      <c r="A1925" t="s">
        <v>56</v>
      </c>
      <c r="B1925" t="s">
        <v>433</v>
      </c>
    </row>
    <row r="1926" spans="1:8" x14ac:dyDescent="0.25">
      <c r="A1926" t="s">
        <v>40</v>
      </c>
      <c r="B1926" t="s">
        <v>433</v>
      </c>
    </row>
    <row r="1927" spans="1:8" x14ac:dyDescent="0.25">
      <c r="A1927" t="s">
        <v>22</v>
      </c>
      <c r="B1927" t="s">
        <v>433</v>
      </c>
    </row>
    <row r="1928" spans="1:8" x14ac:dyDescent="0.25">
      <c r="A1928" t="s">
        <v>1552</v>
      </c>
      <c r="B1928" t="s">
        <v>3380</v>
      </c>
      <c r="C1928" t="s">
        <v>426</v>
      </c>
      <c r="D1928">
        <v>0</v>
      </c>
      <c r="E1928">
        <v>1800</v>
      </c>
      <c r="F1928">
        <v>0</v>
      </c>
      <c r="G1928">
        <v>0</v>
      </c>
      <c r="H1928" t="s">
        <v>62</v>
      </c>
    </row>
    <row r="1929" spans="1:8" x14ac:dyDescent="0.25">
      <c r="A1929" t="str">
        <f>"&lt;nominal&gt;" &amp;$D$1928&amp;"&lt;/nominal&gt;"</f>
        <v>&lt;nominal&gt;0&lt;/nominal&gt;</v>
      </c>
      <c r="B1929" t="s">
        <v>3380</v>
      </c>
    </row>
    <row r="1930" spans="1:8" x14ac:dyDescent="0.25">
      <c r="A1930" t="str">
        <f>"&lt;lifetime&gt;" &amp;$E$1928&amp;"&lt;/lifetime&gt;"</f>
        <v>&lt;lifetime&gt;1800&lt;/lifetime&gt;</v>
      </c>
      <c r="B1930" t="s">
        <v>3380</v>
      </c>
    </row>
    <row r="1931" spans="1:8" x14ac:dyDescent="0.25">
      <c r="A1931" t="str">
        <f>"&lt;restock&gt;" &amp;$F$1928&amp;"&lt;/restock&gt;"</f>
        <v>&lt;restock&gt;0&lt;/restock&gt;</v>
      </c>
      <c r="B1931" t="s">
        <v>3380</v>
      </c>
    </row>
    <row r="1932" spans="1:8" x14ac:dyDescent="0.25">
      <c r="A1932" t="str">
        <f>"&lt;min&gt;" &amp;$G$1928&amp;"&lt;/min&gt;"</f>
        <v>&lt;min&gt;0&lt;/min&gt;</v>
      </c>
      <c r="B1932" t="s">
        <v>3380</v>
      </c>
    </row>
    <row r="1933" spans="1:8" x14ac:dyDescent="0.25">
      <c r="A1933" t="s">
        <v>16</v>
      </c>
      <c r="B1933" t="s">
        <v>3380</v>
      </c>
    </row>
    <row r="1934" spans="1:8" x14ac:dyDescent="0.25">
      <c r="A1934" t="s">
        <v>17</v>
      </c>
      <c r="B1934" t="s">
        <v>3380</v>
      </c>
    </row>
    <row r="1935" spans="1:8" x14ac:dyDescent="0.25">
      <c r="A1935" t="s">
        <v>18</v>
      </c>
      <c r="B1935" t="s">
        <v>3380</v>
      </c>
    </row>
    <row r="1936" spans="1:8" x14ac:dyDescent="0.25">
      <c r="A1936" t="str">
        <f xml:space="preserve"> $H$1928</f>
        <v>&lt;flags count_in_cargo="0" count_in_hoarder="0" count_in_map="1" count_in_player="0" crafted="1" deloot="0"/&gt;</v>
      </c>
      <c r="B1936" t="s">
        <v>3380</v>
      </c>
    </row>
    <row r="1937" spans="1:8" x14ac:dyDescent="0.25">
      <c r="A1937" t="str">
        <f>"&lt;category name=" &amp;"""" &amp;$C$1928&amp;"""/&gt;"</f>
        <v>&lt;category name="tools"/&gt;</v>
      </c>
      <c r="B1937" t="s">
        <v>3380</v>
      </c>
    </row>
    <row r="1938" spans="1:8" x14ac:dyDescent="0.25">
      <c r="A1938" t="s">
        <v>22</v>
      </c>
      <c r="B1938" t="s">
        <v>3380</v>
      </c>
    </row>
    <row r="1939" spans="1:8" x14ac:dyDescent="0.25">
      <c r="A1939" t="s">
        <v>1553</v>
      </c>
      <c r="B1939" t="s">
        <v>3381</v>
      </c>
      <c r="C1939" t="s">
        <v>426</v>
      </c>
      <c r="D1939">
        <v>0</v>
      </c>
      <c r="E1939">
        <v>1800</v>
      </c>
      <c r="F1939">
        <v>0</v>
      </c>
      <c r="G1939">
        <v>0</v>
      </c>
      <c r="H1939" t="s">
        <v>62</v>
      </c>
    </row>
    <row r="1940" spans="1:8" x14ac:dyDescent="0.25">
      <c r="A1940" t="str">
        <f>"&lt;nominal&gt;" &amp;$D$1939&amp;"&lt;/nominal&gt;"</f>
        <v>&lt;nominal&gt;0&lt;/nominal&gt;</v>
      </c>
      <c r="B1940" t="s">
        <v>3381</v>
      </c>
    </row>
    <row r="1941" spans="1:8" x14ac:dyDescent="0.25">
      <c r="A1941" t="str">
        <f>"&lt;lifetime&gt;" &amp;$E$1939&amp;"&lt;/lifetime&gt;"</f>
        <v>&lt;lifetime&gt;1800&lt;/lifetime&gt;</v>
      </c>
      <c r="B1941" t="s">
        <v>3381</v>
      </c>
    </row>
    <row r="1942" spans="1:8" x14ac:dyDescent="0.25">
      <c r="A1942" t="str">
        <f>"&lt;restock&gt;" &amp;$F$1939&amp;"&lt;/restock&gt;"</f>
        <v>&lt;restock&gt;0&lt;/restock&gt;</v>
      </c>
      <c r="B1942" t="s">
        <v>3381</v>
      </c>
    </row>
    <row r="1943" spans="1:8" x14ac:dyDescent="0.25">
      <c r="A1943" t="str">
        <f>"&lt;min&gt;" &amp;$G$1939&amp;"&lt;/min&gt;"</f>
        <v>&lt;min&gt;0&lt;/min&gt;</v>
      </c>
      <c r="B1943" t="s">
        <v>3381</v>
      </c>
    </row>
    <row r="1944" spans="1:8" x14ac:dyDescent="0.25">
      <c r="A1944" t="s">
        <v>16</v>
      </c>
      <c r="B1944" t="s">
        <v>3381</v>
      </c>
    </row>
    <row r="1945" spans="1:8" x14ac:dyDescent="0.25">
      <c r="A1945" t="s">
        <v>17</v>
      </c>
      <c r="B1945" t="s">
        <v>3381</v>
      </c>
    </row>
    <row r="1946" spans="1:8" x14ac:dyDescent="0.25">
      <c r="A1946" t="s">
        <v>18</v>
      </c>
      <c r="B1946" t="s">
        <v>3381</v>
      </c>
    </row>
    <row r="1947" spans="1:8" x14ac:dyDescent="0.25">
      <c r="A1947" t="str">
        <f xml:space="preserve"> $H$1939</f>
        <v>&lt;flags count_in_cargo="0" count_in_hoarder="0" count_in_map="1" count_in_player="0" crafted="1" deloot="0"/&gt;</v>
      </c>
      <c r="B1947" t="s">
        <v>3381</v>
      </c>
    </row>
    <row r="1948" spans="1:8" x14ac:dyDescent="0.25">
      <c r="A1948" t="str">
        <f>"&lt;category name=" &amp;"""" &amp;$C$1939&amp;"""/&gt;"</f>
        <v>&lt;category name="tools"/&gt;</v>
      </c>
      <c r="B1948" t="s">
        <v>3381</v>
      </c>
    </row>
    <row r="1949" spans="1:8" x14ac:dyDescent="0.25">
      <c r="A1949" t="s">
        <v>22</v>
      </c>
      <c r="B1949" t="s">
        <v>3381</v>
      </c>
    </row>
    <row r="1950" spans="1:8" x14ac:dyDescent="0.25">
      <c r="A1950" t="s">
        <v>1554</v>
      </c>
      <c r="B1950" t="s">
        <v>3382</v>
      </c>
      <c r="C1950" t="s">
        <v>426</v>
      </c>
      <c r="D1950">
        <v>0</v>
      </c>
      <c r="E1950">
        <v>3888000</v>
      </c>
      <c r="F1950">
        <v>0</v>
      </c>
      <c r="G1950">
        <v>0</v>
      </c>
      <c r="H1950" t="s">
        <v>53</v>
      </c>
    </row>
    <row r="1951" spans="1:8" x14ac:dyDescent="0.25">
      <c r="A1951" t="str">
        <f>"&lt;nominal&gt;" &amp;$D$1950&amp;"&lt;/nominal&gt;"</f>
        <v>&lt;nominal&gt;0&lt;/nominal&gt;</v>
      </c>
      <c r="B1951" t="s">
        <v>3382</v>
      </c>
    </row>
    <row r="1952" spans="1:8" x14ac:dyDescent="0.25">
      <c r="A1952" t="str">
        <f>"&lt;lifetime&gt;" &amp;$E$1950&amp;"&lt;/lifetime&gt;"</f>
        <v>&lt;lifetime&gt;3888000&lt;/lifetime&gt;</v>
      </c>
      <c r="B1952" t="s">
        <v>3382</v>
      </c>
    </row>
    <row r="1953" spans="1:8" x14ac:dyDescent="0.25">
      <c r="A1953" t="str">
        <f>"&lt;restock&gt;" &amp;$F$1950&amp;"&lt;/restock&gt;"</f>
        <v>&lt;restock&gt;0&lt;/restock&gt;</v>
      </c>
      <c r="B1953" t="s">
        <v>3382</v>
      </c>
    </row>
    <row r="1954" spans="1:8" x14ac:dyDescent="0.25">
      <c r="A1954" t="str">
        <f>"&lt;min&gt;" &amp;$G$1950&amp;"&lt;/min&gt;"</f>
        <v>&lt;min&gt;0&lt;/min&gt;</v>
      </c>
      <c r="B1954" t="s">
        <v>3382</v>
      </c>
    </row>
    <row r="1955" spans="1:8" x14ac:dyDescent="0.25">
      <c r="A1955" t="s">
        <v>16</v>
      </c>
      <c r="B1955" t="s">
        <v>3382</v>
      </c>
    </row>
    <row r="1956" spans="1:8" x14ac:dyDescent="0.25">
      <c r="A1956" t="s">
        <v>17</v>
      </c>
      <c r="B1956" t="s">
        <v>3382</v>
      </c>
    </row>
    <row r="1957" spans="1:8" x14ac:dyDescent="0.25">
      <c r="A1957" t="s">
        <v>18</v>
      </c>
      <c r="B1957" t="s">
        <v>3382</v>
      </c>
    </row>
    <row r="1958" spans="1:8" x14ac:dyDescent="0.25">
      <c r="A1958" t="str">
        <f xml:space="preserve"> $H$1950</f>
        <v>&lt;flags count_in_cargo="1" count_in_hoarder="0" count_in_map="1" count_in_player="1" crafted="1" deloot="0"/&gt;</v>
      </c>
      <c r="B1958" t="s">
        <v>3382</v>
      </c>
    </row>
    <row r="1959" spans="1:8" x14ac:dyDescent="0.25">
      <c r="A1959" t="str">
        <f>"&lt;category name=" &amp;"""" &amp;$C$1950&amp;"""/&gt;"</f>
        <v>&lt;category name="tools"/&gt;</v>
      </c>
      <c r="B1959" t="s">
        <v>3382</v>
      </c>
    </row>
    <row r="1960" spans="1:8" x14ac:dyDescent="0.25">
      <c r="A1960" t="s">
        <v>22</v>
      </c>
      <c r="B1960" t="s">
        <v>3382</v>
      </c>
    </row>
    <row r="1961" spans="1:8" x14ac:dyDescent="0.25">
      <c r="A1961" t="s">
        <v>1555</v>
      </c>
      <c r="B1961" t="s">
        <v>3383</v>
      </c>
      <c r="C1961" t="s">
        <v>426</v>
      </c>
      <c r="D1961">
        <v>0</v>
      </c>
      <c r="E1961">
        <v>3888000</v>
      </c>
      <c r="F1961">
        <v>0</v>
      </c>
      <c r="G1961">
        <v>0</v>
      </c>
      <c r="H1961" t="s">
        <v>53</v>
      </c>
    </row>
    <row r="1962" spans="1:8" x14ac:dyDescent="0.25">
      <c r="A1962" t="str">
        <f>"&lt;nominal&gt;" &amp;$D$1961&amp;"&lt;/nominal&gt;"</f>
        <v>&lt;nominal&gt;0&lt;/nominal&gt;</v>
      </c>
      <c r="B1962" t="s">
        <v>3383</v>
      </c>
    </row>
    <row r="1963" spans="1:8" x14ac:dyDescent="0.25">
      <c r="A1963" t="str">
        <f>"&lt;lifetime&gt;" &amp;$E$1961&amp;"&lt;/lifetime&gt;"</f>
        <v>&lt;lifetime&gt;3888000&lt;/lifetime&gt;</v>
      </c>
      <c r="B1963" t="s">
        <v>3383</v>
      </c>
    </row>
    <row r="1964" spans="1:8" x14ac:dyDescent="0.25">
      <c r="A1964" t="str">
        <f>"&lt;restock&gt;" &amp;$F$1961&amp;"&lt;/restock&gt;"</f>
        <v>&lt;restock&gt;0&lt;/restock&gt;</v>
      </c>
      <c r="B1964" t="s">
        <v>3383</v>
      </c>
    </row>
    <row r="1965" spans="1:8" x14ac:dyDescent="0.25">
      <c r="A1965" t="str">
        <f>"&lt;min&gt;" &amp;$G$1961&amp;"&lt;/min&gt;"</f>
        <v>&lt;min&gt;0&lt;/min&gt;</v>
      </c>
      <c r="B1965" t="s">
        <v>3383</v>
      </c>
    </row>
    <row r="1966" spans="1:8" x14ac:dyDescent="0.25">
      <c r="A1966" t="s">
        <v>16</v>
      </c>
      <c r="B1966" t="s">
        <v>3383</v>
      </c>
    </row>
    <row r="1967" spans="1:8" x14ac:dyDescent="0.25">
      <c r="A1967" t="s">
        <v>17</v>
      </c>
      <c r="B1967" t="s">
        <v>3383</v>
      </c>
    </row>
    <row r="1968" spans="1:8" x14ac:dyDescent="0.25">
      <c r="A1968" t="s">
        <v>18</v>
      </c>
      <c r="B1968" t="s">
        <v>3383</v>
      </c>
    </row>
    <row r="1969" spans="1:8" x14ac:dyDescent="0.25">
      <c r="A1969" t="str">
        <f xml:space="preserve"> $H$1961</f>
        <v>&lt;flags count_in_cargo="1" count_in_hoarder="0" count_in_map="1" count_in_player="1" crafted="1" deloot="0"/&gt;</v>
      </c>
      <c r="B1969" t="s">
        <v>3383</v>
      </c>
    </row>
    <row r="1970" spans="1:8" x14ac:dyDescent="0.25">
      <c r="A1970" t="str">
        <f>"&lt;category name=" &amp;"""" &amp;$C$1961&amp;"""/&gt;"</f>
        <v>&lt;category name="tools"/&gt;</v>
      </c>
      <c r="B1970" t="s">
        <v>3383</v>
      </c>
    </row>
    <row r="1971" spans="1:8" x14ac:dyDescent="0.25">
      <c r="A1971" t="s">
        <v>22</v>
      </c>
      <c r="B1971" t="s">
        <v>3383</v>
      </c>
    </row>
    <row r="1972" spans="1:8" x14ac:dyDescent="0.25">
      <c r="A1972" t="s">
        <v>1556</v>
      </c>
      <c r="B1972" t="s">
        <v>3384</v>
      </c>
      <c r="C1972" t="s">
        <v>426</v>
      </c>
      <c r="D1972">
        <v>0</v>
      </c>
      <c r="E1972">
        <v>3888000</v>
      </c>
      <c r="F1972">
        <v>0</v>
      </c>
      <c r="G1972">
        <v>0</v>
      </c>
      <c r="H1972" t="s">
        <v>53</v>
      </c>
    </row>
    <row r="1973" spans="1:8" x14ac:dyDescent="0.25">
      <c r="A1973" t="str">
        <f>"&lt;nominal&gt;" &amp;$D$1972&amp;"&lt;/nominal&gt;"</f>
        <v>&lt;nominal&gt;0&lt;/nominal&gt;</v>
      </c>
      <c r="B1973" t="s">
        <v>3384</v>
      </c>
    </row>
    <row r="1974" spans="1:8" x14ac:dyDescent="0.25">
      <c r="A1974" t="str">
        <f>"&lt;lifetime&gt;" &amp;$E$1972&amp;"&lt;/lifetime&gt;"</f>
        <v>&lt;lifetime&gt;3888000&lt;/lifetime&gt;</v>
      </c>
      <c r="B1974" t="s">
        <v>3384</v>
      </c>
    </row>
    <row r="1975" spans="1:8" x14ac:dyDescent="0.25">
      <c r="A1975" t="str">
        <f>"&lt;restock&gt;" &amp;$F$1972&amp;"&lt;/restock&gt;"</f>
        <v>&lt;restock&gt;0&lt;/restock&gt;</v>
      </c>
      <c r="B1975" t="s">
        <v>3384</v>
      </c>
    </row>
    <row r="1976" spans="1:8" x14ac:dyDescent="0.25">
      <c r="A1976" t="str">
        <f>"&lt;min&gt;" &amp;$G$1972&amp;"&lt;/min&gt;"</f>
        <v>&lt;min&gt;0&lt;/min&gt;</v>
      </c>
      <c r="B1976" t="s">
        <v>3384</v>
      </c>
    </row>
    <row r="1977" spans="1:8" x14ac:dyDescent="0.25">
      <c r="A1977" t="s">
        <v>16</v>
      </c>
      <c r="B1977" t="s">
        <v>3384</v>
      </c>
    </row>
    <row r="1978" spans="1:8" x14ac:dyDescent="0.25">
      <c r="A1978" t="s">
        <v>17</v>
      </c>
      <c r="B1978" t="s">
        <v>3384</v>
      </c>
    </row>
    <row r="1979" spans="1:8" x14ac:dyDescent="0.25">
      <c r="A1979" t="s">
        <v>18</v>
      </c>
      <c r="B1979" t="s">
        <v>3384</v>
      </c>
    </row>
    <row r="1980" spans="1:8" x14ac:dyDescent="0.25">
      <c r="A1980" t="str">
        <f xml:space="preserve"> $H$1972</f>
        <v>&lt;flags count_in_cargo="1" count_in_hoarder="0" count_in_map="1" count_in_player="1" crafted="1" deloot="0"/&gt;</v>
      </c>
      <c r="B1980" t="s">
        <v>3384</v>
      </c>
    </row>
    <row r="1981" spans="1:8" x14ac:dyDescent="0.25">
      <c r="A1981" t="str">
        <f>"&lt;category name=" &amp;"""" &amp;$C$1972&amp;"""/&gt;"</f>
        <v>&lt;category name="tools"/&gt;</v>
      </c>
      <c r="B1981" t="s">
        <v>3384</v>
      </c>
    </row>
    <row r="1982" spans="1:8" x14ac:dyDescent="0.25">
      <c r="A1982" t="s">
        <v>22</v>
      </c>
      <c r="B1982" t="s">
        <v>3384</v>
      </c>
    </row>
    <row r="1983" spans="1:8" x14ac:dyDescent="0.25">
      <c r="A1983" t="s">
        <v>1557</v>
      </c>
      <c r="B1983" t="s">
        <v>3385</v>
      </c>
      <c r="C1983" t="s">
        <v>426</v>
      </c>
      <c r="D1983">
        <v>0</v>
      </c>
      <c r="E1983">
        <v>3888000</v>
      </c>
      <c r="F1983">
        <v>0</v>
      </c>
      <c r="G1983">
        <v>0</v>
      </c>
      <c r="H1983" t="s">
        <v>53</v>
      </c>
    </row>
    <row r="1984" spans="1:8" x14ac:dyDescent="0.25">
      <c r="A1984" t="str">
        <f>"&lt;nominal&gt;" &amp;$D$1983&amp;"&lt;/nominal&gt;"</f>
        <v>&lt;nominal&gt;0&lt;/nominal&gt;</v>
      </c>
      <c r="B1984" t="s">
        <v>3385</v>
      </c>
    </row>
    <row r="1985" spans="1:8" x14ac:dyDescent="0.25">
      <c r="A1985" t="str">
        <f>"&lt;lifetime&gt;" &amp;$E$1983&amp;"&lt;/lifetime&gt;"</f>
        <v>&lt;lifetime&gt;3888000&lt;/lifetime&gt;</v>
      </c>
      <c r="B1985" t="s">
        <v>3385</v>
      </c>
    </row>
    <row r="1986" spans="1:8" x14ac:dyDescent="0.25">
      <c r="A1986" t="str">
        <f>"&lt;restock&gt;" &amp;$F$1983&amp;"&lt;/restock&gt;"</f>
        <v>&lt;restock&gt;0&lt;/restock&gt;</v>
      </c>
      <c r="B1986" t="s">
        <v>3385</v>
      </c>
    </row>
    <row r="1987" spans="1:8" x14ac:dyDescent="0.25">
      <c r="A1987" t="str">
        <f>"&lt;min&gt;" &amp;$G$1983&amp;"&lt;/min&gt;"</f>
        <v>&lt;min&gt;0&lt;/min&gt;</v>
      </c>
      <c r="B1987" t="s">
        <v>3385</v>
      </c>
    </row>
    <row r="1988" spans="1:8" x14ac:dyDescent="0.25">
      <c r="A1988" t="s">
        <v>16</v>
      </c>
      <c r="B1988" t="s">
        <v>3385</v>
      </c>
    </row>
    <row r="1989" spans="1:8" x14ac:dyDescent="0.25">
      <c r="A1989" t="s">
        <v>17</v>
      </c>
      <c r="B1989" t="s">
        <v>3385</v>
      </c>
    </row>
    <row r="1990" spans="1:8" x14ac:dyDescent="0.25">
      <c r="A1990" t="s">
        <v>18</v>
      </c>
      <c r="B1990" t="s">
        <v>3385</v>
      </c>
    </row>
    <row r="1991" spans="1:8" x14ac:dyDescent="0.25">
      <c r="A1991" t="str">
        <f xml:space="preserve"> $H$1983</f>
        <v>&lt;flags count_in_cargo="1" count_in_hoarder="0" count_in_map="1" count_in_player="1" crafted="1" deloot="0"/&gt;</v>
      </c>
      <c r="B1991" t="s">
        <v>3385</v>
      </c>
    </row>
    <row r="1992" spans="1:8" x14ac:dyDescent="0.25">
      <c r="A1992" t="str">
        <f>"&lt;category name=" &amp;"""" &amp;$C$1983&amp;"""/&gt;"</f>
        <v>&lt;category name="tools"/&gt;</v>
      </c>
      <c r="B1992" t="s">
        <v>3385</v>
      </c>
    </row>
    <row r="1993" spans="1:8" x14ac:dyDescent="0.25">
      <c r="A1993" t="s">
        <v>22</v>
      </c>
      <c r="B1993" t="s">
        <v>3385</v>
      </c>
    </row>
    <row r="1994" spans="1:8" x14ac:dyDescent="0.25">
      <c r="A1994" t="s">
        <v>1558</v>
      </c>
      <c r="B1994" t="s">
        <v>434</v>
      </c>
      <c r="C1994" t="s">
        <v>426</v>
      </c>
      <c r="D1994">
        <v>40</v>
      </c>
      <c r="E1994">
        <v>3888000</v>
      </c>
      <c r="F1994">
        <v>0</v>
      </c>
      <c r="G1994">
        <v>20</v>
      </c>
      <c r="H1994" t="s">
        <v>1559</v>
      </c>
    </row>
    <row r="1995" spans="1:8" x14ac:dyDescent="0.25">
      <c r="A1995" t="str">
        <f>"&lt;nominal&gt;" &amp;$D$1994&amp;"&lt;/nominal&gt;"</f>
        <v>&lt;nominal&gt;40&lt;/nominal&gt;</v>
      </c>
      <c r="B1995" t="s">
        <v>434</v>
      </c>
    </row>
    <row r="1996" spans="1:8" x14ac:dyDescent="0.25">
      <c r="A1996" t="str">
        <f>"&lt;lifetime&gt;" &amp;$E$1994&amp;"&lt;/lifetime&gt;"</f>
        <v>&lt;lifetime&gt;3888000&lt;/lifetime&gt;</v>
      </c>
      <c r="B1996" t="s">
        <v>434</v>
      </c>
    </row>
    <row r="1997" spans="1:8" x14ac:dyDescent="0.25">
      <c r="A1997" t="str">
        <f>"&lt;restock&gt;" &amp;$F$1994&amp;"&lt;/restock&gt;"</f>
        <v>&lt;restock&gt;0&lt;/restock&gt;</v>
      </c>
      <c r="B1997" t="s">
        <v>434</v>
      </c>
    </row>
    <row r="1998" spans="1:8" x14ac:dyDescent="0.25">
      <c r="A1998" t="str">
        <f>"&lt;min&gt;" &amp;$G$1994&amp;"&lt;/min&gt;"</f>
        <v>&lt;min&gt;20&lt;/min&gt;</v>
      </c>
      <c r="B1998" t="s">
        <v>434</v>
      </c>
    </row>
    <row r="1999" spans="1:8" x14ac:dyDescent="0.25">
      <c r="A1999" t="s">
        <v>16</v>
      </c>
      <c r="B1999" t="s">
        <v>434</v>
      </c>
    </row>
    <row r="2000" spans="1:8" x14ac:dyDescent="0.25">
      <c r="A2000" t="s">
        <v>17</v>
      </c>
      <c r="B2000" t="s">
        <v>434</v>
      </c>
    </row>
    <row r="2001" spans="1:8" x14ac:dyDescent="0.25">
      <c r="A2001" t="s">
        <v>18</v>
      </c>
      <c r="B2001" t="s">
        <v>434</v>
      </c>
    </row>
    <row r="2002" spans="1:8" x14ac:dyDescent="0.25">
      <c r="A2002" t="str">
        <f xml:space="preserve"> $H$1994</f>
        <v>&lt;flags count_in_cargo="1" count_in_hoarder="0" count_in_map="1" count_in_player="1" crafted="0" deloot="0"/&gt;</v>
      </c>
      <c r="B2002" t="s">
        <v>434</v>
      </c>
    </row>
    <row r="2003" spans="1:8" x14ac:dyDescent="0.25">
      <c r="A2003" t="str">
        <f>"&lt;category name=" &amp;"""" &amp;$C$1994&amp;"""/&gt;"</f>
        <v>&lt;category name="tools"/&gt;</v>
      </c>
      <c r="B2003" t="s">
        <v>434</v>
      </c>
    </row>
    <row r="2004" spans="1:8" x14ac:dyDescent="0.25">
      <c r="A2004" t="s">
        <v>25</v>
      </c>
      <c r="B2004" t="s">
        <v>434</v>
      </c>
    </row>
    <row r="2005" spans="1:8" x14ac:dyDescent="0.25">
      <c r="A2005" t="s">
        <v>55</v>
      </c>
      <c r="B2005" t="s">
        <v>434</v>
      </c>
    </row>
    <row r="2006" spans="1:8" x14ac:dyDescent="0.25">
      <c r="A2006" t="s">
        <v>56</v>
      </c>
      <c r="B2006" t="s">
        <v>434</v>
      </c>
    </row>
    <row r="2007" spans="1:8" x14ac:dyDescent="0.25">
      <c r="A2007" t="s">
        <v>22</v>
      </c>
      <c r="B2007" t="s">
        <v>434</v>
      </c>
    </row>
    <row r="2008" spans="1:8" x14ac:dyDescent="0.25">
      <c r="A2008" t="s">
        <v>1560</v>
      </c>
      <c r="B2008" t="s">
        <v>435</v>
      </c>
      <c r="C2008" t="s">
        <v>426</v>
      </c>
      <c r="D2008">
        <v>40</v>
      </c>
      <c r="E2008">
        <v>3888000</v>
      </c>
      <c r="F2008">
        <v>0</v>
      </c>
      <c r="G2008">
        <v>20</v>
      </c>
      <c r="H2008" t="s">
        <v>1559</v>
      </c>
    </row>
    <row r="2009" spans="1:8" x14ac:dyDescent="0.25">
      <c r="A2009" t="str">
        <f>"&lt;nominal&gt;" &amp;$D$2008&amp;"&lt;/nominal&gt;"</f>
        <v>&lt;nominal&gt;40&lt;/nominal&gt;</v>
      </c>
      <c r="B2009" t="s">
        <v>435</v>
      </c>
    </row>
    <row r="2010" spans="1:8" x14ac:dyDescent="0.25">
      <c r="A2010" t="str">
        <f>"&lt;lifetime&gt;" &amp;$E$2008&amp;"&lt;/lifetime&gt;"</f>
        <v>&lt;lifetime&gt;3888000&lt;/lifetime&gt;</v>
      </c>
      <c r="B2010" t="s">
        <v>435</v>
      </c>
    </row>
    <row r="2011" spans="1:8" x14ac:dyDescent="0.25">
      <c r="A2011" t="str">
        <f>"&lt;restock&gt;" &amp;$F$2008&amp;"&lt;/restock&gt;"</f>
        <v>&lt;restock&gt;0&lt;/restock&gt;</v>
      </c>
      <c r="B2011" t="s">
        <v>435</v>
      </c>
    </row>
    <row r="2012" spans="1:8" x14ac:dyDescent="0.25">
      <c r="A2012" t="str">
        <f>"&lt;min&gt;" &amp;$G$2008&amp;"&lt;/min&gt;"</f>
        <v>&lt;min&gt;20&lt;/min&gt;</v>
      </c>
      <c r="B2012" t="s">
        <v>435</v>
      </c>
    </row>
    <row r="2013" spans="1:8" x14ac:dyDescent="0.25">
      <c r="A2013" t="s">
        <v>16</v>
      </c>
      <c r="B2013" t="s">
        <v>435</v>
      </c>
    </row>
    <row r="2014" spans="1:8" x14ac:dyDescent="0.25">
      <c r="A2014" t="s">
        <v>17</v>
      </c>
      <c r="B2014" t="s">
        <v>435</v>
      </c>
    </row>
    <row r="2015" spans="1:8" x14ac:dyDescent="0.25">
      <c r="A2015" t="s">
        <v>18</v>
      </c>
      <c r="B2015" t="s">
        <v>435</v>
      </c>
    </row>
    <row r="2016" spans="1:8" x14ac:dyDescent="0.25">
      <c r="A2016" t="str">
        <f xml:space="preserve"> $H$2008</f>
        <v>&lt;flags count_in_cargo="1" count_in_hoarder="0" count_in_map="1" count_in_player="1" crafted="0" deloot="0"/&gt;</v>
      </c>
      <c r="B2016" t="s">
        <v>435</v>
      </c>
    </row>
    <row r="2017" spans="1:8" x14ac:dyDescent="0.25">
      <c r="A2017" t="str">
        <f>"&lt;category name=" &amp;"""" &amp;$C$2008&amp;"""/&gt;"</f>
        <v>&lt;category name="tools"/&gt;</v>
      </c>
      <c r="B2017" t="s">
        <v>435</v>
      </c>
    </row>
    <row r="2018" spans="1:8" x14ac:dyDescent="0.25">
      <c r="A2018" t="s">
        <v>25</v>
      </c>
      <c r="B2018" t="s">
        <v>435</v>
      </c>
    </row>
    <row r="2019" spans="1:8" x14ac:dyDescent="0.25">
      <c r="A2019" t="s">
        <v>55</v>
      </c>
      <c r="B2019" t="s">
        <v>435</v>
      </c>
    </row>
    <row r="2020" spans="1:8" x14ac:dyDescent="0.25">
      <c r="A2020" t="s">
        <v>56</v>
      </c>
      <c r="B2020" t="s">
        <v>435</v>
      </c>
    </row>
    <row r="2021" spans="1:8" x14ac:dyDescent="0.25">
      <c r="A2021" t="s">
        <v>22</v>
      </c>
      <c r="B2021" t="s">
        <v>435</v>
      </c>
    </row>
    <row r="2022" spans="1:8" x14ac:dyDescent="0.25">
      <c r="A2022" t="s">
        <v>1561</v>
      </c>
      <c r="B2022" t="s">
        <v>436</v>
      </c>
      <c r="C2022" t="s">
        <v>426</v>
      </c>
      <c r="D2022">
        <v>40</v>
      </c>
      <c r="E2022">
        <v>3888000</v>
      </c>
      <c r="F2022">
        <v>0</v>
      </c>
      <c r="G2022">
        <v>20</v>
      </c>
      <c r="H2022" t="s">
        <v>1559</v>
      </c>
    </row>
    <row r="2023" spans="1:8" x14ac:dyDescent="0.25">
      <c r="A2023" t="str">
        <f>"&lt;nominal&gt;" &amp;$D$2022&amp;"&lt;/nominal&gt;"</f>
        <v>&lt;nominal&gt;40&lt;/nominal&gt;</v>
      </c>
      <c r="B2023" t="s">
        <v>436</v>
      </c>
    </row>
    <row r="2024" spans="1:8" x14ac:dyDescent="0.25">
      <c r="A2024" t="str">
        <f>"&lt;lifetime&gt;" &amp;$E$2022&amp;"&lt;/lifetime&gt;"</f>
        <v>&lt;lifetime&gt;3888000&lt;/lifetime&gt;</v>
      </c>
      <c r="B2024" t="s">
        <v>436</v>
      </c>
    </row>
    <row r="2025" spans="1:8" x14ac:dyDescent="0.25">
      <c r="A2025" t="str">
        <f>"&lt;restock&gt;" &amp;$F$2022&amp;"&lt;/restock&gt;"</f>
        <v>&lt;restock&gt;0&lt;/restock&gt;</v>
      </c>
      <c r="B2025" t="s">
        <v>436</v>
      </c>
    </row>
    <row r="2026" spans="1:8" x14ac:dyDescent="0.25">
      <c r="A2026" t="str">
        <f>"&lt;min&gt;" &amp;$G$2022&amp;"&lt;/min&gt;"</f>
        <v>&lt;min&gt;20&lt;/min&gt;</v>
      </c>
      <c r="B2026" t="s">
        <v>436</v>
      </c>
    </row>
    <row r="2027" spans="1:8" x14ac:dyDescent="0.25">
      <c r="A2027" t="s">
        <v>16</v>
      </c>
      <c r="B2027" t="s">
        <v>436</v>
      </c>
    </row>
    <row r="2028" spans="1:8" x14ac:dyDescent="0.25">
      <c r="A2028" t="s">
        <v>17</v>
      </c>
      <c r="B2028" t="s">
        <v>436</v>
      </c>
    </row>
    <row r="2029" spans="1:8" x14ac:dyDescent="0.25">
      <c r="A2029" t="s">
        <v>18</v>
      </c>
      <c r="B2029" t="s">
        <v>436</v>
      </c>
    </row>
    <row r="2030" spans="1:8" x14ac:dyDescent="0.25">
      <c r="A2030" t="str">
        <f xml:space="preserve"> $H$2022</f>
        <v>&lt;flags count_in_cargo="1" count_in_hoarder="0" count_in_map="1" count_in_player="1" crafted="0" deloot="0"/&gt;</v>
      </c>
      <c r="B2030" t="s">
        <v>436</v>
      </c>
    </row>
    <row r="2031" spans="1:8" x14ac:dyDescent="0.25">
      <c r="A2031" t="str">
        <f>"&lt;category name=" &amp;"""" &amp;$C$2022&amp;"""/&gt;"</f>
        <v>&lt;category name="tools"/&gt;</v>
      </c>
      <c r="B2031" t="s">
        <v>436</v>
      </c>
    </row>
    <row r="2032" spans="1:8" x14ac:dyDescent="0.25">
      <c r="A2032" t="s">
        <v>25</v>
      </c>
      <c r="B2032" t="s">
        <v>436</v>
      </c>
    </row>
    <row r="2033" spans="1:8" x14ac:dyDescent="0.25">
      <c r="A2033" t="s">
        <v>55</v>
      </c>
      <c r="B2033" t="s">
        <v>436</v>
      </c>
    </row>
    <row r="2034" spans="1:8" x14ac:dyDescent="0.25">
      <c r="A2034" t="s">
        <v>56</v>
      </c>
      <c r="B2034" t="s">
        <v>436</v>
      </c>
    </row>
    <row r="2035" spans="1:8" x14ac:dyDescent="0.25">
      <c r="A2035" t="s">
        <v>22</v>
      </c>
      <c r="B2035" t="s">
        <v>436</v>
      </c>
    </row>
    <row r="2036" spans="1:8" x14ac:dyDescent="0.25">
      <c r="A2036" t="s">
        <v>1562</v>
      </c>
      <c r="B2036" t="s">
        <v>437</v>
      </c>
      <c r="C2036" t="s">
        <v>426</v>
      </c>
      <c r="D2036">
        <v>40</v>
      </c>
      <c r="E2036">
        <v>3888000</v>
      </c>
      <c r="F2036">
        <v>0</v>
      </c>
      <c r="G2036">
        <v>20</v>
      </c>
      <c r="H2036" t="s">
        <v>1559</v>
      </c>
    </row>
    <row r="2037" spans="1:8" x14ac:dyDescent="0.25">
      <c r="A2037" t="str">
        <f>"&lt;nominal&gt;" &amp;$D$2036&amp;"&lt;/nominal&gt;"</f>
        <v>&lt;nominal&gt;40&lt;/nominal&gt;</v>
      </c>
      <c r="B2037" t="s">
        <v>437</v>
      </c>
    </row>
    <row r="2038" spans="1:8" x14ac:dyDescent="0.25">
      <c r="A2038" t="str">
        <f>"&lt;lifetime&gt;" &amp;$E$2036&amp;"&lt;/lifetime&gt;"</f>
        <v>&lt;lifetime&gt;3888000&lt;/lifetime&gt;</v>
      </c>
      <c r="B2038" t="s">
        <v>437</v>
      </c>
    </row>
    <row r="2039" spans="1:8" x14ac:dyDescent="0.25">
      <c r="A2039" t="str">
        <f>"&lt;restock&gt;" &amp;$F$2036&amp;"&lt;/restock&gt;"</f>
        <v>&lt;restock&gt;0&lt;/restock&gt;</v>
      </c>
      <c r="B2039" t="s">
        <v>437</v>
      </c>
    </row>
    <row r="2040" spans="1:8" x14ac:dyDescent="0.25">
      <c r="A2040" t="str">
        <f>"&lt;min&gt;" &amp;$G$2036&amp;"&lt;/min&gt;"</f>
        <v>&lt;min&gt;20&lt;/min&gt;</v>
      </c>
      <c r="B2040" t="s">
        <v>437</v>
      </c>
    </row>
    <row r="2041" spans="1:8" x14ac:dyDescent="0.25">
      <c r="A2041" t="s">
        <v>16</v>
      </c>
      <c r="B2041" t="s">
        <v>437</v>
      </c>
    </row>
    <row r="2042" spans="1:8" x14ac:dyDescent="0.25">
      <c r="A2042" t="s">
        <v>17</v>
      </c>
      <c r="B2042" t="s">
        <v>437</v>
      </c>
    </row>
    <row r="2043" spans="1:8" x14ac:dyDescent="0.25">
      <c r="A2043" t="s">
        <v>18</v>
      </c>
      <c r="B2043" t="s">
        <v>437</v>
      </c>
    </row>
    <row r="2044" spans="1:8" x14ac:dyDescent="0.25">
      <c r="A2044" t="str">
        <f xml:space="preserve"> $H$2036</f>
        <v>&lt;flags count_in_cargo="1" count_in_hoarder="0" count_in_map="1" count_in_player="1" crafted="0" deloot="0"/&gt;</v>
      </c>
      <c r="B2044" t="s">
        <v>437</v>
      </c>
    </row>
    <row r="2045" spans="1:8" x14ac:dyDescent="0.25">
      <c r="A2045" t="str">
        <f>"&lt;category name=" &amp;"""" &amp;$C$2036&amp;"""/&gt;"</f>
        <v>&lt;category name="tools"/&gt;</v>
      </c>
      <c r="B2045" t="s">
        <v>437</v>
      </c>
    </row>
    <row r="2046" spans="1:8" x14ac:dyDescent="0.25">
      <c r="A2046" t="s">
        <v>25</v>
      </c>
      <c r="B2046" t="s">
        <v>437</v>
      </c>
    </row>
    <row r="2047" spans="1:8" x14ac:dyDescent="0.25">
      <c r="A2047" t="s">
        <v>55</v>
      </c>
      <c r="B2047" t="s">
        <v>437</v>
      </c>
    </row>
    <row r="2048" spans="1:8" x14ac:dyDescent="0.25">
      <c r="A2048" t="s">
        <v>56</v>
      </c>
      <c r="B2048" t="s">
        <v>437</v>
      </c>
    </row>
    <row r="2049" spans="1:8" x14ac:dyDescent="0.25">
      <c r="A2049" t="s">
        <v>22</v>
      </c>
      <c r="B2049" t="s">
        <v>437</v>
      </c>
    </row>
    <row r="2050" spans="1:8" x14ac:dyDescent="0.25">
      <c r="A2050" t="s">
        <v>1563</v>
      </c>
      <c r="B2050" t="s">
        <v>438</v>
      </c>
      <c r="C2050" t="s">
        <v>426</v>
      </c>
      <c r="D2050">
        <v>10</v>
      </c>
      <c r="E2050">
        <v>7200</v>
      </c>
      <c r="F2050">
        <v>1800</v>
      </c>
      <c r="G2050">
        <v>5</v>
      </c>
      <c r="H2050" t="s">
        <v>19</v>
      </c>
    </row>
    <row r="2051" spans="1:8" x14ac:dyDescent="0.25">
      <c r="A2051" t="str">
        <f>"&lt;nominal&gt;" &amp;$D$2050&amp;"&lt;/nominal&gt;"</f>
        <v>&lt;nominal&gt;10&lt;/nominal&gt;</v>
      </c>
      <c r="B2051" t="s">
        <v>438</v>
      </c>
    </row>
    <row r="2052" spans="1:8" x14ac:dyDescent="0.25">
      <c r="A2052" t="str">
        <f>"&lt;lifetime&gt;" &amp;$E$2050&amp;"&lt;/lifetime&gt;"</f>
        <v>&lt;lifetime&gt;7200&lt;/lifetime&gt;</v>
      </c>
      <c r="B2052" t="s">
        <v>438</v>
      </c>
    </row>
    <row r="2053" spans="1:8" x14ac:dyDescent="0.25">
      <c r="A2053" t="str">
        <f>"&lt;restock&gt;" &amp;$F$2050&amp;"&lt;/restock&gt;"</f>
        <v>&lt;restock&gt;1800&lt;/restock&gt;</v>
      </c>
      <c r="B2053" t="s">
        <v>438</v>
      </c>
    </row>
    <row r="2054" spans="1:8" x14ac:dyDescent="0.25">
      <c r="A2054" t="str">
        <f>"&lt;min&gt;" &amp;$G$2050&amp;"&lt;/min&gt;"</f>
        <v>&lt;min&gt;5&lt;/min&gt;</v>
      </c>
      <c r="B2054" t="s">
        <v>438</v>
      </c>
    </row>
    <row r="2055" spans="1:8" x14ac:dyDescent="0.25">
      <c r="A2055" t="s">
        <v>16</v>
      </c>
      <c r="B2055" t="s">
        <v>438</v>
      </c>
    </row>
    <row r="2056" spans="1:8" x14ac:dyDescent="0.25">
      <c r="A2056" t="s">
        <v>17</v>
      </c>
      <c r="B2056" t="s">
        <v>438</v>
      </c>
    </row>
    <row r="2057" spans="1:8" x14ac:dyDescent="0.25">
      <c r="A2057" t="s">
        <v>18</v>
      </c>
      <c r="B2057" t="s">
        <v>438</v>
      </c>
    </row>
    <row r="2058" spans="1:8" x14ac:dyDescent="0.25">
      <c r="A2058" t="str">
        <f xml:space="preserve"> $H$2050</f>
        <v>&lt;flags count_in_cargo="0" count_in_hoarder="0" count_in_map="1" count_in_player="0" crafted="0" deloot="0"/&gt;</v>
      </c>
      <c r="B2058" t="s">
        <v>438</v>
      </c>
    </row>
    <row r="2059" spans="1:8" x14ac:dyDescent="0.25">
      <c r="A2059" t="str">
        <f>"&lt;category name=" &amp;"""" &amp;$C$2050&amp;"""/&gt;"</f>
        <v>&lt;category name="tools"/&gt;</v>
      </c>
      <c r="B2059" t="s">
        <v>438</v>
      </c>
    </row>
    <row r="2060" spans="1:8" x14ac:dyDescent="0.25">
      <c r="A2060" t="s">
        <v>29</v>
      </c>
      <c r="B2060" t="s">
        <v>438</v>
      </c>
    </row>
    <row r="2061" spans="1:8" x14ac:dyDescent="0.25">
      <c r="A2061" t="s">
        <v>31</v>
      </c>
      <c r="B2061" t="s">
        <v>438</v>
      </c>
    </row>
    <row r="2062" spans="1:8" x14ac:dyDescent="0.25">
      <c r="A2062" t="s">
        <v>307</v>
      </c>
      <c r="B2062" t="s">
        <v>438</v>
      </c>
    </row>
    <row r="2063" spans="1:8" x14ac:dyDescent="0.25">
      <c r="A2063" t="s">
        <v>22</v>
      </c>
      <c r="B2063" t="s">
        <v>438</v>
      </c>
    </row>
    <row r="2064" spans="1:8" x14ac:dyDescent="0.25">
      <c r="A2064" t="s">
        <v>1564</v>
      </c>
      <c r="B2064" t="s">
        <v>439</v>
      </c>
      <c r="C2064" t="s">
        <v>426</v>
      </c>
      <c r="D2064">
        <v>80</v>
      </c>
      <c r="E2064">
        <v>7200</v>
      </c>
      <c r="F2064">
        <v>0</v>
      </c>
      <c r="G2064">
        <v>50</v>
      </c>
      <c r="H2064" t="s">
        <v>19</v>
      </c>
    </row>
    <row r="2065" spans="1:8" x14ac:dyDescent="0.25">
      <c r="A2065" t="str">
        <f>"&lt;nominal&gt;" &amp;$D$2064&amp;"&lt;/nominal&gt;"</f>
        <v>&lt;nominal&gt;80&lt;/nominal&gt;</v>
      </c>
      <c r="B2065" t="s">
        <v>439</v>
      </c>
    </row>
    <row r="2066" spans="1:8" x14ac:dyDescent="0.25">
      <c r="A2066" t="str">
        <f>"&lt;lifetime&gt;" &amp;$E$2064&amp;"&lt;/lifetime&gt;"</f>
        <v>&lt;lifetime&gt;7200&lt;/lifetime&gt;</v>
      </c>
      <c r="B2066" t="s">
        <v>439</v>
      </c>
    </row>
    <row r="2067" spans="1:8" x14ac:dyDescent="0.25">
      <c r="A2067" t="str">
        <f>"&lt;restock&gt;" &amp;$F$2064&amp;"&lt;/restock&gt;"</f>
        <v>&lt;restock&gt;0&lt;/restock&gt;</v>
      </c>
      <c r="B2067" t="s">
        <v>439</v>
      </c>
    </row>
    <row r="2068" spans="1:8" x14ac:dyDescent="0.25">
      <c r="A2068" t="str">
        <f>"&lt;min&gt;" &amp;$G$2064&amp;"&lt;/min&gt;"</f>
        <v>&lt;min&gt;50&lt;/min&gt;</v>
      </c>
      <c r="B2068" t="s">
        <v>439</v>
      </c>
    </row>
    <row r="2069" spans="1:8" x14ac:dyDescent="0.25">
      <c r="A2069" t="s">
        <v>16</v>
      </c>
      <c r="B2069" t="s">
        <v>439</v>
      </c>
    </row>
    <row r="2070" spans="1:8" x14ac:dyDescent="0.25">
      <c r="A2070" t="s">
        <v>17</v>
      </c>
      <c r="B2070" t="s">
        <v>439</v>
      </c>
    </row>
    <row r="2071" spans="1:8" x14ac:dyDescent="0.25">
      <c r="A2071" t="s">
        <v>18</v>
      </c>
      <c r="B2071" t="s">
        <v>439</v>
      </c>
    </row>
    <row r="2072" spans="1:8" x14ac:dyDescent="0.25">
      <c r="A2072" t="str">
        <f xml:space="preserve"> $H$2064</f>
        <v>&lt;flags count_in_cargo="0" count_in_hoarder="0" count_in_map="1" count_in_player="0" crafted="0" deloot="0"/&gt;</v>
      </c>
      <c r="B2072" t="s">
        <v>439</v>
      </c>
    </row>
    <row r="2073" spans="1:8" x14ac:dyDescent="0.25">
      <c r="A2073" t="str">
        <f>"&lt;category name=" &amp;"""" &amp;$C$2064&amp;"""/&gt;"</f>
        <v>&lt;category name="tools"/&gt;</v>
      </c>
      <c r="B2073" t="s">
        <v>439</v>
      </c>
    </row>
    <row r="2074" spans="1:8" x14ac:dyDescent="0.25">
      <c r="A2074" t="s">
        <v>39</v>
      </c>
      <c r="B2074" t="s">
        <v>439</v>
      </c>
    </row>
    <row r="2075" spans="1:8" x14ac:dyDescent="0.25">
      <c r="A2075" t="s">
        <v>40</v>
      </c>
      <c r="B2075" t="s">
        <v>439</v>
      </c>
    </row>
    <row r="2076" spans="1:8" x14ac:dyDescent="0.25">
      <c r="A2076" t="s">
        <v>92</v>
      </c>
      <c r="B2076" t="s">
        <v>439</v>
      </c>
    </row>
    <row r="2077" spans="1:8" x14ac:dyDescent="0.25">
      <c r="A2077" t="s">
        <v>22</v>
      </c>
      <c r="B2077" t="s">
        <v>439</v>
      </c>
    </row>
    <row r="2078" spans="1:8" x14ac:dyDescent="0.25">
      <c r="A2078" t="s">
        <v>1565</v>
      </c>
      <c r="B2078" t="s">
        <v>440</v>
      </c>
      <c r="C2078" t="s">
        <v>403</v>
      </c>
      <c r="D2078">
        <v>30</v>
      </c>
      <c r="E2078">
        <v>1800</v>
      </c>
      <c r="F2078">
        <v>0</v>
      </c>
      <c r="G2078">
        <v>20</v>
      </c>
      <c r="H2078" t="s">
        <v>19</v>
      </c>
    </row>
    <row r="2079" spans="1:8" x14ac:dyDescent="0.25">
      <c r="A2079" t="str">
        <f>"&lt;nominal&gt;" &amp;$D$2078&amp;"&lt;/nominal&gt;"</f>
        <v>&lt;nominal&gt;30&lt;/nominal&gt;</v>
      </c>
      <c r="B2079" t="s">
        <v>440</v>
      </c>
    </row>
    <row r="2080" spans="1:8" x14ac:dyDescent="0.25">
      <c r="A2080" t="str">
        <f>"&lt;lifetime&gt;" &amp;$E$2078&amp;"&lt;/lifetime&gt;"</f>
        <v>&lt;lifetime&gt;1800&lt;/lifetime&gt;</v>
      </c>
      <c r="B2080" t="s">
        <v>440</v>
      </c>
    </row>
    <row r="2081" spans="1:8" x14ac:dyDescent="0.25">
      <c r="A2081" t="str">
        <f>"&lt;restock&gt;" &amp;$F$2078&amp;"&lt;/restock&gt;"</f>
        <v>&lt;restock&gt;0&lt;/restock&gt;</v>
      </c>
      <c r="B2081" t="s">
        <v>440</v>
      </c>
    </row>
    <row r="2082" spans="1:8" x14ac:dyDescent="0.25">
      <c r="A2082" t="str">
        <f>"&lt;min&gt;" &amp;$G$2078&amp;"&lt;/min&gt;"</f>
        <v>&lt;min&gt;20&lt;/min&gt;</v>
      </c>
      <c r="B2082" t="s">
        <v>440</v>
      </c>
    </row>
    <row r="2083" spans="1:8" x14ac:dyDescent="0.25">
      <c r="A2083" t="s">
        <v>16</v>
      </c>
      <c r="B2083" t="s">
        <v>440</v>
      </c>
    </row>
    <row r="2084" spans="1:8" x14ac:dyDescent="0.25">
      <c r="A2084" t="s">
        <v>17</v>
      </c>
      <c r="B2084" t="s">
        <v>440</v>
      </c>
    </row>
    <row r="2085" spans="1:8" x14ac:dyDescent="0.25">
      <c r="A2085" t="s">
        <v>18</v>
      </c>
      <c r="B2085" t="s">
        <v>440</v>
      </c>
    </row>
    <row r="2086" spans="1:8" x14ac:dyDescent="0.25">
      <c r="A2086" t="str">
        <f xml:space="preserve"> $H$2078</f>
        <v>&lt;flags count_in_cargo="0" count_in_hoarder="0" count_in_map="1" count_in_player="0" crafted="0" deloot="0"/&gt;</v>
      </c>
      <c r="B2086" t="s">
        <v>440</v>
      </c>
    </row>
    <row r="2087" spans="1:8" x14ac:dyDescent="0.25">
      <c r="A2087" t="str">
        <f>"&lt;category name=" &amp;"""" &amp;$C$2078&amp;"""/&gt;"</f>
        <v>&lt;category name="clothes"/&gt;</v>
      </c>
      <c r="B2087" t="s">
        <v>440</v>
      </c>
    </row>
    <row r="2088" spans="1:8" x14ac:dyDescent="0.25">
      <c r="A2088" t="s">
        <v>20</v>
      </c>
      <c r="B2088" t="s">
        <v>440</v>
      </c>
    </row>
    <row r="2089" spans="1:8" x14ac:dyDescent="0.25">
      <c r="A2089" t="s">
        <v>39</v>
      </c>
      <c r="B2089" t="s">
        <v>440</v>
      </c>
    </row>
    <row r="2090" spans="1:8" x14ac:dyDescent="0.25">
      <c r="A2090" t="s">
        <v>40</v>
      </c>
      <c r="B2090" t="s">
        <v>440</v>
      </c>
    </row>
    <row r="2091" spans="1:8" x14ac:dyDescent="0.25">
      <c r="A2091" t="s">
        <v>22</v>
      </c>
      <c r="B2091" t="s">
        <v>440</v>
      </c>
    </row>
    <row r="2092" spans="1:8" x14ac:dyDescent="0.25">
      <c r="A2092" t="s">
        <v>1566</v>
      </c>
      <c r="B2092" t="s">
        <v>441</v>
      </c>
      <c r="C2092" t="s">
        <v>403</v>
      </c>
      <c r="D2092">
        <v>30</v>
      </c>
      <c r="E2092">
        <v>1800</v>
      </c>
      <c r="F2092">
        <v>0</v>
      </c>
      <c r="G2092">
        <v>20</v>
      </c>
      <c r="H2092" t="s">
        <v>19</v>
      </c>
    </row>
    <row r="2093" spans="1:8" x14ac:dyDescent="0.25">
      <c r="A2093" t="str">
        <f>"&lt;nominal&gt;" &amp;$D$2092&amp;"&lt;/nominal&gt;"</f>
        <v>&lt;nominal&gt;30&lt;/nominal&gt;</v>
      </c>
      <c r="B2093" t="s">
        <v>441</v>
      </c>
    </row>
    <row r="2094" spans="1:8" x14ac:dyDescent="0.25">
      <c r="A2094" t="str">
        <f>"&lt;lifetime&gt;" &amp;$E$2092&amp;"&lt;/lifetime&gt;"</f>
        <v>&lt;lifetime&gt;1800&lt;/lifetime&gt;</v>
      </c>
      <c r="B2094" t="s">
        <v>441</v>
      </c>
    </row>
    <row r="2095" spans="1:8" x14ac:dyDescent="0.25">
      <c r="A2095" t="str">
        <f>"&lt;restock&gt;" &amp;$F$2092&amp;"&lt;/restock&gt;"</f>
        <v>&lt;restock&gt;0&lt;/restock&gt;</v>
      </c>
      <c r="B2095" t="s">
        <v>441</v>
      </c>
    </row>
    <row r="2096" spans="1:8" x14ac:dyDescent="0.25">
      <c r="A2096" t="str">
        <f>"&lt;min&gt;" &amp;$G$2092&amp;"&lt;/min&gt;"</f>
        <v>&lt;min&gt;20&lt;/min&gt;</v>
      </c>
      <c r="B2096" t="s">
        <v>441</v>
      </c>
    </row>
    <row r="2097" spans="1:8" x14ac:dyDescent="0.25">
      <c r="A2097" t="s">
        <v>16</v>
      </c>
      <c r="B2097" t="s">
        <v>441</v>
      </c>
    </row>
    <row r="2098" spans="1:8" x14ac:dyDescent="0.25">
      <c r="A2098" t="s">
        <v>17</v>
      </c>
      <c r="B2098" t="s">
        <v>441</v>
      </c>
    </row>
    <row r="2099" spans="1:8" x14ac:dyDescent="0.25">
      <c r="A2099" t="s">
        <v>18</v>
      </c>
      <c r="B2099" t="s">
        <v>441</v>
      </c>
    </row>
    <row r="2100" spans="1:8" x14ac:dyDescent="0.25">
      <c r="A2100" t="str">
        <f xml:space="preserve"> $H$2092</f>
        <v>&lt;flags count_in_cargo="0" count_in_hoarder="0" count_in_map="1" count_in_player="0" crafted="0" deloot="0"/&gt;</v>
      </c>
      <c r="B2100" t="s">
        <v>441</v>
      </c>
    </row>
    <row r="2101" spans="1:8" x14ac:dyDescent="0.25">
      <c r="A2101" t="str">
        <f>"&lt;category name=" &amp;"""" &amp;$C$2092&amp;"""/&gt;"</f>
        <v>&lt;category name="clothes"/&gt;</v>
      </c>
      <c r="B2101" t="s">
        <v>441</v>
      </c>
    </row>
    <row r="2102" spans="1:8" x14ac:dyDescent="0.25">
      <c r="A2102" t="s">
        <v>20</v>
      </c>
      <c r="B2102" t="s">
        <v>441</v>
      </c>
    </row>
    <row r="2103" spans="1:8" x14ac:dyDescent="0.25">
      <c r="A2103" t="s">
        <v>39</v>
      </c>
      <c r="B2103" t="s">
        <v>441</v>
      </c>
    </row>
    <row r="2104" spans="1:8" x14ac:dyDescent="0.25">
      <c r="A2104" t="s">
        <v>40</v>
      </c>
      <c r="B2104" t="s">
        <v>441</v>
      </c>
    </row>
    <row r="2105" spans="1:8" x14ac:dyDescent="0.25">
      <c r="A2105" t="s">
        <v>22</v>
      </c>
      <c r="B2105" t="s">
        <v>441</v>
      </c>
    </row>
    <row r="2106" spans="1:8" x14ac:dyDescent="0.25">
      <c r="A2106" t="s">
        <v>1567</v>
      </c>
      <c r="B2106" t="s">
        <v>442</v>
      </c>
      <c r="C2106" t="s">
        <v>403</v>
      </c>
      <c r="D2106">
        <v>30</v>
      </c>
      <c r="E2106">
        <v>1800</v>
      </c>
      <c r="F2106">
        <v>0</v>
      </c>
      <c r="G2106">
        <v>20</v>
      </c>
      <c r="H2106" t="s">
        <v>19</v>
      </c>
    </row>
    <row r="2107" spans="1:8" x14ac:dyDescent="0.25">
      <c r="A2107" t="str">
        <f>"&lt;nominal&gt;" &amp;$D$2106&amp;"&lt;/nominal&gt;"</f>
        <v>&lt;nominal&gt;30&lt;/nominal&gt;</v>
      </c>
      <c r="B2107" t="s">
        <v>442</v>
      </c>
    </row>
    <row r="2108" spans="1:8" x14ac:dyDescent="0.25">
      <c r="A2108" t="str">
        <f>"&lt;lifetime&gt;" &amp;$E$2106&amp;"&lt;/lifetime&gt;"</f>
        <v>&lt;lifetime&gt;1800&lt;/lifetime&gt;</v>
      </c>
      <c r="B2108" t="s">
        <v>442</v>
      </c>
    </row>
    <row r="2109" spans="1:8" x14ac:dyDescent="0.25">
      <c r="A2109" t="str">
        <f>"&lt;restock&gt;" &amp;$F$2106&amp;"&lt;/restock&gt;"</f>
        <v>&lt;restock&gt;0&lt;/restock&gt;</v>
      </c>
      <c r="B2109" t="s">
        <v>442</v>
      </c>
    </row>
    <row r="2110" spans="1:8" x14ac:dyDescent="0.25">
      <c r="A2110" t="str">
        <f>"&lt;min&gt;" &amp;$G$2106&amp;"&lt;/min&gt;"</f>
        <v>&lt;min&gt;20&lt;/min&gt;</v>
      </c>
      <c r="B2110" t="s">
        <v>442</v>
      </c>
    </row>
    <row r="2111" spans="1:8" x14ac:dyDescent="0.25">
      <c r="A2111" t="s">
        <v>16</v>
      </c>
      <c r="B2111" t="s">
        <v>442</v>
      </c>
    </row>
    <row r="2112" spans="1:8" x14ac:dyDescent="0.25">
      <c r="A2112" t="s">
        <v>17</v>
      </c>
      <c r="B2112" t="s">
        <v>442</v>
      </c>
    </row>
    <row r="2113" spans="1:8" x14ac:dyDescent="0.25">
      <c r="A2113" t="s">
        <v>18</v>
      </c>
      <c r="B2113" t="s">
        <v>442</v>
      </c>
    </row>
    <row r="2114" spans="1:8" x14ac:dyDescent="0.25">
      <c r="A2114" t="str">
        <f xml:space="preserve"> $H$2106</f>
        <v>&lt;flags count_in_cargo="0" count_in_hoarder="0" count_in_map="1" count_in_player="0" crafted="0" deloot="0"/&gt;</v>
      </c>
      <c r="B2114" t="s">
        <v>442</v>
      </c>
    </row>
    <row r="2115" spans="1:8" x14ac:dyDescent="0.25">
      <c r="A2115" t="str">
        <f>"&lt;category name=" &amp;"""" &amp;$C$2106&amp;"""/&gt;"</f>
        <v>&lt;category name="clothes"/&gt;</v>
      </c>
      <c r="B2115" t="s">
        <v>442</v>
      </c>
    </row>
    <row r="2116" spans="1:8" x14ac:dyDescent="0.25">
      <c r="A2116" t="s">
        <v>20</v>
      </c>
      <c r="B2116" t="s">
        <v>442</v>
      </c>
    </row>
    <row r="2117" spans="1:8" x14ac:dyDescent="0.25">
      <c r="A2117" t="s">
        <v>39</v>
      </c>
      <c r="B2117" t="s">
        <v>442</v>
      </c>
    </row>
    <row r="2118" spans="1:8" x14ac:dyDescent="0.25">
      <c r="A2118" t="s">
        <v>40</v>
      </c>
      <c r="B2118" t="s">
        <v>442</v>
      </c>
    </row>
    <row r="2119" spans="1:8" x14ac:dyDescent="0.25">
      <c r="A2119" t="s">
        <v>22</v>
      </c>
      <c r="B2119" t="s">
        <v>442</v>
      </c>
    </row>
    <row r="2120" spans="1:8" x14ac:dyDescent="0.25">
      <c r="A2120" t="s">
        <v>1568</v>
      </c>
      <c r="B2120" t="s">
        <v>443</v>
      </c>
      <c r="C2120" t="s">
        <v>403</v>
      </c>
      <c r="D2120">
        <v>30</v>
      </c>
      <c r="E2120">
        <v>1800</v>
      </c>
      <c r="F2120">
        <v>0</v>
      </c>
      <c r="G2120">
        <v>20</v>
      </c>
      <c r="H2120" t="s">
        <v>19</v>
      </c>
    </row>
    <row r="2121" spans="1:8" x14ac:dyDescent="0.25">
      <c r="A2121" t="str">
        <f>"&lt;nominal&gt;" &amp;$D$2120&amp;"&lt;/nominal&gt;"</f>
        <v>&lt;nominal&gt;30&lt;/nominal&gt;</v>
      </c>
      <c r="B2121" t="s">
        <v>443</v>
      </c>
    </row>
    <row r="2122" spans="1:8" x14ac:dyDescent="0.25">
      <c r="A2122" t="str">
        <f>"&lt;lifetime&gt;" &amp;$E$2120&amp;"&lt;/lifetime&gt;"</f>
        <v>&lt;lifetime&gt;1800&lt;/lifetime&gt;</v>
      </c>
      <c r="B2122" t="s">
        <v>443</v>
      </c>
    </row>
    <row r="2123" spans="1:8" x14ac:dyDescent="0.25">
      <c r="A2123" t="str">
        <f>"&lt;restock&gt;" &amp;$F$2120&amp;"&lt;/restock&gt;"</f>
        <v>&lt;restock&gt;0&lt;/restock&gt;</v>
      </c>
      <c r="B2123" t="s">
        <v>443</v>
      </c>
    </row>
    <row r="2124" spans="1:8" x14ac:dyDescent="0.25">
      <c r="A2124" t="str">
        <f>"&lt;min&gt;" &amp;$G$2120&amp;"&lt;/min&gt;"</f>
        <v>&lt;min&gt;20&lt;/min&gt;</v>
      </c>
      <c r="B2124" t="s">
        <v>443</v>
      </c>
    </row>
    <row r="2125" spans="1:8" x14ac:dyDescent="0.25">
      <c r="A2125" t="s">
        <v>16</v>
      </c>
      <c r="B2125" t="s">
        <v>443</v>
      </c>
    </row>
    <row r="2126" spans="1:8" x14ac:dyDescent="0.25">
      <c r="A2126" t="s">
        <v>17</v>
      </c>
      <c r="B2126" t="s">
        <v>443</v>
      </c>
    </row>
    <row r="2127" spans="1:8" x14ac:dyDescent="0.25">
      <c r="A2127" t="s">
        <v>18</v>
      </c>
      <c r="B2127" t="s">
        <v>443</v>
      </c>
    </row>
    <row r="2128" spans="1:8" x14ac:dyDescent="0.25">
      <c r="A2128" t="str">
        <f xml:space="preserve"> $H$2120</f>
        <v>&lt;flags count_in_cargo="0" count_in_hoarder="0" count_in_map="1" count_in_player="0" crafted="0" deloot="0"/&gt;</v>
      </c>
      <c r="B2128" t="s">
        <v>443</v>
      </c>
    </row>
    <row r="2129" spans="1:8" x14ac:dyDescent="0.25">
      <c r="A2129" t="str">
        <f>"&lt;category name=" &amp;"""" &amp;$C$2120&amp;"""/&gt;"</f>
        <v>&lt;category name="clothes"/&gt;</v>
      </c>
      <c r="B2129" t="s">
        <v>443</v>
      </c>
    </row>
    <row r="2130" spans="1:8" x14ac:dyDescent="0.25">
      <c r="A2130" t="s">
        <v>20</v>
      </c>
      <c r="B2130" t="s">
        <v>443</v>
      </c>
    </row>
    <row r="2131" spans="1:8" x14ac:dyDescent="0.25">
      <c r="A2131" t="s">
        <v>39</v>
      </c>
      <c r="B2131" t="s">
        <v>443</v>
      </c>
    </row>
    <row r="2132" spans="1:8" x14ac:dyDescent="0.25">
      <c r="A2132" t="s">
        <v>40</v>
      </c>
      <c r="B2132" t="s">
        <v>443</v>
      </c>
    </row>
    <row r="2133" spans="1:8" x14ac:dyDescent="0.25">
      <c r="A2133" t="s">
        <v>22</v>
      </c>
      <c r="B2133" t="s">
        <v>443</v>
      </c>
    </row>
    <row r="2134" spans="1:8" x14ac:dyDescent="0.25">
      <c r="A2134" t="s">
        <v>1569</v>
      </c>
      <c r="B2134" t="s">
        <v>444</v>
      </c>
      <c r="C2134" t="s">
        <v>403</v>
      </c>
      <c r="D2134">
        <v>30</v>
      </c>
      <c r="E2134">
        <v>1800</v>
      </c>
      <c r="F2134">
        <v>0</v>
      </c>
      <c r="G2134">
        <v>15</v>
      </c>
      <c r="H2134" t="s">
        <v>19</v>
      </c>
    </row>
    <row r="2135" spans="1:8" x14ac:dyDescent="0.25">
      <c r="A2135" t="str">
        <f>"&lt;nominal&gt;" &amp;$D$2134&amp;"&lt;/nominal&gt;"</f>
        <v>&lt;nominal&gt;30&lt;/nominal&gt;</v>
      </c>
      <c r="B2135" t="s">
        <v>444</v>
      </c>
    </row>
    <row r="2136" spans="1:8" x14ac:dyDescent="0.25">
      <c r="A2136" t="str">
        <f>"&lt;lifetime&gt;" &amp;$E$2134&amp;"&lt;/lifetime&gt;"</f>
        <v>&lt;lifetime&gt;1800&lt;/lifetime&gt;</v>
      </c>
      <c r="B2136" t="s">
        <v>444</v>
      </c>
    </row>
    <row r="2137" spans="1:8" x14ac:dyDescent="0.25">
      <c r="A2137" t="str">
        <f>"&lt;restock&gt;" &amp;$F$2134&amp;"&lt;/restock&gt;"</f>
        <v>&lt;restock&gt;0&lt;/restock&gt;</v>
      </c>
      <c r="B2137" t="s">
        <v>444</v>
      </c>
    </row>
    <row r="2138" spans="1:8" x14ac:dyDescent="0.25">
      <c r="A2138" t="str">
        <f>"&lt;min&gt;" &amp;$G$2134&amp;"&lt;/min&gt;"</f>
        <v>&lt;min&gt;15&lt;/min&gt;</v>
      </c>
      <c r="B2138" t="s">
        <v>444</v>
      </c>
    </row>
    <row r="2139" spans="1:8" x14ac:dyDescent="0.25">
      <c r="A2139" t="s">
        <v>16</v>
      </c>
      <c r="B2139" t="s">
        <v>444</v>
      </c>
    </row>
    <row r="2140" spans="1:8" x14ac:dyDescent="0.25">
      <c r="A2140" t="s">
        <v>17</v>
      </c>
      <c r="B2140" t="s">
        <v>444</v>
      </c>
    </row>
    <row r="2141" spans="1:8" x14ac:dyDescent="0.25">
      <c r="A2141" t="s">
        <v>18</v>
      </c>
      <c r="B2141" t="s">
        <v>444</v>
      </c>
    </row>
    <row r="2142" spans="1:8" x14ac:dyDescent="0.25">
      <c r="A2142" t="str">
        <f xml:space="preserve"> $H$2134</f>
        <v>&lt;flags count_in_cargo="0" count_in_hoarder="0" count_in_map="1" count_in_player="0" crafted="0" deloot="0"/&gt;</v>
      </c>
      <c r="B2142" t="s">
        <v>444</v>
      </c>
    </row>
    <row r="2143" spans="1:8" x14ac:dyDescent="0.25">
      <c r="A2143" t="str">
        <f>"&lt;category name=" &amp;"""" &amp;$C$2134&amp;"""/&gt;"</f>
        <v>&lt;category name="clothes"/&gt;</v>
      </c>
      <c r="B2143" t="s">
        <v>444</v>
      </c>
    </row>
    <row r="2144" spans="1:8" x14ac:dyDescent="0.25">
      <c r="A2144" t="s">
        <v>20</v>
      </c>
      <c r="B2144" t="s">
        <v>444</v>
      </c>
    </row>
    <row r="2145" spans="1:8" x14ac:dyDescent="0.25">
      <c r="A2145" t="s">
        <v>39</v>
      </c>
      <c r="B2145" t="s">
        <v>444</v>
      </c>
    </row>
    <row r="2146" spans="1:8" x14ac:dyDescent="0.25">
      <c r="A2146" t="s">
        <v>40</v>
      </c>
      <c r="B2146" t="s">
        <v>444</v>
      </c>
    </row>
    <row r="2147" spans="1:8" x14ac:dyDescent="0.25">
      <c r="A2147" t="s">
        <v>22</v>
      </c>
      <c r="B2147" t="s">
        <v>444</v>
      </c>
    </row>
    <row r="2148" spans="1:8" x14ac:dyDescent="0.25">
      <c r="A2148" t="s">
        <v>1570</v>
      </c>
      <c r="B2148" t="s">
        <v>445</v>
      </c>
      <c r="C2148" t="s">
        <v>403</v>
      </c>
      <c r="D2148">
        <v>25</v>
      </c>
      <c r="E2148">
        <v>1800</v>
      </c>
      <c r="F2148">
        <v>0</v>
      </c>
      <c r="G2148">
        <v>15</v>
      </c>
      <c r="H2148" t="s">
        <v>19</v>
      </c>
    </row>
    <row r="2149" spans="1:8" x14ac:dyDescent="0.25">
      <c r="A2149" t="str">
        <f>"&lt;nominal&gt;" &amp;$D$2148&amp;"&lt;/nominal&gt;"</f>
        <v>&lt;nominal&gt;25&lt;/nominal&gt;</v>
      </c>
      <c r="B2149" t="s">
        <v>445</v>
      </c>
    </row>
    <row r="2150" spans="1:8" x14ac:dyDescent="0.25">
      <c r="A2150" t="str">
        <f>"&lt;lifetime&gt;" &amp;$E$2148&amp;"&lt;/lifetime&gt;"</f>
        <v>&lt;lifetime&gt;1800&lt;/lifetime&gt;</v>
      </c>
      <c r="B2150" t="s">
        <v>445</v>
      </c>
    </row>
    <row r="2151" spans="1:8" x14ac:dyDescent="0.25">
      <c r="A2151" t="str">
        <f>"&lt;restock&gt;" &amp;$F$2148&amp;"&lt;/restock&gt;"</f>
        <v>&lt;restock&gt;0&lt;/restock&gt;</v>
      </c>
      <c r="B2151" t="s">
        <v>445</v>
      </c>
    </row>
    <row r="2152" spans="1:8" x14ac:dyDescent="0.25">
      <c r="A2152" t="str">
        <f>"&lt;min&gt;" &amp;$G$2148&amp;"&lt;/min&gt;"</f>
        <v>&lt;min&gt;15&lt;/min&gt;</v>
      </c>
      <c r="B2152" t="s">
        <v>445</v>
      </c>
    </row>
    <row r="2153" spans="1:8" x14ac:dyDescent="0.25">
      <c r="A2153" t="s">
        <v>16</v>
      </c>
      <c r="B2153" t="s">
        <v>445</v>
      </c>
    </row>
    <row r="2154" spans="1:8" x14ac:dyDescent="0.25">
      <c r="A2154" t="s">
        <v>17</v>
      </c>
      <c r="B2154" t="s">
        <v>445</v>
      </c>
    </row>
    <row r="2155" spans="1:8" x14ac:dyDescent="0.25">
      <c r="A2155" t="s">
        <v>18</v>
      </c>
      <c r="B2155" t="s">
        <v>445</v>
      </c>
    </row>
    <row r="2156" spans="1:8" x14ac:dyDescent="0.25">
      <c r="A2156" t="str">
        <f xml:space="preserve"> $H$2148</f>
        <v>&lt;flags count_in_cargo="0" count_in_hoarder="0" count_in_map="1" count_in_player="0" crafted="0" deloot="0"/&gt;</v>
      </c>
      <c r="B2156" t="s">
        <v>445</v>
      </c>
    </row>
    <row r="2157" spans="1:8" x14ac:dyDescent="0.25">
      <c r="A2157" t="str">
        <f>"&lt;category name=" &amp;"""" &amp;$C$2148&amp;"""/&gt;"</f>
        <v>&lt;category name="clothes"/&gt;</v>
      </c>
      <c r="B2157" t="s">
        <v>445</v>
      </c>
    </row>
    <row r="2158" spans="1:8" x14ac:dyDescent="0.25">
      <c r="A2158" t="s">
        <v>20</v>
      </c>
      <c r="B2158" t="s">
        <v>445</v>
      </c>
    </row>
    <row r="2159" spans="1:8" x14ac:dyDescent="0.25">
      <c r="A2159" t="s">
        <v>67</v>
      </c>
      <c r="B2159" t="s">
        <v>445</v>
      </c>
    </row>
    <row r="2160" spans="1:8" x14ac:dyDescent="0.25">
      <c r="A2160" t="s">
        <v>22</v>
      </c>
      <c r="B2160" t="s">
        <v>445</v>
      </c>
    </row>
    <row r="2161" spans="1:8" x14ac:dyDescent="0.25">
      <c r="A2161" t="s">
        <v>1571</v>
      </c>
      <c r="B2161" t="s">
        <v>446</v>
      </c>
      <c r="C2161" t="s">
        <v>403</v>
      </c>
      <c r="D2161">
        <v>30</v>
      </c>
      <c r="E2161">
        <v>1800</v>
      </c>
      <c r="F2161">
        <v>0</v>
      </c>
      <c r="G2161">
        <v>15</v>
      </c>
      <c r="H2161" t="s">
        <v>19</v>
      </c>
    </row>
    <row r="2162" spans="1:8" x14ac:dyDescent="0.25">
      <c r="A2162" t="str">
        <f>"&lt;nominal&gt;" &amp;$D$2161&amp;"&lt;/nominal&gt;"</f>
        <v>&lt;nominal&gt;30&lt;/nominal&gt;</v>
      </c>
      <c r="B2162" t="s">
        <v>446</v>
      </c>
    </row>
    <row r="2163" spans="1:8" x14ac:dyDescent="0.25">
      <c r="A2163" t="str">
        <f>"&lt;lifetime&gt;" &amp;$E$2161&amp;"&lt;/lifetime&gt;"</f>
        <v>&lt;lifetime&gt;1800&lt;/lifetime&gt;</v>
      </c>
      <c r="B2163" t="s">
        <v>446</v>
      </c>
    </row>
    <row r="2164" spans="1:8" x14ac:dyDescent="0.25">
      <c r="A2164" t="str">
        <f>"&lt;restock&gt;" &amp;$F$2161&amp;"&lt;/restock&gt;"</f>
        <v>&lt;restock&gt;0&lt;/restock&gt;</v>
      </c>
      <c r="B2164" t="s">
        <v>446</v>
      </c>
    </row>
    <row r="2165" spans="1:8" x14ac:dyDescent="0.25">
      <c r="A2165" t="str">
        <f>"&lt;min&gt;" &amp;$G$2161&amp;"&lt;/min&gt;"</f>
        <v>&lt;min&gt;15&lt;/min&gt;</v>
      </c>
      <c r="B2165" t="s">
        <v>446</v>
      </c>
    </row>
    <row r="2166" spans="1:8" x14ac:dyDescent="0.25">
      <c r="A2166" t="s">
        <v>16</v>
      </c>
      <c r="B2166" t="s">
        <v>446</v>
      </c>
    </row>
    <row r="2167" spans="1:8" x14ac:dyDescent="0.25">
      <c r="A2167" t="s">
        <v>17</v>
      </c>
      <c r="B2167" t="s">
        <v>446</v>
      </c>
    </row>
    <row r="2168" spans="1:8" x14ac:dyDescent="0.25">
      <c r="A2168" t="s">
        <v>18</v>
      </c>
      <c r="B2168" t="s">
        <v>446</v>
      </c>
    </row>
    <row r="2169" spans="1:8" x14ac:dyDescent="0.25">
      <c r="A2169" t="str">
        <f xml:space="preserve"> $H$2161</f>
        <v>&lt;flags count_in_cargo="0" count_in_hoarder="0" count_in_map="1" count_in_player="0" crafted="0" deloot="0"/&gt;</v>
      </c>
      <c r="B2169" t="s">
        <v>446</v>
      </c>
    </row>
    <row r="2170" spans="1:8" x14ac:dyDescent="0.25">
      <c r="A2170" t="str">
        <f>"&lt;category name=" &amp;"""" &amp;$C$2161&amp;"""/&gt;"</f>
        <v>&lt;category name="clothes"/&gt;</v>
      </c>
      <c r="B2170" t="s">
        <v>446</v>
      </c>
    </row>
    <row r="2171" spans="1:8" x14ac:dyDescent="0.25">
      <c r="A2171" t="s">
        <v>20</v>
      </c>
      <c r="B2171" t="s">
        <v>446</v>
      </c>
    </row>
    <row r="2172" spans="1:8" x14ac:dyDescent="0.25">
      <c r="A2172" t="s">
        <v>39</v>
      </c>
      <c r="B2172" t="s">
        <v>446</v>
      </c>
    </row>
    <row r="2173" spans="1:8" x14ac:dyDescent="0.25">
      <c r="A2173" t="s">
        <v>40</v>
      </c>
      <c r="B2173" t="s">
        <v>446</v>
      </c>
    </row>
    <row r="2174" spans="1:8" x14ac:dyDescent="0.25">
      <c r="A2174" t="s">
        <v>22</v>
      </c>
      <c r="B2174" t="s">
        <v>446</v>
      </c>
    </row>
    <row r="2175" spans="1:8" x14ac:dyDescent="0.25">
      <c r="A2175" t="s">
        <v>1572</v>
      </c>
      <c r="B2175" t="s">
        <v>447</v>
      </c>
      <c r="C2175" t="s">
        <v>403</v>
      </c>
      <c r="D2175">
        <v>30</v>
      </c>
      <c r="E2175">
        <v>1800</v>
      </c>
      <c r="F2175">
        <v>0</v>
      </c>
      <c r="G2175">
        <v>15</v>
      </c>
      <c r="H2175" t="s">
        <v>19</v>
      </c>
    </row>
    <row r="2176" spans="1:8" x14ac:dyDescent="0.25">
      <c r="A2176" t="str">
        <f>"&lt;nominal&gt;" &amp;$D$2175&amp;"&lt;/nominal&gt;"</f>
        <v>&lt;nominal&gt;30&lt;/nominal&gt;</v>
      </c>
      <c r="B2176" t="s">
        <v>447</v>
      </c>
    </row>
    <row r="2177" spans="1:8" x14ac:dyDescent="0.25">
      <c r="A2177" t="str">
        <f>"&lt;lifetime&gt;" &amp;$E$2175&amp;"&lt;/lifetime&gt;"</f>
        <v>&lt;lifetime&gt;1800&lt;/lifetime&gt;</v>
      </c>
      <c r="B2177" t="s">
        <v>447</v>
      </c>
    </row>
    <row r="2178" spans="1:8" x14ac:dyDescent="0.25">
      <c r="A2178" t="str">
        <f>"&lt;restock&gt;" &amp;$F$2175&amp;"&lt;/restock&gt;"</f>
        <v>&lt;restock&gt;0&lt;/restock&gt;</v>
      </c>
      <c r="B2178" t="s">
        <v>447</v>
      </c>
    </row>
    <row r="2179" spans="1:8" x14ac:dyDescent="0.25">
      <c r="A2179" t="str">
        <f>"&lt;min&gt;" &amp;$G$2175&amp;"&lt;/min&gt;"</f>
        <v>&lt;min&gt;15&lt;/min&gt;</v>
      </c>
      <c r="B2179" t="s">
        <v>447</v>
      </c>
    </row>
    <row r="2180" spans="1:8" x14ac:dyDescent="0.25">
      <c r="A2180" t="s">
        <v>16</v>
      </c>
      <c r="B2180" t="s">
        <v>447</v>
      </c>
    </row>
    <row r="2181" spans="1:8" x14ac:dyDescent="0.25">
      <c r="A2181" t="s">
        <v>17</v>
      </c>
      <c r="B2181" t="s">
        <v>447</v>
      </c>
    </row>
    <row r="2182" spans="1:8" x14ac:dyDescent="0.25">
      <c r="A2182" t="s">
        <v>18</v>
      </c>
      <c r="B2182" t="s">
        <v>447</v>
      </c>
    </row>
    <row r="2183" spans="1:8" x14ac:dyDescent="0.25">
      <c r="A2183" t="str">
        <f xml:space="preserve"> $H$2175</f>
        <v>&lt;flags count_in_cargo="0" count_in_hoarder="0" count_in_map="1" count_in_player="0" crafted="0" deloot="0"/&gt;</v>
      </c>
      <c r="B2183" t="s">
        <v>447</v>
      </c>
    </row>
    <row r="2184" spans="1:8" x14ac:dyDescent="0.25">
      <c r="A2184" t="str">
        <f>"&lt;category name=" &amp;"""" &amp;$C$2175&amp;"""/&gt;"</f>
        <v>&lt;category name="clothes"/&gt;</v>
      </c>
      <c r="B2184" t="s">
        <v>447</v>
      </c>
    </row>
    <row r="2185" spans="1:8" x14ac:dyDescent="0.25">
      <c r="A2185" t="s">
        <v>20</v>
      </c>
      <c r="B2185" t="s">
        <v>447</v>
      </c>
    </row>
    <row r="2186" spans="1:8" x14ac:dyDescent="0.25">
      <c r="A2186" t="s">
        <v>39</v>
      </c>
      <c r="B2186" t="s">
        <v>447</v>
      </c>
    </row>
    <row r="2187" spans="1:8" x14ac:dyDescent="0.25">
      <c r="A2187" t="s">
        <v>40</v>
      </c>
      <c r="B2187" t="s">
        <v>447</v>
      </c>
    </row>
    <row r="2188" spans="1:8" x14ac:dyDescent="0.25">
      <c r="A2188" t="s">
        <v>22</v>
      </c>
      <c r="B2188" t="s">
        <v>447</v>
      </c>
    </row>
    <row r="2189" spans="1:8" x14ac:dyDescent="0.25">
      <c r="A2189" t="s">
        <v>1573</v>
      </c>
      <c r="B2189" t="s">
        <v>448</v>
      </c>
      <c r="C2189" t="s">
        <v>403</v>
      </c>
      <c r="D2189">
        <v>30</v>
      </c>
      <c r="E2189">
        <v>1800</v>
      </c>
      <c r="F2189">
        <v>0</v>
      </c>
      <c r="G2189">
        <v>15</v>
      </c>
      <c r="H2189" t="s">
        <v>19</v>
      </c>
    </row>
    <row r="2190" spans="1:8" x14ac:dyDescent="0.25">
      <c r="A2190" t="str">
        <f>"&lt;nominal&gt;" &amp;$D$2189&amp;"&lt;/nominal&gt;"</f>
        <v>&lt;nominal&gt;30&lt;/nominal&gt;</v>
      </c>
      <c r="B2190" t="s">
        <v>448</v>
      </c>
    </row>
    <row r="2191" spans="1:8" x14ac:dyDescent="0.25">
      <c r="A2191" t="str">
        <f>"&lt;lifetime&gt;" &amp;$E$2189&amp;"&lt;/lifetime&gt;"</f>
        <v>&lt;lifetime&gt;1800&lt;/lifetime&gt;</v>
      </c>
      <c r="B2191" t="s">
        <v>448</v>
      </c>
    </row>
    <row r="2192" spans="1:8" x14ac:dyDescent="0.25">
      <c r="A2192" t="str">
        <f>"&lt;restock&gt;" &amp;$F$2189&amp;"&lt;/restock&gt;"</f>
        <v>&lt;restock&gt;0&lt;/restock&gt;</v>
      </c>
      <c r="B2192" t="s">
        <v>448</v>
      </c>
    </row>
    <row r="2193" spans="1:8" x14ac:dyDescent="0.25">
      <c r="A2193" t="str">
        <f>"&lt;min&gt;" &amp;$G$2189&amp;"&lt;/min&gt;"</f>
        <v>&lt;min&gt;15&lt;/min&gt;</v>
      </c>
      <c r="B2193" t="s">
        <v>448</v>
      </c>
    </row>
    <row r="2194" spans="1:8" x14ac:dyDescent="0.25">
      <c r="A2194" t="s">
        <v>16</v>
      </c>
      <c r="B2194" t="s">
        <v>448</v>
      </c>
    </row>
    <row r="2195" spans="1:8" x14ac:dyDescent="0.25">
      <c r="A2195" t="s">
        <v>17</v>
      </c>
      <c r="B2195" t="s">
        <v>448</v>
      </c>
    </row>
    <row r="2196" spans="1:8" x14ac:dyDescent="0.25">
      <c r="A2196" t="s">
        <v>18</v>
      </c>
      <c r="B2196" t="s">
        <v>448</v>
      </c>
    </row>
    <row r="2197" spans="1:8" x14ac:dyDescent="0.25">
      <c r="A2197" t="str">
        <f xml:space="preserve"> $H$2189</f>
        <v>&lt;flags count_in_cargo="0" count_in_hoarder="0" count_in_map="1" count_in_player="0" crafted="0" deloot="0"/&gt;</v>
      </c>
      <c r="B2197" t="s">
        <v>448</v>
      </c>
    </row>
    <row r="2198" spans="1:8" x14ac:dyDescent="0.25">
      <c r="A2198" t="str">
        <f>"&lt;category name=" &amp;"""" &amp;$C$2189&amp;"""/&gt;"</f>
        <v>&lt;category name="clothes"/&gt;</v>
      </c>
      <c r="B2198" t="s">
        <v>448</v>
      </c>
    </row>
    <row r="2199" spans="1:8" x14ac:dyDescent="0.25">
      <c r="A2199" t="s">
        <v>20</v>
      </c>
      <c r="B2199" t="s">
        <v>448</v>
      </c>
    </row>
    <row r="2200" spans="1:8" x14ac:dyDescent="0.25">
      <c r="A2200" t="s">
        <v>39</v>
      </c>
      <c r="B2200" t="s">
        <v>448</v>
      </c>
    </row>
    <row r="2201" spans="1:8" x14ac:dyDescent="0.25">
      <c r="A2201" t="s">
        <v>40</v>
      </c>
      <c r="B2201" t="s">
        <v>448</v>
      </c>
    </row>
    <row r="2202" spans="1:8" x14ac:dyDescent="0.25">
      <c r="A2202" t="s">
        <v>22</v>
      </c>
      <c r="B2202" t="s">
        <v>448</v>
      </c>
    </row>
    <row r="2203" spans="1:8" x14ac:dyDescent="0.25">
      <c r="A2203" t="s">
        <v>1574</v>
      </c>
      <c r="B2203" t="s">
        <v>449</v>
      </c>
      <c r="C2203" t="s">
        <v>426</v>
      </c>
      <c r="D2203">
        <v>80</v>
      </c>
      <c r="E2203">
        <v>7200</v>
      </c>
      <c r="F2203">
        <v>0</v>
      </c>
      <c r="G2203">
        <v>50</v>
      </c>
      <c r="H2203" t="s">
        <v>19</v>
      </c>
    </row>
    <row r="2204" spans="1:8" x14ac:dyDescent="0.25">
      <c r="A2204" t="str">
        <f>"&lt;nominal&gt;" &amp;$D$2203&amp;"&lt;/nominal&gt;"</f>
        <v>&lt;nominal&gt;80&lt;/nominal&gt;</v>
      </c>
      <c r="B2204" t="s">
        <v>449</v>
      </c>
    </row>
    <row r="2205" spans="1:8" x14ac:dyDescent="0.25">
      <c r="A2205" t="str">
        <f>"&lt;lifetime&gt;" &amp;$E$2203&amp;"&lt;/lifetime&gt;"</f>
        <v>&lt;lifetime&gt;7200&lt;/lifetime&gt;</v>
      </c>
      <c r="B2205" t="s">
        <v>449</v>
      </c>
    </row>
    <row r="2206" spans="1:8" x14ac:dyDescent="0.25">
      <c r="A2206" t="str">
        <f>"&lt;restock&gt;" &amp;$F$2203&amp;"&lt;/restock&gt;"</f>
        <v>&lt;restock&gt;0&lt;/restock&gt;</v>
      </c>
      <c r="B2206" t="s">
        <v>449</v>
      </c>
    </row>
    <row r="2207" spans="1:8" x14ac:dyDescent="0.25">
      <c r="A2207" t="str">
        <f>"&lt;min&gt;" &amp;$G$2203&amp;"&lt;/min&gt;"</f>
        <v>&lt;min&gt;50&lt;/min&gt;</v>
      </c>
      <c r="B2207" t="s">
        <v>449</v>
      </c>
    </row>
    <row r="2208" spans="1:8" x14ac:dyDescent="0.25">
      <c r="A2208" t="s">
        <v>16</v>
      </c>
      <c r="B2208" t="s">
        <v>449</v>
      </c>
    </row>
    <row r="2209" spans="1:8" x14ac:dyDescent="0.25">
      <c r="A2209" t="s">
        <v>17</v>
      </c>
      <c r="B2209" t="s">
        <v>449</v>
      </c>
    </row>
    <row r="2210" spans="1:8" x14ac:dyDescent="0.25">
      <c r="A2210" t="s">
        <v>18</v>
      </c>
      <c r="B2210" t="s">
        <v>449</v>
      </c>
    </row>
    <row r="2211" spans="1:8" x14ac:dyDescent="0.25">
      <c r="A2211" t="str">
        <f xml:space="preserve"> $H$2203</f>
        <v>&lt;flags count_in_cargo="0" count_in_hoarder="0" count_in_map="1" count_in_player="0" crafted="0" deloot="0"/&gt;</v>
      </c>
      <c r="B2211" t="s">
        <v>449</v>
      </c>
    </row>
    <row r="2212" spans="1:8" x14ac:dyDescent="0.25">
      <c r="A2212" t="str">
        <f>"&lt;category name=" &amp;"""" &amp;$C$2203&amp;"""/&gt;"</f>
        <v>&lt;category name="tools"/&gt;</v>
      </c>
      <c r="B2212" t="s">
        <v>449</v>
      </c>
    </row>
    <row r="2213" spans="1:8" x14ac:dyDescent="0.25">
      <c r="A2213" t="s">
        <v>20</v>
      </c>
      <c r="B2213" t="s">
        <v>449</v>
      </c>
    </row>
    <row r="2214" spans="1:8" x14ac:dyDescent="0.25">
      <c r="A2214" t="s">
        <v>55</v>
      </c>
      <c r="B2214" t="s">
        <v>449</v>
      </c>
    </row>
    <row r="2215" spans="1:8" x14ac:dyDescent="0.25">
      <c r="A2215" t="s">
        <v>39</v>
      </c>
      <c r="B2215" t="s">
        <v>449</v>
      </c>
    </row>
    <row r="2216" spans="1:8" x14ac:dyDescent="0.25">
      <c r="A2216" t="s">
        <v>40</v>
      </c>
      <c r="B2216" t="s">
        <v>449</v>
      </c>
    </row>
    <row r="2217" spans="1:8" x14ac:dyDescent="0.25">
      <c r="A2217" t="s">
        <v>22</v>
      </c>
      <c r="B2217" t="s">
        <v>449</v>
      </c>
    </row>
    <row r="2218" spans="1:8" x14ac:dyDescent="0.25">
      <c r="A2218" t="s">
        <v>1575</v>
      </c>
      <c r="B2218" t="s">
        <v>450</v>
      </c>
      <c r="C2218" t="s">
        <v>426</v>
      </c>
      <c r="D2218">
        <v>50</v>
      </c>
      <c r="E2218">
        <v>604800</v>
      </c>
      <c r="F2218">
        <v>0</v>
      </c>
      <c r="G2218">
        <v>30</v>
      </c>
      <c r="H2218" t="s">
        <v>19</v>
      </c>
    </row>
    <row r="2219" spans="1:8" x14ac:dyDescent="0.25">
      <c r="A2219" t="str">
        <f>"&lt;nominal&gt;" &amp;$D$2218&amp;"&lt;/nominal&gt;"</f>
        <v>&lt;nominal&gt;50&lt;/nominal&gt;</v>
      </c>
      <c r="B2219" t="s">
        <v>450</v>
      </c>
    </row>
    <row r="2220" spans="1:8" x14ac:dyDescent="0.25">
      <c r="A2220" t="str">
        <f>"&lt;lifetime&gt;" &amp;$E$2218&amp;"&lt;/lifetime&gt;"</f>
        <v>&lt;lifetime&gt;604800&lt;/lifetime&gt;</v>
      </c>
      <c r="B2220" t="s">
        <v>450</v>
      </c>
    </row>
    <row r="2221" spans="1:8" x14ac:dyDescent="0.25">
      <c r="A2221" t="str">
        <f>"&lt;restock&gt;" &amp;$F$2218&amp;"&lt;/restock&gt;"</f>
        <v>&lt;restock&gt;0&lt;/restock&gt;</v>
      </c>
      <c r="B2221" t="s">
        <v>450</v>
      </c>
    </row>
    <row r="2222" spans="1:8" x14ac:dyDescent="0.25">
      <c r="A2222" t="str">
        <f>"&lt;min&gt;" &amp;$G$2218&amp;"&lt;/min&gt;"</f>
        <v>&lt;min&gt;30&lt;/min&gt;</v>
      </c>
      <c r="B2222" t="s">
        <v>450</v>
      </c>
    </row>
    <row r="2223" spans="1:8" x14ac:dyDescent="0.25">
      <c r="A2223" t="s">
        <v>16</v>
      </c>
      <c r="B2223" t="s">
        <v>450</v>
      </c>
    </row>
    <row r="2224" spans="1:8" x14ac:dyDescent="0.25">
      <c r="A2224" t="s">
        <v>17</v>
      </c>
      <c r="B2224" t="s">
        <v>450</v>
      </c>
    </row>
    <row r="2225" spans="1:8" x14ac:dyDescent="0.25">
      <c r="A2225" t="s">
        <v>18</v>
      </c>
      <c r="B2225" t="s">
        <v>450</v>
      </c>
    </row>
    <row r="2226" spans="1:8" x14ac:dyDescent="0.25">
      <c r="A2226" t="str">
        <f xml:space="preserve"> $H$2218</f>
        <v>&lt;flags count_in_cargo="0" count_in_hoarder="0" count_in_map="1" count_in_player="0" crafted="0" deloot="0"/&gt;</v>
      </c>
      <c r="B2226" t="s">
        <v>450</v>
      </c>
    </row>
    <row r="2227" spans="1:8" x14ac:dyDescent="0.25">
      <c r="A2227" t="str">
        <f>"&lt;category name=" &amp;"""" &amp;$C$2218&amp;"""/&gt;"</f>
        <v>&lt;category name="tools"/&gt;</v>
      </c>
      <c r="B2227" t="s">
        <v>450</v>
      </c>
    </row>
    <row r="2228" spans="1:8" x14ac:dyDescent="0.25">
      <c r="A2228" t="s">
        <v>55</v>
      </c>
      <c r="B2228" t="s">
        <v>450</v>
      </c>
    </row>
    <row r="2229" spans="1:8" x14ac:dyDescent="0.25">
      <c r="A2229" t="s">
        <v>22</v>
      </c>
      <c r="B2229" t="s">
        <v>450</v>
      </c>
    </row>
    <row r="2230" spans="1:8" x14ac:dyDescent="0.25">
      <c r="A2230" t="s">
        <v>1576</v>
      </c>
      <c r="B2230" t="s">
        <v>451</v>
      </c>
      <c r="C2230" t="s">
        <v>403</v>
      </c>
      <c r="D2230">
        <v>30</v>
      </c>
      <c r="E2230">
        <v>1800</v>
      </c>
      <c r="F2230">
        <v>0</v>
      </c>
      <c r="G2230">
        <v>15</v>
      </c>
      <c r="H2230" t="s">
        <v>19</v>
      </c>
    </row>
    <row r="2231" spans="1:8" x14ac:dyDescent="0.25">
      <c r="A2231" t="str">
        <f>"&lt;nominal&gt;" &amp;$D$2230&amp;"&lt;/nominal&gt;"</f>
        <v>&lt;nominal&gt;30&lt;/nominal&gt;</v>
      </c>
      <c r="B2231" t="s">
        <v>451</v>
      </c>
    </row>
    <row r="2232" spans="1:8" x14ac:dyDescent="0.25">
      <c r="A2232" t="str">
        <f>"&lt;lifetime&gt;" &amp;$E$2230&amp;"&lt;/lifetime&gt;"</f>
        <v>&lt;lifetime&gt;1800&lt;/lifetime&gt;</v>
      </c>
      <c r="B2232" t="s">
        <v>451</v>
      </c>
    </row>
    <row r="2233" spans="1:8" x14ac:dyDescent="0.25">
      <c r="A2233" t="str">
        <f>"&lt;restock&gt;" &amp;$F$2230&amp;"&lt;/restock&gt;"</f>
        <v>&lt;restock&gt;0&lt;/restock&gt;</v>
      </c>
      <c r="B2233" t="s">
        <v>451</v>
      </c>
    </row>
    <row r="2234" spans="1:8" x14ac:dyDescent="0.25">
      <c r="A2234" t="str">
        <f>"&lt;min&gt;" &amp;$G$2230&amp;"&lt;/min&gt;"</f>
        <v>&lt;min&gt;15&lt;/min&gt;</v>
      </c>
      <c r="B2234" t="s">
        <v>451</v>
      </c>
    </row>
    <row r="2235" spans="1:8" x14ac:dyDescent="0.25">
      <c r="A2235" t="s">
        <v>16</v>
      </c>
      <c r="B2235" t="s">
        <v>451</v>
      </c>
    </row>
    <row r="2236" spans="1:8" x14ac:dyDescent="0.25">
      <c r="A2236" t="s">
        <v>17</v>
      </c>
      <c r="B2236" t="s">
        <v>451</v>
      </c>
    </row>
    <row r="2237" spans="1:8" x14ac:dyDescent="0.25">
      <c r="A2237" t="s">
        <v>18</v>
      </c>
      <c r="B2237" t="s">
        <v>451</v>
      </c>
    </row>
    <row r="2238" spans="1:8" x14ac:dyDescent="0.25">
      <c r="A2238" t="str">
        <f xml:space="preserve"> $H$2230</f>
        <v>&lt;flags count_in_cargo="0" count_in_hoarder="0" count_in_map="1" count_in_player="0" crafted="0" deloot="0"/&gt;</v>
      </c>
      <c r="B2238" t="s">
        <v>451</v>
      </c>
    </row>
    <row r="2239" spans="1:8" x14ac:dyDescent="0.25">
      <c r="A2239" t="str">
        <f>"&lt;category name=" &amp;"""" &amp;$C$2230&amp;"""/&gt;"</f>
        <v>&lt;category name="clothes"/&gt;</v>
      </c>
      <c r="B2239" t="s">
        <v>451</v>
      </c>
    </row>
    <row r="2240" spans="1:8" x14ac:dyDescent="0.25">
      <c r="A2240" t="s">
        <v>39</v>
      </c>
      <c r="B2240" t="s">
        <v>451</v>
      </c>
    </row>
    <row r="2241" spans="1:8" x14ac:dyDescent="0.25">
      <c r="A2241" t="s">
        <v>40</v>
      </c>
      <c r="B2241" t="s">
        <v>451</v>
      </c>
    </row>
    <row r="2242" spans="1:8" x14ac:dyDescent="0.25">
      <c r="A2242" t="s">
        <v>22</v>
      </c>
      <c r="B2242" t="s">
        <v>451</v>
      </c>
    </row>
    <row r="2243" spans="1:8" x14ac:dyDescent="0.25">
      <c r="A2243" t="s">
        <v>1577</v>
      </c>
      <c r="B2243" t="s">
        <v>452</v>
      </c>
      <c r="C2243" t="s">
        <v>403</v>
      </c>
      <c r="D2243">
        <v>30</v>
      </c>
      <c r="E2243">
        <v>1800</v>
      </c>
      <c r="F2243">
        <v>0</v>
      </c>
      <c r="G2243">
        <v>15</v>
      </c>
      <c r="H2243" t="s">
        <v>19</v>
      </c>
    </row>
    <row r="2244" spans="1:8" x14ac:dyDescent="0.25">
      <c r="A2244" t="str">
        <f>"&lt;nominal&gt;" &amp;$D$2243&amp;"&lt;/nominal&gt;"</f>
        <v>&lt;nominal&gt;30&lt;/nominal&gt;</v>
      </c>
      <c r="B2244" t="s">
        <v>452</v>
      </c>
    </row>
    <row r="2245" spans="1:8" x14ac:dyDescent="0.25">
      <c r="A2245" t="str">
        <f>"&lt;lifetime&gt;" &amp;$E$2243&amp;"&lt;/lifetime&gt;"</f>
        <v>&lt;lifetime&gt;1800&lt;/lifetime&gt;</v>
      </c>
      <c r="B2245" t="s">
        <v>452</v>
      </c>
    </row>
    <row r="2246" spans="1:8" x14ac:dyDescent="0.25">
      <c r="A2246" t="str">
        <f>"&lt;restock&gt;" &amp;$F$2243&amp;"&lt;/restock&gt;"</f>
        <v>&lt;restock&gt;0&lt;/restock&gt;</v>
      </c>
      <c r="B2246" t="s">
        <v>452</v>
      </c>
    </row>
    <row r="2247" spans="1:8" x14ac:dyDescent="0.25">
      <c r="A2247" t="str">
        <f>"&lt;min&gt;" &amp;$G$2243&amp;"&lt;/min&gt;"</f>
        <v>&lt;min&gt;15&lt;/min&gt;</v>
      </c>
      <c r="B2247" t="s">
        <v>452</v>
      </c>
    </row>
    <row r="2248" spans="1:8" x14ac:dyDescent="0.25">
      <c r="A2248" t="s">
        <v>16</v>
      </c>
      <c r="B2248" t="s">
        <v>452</v>
      </c>
    </row>
    <row r="2249" spans="1:8" x14ac:dyDescent="0.25">
      <c r="A2249" t="s">
        <v>17</v>
      </c>
      <c r="B2249" t="s">
        <v>452</v>
      </c>
    </row>
    <row r="2250" spans="1:8" x14ac:dyDescent="0.25">
      <c r="A2250" t="s">
        <v>18</v>
      </c>
      <c r="B2250" t="s">
        <v>452</v>
      </c>
    </row>
    <row r="2251" spans="1:8" x14ac:dyDescent="0.25">
      <c r="A2251" t="str">
        <f xml:space="preserve"> $H$2243</f>
        <v>&lt;flags count_in_cargo="0" count_in_hoarder="0" count_in_map="1" count_in_player="0" crafted="0" deloot="0"/&gt;</v>
      </c>
      <c r="B2251" t="s">
        <v>452</v>
      </c>
    </row>
    <row r="2252" spans="1:8" x14ac:dyDescent="0.25">
      <c r="A2252" t="str">
        <f>"&lt;category name=" &amp;"""" &amp;$C$2243&amp;"""/&gt;"</f>
        <v>&lt;category name="clothes"/&gt;</v>
      </c>
      <c r="B2252" t="s">
        <v>452</v>
      </c>
    </row>
    <row r="2253" spans="1:8" x14ac:dyDescent="0.25">
      <c r="A2253" t="s">
        <v>39</v>
      </c>
      <c r="B2253" t="s">
        <v>452</v>
      </c>
    </row>
    <row r="2254" spans="1:8" x14ac:dyDescent="0.25">
      <c r="A2254" t="s">
        <v>40</v>
      </c>
      <c r="B2254" t="s">
        <v>452</v>
      </c>
    </row>
    <row r="2255" spans="1:8" x14ac:dyDescent="0.25">
      <c r="A2255" t="s">
        <v>22</v>
      </c>
      <c r="B2255" t="s">
        <v>452</v>
      </c>
    </row>
    <row r="2256" spans="1:8" x14ac:dyDescent="0.25">
      <c r="A2256" t="s">
        <v>1578</v>
      </c>
      <c r="B2256" t="s">
        <v>453</v>
      </c>
      <c r="C2256" t="s">
        <v>403</v>
      </c>
      <c r="D2256">
        <v>30</v>
      </c>
      <c r="E2256">
        <v>1800</v>
      </c>
      <c r="F2256">
        <v>0</v>
      </c>
      <c r="G2256">
        <v>15</v>
      </c>
      <c r="H2256" t="s">
        <v>19</v>
      </c>
    </row>
    <row r="2257" spans="1:8" x14ac:dyDescent="0.25">
      <c r="A2257" t="str">
        <f>"&lt;nominal&gt;" &amp;$D$2256&amp;"&lt;/nominal&gt;"</f>
        <v>&lt;nominal&gt;30&lt;/nominal&gt;</v>
      </c>
      <c r="B2257" t="s">
        <v>453</v>
      </c>
    </row>
    <row r="2258" spans="1:8" x14ac:dyDescent="0.25">
      <c r="A2258" t="str">
        <f>"&lt;lifetime&gt;" &amp;$E$2256&amp;"&lt;/lifetime&gt;"</f>
        <v>&lt;lifetime&gt;1800&lt;/lifetime&gt;</v>
      </c>
      <c r="B2258" t="s">
        <v>453</v>
      </c>
    </row>
    <row r="2259" spans="1:8" x14ac:dyDescent="0.25">
      <c r="A2259" t="str">
        <f>"&lt;restock&gt;" &amp;$F$2256&amp;"&lt;/restock&gt;"</f>
        <v>&lt;restock&gt;0&lt;/restock&gt;</v>
      </c>
      <c r="B2259" t="s">
        <v>453</v>
      </c>
    </row>
    <row r="2260" spans="1:8" x14ac:dyDescent="0.25">
      <c r="A2260" t="str">
        <f>"&lt;min&gt;" &amp;$G$2256&amp;"&lt;/min&gt;"</f>
        <v>&lt;min&gt;15&lt;/min&gt;</v>
      </c>
      <c r="B2260" t="s">
        <v>453</v>
      </c>
    </row>
    <row r="2261" spans="1:8" x14ac:dyDescent="0.25">
      <c r="A2261" t="s">
        <v>16</v>
      </c>
      <c r="B2261" t="s">
        <v>453</v>
      </c>
    </row>
    <row r="2262" spans="1:8" x14ac:dyDescent="0.25">
      <c r="A2262" t="s">
        <v>17</v>
      </c>
      <c r="B2262" t="s">
        <v>453</v>
      </c>
    </row>
    <row r="2263" spans="1:8" x14ac:dyDescent="0.25">
      <c r="A2263" t="s">
        <v>18</v>
      </c>
      <c r="B2263" t="s">
        <v>453</v>
      </c>
    </row>
    <row r="2264" spans="1:8" x14ac:dyDescent="0.25">
      <c r="A2264" t="str">
        <f xml:space="preserve"> $H$2256</f>
        <v>&lt;flags count_in_cargo="0" count_in_hoarder="0" count_in_map="1" count_in_player="0" crafted="0" deloot="0"/&gt;</v>
      </c>
      <c r="B2264" t="s">
        <v>453</v>
      </c>
    </row>
    <row r="2265" spans="1:8" x14ac:dyDescent="0.25">
      <c r="A2265" t="str">
        <f>"&lt;category name=" &amp;"""" &amp;$C$2256&amp;"""/&gt;"</f>
        <v>&lt;category name="clothes"/&gt;</v>
      </c>
      <c r="B2265" t="s">
        <v>453</v>
      </c>
    </row>
    <row r="2266" spans="1:8" x14ac:dyDescent="0.25">
      <c r="A2266" t="s">
        <v>39</v>
      </c>
      <c r="B2266" t="s">
        <v>453</v>
      </c>
    </row>
    <row r="2267" spans="1:8" x14ac:dyDescent="0.25">
      <c r="A2267" t="s">
        <v>40</v>
      </c>
      <c r="B2267" t="s">
        <v>453</v>
      </c>
    </row>
    <row r="2268" spans="1:8" x14ac:dyDescent="0.25">
      <c r="A2268" t="s">
        <v>22</v>
      </c>
      <c r="B2268" t="s">
        <v>453</v>
      </c>
    </row>
    <row r="2269" spans="1:8" x14ac:dyDescent="0.25">
      <c r="A2269" t="s">
        <v>1579</v>
      </c>
      <c r="B2269" t="s">
        <v>454</v>
      </c>
      <c r="C2269" t="s">
        <v>403</v>
      </c>
      <c r="D2269">
        <v>30</v>
      </c>
      <c r="E2269">
        <v>1800</v>
      </c>
      <c r="F2269">
        <v>0</v>
      </c>
      <c r="G2269">
        <v>15</v>
      </c>
      <c r="H2269" t="s">
        <v>19</v>
      </c>
    </row>
    <row r="2270" spans="1:8" x14ac:dyDescent="0.25">
      <c r="A2270" t="str">
        <f>"&lt;nominal&gt;" &amp;$D$2269&amp;"&lt;/nominal&gt;"</f>
        <v>&lt;nominal&gt;30&lt;/nominal&gt;</v>
      </c>
      <c r="B2270" t="s">
        <v>454</v>
      </c>
    </row>
    <row r="2271" spans="1:8" x14ac:dyDescent="0.25">
      <c r="A2271" t="str">
        <f>"&lt;lifetime&gt;" &amp;$E$2269&amp;"&lt;/lifetime&gt;"</f>
        <v>&lt;lifetime&gt;1800&lt;/lifetime&gt;</v>
      </c>
      <c r="B2271" t="s">
        <v>454</v>
      </c>
    </row>
    <row r="2272" spans="1:8" x14ac:dyDescent="0.25">
      <c r="A2272" t="str">
        <f>"&lt;restock&gt;" &amp;$F$2269&amp;"&lt;/restock&gt;"</f>
        <v>&lt;restock&gt;0&lt;/restock&gt;</v>
      </c>
      <c r="B2272" t="s">
        <v>454</v>
      </c>
    </row>
    <row r="2273" spans="1:8" x14ac:dyDescent="0.25">
      <c r="A2273" t="str">
        <f>"&lt;min&gt;" &amp;$G$2269&amp;"&lt;/min&gt;"</f>
        <v>&lt;min&gt;15&lt;/min&gt;</v>
      </c>
      <c r="B2273" t="s">
        <v>454</v>
      </c>
    </row>
    <row r="2274" spans="1:8" x14ac:dyDescent="0.25">
      <c r="A2274" t="s">
        <v>16</v>
      </c>
      <c r="B2274" t="s">
        <v>454</v>
      </c>
    </row>
    <row r="2275" spans="1:8" x14ac:dyDescent="0.25">
      <c r="A2275" t="s">
        <v>17</v>
      </c>
      <c r="B2275" t="s">
        <v>454</v>
      </c>
    </row>
    <row r="2276" spans="1:8" x14ac:dyDescent="0.25">
      <c r="A2276" t="s">
        <v>18</v>
      </c>
      <c r="B2276" t="s">
        <v>454</v>
      </c>
    </row>
    <row r="2277" spans="1:8" x14ac:dyDescent="0.25">
      <c r="A2277" t="str">
        <f xml:space="preserve"> $H$2269</f>
        <v>&lt;flags count_in_cargo="0" count_in_hoarder="0" count_in_map="1" count_in_player="0" crafted="0" deloot="0"/&gt;</v>
      </c>
      <c r="B2277" t="s">
        <v>454</v>
      </c>
    </row>
    <row r="2278" spans="1:8" x14ac:dyDescent="0.25">
      <c r="A2278" t="str">
        <f>"&lt;category name=" &amp;"""" &amp;$C$2269&amp;"""/&gt;"</f>
        <v>&lt;category name="clothes"/&gt;</v>
      </c>
      <c r="B2278" t="s">
        <v>454</v>
      </c>
    </row>
    <row r="2279" spans="1:8" x14ac:dyDescent="0.25">
      <c r="A2279" t="s">
        <v>39</v>
      </c>
      <c r="B2279" t="s">
        <v>454</v>
      </c>
    </row>
    <row r="2280" spans="1:8" x14ac:dyDescent="0.25">
      <c r="A2280" t="s">
        <v>40</v>
      </c>
      <c r="B2280" t="s">
        <v>454</v>
      </c>
    </row>
    <row r="2281" spans="1:8" x14ac:dyDescent="0.25">
      <c r="A2281" t="s">
        <v>22</v>
      </c>
      <c r="B2281" t="s">
        <v>454</v>
      </c>
    </row>
    <row r="2282" spans="1:8" x14ac:dyDescent="0.25">
      <c r="A2282" t="s">
        <v>1580</v>
      </c>
      <c r="B2282" t="s">
        <v>455</v>
      </c>
      <c r="C2282" t="s">
        <v>403</v>
      </c>
      <c r="D2282">
        <v>30</v>
      </c>
      <c r="E2282">
        <v>1800</v>
      </c>
      <c r="F2282">
        <v>0</v>
      </c>
      <c r="G2282">
        <v>15</v>
      </c>
      <c r="H2282" t="s">
        <v>19</v>
      </c>
    </row>
    <row r="2283" spans="1:8" x14ac:dyDescent="0.25">
      <c r="A2283" t="str">
        <f>"&lt;nominal&gt;" &amp;$D$2282&amp;"&lt;/nominal&gt;"</f>
        <v>&lt;nominal&gt;30&lt;/nominal&gt;</v>
      </c>
      <c r="B2283" t="s">
        <v>455</v>
      </c>
    </row>
    <row r="2284" spans="1:8" x14ac:dyDescent="0.25">
      <c r="A2284" t="str">
        <f>"&lt;lifetime&gt;" &amp;$E$2282&amp;"&lt;/lifetime&gt;"</f>
        <v>&lt;lifetime&gt;1800&lt;/lifetime&gt;</v>
      </c>
      <c r="B2284" t="s">
        <v>455</v>
      </c>
    </row>
    <row r="2285" spans="1:8" x14ac:dyDescent="0.25">
      <c r="A2285" t="str">
        <f>"&lt;restock&gt;" &amp;$F$2282&amp;"&lt;/restock&gt;"</f>
        <v>&lt;restock&gt;0&lt;/restock&gt;</v>
      </c>
      <c r="B2285" t="s">
        <v>455</v>
      </c>
    </row>
    <row r="2286" spans="1:8" x14ac:dyDescent="0.25">
      <c r="A2286" t="str">
        <f>"&lt;min&gt;" &amp;$G$2282&amp;"&lt;/min&gt;"</f>
        <v>&lt;min&gt;15&lt;/min&gt;</v>
      </c>
      <c r="B2286" t="s">
        <v>455</v>
      </c>
    </row>
    <row r="2287" spans="1:8" x14ac:dyDescent="0.25">
      <c r="A2287" t="s">
        <v>16</v>
      </c>
      <c r="B2287" t="s">
        <v>455</v>
      </c>
    </row>
    <row r="2288" spans="1:8" x14ac:dyDescent="0.25">
      <c r="A2288" t="s">
        <v>17</v>
      </c>
      <c r="B2288" t="s">
        <v>455</v>
      </c>
    </row>
    <row r="2289" spans="1:8" x14ac:dyDescent="0.25">
      <c r="A2289" t="s">
        <v>18</v>
      </c>
      <c r="B2289" t="s">
        <v>455</v>
      </c>
    </row>
    <row r="2290" spans="1:8" x14ac:dyDescent="0.25">
      <c r="A2290" t="str">
        <f xml:space="preserve"> $H$2282</f>
        <v>&lt;flags count_in_cargo="0" count_in_hoarder="0" count_in_map="1" count_in_player="0" crafted="0" deloot="0"/&gt;</v>
      </c>
      <c r="B2290" t="s">
        <v>455</v>
      </c>
    </row>
    <row r="2291" spans="1:8" x14ac:dyDescent="0.25">
      <c r="A2291" t="str">
        <f>"&lt;category name=" &amp;"""" &amp;$C$2282&amp;"""/&gt;"</f>
        <v>&lt;category name="clothes"/&gt;</v>
      </c>
      <c r="B2291" t="s">
        <v>455</v>
      </c>
    </row>
    <row r="2292" spans="1:8" x14ac:dyDescent="0.25">
      <c r="A2292" t="s">
        <v>39</v>
      </c>
      <c r="B2292" t="s">
        <v>455</v>
      </c>
    </row>
    <row r="2293" spans="1:8" x14ac:dyDescent="0.25">
      <c r="A2293" t="s">
        <v>40</v>
      </c>
      <c r="B2293" t="s">
        <v>455</v>
      </c>
    </row>
    <row r="2294" spans="1:8" x14ac:dyDescent="0.25">
      <c r="A2294" t="s">
        <v>22</v>
      </c>
      <c r="B2294" t="s">
        <v>455</v>
      </c>
    </row>
    <row r="2295" spans="1:8" x14ac:dyDescent="0.25">
      <c r="A2295" t="s">
        <v>1581</v>
      </c>
      <c r="B2295" t="s">
        <v>456</v>
      </c>
      <c r="C2295" t="s">
        <v>403</v>
      </c>
      <c r="D2295">
        <v>30</v>
      </c>
      <c r="E2295">
        <v>1800</v>
      </c>
      <c r="F2295">
        <v>0</v>
      </c>
      <c r="G2295">
        <v>15</v>
      </c>
      <c r="H2295" t="s">
        <v>19</v>
      </c>
    </row>
    <row r="2296" spans="1:8" x14ac:dyDescent="0.25">
      <c r="A2296" t="str">
        <f>"&lt;nominal&gt;" &amp;$D$2295&amp;"&lt;/nominal&gt;"</f>
        <v>&lt;nominal&gt;30&lt;/nominal&gt;</v>
      </c>
      <c r="B2296" t="s">
        <v>456</v>
      </c>
    </row>
    <row r="2297" spans="1:8" x14ac:dyDescent="0.25">
      <c r="A2297" t="str">
        <f>"&lt;lifetime&gt;" &amp;$E$2295&amp;"&lt;/lifetime&gt;"</f>
        <v>&lt;lifetime&gt;1800&lt;/lifetime&gt;</v>
      </c>
      <c r="B2297" t="s">
        <v>456</v>
      </c>
    </row>
    <row r="2298" spans="1:8" x14ac:dyDescent="0.25">
      <c r="A2298" t="str">
        <f>"&lt;restock&gt;" &amp;$F$2295&amp;"&lt;/restock&gt;"</f>
        <v>&lt;restock&gt;0&lt;/restock&gt;</v>
      </c>
      <c r="B2298" t="s">
        <v>456</v>
      </c>
    </row>
    <row r="2299" spans="1:8" x14ac:dyDescent="0.25">
      <c r="A2299" t="str">
        <f>"&lt;min&gt;" &amp;$G$2295&amp;"&lt;/min&gt;"</f>
        <v>&lt;min&gt;15&lt;/min&gt;</v>
      </c>
      <c r="B2299" t="s">
        <v>456</v>
      </c>
    </row>
    <row r="2300" spans="1:8" x14ac:dyDescent="0.25">
      <c r="A2300" t="s">
        <v>16</v>
      </c>
      <c r="B2300" t="s">
        <v>456</v>
      </c>
    </row>
    <row r="2301" spans="1:8" x14ac:dyDescent="0.25">
      <c r="A2301" t="s">
        <v>17</v>
      </c>
      <c r="B2301" t="s">
        <v>456</v>
      </c>
    </row>
    <row r="2302" spans="1:8" x14ac:dyDescent="0.25">
      <c r="A2302" t="s">
        <v>18</v>
      </c>
      <c r="B2302" t="s">
        <v>456</v>
      </c>
    </row>
    <row r="2303" spans="1:8" x14ac:dyDescent="0.25">
      <c r="A2303" t="str">
        <f xml:space="preserve"> $H$2295</f>
        <v>&lt;flags count_in_cargo="0" count_in_hoarder="0" count_in_map="1" count_in_player="0" crafted="0" deloot="0"/&gt;</v>
      </c>
      <c r="B2303" t="s">
        <v>456</v>
      </c>
    </row>
    <row r="2304" spans="1:8" x14ac:dyDescent="0.25">
      <c r="A2304" t="str">
        <f>"&lt;category name=" &amp;"""" &amp;$C$2295&amp;"""/&gt;"</f>
        <v>&lt;category name="clothes"/&gt;</v>
      </c>
      <c r="B2304" t="s">
        <v>456</v>
      </c>
    </row>
    <row r="2305" spans="1:8" x14ac:dyDescent="0.25">
      <c r="A2305" t="s">
        <v>39</v>
      </c>
      <c r="B2305" t="s">
        <v>456</v>
      </c>
    </row>
    <row r="2306" spans="1:8" x14ac:dyDescent="0.25">
      <c r="A2306" t="s">
        <v>40</v>
      </c>
      <c r="B2306" t="s">
        <v>456</v>
      </c>
    </row>
    <row r="2307" spans="1:8" x14ac:dyDescent="0.25">
      <c r="A2307" t="s">
        <v>22</v>
      </c>
      <c r="B2307" t="s">
        <v>456</v>
      </c>
    </row>
    <row r="2308" spans="1:8" x14ac:dyDescent="0.25">
      <c r="A2308" t="s">
        <v>1582</v>
      </c>
      <c r="B2308" t="s">
        <v>457</v>
      </c>
      <c r="C2308" t="s">
        <v>403</v>
      </c>
      <c r="D2308">
        <v>30</v>
      </c>
      <c r="E2308">
        <v>1800</v>
      </c>
      <c r="F2308">
        <v>0</v>
      </c>
      <c r="G2308">
        <v>15</v>
      </c>
      <c r="H2308" t="s">
        <v>19</v>
      </c>
    </row>
    <row r="2309" spans="1:8" x14ac:dyDescent="0.25">
      <c r="A2309" t="str">
        <f>"&lt;nominal&gt;" &amp;$D$2308&amp;"&lt;/nominal&gt;"</f>
        <v>&lt;nominal&gt;30&lt;/nominal&gt;</v>
      </c>
      <c r="B2309" t="s">
        <v>457</v>
      </c>
    </row>
    <row r="2310" spans="1:8" x14ac:dyDescent="0.25">
      <c r="A2310" t="str">
        <f>"&lt;lifetime&gt;" &amp;$E$2308&amp;"&lt;/lifetime&gt;"</f>
        <v>&lt;lifetime&gt;1800&lt;/lifetime&gt;</v>
      </c>
      <c r="B2310" t="s">
        <v>457</v>
      </c>
    </row>
    <row r="2311" spans="1:8" x14ac:dyDescent="0.25">
      <c r="A2311" t="str">
        <f>"&lt;restock&gt;" &amp;$F$2308&amp;"&lt;/restock&gt;"</f>
        <v>&lt;restock&gt;0&lt;/restock&gt;</v>
      </c>
      <c r="B2311" t="s">
        <v>457</v>
      </c>
    </row>
    <row r="2312" spans="1:8" x14ac:dyDescent="0.25">
      <c r="A2312" t="str">
        <f>"&lt;min&gt;" &amp;$G$2308&amp;"&lt;/min&gt;"</f>
        <v>&lt;min&gt;15&lt;/min&gt;</v>
      </c>
      <c r="B2312" t="s">
        <v>457</v>
      </c>
    </row>
    <row r="2313" spans="1:8" x14ac:dyDescent="0.25">
      <c r="A2313" t="s">
        <v>16</v>
      </c>
      <c r="B2313" t="s">
        <v>457</v>
      </c>
    </row>
    <row r="2314" spans="1:8" x14ac:dyDescent="0.25">
      <c r="A2314" t="s">
        <v>17</v>
      </c>
      <c r="B2314" t="s">
        <v>457</v>
      </c>
    </row>
    <row r="2315" spans="1:8" x14ac:dyDescent="0.25">
      <c r="A2315" t="s">
        <v>18</v>
      </c>
      <c r="B2315" t="s">
        <v>457</v>
      </c>
    </row>
    <row r="2316" spans="1:8" x14ac:dyDescent="0.25">
      <c r="A2316" t="str">
        <f xml:space="preserve"> $H$2308</f>
        <v>&lt;flags count_in_cargo="0" count_in_hoarder="0" count_in_map="1" count_in_player="0" crafted="0" deloot="0"/&gt;</v>
      </c>
      <c r="B2316" t="s">
        <v>457</v>
      </c>
    </row>
    <row r="2317" spans="1:8" x14ac:dyDescent="0.25">
      <c r="A2317" t="str">
        <f>"&lt;category name=" &amp;"""" &amp;$C$2308&amp;"""/&gt;"</f>
        <v>&lt;category name="clothes"/&gt;</v>
      </c>
      <c r="B2317" t="s">
        <v>457</v>
      </c>
    </row>
    <row r="2318" spans="1:8" x14ac:dyDescent="0.25">
      <c r="A2318" t="s">
        <v>39</v>
      </c>
      <c r="B2318" t="s">
        <v>457</v>
      </c>
    </row>
    <row r="2319" spans="1:8" x14ac:dyDescent="0.25">
      <c r="A2319" t="s">
        <v>40</v>
      </c>
      <c r="B2319" t="s">
        <v>457</v>
      </c>
    </row>
    <row r="2320" spans="1:8" x14ac:dyDescent="0.25">
      <c r="A2320" t="s">
        <v>22</v>
      </c>
      <c r="B2320" t="s">
        <v>457</v>
      </c>
    </row>
    <row r="2321" spans="1:8" x14ac:dyDescent="0.25">
      <c r="A2321" t="s">
        <v>1583</v>
      </c>
      <c r="B2321" t="s">
        <v>458</v>
      </c>
      <c r="C2321" t="s">
        <v>403</v>
      </c>
      <c r="D2321">
        <v>30</v>
      </c>
      <c r="E2321">
        <v>1800</v>
      </c>
      <c r="F2321">
        <v>0</v>
      </c>
      <c r="G2321">
        <v>15</v>
      </c>
      <c r="H2321" t="s">
        <v>19</v>
      </c>
    </row>
    <row r="2322" spans="1:8" x14ac:dyDescent="0.25">
      <c r="A2322" t="str">
        <f>"&lt;nominal&gt;" &amp;$D$2321&amp;"&lt;/nominal&gt;"</f>
        <v>&lt;nominal&gt;30&lt;/nominal&gt;</v>
      </c>
      <c r="B2322" t="s">
        <v>458</v>
      </c>
    </row>
    <row r="2323" spans="1:8" x14ac:dyDescent="0.25">
      <c r="A2323" t="str">
        <f>"&lt;lifetime&gt;" &amp;$E$2321&amp;"&lt;/lifetime&gt;"</f>
        <v>&lt;lifetime&gt;1800&lt;/lifetime&gt;</v>
      </c>
      <c r="B2323" t="s">
        <v>458</v>
      </c>
    </row>
    <row r="2324" spans="1:8" x14ac:dyDescent="0.25">
      <c r="A2324" t="str">
        <f>"&lt;restock&gt;" &amp;$F$2321&amp;"&lt;/restock&gt;"</f>
        <v>&lt;restock&gt;0&lt;/restock&gt;</v>
      </c>
      <c r="B2324" t="s">
        <v>458</v>
      </c>
    </row>
    <row r="2325" spans="1:8" x14ac:dyDescent="0.25">
      <c r="A2325" t="str">
        <f>"&lt;min&gt;" &amp;$G$2321&amp;"&lt;/min&gt;"</f>
        <v>&lt;min&gt;15&lt;/min&gt;</v>
      </c>
      <c r="B2325" t="s">
        <v>458</v>
      </c>
    </row>
    <row r="2326" spans="1:8" x14ac:dyDescent="0.25">
      <c r="A2326" t="s">
        <v>16</v>
      </c>
      <c r="B2326" t="s">
        <v>458</v>
      </c>
    </row>
    <row r="2327" spans="1:8" x14ac:dyDescent="0.25">
      <c r="A2327" t="s">
        <v>17</v>
      </c>
      <c r="B2327" t="s">
        <v>458</v>
      </c>
    </row>
    <row r="2328" spans="1:8" x14ac:dyDescent="0.25">
      <c r="A2328" t="s">
        <v>18</v>
      </c>
      <c r="B2328" t="s">
        <v>458</v>
      </c>
    </row>
    <row r="2329" spans="1:8" x14ac:dyDescent="0.25">
      <c r="A2329" t="str">
        <f xml:space="preserve"> $H$2321</f>
        <v>&lt;flags count_in_cargo="0" count_in_hoarder="0" count_in_map="1" count_in_player="0" crafted="0" deloot="0"/&gt;</v>
      </c>
      <c r="B2329" t="s">
        <v>458</v>
      </c>
    </row>
    <row r="2330" spans="1:8" x14ac:dyDescent="0.25">
      <c r="A2330" t="str">
        <f>"&lt;category name=" &amp;"""" &amp;$C$2321&amp;"""/&gt;"</f>
        <v>&lt;category name="clothes"/&gt;</v>
      </c>
      <c r="B2330" t="s">
        <v>458</v>
      </c>
    </row>
    <row r="2331" spans="1:8" x14ac:dyDescent="0.25">
      <c r="A2331" t="s">
        <v>39</v>
      </c>
      <c r="B2331" t="s">
        <v>458</v>
      </c>
    </row>
    <row r="2332" spans="1:8" x14ac:dyDescent="0.25">
      <c r="A2332" t="s">
        <v>40</v>
      </c>
      <c r="B2332" t="s">
        <v>458</v>
      </c>
    </row>
    <row r="2333" spans="1:8" x14ac:dyDescent="0.25">
      <c r="A2333" t="s">
        <v>22</v>
      </c>
      <c r="B2333" t="s">
        <v>458</v>
      </c>
    </row>
    <row r="2334" spans="1:8" x14ac:dyDescent="0.25">
      <c r="A2334" t="s">
        <v>1584</v>
      </c>
      <c r="B2334" t="s">
        <v>459</v>
      </c>
      <c r="C2334" t="s">
        <v>426</v>
      </c>
      <c r="D2334">
        <v>10</v>
      </c>
      <c r="E2334">
        <v>7200</v>
      </c>
      <c r="F2334">
        <v>0</v>
      </c>
      <c r="G2334">
        <v>5</v>
      </c>
      <c r="H2334" t="s">
        <v>24</v>
      </c>
    </row>
    <row r="2335" spans="1:8" x14ac:dyDescent="0.25">
      <c r="A2335" t="str">
        <f>"&lt;nominal&gt;" &amp;$D$2334&amp;"&lt;/nominal&gt;"</f>
        <v>&lt;nominal&gt;10&lt;/nominal&gt;</v>
      </c>
      <c r="B2335" t="s">
        <v>459</v>
      </c>
    </row>
    <row r="2336" spans="1:8" x14ac:dyDescent="0.25">
      <c r="A2336" t="str">
        <f>"&lt;lifetime&gt;" &amp;$E$2334&amp;"&lt;/lifetime&gt;"</f>
        <v>&lt;lifetime&gt;7200&lt;/lifetime&gt;</v>
      </c>
      <c r="B2336" t="s">
        <v>459</v>
      </c>
    </row>
    <row r="2337" spans="1:8" x14ac:dyDescent="0.25">
      <c r="A2337" t="str">
        <f>"&lt;restock&gt;" &amp;$F$2334&amp;"&lt;/restock&gt;"</f>
        <v>&lt;restock&gt;0&lt;/restock&gt;</v>
      </c>
      <c r="B2337" t="s">
        <v>459</v>
      </c>
    </row>
    <row r="2338" spans="1:8" x14ac:dyDescent="0.25">
      <c r="A2338" t="str">
        <f>"&lt;min&gt;" &amp;$G$2334&amp;"&lt;/min&gt;"</f>
        <v>&lt;min&gt;5&lt;/min&gt;</v>
      </c>
      <c r="B2338" t="s">
        <v>459</v>
      </c>
    </row>
    <row r="2339" spans="1:8" x14ac:dyDescent="0.25">
      <c r="A2339" t="s">
        <v>16</v>
      </c>
      <c r="B2339" t="s">
        <v>459</v>
      </c>
    </row>
    <row r="2340" spans="1:8" x14ac:dyDescent="0.25">
      <c r="A2340" t="s">
        <v>17</v>
      </c>
      <c r="B2340" t="s">
        <v>459</v>
      </c>
    </row>
    <row r="2341" spans="1:8" x14ac:dyDescent="0.25">
      <c r="A2341" t="s">
        <v>18</v>
      </c>
      <c r="B2341" t="s">
        <v>459</v>
      </c>
    </row>
    <row r="2342" spans="1:8" x14ac:dyDescent="0.25">
      <c r="A2342" t="str">
        <f xml:space="preserve"> $H$2334</f>
        <v>&lt;flags count_in_cargo="1" count_in_hoarder="1" count_in_map="1" count_in_player="1" crafted="0" deloot="0"/&gt;</v>
      </c>
      <c r="B2342" t="s">
        <v>459</v>
      </c>
    </row>
    <row r="2343" spans="1:8" x14ac:dyDescent="0.25">
      <c r="A2343" t="str">
        <f>"&lt;category name=" &amp;"""" &amp;$C$2334&amp;"""/&gt;"</f>
        <v>&lt;category name="tools"/&gt;</v>
      </c>
      <c r="B2343" t="s">
        <v>459</v>
      </c>
    </row>
    <row r="2344" spans="1:8" x14ac:dyDescent="0.25">
      <c r="A2344" t="s">
        <v>67</v>
      </c>
      <c r="B2344" t="s">
        <v>459</v>
      </c>
    </row>
    <row r="2345" spans="1:8" x14ac:dyDescent="0.25">
      <c r="A2345" t="s">
        <v>22</v>
      </c>
      <c r="B2345" t="s">
        <v>459</v>
      </c>
    </row>
    <row r="2346" spans="1:8" x14ac:dyDescent="0.25">
      <c r="A2346" t="s">
        <v>1585</v>
      </c>
      <c r="B2346" t="s">
        <v>460</v>
      </c>
      <c r="C2346" t="s">
        <v>363</v>
      </c>
      <c r="D2346">
        <v>25</v>
      </c>
      <c r="E2346">
        <v>1800</v>
      </c>
      <c r="F2346">
        <v>0</v>
      </c>
      <c r="G2346">
        <v>10</v>
      </c>
      <c r="H2346" t="s">
        <v>19</v>
      </c>
    </row>
    <row r="2347" spans="1:8" x14ac:dyDescent="0.25">
      <c r="A2347" t="str">
        <f>"&lt;nominal&gt;" &amp;$D$2346&amp;"&lt;/nominal&gt;"</f>
        <v>&lt;nominal&gt;25&lt;/nominal&gt;</v>
      </c>
      <c r="B2347" t="s">
        <v>460</v>
      </c>
    </row>
    <row r="2348" spans="1:8" x14ac:dyDescent="0.25">
      <c r="A2348" t="str">
        <f>"&lt;lifetime&gt;" &amp;$E$2346&amp;"&lt;/lifetime&gt;"</f>
        <v>&lt;lifetime&gt;1800&lt;/lifetime&gt;</v>
      </c>
      <c r="B2348" t="s">
        <v>460</v>
      </c>
    </row>
    <row r="2349" spans="1:8" x14ac:dyDescent="0.25">
      <c r="A2349" t="str">
        <f>"&lt;restock&gt;" &amp;$F$2346&amp;"&lt;/restock&gt;"</f>
        <v>&lt;restock&gt;0&lt;/restock&gt;</v>
      </c>
      <c r="B2349" t="s">
        <v>460</v>
      </c>
    </row>
    <row r="2350" spans="1:8" x14ac:dyDescent="0.25">
      <c r="A2350" t="str">
        <f>"&lt;min&gt;" &amp;$G$2346&amp;"&lt;/min&gt;"</f>
        <v>&lt;min&gt;10&lt;/min&gt;</v>
      </c>
      <c r="B2350" t="s">
        <v>460</v>
      </c>
    </row>
    <row r="2351" spans="1:8" x14ac:dyDescent="0.25">
      <c r="A2351" t="s">
        <v>16</v>
      </c>
      <c r="B2351" t="s">
        <v>460</v>
      </c>
    </row>
    <row r="2352" spans="1:8" x14ac:dyDescent="0.25">
      <c r="A2352" t="s">
        <v>17</v>
      </c>
      <c r="B2352" t="s">
        <v>460</v>
      </c>
    </row>
    <row r="2353" spans="1:8" x14ac:dyDescent="0.25">
      <c r="A2353" t="s">
        <v>18</v>
      </c>
      <c r="B2353" t="s">
        <v>460</v>
      </c>
    </row>
    <row r="2354" spans="1:8" x14ac:dyDescent="0.25">
      <c r="A2354" t="str">
        <f xml:space="preserve"> $H$2346</f>
        <v>&lt;flags count_in_cargo="0" count_in_hoarder="0" count_in_map="1" count_in_player="0" crafted="0" deloot="0"/&gt;</v>
      </c>
      <c r="B2354" t="s">
        <v>460</v>
      </c>
    </row>
    <row r="2355" spans="1:8" x14ac:dyDescent="0.25">
      <c r="A2355" t="str">
        <f>"&lt;category name=" &amp;"""" &amp;$C$2346&amp;"""/&gt;"</f>
        <v>&lt;category name="containers"/&gt;</v>
      </c>
      <c r="B2355" t="s">
        <v>460</v>
      </c>
    </row>
    <row r="2356" spans="1:8" x14ac:dyDescent="0.25">
      <c r="A2356" t="s">
        <v>20</v>
      </c>
      <c r="B2356" t="s">
        <v>460</v>
      </c>
    </row>
    <row r="2357" spans="1:8" x14ac:dyDescent="0.25">
      <c r="A2357" t="s">
        <v>39</v>
      </c>
      <c r="B2357" t="s">
        <v>460</v>
      </c>
    </row>
    <row r="2358" spans="1:8" x14ac:dyDescent="0.25">
      <c r="A2358" t="s">
        <v>40</v>
      </c>
      <c r="B2358" t="s">
        <v>460</v>
      </c>
    </row>
    <row r="2359" spans="1:8" x14ac:dyDescent="0.25">
      <c r="A2359" t="s">
        <v>22</v>
      </c>
      <c r="B2359" t="s">
        <v>460</v>
      </c>
    </row>
    <row r="2360" spans="1:8" x14ac:dyDescent="0.25">
      <c r="A2360" t="s">
        <v>1586</v>
      </c>
      <c r="B2360" t="s">
        <v>461</v>
      </c>
      <c r="C2360" t="s">
        <v>363</v>
      </c>
      <c r="D2360">
        <v>25</v>
      </c>
      <c r="E2360">
        <v>1800</v>
      </c>
      <c r="F2360">
        <v>0</v>
      </c>
      <c r="G2360">
        <v>10</v>
      </c>
      <c r="H2360" t="s">
        <v>19</v>
      </c>
    </row>
    <row r="2361" spans="1:8" x14ac:dyDescent="0.25">
      <c r="A2361" t="str">
        <f>"&lt;nominal&gt;" &amp;$D$2360&amp;"&lt;/nominal&gt;"</f>
        <v>&lt;nominal&gt;25&lt;/nominal&gt;</v>
      </c>
      <c r="B2361" t="s">
        <v>461</v>
      </c>
    </row>
    <row r="2362" spans="1:8" x14ac:dyDescent="0.25">
      <c r="A2362" t="str">
        <f>"&lt;lifetime&gt;" &amp;$E$2360&amp;"&lt;/lifetime&gt;"</f>
        <v>&lt;lifetime&gt;1800&lt;/lifetime&gt;</v>
      </c>
      <c r="B2362" t="s">
        <v>461</v>
      </c>
    </row>
    <row r="2363" spans="1:8" x14ac:dyDescent="0.25">
      <c r="A2363" t="str">
        <f>"&lt;restock&gt;" &amp;$F$2360&amp;"&lt;/restock&gt;"</f>
        <v>&lt;restock&gt;0&lt;/restock&gt;</v>
      </c>
      <c r="B2363" t="s">
        <v>461</v>
      </c>
    </row>
    <row r="2364" spans="1:8" x14ac:dyDescent="0.25">
      <c r="A2364" t="str">
        <f>"&lt;min&gt;" &amp;$G$2360&amp;"&lt;/min&gt;"</f>
        <v>&lt;min&gt;10&lt;/min&gt;</v>
      </c>
      <c r="B2364" t="s">
        <v>461</v>
      </c>
    </row>
    <row r="2365" spans="1:8" x14ac:dyDescent="0.25">
      <c r="A2365" t="s">
        <v>16</v>
      </c>
      <c r="B2365" t="s">
        <v>461</v>
      </c>
    </row>
    <row r="2366" spans="1:8" x14ac:dyDescent="0.25">
      <c r="A2366" t="s">
        <v>17</v>
      </c>
      <c r="B2366" t="s">
        <v>461</v>
      </c>
    </row>
    <row r="2367" spans="1:8" x14ac:dyDescent="0.25">
      <c r="A2367" t="s">
        <v>18</v>
      </c>
      <c r="B2367" t="s">
        <v>461</v>
      </c>
    </row>
    <row r="2368" spans="1:8" x14ac:dyDescent="0.25">
      <c r="A2368" t="str">
        <f xml:space="preserve"> $H$2360</f>
        <v>&lt;flags count_in_cargo="0" count_in_hoarder="0" count_in_map="1" count_in_player="0" crafted="0" deloot="0"/&gt;</v>
      </c>
      <c r="B2368" t="s">
        <v>461</v>
      </c>
    </row>
    <row r="2369" spans="1:8" x14ac:dyDescent="0.25">
      <c r="A2369" t="str">
        <f>"&lt;category name=" &amp;"""" &amp;$C$2360&amp;"""/&gt;"</f>
        <v>&lt;category name="containers"/&gt;</v>
      </c>
      <c r="B2369" t="s">
        <v>461</v>
      </c>
    </row>
    <row r="2370" spans="1:8" x14ac:dyDescent="0.25">
      <c r="A2370" t="s">
        <v>20</v>
      </c>
      <c r="B2370" t="s">
        <v>461</v>
      </c>
    </row>
    <row r="2371" spans="1:8" x14ac:dyDescent="0.25">
      <c r="A2371" t="s">
        <v>39</v>
      </c>
      <c r="B2371" t="s">
        <v>461</v>
      </c>
    </row>
    <row r="2372" spans="1:8" x14ac:dyDescent="0.25">
      <c r="A2372" t="s">
        <v>40</v>
      </c>
      <c r="B2372" t="s">
        <v>461</v>
      </c>
    </row>
    <row r="2373" spans="1:8" x14ac:dyDescent="0.25">
      <c r="A2373" t="s">
        <v>22</v>
      </c>
      <c r="B2373" t="s">
        <v>461</v>
      </c>
    </row>
    <row r="2374" spans="1:8" x14ac:dyDescent="0.25">
      <c r="A2374" t="s">
        <v>1587</v>
      </c>
      <c r="B2374" t="s">
        <v>462</v>
      </c>
      <c r="C2374" t="s">
        <v>363</v>
      </c>
      <c r="D2374">
        <v>25</v>
      </c>
      <c r="E2374">
        <v>1800</v>
      </c>
      <c r="F2374">
        <v>0</v>
      </c>
      <c r="G2374">
        <v>10</v>
      </c>
      <c r="H2374" t="s">
        <v>19</v>
      </c>
    </row>
    <row r="2375" spans="1:8" x14ac:dyDescent="0.25">
      <c r="A2375" t="str">
        <f>"&lt;nominal&gt;" &amp;$D$2374&amp;"&lt;/nominal&gt;"</f>
        <v>&lt;nominal&gt;25&lt;/nominal&gt;</v>
      </c>
      <c r="B2375" t="s">
        <v>462</v>
      </c>
    </row>
    <row r="2376" spans="1:8" x14ac:dyDescent="0.25">
      <c r="A2376" t="str">
        <f>"&lt;lifetime&gt;" &amp;$E$2374&amp;"&lt;/lifetime&gt;"</f>
        <v>&lt;lifetime&gt;1800&lt;/lifetime&gt;</v>
      </c>
      <c r="B2376" t="s">
        <v>462</v>
      </c>
    </row>
    <row r="2377" spans="1:8" x14ac:dyDescent="0.25">
      <c r="A2377" t="str">
        <f>"&lt;restock&gt;" &amp;$F$2374&amp;"&lt;/restock&gt;"</f>
        <v>&lt;restock&gt;0&lt;/restock&gt;</v>
      </c>
      <c r="B2377" t="s">
        <v>462</v>
      </c>
    </row>
    <row r="2378" spans="1:8" x14ac:dyDescent="0.25">
      <c r="A2378" t="str">
        <f>"&lt;min&gt;" &amp;$G$2374&amp;"&lt;/min&gt;"</f>
        <v>&lt;min&gt;10&lt;/min&gt;</v>
      </c>
      <c r="B2378" t="s">
        <v>462</v>
      </c>
    </row>
    <row r="2379" spans="1:8" x14ac:dyDescent="0.25">
      <c r="A2379" t="s">
        <v>16</v>
      </c>
      <c r="B2379" t="s">
        <v>462</v>
      </c>
    </row>
    <row r="2380" spans="1:8" x14ac:dyDescent="0.25">
      <c r="A2380" t="s">
        <v>17</v>
      </c>
      <c r="B2380" t="s">
        <v>462</v>
      </c>
    </row>
    <row r="2381" spans="1:8" x14ac:dyDescent="0.25">
      <c r="A2381" t="s">
        <v>18</v>
      </c>
      <c r="B2381" t="s">
        <v>462</v>
      </c>
    </row>
    <row r="2382" spans="1:8" x14ac:dyDescent="0.25">
      <c r="A2382" t="str">
        <f xml:space="preserve"> $H$2374</f>
        <v>&lt;flags count_in_cargo="0" count_in_hoarder="0" count_in_map="1" count_in_player="0" crafted="0" deloot="0"/&gt;</v>
      </c>
      <c r="B2382" t="s">
        <v>462</v>
      </c>
    </row>
    <row r="2383" spans="1:8" x14ac:dyDescent="0.25">
      <c r="A2383" t="str">
        <f>"&lt;category name=" &amp;"""" &amp;$C$2374&amp;"""/&gt;"</f>
        <v>&lt;category name="containers"/&gt;</v>
      </c>
      <c r="B2383" t="s">
        <v>462</v>
      </c>
    </row>
    <row r="2384" spans="1:8" x14ac:dyDescent="0.25">
      <c r="A2384" t="s">
        <v>20</v>
      </c>
      <c r="B2384" t="s">
        <v>462</v>
      </c>
    </row>
    <row r="2385" spans="1:8" x14ac:dyDescent="0.25">
      <c r="A2385" t="s">
        <v>39</v>
      </c>
      <c r="B2385" t="s">
        <v>462</v>
      </c>
    </row>
    <row r="2386" spans="1:8" x14ac:dyDescent="0.25">
      <c r="A2386" t="s">
        <v>40</v>
      </c>
      <c r="B2386" t="s">
        <v>462</v>
      </c>
    </row>
    <row r="2387" spans="1:8" x14ac:dyDescent="0.25">
      <c r="A2387" t="s">
        <v>22</v>
      </c>
      <c r="B2387" t="s">
        <v>462</v>
      </c>
    </row>
    <row r="2388" spans="1:8" x14ac:dyDescent="0.25">
      <c r="A2388" t="s">
        <v>1588</v>
      </c>
      <c r="B2388" t="s">
        <v>463</v>
      </c>
      <c r="C2388" t="s">
        <v>363</v>
      </c>
      <c r="D2388">
        <v>25</v>
      </c>
      <c r="E2388">
        <v>1800</v>
      </c>
      <c r="F2388">
        <v>0</v>
      </c>
      <c r="G2388">
        <v>10</v>
      </c>
      <c r="H2388" t="s">
        <v>19</v>
      </c>
    </row>
    <row r="2389" spans="1:8" x14ac:dyDescent="0.25">
      <c r="A2389" t="str">
        <f>"&lt;nominal&gt;" &amp;$D$2388&amp;"&lt;/nominal&gt;"</f>
        <v>&lt;nominal&gt;25&lt;/nominal&gt;</v>
      </c>
      <c r="B2389" t="s">
        <v>463</v>
      </c>
    </row>
    <row r="2390" spans="1:8" x14ac:dyDescent="0.25">
      <c r="A2390" t="str">
        <f>"&lt;lifetime&gt;" &amp;$E$2388&amp;"&lt;/lifetime&gt;"</f>
        <v>&lt;lifetime&gt;1800&lt;/lifetime&gt;</v>
      </c>
      <c r="B2390" t="s">
        <v>463</v>
      </c>
    </row>
    <row r="2391" spans="1:8" x14ac:dyDescent="0.25">
      <c r="A2391" t="str">
        <f>"&lt;restock&gt;" &amp;$F$2388&amp;"&lt;/restock&gt;"</f>
        <v>&lt;restock&gt;0&lt;/restock&gt;</v>
      </c>
      <c r="B2391" t="s">
        <v>463</v>
      </c>
    </row>
    <row r="2392" spans="1:8" x14ac:dyDescent="0.25">
      <c r="A2392" t="str">
        <f>"&lt;min&gt;" &amp;$G$2388&amp;"&lt;/min&gt;"</f>
        <v>&lt;min&gt;10&lt;/min&gt;</v>
      </c>
      <c r="B2392" t="s">
        <v>463</v>
      </c>
    </row>
    <row r="2393" spans="1:8" x14ac:dyDescent="0.25">
      <c r="A2393" t="s">
        <v>16</v>
      </c>
      <c r="B2393" t="s">
        <v>463</v>
      </c>
    </row>
    <row r="2394" spans="1:8" x14ac:dyDescent="0.25">
      <c r="A2394" t="s">
        <v>17</v>
      </c>
      <c r="B2394" t="s">
        <v>463</v>
      </c>
    </row>
    <row r="2395" spans="1:8" x14ac:dyDescent="0.25">
      <c r="A2395" t="s">
        <v>18</v>
      </c>
      <c r="B2395" t="s">
        <v>463</v>
      </c>
    </row>
    <row r="2396" spans="1:8" x14ac:dyDescent="0.25">
      <c r="A2396" t="str">
        <f xml:space="preserve"> $H$2388</f>
        <v>&lt;flags count_in_cargo="0" count_in_hoarder="0" count_in_map="1" count_in_player="0" crafted="0" deloot="0"/&gt;</v>
      </c>
      <c r="B2396" t="s">
        <v>463</v>
      </c>
    </row>
    <row r="2397" spans="1:8" x14ac:dyDescent="0.25">
      <c r="A2397" t="str">
        <f>"&lt;category name=" &amp;"""" &amp;$C$2388&amp;"""/&gt;"</f>
        <v>&lt;category name="containers"/&gt;</v>
      </c>
      <c r="B2397" t="s">
        <v>463</v>
      </c>
    </row>
    <row r="2398" spans="1:8" x14ac:dyDescent="0.25">
      <c r="A2398" t="s">
        <v>20</v>
      </c>
      <c r="B2398" t="s">
        <v>463</v>
      </c>
    </row>
    <row r="2399" spans="1:8" x14ac:dyDescent="0.25">
      <c r="A2399" t="s">
        <v>39</v>
      </c>
      <c r="B2399" t="s">
        <v>463</v>
      </c>
    </row>
    <row r="2400" spans="1:8" x14ac:dyDescent="0.25">
      <c r="A2400" t="s">
        <v>40</v>
      </c>
      <c r="B2400" t="s">
        <v>463</v>
      </c>
    </row>
    <row r="2401" spans="1:8" x14ac:dyDescent="0.25">
      <c r="A2401" t="s">
        <v>22</v>
      </c>
      <c r="B2401" t="s">
        <v>463</v>
      </c>
    </row>
    <row r="2402" spans="1:8" x14ac:dyDescent="0.25">
      <c r="A2402" t="s">
        <v>1589</v>
      </c>
      <c r="B2402" t="s">
        <v>464</v>
      </c>
      <c r="C2402" t="s">
        <v>426</v>
      </c>
      <c r="D2402">
        <v>50</v>
      </c>
      <c r="E2402">
        <v>7200</v>
      </c>
      <c r="F2402">
        <v>0</v>
      </c>
      <c r="G2402">
        <v>30</v>
      </c>
      <c r="H2402" t="s">
        <v>19</v>
      </c>
    </row>
    <row r="2403" spans="1:8" x14ac:dyDescent="0.25">
      <c r="A2403" t="str">
        <f>"&lt;nominal&gt;" &amp;$D$2402&amp;"&lt;/nominal&gt;"</f>
        <v>&lt;nominal&gt;50&lt;/nominal&gt;</v>
      </c>
      <c r="B2403" t="s">
        <v>464</v>
      </c>
    </row>
    <row r="2404" spans="1:8" x14ac:dyDescent="0.25">
      <c r="A2404" t="str">
        <f>"&lt;lifetime&gt;" &amp;$E$2402&amp;"&lt;/lifetime&gt;"</f>
        <v>&lt;lifetime&gt;7200&lt;/lifetime&gt;</v>
      </c>
      <c r="B2404" t="s">
        <v>464</v>
      </c>
    </row>
    <row r="2405" spans="1:8" x14ac:dyDescent="0.25">
      <c r="A2405" t="str">
        <f>"&lt;restock&gt;" &amp;$F$2402&amp;"&lt;/restock&gt;"</f>
        <v>&lt;restock&gt;0&lt;/restock&gt;</v>
      </c>
      <c r="B2405" t="s">
        <v>464</v>
      </c>
    </row>
    <row r="2406" spans="1:8" x14ac:dyDescent="0.25">
      <c r="A2406" t="str">
        <f>"&lt;min&gt;" &amp;$G$2402&amp;"&lt;/min&gt;"</f>
        <v>&lt;min&gt;30&lt;/min&gt;</v>
      </c>
      <c r="B2406" t="s">
        <v>464</v>
      </c>
    </row>
    <row r="2407" spans="1:8" x14ac:dyDescent="0.25">
      <c r="A2407" t="s">
        <v>16</v>
      </c>
      <c r="B2407" t="s">
        <v>464</v>
      </c>
    </row>
    <row r="2408" spans="1:8" x14ac:dyDescent="0.25">
      <c r="A2408" t="s">
        <v>17</v>
      </c>
      <c r="B2408" t="s">
        <v>464</v>
      </c>
    </row>
    <row r="2409" spans="1:8" x14ac:dyDescent="0.25">
      <c r="A2409" t="s">
        <v>18</v>
      </c>
      <c r="B2409" t="s">
        <v>464</v>
      </c>
    </row>
    <row r="2410" spans="1:8" x14ac:dyDescent="0.25">
      <c r="A2410" t="str">
        <f xml:space="preserve"> $H$2402</f>
        <v>&lt;flags count_in_cargo="0" count_in_hoarder="0" count_in_map="1" count_in_player="0" crafted="0" deloot="0"/&gt;</v>
      </c>
      <c r="B2410" t="s">
        <v>464</v>
      </c>
    </row>
    <row r="2411" spans="1:8" x14ac:dyDescent="0.25">
      <c r="A2411" t="str">
        <f>"&lt;category name=" &amp;"""" &amp;$C$2402&amp;"""/&gt;"</f>
        <v>&lt;category name="tools"/&gt;</v>
      </c>
      <c r="B2411" t="s">
        <v>464</v>
      </c>
    </row>
    <row r="2412" spans="1:8" x14ac:dyDescent="0.25">
      <c r="A2412" t="s">
        <v>20</v>
      </c>
      <c r="B2412" t="s">
        <v>464</v>
      </c>
    </row>
    <row r="2413" spans="1:8" x14ac:dyDescent="0.25">
      <c r="A2413" t="s">
        <v>29</v>
      </c>
      <c r="B2413" t="s">
        <v>464</v>
      </c>
    </row>
    <row r="2414" spans="1:8" x14ac:dyDescent="0.25">
      <c r="A2414" t="s">
        <v>173</v>
      </c>
      <c r="B2414" t="s">
        <v>464</v>
      </c>
    </row>
    <row r="2415" spans="1:8" x14ac:dyDescent="0.25">
      <c r="A2415" t="s">
        <v>67</v>
      </c>
      <c r="B2415" t="s">
        <v>464</v>
      </c>
    </row>
    <row r="2416" spans="1:8" x14ac:dyDescent="0.25">
      <c r="A2416" t="s">
        <v>22</v>
      </c>
      <c r="B2416" t="s">
        <v>464</v>
      </c>
    </row>
    <row r="2417" spans="1:8" x14ac:dyDescent="0.25">
      <c r="A2417" t="s">
        <v>1590</v>
      </c>
      <c r="B2417" t="s">
        <v>465</v>
      </c>
      <c r="C2417" t="s">
        <v>426</v>
      </c>
      <c r="D2417">
        <v>20</v>
      </c>
      <c r="E2417">
        <v>7200</v>
      </c>
      <c r="F2417">
        <v>0</v>
      </c>
      <c r="G2417">
        <v>10</v>
      </c>
      <c r="H2417" t="s">
        <v>19</v>
      </c>
    </row>
    <row r="2418" spans="1:8" x14ac:dyDescent="0.25">
      <c r="A2418" t="str">
        <f>"&lt;nominal&gt;" &amp;$D$2417&amp;"&lt;/nominal&gt;"</f>
        <v>&lt;nominal&gt;20&lt;/nominal&gt;</v>
      </c>
      <c r="B2418" t="s">
        <v>465</v>
      </c>
    </row>
    <row r="2419" spans="1:8" x14ac:dyDescent="0.25">
      <c r="A2419" t="str">
        <f>"&lt;lifetime&gt;" &amp;$E$2417&amp;"&lt;/lifetime&gt;"</f>
        <v>&lt;lifetime&gt;7200&lt;/lifetime&gt;</v>
      </c>
      <c r="B2419" t="s">
        <v>465</v>
      </c>
    </row>
    <row r="2420" spans="1:8" x14ac:dyDescent="0.25">
      <c r="A2420" t="str">
        <f>"&lt;restock&gt;" &amp;$F$2417&amp;"&lt;/restock&gt;"</f>
        <v>&lt;restock&gt;0&lt;/restock&gt;</v>
      </c>
      <c r="B2420" t="s">
        <v>465</v>
      </c>
    </row>
    <row r="2421" spans="1:8" x14ac:dyDescent="0.25">
      <c r="A2421" t="str">
        <f>"&lt;min&gt;" &amp;$G$2417&amp;"&lt;/min&gt;"</f>
        <v>&lt;min&gt;10&lt;/min&gt;</v>
      </c>
      <c r="B2421" t="s">
        <v>465</v>
      </c>
    </row>
    <row r="2422" spans="1:8" x14ac:dyDescent="0.25">
      <c r="A2422" t="s">
        <v>16</v>
      </c>
      <c r="B2422" t="s">
        <v>465</v>
      </c>
    </row>
    <row r="2423" spans="1:8" x14ac:dyDescent="0.25">
      <c r="A2423" t="s">
        <v>17</v>
      </c>
      <c r="B2423" t="s">
        <v>465</v>
      </c>
    </row>
    <row r="2424" spans="1:8" x14ac:dyDescent="0.25">
      <c r="A2424" t="s">
        <v>18</v>
      </c>
      <c r="B2424" t="s">
        <v>465</v>
      </c>
    </row>
    <row r="2425" spans="1:8" x14ac:dyDescent="0.25">
      <c r="A2425" t="str">
        <f xml:space="preserve"> $H$2417</f>
        <v>&lt;flags count_in_cargo="0" count_in_hoarder="0" count_in_map="1" count_in_player="0" crafted="0" deloot="0"/&gt;</v>
      </c>
      <c r="B2425" t="s">
        <v>465</v>
      </c>
    </row>
    <row r="2426" spans="1:8" x14ac:dyDescent="0.25">
      <c r="A2426" t="str">
        <f>"&lt;category name=" &amp;"""" &amp;$C$2417&amp;"""/&gt;"</f>
        <v>&lt;category name="tools"/&gt;</v>
      </c>
      <c r="B2426" t="s">
        <v>465</v>
      </c>
    </row>
    <row r="2427" spans="1:8" x14ac:dyDescent="0.25">
      <c r="A2427" t="s">
        <v>20</v>
      </c>
      <c r="B2427" t="s">
        <v>465</v>
      </c>
    </row>
    <row r="2428" spans="1:8" x14ac:dyDescent="0.25">
      <c r="A2428" t="s">
        <v>21</v>
      </c>
      <c r="B2428" t="s">
        <v>465</v>
      </c>
    </row>
    <row r="2429" spans="1:8" x14ac:dyDescent="0.25">
      <c r="A2429" t="s">
        <v>22</v>
      </c>
      <c r="B2429" t="s">
        <v>465</v>
      </c>
    </row>
    <row r="2430" spans="1:8" x14ac:dyDescent="0.25">
      <c r="A2430" t="s">
        <v>1591</v>
      </c>
      <c r="B2430" t="s">
        <v>3386</v>
      </c>
      <c r="C2430" t="s">
        <v>426</v>
      </c>
      <c r="D2430">
        <v>0</v>
      </c>
      <c r="E2430">
        <v>7200</v>
      </c>
      <c r="F2430">
        <v>0</v>
      </c>
      <c r="G2430">
        <v>0</v>
      </c>
      <c r="H2430" t="s">
        <v>62</v>
      </c>
    </row>
    <row r="2431" spans="1:8" x14ac:dyDescent="0.25">
      <c r="A2431" t="str">
        <f>"&lt;nominal&gt;" &amp;$D$2430&amp;"&lt;/nominal&gt;"</f>
        <v>&lt;nominal&gt;0&lt;/nominal&gt;</v>
      </c>
      <c r="B2431" t="s">
        <v>3386</v>
      </c>
    </row>
    <row r="2432" spans="1:8" x14ac:dyDescent="0.25">
      <c r="A2432" t="str">
        <f>"&lt;lifetime&gt;" &amp;$E$2430&amp;"&lt;/lifetime&gt;"</f>
        <v>&lt;lifetime&gt;7200&lt;/lifetime&gt;</v>
      </c>
      <c r="B2432" t="s">
        <v>3386</v>
      </c>
    </row>
    <row r="2433" spans="1:8" x14ac:dyDescent="0.25">
      <c r="A2433" t="str">
        <f>"&lt;restock&gt;" &amp;$F$2430&amp;"&lt;/restock&gt;"</f>
        <v>&lt;restock&gt;0&lt;/restock&gt;</v>
      </c>
      <c r="B2433" t="s">
        <v>3386</v>
      </c>
    </row>
    <row r="2434" spans="1:8" x14ac:dyDescent="0.25">
      <c r="A2434" t="str">
        <f>"&lt;min&gt;" &amp;$G$2430&amp;"&lt;/min&gt;"</f>
        <v>&lt;min&gt;0&lt;/min&gt;</v>
      </c>
      <c r="B2434" t="s">
        <v>3386</v>
      </c>
    </row>
    <row r="2435" spans="1:8" x14ac:dyDescent="0.25">
      <c r="A2435" t="s">
        <v>16</v>
      </c>
      <c r="B2435" t="s">
        <v>3386</v>
      </c>
    </row>
    <row r="2436" spans="1:8" x14ac:dyDescent="0.25">
      <c r="A2436" t="s">
        <v>17</v>
      </c>
      <c r="B2436" t="s">
        <v>3386</v>
      </c>
    </row>
    <row r="2437" spans="1:8" x14ac:dyDescent="0.25">
      <c r="A2437" t="s">
        <v>18</v>
      </c>
      <c r="B2437" t="s">
        <v>3386</v>
      </c>
    </row>
    <row r="2438" spans="1:8" x14ac:dyDescent="0.25">
      <c r="A2438" t="str">
        <f xml:space="preserve"> $H$2430</f>
        <v>&lt;flags count_in_cargo="0" count_in_hoarder="0" count_in_map="1" count_in_player="0" crafted="1" deloot="0"/&gt;</v>
      </c>
      <c r="B2438" t="s">
        <v>3386</v>
      </c>
    </row>
    <row r="2439" spans="1:8" x14ac:dyDescent="0.25">
      <c r="A2439" t="str">
        <f>"&lt;category name=" &amp;"""" &amp;$C$2430&amp;"""/&gt;"</f>
        <v>&lt;category name="tools"/&gt;</v>
      </c>
      <c r="B2439" t="s">
        <v>3386</v>
      </c>
    </row>
    <row r="2440" spans="1:8" x14ac:dyDescent="0.25">
      <c r="A2440" t="s">
        <v>22</v>
      </c>
      <c r="B2440" t="s">
        <v>3386</v>
      </c>
    </row>
    <row r="2441" spans="1:8" x14ac:dyDescent="0.25">
      <c r="A2441" t="s">
        <v>1592</v>
      </c>
      <c r="B2441" t="s">
        <v>3387</v>
      </c>
      <c r="C2441" t="s">
        <v>426</v>
      </c>
      <c r="D2441">
        <v>0</v>
      </c>
      <c r="E2441">
        <v>7200</v>
      </c>
      <c r="F2441">
        <v>0</v>
      </c>
      <c r="G2441">
        <v>0</v>
      </c>
      <c r="H2441" t="s">
        <v>62</v>
      </c>
    </row>
    <row r="2442" spans="1:8" x14ac:dyDescent="0.25">
      <c r="A2442" t="str">
        <f>"&lt;nominal&gt;" &amp;$D$2441&amp;"&lt;/nominal&gt;"</f>
        <v>&lt;nominal&gt;0&lt;/nominal&gt;</v>
      </c>
      <c r="B2442" t="s">
        <v>3387</v>
      </c>
    </row>
    <row r="2443" spans="1:8" x14ac:dyDescent="0.25">
      <c r="A2443" t="str">
        <f>"&lt;lifetime&gt;" &amp;$E$2441&amp;"&lt;/lifetime&gt;"</f>
        <v>&lt;lifetime&gt;7200&lt;/lifetime&gt;</v>
      </c>
      <c r="B2443" t="s">
        <v>3387</v>
      </c>
    </row>
    <row r="2444" spans="1:8" x14ac:dyDescent="0.25">
      <c r="A2444" t="str">
        <f>"&lt;restock&gt;" &amp;$F$2441&amp;"&lt;/restock&gt;"</f>
        <v>&lt;restock&gt;0&lt;/restock&gt;</v>
      </c>
      <c r="B2444" t="s">
        <v>3387</v>
      </c>
    </row>
    <row r="2445" spans="1:8" x14ac:dyDescent="0.25">
      <c r="A2445" t="str">
        <f>"&lt;min&gt;" &amp;$G$2441&amp;"&lt;/min&gt;"</f>
        <v>&lt;min&gt;0&lt;/min&gt;</v>
      </c>
      <c r="B2445" t="s">
        <v>3387</v>
      </c>
    </row>
    <row r="2446" spans="1:8" x14ac:dyDescent="0.25">
      <c r="A2446" t="s">
        <v>16</v>
      </c>
      <c r="B2446" t="s">
        <v>3387</v>
      </c>
    </row>
    <row r="2447" spans="1:8" x14ac:dyDescent="0.25">
      <c r="A2447" t="s">
        <v>17</v>
      </c>
      <c r="B2447" t="s">
        <v>3387</v>
      </c>
    </row>
    <row r="2448" spans="1:8" x14ac:dyDescent="0.25">
      <c r="A2448" t="s">
        <v>18</v>
      </c>
      <c r="B2448" t="s">
        <v>3387</v>
      </c>
    </row>
    <row r="2449" spans="1:8" x14ac:dyDescent="0.25">
      <c r="A2449" t="str">
        <f xml:space="preserve"> $H$2441</f>
        <v>&lt;flags count_in_cargo="0" count_in_hoarder="0" count_in_map="1" count_in_player="0" crafted="1" deloot="0"/&gt;</v>
      </c>
      <c r="B2449" t="s">
        <v>3387</v>
      </c>
    </row>
    <row r="2450" spans="1:8" x14ac:dyDescent="0.25">
      <c r="A2450" t="str">
        <f>"&lt;category name=" &amp;"""" &amp;$C$2441&amp;"""/&gt;"</f>
        <v>&lt;category name="tools"/&gt;</v>
      </c>
      <c r="B2450" t="s">
        <v>3387</v>
      </c>
    </row>
    <row r="2451" spans="1:8" x14ac:dyDescent="0.25">
      <c r="A2451" t="s">
        <v>22</v>
      </c>
      <c r="B2451" t="s">
        <v>3387</v>
      </c>
    </row>
    <row r="2452" spans="1:8" x14ac:dyDescent="0.25">
      <c r="A2452" t="s">
        <v>1593</v>
      </c>
      <c r="B2452" t="s">
        <v>466</v>
      </c>
      <c r="C2452" t="s">
        <v>426</v>
      </c>
      <c r="D2452">
        <v>10</v>
      </c>
      <c r="E2452">
        <v>7200</v>
      </c>
      <c r="F2452">
        <v>0</v>
      </c>
      <c r="G2452">
        <v>5</v>
      </c>
      <c r="H2452" t="s">
        <v>19</v>
      </c>
    </row>
    <row r="2453" spans="1:8" x14ac:dyDescent="0.25">
      <c r="A2453" t="str">
        <f>"&lt;nominal&gt;" &amp;$D$2452&amp;"&lt;/nominal&gt;"</f>
        <v>&lt;nominal&gt;10&lt;/nominal&gt;</v>
      </c>
      <c r="B2453" t="s">
        <v>466</v>
      </c>
    </row>
    <row r="2454" spans="1:8" x14ac:dyDescent="0.25">
      <c r="A2454" t="str">
        <f>"&lt;lifetime&gt;" &amp;$E$2452&amp;"&lt;/lifetime&gt;"</f>
        <v>&lt;lifetime&gt;7200&lt;/lifetime&gt;</v>
      </c>
      <c r="B2454" t="s">
        <v>466</v>
      </c>
    </row>
    <row r="2455" spans="1:8" x14ac:dyDescent="0.25">
      <c r="A2455" t="str">
        <f>"&lt;restock&gt;" &amp;$F$2452&amp;"&lt;/restock&gt;"</f>
        <v>&lt;restock&gt;0&lt;/restock&gt;</v>
      </c>
      <c r="B2455" t="s">
        <v>466</v>
      </c>
    </row>
    <row r="2456" spans="1:8" x14ac:dyDescent="0.25">
      <c r="A2456" t="str">
        <f>"&lt;min&gt;" &amp;$G$2452&amp;"&lt;/min&gt;"</f>
        <v>&lt;min&gt;5&lt;/min&gt;</v>
      </c>
      <c r="B2456" t="s">
        <v>466</v>
      </c>
    </row>
    <row r="2457" spans="1:8" x14ac:dyDescent="0.25">
      <c r="A2457" t="s">
        <v>16</v>
      </c>
      <c r="B2457" t="s">
        <v>466</v>
      </c>
    </row>
    <row r="2458" spans="1:8" x14ac:dyDescent="0.25">
      <c r="A2458" t="s">
        <v>17</v>
      </c>
      <c r="B2458" t="s">
        <v>466</v>
      </c>
    </row>
    <row r="2459" spans="1:8" x14ac:dyDescent="0.25">
      <c r="A2459" t="s">
        <v>18</v>
      </c>
      <c r="B2459" t="s">
        <v>466</v>
      </c>
    </row>
    <row r="2460" spans="1:8" x14ac:dyDescent="0.25">
      <c r="A2460" t="str">
        <f xml:space="preserve"> $H$2452</f>
        <v>&lt;flags count_in_cargo="0" count_in_hoarder="0" count_in_map="1" count_in_player="0" crafted="0" deloot="0"/&gt;</v>
      </c>
      <c r="B2460" t="s">
        <v>466</v>
      </c>
    </row>
    <row r="2461" spans="1:8" x14ac:dyDescent="0.25">
      <c r="A2461" t="str">
        <f>"&lt;category name=" &amp;"""" &amp;$C$2452&amp;"""/&gt;"</f>
        <v>&lt;category name="tools"/&gt;</v>
      </c>
      <c r="B2461" t="s">
        <v>466</v>
      </c>
    </row>
    <row r="2462" spans="1:8" x14ac:dyDescent="0.25">
      <c r="A2462" t="s">
        <v>20</v>
      </c>
      <c r="B2462" t="s">
        <v>466</v>
      </c>
    </row>
    <row r="2463" spans="1:8" x14ac:dyDescent="0.25">
      <c r="A2463" t="s">
        <v>21</v>
      </c>
      <c r="B2463" t="s">
        <v>466</v>
      </c>
    </row>
    <row r="2464" spans="1:8" x14ac:dyDescent="0.25">
      <c r="A2464" t="s">
        <v>22</v>
      </c>
      <c r="B2464" t="s">
        <v>466</v>
      </c>
    </row>
    <row r="2465" spans="1:8" x14ac:dyDescent="0.25">
      <c r="A2465" t="s">
        <v>1594</v>
      </c>
      <c r="B2465" t="s">
        <v>467</v>
      </c>
      <c r="C2465" t="s">
        <v>403</v>
      </c>
      <c r="D2465">
        <v>30</v>
      </c>
      <c r="E2465">
        <v>1800</v>
      </c>
      <c r="F2465">
        <v>0</v>
      </c>
      <c r="G2465">
        <v>15</v>
      </c>
      <c r="H2465" t="s">
        <v>19</v>
      </c>
    </row>
    <row r="2466" spans="1:8" x14ac:dyDescent="0.25">
      <c r="A2466" t="str">
        <f>"&lt;nominal&gt;" &amp;$D$2465&amp;"&lt;/nominal&gt;"</f>
        <v>&lt;nominal&gt;30&lt;/nominal&gt;</v>
      </c>
      <c r="B2466" t="s">
        <v>467</v>
      </c>
    </row>
    <row r="2467" spans="1:8" x14ac:dyDescent="0.25">
      <c r="A2467" t="str">
        <f>"&lt;lifetime&gt;" &amp;$E$2465&amp;"&lt;/lifetime&gt;"</f>
        <v>&lt;lifetime&gt;1800&lt;/lifetime&gt;</v>
      </c>
      <c r="B2467" t="s">
        <v>467</v>
      </c>
    </row>
    <row r="2468" spans="1:8" x14ac:dyDescent="0.25">
      <c r="A2468" t="str">
        <f>"&lt;restock&gt;" &amp;$F$2465&amp;"&lt;/restock&gt;"</f>
        <v>&lt;restock&gt;0&lt;/restock&gt;</v>
      </c>
      <c r="B2468" t="s">
        <v>467</v>
      </c>
    </row>
    <row r="2469" spans="1:8" x14ac:dyDescent="0.25">
      <c r="A2469" t="str">
        <f>"&lt;min&gt;" &amp;$G$2465&amp;"&lt;/min&gt;"</f>
        <v>&lt;min&gt;15&lt;/min&gt;</v>
      </c>
      <c r="B2469" t="s">
        <v>467</v>
      </c>
    </row>
    <row r="2470" spans="1:8" x14ac:dyDescent="0.25">
      <c r="A2470" t="s">
        <v>16</v>
      </c>
      <c r="B2470" t="s">
        <v>467</v>
      </c>
    </row>
    <row r="2471" spans="1:8" x14ac:dyDescent="0.25">
      <c r="A2471" t="s">
        <v>17</v>
      </c>
      <c r="B2471" t="s">
        <v>467</v>
      </c>
    </row>
    <row r="2472" spans="1:8" x14ac:dyDescent="0.25">
      <c r="A2472" t="s">
        <v>18</v>
      </c>
      <c r="B2472" t="s">
        <v>467</v>
      </c>
    </row>
    <row r="2473" spans="1:8" x14ac:dyDescent="0.25">
      <c r="A2473" t="str">
        <f xml:space="preserve"> $H$2465</f>
        <v>&lt;flags count_in_cargo="0" count_in_hoarder="0" count_in_map="1" count_in_player="0" crafted="0" deloot="0"/&gt;</v>
      </c>
      <c r="B2473" t="s">
        <v>467</v>
      </c>
    </row>
    <row r="2474" spans="1:8" x14ac:dyDescent="0.25">
      <c r="A2474" t="str">
        <f>"&lt;category name=" &amp;"""" &amp;$C$2465&amp;"""/&gt;"</f>
        <v>&lt;category name="clothes"/&gt;</v>
      </c>
      <c r="B2474" t="s">
        <v>467</v>
      </c>
    </row>
    <row r="2475" spans="1:8" x14ac:dyDescent="0.25">
      <c r="A2475" t="s">
        <v>39</v>
      </c>
      <c r="B2475" t="s">
        <v>467</v>
      </c>
    </row>
    <row r="2476" spans="1:8" x14ac:dyDescent="0.25">
      <c r="A2476" t="s">
        <v>22</v>
      </c>
      <c r="B2476" t="s">
        <v>467</v>
      </c>
    </row>
    <row r="2477" spans="1:8" x14ac:dyDescent="0.25">
      <c r="A2477" t="s">
        <v>1595</v>
      </c>
      <c r="B2477" t="s">
        <v>468</v>
      </c>
      <c r="C2477" t="s">
        <v>403</v>
      </c>
      <c r="D2477">
        <v>30</v>
      </c>
      <c r="E2477">
        <v>1800</v>
      </c>
      <c r="F2477">
        <v>0</v>
      </c>
      <c r="G2477">
        <v>15</v>
      </c>
      <c r="H2477" t="s">
        <v>19</v>
      </c>
    </row>
    <row r="2478" spans="1:8" x14ac:dyDescent="0.25">
      <c r="A2478" t="str">
        <f>"&lt;nominal&gt;" &amp;$D$2477&amp;"&lt;/nominal&gt;"</f>
        <v>&lt;nominal&gt;30&lt;/nominal&gt;</v>
      </c>
      <c r="B2478" t="s">
        <v>468</v>
      </c>
    </row>
    <row r="2479" spans="1:8" x14ac:dyDescent="0.25">
      <c r="A2479" t="str">
        <f>"&lt;lifetime&gt;" &amp;$E$2477&amp;"&lt;/lifetime&gt;"</f>
        <v>&lt;lifetime&gt;1800&lt;/lifetime&gt;</v>
      </c>
      <c r="B2479" t="s">
        <v>468</v>
      </c>
    </row>
    <row r="2480" spans="1:8" x14ac:dyDescent="0.25">
      <c r="A2480" t="str">
        <f>"&lt;restock&gt;" &amp;$F$2477&amp;"&lt;/restock&gt;"</f>
        <v>&lt;restock&gt;0&lt;/restock&gt;</v>
      </c>
      <c r="B2480" t="s">
        <v>468</v>
      </c>
    </row>
    <row r="2481" spans="1:8" x14ac:dyDescent="0.25">
      <c r="A2481" t="str">
        <f>"&lt;min&gt;" &amp;$G$2477&amp;"&lt;/min&gt;"</f>
        <v>&lt;min&gt;15&lt;/min&gt;</v>
      </c>
      <c r="B2481" t="s">
        <v>468</v>
      </c>
    </row>
    <row r="2482" spans="1:8" x14ac:dyDescent="0.25">
      <c r="A2482" t="s">
        <v>16</v>
      </c>
      <c r="B2482" t="s">
        <v>468</v>
      </c>
    </row>
    <row r="2483" spans="1:8" x14ac:dyDescent="0.25">
      <c r="A2483" t="s">
        <v>17</v>
      </c>
      <c r="B2483" t="s">
        <v>468</v>
      </c>
    </row>
    <row r="2484" spans="1:8" x14ac:dyDescent="0.25">
      <c r="A2484" t="s">
        <v>18</v>
      </c>
      <c r="B2484" t="s">
        <v>468</v>
      </c>
    </row>
    <row r="2485" spans="1:8" x14ac:dyDescent="0.25">
      <c r="A2485" t="str">
        <f xml:space="preserve"> $H$2477</f>
        <v>&lt;flags count_in_cargo="0" count_in_hoarder="0" count_in_map="1" count_in_player="0" crafted="0" deloot="0"/&gt;</v>
      </c>
      <c r="B2485" t="s">
        <v>468</v>
      </c>
    </row>
    <row r="2486" spans="1:8" x14ac:dyDescent="0.25">
      <c r="A2486" t="str">
        <f>"&lt;category name=" &amp;"""" &amp;$C$2477&amp;"""/&gt;"</f>
        <v>&lt;category name="clothes"/&gt;</v>
      </c>
      <c r="B2486" t="s">
        <v>468</v>
      </c>
    </row>
    <row r="2487" spans="1:8" x14ac:dyDescent="0.25">
      <c r="A2487" t="s">
        <v>39</v>
      </c>
      <c r="B2487" t="s">
        <v>468</v>
      </c>
    </row>
    <row r="2488" spans="1:8" x14ac:dyDescent="0.25">
      <c r="A2488" t="s">
        <v>22</v>
      </c>
      <c r="B2488" t="s">
        <v>468</v>
      </c>
    </row>
    <row r="2489" spans="1:8" x14ac:dyDescent="0.25">
      <c r="A2489" t="s">
        <v>1596</v>
      </c>
      <c r="B2489" t="s">
        <v>469</v>
      </c>
      <c r="C2489" t="s">
        <v>403</v>
      </c>
      <c r="D2489">
        <v>30</v>
      </c>
      <c r="E2489">
        <v>1800</v>
      </c>
      <c r="F2489">
        <v>0</v>
      </c>
      <c r="G2489">
        <v>15</v>
      </c>
      <c r="H2489" t="s">
        <v>19</v>
      </c>
    </row>
    <row r="2490" spans="1:8" x14ac:dyDescent="0.25">
      <c r="A2490" t="str">
        <f>"&lt;nominal&gt;" &amp;$D$2489&amp;"&lt;/nominal&gt;"</f>
        <v>&lt;nominal&gt;30&lt;/nominal&gt;</v>
      </c>
      <c r="B2490" t="s">
        <v>469</v>
      </c>
    </row>
    <row r="2491" spans="1:8" x14ac:dyDescent="0.25">
      <c r="A2491" t="str">
        <f>"&lt;lifetime&gt;" &amp;$E$2489&amp;"&lt;/lifetime&gt;"</f>
        <v>&lt;lifetime&gt;1800&lt;/lifetime&gt;</v>
      </c>
      <c r="B2491" t="s">
        <v>469</v>
      </c>
    </row>
    <row r="2492" spans="1:8" x14ac:dyDescent="0.25">
      <c r="A2492" t="str">
        <f>"&lt;restock&gt;" &amp;$F$2489&amp;"&lt;/restock&gt;"</f>
        <v>&lt;restock&gt;0&lt;/restock&gt;</v>
      </c>
      <c r="B2492" t="s">
        <v>469</v>
      </c>
    </row>
    <row r="2493" spans="1:8" x14ac:dyDescent="0.25">
      <c r="A2493" t="str">
        <f>"&lt;min&gt;" &amp;$G$2489&amp;"&lt;/min&gt;"</f>
        <v>&lt;min&gt;15&lt;/min&gt;</v>
      </c>
      <c r="B2493" t="s">
        <v>469</v>
      </c>
    </row>
    <row r="2494" spans="1:8" x14ac:dyDescent="0.25">
      <c r="A2494" t="s">
        <v>16</v>
      </c>
      <c r="B2494" t="s">
        <v>469</v>
      </c>
    </row>
    <row r="2495" spans="1:8" x14ac:dyDescent="0.25">
      <c r="A2495" t="s">
        <v>17</v>
      </c>
      <c r="B2495" t="s">
        <v>469</v>
      </c>
    </row>
    <row r="2496" spans="1:8" x14ac:dyDescent="0.25">
      <c r="A2496" t="s">
        <v>18</v>
      </c>
      <c r="B2496" t="s">
        <v>469</v>
      </c>
    </row>
    <row r="2497" spans="1:8" x14ac:dyDescent="0.25">
      <c r="A2497" t="str">
        <f xml:space="preserve"> $H$2489</f>
        <v>&lt;flags count_in_cargo="0" count_in_hoarder="0" count_in_map="1" count_in_player="0" crafted="0" deloot="0"/&gt;</v>
      </c>
      <c r="B2497" t="s">
        <v>469</v>
      </c>
    </row>
    <row r="2498" spans="1:8" x14ac:dyDescent="0.25">
      <c r="A2498" t="str">
        <f>"&lt;category name=" &amp;"""" &amp;$C$2489&amp;"""/&gt;"</f>
        <v>&lt;category name="clothes"/&gt;</v>
      </c>
      <c r="B2498" t="s">
        <v>469</v>
      </c>
    </row>
    <row r="2499" spans="1:8" x14ac:dyDescent="0.25">
      <c r="A2499" t="s">
        <v>39</v>
      </c>
      <c r="B2499" t="s">
        <v>469</v>
      </c>
    </row>
    <row r="2500" spans="1:8" x14ac:dyDescent="0.25">
      <c r="A2500" t="s">
        <v>22</v>
      </c>
      <c r="B2500" t="s">
        <v>469</v>
      </c>
    </row>
    <row r="2501" spans="1:8" x14ac:dyDescent="0.25">
      <c r="A2501" t="s">
        <v>1597</v>
      </c>
      <c r="B2501" t="s">
        <v>470</v>
      </c>
      <c r="C2501" t="s">
        <v>403</v>
      </c>
      <c r="D2501">
        <v>30</v>
      </c>
      <c r="E2501">
        <v>1800</v>
      </c>
      <c r="F2501">
        <v>0</v>
      </c>
      <c r="G2501">
        <v>15</v>
      </c>
      <c r="H2501" t="s">
        <v>19</v>
      </c>
    </row>
    <row r="2502" spans="1:8" x14ac:dyDescent="0.25">
      <c r="A2502" t="str">
        <f>"&lt;nominal&gt;" &amp;$D$2501&amp;"&lt;/nominal&gt;"</f>
        <v>&lt;nominal&gt;30&lt;/nominal&gt;</v>
      </c>
      <c r="B2502" t="s">
        <v>470</v>
      </c>
    </row>
    <row r="2503" spans="1:8" x14ac:dyDescent="0.25">
      <c r="A2503" t="str">
        <f>"&lt;lifetime&gt;" &amp;$E$2501&amp;"&lt;/lifetime&gt;"</f>
        <v>&lt;lifetime&gt;1800&lt;/lifetime&gt;</v>
      </c>
      <c r="B2503" t="s">
        <v>470</v>
      </c>
    </row>
    <row r="2504" spans="1:8" x14ac:dyDescent="0.25">
      <c r="A2504" t="str">
        <f>"&lt;restock&gt;" &amp;$F$2501&amp;"&lt;/restock&gt;"</f>
        <v>&lt;restock&gt;0&lt;/restock&gt;</v>
      </c>
      <c r="B2504" t="s">
        <v>470</v>
      </c>
    </row>
    <row r="2505" spans="1:8" x14ac:dyDescent="0.25">
      <c r="A2505" t="str">
        <f>"&lt;min&gt;" &amp;$G$2501&amp;"&lt;/min&gt;"</f>
        <v>&lt;min&gt;15&lt;/min&gt;</v>
      </c>
      <c r="B2505" t="s">
        <v>470</v>
      </c>
    </row>
    <row r="2506" spans="1:8" x14ac:dyDescent="0.25">
      <c r="A2506" t="s">
        <v>16</v>
      </c>
      <c r="B2506" t="s">
        <v>470</v>
      </c>
    </row>
    <row r="2507" spans="1:8" x14ac:dyDescent="0.25">
      <c r="A2507" t="s">
        <v>17</v>
      </c>
      <c r="B2507" t="s">
        <v>470</v>
      </c>
    </row>
    <row r="2508" spans="1:8" x14ac:dyDescent="0.25">
      <c r="A2508" t="s">
        <v>18</v>
      </c>
      <c r="B2508" t="s">
        <v>470</v>
      </c>
    </row>
    <row r="2509" spans="1:8" x14ac:dyDescent="0.25">
      <c r="A2509" t="str">
        <f xml:space="preserve"> $H$2501</f>
        <v>&lt;flags count_in_cargo="0" count_in_hoarder="0" count_in_map="1" count_in_player="0" crafted="0" deloot="0"/&gt;</v>
      </c>
      <c r="B2509" t="s">
        <v>470</v>
      </c>
    </row>
    <row r="2510" spans="1:8" x14ac:dyDescent="0.25">
      <c r="A2510" t="str">
        <f>"&lt;category name=" &amp;"""" &amp;$C$2501&amp;"""/&gt;"</f>
        <v>&lt;category name="clothes"/&gt;</v>
      </c>
      <c r="B2510" t="s">
        <v>470</v>
      </c>
    </row>
    <row r="2511" spans="1:8" x14ac:dyDescent="0.25">
      <c r="A2511" t="s">
        <v>39</v>
      </c>
      <c r="B2511" t="s">
        <v>470</v>
      </c>
    </row>
    <row r="2512" spans="1:8" x14ac:dyDescent="0.25">
      <c r="A2512" t="s">
        <v>22</v>
      </c>
      <c r="B2512" t="s">
        <v>470</v>
      </c>
    </row>
    <row r="2513" spans="1:8" x14ac:dyDescent="0.25">
      <c r="A2513" t="s">
        <v>1598</v>
      </c>
      <c r="B2513" t="s">
        <v>471</v>
      </c>
      <c r="C2513" t="s">
        <v>399</v>
      </c>
      <c r="D2513">
        <v>0</v>
      </c>
      <c r="E2513">
        <v>7200</v>
      </c>
      <c r="F2513">
        <v>0</v>
      </c>
      <c r="G2513">
        <v>0</v>
      </c>
      <c r="H2513" t="s">
        <v>62</v>
      </c>
    </row>
    <row r="2514" spans="1:8" x14ac:dyDescent="0.25">
      <c r="A2514" t="str">
        <f>"&lt;nominal&gt;" &amp;$D$2513&amp;"&lt;/nominal&gt;"</f>
        <v>&lt;nominal&gt;0&lt;/nominal&gt;</v>
      </c>
      <c r="B2514" t="s">
        <v>471</v>
      </c>
    </row>
    <row r="2515" spans="1:8" x14ac:dyDescent="0.25">
      <c r="A2515" t="str">
        <f>"&lt;lifetime&gt;" &amp;$E$2513&amp;"&lt;/lifetime&gt;"</f>
        <v>&lt;lifetime&gt;7200&lt;/lifetime&gt;</v>
      </c>
      <c r="B2515" t="s">
        <v>471</v>
      </c>
    </row>
    <row r="2516" spans="1:8" x14ac:dyDescent="0.25">
      <c r="A2516" t="str">
        <f>"&lt;restock&gt;" &amp;$F$2513&amp;"&lt;/restock&gt;"</f>
        <v>&lt;restock&gt;0&lt;/restock&gt;</v>
      </c>
      <c r="B2516" t="s">
        <v>471</v>
      </c>
    </row>
    <row r="2517" spans="1:8" x14ac:dyDescent="0.25">
      <c r="A2517" t="str">
        <f>"&lt;min&gt;" &amp;$G$2513&amp;"&lt;/min&gt;"</f>
        <v>&lt;min&gt;0&lt;/min&gt;</v>
      </c>
      <c r="B2517" t="s">
        <v>471</v>
      </c>
    </row>
    <row r="2518" spans="1:8" x14ac:dyDescent="0.25">
      <c r="A2518" t="s">
        <v>16</v>
      </c>
      <c r="B2518" t="s">
        <v>471</v>
      </c>
    </row>
    <row r="2519" spans="1:8" x14ac:dyDescent="0.25">
      <c r="A2519" t="s">
        <v>17</v>
      </c>
      <c r="B2519" t="s">
        <v>471</v>
      </c>
    </row>
    <row r="2520" spans="1:8" x14ac:dyDescent="0.25">
      <c r="A2520" t="s">
        <v>18</v>
      </c>
      <c r="B2520" t="s">
        <v>471</v>
      </c>
    </row>
    <row r="2521" spans="1:8" x14ac:dyDescent="0.25">
      <c r="A2521" t="str">
        <f xml:space="preserve"> $H$2513</f>
        <v>&lt;flags count_in_cargo="0" count_in_hoarder="0" count_in_map="1" count_in_player="0" crafted="1" deloot="0"/&gt;</v>
      </c>
      <c r="B2521" t="s">
        <v>471</v>
      </c>
    </row>
    <row r="2522" spans="1:8" x14ac:dyDescent="0.25">
      <c r="A2522" t="str">
        <f>"&lt;category name=" &amp;"""" &amp;$C$2513&amp;"""/&gt;"</f>
        <v>&lt;category name="food"/&gt;</v>
      </c>
      <c r="B2522" t="s">
        <v>471</v>
      </c>
    </row>
    <row r="2523" spans="1:8" x14ac:dyDescent="0.25">
      <c r="A2523" t="s">
        <v>22</v>
      </c>
      <c r="B2523" t="s">
        <v>471</v>
      </c>
    </row>
    <row r="2524" spans="1:8" x14ac:dyDescent="0.25">
      <c r="A2524" t="s">
        <v>1599</v>
      </c>
      <c r="B2524" t="s">
        <v>2951</v>
      </c>
      <c r="C2524" t="s">
        <v>399</v>
      </c>
      <c r="D2524">
        <v>0</v>
      </c>
      <c r="E2524">
        <v>900</v>
      </c>
      <c r="F2524">
        <v>0</v>
      </c>
      <c r="G2524">
        <v>0</v>
      </c>
      <c r="H2524" t="s">
        <v>62</v>
      </c>
    </row>
    <row r="2525" spans="1:8" x14ac:dyDescent="0.25">
      <c r="A2525" t="str">
        <f>"&lt;nominal&gt;" &amp;$D$2524&amp;"&lt;/nominal&gt;"</f>
        <v>&lt;nominal&gt;0&lt;/nominal&gt;</v>
      </c>
      <c r="B2525" t="s">
        <v>2951</v>
      </c>
    </row>
    <row r="2526" spans="1:8" x14ac:dyDescent="0.25">
      <c r="A2526" t="str">
        <f>"&lt;lifetime&gt;" &amp;$E$2524&amp;"&lt;/lifetime&gt;"</f>
        <v>&lt;lifetime&gt;900&lt;/lifetime&gt;</v>
      </c>
      <c r="B2526" t="s">
        <v>2951</v>
      </c>
    </row>
    <row r="2527" spans="1:8" x14ac:dyDescent="0.25">
      <c r="A2527" t="str">
        <f>"&lt;restock&gt;" &amp;$F$2524&amp;"&lt;/restock&gt;"</f>
        <v>&lt;restock&gt;0&lt;/restock&gt;</v>
      </c>
      <c r="B2527" t="s">
        <v>2951</v>
      </c>
    </row>
    <row r="2528" spans="1:8" x14ac:dyDescent="0.25">
      <c r="A2528" t="str">
        <f>"&lt;min&gt;" &amp;$G$2524&amp;"&lt;/min&gt;"</f>
        <v>&lt;min&gt;0&lt;/min&gt;</v>
      </c>
      <c r="B2528" t="s">
        <v>2951</v>
      </c>
    </row>
    <row r="2529" spans="1:8" x14ac:dyDescent="0.25">
      <c r="A2529" t="s">
        <v>16</v>
      </c>
      <c r="B2529" t="s">
        <v>2951</v>
      </c>
    </row>
    <row r="2530" spans="1:8" x14ac:dyDescent="0.25">
      <c r="A2530" t="s">
        <v>17</v>
      </c>
      <c r="B2530" t="s">
        <v>2951</v>
      </c>
    </row>
    <row r="2531" spans="1:8" x14ac:dyDescent="0.25">
      <c r="A2531" t="s">
        <v>18</v>
      </c>
      <c r="B2531" t="s">
        <v>2951</v>
      </c>
    </row>
    <row r="2532" spans="1:8" x14ac:dyDescent="0.25">
      <c r="A2532" t="str">
        <f xml:space="preserve"> $H$2524</f>
        <v>&lt;flags count_in_cargo="0" count_in_hoarder="0" count_in_map="1" count_in_player="0" crafted="1" deloot="0"/&gt;</v>
      </c>
      <c r="B2532" t="s">
        <v>2951</v>
      </c>
    </row>
    <row r="2533" spans="1:8" x14ac:dyDescent="0.25">
      <c r="A2533" t="str">
        <f>"&lt;category name=" &amp;"""" &amp;$C$2524&amp;"""/&gt;"</f>
        <v>&lt;category name="food"/&gt;</v>
      </c>
      <c r="B2533" t="s">
        <v>2951</v>
      </c>
    </row>
    <row r="2534" spans="1:8" x14ac:dyDescent="0.25">
      <c r="A2534" t="s">
        <v>22</v>
      </c>
      <c r="B2534" t="s">
        <v>2951</v>
      </c>
    </row>
    <row r="2535" spans="1:8" x14ac:dyDescent="0.25">
      <c r="A2535" t="s">
        <v>1600</v>
      </c>
      <c r="B2535" t="s">
        <v>472</v>
      </c>
      <c r="C2535" t="s">
        <v>403</v>
      </c>
      <c r="D2535">
        <v>25</v>
      </c>
      <c r="E2535">
        <v>5600</v>
      </c>
      <c r="F2535">
        <v>0</v>
      </c>
      <c r="G2535">
        <v>15</v>
      </c>
      <c r="H2535" t="s">
        <v>19</v>
      </c>
    </row>
    <row r="2536" spans="1:8" x14ac:dyDescent="0.25">
      <c r="A2536" t="str">
        <f>"&lt;nominal&gt;" &amp;$D$2535&amp;"&lt;/nominal&gt;"</f>
        <v>&lt;nominal&gt;25&lt;/nominal&gt;</v>
      </c>
      <c r="B2536" t="s">
        <v>472</v>
      </c>
    </row>
    <row r="2537" spans="1:8" x14ac:dyDescent="0.25">
      <c r="A2537" t="str">
        <f>"&lt;lifetime&gt;" &amp;$E$2535&amp;"&lt;/lifetime&gt;"</f>
        <v>&lt;lifetime&gt;5600&lt;/lifetime&gt;</v>
      </c>
      <c r="B2537" t="s">
        <v>472</v>
      </c>
    </row>
    <row r="2538" spans="1:8" x14ac:dyDescent="0.25">
      <c r="A2538" t="str">
        <f>"&lt;restock&gt;" &amp;$F$2535&amp;"&lt;/restock&gt;"</f>
        <v>&lt;restock&gt;0&lt;/restock&gt;</v>
      </c>
      <c r="B2538" t="s">
        <v>472</v>
      </c>
    </row>
    <row r="2539" spans="1:8" x14ac:dyDescent="0.25">
      <c r="A2539" t="str">
        <f>"&lt;min&gt;" &amp;$G$2535&amp;"&lt;/min&gt;"</f>
        <v>&lt;min&gt;15&lt;/min&gt;</v>
      </c>
      <c r="B2539" t="s">
        <v>472</v>
      </c>
    </row>
    <row r="2540" spans="1:8" x14ac:dyDescent="0.25">
      <c r="A2540" t="s">
        <v>16</v>
      </c>
      <c r="B2540" t="s">
        <v>472</v>
      </c>
    </row>
    <row r="2541" spans="1:8" x14ac:dyDescent="0.25">
      <c r="A2541" t="s">
        <v>17</v>
      </c>
      <c r="B2541" t="s">
        <v>472</v>
      </c>
    </row>
    <row r="2542" spans="1:8" x14ac:dyDescent="0.25">
      <c r="A2542" t="s">
        <v>18</v>
      </c>
      <c r="B2542" t="s">
        <v>472</v>
      </c>
    </row>
    <row r="2543" spans="1:8" x14ac:dyDescent="0.25">
      <c r="A2543" t="str">
        <f xml:space="preserve"> $H$2535</f>
        <v>&lt;flags count_in_cargo="0" count_in_hoarder="0" count_in_map="1" count_in_player="0" crafted="0" deloot="0"/&gt;</v>
      </c>
      <c r="B2543" t="s">
        <v>472</v>
      </c>
    </row>
    <row r="2544" spans="1:8" x14ac:dyDescent="0.25">
      <c r="A2544" t="str">
        <f>"&lt;category name=" &amp;"""" &amp;$C$2535&amp;"""/&gt;"</f>
        <v>&lt;category name="clothes"/&gt;</v>
      </c>
      <c r="B2544" t="s">
        <v>472</v>
      </c>
    </row>
    <row r="2545" spans="1:8" x14ac:dyDescent="0.25">
      <c r="A2545" t="s">
        <v>39</v>
      </c>
      <c r="B2545" t="s">
        <v>472</v>
      </c>
    </row>
    <row r="2546" spans="1:8" x14ac:dyDescent="0.25">
      <c r="A2546" t="s">
        <v>40</v>
      </c>
      <c r="B2546" t="s">
        <v>472</v>
      </c>
    </row>
    <row r="2547" spans="1:8" x14ac:dyDescent="0.25">
      <c r="A2547" t="s">
        <v>30</v>
      </c>
      <c r="B2547" t="s">
        <v>472</v>
      </c>
    </row>
    <row r="2548" spans="1:8" x14ac:dyDescent="0.25">
      <c r="A2548" t="s">
        <v>31</v>
      </c>
      <c r="B2548" t="s">
        <v>472</v>
      </c>
    </row>
    <row r="2549" spans="1:8" x14ac:dyDescent="0.25">
      <c r="A2549" t="s">
        <v>307</v>
      </c>
      <c r="B2549" t="s">
        <v>472</v>
      </c>
    </row>
    <row r="2550" spans="1:8" x14ac:dyDescent="0.25">
      <c r="A2550" t="s">
        <v>22</v>
      </c>
      <c r="B2550" t="s">
        <v>472</v>
      </c>
    </row>
    <row r="2551" spans="1:8" x14ac:dyDescent="0.25">
      <c r="A2551" t="s">
        <v>1601</v>
      </c>
      <c r="B2551" t="s">
        <v>473</v>
      </c>
      <c r="C2551" t="s">
        <v>403</v>
      </c>
      <c r="D2551">
        <v>25</v>
      </c>
      <c r="E2551">
        <v>5600</v>
      </c>
      <c r="F2551">
        <v>0</v>
      </c>
      <c r="G2551">
        <v>15</v>
      </c>
      <c r="H2551" t="s">
        <v>19</v>
      </c>
    </row>
    <row r="2552" spans="1:8" x14ac:dyDescent="0.25">
      <c r="A2552" t="str">
        <f>"&lt;nominal&gt;" &amp;$D$2551&amp;"&lt;/nominal&gt;"</f>
        <v>&lt;nominal&gt;25&lt;/nominal&gt;</v>
      </c>
      <c r="B2552" t="s">
        <v>473</v>
      </c>
    </row>
    <row r="2553" spans="1:8" x14ac:dyDescent="0.25">
      <c r="A2553" t="str">
        <f>"&lt;lifetime&gt;" &amp;$E$2551&amp;"&lt;/lifetime&gt;"</f>
        <v>&lt;lifetime&gt;5600&lt;/lifetime&gt;</v>
      </c>
      <c r="B2553" t="s">
        <v>473</v>
      </c>
    </row>
    <row r="2554" spans="1:8" x14ac:dyDescent="0.25">
      <c r="A2554" t="str">
        <f>"&lt;restock&gt;" &amp;$F$2551&amp;"&lt;/restock&gt;"</f>
        <v>&lt;restock&gt;0&lt;/restock&gt;</v>
      </c>
      <c r="B2554" t="s">
        <v>473</v>
      </c>
    </row>
    <row r="2555" spans="1:8" x14ac:dyDescent="0.25">
      <c r="A2555" t="str">
        <f>"&lt;min&gt;" &amp;$G$2551&amp;"&lt;/min&gt;"</f>
        <v>&lt;min&gt;15&lt;/min&gt;</v>
      </c>
      <c r="B2555" t="s">
        <v>473</v>
      </c>
    </row>
    <row r="2556" spans="1:8" x14ac:dyDescent="0.25">
      <c r="A2556" t="s">
        <v>16</v>
      </c>
      <c r="B2556" t="s">
        <v>473</v>
      </c>
    </row>
    <row r="2557" spans="1:8" x14ac:dyDescent="0.25">
      <c r="A2557" t="s">
        <v>17</v>
      </c>
      <c r="B2557" t="s">
        <v>473</v>
      </c>
    </row>
    <row r="2558" spans="1:8" x14ac:dyDescent="0.25">
      <c r="A2558" t="s">
        <v>18</v>
      </c>
      <c r="B2558" t="s">
        <v>473</v>
      </c>
    </row>
    <row r="2559" spans="1:8" x14ac:dyDescent="0.25">
      <c r="A2559" t="str">
        <f xml:space="preserve"> $H$2551</f>
        <v>&lt;flags count_in_cargo="0" count_in_hoarder="0" count_in_map="1" count_in_player="0" crafted="0" deloot="0"/&gt;</v>
      </c>
      <c r="B2559" t="s">
        <v>473</v>
      </c>
    </row>
    <row r="2560" spans="1:8" x14ac:dyDescent="0.25">
      <c r="A2560" t="str">
        <f>"&lt;category name=" &amp;"""" &amp;$C$2551&amp;"""/&gt;"</f>
        <v>&lt;category name="clothes"/&gt;</v>
      </c>
      <c r="B2560" t="s">
        <v>473</v>
      </c>
    </row>
    <row r="2561" spans="1:8" x14ac:dyDescent="0.25">
      <c r="A2561" t="s">
        <v>39</v>
      </c>
      <c r="B2561" t="s">
        <v>473</v>
      </c>
    </row>
    <row r="2562" spans="1:8" x14ac:dyDescent="0.25">
      <c r="A2562" t="s">
        <v>40</v>
      </c>
      <c r="B2562" t="s">
        <v>473</v>
      </c>
    </row>
    <row r="2563" spans="1:8" x14ac:dyDescent="0.25">
      <c r="A2563" t="s">
        <v>30</v>
      </c>
      <c r="B2563" t="s">
        <v>473</v>
      </c>
    </row>
    <row r="2564" spans="1:8" x14ac:dyDescent="0.25">
      <c r="A2564" t="s">
        <v>31</v>
      </c>
      <c r="B2564" t="s">
        <v>473</v>
      </c>
    </row>
    <row r="2565" spans="1:8" x14ac:dyDescent="0.25">
      <c r="A2565" t="s">
        <v>307</v>
      </c>
      <c r="B2565" t="s">
        <v>473</v>
      </c>
    </row>
    <row r="2566" spans="1:8" x14ac:dyDescent="0.25">
      <c r="A2566" t="s">
        <v>22</v>
      </c>
      <c r="B2566" t="s">
        <v>473</v>
      </c>
    </row>
    <row r="2567" spans="1:8" x14ac:dyDescent="0.25">
      <c r="A2567" t="s">
        <v>1602</v>
      </c>
      <c r="B2567" t="s">
        <v>474</v>
      </c>
      <c r="C2567" t="s">
        <v>403</v>
      </c>
      <c r="D2567">
        <v>25</v>
      </c>
      <c r="E2567">
        <v>5600</v>
      </c>
      <c r="F2567">
        <v>0</v>
      </c>
      <c r="G2567">
        <v>15</v>
      </c>
      <c r="H2567" t="s">
        <v>19</v>
      </c>
    </row>
    <row r="2568" spans="1:8" x14ac:dyDescent="0.25">
      <c r="A2568" t="str">
        <f>"&lt;nominal&gt;" &amp;$D$2567&amp;"&lt;/nominal&gt;"</f>
        <v>&lt;nominal&gt;25&lt;/nominal&gt;</v>
      </c>
      <c r="B2568" t="s">
        <v>474</v>
      </c>
    </row>
    <row r="2569" spans="1:8" x14ac:dyDescent="0.25">
      <c r="A2569" t="str">
        <f>"&lt;lifetime&gt;" &amp;$E$2567&amp;"&lt;/lifetime&gt;"</f>
        <v>&lt;lifetime&gt;5600&lt;/lifetime&gt;</v>
      </c>
      <c r="B2569" t="s">
        <v>474</v>
      </c>
    </row>
    <row r="2570" spans="1:8" x14ac:dyDescent="0.25">
      <c r="A2570" t="str">
        <f>"&lt;restock&gt;" &amp;$F$2567&amp;"&lt;/restock&gt;"</f>
        <v>&lt;restock&gt;0&lt;/restock&gt;</v>
      </c>
      <c r="B2570" t="s">
        <v>474</v>
      </c>
    </row>
    <row r="2571" spans="1:8" x14ac:dyDescent="0.25">
      <c r="A2571" t="str">
        <f>"&lt;min&gt;" &amp;$G$2567&amp;"&lt;/min&gt;"</f>
        <v>&lt;min&gt;15&lt;/min&gt;</v>
      </c>
      <c r="B2571" t="s">
        <v>474</v>
      </c>
    </row>
    <row r="2572" spans="1:8" x14ac:dyDescent="0.25">
      <c r="A2572" t="s">
        <v>16</v>
      </c>
      <c r="B2572" t="s">
        <v>474</v>
      </c>
    </row>
    <row r="2573" spans="1:8" x14ac:dyDescent="0.25">
      <c r="A2573" t="s">
        <v>17</v>
      </c>
      <c r="B2573" t="s">
        <v>474</v>
      </c>
    </row>
    <row r="2574" spans="1:8" x14ac:dyDescent="0.25">
      <c r="A2574" t="s">
        <v>18</v>
      </c>
      <c r="B2574" t="s">
        <v>474</v>
      </c>
    </row>
    <row r="2575" spans="1:8" x14ac:dyDescent="0.25">
      <c r="A2575" t="str">
        <f xml:space="preserve"> $H$2567</f>
        <v>&lt;flags count_in_cargo="0" count_in_hoarder="0" count_in_map="1" count_in_player="0" crafted="0" deloot="0"/&gt;</v>
      </c>
      <c r="B2575" t="s">
        <v>474</v>
      </c>
    </row>
    <row r="2576" spans="1:8" x14ac:dyDescent="0.25">
      <c r="A2576" t="str">
        <f>"&lt;category name=" &amp;"""" &amp;$C$2567&amp;"""/&gt;"</f>
        <v>&lt;category name="clothes"/&gt;</v>
      </c>
      <c r="B2576" t="s">
        <v>474</v>
      </c>
    </row>
    <row r="2577" spans="1:8" x14ac:dyDescent="0.25">
      <c r="A2577" t="s">
        <v>39</v>
      </c>
      <c r="B2577" t="s">
        <v>474</v>
      </c>
    </row>
    <row r="2578" spans="1:8" x14ac:dyDescent="0.25">
      <c r="A2578" t="s">
        <v>40</v>
      </c>
      <c r="B2578" t="s">
        <v>474</v>
      </c>
    </row>
    <row r="2579" spans="1:8" x14ac:dyDescent="0.25">
      <c r="A2579" t="s">
        <v>30</v>
      </c>
      <c r="B2579" t="s">
        <v>474</v>
      </c>
    </row>
    <row r="2580" spans="1:8" x14ac:dyDescent="0.25">
      <c r="A2580" t="s">
        <v>31</v>
      </c>
      <c r="B2580" t="s">
        <v>474</v>
      </c>
    </row>
    <row r="2581" spans="1:8" x14ac:dyDescent="0.25">
      <c r="A2581" t="s">
        <v>307</v>
      </c>
      <c r="B2581" t="s">
        <v>474</v>
      </c>
    </row>
    <row r="2582" spans="1:8" x14ac:dyDescent="0.25">
      <c r="A2582" t="s">
        <v>22</v>
      </c>
      <c r="B2582" t="s">
        <v>474</v>
      </c>
    </row>
    <row r="2583" spans="1:8" x14ac:dyDescent="0.25">
      <c r="A2583" t="s">
        <v>1603</v>
      </c>
      <c r="B2583" t="s">
        <v>475</v>
      </c>
      <c r="C2583" t="s">
        <v>403</v>
      </c>
      <c r="D2583">
        <v>25</v>
      </c>
      <c r="E2583">
        <v>5600</v>
      </c>
      <c r="F2583">
        <v>0</v>
      </c>
      <c r="G2583">
        <v>15</v>
      </c>
      <c r="H2583" t="s">
        <v>19</v>
      </c>
    </row>
    <row r="2584" spans="1:8" x14ac:dyDescent="0.25">
      <c r="A2584" t="str">
        <f>"&lt;nominal&gt;" &amp;$D$2583&amp;"&lt;/nominal&gt;"</f>
        <v>&lt;nominal&gt;25&lt;/nominal&gt;</v>
      </c>
      <c r="B2584" t="s">
        <v>475</v>
      </c>
    </row>
    <row r="2585" spans="1:8" x14ac:dyDescent="0.25">
      <c r="A2585" t="str">
        <f>"&lt;lifetime&gt;" &amp;$E$2583&amp;"&lt;/lifetime&gt;"</f>
        <v>&lt;lifetime&gt;5600&lt;/lifetime&gt;</v>
      </c>
      <c r="B2585" t="s">
        <v>475</v>
      </c>
    </row>
    <row r="2586" spans="1:8" x14ac:dyDescent="0.25">
      <c r="A2586" t="str">
        <f>"&lt;restock&gt;" &amp;$F$2583&amp;"&lt;/restock&gt;"</f>
        <v>&lt;restock&gt;0&lt;/restock&gt;</v>
      </c>
      <c r="B2586" t="s">
        <v>475</v>
      </c>
    </row>
    <row r="2587" spans="1:8" x14ac:dyDescent="0.25">
      <c r="A2587" t="str">
        <f>"&lt;min&gt;" &amp;$G$2583&amp;"&lt;/min&gt;"</f>
        <v>&lt;min&gt;15&lt;/min&gt;</v>
      </c>
      <c r="B2587" t="s">
        <v>475</v>
      </c>
    </row>
    <row r="2588" spans="1:8" x14ac:dyDescent="0.25">
      <c r="A2588" t="s">
        <v>16</v>
      </c>
      <c r="B2588" t="s">
        <v>475</v>
      </c>
    </row>
    <row r="2589" spans="1:8" x14ac:dyDescent="0.25">
      <c r="A2589" t="s">
        <v>17</v>
      </c>
      <c r="B2589" t="s">
        <v>475</v>
      </c>
    </row>
    <row r="2590" spans="1:8" x14ac:dyDescent="0.25">
      <c r="A2590" t="s">
        <v>18</v>
      </c>
      <c r="B2590" t="s">
        <v>475</v>
      </c>
    </row>
    <row r="2591" spans="1:8" x14ac:dyDescent="0.25">
      <c r="A2591" t="str">
        <f xml:space="preserve"> $H$2583</f>
        <v>&lt;flags count_in_cargo="0" count_in_hoarder="0" count_in_map="1" count_in_player="0" crafted="0" deloot="0"/&gt;</v>
      </c>
      <c r="B2591" t="s">
        <v>475</v>
      </c>
    </row>
    <row r="2592" spans="1:8" x14ac:dyDescent="0.25">
      <c r="A2592" t="str">
        <f>"&lt;category name=" &amp;"""" &amp;$C$2583&amp;"""/&gt;"</f>
        <v>&lt;category name="clothes"/&gt;</v>
      </c>
      <c r="B2592" t="s">
        <v>475</v>
      </c>
    </row>
    <row r="2593" spans="1:8" x14ac:dyDescent="0.25">
      <c r="A2593" t="s">
        <v>39</v>
      </c>
      <c r="B2593" t="s">
        <v>475</v>
      </c>
    </row>
    <row r="2594" spans="1:8" x14ac:dyDescent="0.25">
      <c r="A2594" t="s">
        <v>40</v>
      </c>
      <c r="B2594" t="s">
        <v>475</v>
      </c>
    </row>
    <row r="2595" spans="1:8" x14ac:dyDescent="0.25">
      <c r="A2595" t="s">
        <v>30</v>
      </c>
      <c r="B2595" t="s">
        <v>475</v>
      </c>
    </row>
    <row r="2596" spans="1:8" x14ac:dyDescent="0.25">
      <c r="A2596" t="s">
        <v>31</v>
      </c>
      <c r="B2596" t="s">
        <v>475</v>
      </c>
    </row>
    <row r="2597" spans="1:8" x14ac:dyDescent="0.25">
      <c r="A2597" t="s">
        <v>307</v>
      </c>
      <c r="B2597" t="s">
        <v>475</v>
      </c>
    </row>
    <row r="2598" spans="1:8" x14ac:dyDescent="0.25">
      <c r="A2598" t="s">
        <v>22</v>
      </c>
      <c r="B2598" t="s">
        <v>475</v>
      </c>
    </row>
    <row r="2599" spans="1:8" x14ac:dyDescent="0.25">
      <c r="A2599" t="s">
        <v>1604</v>
      </c>
      <c r="B2599" t="s">
        <v>476</v>
      </c>
      <c r="C2599" t="s">
        <v>403</v>
      </c>
      <c r="D2599">
        <v>25</v>
      </c>
      <c r="E2599">
        <v>5600</v>
      </c>
      <c r="F2599">
        <v>0</v>
      </c>
      <c r="G2599">
        <v>15</v>
      </c>
      <c r="H2599" t="s">
        <v>19</v>
      </c>
    </row>
    <row r="2600" spans="1:8" x14ac:dyDescent="0.25">
      <c r="A2600" t="str">
        <f>"&lt;nominal&gt;" &amp;$D$2599&amp;"&lt;/nominal&gt;"</f>
        <v>&lt;nominal&gt;25&lt;/nominal&gt;</v>
      </c>
      <c r="B2600" t="s">
        <v>476</v>
      </c>
    </row>
    <row r="2601" spans="1:8" x14ac:dyDescent="0.25">
      <c r="A2601" t="str">
        <f>"&lt;lifetime&gt;" &amp;$E$2599&amp;"&lt;/lifetime&gt;"</f>
        <v>&lt;lifetime&gt;5600&lt;/lifetime&gt;</v>
      </c>
      <c r="B2601" t="s">
        <v>476</v>
      </c>
    </row>
    <row r="2602" spans="1:8" x14ac:dyDescent="0.25">
      <c r="A2602" t="str">
        <f>"&lt;restock&gt;" &amp;$F$2599&amp;"&lt;/restock&gt;"</f>
        <v>&lt;restock&gt;0&lt;/restock&gt;</v>
      </c>
      <c r="B2602" t="s">
        <v>476</v>
      </c>
    </row>
    <row r="2603" spans="1:8" x14ac:dyDescent="0.25">
      <c r="A2603" t="str">
        <f>"&lt;min&gt;" &amp;$G$2599&amp;"&lt;/min&gt;"</f>
        <v>&lt;min&gt;15&lt;/min&gt;</v>
      </c>
      <c r="B2603" t="s">
        <v>476</v>
      </c>
    </row>
    <row r="2604" spans="1:8" x14ac:dyDescent="0.25">
      <c r="A2604" t="s">
        <v>16</v>
      </c>
      <c r="B2604" t="s">
        <v>476</v>
      </c>
    </row>
    <row r="2605" spans="1:8" x14ac:dyDescent="0.25">
      <c r="A2605" t="s">
        <v>17</v>
      </c>
      <c r="B2605" t="s">
        <v>476</v>
      </c>
    </row>
    <row r="2606" spans="1:8" x14ac:dyDescent="0.25">
      <c r="A2606" t="s">
        <v>18</v>
      </c>
      <c r="B2606" t="s">
        <v>476</v>
      </c>
    </row>
    <row r="2607" spans="1:8" x14ac:dyDescent="0.25">
      <c r="A2607" t="str">
        <f xml:space="preserve"> $H$2599</f>
        <v>&lt;flags count_in_cargo="0" count_in_hoarder="0" count_in_map="1" count_in_player="0" crafted="0" deloot="0"/&gt;</v>
      </c>
      <c r="B2607" t="s">
        <v>476</v>
      </c>
    </row>
    <row r="2608" spans="1:8" x14ac:dyDescent="0.25">
      <c r="A2608" t="str">
        <f>"&lt;category name=" &amp;"""" &amp;$C$2599&amp;"""/&gt;"</f>
        <v>&lt;category name="clothes"/&gt;</v>
      </c>
      <c r="B2608" t="s">
        <v>476</v>
      </c>
    </row>
    <row r="2609" spans="1:8" x14ac:dyDescent="0.25">
      <c r="A2609" t="s">
        <v>39</v>
      </c>
      <c r="B2609" t="s">
        <v>476</v>
      </c>
    </row>
    <row r="2610" spans="1:8" x14ac:dyDescent="0.25">
      <c r="A2610" t="s">
        <v>40</v>
      </c>
      <c r="B2610" t="s">
        <v>476</v>
      </c>
    </row>
    <row r="2611" spans="1:8" x14ac:dyDescent="0.25">
      <c r="A2611" t="s">
        <v>30</v>
      </c>
      <c r="B2611" t="s">
        <v>476</v>
      </c>
    </row>
    <row r="2612" spans="1:8" x14ac:dyDescent="0.25">
      <c r="A2612" t="s">
        <v>31</v>
      </c>
      <c r="B2612" t="s">
        <v>476</v>
      </c>
    </row>
    <row r="2613" spans="1:8" x14ac:dyDescent="0.25">
      <c r="A2613" t="s">
        <v>307</v>
      </c>
      <c r="B2613" t="s">
        <v>476</v>
      </c>
    </row>
    <row r="2614" spans="1:8" x14ac:dyDescent="0.25">
      <c r="A2614" t="s">
        <v>22</v>
      </c>
      <c r="B2614" t="s">
        <v>476</v>
      </c>
    </row>
    <row r="2615" spans="1:8" x14ac:dyDescent="0.25">
      <c r="A2615" t="s">
        <v>1605</v>
      </c>
      <c r="B2615" t="s">
        <v>477</v>
      </c>
      <c r="C2615" t="s">
        <v>403</v>
      </c>
      <c r="D2615">
        <v>15</v>
      </c>
      <c r="E2615">
        <v>5600</v>
      </c>
      <c r="F2615">
        <v>0</v>
      </c>
      <c r="G2615">
        <v>10</v>
      </c>
      <c r="H2615" t="s">
        <v>19</v>
      </c>
    </row>
    <row r="2616" spans="1:8" x14ac:dyDescent="0.25">
      <c r="A2616" t="str">
        <f>"&lt;nominal&gt;" &amp;$D$2615&amp;"&lt;/nominal&gt;"</f>
        <v>&lt;nominal&gt;15&lt;/nominal&gt;</v>
      </c>
      <c r="B2616" t="s">
        <v>477</v>
      </c>
    </row>
    <row r="2617" spans="1:8" x14ac:dyDescent="0.25">
      <c r="A2617" t="str">
        <f>"&lt;lifetime&gt;" &amp;$E$2615&amp;"&lt;/lifetime&gt;"</f>
        <v>&lt;lifetime&gt;5600&lt;/lifetime&gt;</v>
      </c>
      <c r="B2617" t="s">
        <v>477</v>
      </c>
    </row>
    <row r="2618" spans="1:8" x14ac:dyDescent="0.25">
      <c r="A2618" t="str">
        <f>"&lt;restock&gt;" &amp;$F$2615&amp;"&lt;/restock&gt;"</f>
        <v>&lt;restock&gt;0&lt;/restock&gt;</v>
      </c>
      <c r="B2618" t="s">
        <v>477</v>
      </c>
    </row>
    <row r="2619" spans="1:8" x14ac:dyDescent="0.25">
      <c r="A2619" t="str">
        <f>"&lt;min&gt;" &amp;$G$2615&amp;"&lt;/min&gt;"</f>
        <v>&lt;min&gt;10&lt;/min&gt;</v>
      </c>
      <c r="B2619" t="s">
        <v>477</v>
      </c>
    </row>
    <row r="2620" spans="1:8" x14ac:dyDescent="0.25">
      <c r="A2620" t="s">
        <v>16</v>
      </c>
      <c r="B2620" t="s">
        <v>477</v>
      </c>
    </row>
    <row r="2621" spans="1:8" x14ac:dyDescent="0.25">
      <c r="A2621" t="s">
        <v>17</v>
      </c>
      <c r="B2621" t="s">
        <v>477</v>
      </c>
    </row>
    <row r="2622" spans="1:8" x14ac:dyDescent="0.25">
      <c r="A2622" t="s">
        <v>18</v>
      </c>
      <c r="B2622" t="s">
        <v>477</v>
      </c>
    </row>
    <row r="2623" spans="1:8" x14ac:dyDescent="0.25">
      <c r="A2623" t="str">
        <f xml:space="preserve"> $H$2615</f>
        <v>&lt;flags count_in_cargo="0" count_in_hoarder="0" count_in_map="1" count_in_player="0" crafted="0" deloot="0"/&gt;</v>
      </c>
      <c r="B2623" t="s">
        <v>477</v>
      </c>
    </row>
    <row r="2624" spans="1:8" x14ac:dyDescent="0.25">
      <c r="A2624" t="str">
        <f>"&lt;category name=" &amp;"""" &amp;$C$2615&amp;"""/&gt;"</f>
        <v>&lt;category name="clothes"/&gt;</v>
      </c>
      <c r="B2624" t="s">
        <v>477</v>
      </c>
    </row>
    <row r="2625" spans="1:8" x14ac:dyDescent="0.25">
      <c r="A2625" t="s">
        <v>29</v>
      </c>
      <c r="B2625" t="s">
        <v>477</v>
      </c>
    </row>
    <row r="2626" spans="1:8" x14ac:dyDescent="0.25">
      <c r="A2626" t="s">
        <v>82</v>
      </c>
      <c r="B2626" t="s">
        <v>477</v>
      </c>
    </row>
    <row r="2627" spans="1:8" x14ac:dyDescent="0.25">
      <c r="A2627" t="s">
        <v>30</v>
      </c>
      <c r="B2627" t="s">
        <v>477</v>
      </c>
    </row>
    <row r="2628" spans="1:8" x14ac:dyDescent="0.25">
      <c r="A2628" t="s">
        <v>31</v>
      </c>
      <c r="B2628" t="s">
        <v>477</v>
      </c>
    </row>
    <row r="2629" spans="1:8" x14ac:dyDescent="0.25">
      <c r="A2629" t="s">
        <v>307</v>
      </c>
      <c r="B2629" t="s">
        <v>477</v>
      </c>
    </row>
    <row r="2630" spans="1:8" x14ac:dyDescent="0.25">
      <c r="A2630" t="s">
        <v>22</v>
      </c>
      <c r="B2630" t="s">
        <v>477</v>
      </c>
    </row>
    <row r="2631" spans="1:8" x14ac:dyDescent="0.25">
      <c r="A2631" t="s">
        <v>1606</v>
      </c>
      <c r="B2631" t="s">
        <v>478</v>
      </c>
      <c r="C2631" t="s">
        <v>403</v>
      </c>
      <c r="D2631">
        <v>25</v>
      </c>
      <c r="E2631">
        <v>5600</v>
      </c>
      <c r="F2631">
        <v>0</v>
      </c>
      <c r="G2631">
        <v>15</v>
      </c>
      <c r="H2631" t="s">
        <v>19</v>
      </c>
    </row>
    <row r="2632" spans="1:8" x14ac:dyDescent="0.25">
      <c r="A2632" t="str">
        <f>"&lt;nominal&gt;" &amp;$D$2631&amp;"&lt;/nominal&gt;"</f>
        <v>&lt;nominal&gt;25&lt;/nominal&gt;</v>
      </c>
      <c r="B2632" t="s">
        <v>478</v>
      </c>
    </row>
    <row r="2633" spans="1:8" x14ac:dyDescent="0.25">
      <c r="A2633" t="str">
        <f>"&lt;lifetime&gt;" &amp;$E$2631&amp;"&lt;/lifetime&gt;"</f>
        <v>&lt;lifetime&gt;5600&lt;/lifetime&gt;</v>
      </c>
      <c r="B2633" t="s">
        <v>478</v>
      </c>
    </row>
    <row r="2634" spans="1:8" x14ac:dyDescent="0.25">
      <c r="A2634" t="str">
        <f>"&lt;restock&gt;" &amp;$F$2631&amp;"&lt;/restock&gt;"</f>
        <v>&lt;restock&gt;0&lt;/restock&gt;</v>
      </c>
      <c r="B2634" t="s">
        <v>478</v>
      </c>
    </row>
    <row r="2635" spans="1:8" x14ac:dyDescent="0.25">
      <c r="A2635" t="str">
        <f>"&lt;min&gt;" &amp;$G$2631&amp;"&lt;/min&gt;"</f>
        <v>&lt;min&gt;15&lt;/min&gt;</v>
      </c>
      <c r="B2635" t="s">
        <v>478</v>
      </c>
    </row>
    <row r="2636" spans="1:8" x14ac:dyDescent="0.25">
      <c r="A2636" t="s">
        <v>16</v>
      </c>
      <c r="B2636" t="s">
        <v>478</v>
      </c>
    </row>
    <row r="2637" spans="1:8" x14ac:dyDescent="0.25">
      <c r="A2637" t="s">
        <v>17</v>
      </c>
      <c r="B2637" t="s">
        <v>478</v>
      </c>
    </row>
    <row r="2638" spans="1:8" x14ac:dyDescent="0.25">
      <c r="A2638" t="s">
        <v>18</v>
      </c>
      <c r="B2638" t="s">
        <v>478</v>
      </c>
    </row>
    <row r="2639" spans="1:8" x14ac:dyDescent="0.25">
      <c r="A2639" t="str">
        <f xml:space="preserve"> $H$2631</f>
        <v>&lt;flags count_in_cargo="0" count_in_hoarder="0" count_in_map="1" count_in_player="0" crafted="0" deloot="0"/&gt;</v>
      </c>
      <c r="B2639" t="s">
        <v>478</v>
      </c>
    </row>
    <row r="2640" spans="1:8" x14ac:dyDescent="0.25">
      <c r="A2640" t="str">
        <f>"&lt;category name=" &amp;"""" &amp;$C$2631&amp;"""/&gt;"</f>
        <v>&lt;category name="clothes"/&gt;</v>
      </c>
      <c r="B2640" t="s">
        <v>478</v>
      </c>
    </row>
    <row r="2641" spans="1:8" x14ac:dyDescent="0.25">
      <c r="A2641" t="s">
        <v>39</v>
      </c>
      <c r="B2641" t="s">
        <v>478</v>
      </c>
    </row>
    <row r="2642" spans="1:8" x14ac:dyDescent="0.25">
      <c r="A2642" t="s">
        <v>40</v>
      </c>
      <c r="B2642" t="s">
        <v>478</v>
      </c>
    </row>
    <row r="2643" spans="1:8" x14ac:dyDescent="0.25">
      <c r="A2643" t="s">
        <v>82</v>
      </c>
      <c r="B2643" t="s">
        <v>478</v>
      </c>
    </row>
    <row r="2644" spans="1:8" x14ac:dyDescent="0.25">
      <c r="A2644" t="s">
        <v>30</v>
      </c>
      <c r="B2644" t="s">
        <v>478</v>
      </c>
    </row>
    <row r="2645" spans="1:8" x14ac:dyDescent="0.25">
      <c r="A2645" t="s">
        <v>31</v>
      </c>
      <c r="B2645" t="s">
        <v>478</v>
      </c>
    </row>
    <row r="2646" spans="1:8" x14ac:dyDescent="0.25">
      <c r="A2646" t="s">
        <v>307</v>
      </c>
      <c r="B2646" t="s">
        <v>478</v>
      </c>
    </row>
    <row r="2647" spans="1:8" x14ac:dyDescent="0.25">
      <c r="A2647" t="s">
        <v>22</v>
      </c>
      <c r="B2647" t="s">
        <v>478</v>
      </c>
    </row>
    <row r="2648" spans="1:8" x14ac:dyDescent="0.25">
      <c r="A2648" t="s">
        <v>1607</v>
      </c>
      <c r="B2648" t="s">
        <v>3388</v>
      </c>
      <c r="D2648">
        <v>0</v>
      </c>
      <c r="E2648">
        <v>3600</v>
      </c>
      <c r="F2648">
        <v>0</v>
      </c>
      <c r="G2648">
        <v>0</v>
      </c>
      <c r="H2648" t="s">
        <v>62</v>
      </c>
    </row>
    <row r="2649" spans="1:8" x14ac:dyDescent="0.25">
      <c r="A2649" t="str">
        <f>"&lt;nominal&gt;" &amp;$D$2648&amp;"&lt;/nominal&gt;"</f>
        <v>&lt;nominal&gt;0&lt;/nominal&gt;</v>
      </c>
      <c r="B2649" t="s">
        <v>3388</v>
      </c>
    </row>
    <row r="2650" spans="1:8" x14ac:dyDescent="0.25">
      <c r="A2650" t="str">
        <f>"&lt;lifetime&gt;" &amp;$E$2648&amp;"&lt;/lifetime&gt;"</f>
        <v>&lt;lifetime&gt;3600&lt;/lifetime&gt;</v>
      </c>
      <c r="B2650" t="s">
        <v>3388</v>
      </c>
    </row>
    <row r="2651" spans="1:8" x14ac:dyDescent="0.25">
      <c r="A2651" t="str">
        <f>"&lt;restock&gt;" &amp;$F$2648&amp;"&lt;/restock&gt;"</f>
        <v>&lt;restock&gt;0&lt;/restock&gt;</v>
      </c>
      <c r="B2651" t="s">
        <v>3388</v>
      </c>
    </row>
    <row r="2652" spans="1:8" x14ac:dyDescent="0.25">
      <c r="A2652" t="str">
        <f>"&lt;min&gt;" &amp;$G$2648&amp;"&lt;/min&gt;"</f>
        <v>&lt;min&gt;0&lt;/min&gt;</v>
      </c>
      <c r="B2652" t="s">
        <v>3388</v>
      </c>
    </row>
    <row r="2653" spans="1:8" x14ac:dyDescent="0.25">
      <c r="A2653" t="s">
        <v>16</v>
      </c>
      <c r="B2653" t="s">
        <v>3388</v>
      </c>
    </row>
    <row r="2654" spans="1:8" x14ac:dyDescent="0.25">
      <c r="A2654" t="s">
        <v>17</v>
      </c>
      <c r="B2654" t="s">
        <v>3388</v>
      </c>
    </row>
    <row r="2655" spans="1:8" x14ac:dyDescent="0.25">
      <c r="A2655" t="s">
        <v>18</v>
      </c>
      <c r="B2655" t="s">
        <v>3388</v>
      </c>
    </row>
    <row r="2656" spans="1:8" x14ac:dyDescent="0.25">
      <c r="A2656" t="str">
        <f xml:space="preserve"> $H$2648</f>
        <v>&lt;flags count_in_cargo="0" count_in_hoarder="0" count_in_map="1" count_in_player="0" crafted="1" deloot="0"/&gt;</v>
      </c>
      <c r="B2656" t="s">
        <v>3388</v>
      </c>
    </row>
    <row r="2657" spans="1:8" x14ac:dyDescent="0.25">
      <c r="A2657" t="s">
        <v>22</v>
      </c>
      <c r="B2657" t="s">
        <v>3388</v>
      </c>
    </row>
    <row r="2658" spans="1:8" x14ac:dyDescent="0.25">
      <c r="A2658" t="s">
        <v>1608</v>
      </c>
      <c r="B2658" t="s">
        <v>3389</v>
      </c>
      <c r="D2658">
        <v>0</v>
      </c>
      <c r="E2658">
        <v>7200</v>
      </c>
      <c r="F2658">
        <v>0</v>
      </c>
      <c r="G2658">
        <v>0</v>
      </c>
      <c r="H2658" t="s">
        <v>62</v>
      </c>
    </row>
    <row r="2659" spans="1:8" x14ac:dyDescent="0.25">
      <c r="A2659" t="str">
        <f>"&lt;nominal&gt;" &amp;$D$2658&amp;"&lt;/nominal&gt;"</f>
        <v>&lt;nominal&gt;0&lt;/nominal&gt;</v>
      </c>
      <c r="B2659" t="s">
        <v>3389</v>
      </c>
    </row>
    <row r="2660" spans="1:8" x14ac:dyDescent="0.25">
      <c r="A2660" t="str">
        <f>"&lt;lifetime&gt;" &amp;$E$2658&amp;"&lt;/lifetime&gt;"</f>
        <v>&lt;lifetime&gt;7200&lt;/lifetime&gt;</v>
      </c>
      <c r="B2660" t="s">
        <v>3389</v>
      </c>
    </row>
    <row r="2661" spans="1:8" x14ac:dyDescent="0.25">
      <c r="A2661" t="str">
        <f>"&lt;restock&gt;" &amp;$F$2658&amp;"&lt;/restock&gt;"</f>
        <v>&lt;restock&gt;0&lt;/restock&gt;</v>
      </c>
      <c r="B2661" t="s">
        <v>3389</v>
      </c>
    </row>
    <row r="2662" spans="1:8" x14ac:dyDescent="0.25">
      <c r="A2662" t="str">
        <f>"&lt;min&gt;" &amp;$G$2658&amp;"&lt;/min&gt;"</f>
        <v>&lt;min&gt;0&lt;/min&gt;</v>
      </c>
      <c r="B2662" t="s">
        <v>3389</v>
      </c>
    </row>
    <row r="2663" spans="1:8" x14ac:dyDescent="0.25">
      <c r="A2663" t="s">
        <v>16</v>
      </c>
      <c r="B2663" t="s">
        <v>3389</v>
      </c>
    </row>
    <row r="2664" spans="1:8" x14ac:dyDescent="0.25">
      <c r="A2664" t="s">
        <v>17</v>
      </c>
      <c r="B2664" t="s">
        <v>3389</v>
      </c>
    </row>
    <row r="2665" spans="1:8" x14ac:dyDescent="0.25">
      <c r="A2665" t="s">
        <v>18</v>
      </c>
      <c r="B2665" t="s">
        <v>3389</v>
      </c>
    </row>
    <row r="2666" spans="1:8" x14ac:dyDescent="0.25">
      <c r="A2666" t="str">
        <f xml:space="preserve"> $H$2658</f>
        <v>&lt;flags count_in_cargo="0" count_in_hoarder="0" count_in_map="1" count_in_player="0" crafted="1" deloot="0"/&gt;</v>
      </c>
      <c r="B2666" t="s">
        <v>3389</v>
      </c>
    </row>
    <row r="2667" spans="1:8" x14ac:dyDescent="0.25">
      <c r="A2667" t="s">
        <v>22</v>
      </c>
      <c r="B2667" t="s">
        <v>3389</v>
      </c>
    </row>
    <row r="2668" spans="1:8" x14ac:dyDescent="0.25">
      <c r="A2668" t="s">
        <v>1609</v>
      </c>
      <c r="B2668" t="s">
        <v>3390</v>
      </c>
      <c r="D2668">
        <v>0</v>
      </c>
      <c r="E2668">
        <v>7200</v>
      </c>
      <c r="F2668">
        <v>0</v>
      </c>
      <c r="G2668">
        <v>0</v>
      </c>
      <c r="H2668" t="s">
        <v>62</v>
      </c>
    </row>
    <row r="2669" spans="1:8" x14ac:dyDescent="0.25">
      <c r="A2669" t="str">
        <f>"&lt;nominal&gt;" &amp;$D$2668&amp;"&lt;/nominal&gt;"</f>
        <v>&lt;nominal&gt;0&lt;/nominal&gt;</v>
      </c>
      <c r="B2669" t="s">
        <v>3390</v>
      </c>
    </row>
    <row r="2670" spans="1:8" x14ac:dyDescent="0.25">
      <c r="A2670" t="str">
        <f>"&lt;lifetime&gt;" &amp;$E$2668&amp;"&lt;/lifetime&gt;"</f>
        <v>&lt;lifetime&gt;7200&lt;/lifetime&gt;</v>
      </c>
      <c r="B2670" t="s">
        <v>3390</v>
      </c>
    </row>
    <row r="2671" spans="1:8" x14ac:dyDescent="0.25">
      <c r="A2671" t="str">
        <f>"&lt;restock&gt;" &amp;$F$2668&amp;"&lt;/restock&gt;"</f>
        <v>&lt;restock&gt;0&lt;/restock&gt;</v>
      </c>
      <c r="B2671" t="s">
        <v>3390</v>
      </c>
    </row>
    <row r="2672" spans="1:8" x14ac:dyDescent="0.25">
      <c r="A2672" t="str">
        <f>"&lt;min&gt;" &amp;$G$2668&amp;"&lt;/min&gt;"</f>
        <v>&lt;min&gt;0&lt;/min&gt;</v>
      </c>
      <c r="B2672" t="s">
        <v>3390</v>
      </c>
    </row>
    <row r="2673" spans="1:8" x14ac:dyDescent="0.25">
      <c r="A2673" t="s">
        <v>16</v>
      </c>
      <c r="B2673" t="s">
        <v>3390</v>
      </c>
    </row>
    <row r="2674" spans="1:8" x14ac:dyDescent="0.25">
      <c r="A2674" t="s">
        <v>17</v>
      </c>
      <c r="B2674" t="s">
        <v>3390</v>
      </c>
    </row>
    <row r="2675" spans="1:8" x14ac:dyDescent="0.25">
      <c r="A2675" t="s">
        <v>18</v>
      </c>
      <c r="B2675" t="s">
        <v>3390</v>
      </c>
    </row>
    <row r="2676" spans="1:8" x14ac:dyDescent="0.25">
      <c r="A2676" t="str">
        <f xml:space="preserve"> $H$2668</f>
        <v>&lt;flags count_in_cargo="0" count_in_hoarder="0" count_in_map="1" count_in_player="0" crafted="1" deloot="0"/&gt;</v>
      </c>
      <c r="B2676" t="s">
        <v>3390</v>
      </c>
    </row>
    <row r="2677" spans="1:8" x14ac:dyDescent="0.25">
      <c r="A2677" t="s">
        <v>22</v>
      </c>
      <c r="B2677" t="s">
        <v>3390</v>
      </c>
    </row>
    <row r="2678" spans="1:8" x14ac:dyDescent="0.25">
      <c r="A2678" t="s">
        <v>1610</v>
      </c>
      <c r="B2678" t="s">
        <v>479</v>
      </c>
      <c r="C2678" t="s">
        <v>403</v>
      </c>
      <c r="D2678">
        <v>30</v>
      </c>
      <c r="E2678">
        <v>5600</v>
      </c>
      <c r="F2678">
        <v>0</v>
      </c>
      <c r="G2678">
        <v>15</v>
      </c>
      <c r="H2678" t="s">
        <v>19</v>
      </c>
    </row>
    <row r="2679" spans="1:8" x14ac:dyDescent="0.25">
      <c r="A2679" t="str">
        <f>"&lt;nominal&gt;" &amp;$D$2678&amp;"&lt;/nominal&gt;"</f>
        <v>&lt;nominal&gt;30&lt;/nominal&gt;</v>
      </c>
      <c r="B2679" t="s">
        <v>479</v>
      </c>
    </row>
    <row r="2680" spans="1:8" x14ac:dyDescent="0.25">
      <c r="A2680" t="str">
        <f>"&lt;lifetime&gt;" &amp;$E$2678&amp;"&lt;/lifetime&gt;"</f>
        <v>&lt;lifetime&gt;5600&lt;/lifetime&gt;</v>
      </c>
      <c r="B2680" t="s">
        <v>479</v>
      </c>
    </row>
    <row r="2681" spans="1:8" x14ac:dyDescent="0.25">
      <c r="A2681" t="str">
        <f>"&lt;restock&gt;" &amp;$F$2678&amp;"&lt;/restock&gt;"</f>
        <v>&lt;restock&gt;0&lt;/restock&gt;</v>
      </c>
      <c r="B2681" t="s">
        <v>479</v>
      </c>
    </row>
    <row r="2682" spans="1:8" x14ac:dyDescent="0.25">
      <c r="A2682" t="str">
        <f>"&lt;min&gt;" &amp;$G$2678&amp;"&lt;/min&gt;"</f>
        <v>&lt;min&gt;15&lt;/min&gt;</v>
      </c>
      <c r="B2682" t="s">
        <v>479</v>
      </c>
    </row>
    <row r="2683" spans="1:8" x14ac:dyDescent="0.25">
      <c r="A2683" t="s">
        <v>16</v>
      </c>
      <c r="B2683" t="s">
        <v>479</v>
      </c>
    </row>
    <row r="2684" spans="1:8" x14ac:dyDescent="0.25">
      <c r="A2684" t="s">
        <v>17</v>
      </c>
      <c r="B2684" t="s">
        <v>479</v>
      </c>
    </row>
    <row r="2685" spans="1:8" x14ac:dyDescent="0.25">
      <c r="A2685" t="s">
        <v>18</v>
      </c>
      <c r="B2685" t="s">
        <v>479</v>
      </c>
    </row>
    <row r="2686" spans="1:8" x14ac:dyDescent="0.25">
      <c r="A2686" t="str">
        <f xml:space="preserve"> $H$2678</f>
        <v>&lt;flags count_in_cargo="0" count_in_hoarder="0" count_in_map="1" count_in_player="0" crafted="0" deloot="0"/&gt;</v>
      </c>
      <c r="B2686" t="s">
        <v>479</v>
      </c>
    </row>
    <row r="2687" spans="1:8" x14ac:dyDescent="0.25">
      <c r="A2687" t="str">
        <f>"&lt;category name=" &amp;"""" &amp;$C$2678&amp;"""/&gt;"</f>
        <v>&lt;category name="clothes"/&gt;</v>
      </c>
      <c r="B2687" t="s">
        <v>479</v>
      </c>
    </row>
    <row r="2688" spans="1:8" x14ac:dyDescent="0.25">
      <c r="A2688" t="s">
        <v>20</v>
      </c>
      <c r="B2688" t="s">
        <v>479</v>
      </c>
    </row>
    <row r="2689" spans="1:8" x14ac:dyDescent="0.25">
      <c r="A2689" t="s">
        <v>39</v>
      </c>
      <c r="B2689" t="s">
        <v>479</v>
      </c>
    </row>
    <row r="2690" spans="1:8" x14ac:dyDescent="0.25">
      <c r="A2690" t="s">
        <v>40</v>
      </c>
      <c r="B2690" t="s">
        <v>479</v>
      </c>
    </row>
    <row r="2691" spans="1:8" x14ac:dyDescent="0.25">
      <c r="A2691" t="s">
        <v>22</v>
      </c>
      <c r="B2691" t="s">
        <v>479</v>
      </c>
    </row>
    <row r="2692" spans="1:8" x14ac:dyDescent="0.25">
      <c r="A2692" t="s">
        <v>1611</v>
      </c>
      <c r="B2692" t="s">
        <v>480</v>
      </c>
      <c r="C2692" t="s">
        <v>403</v>
      </c>
      <c r="D2692">
        <v>20</v>
      </c>
      <c r="E2692">
        <v>5600</v>
      </c>
      <c r="F2692">
        <v>0</v>
      </c>
      <c r="G2692">
        <v>10</v>
      </c>
      <c r="H2692" t="s">
        <v>19</v>
      </c>
    </row>
    <row r="2693" spans="1:8" x14ac:dyDescent="0.25">
      <c r="A2693" t="str">
        <f>"&lt;nominal&gt;" &amp;$D$2692&amp;"&lt;/nominal&gt;"</f>
        <v>&lt;nominal&gt;20&lt;/nominal&gt;</v>
      </c>
      <c r="B2693" t="s">
        <v>480</v>
      </c>
    </row>
    <row r="2694" spans="1:8" x14ac:dyDescent="0.25">
      <c r="A2694" t="str">
        <f>"&lt;lifetime&gt;" &amp;$E$2692&amp;"&lt;/lifetime&gt;"</f>
        <v>&lt;lifetime&gt;5600&lt;/lifetime&gt;</v>
      </c>
      <c r="B2694" t="s">
        <v>480</v>
      </c>
    </row>
    <row r="2695" spans="1:8" x14ac:dyDescent="0.25">
      <c r="A2695" t="str">
        <f>"&lt;restock&gt;" &amp;$F$2692&amp;"&lt;/restock&gt;"</f>
        <v>&lt;restock&gt;0&lt;/restock&gt;</v>
      </c>
      <c r="B2695" t="s">
        <v>480</v>
      </c>
    </row>
    <row r="2696" spans="1:8" x14ac:dyDescent="0.25">
      <c r="A2696" t="str">
        <f>"&lt;min&gt;" &amp;$G$2692&amp;"&lt;/min&gt;"</f>
        <v>&lt;min&gt;10&lt;/min&gt;</v>
      </c>
      <c r="B2696" t="s">
        <v>480</v>
      </c>
    </row>
    <row r="2697" spans="1:8" x14ac:dyDescent="0.25">
      <c r="A2697" t="s">
        <v>16</v>
      </c>
      <c r="B2697" t="s">
        <v>480</v>
      </c>
    </row>
    <row r="2698" spans="1:8" x14ac:dyDescent="0.25">
      <c r="A2698" t="s">
        <v>17</v>
      </c>
      <c r="B2698" t="s">
        <v>480</v>
      </c>
    </row>
    <row r="2699" spans="1:8" x14ac:dyDescent="0.25">
      <c r="A2699" t="s">
        <v>18</v>
      </c>
      <c r="B2699" t="s">
        <v>480</v>
      </c>
    </row>
    <row r="2700" spans="1:8" x14ac:dyDescent="0.25">
      <c r="A2700" t="str">
        <f xml:space="preserve"> $H$2692</f>
        <v>&lt;flags count_in_cargo="0" count_in_hoarder="0" count_in_map="1" count_in_player="0" crafted="0" deloot="0"/&gt;</v>
      </c>
      <c r="B2700" t="s">
        <v>480</v>
      </c>
    </row>
    <row r="2701" spans="1:8" x14ac:dyDescent="0.25">
      <c r="A2701" t="str">
        <f>"&lt;category name=" &amp;"""" &amp;$C$2692&amp;"""/&gt;"</f>
        <v>&lt;category name="clothes"/&gt;</v>
      </c>
      <c r="B2701" t="s">
        <v>480</v>
      </c>
    </row>
    <row r="2702" spans="1:8" x14ac:dyDescent="0.25">
      <c r="A2702" t="s">
        <v>20</v>
      </c>
      <c r="B2702" t="s">
        <v>480</v>
      </c>
    </row>
    <row r="2703" spans="1:8" x14ac:dyDescent="0.25">
      <c r="A2703" t="s">
        <v>39</v>
      </c>
      <c r="B2703" t="s">
        <v>480</v>
      </c>
    </row>
    <row r="2704" spans="1:8" x14ac:dyDescent="0.25">
      <c r="A2704" t="s">
        <v>40</v>
      </c>
      <c r="B2704" t="s">
        <v>480</v>
      </c>
    </row>
    <row r="2705" spans="1:8" x14ac:dyDescent="0.25">
      <c r="A2705" t="s">
        <v>22</v>
      </c>
      <c r="B2705" t="s">
        <v>480</v>
      </c>
    </row>
    <row r="2706" spans="1:8" x14ac:dyDescent="0.25">
      <c r="A2706" t="s">
        <v>1612</v>
      </c>
      <c r="B2706" t="s">
        <v>481</v>
      </c>
      <c r="C2706" t="s">
        <v>403</v>
      </c>
      <c r="D2706">
        <v>15</v>
      </c>
      <c r="E2706">
        <v>5600</v>
      </c>
      <c r="F2706">
        <v>0</v>
      </c>
      <c r="G2706">
        <v>10</v>
      </c>
      <c r="H2706" t="s">
        <v>19</v>
      </c>
    </row>
    <row r="2707" spans="1:8" x14ac:dyDescent="0.25">
      <c r="A2707" t="str">
        <f>"&lt;nominal&gt;" &amp;$D$2706&amp;"&lt;/nominal&gt;"</f>
        <v>&lt;nominal&gt;15&lt;/nominal&gt;</v>
      </c>
      <c r="B2707" t="s">
        <v>481</v>
      </c>
    </row>
    <row r="2708" spans="1:8" x14ac:dyDescent="0.25">
      <c r="A2708" t="str">
        <f>"&lt;lifetime&gt;" &amp;$E$2706&amp;"&lt;/lifetime&gt;"</f>
        <v>&lt;lifetime&gt;5600&lt;/lifetime&gt;</v>
      </c>
      <c r="B2708" t="s">
        <v>481</v>
      </c>
    </row>
    <row r="2709" spans="1:8" x14ac:dyDescent="0.25">
      <c r="A2709" t="str">
        <f>"&lt;restock&gt;" &amp;$F$2706&amp;"&lt;/restock&gt;"</f>
        <v>&lt;restock&gt;0&lt;/restock&gt;</v>
      </c>
      <c r="B2709" t="s">
        <v>481</v>
      </c>
    </row>
    <row r="2710" spans="1:8" x14ac:dyDescent="0.25">
      <c r="A2710" t="str">
        <f>"&lt;min&gt;" &amp;$G$2706&amp;"&lt;/min&gt;"</f>
        <v>&lt;min&gt;10&lt;/min&gt;</v>
      </c>
      <c r="B2710" t="s">
        <v>481</v>
      </c>
    </row>
    <row r="2711" spans="1:8" x14ac:dyDescent="0.25">
      <c r="A2711" t="s">
        <v>16</v>
      </c>
      <c r="B2711" t="s">
        <v>481</v>
      </c>
    </row>
    <row r="2712" spans="1:8" x14ac:dyDescent="0.25">
      <c r="A2712" t="s">
        <v>17</v>
      </c>
      <c r="B2712" t="s">
        <v>481</v>
      </c>
    </row>
    <row r="2713" spans="1:8" x14ac:dyDescent="0.25">
      <c r="A2713" t="s">
        <v>18</v>
      </c>
      <c r="B2713" t="s">
        <v>481</v>
      </c>
    </row>
    <row r="2714" spans="1:8" x14ac:dyDescent="0.25">
      <c r="A2714" t="str">
        <f xml:space="preserve"> $H$2706</f>
        <v>&lt;flags count_in_cargo="0" count_in_hoarder="0" count_in_map="1" count_in_player="0" crafted="0" deloot="0"/&gt;</v>
      </c>
      <c r="B2714" t="s">
        <v>481</v>
      </c>
    </row>
    <row r="2715" spans="1:8" x14ac:dyDescent="0.25">
      <c r="A2715" t="str">
        <f>"&lt;category name=" &amp;"""" &amp;$C$2706&amp;"""/&gt;"</f>
        <v>&lt;category name="clothes"/&gt;</v>
      </c>
      <c r="B2715" t="s">
        <v>481</v>
      </c>
    </row>
    <row r="2716" spans="1:8" x14ac:dyDescent="0.25">
      <c r="A2716" t="s">
        <v>20</v>
      </c>
      <c r="B2716" t="s">
        <v>481</v>
      </c>
    </row>
    <row r="2717" spans="1:8" x14ac:dyDescent="0.25">
      <c r="A2717" t="s">
        <v>29</v>
      </c>
      <c r="B2717" t="s">
        <v>481</v>
      </c>
    </row>
    <row r="2718" spans="1:8" x14ac:dyDescent="0.25">
      <c r="A2718" t="s">
        <v>67</v>
      </c>
      <c r="B2718" t="s">
        <v>481</v>
      </c>
    </row>
    <row r="2719" spans="1:8" x14ac:dyDescent="0.25">
      <c r="A2719" t="s">
        <v>22</v>
      </c>
      <c r="B2719" t="s">
        <v>481</v>
      </c>
    </row>
    <row r="2720" spans="1:8" x14ac:dyDescent="0.25">
      <c r="A2720" t="s">
        <v>1613</v>
      </c>
      <c r="B2720" t="s">
        <v>482</v>
      </c>
      <c r="C2720" t="s">
        <v>403</v>
      </c>
      <c r="D2720">
        <v>15</v>
      </c>
      <c r="E2720">
        <v>5600</v>
      </c>
      <c r="F2720">
        <v>0</v>
      </c>
      <c r="G2720">
        <v>10</v>
      </c>
      <c r="H2720" t="s">
        <v>19</v>
      </c>
    </row>
    <row r="2721" spans="1:8" x14ac:dyDescent="0.25">
      <c r="A2721" t="str">
        <f>"&lt;nominal&gt;" &amp;$D$2720&amp;"&lt;/nominal&gt;"</f>
        <v>&lt;nominal&gt;15&lt;/nominal&gt;</v>
      </c>
      <c r="B2721" t="s">
        <v>482</v>
      </c>
    </row>
    <row r="2722" spans="1:8" x14ac:dyDescent="0.25">
      <c r="A2722" t="str">
        <f>"&lt;lifetime&gt;" &amp;$E$2720&amp;"&lt;/lifetime&gt;"</f>
        <v>&lt;lifetime&gt;5600&lt;/lifetime&gt;</v>
      </c>
      <c r="B2722" t="s">
        <v>482</v>
      </c>
    </row>
    <row r="2723" spans="1:8" x14ac:dyDescent="0.25">
      <c r="A2723" t="str">
        <f>"&lt;restock&gt;" &amp;$F$2720&amp;"&lt;/restock&gt;"</f>
        <v>&lt;restock&gt;0&lt;/restock&gt;</v>
      </c>
      <c r="B2723" t="s">
        <v>482</v>
      </c>
    </row>
    <row r="2724" spans="1:8" x14ac:dyDescent="0.25">
      <c r="A2724" t="str">
        <f>"&lt;min&gt;" &amp;$G$2720&amp;"&lt;/min&gt;"</f>
        <v>&lt;min&gt;10&lt;/min&gt;</v>
      </c>
      <c r="B2724" t="s">
        <v>482</v>
      </c>
    </row>
    <row r="2725" spans="1:8" x14ac:dyDescent="0.25">
      <c r="A2725" t="s">
        <v>16</v>
      </c>
      <c r="B2725" t="s">
        <v>482</v>
      </c>
    </row>
    <row r="2726" spans="1:8" x14ac:dyDescent="0.25">
      <c r="A2726" t="s">
        <v>17</v>
      </c>
      <c r="B2726" t="s">
        <v>482</v>
      </c>
    </row>
    <row r="2727" spans="1:8" x14ac:dyDescent="0.25">
      <c r="A2727" t="s">
        <v>18</v>
      </c>
      <c r="B2727" t="s">
        <v>482</v>
      </c>
    </row>
    <row r="2728" spans="1:8" x14ac:dyDescent="0.25">
      <c r="A2728" t="str">
        <f xml:space="preserve"> $H$2720</f>
        <v>&lt;flags count_in_cargo="0" count_in_hoarder="0" count_in_map="1" count_in_player="0" crafted="0" deloot="0"/&gt;</v>
      </c>
      <c r="B2728" t="s">
        <v>482</v>
      </c>
    </row>
    <row r="2729" spans="1:8" x14ac:dyDescent="0.25">
      <c r="A2729" t="str">
        <f>"&lt;category name=" &amp;"""" &amp;$C$2720&amp;"""/&gt;"</f>
        <v>&lt;category name="clothes"/&gt;</v>
      </c>
      <c r="B2729" t="s">
        <v>482</v>
      </c>
    </row>
    <row r="2730" spans="1:8" x14ac:dyDescent="0.25">
      <c r="A2730" t="s">
        <v>20</v>
      </c>
      <c r="B2730" t="s">
        <v>482</v>
      </c>
    </row>
    <row r="2731" spans="1:8" x14ac:dyDescent="0.25">
      <c r="A2731" t="s">
        <v>29</v>
      </c>
      <c r="B2731" t="s">
        <v>482</v>
      </c>
    </row>
    <row r="2732" spans="1:8" x14ac:dyDescent="0.25">
      <c r="A2732" t="s">
        <v>67</v>
      </c>
      <c r="B2732" t="s">
        <v>482</v>
      </c>
    </row>
    <row r="2733" spans="1:8" x14ac:dyDescent="0.25">
      <c r="A2733" t="s">
        <v>22</v>
      </c>
      <c r="B2733" t="s">
        <v>482</v>
      </c>
    </row>
    <row r="2734" spans="1:8" x14ac:dyDescent="0.25">
      <c r="A2734" t="s">
        <v>1614</v>
      </c>
      <c r="B2734" t="s">
        <v>483</v>
      </c>
      <c r="C2734" t="s">
        <v>403</v>
      </c>
      <c r="D2734">
        <v>15</v>
      </c>
      <c r="E2734">
        <v>5600</v>
      </c>
      <c r="F2734">
        <v>0</v>
      </c>
      <c r="G2734">
        <v>10</v>
      </c>
      <c r="H2734" t="s">
        <v>19</v>
      </c>
    </row>
    <row r="2735" spans="1:8" x14ac:dyDescent="0.25">
      <c r="A2735" t="str">
        <f>"&lt;nominal&gt;" &amp;$D$2734&amp;"&lt;/nominal&gt;"</f>
        <v>&lt;nominal&gt;15&lt;/nominal&gt;</v>
      </c>
      <c r="B2735" t="s">
        <v>483</v>
      </c>
    </row>
    <row r="2736" spans="1:8" x14ac:dyDescent="0.25">
      <c r="A2736" t="str">
        <f>"&lt;lifetime&gt;" &amp;$E$2734&amp;"&lt;/lifetime&gt;"</f>
        <v>&lt;lifetime&gt;5600&lt;/lifetime&gt;</v>
      </c>
      <c r="B2736" t="s">
        <v>483</v>
      </c>
    </row>
    <row r="2737" spans="1:8" x14ac:dyDescent="0.25">
      <c r="A2737" t="str">
        <f>"&lt;restock&gt;" &amp;$F$2734&amp;"&lt;/restock&gt;"</f>
        <v>&lt;restock&gt;0&lt;/restock&gt;</v>
      </c>
      <c r="B2737" t="s">
        <v>483</v>
      </c>
    </row>
    <row r="2738" spans="1:8" x14ac:dyDescent="0.25">
      <c r="A2738" t="str">
        <f>"&lt;min&gt;" &amp;$G$2734&amp;"&lt;/min&gt;"</f>
        <v>&lt;min&gt;10&lt;/min&gt;</v>
      </c>
      <c r="B2738" t="s">
        <v>483</v>
      </c>
    </row>
    <row r="2739" spans="1:8" x14ac:dyDescent="0.25">
      <c r="A2739" t="s">
        <v>16</v>
      </c>
      <c r="B2739" t="s">
        <v>483</v>
      </c>
    </row>
    <row r="2740" spans="1:8" x14ac:dyDescent="0.25">
      <c r="A2740" t="s">
        <v>17</v>
      </c>
      <c r="B2740" t="s">
        <v>483</v>
      </c>
    </row>
    <row r="2741" spans="1:8" x14ac:dyDescent="0.25">
      <c r="A2741" t="s">
        <v>18</v>
      </c>
      <c r="B2741" t="s">
        <v>483</v>
      </c>
    </row>
    <row r="2742" spans="1:8" x14ac:dyDescent="0.25">
      <c r="A2742" t="str">
        <f xml:space="preserve"> $H$2734</f>
        <v>&lt;flags count_in_cargo="0" count_in_hoarder="0" count_in_map="1" count_in_player="0" crafted="0" deloot="0"/&gt;</v>
      </c>
      <c r="B2742" t="s">
        <v>483</v>
      </c>
    </row>
    <row r="2743" spans="1:8" x14ac:dyDescent="0.25">
      <c r="A2743" t="str">
        <f>"&lt;category name=" &amp;"""" &amp;$C$2734&amp;"""/&gt;"</f>
        <v>&lt;category name="clothes"/&gt;</v>
      </c>
      <c r="B2743" t="s">
        <v>483</v>
      </c>
    </row>
    <row r="2744" spans="1:8" x14ac:dyDescent="0.25">
      <c r="A2744" t="s">
        <v>20</v>
      </c>
      <c r="B2744" t="s">
        <v>483</v>
      </c>
    </row>
    <row r="2745" spans="1:8" x14ac:dyDescent="0.25">
      <c r="A2745" t="s">
        <v>29</v>
      </c>
      <c r="B2745" t="s">
        <v>483</v>
      </c>
    </row>
    <row r="2746" spans="1:8" x14ac:dyDescent="0.25">
      <c r="A2746" t="s">
        <v>67</v>
      </c>
      <c r="B2746" t="s">
        <v>483</v>
      </c>
    </row>
    <row r="2747" spans="1:8" x14ac:dyDescent="0.25">
      <c r="A2747" t="s">
        <v>22</v>
      </c>
      <c r="B2747" t="s">
        <v>483</v>
      </c>
    </row>
    <row r="2748" spans="1:8" x14ac:dyDescent="0.25">
      <c r="A2748" t="s">
        <v>1615</v>
      </c>
      <c r="B2748" t="s">
        <v>484</v>
      </c>
      <c r="C2748" t="s">
        <v>403</v>
      </c>
      <c r="D2748">
        <v>15</v>
      </c>
      <c r="E2748">
        <v>5600</v>
      </c>
      <c r="F2748">
        <v>0</v>
      </c>
      <c r="G2748">
        <v>10</v>
      </c>
      <c r="H2748" t="s">
        <v>19</v>
      </c>
    </row>
    <row r="2749" spans="1:8" x14ac:dyDescent="0.25">
      <c r="A2749" t="str">
        <f>"&lt;nominal&gt;" &amp;$D$2748&amp;"&lt;/nominal&gt;"</f>
        <v>&lt;nominal&gt;15&lt;/nominal&gt;</v>
      </c>
      <c r="B2749" t="s">
        <v>484</v>
      </c>
    </row>
    <row r="2750" spans="1:8" x14ac:dyDescent="0.25">
      <c r="A2750" t="str">
        <f>"&lt;lifetime&gt;" &amp;$E$2748&amp;"&lt;/lifetime&gt;"</f>
        <v>&lt;lifetime&gt;5600&lt;/lifetime&gt;</v>
      </c>
      <c r="B2750" t="s">
        <v>484</v>
      </c>
    </row>
    <row r="2751" spans="1:8" x14ac:dyDescent="0.25">
      <c r="A2751" t="str">
        <f>"&lt;restock&gt;" &amp;$F$2748&amp;"&lt;/restock&gt;"</f>
        <v>&lt;restock&gt;0&lt;/restock&gt;</v>
      </c>
      <c r="B2751" t="s">
        <v>484</v>
      </c>
    </row>
    <row r="2752" spans="1:8" x14ac:dyDescent="0.25">
      <c r="A2752" t="str">
        <f>"&lt;min&gt;" &amp;$G$2748&amp;"&lt;/min&gt;"</f>
        <v>&lt;min&gt;10&lt;/min&gt;</v>
      </c>
      <c r="B2752" t="s">
        <v>484</v>
      </c>
    </row>
    <row r="2753" spans="1:8" x14ac:dyDescent="0.25">
      <c r="A2753" t="s">
        <v>16</v>
      </c>
      <c r="B2753" t="s">
        <v>484</v>
      </c>
    </row>
    <row r="2754" spans="1:8" x14ac:dyDescent="0.25">
      <c r="A2754" t="s">
        <v>17</v>
      </c>
      <c r="B2754" t="s">
        <v>484</v>
      </c>
    </row>
    <row r="2755" spans="1:8" x14ac:dyDescent="0.25">
      <c r="A2755" t="s">
        <v>18</v>
      </c>
      <c r="B2755" t="s">
        <v>484</v>
      </c>
    </row>
    <row r="2756" spans="1:8" x14ac:dyDescent="0.25">
      <c r="A2756" t="str">
        <f xml:space="preserve"> $H$2748</f>
        <v>&lt;flags count_in_cargo="0" count_in_hoarder="0" count_in_map="1" count_in_player="0" crafted="0" deloot="0"/&gt;</v>
      </c>
      <c r="B2756" t="s">
        <v>484</v>
      </c>
    </row>
    <row r="2757" spans="1:8" x14ac:dyDescent="0.25">
      <c r="A2757" t="str">
        <f>"&lt;category name=" &amp;"""" &amp;$C$2748&amp;"""/&gt;"</f>
        <v>&lt;category name="clothes"/&gt;</v>
      </c>
      <c r="B2757" t="s">
        <v>484</v>
      </c>
    </row>
    <row r="2758" spans="1:8" x14ac:dyDescent="0.25">
      <c r="A2758" t="s">
        <v>20</v>
      </c>
      <c r="B2758" t="s">
        <v>484</v>
      </c>
    </row>
    <row r="2759" spans="1:8" x14ac:dyDescent="0.25">
      <c r="A2759" t="s">
        <v>29</v>
      </c>
      <c r="B2759" t="s">
        <v>484</v>
      </c>
    </row>
    <row r="2760" spans="1:8" x14ac:dyDescent="0.25">
      <c r="A2760" t="s">
        <v>1616</v>
      </c>
      <c r="B2760" t="s">
        <v>484</v>
      </c>
    </row>
    <row r="2761" spans="1:8" x14ac:dyDescent="0.25">
      <c r="A2761" t="s">
        <v>67</v>
      </c>
      <c r="B2761" t="s">
        <v>484</v>
      </c>
    </row>
    <row r="2762" spans="1:8" x14ac:dyDescent="0.25">
      <c r="A2762" t="s">
        <v>22</v>
      </c>
      <c r="B2762" t="s">
        <v>484</v>
      </c>
    </row>
    <row r="2763" spans="1:8" x14ac:dyDescent="0.25">
      <c r="A2763" t="s">
        <v>1617</v>
      </c>
      <c r="B2763" t="s">
        <v>485</v>
      </c>
      <c r="C2763" t="s">
        <v>403</v>
      </c>
      <c r="D2763">
        <v>20</v>
      </c>
      <c r="E2763">
        <v>5600</v>
      </c>
      <c r="F2763">
        <v>0</v>
      </c>
      <c r="G2763">
        <v>10</v>
      </c>
      <c r="H2763" t="s">
        <v>19</v>
      </c>
    </row>
    <row r="2764" spans="1:8" x14ac:dyDescent="0.25">
      <c r="A2764" t="str">
        <f>"&lt;nominal&gt;" &amp;$D$2763&amp;"&lt;/nominal&gt;"</f>
        <v>&lt;nominal&gt;20&lt;/nominal&gt;</v>
      </c>
      <c r="B2764" t="s">
        <v>485</v>
      </c>
    </row>
    <row r="2765" spans="1:8" x14ac:dyDescent="0.25">
      <c r="A2765" t="str">
        <f>"&lt;lifetime&gt;" &amp;$E$2763&amp;"&lt;/lifetime&gt;"</f>
        <v>&lt;lifetime&gt;5600&lt;/lifetime&gt;</v>
      </c>
      <c r="B2765" t="s">
        <v>485</v>
      </c>
    </row>
    <row r="2766" spans="1:8" x14ac:dyDescent="0.25">
      <c r="A2766" t="str">
        <f>"&lt;restock&gt;" &amp;$F$2763&amp;"&lt;/restock&gt;"</f>
        <v>&lt;restock&gt;0&lt;/restock&gt;</v>
      </c>
      <c r="B2766" t="s">
        <v>485</v>
      </c>
    </row>
    <row r="2767" spans="1:8" x14ac:dyDescent="0.25">
      <c r="A2767" t="str">
        <f>"&lt;min&gt;" &amp;$G$2763&amp;"&lt;/min&gt;"</f>
        <v>&lt;min&gt;10&lt;/min&gt;</v>
      </c>
      <c r="B2767" t="s">
        <v>485</v>
      </c>
    </row>
    <row r="2768" spans="1:8" x14ac:dyDescent="0.25">
      <c r="A2768" t="s">
        <v>16</v>
      </c>
      <c r="B2768" t="s">
        <v>485</v>
      </c>
    </row>
    <row r="2769" spans="1:8" x14ac:dyDescent="0.25">
      <c r="A2769" t="s">
        <v>17</v>
      </c>
      <c r="B2769" t="s">
        <v>485</v>
      </c>
    </row>
    <row r="2770" spans="1:8" x14ac:dyDescent="0.25">
      <c r="A2770" t="s">
        <v>18</v>
      </c>
      <c r="B2770" t="s">
        <v>485</v>
      </c>
    </row>
    <row r="2771" spans="1:8" x14ac:dyDescent="0.25">
      <c r="A2771" t="str">
        <f xml:space="preserve"> $H$2763</f>
        <v>&lt;flags count_in_cargo="0" count_in_hoarder="0" count_in_map="1" count_in_player="0" crafted="0" deloot="0"/&gt;</v>
      </c>
      <c r="B2771" t="s">
        <v>485</v>
      </c>
    </row>
    <row r="2772" spans="1:8" x14ac:dyDescent="0.25">
      <c r="A2772" t="str">
        <f>"&lt;category name=" &amp;"""" &amp;$C$2763&amp;"""/&gt;"</f>
        <v>&lt;category name="clothes"/&gt;</v>
      </c>
      <c r="B2772" t="s">
        <v>485</v>
      </c>
    </row>
    <row r="2773" spans="1:8" x14ac:dyDescent="0.25">
      <c r="A2773" t="s">
        <v>20</v>
      </c>
      <c r="B2773" t="s">
        <v>485</v>
      </c>
    </row>
    <row r="2774" spans="1:8" x14ac:dyDescent="0.25">
      <c r="A2774" t="s">
        <v>39</v>
      </c>
      <c r="B2774" t="s">
        <v>485</v>
      </c>
    </row>
    <row r="2775" spans="1:8" x14ac:dyDescent="0.25">
      <c r="A2775" t="s">
        <v>40</v>
      </c>
      <c r="B2775" t="s">
        <v>485</v>
      </c>
    </row>
    <row r="2776" spans="1:8" x14ac:dyDescent="0.25">
      <c r="A2776" t="s">
        <v>22</v>
      </c>
      <c r="B2776" t="s">
        <v>485</v>
      </c>
    </row>
    <row r="2777" spans="1:8" x14ac:dyDescent="0.25">
      <c r="A2777" t="s">
        <v>1618</v>
      </c>
      <c r="B2777" t="s">
        <v>486</v>
      </c>
      <c r="C2777" t="s">
        <v>403</v>
      </c>
      <c r="D2777">
        <v>30</v>
      </c>
      <c r="E2777">
        <v>5600</v>
      </c>
      <c r="F2777">
        <v>0</v>
      </c>
      <c r="G2777">
        <v>20</v>
      </c>
      <c r="H2777" t="s">
        <v>19</v>
      </c>
    </row>
    <row r="2778" spans="1:8" x14ac:dyDescent="0.25">
      <c r="A2778" t="str">
        <f>"&lt;nominal&gt;" &amp;$D$2777&amp;"&lt;/nominal&gt;"</f>
        <v>&lt;nominal&gt;30&lt;/nominal&gt;</v>
      </c>
      <c r="B2778" t="s">
        <v>486</v>
      </c>
    </row>
    <row r="2779" spans="1:8" x14ac:dyDescent="0.25">
      <c r="A2779" t="str">
        <f>"&lt;lifetime&gt;" &amp;$E$2777&amp;"&lt;/lifetime&gt;"</f>
        <v>&lt;lifetime&gt;5600&lt;/lifetime&gt;</v>
      </c>
      <c r="B2779" t="s">
        <v>486</v>
      </c>
    </row>
    <row r="2780" spans="1:8" x14ac:dyDescent="0.25">
      <c r="A2780" t="str">
        <f>"&lt;restock&gt;" &amp;$F$2777&amp;"&lt;/restock&gt;"</f>
        <v>&lt;restock&gt;0&lt;/restock&gt;</v>
      </c>
      <c r="B2780" t="s">
        <v>486</v>
      </c>
    </row>
    <row r="2781" spans="1:8" x14ac:dyDescent="0.25">
      <c r="A2781" t="str">
        <f>"&lt;min&gt;" &amp;$G$2777&amp;"&lt;/min&gt;"</f>
        <v>&lt;min&gt;20&lt;/min&gt;</v>
      </c>
      <c r="B2781" t="s">
        <v>486</v>
      </c>
    </row>
    <row r="2782" spans="1:8" x14ac:dyDescent="0.25">
      <c r="A2782" t="s">
        <v>16</v>
      </c>
      <c r="B2782" t="s">
        <v>486</v>
      </c>
    </row>
    <row r="2783" spans="1:8" x14ac:dyDescent="0.25">
      <c r="A2783" t="s">
        <v>17</v>
      </c>
      <c r="B2783" t="s">
        <v>486</v>
      </c>
    </row>
    <row r="2784" spans="1:8" x14ac:dyDescent="0.25">
      <c r="A2784" t="s">
        <v>18</v>
      </c>
      <c r="B2784" t="s">
        <v>486</v>
      </c>
    </row>
    <row r="2785" spans="1:8" x14ac:dyDescent="0.25">
      <c r="A2785" t="str">
        <f xml:space="preserve"> $H$2777</f>
        <v>&lt;flags count_in_cargo="0" count_in_hoarder="0" count_in_map="1" count_in_player="0" crafted="0" deloot="0"/&gt;</v>
      </c>
      <c r="B2785" t="s">
        <v>486</v>
      </c>
    </row>
    <row r="2786" spans="1:8" x14ac:dyDescent="0.25">
      <c r="A2786" t="str">
        <f>"&lt;category name=" &amp;"""" &amp;$C$2777&amp;"""/&gt;"</f>
        <v>&lt;category name="clothes"/&gt;</v>
      </c>
      <c r="B2786" t="s">
        <v>486</v>
      </c>
    </row>
    <row r="2787" spans="1:8" x14ac:dyDescent="0.25">
      <c r="A2787" t="s">
        <v>20</v>
      </c>
      <c r="B2787" t="s">
        <v>486</v>
      </c>
    </row>
    <row r="2788" spans="1:8" x14ac:dyDescent="0.25">
      <c r="A2788" t="s">
        <v>39</v>
      </c>
      <c r="B2788" t="s">
        <v>486</v>
      </c>
    </row>
    <row r="2789" spans="1:8" x14ac:dyDescent="0.25">
      <c r="A2789" t="s">
        <v>40</v>
      </c>
      <c r="B2789" t="s">
        <v>486</v>
      </c>
    </row>
    <row r="2790" spans="1:8" x14ac:dyDescent="0.25">
      <c r="A2790" t="s">
        <v>22</v>
      </c>
      <c r="B2790" t="s">
        <v>486</v>
      </c>
    </row>
    <row r="2791" spans="1:8" x14ac:dyDescent="0.25">
      <c r="A2791" t="s">
        <v>1619</v>
      </c>
      <c r="B2791" t="s">
        <v>487</v>
      </c>
      <c r="C2791" t="s">
        <v>403</v>
      </c>
      <c r="D2791">
        <v>30</v>
      </c>
      <c r="E2791">
        <v>5600</v>
      </c>
      <c r="F2791">
        <v>0</v>
      </c>
      <c r="G2791">
        <v>20</v>
      </c>
      <c r="H2791" t="s">
        <v>19</v>
      </c>
    </row>
    <row r="2792" spans="1:8" x14ac:dyDescent="0.25">
      <c r="A2792" t="str">
        <f>"&lt;nominal&gt;" &amp;$D$2791&amp;"&lt;/nominal&gt;"</f>
        <v>&lt;nominal&gt;30&lt;/nominal&gt;</v>
      </c>
      <c r="B2792" t="s">
        <v>487</v>
      </c>
    </row>
    <row r="2793" spans="1:8" x14ac:dyDescent="0.25">
      <c r="A2793" t="str">
        <f>"&lt;lifetime&gt;" &amp;$E$2791&amp;"&lt;/lifetime&gt;"</f>
        <v>&lt;lifetime&gt;5600&lt;/lifetime&gt;</v>
      </c>
      <c r="B2793" t="s">
        <v>487</v>
      </c>
    </row>
    <row r="2794" spans="1:8" x14ac:dyDescent="0.25">
      <c r="A2794" t="str">
        <f>"&lt;restock&gt;" &amp;$F$2791&amp;"&lt;/restock&gt;"</f>
        <v>&lt;restock&gt;0&lt;/restock&gt;</v>
      </c>
      <c r="B2794" t="s">
        <v>487</v>
      </c>
    </row>
    <row r="2795" spans="1:8" x14ac:dyDescent="0.25">
      <c r="A2795" t="str">
        <f>"&lt;min&gt;" &amp;$G$2791&amp;"&lt;/min&gt;"</f>
        <v>&lt;min&gt;20&lt;/min&gt;</v>
      </c>
      <c r="B2795" t="s">
        <v>487</v>
      </c>
    </row>
    <row r="2796" spans="1:8" x14ac:dyDescent="0.25">
      <c r="A2796" t="s">
        <v>16</v>
      </c>
      <c r="B2796" t="s">
        <v>487</v>
      </c>
    </row>
    <row r="2797" spans="1:8" x14ac:dyDescent="0.25">
      <c r="A2797" t="s">
        <v>17</v>
      </c>
      <c r="B2797" t="s">
        <v>487</v>
      </c>
    </row>
    <row r="2798" spans="1:8" x14ac:dyDescent="0.25">
      <c r="A2798" t="s">
        <v>18</v>
      </c>
      <c r="B2798" t="s">
        <v>487</v>
      </c>
    </row>
    <row r="2799" spans="1:8" x14ac:dyDescent="0.25">
      <c r="A2799" t="str">
        <f xml:space="preserve"> $H$2791</f>
        <v>&lt;flags count_in_cargo="0" count_in_hoarder="0" count_in_map="1" count_in_player="0" crafted="0" deloot="0"/&gt;</v>
      </c>
      <c r="B2799" t="s">
        <v>487</v>
      </c>
    </row>
    <row r="2800" spans="1:8" x14ac:dyDescent="0.25">
      <c r="A2800" t="str">
        <f>"&lt;category name=" &amp;"""" &amp;$C$2791&amp;"""/&gt;"</f>
        <v>&lt;category name="clothes"/&gt;</v>
      </c>
      <c r="B2800" t="s">
        <v>487</v>
      </c>
    </row>
    <row r="2801" spans="1:8" x14ac:dyDescent="0.25">
      <c r="A2801" t="s">
        <v>20</v>
      </c>
      <c r="B2801" t="s">
        <v>487</v>
      </c>
    </row>
    <row r="2802" spans="1:8" x14ac:dyDescent="0.25">
      <c r="A2802" t="s">
        <v>39</v>
      </c>
      <c r="B2802" t="s">
        <v>487</v>
      </c>
    </row>
    <row r="2803" spans="1:8" x14ac:dyDescent="0.25">
      <c r="A2803" t="s">
        <v>40</v>
      </c>
      <c r="B2803" t="s">
        <v>487</v>
      </c>
    </row>
    <row r="2804" spans="1:8" x14ac:dyDescent="0.25">
      <c r="A2804" t="s">
        <v>22</v>
      </c>
      <c r="B2804" t="s">
        <v>487</v>
      </c>
    </row>
    <row r="2805" spans="1:8" x14ac:dyDescent="0.25">
      <c r="A2805" t="s">
        <v>1620</v>
      </c>
      <c r="B2805" t="s">
        <v>488</v>
      </c>
      <c r="C2805" t="s">
        <v>403</v>
      </c>
      <c r="D2805">
        <v>30</v>
      </c>
      <c r="E2805">
        <v>5600</v>
      </c>
      <c r="F2805">
        <v>0</v>
      </c>
      <c r="G2805">
        <v>20</v>
      </c>
      <c r="H2805" t="s">
        <v>19</v>
      </c>
    </row>
    <row r="2806" spans="1:8" x14ac:dyDescent="0.25">
      <c r="A2806" t="str">
        <f>"&lt;nominal&gt;" &amp;$D$2805&amp;"&lt;/nominal&gt;"</f>
        <v>&lt;nominal&gt;30&lt;/nominal&gt;</v>
      </c>
      <c r="B2806" t="s">
        <v>488</v>
      </c>
    </row>
    <row r="2807" spans="1:8" x14ac:dyDescent="0.25">
      <c r="A2807" t="str">
        <f>"&lt;lifetime&gt;" &amp;$E$2805&amp;"&lt;/lifetime&gt;"</f>
        <v>&lt;lifetime&gt;5600&lt;/lifetime&gt;</v>
      </c>
      <c r="B2807" t="s">
        <v>488</v>
      </c>
    </row>
    <row r="2808" spans="1:8" x14ac:dyDescent="0.25">
      <c r="A2808" t="str">
        <f>"&lt;restock&gt;" &amp;$F$2805&amp;"&lt;/restock&gt;"</f>
        <v>&lt;restock&gt;0&lt;/restock&gt;</v>
      </c>
      <c r="B2808" t="s">
        <v>488</v>
      </c>
    </row>
    <row r="2809" spans="1:8" x14ac:dyDescent="0.25">
      <c r="A2809" t="str">
        <f>"&lt;min&gt;" &amp;$G$2805&amp;"&lt;/min&gt;"</f>
        <v>&lt;min&gt;20&lt;/min&gt;</v>
      </c>
      <c r="B2809" t="s">
        <v>488</v>
      </c>
    </row>
    <row r="2810" spans="1:8" x14ac:dyDescent="0.25">
      <c r="A2810" t="s">
        <v>16</v>
      </c>
      <c r="B2810" t="s">
        <v>488</v>
      </c>
    </row>
    <row r="2811" spans="1:8" x14ac:dyDescent="0.25">
      <c r="A2811" t="s">
        <v>17</v>
      </c>
      <c r="B2811" t="s">
        <v>488</v>
      </c>
    </row>
    <row r="2812" spans="1:8" x14ac:dyDescent="0.25">
      <c r="A2812" t="s">
        <v>18</v>
      </c>
      <c r="B2812" t="s">
        <v>488</v>
      </c>
    </row>
    <row r="2813" spans="1:8" x14ac:dyDescent="0.25">
      <c r="A2813" t="str">
        <f xml:space="preserve"> $H$2805</f>
        <v>&lt;flags count_in_cargo="0" count_in_hoarder="0" count_in_map="1" count_in_player="0" crafted="0" deloot="0"/&gt;</v>
      </c>
      <c r="B2813" t="s">
        <v>488</v>
      </c>
    </row>
    <row r="2814" spans="1:8" x14ac:dyDescent="0.25">
      <c r="A2814" t="str">
        <f>"&lt;category name=" &amp;"""" &amp;$C$2805&amp;"""/&gt;"</f>
        <v>&lt;category name="clothes"/&gt;</v>
      </c>
      <c r="B2814" t="s">
        <v>488</v>
      </c>
    </row>
    <row r="2815" spans="1:8" x14ac:dyDescent="0.25">
      <c r="A2815" t="s">
        <v>20</v>
      </c>
      <c r="B2815" t="s">
        <v>488</v>
      </c>
    </row>
    <row r="2816" spans="1:8" x14ac:dyDescent="0.25">
      <c r="A2816" t="s">
        <v>39</v>
      </c>
      <c r="B2816" t="s">
        <v>488</v>
      </c>
    </row>
    <row r="2817" spans="1:8" x14ac:dyDescent="0.25">
      <c r="A2817" t="s">
        <v>40</v>
      </c>
      <c r="B2817" t="s">
        <v>488</v>
      </c>
    </row>
    <row r="2818" spans="1:8" x14ac:dyDescent="0.25">
      <c r="A2818" t="s">
        <v>22</v>
      </c>
      <c r="B2818" t="s">
        <v>488</v>
      </c>
    </row>
    <row r="2819" spans="1:8" x14ac:dyDescent="0.25">
      <c r="A2819" t="s">
        <v>1621</v>
      </c>
      <c r="B2819" t="s">
        <v>489</v>
      </c>
      <c r="C2819" t="s">
        <v>399</v>
      </c>
      <c r="D2819">
        <v>2</v>
      </c>
      <c r="E2819">
        <v>3600</v>
      </c>
      <c r="F2819">
        <v>0</v>
      </c>
      <c r="G2819">
        <v>1</v>
      </c>
      <c r="H2819" t="s">
        <v>19</v>
      </c>
    </row>
    <row r="2820" spans="1:8" x14ac:dyDescent="0.25">
      <c r="A2820" t="str">
        <f>"&lt;nominal&gt;" &amp;$D$2819&amp;"&lt;/nominal&gt;"</f>
        <v>&lt;nominal&gt;2&lt;/nominal&gt;</v>
      </c>
      <c r="B2820" t="s">
        <v>489</v>
      </c>
    </row>
    <row r="2821" spans="1:8" x14ac:dyDescent="0.25">
      <c r="A2821" t="str">
        <f>"&lt;lifetime&gt;" &amp;$E$2819&amp;"&lt;/lifetime&gt;"</f>
        <v>&lt;lifetime&gt;3600&lt;/lifetime&gt;</v>
      </c>
      <c r="B2821" t="s">
        <v>489</v>
      </c>
    </row>
    <row r="2822" spans="1:8" x14ac:dyDescent="0.25">
      <c r="A2822" t="str">
        <f>"&lt;restock&gt;" &amp;$F$2819&amp;"&lt;/restock&gt;"</f>
        <v>&lt;restock&gt;0&lt;/restock&gt;</v>
      </c>
      <c r="B2822" t="s">
        <v>489</v>
      </c>
    </row>
    <row r="2823" spans="1:8" x14ac:dyDescent="0.25">
      <c r="A2823" t="str">
        <f>"&lt;min&gt;" &amp;$G$2819&amp;"&lt;/min&gt;"</f>
        <v>&lt;min&gt;1&lt;/min&gt;</v>
      </c>
      <c r="B2823" t="s">
        <v>489</v>
      </c>
    </row>
    <row r="2824" spans="1:8" x14ac:dyDescent="0.25">
      <c r="A2824" t="s">
        <v>1457</v>
      </c>
      <c r="B2824" t="s">
        <v>489</v>
      </c>
    </row>
    <row r="2825" spans="1:8" x14ac:dyDescent="0.25">
      <c r="A2825" t="s">
        <v>321</v>
      </c>
      <c r="B2825" t="s">
        <v>489</v>
      </c>
    </row>
    <row r="2826" spans="1:8" x14ac:dyDescent="0.25">
      <c r="A2826" t="s">
        <v>18</v>
      </c>
      <c r="B2826" t="s">
        <v>489</v>
      </c>
    </row>
    <row r="2827" spans="1:8" x14ac:dyDescent="0.25">
      <c r="A2827" t="str">
        <f xml:space="preserve"> $H$2819</f>
        <v>&lt;flags count_in_cargo="0" count_in_hoarder="0" count_in_map="1" count_in_player="0" crafted="0" deloot="0"/&gt;</v>
      </c>
      <c r="B2827" t="s">
        <v>489</v>
      </c>
    </row>
    <row r="2828" spans="1:8" x14ac:dyDescent="0.25">
      <c r="A2828" t="str">
        <f>"&lt;category name=" &amp;"""" &amp;$C$2819&amp;"""/&gt;"</f>
        <v>&lt;category name="food"/&gt;</v>
      </c>
      <c r="B2828" t="s">
        <v>489</v>
      </c>
    </row>
    <row r="2829" spans="1:8" x14ac:dyDescent="0.25">
      <c r="A2829" t="s">
        <v>20</v>
      </c>
      <c r="B2829" t="s">
        <v>489</v>
      </c>
    </row>
    <row r="2830" spans="1:8" x14ac:dyDescent="0.25">
      <c r="A2830" t="s">
        <v>39</v>
      </c>
      <c r="B2830" t="s">
        <v>489</v>
      </c>
    </row>
    <row r="2831" spans="1:8" x14ac:dyDescent="0.25">
      <c r="A2831" t="s">
        <v>82</v>
      </c>
      <c r="B2831" t="s">
        <v>489</v>
      </c>
    </row>
    <row r="2832" spans="1:8" x14ac:dyDescent="0.25">
      <c r="A2832" t="s">
        <v>30</v>
      </c>
      <c r="B2832" t="s">
        <v>489</v>
      </c>
    </row>
    <row r="2833" spans="1:8" x14ac:dyDescent="0.25">
      <c r="A2833" t="s">
        <v>31</v>
      </c>
      <c r="B2833" t="s">
        <v>489</v>
      </c>
    </row>
    <row r="2834" spans="1:8" x14ac:dyDescent="0.25">
      <c r="A2834" t="s">
        <v>22</v>
      </c>
      <c r="B2834" t="s">
        <v>489</v>
      </c>
    </row>
    <row r="2835" spans="1:8" x14ac:dyDescent="0.25">
      <c r="A2835" t="s">
        <v>1622</v>
      </c>
      <c r="B2835" t="s">
        <v>490</v>
      </c>
      <c r="C2835" t="s">
        <v>426</v>
      </c>
      <c r="D2835">
        <v>40</v>
      </c>
      <c r="E2835">
        <v>7200</v>
      </c>
      <c r="F2835">
        <v>0</v>
      </c>
      <c r="G2835">
        <v>20</v>
      </c>
      <c r="H2835" t="s">
        <v>19</v>
      </c>
    </row>
    <row r="2836" spans="1:8" x14ac:dyDescent="0.25">
      <c r="A2836" t="str">
        <f>"&lt;nominal&gt;" &amp;$D$2835&amp;"&lt;/nominal&gt;"</f>
        <v>&lt;nominal&gt;40&lt;/nominal&gt;</v>
      </c>
      <c r="B2836" t="s">
        <v>490</v>
      </c>
    </row>
    <row r="2837" spans="1:8" x14ac:dyDescent="0.25">
      <c r="A2837" t="str">
        <f>"&lt;lifetime&gt;" &amp;$E$2835&amp;"&lt;/lifetime&gt;"</f>
        <v>&lt;lifetime&gt;7200&lt;/lifetime&gt;</v>
      </c>
      <c r="B2837" t="s">
        <v>490</v>
      </c>
    </row>
    <row r="2838" spans="1:8" x14ac:dyDescent="0.25">
      <c r="A2838" t="str">
        <f>"&lt;restock&gt;" &amp;$F$2835&amp;"&lt;/restock&gt;"</f>
        <v>&lt;restock&gt;0&lt;/restock&gt;</v>
      </c>
      <c r="B2838" t="s">
        <v>490</v>
      </c>
    </row>
    <row r="2839" spans="1:8" x14ac:dyDescent="0.25">
      <c r="A2839" t="str">
        <f>"&lt;min&gt;" &amp;$G$2835&amp;"&lt;/min&gt;"</f>
        <v>&lt;min&gt;20&lt;/min&gt;</v>
      </c>
      <c r="B2839" t="s">
        <v>490</v>
      </c>
    </row>
    <row r="2840" spans="1:8" x14ac:dyDescent="0.25">
      <c r="A2840" t="s">
        <v>16</v>
      </c>
      <c r="B2840" t="s">
        <v>490</v>
      </c>
    </row>
    <row r="2841" spans="1:8" x14ac:dyDescent="0.25">
      <c r="A2841" t="s">
        <v>17</v>
      </c>
      <c r="B2841" t="s">
        <v>490</v>
      </c>
    </row>
    <row r="2842" spans="1:8" x14ac:dyDescent="0.25">
      <c r="A2842" t="s">
        <v>18</v>
      </c>
      <c r="B2842" t="s">
        <v>490</v>
      </c>
    </row>
    <row r="2843" spans="1:8" x14ac:dyDescent="0.25">
      <c r="A2843" t="str">
        <f xml:space="preserve"> $H$2835</f>
        <v>&lt;flags count_in_cargo="0" count_in_hoarder="0" count_in_map="1" count_in_player="0" crafted="0" deloot="0"/&gt;</v>
      </c>
      <c r="B2843" t="s">
        <v>490</v>
      </c>
    </row>
    <row r="2844" spans="1:8" x14ac:dyDescent="0.25">
      <c r="A2844" t="str">
        <f>"&lt;category name=" &amp;"""" &amp;$C$2835&amp;"""/&gt;"</f>
        <v>&lt;category name="tools"/&gt;</v>
      </c>
      <c r="B2844" t="s">
        <v>490</v>
      </c>
    </row>
    <row r="2845" spans="1:8" x14ac:dyDescent="0.25">
      <c r="A2845" t="s">
        <v>25</v>
      </c>
      <c r="B2845" t="s">
        <v>490</v>
      </c>
    </row>
    <row r="2846" spans="1:8" x14ac:dyDescent="0.25">
      <c r="A2846" t="s">
        <v>39</v>
      </c>
      <c r="B2846" t="s">
        <v>490</v>
      </c>
    </row>
    <row r="2847" spans="1:8" x14ac:dyDescent="0.25">
      <c r="A2847" t="s">
        <v>40</v>
      </c>
      <c r="B2847" t="s">
        <v>490</v>
      </c>
    </row>
    <row r="2848" spans="1:8" x14ac:dyDescent="0.25">
      <c r="A2848" t="s">
        <v>22</v>
      </c>
      <c r="B2848" t="s">
        <v>490</v>
      </c>
    </row>
    <row r="2849" spans="1:8" x14ac:dyDescent="0.25">
      <c r="A2849" t="s">
        <v>1623</v>
      </c>
      <c r="B2849" t="s">
        <v>491</v>
      </c>
      <c r="C2849" t="s">
        <v>426</v>
      </c>
      <c r="D2849">
        <v>30</v>
      </c>
      <c r="E2849">
        <v>7200</v>
      </c>
      <c r="F2849">
        <v>0</v>
      </c>
      <c r="G2849">
        <v>15</v>
      </c>
      <c r="H2849" t="s">
        <v>19</v>
      </c>
    </row>
    <row r="2850" spans="1:8" x14ac:dyDescent="0.25">
      <c r="A2850" t="str">
        <f>"&lt;nominal&gt;" &amp;$D$2849&amp;"&lt;/nominal&gt;"</f>
        <v>&lt;nominal&gt;30&lt;/nominal&gt;</v>
      </c>
      <c r="B2850" t="s">
        <v>491</v>
      </c>
    </row>
    <row r="2851" spans="1:8" x14ac:dyDescent="0.25">
      <c r="A2851" t="str">
        <f>"&lt;lifetime&gt;" &amp;$E$2849&amp;"&lt;/lifetime&gt;"</f>
        <v>&lt;lifetime&gt;7200&lt;/lifetime&gt;</v>
      </c>
      <c r="B2851" t="s">
        <v>491</v>
      </c>
    </row>
    <row r="2852" spans="1:8" x14ac:dyDescent="0.25">
      <c r="A2852" t="str">
        <f>"&lt;restock&gt;" &amp;$F$2849&amp;"&lt;/restock&gt;"</f>
        <v>&lt;restock&gt;0&lt;/restock&gt;</v>
      </c>
      <c r="B2852" t="s">
        <v>491</v>
      </c>
    </row>
    <row r="2853" spans="1:8" x14ac:dyDescent="0.25">
      <c r="A2853" t="str">
        <f>"&lt;min&gt;" &amp;$G$2849&amp;"&lt;/min&gt;"</f>
        <v>&lt;min&gt;15&lt;/min&gt;</v>
      </c>
      <c r="B2853" t="s">
        <v>491</v>
      </c>
    </row>
    <row r="2854" spans="1:8" x14ac:dyDescent="0.25">
      <c r="A2854" t="s">
        <v>16</v>
      </c>
      <c r="B2854" t="s">
        <v>491</v>
      </c>
    </row>
    <row r="2855" spans="1:8" x14ac:dyDescent="0.25">
      <c r="A2855" t="s">
        <v>17</v>
      </c>
      <c r="B2855" t="s">
        <v>491</v>
      </c>
    </row>
    <row r="2856" spans="1:8" x14ac:dyDescent="0.25">
      <c r="A2856" t="s">
        <v>18</v>
      </c>
      <c r="B2856" t="s">
        <v>491</v>
      </c>
    </row>
    <row r="2857" spans="1:8" x14ac:dyDescent="0.25">
      <c r="A2857" t="str">
        <f xml:space="preserve"> $H$2849</f>
        <v>&lt;flags count_in_cargo="0" count_in_hoarder="0" count_in_map="1" count_in_player="0" crafted="0" deloot="0"/&gt;</v>
      </c>
      <c r="B2857" t="s">
        <v>491</v>
      </c>
    </row>
    <row r="2858" spans="1:8" x14ac:dyDescent="0.25">
      <c r="A2858" t="str">
        <f>"&lt;category name=" &amp;"""" &amp;$C$2849&amp;"""/&gt;"</f>
        <v>&lt;category name="tools"/&gt;</v>
      </c>
      <c r="B2858" t="s">
        <v>491</v>
      </c>
    </row>
    <row r="2859" spans="1:8" x14ac:dyDescent="0.25">
      <c r="A2859" t="s">
        <v>25</v>
      </c>
      <c r="B2859" t="s">
        <v>491</v>
      </c>
    </row>
    <row r="2860" spans="1:8" x14ac:dyDescent="0.25">
      <c r="A2860" t="s">
        <v>39</v>
      </c>
      <c r="B2860" t="s">
        <v>491</v>
      </c>
    </row>
    <row r="2861" spans="1:8" x14ac:dyDescent="0.25">
      <c r="A2861" t="s">
        <v>40</v>
      </c>
      <c r="B2861" t="s">
        <v>491</v>
      </c>
    </row>
    <row r="2862" spans="1:8" x14ac:dyDescent="0.25">
      <c r="A2862" t="s">
        <v>31</v>
      </c>
      <c r="B2862" t="s">
        <v>491</v>
      </c>
    </row>
    <row r="2863" spans="1:8" x14ac:dyDescent="0.25">
      <c r="A2863" t="s">
        <v>307</v>
      </c>
      <c r="B2863" t="s">
        <v>491</v>
      </c>
    </row>
    <row r="2864" spans="1:8" x14ac:dyDescent="0.25">
      <c r="A2864" t="s">
        <v>22</v>
      </c>
      <c r="B2864" t="s">
        <v>491</v>
      </c>
    </row>
    <row r="2865" spans="1:8" x14ac:dyDescent="0.25">
      <c r="A2865" t="s">
        <v>1624</v>
      </c>
      <c r="B2865" t="s">
        <v>492</v>
      </c>
      <c r="C2865" t="s">
        <v>403</v>
      </c>
      <c r="D2865">
        <v>30</v>
      </c>
      <c r="E2865">
        <v>2700</v>
      </c>
      <c r="F2865">
        <v>0</v>
      </c>
      <c r="G2865">
        <v>20</v>
      </c>
      <c r="H2865" t="s">
        <v>19</v>
      </c>
    </row>
    <row r="2866" spans="1:8" x14ac:dyDescent="0.25">
      <c r="A2866" t="str">
        <f>"&lt;nominal&gt;" &amp;$D$2865&amp;"&lt;/nominal&gt;"</f>
        <v>&lt;nominal&gt;30&lt;/nominal&gt;</v>
      </c>
      <c r="B2866" t="s">
        <v>492</v>
      </c>
    </row>
    <row r="2867" spans="1:8" x14ac:dyDescent="0.25">
      <c r="A2867" t="str">
        <f>"&lt;lifetime&gt;" &amp;$E$2865&amp;"&lt;/lifetime&gt;"</f>
        <v>&lt;lifetime&gt;2700&lt;/lifetime&gt;</v>
      </c>
      <c r="B2867" t="s">
        <v>492</v>
      </c>
    </row>
    <row r="2868" spans="1:8" x14ac:dyDescent="0.25">
      <c r="A2868" t="str">
        <f>"&lt;restock&gt;" &amp;$F$2865&amp;"&lt;/restock&gt;"</f>
        <v>&lt;restock&gt;0&lt;/restock&gt;</v>
      </c>
      <c r="B2868" t="s">
        <v>492</v>
      </c>
    </row>
    <row r="2869" spans="1:8" x14ac:dyDescent="0.25">
      <c r="A2869" t="str">
        <f>"&lt;min&gt;" &amp;$G$2865&amp;"&lt;/min&gt;"</f>
        <v>&lt;min&gt;20&lt;/min&gt;</v>
      </c>
      <c r="B2869" t="s">
        <v>492</v>
      </c>
    </row>
    <row r="2870" spans="1:8" x14ac:dyDescent="0.25">
      <c r="A2870" t="s">
        <v>16</v>
      </c>
      <c r="B2870" t="s">
        <v>492</v>
      </c>
    </row>
    <row r="2871" spans="1:8" x14ac:dyDescent="0.25">
      <c r="A2871" t="s">
        <v>17</v>
      </c>
      <c r="B2871" t="s">
        <v>492</v>
      </c>
    </row>
    <row r="2872" spans="1:8" x14ac:dyDescent="0.25">
      <c r="A2872" t="s">
        <v>18</v>
      </c>
      <c r="B2872" t="s">
        <v>492</v>
      </c>
    </row>
    <row r="2873" spans="1:8" x14ac:dyDescent="0.25">
      <c r="A2873" t="str">
        <f xml:space="preserve"> $H$2865</f>
        <v>&lt;flags count_in_cargo="0" count_in_hoarder="0" count_in_map="1" count_in_player="0" crafted="0" deloot="0"/&gt;</v>
      </c>
      <c r="B2873" t="s">
        <v>492</v>
      </c>
    </row>
    <row r="2874" spans="1:8" x14ac:dyDescent="0.25">
      <c r="A2874" t="str">
        <f>"&lt;category name=" &amp;"""" &amp;$C$2865&amp;"""/&gt;"</f>
        <v>&lt;category name="clothes"/&gt;</v>
      </c>
      <c r="B2874" t="s">
        <v>492</v>
      </c>
    </row>
    <row r="2875" spans="1:8" x14ac:dyDescent="0.25">
      <c r="A2875" t="s">
        <v>39</v>
      </c>
      <c r="B2875" t="s">
        <v>492</v>
      </c>
    </row>
    <row r="2876" spans="1:8" x14ac:dyDescent="0.25">
      <c r="A2876" t="s">
        <v>40</v>
      </c>
      <c r="B2876" t="s">
        <v>492</v>
      </c>
    </row>
    <row r="2877" spans="1:8" x14ac:dyDescent="0.25">
      <c r="A2877" t="s">
        <v>22</v>
      </c>
      <c r="B2877" t="s">
        <v>492</v>
      </c>
    </row>
    <row r="2878" spans="1:8" x14ac:dyDescent="0.25">
      <c r="A2878" t="s">
        <v>1625</v>
      </c>
      <c r="B2878" t="s">
        <v>493</v>
      </c>
      <c r="C2878" t="s">
        <v>403</v>
      </c>
      <c r="D2878">
        <v>30</v>
      </c>
      <c r="E2878">
        <v>2700</v>
      </c>
      <c r="F2878">
        <v>0</v>
      </c>
      <c r="G2878">
        <v>20</v>
      </c>
      <c r="H2878" t="s">
        <v>19</v>
      </c>
    </row>
    <row r="2879" spans="1:8" x14ac:dyDescent="0.25">
      <c r="A2879" t="str">
        <f>"&lt;nominal&gt;" &amp;$D$2878&amp;"&lt;/nominal&gt;"</f>
        <v>&lt;nominal&gt;30&lt;/nominal&gt;</v>
      </c>
      <c r="B2879" t="s">
        <v>493</v>
      </c>
    </row>
    <row r="2880" spans="1:8" x14ac:dyDescent="0.25">
      <c r="A2880" t="str">
        <f>"&lt;lifetime&gt;" &amp;$E$2878&amp;"&lt;/lifetime&gt;"</f>
        <v>&lt;lifetime&gt;2700&lt;/lifetime&gt;</v>
      </c>
      <c r="B2880" t="s">
        <v>493</v>
      </c>
    </row>
    <row r="2881" spans="1:8" x14ac:dyDescent="0.25">
      <c r="A2881" t="str">
        <f>"&lt;restock&gt;" &amp;$F$2878&amp;"&lt;/restock&gt;"</f>
        <v>&lt;restock&gt;0&lt;/restock&gt;</v>
      </c>
      <c r="B2881" t="s">
        <v>493</v>
      </c>
    </row>
    <row r="2882" spans="1:8" x14ac:dyDescent="0.25">
      <c r="A2882" t="str">
        <f>"&lt;min&gt;" &amp;$G$2878&amp;"&lt;/min&gt;"</f>
        <v>&lt;min&gt;20&lt;/min&gt;</v>
      </c>
      <c r="B2882" t="s">
        <v>493</v>
      </c>
    </row>
    <row r="2883" spans="1:8" x14ac:dyDescent="0.25">
      <c r="A2883" t="s">
        <v>16</v>
      </c>
      <c r="B2883" t="s">
        <v>493</v>
      </c>
    </row>
    <row r="2884" spans="1:8" x14ac:dyDescent="0.25">
      <c r="A2884" t="s">
        <v>17</v>
      </c>
      <c r="B2884" t="s">
        <v>493</v>
      </c>
    </row>
    <row r="2885" spans="1:8" x14ac:dyDescent="0.25">
      <c r="A2885" t="s">
        <v>18</v>
      </c>
      <c r="B2885" t="s">
        <v>493</v>
      </c>
    </row>
    <row r="2886" spans="1:8" x14ac:dyDescent="0.25">
      <c r="A2886" t="str">
        <f xml:space="preserve"> $H$2878</f>
        <v>&lt;flags count_in_cargo="0" count_in_hoarder="0" count_in_map="1" count_in_player="0" crafted="0" deloot="0"/&gt;</v>
      </c>
      <c r="B2886" t="s">
        <v>493</v>
      </c>
    </row>
    <row r="2887" spans="1:8" x14ac:dyDescent="0.25">
      <c r="A2887" t="str">
        <f>"&lt;category name=" &amp;"""" &amp;$C$2878&amp;"""/&gt;"</f>
        <v>&lt;category name="clothes"/&gt;</v>
      </c>
      <c r="B2887" t="s">
        <v>493</v>
      </c>
    </row>
    <row r="2888" spans="1:8" x14ac:dyDescent="0.25">
      <c r="A2888" t="s">
        <v>39</v>
      </c>
      <c r="B2888" t="s">
        <v>493</v>
      </c>
    </row>
    <row r="2889" spans="1:8" x14ac:dyDescent="0.25">
      <c r="A2889" t="s">
        <v>40</v>
      </c>
      <c r="B2889" t="s">
        <v>493</v>
      </c>
    </row>
    <row r="2890" spans="1:8" x14ac:dyDescent="0.25">
      <c r="A2890" t="s">
        <v>22</v>
      </c>
      <c r="B2890" t="s">
        <v>493</v>
      </c>
    </row>
    <row r="2891" spans="1:8" x14ac:dyDescent="0.25">
      <c r="A2891" t="s">
        <v>1626</v>
      </c>
      <c r="B2891" t="s">
        <v>494</v>
      </c>
      <c r="C2891" t="s">
        <v>403</v>
      </c>
      <c r="D2891">
        <v>30</v>
      </c>
      <c r="E2891">
        <v>2700</v>
      </c>
      <c r="F2891">
        <v>0</v>
      </c>
      <c r="G2891">
        <v>20</v>
      </c>
      <c r="H2891" t="s">
        <v>19</v>
      </c>
    </row>
    <row r="2892" spans="1:8" x14ac:dyDescent="0.25">
      <c r="A2892" t="str">
        <f>"&lt;nominal&gt;" &amp;$D$2891&amp;"&lt;/nominal&gt;"</f>
        <v>&lt;nominal&gt;30&lt;/nominal&gt;</v>
      </c>
      <c r="B2892" t="s">
        <v>494</v>
      </c>
    </row>
    <row r="2893" spans="1:8" x14ac:dyDescent="0.25">
      <c r="A2893" t="str">
        <f>"&lt;lifetime&gt;" &amp;$E$2891&amp;"&lt;/lifetime&gt;"</f>
        <v>&lt;lifetime&gt;2700&lt;/lifetime&gt;</v>
      </c>
      <c r="B2893" t="s">
        <v>494</v>
      </c>
    </row>
    <row r="2894" spans="1:8" x14ac:dyDescent="0.25">
      <c r="A2894" t="str">
        <f>"&lt;restock&gt;" &amp;$F$2891&amp;"&lt;/restock&gt;"</f>
        <v>&lt;restock&gt;0&lt;/restock&gt;</v>
      </c>
      <c r="B2894" t="s">
        <v>494</v>
      </c>
    </row>
    <row r="2895" spans="1:8" x14ac:dyDescent="0.25">
      <c r="A2895" t="str">
        <f>"&lt;min&gt;" &amp;$G$2891&amp;"&lt;/min&gt;"</f>
        <v>&lt;min&gt;20&lt;/min&gt;</v>
      </c>
      <c r="B2895" t="s">
        <v>494</v>
      </c>
    </row>
    <row r="2896" spans="1:8" x14ac:dyDescent="0.25">
      <c r="A2896" t="s">
        <v>16</v>
      </c>
      <c r="B2896" t="s">
        <v>494</v>
      </c>
    </row>
    <row r="2897" spans="1:8" x14ac:dyDescent="0.25">
      <c r="A2897" t="s">
        <v>17</v>
      </c>
      <c r="B2897" t="s">
        <v>494</v>
      </c>
    </row>
    <row r="2898" spans="1:8" x14ac:dyDescent="0.25">
      <c r="A2898" t="s">
        <v>18</v>
      </c>
      <c r="B2898" t="s">
        <v>494</v>
      </c>
    </row>
    <row r="2899" spans="1:8" x14ac:dyDescent="0.25">
      <c r="A2899" t="str">
        <f xml:space="preserve"> $H$2891</f>
        <v>&lt;flags count_in_cargo="0" count_in_hoarder="0" count_in_map="1" count_in_player="0" crafted="0" deloot="0"/&gt;</v>
      </c>
      <c r="B2899" t="s">
        <v>494</v>
      </c>
    </row>
    <row r="2900" spans="1:8" x14ac:dyDescent="0.25">
      <c r="A2900" t="str">
        <f>"&lt;category name=" &amp;"""" &amp;$C$2891&amp;"""/&gt;"</f>
        <v>&lt;category name="clothes"/&gt;</v>
      </c>
      <c r="B2900" t="s">
        <v>494</v>
      </c>
    </row>
    <row r="2901" spans="1:8" x14ac:dyDescent="0.25">
      <c r="A2901" t="s">
        <v>39</v>
      </c>
      <c r="B2901" t="s">
        <v>494</v>
      </c>
    </row>
    <row r="2902" spans="1:8" x14ac:dyDescent="0.25">
      <c r="A2902" t="s">
        <v>40</v>
      </c>
      <c r="B2902" t="s">
        <v>494</v>
      </c>
    </row>
    <row r="2903" spans="1:8" x14ac:dyDescent="0.25">
      <c r="A2903" t="s">
        <v>22</v>
      </c>
      <c r="B2903" t="s">
        <v>494</v>
      </c>
    </row>
    <row r="2904" spans="1:8" x14ac:dyDescent="0.25">
      <c r="A2904" t="s">
        <v>1627</v>
      </c>
      <c r="B2904" t="s">
        <v>495</v>
      </c>
      <c r="C2904" t="s">
        <v>403</v>
      </c>
      <c r="D2904">
        <v>30</v>
      </c>
      <c r="E2904">
        <v>2700</v>
      </c>
      <c r="F2904">
        <v>0</v>
      </c>
      <c r="G2904">
        <v>20</v>
      </c>
      <c r="H2904" t="s">
        <v>19</v>
      </c>
    </row>
    <row r="2905" spans="1:8" x14ac:dyDescent="0.25">
      <c r="A2905" t="str">
        <f>"&lt;nominal&gt;" &amp;$D$2904&amp;"&lt;/nominal&gt;"</f>
        <v>&lt;nominal&gt;30&lt;/nominal&gt;</v>
      </c>
      <c r="B2905" t="s">
        <v>495</v>
      </c>
    </row>
    <row r="2906" spans="1:8" x14ac:dyDescent="0.25">
      <c r="A2906" t="str">
        <f>"&lt;lifetime&gt;" &amp;$E$2904&amp;"&lt;/lifetime&gt;"</f>
        <v>&lt;lifetime&gt;2700&lt;/lifetime&gt;</v>
      </c>
      <c r="B2906" t="s">
        <v>495</v>
      </c>
    </row>
    <row r="2907" spans="1:8" x14ac:dyDescent="0.25">
      <c r="A2907" t="str">
        <f>"&lt;restock&gt;" &amp;$F$2904&amp;"&lt;/restock&gt;"</f>
        <v>&lt;restock&gt;0&lt;/restock&gt;</v>
      </c>
      <c r="B2907" t="s">
        <v>495</v>
      </c>
    </row>
    <row r="2908" spans="1:8" x14ac:dyDescent="0.25">
      <c r="A2908" t="str">
        <f>"&lt;min&gt;" &amp;$G$2904&amp;"&lt;/min&gt;"</f>
        <v>&lt;min&gt;20&lt;/min&gt;</v>
      </c>
      <c r="B2908" t="s">
        <v>495</v>
      </c>
    </row>
    <row r="2909" spans="1:8" x14ac:dyDescent="0.25">
      <c r="A2909" t="s">
        <v>16</v>
      </c>
      <c r="B2909" t="s">
        <v>495</v>
      </c>
    </row>
    <row r="2910" spans="1:8" x14ac:dyDescent="0.25">
      <c r="A2910" t="s">
        <v>17</v>
      </c>
      <c r="B2910" t="s">
        <v>495</v>
      </c>
    </row>
    <row r="2911" spans="1:8" x14ac:dyDescent="0.25">
      <c r="A2911" t="s">
        <v>18</v>
      </c>
      <c r="B2911" t="s">
        <v>495</v>
      </c>
    </row>
    <row r="2912" spans="1:8" x14ac:dyDescent="0.25">
      <c r="A2912" t="str">
        <f xml:space="preserve"> $H$2904</f>
        <v>&lt;flags count_in_cargo="0" count_in_hoarder="0" count_in_map="1" count_in_player="0" crafted="0" deloot="0"/&gt;</v>
      </c>
      <c r="B2912" t="s">
        <v>495</v>
      </c>
    </row>
    <row r="2913" spans="1:8" x14ac:dyDescent="0.25">
      <c r="A2913" t="str">
        <f>"&lt;category name=" &amp;"""" &amp;$C$2904&amp;"""/&gt;"</f>
        <v>&lt;category name="clothes"/&gt;</v>
      </c>
      <c r="B2913" t="s">
        <v>495</v>
      </c>
    </row>
    <row r="2914" spans="1:8" x14ac:dyDescent="0.25">
      <c r="A2914" t="s">
        <v>39</v>
      </c>
      <c r="B2914" t="s">
        <v>495</v>
      </c>
    </row>
    <row r="2915" spans="1:8" x14ac:dyDescent="0.25">
      <c r="A2915" t="s">
        <v>40</v>
      </c>
      <c r="B2915" t="s">
        <v>495</v>
      </c>
    </row>
    <row r="2916" spans="1:8" x14ac:dyDescent="0.25">
      <c r="A2916" t="s">
        <v>22</v>
      </c>
      <c r="B2916" t="s">
        <v>495</v>
      </c>
    </row>
    <row r="2917" spans="1:8" x14ac:dyDescent="0.25">
      <c r="A2917" t="s">
        <v>1628</v>
      </c>
      <c r="B2917" t="s">
        <v>496</v>
      </c>
      <c r="C2917" t="s">
        <v>403</v>
      </c>
      <c r="D2917">
        <v>30</v>
      </c>
      <c r="E2917">
        <v>2700</v>
      </c>
      <c r="F2917">
        <v>0</v>
      </c>
      <c r="G2917">
        <v>20</v>
      </c>
      <c r="H2917" t="s">
        <v>19</v>
      </c>
    </row>
    <row r="2918" spans="1:8" x14ac:dyDescent="0.25">
      <c r="A2918" t="str">
        <f>"&lt;nominal&gt;" &amp;$D$2917&amp;"&lt;/nominal&gt;"</f>
        <v>&lt;nominal&gt;30&lt;/nominal&gt;</v>
      </c>
      <c r="B2918" t="s">
        <v>496</v>
      </c>
    </row>
    <row r="2919" spans="1:8" x14ac:dyDescent="0.25">
      <c r="A2919" t="str">
        <f>"&lt;lifetime&gt;" &amp;$E$2917&amp;"&lt;/lifetime&gt;"</f>
        <v>&lt;lifetime&gt;2700&lt;/lifetime&gt;</v>
      </c>
      <c r="B2919" t="s">
        <v>496</v>
      </c>
    </row>
    <row r="2920" spans="1:8" x14ac:dyDescent="0.25">
      <c r="A2920" t="str">
        <f>"&lt;restock&gt;" &amp;$F$2917&amp;"&lt;/restock&gt;"</f>
        <v>&lt;restock&gt;0&lt;/restock&gt;</v>
      </c>
      <c r="B2920" t="s">
        <v>496</v>
      </c>
    </row>
    <row r="2921" spans="1:8" x14ac:dyDescent="0.25">
      <c r="A2921" t="str">
        <f>"&lt;min&gt;" &amp;$G$2917&amp;"&lt;/min&gt;"</f>
        <v>&lt;min&gt;20&lt;/min&gt;</v>
      </c>
      <c r="B2921" t="s">
        <v>496</v>
      </c>
    </row>
    <row r="2922" spans="1:8" x14ac:dyDescent="0.25">
      <c r="A2922" t="s">
        <v>16</v>
      </c>
      <c r="B2922" t="s">
        <v>496</v>
      </c>
    </row>
    <row r="2923" spans="1:8" x14ac:dyDescent="0.25">
      <c r="A2923" t="s">
        <v>17</v>
      </c>
      <c r="B2923" t="s">
        <v>496</v>
      </c>
    </row>
    <row r="2924" spans="1:8" x14ac:dyDescent="0.25">
      <c r="A2924" t="s">
        <v>18</v>
      </c>
      <c r="B2924" t="s">
        <v>496</v>
      </c>
    </row>
    <row r="2925" spans="1:8" x14ac:dyDescent="0.25">
      <c r="A2925" t="str">
        <f xml:space="preserve"> $H$2917</f>
        <v>&lt;flags count_in_cargo="0" count_in_hoarder="0" count_in_map="1" count_in_player="0" crafted="0" deloot="0"/&gt;</v>
      </c>
      <c r="B2925" t="s">
        <v>496</v>
      </c>
    </row>
    <row r="2926" spans="1:8" x14ac:dyDescent="0.25">
      <c r="A2926" t="str">
        <f>"&lt;category name=" &amp;"""" &amp;$C$2917&amp;"""/&gt;"</f>
        <v>&lt;category name="clothes"/&gt;</v>
      </c>
      <c r="B2926" t="s">
        <v>496</v>
      </c>
    </row>
    <row r="2927" spans="1:8" x14ac:dyDescent="0.25">
      <c r="A2927" t="s">
        <v>39</v>
      </c>
      <c r="B2927" t="s">
        <v>496</v>
      </c>
    </row>
    <row r="2928" spans="1:8" x14ac:dyDescent="0.25">
      <c r="A2928" t="s">
        <v>40</v>
      </c>
      <c r="B2928" t="s">
        <v>496</v>
      </c>
    </row>
    <row r="2929" spans="1:8" x14ac:dyDescent="0.25">
      <c r="A2929" t="s">
        <v>22</v>
      </c>
      <c r="B2929" t="s">
        <v>496</v>
      </c>
    </row>
    <row r="2930" spans="1:8" x14ac:dyDescent="0.25">
      <c r="A2930" t="s">
        <v>1629</v>
      </c>
      <c r="B2930" t="s">
        <v>497</v>
      </c>
      <c r="C2930" t="s">
        <v>403</v>
      </c>
      <c r="D2930">
        <v>30</v>
      </c>
      <c r="E2930">
        <v>2700</v>
      </c>
      <c r="F2930">
        <v>0</v>
      </c>
      <c r="G2930">
        <v>20</v>
      </c>
      <c r="H2930" t="s">
        <v>19</v>
      </c>
    </row>
    <row r="2931" spans="1:8" x14ac:dyDescent="0.25">
      <c r="A2931" t="str">
        <f>"&lt;nominal&gt;" &amp;$D$2930&amp;"&lt;/nominal&gt;"</f>
        <v>&lt;nominal&gt;30&lt;/nominal&gt;</v>
      </c>
      <c r="B2931" t="s">
        <v>497</v>
      </c>
    </row>
    <row r="2932" spans="1:8" x14ac:dyDescent="0.25">
      <c r="A2932" t="str">
        <f>"&lt;lifetime&gt;" &amp;$E$2930&amp;"&lt;/lifetime&gt;"</f>
        <v>&lt;lifetime&gt;2700&lt;/lifetime&gt;</v>
      </c>
      <c r="B2932" t="s">
        <v>497</v>
      </c>
    </row>
    <row r="2933" spans="1:8" x14ac:dyDescent="0.25">
      <c r="A2933" t="str">
        <f>"&lt;restock&gt;" &amp;$F$2930&amp;"&lt;/restock&gt;"</f>
        <v>&lt;restock&gt;0&lt;/restock&gt;</v>
      </c>
      <c r="B2933" t="s">
        <v>497</v>
      </c>
    </row>
    <row r="2934" spans="1:8" x14ac:dyDescent="0.25">
      <c r="A2934" t="str">
        <f>"&lt;min&gt;" &amp;$G$2930&amp;"&lt;/min&gt;"</f>
        <v>&lt;min&gt;20&lt;/min&gt;</v>
      </c>
      <c r="B2934" t="s">
        <v>497</v>
      </c>
    </row>
    <row r="2935" spans="1:8" x14ac:dyDescent="0.25">
      <c r="A2935" t="s">
        <v>16</v>
      </c>
      <c r="B2935" t="s">
        <v>497</v>
      </c>
    </row>
    <row r="2936" spans="1:8" x14ac:dyDescent="0.25">
      <c r="A2936" t="s">
        <v>17</v>
      </c>
      <c r="B2936" t="s">
        <v>497</v>
      </c>
    </row>
    <row r="2937" spans="1:8" x14ac:dyDescent="0.25">
      <c r="A2937" t="s">
        <v>18</v>
      </c>
      <c r="B2937" t="s">
        <v>497</v>
      </c>
    </row>
    <row r="2938" spans="1:8" x14ac:dyDescent="0.25">
      <c r="A2938" t="str">
        <f xml:space="preserve"> $H$2930</f>
        <v>&lt;flags count_in_cargo="0" count_in_hoarder="0" count_in_map="1" count_in_player="0" crafted="0" deloot="0"/&gt;</v>
      </c>
      <c r="B2938" t="s">
        <v>497</v>
      </c>
    </row>
    <row r="2939" spans="1:8" x14ac:dyDescent="0.25">
      <c r="A2939" t="str">
        <f>"&lt;category name=" &amp;"""" &amp;$C$2930&amp;"""/&gt;"</f>
        <v>&lt;category name="clothes"/&gt;</v>
      </c>
      <c r="B2939" t="s">
        <v>497</v>
      </c>
    </row>
    <row r="2940" spans="1:8" x14ac:dyDescent="0.25">
      <c r="A2940" t="s">
        <v>39</v>
      </c>
      <c r="B2940" t="s">
        <v>497</v>
      </c>
    </row>
    <row r="2941" spans="1:8" x14ac:dyDescent="0.25">
      <c r="A2941" t="s">
        <v>40</v>
      </c>
      <c r="B2941" t="s">
        <v>497</v>
      </c>
    </row>
    <row r="2942" spans="1:8" x14ac:dyDescent="0.25">
      <c r="A2942" t="s">
        <v>22</v>
      </c>
      <c r="B2942" t="s">
        <v>497</v>
      </c>
    </row>
    <row r="2943" spans="1:8" x14ac:dyDescent="0.25">
      <c r="A2943" t="s">
        <v>1630</v>
      </c>
      <c r="B2943" t="s">
        <v>498</v>
      </c>
      <c r="C2943" t="s">
        <v>403</v>
      </c>
      <c r="D2943">
        <v>30</v>
      </c>
      <c r="E2943">
        <v>2700</v>
      </c>
      <c r="F2943">
        <v>0</v>
      </c>
      <c r="G2943">
        <v>20</v>
      </c>
      <c r="H2943" t="s">
        <v>19</v>
      </c>
    </row>
    <row r="2944" spans="1:8" x14ac:dyDescent="0.25">
      <c r="A2944" t="str">
        <f>"&lt;nominal&gt;" &amp;$D$2943&amp;"&lt;/nominal&gt;"</f>
        <v>&lt;nominal&gt;30&lt;/nominal&gt;</v>
      </c>
      <c r="B2944" t="s">
        <v>498</v>
      </c>
    </row>
    <row r="2945" spans="1:8" x14ac:dyDescent="0.25">
      <c r="A2945" t="str">
        <f>"&lt;lifetime&gt;" &amp;$E$2943&amp;"&lt;/lifetime&gt;"</f>
        <v>&lt;lifetime&gt;2700&lt;/lifetime&gt;</v>
      </c>
      <c r="B2945" t="s">
        <v>498</v>
      </c>
    </row>
    <row r="2946" spans="1:8" x14ac:dyDescent="0.25">
      <c r="A2946" t="str">
        <f>"&lt;restock&gt;" &amp;$F$2943&amp;"&lt;/restock&gt;"</f>
        <v>&lt;restock&gt;0&lt;/restock&gt;</v>
      </c>
      <c r="B2946" t="s">
        <v>498</v>
      </c>
    </row>
    <row r="2947" spans="1:8" x14ac:dyDescent="0.25">
      <c r="A2947" t="str">
        <f>"&lt;min&gt;" &amp;$G$2943&amp;"&lt;/min&gt;"</f>
        <v>&lt;min&gt;20&lt;/min&gt;</v>
      </c>
      <c r="B2947" t="s">
        <v>498</v>
      </c>
    </row>
    <row r="2948" spans="1:8" x14ac:dyDescent="0.25">
      <c r="A2948" t="s">
        <v>16</v>
      </c>
      <c r="B2948" t="s">
        <v>498</v>
      </c>
    </row>
    <row r="2949" spans="1:8" x14ac:dyDescent="0.25">
      <c r="A2949" t="s">
        <v>17</v>
      </c>
      <c r="B2949" t="s">
        <v>498</v>
      </c>
    </row>
    <row r="2950" spans="1:8" x14ac:dyDescent="0.25">
      <c r="A2950" t="s">
        <v>18</v>
      </c>
      <c r="B2950" t="s">
        <v>498</v>
      </c>
    </row>
    <row r="2951" spans="1:8" x14ac:dyDescent="0.25">
      <c r="A2951" t="str">
        <f xml:space="preserve"> $H$2943</f>
        <v>&lt;flags count_in_cargo="0" count_in_hoarder="0" count_in_map="1" count_in_player="0" crafted="0" deloot="0"/&gt;</v>
      </c>
      <c r="B2951" t="s">
        <v>498</v>
      </c>
    </row>
    <row r="2952" spans="1:8" x14ac:dyDescent="0.25">
      <c r="A2952" t="str">
        <f>"&lt;category name=" &amp;"""" &amp;$C$2943&amp;"""/&gt;"</f>
        <v>&lt;category name="clothes"/&gt;</v>
      </c>
      <c r="B2952" t="s">
        <v>498</v>
      </c>
    </row>
    <row r="2953" spans="1:8" x14ac:dyDescent="0.25">
      <c r="A2953" t="s">
        <v>39</v>
      </c>
      <c r="B2953" t="s">
        <v>498</v>
      </c>
    </row>
    <row r="2954" spans="1:8" x14ac:dyDescent="0.25">
      <c r="A2954" t="s">
        <v>40</v>
      </c>
      <c r="B2954" t="s">
        <v>498</v>
      </c>
    </row>
    <row r="2955" spans="1:8" x14ac:dyDescent="0.25">
      <c r="A2955" t="s">
        <v>22</v>
      </c>
      <c r="B2955" t="s">
        <v>498</v>
      </c>
    </row>
    <row r="2956" spans="1:8" x14ac:dyDescent="0.25">
      <c r="A2956" t="s">
        <v>1631</v>
      </c>
      <c r="B2956" t="s">
        <v>499</v>
      </c>
      <c r="C2956" t="s">
        <v>403</v>
      </c>
      <c r="D2956">
        <v>30</v>
      </c>
      <c r="E2956">
        <v>2700</v>
      </c>
      <c r="F2956">
        <v>0</v>
      </c>
      <c r="G2956">
        <v>20</v>
      </c>
      <c r="H2956" t="s">
        <v>19</v>
      </c>
    </row>
    <row r="2957" spans="1:8" x14ac:dyDescent="0.25">
      <c r="A2957" t="str">
        <f>"&lt;nominal&gt;" &amp;$D$2956&amp;"&lt;/nominal&gt;"</f>
        <v>&lt;nominal&gt;30&lt;/nominal&gt;</v>
      </c>
      <c r="B2957" t="s">
        <v>499</v>
      </c>
    </row>
    <row r="2958" spans="1:8" x14ac:dyDescent="0.25">
      <c r="A2958" t="str">
        <f>"&lt;lifetime&gt;" &amp;$E$2956&amp;"&lt;/lifetime&gt;"</f>
        <v>&lt;lifetime&gt;2700&lt;/lifetime&gt;</v>
      </c>
      <c r="B2958" t="s">
        <v>499</v>
      </c>
    </row>
    <row r="2959" spans="1:8" x14ac:dyDescent="0.25">
      <c r="A2959" t="str">
        <f>"&lt;restock&gt;" &amp;$F$2956&amp;"&lt;/restock&gt;"</f>
        <v>&lt;restock&gt;0&lt;/restock&gt;</v>
      </c>
      <c r="B2959" t="s">
        <v>499</v>
      </c>
    </row>
    <row r="2960" spans="1:8" x14ac:dyDescent="0.25">
      <c r="A2960" t="str">
        <f>"&lt;min&gt;" &amp;$G$2956&amp;"&lt;/min&gt;"</f>
        <v>&lt;min&gt;20&lt;/min&gt;</v>
      </c>
      <c r="B2960" t="s">
        <v>499</v>
      </c>
    </row>
    <row r="2961" spans="1:8" x14ac:dyDescent="0.25">
      <c r="A2961" t="s">
        <v>16</v>
      </c>
      <c r="B2961" t="s">
        <v>499</v>
      </c>
    </row>
    <row r="2962" spans="1:8" x14ac:dyDescent="0.25">
      <c r="A2962" t="s">
        <v>17</v>
      </c>
      <c r="B2962" t="s">
        <v>499</v>
      </c>
    </row>
    <row r="2963" spans="1:8" x14ac:dyDescent="0.25">
      <c r="A2963" t="s">
        <v>18</v>
      </c>
      <c r="B2963" t="s">
        <v>499</v>
      </c>
    </row>
    <row r="2964" spans="1:8" x14ac:dyDescent="0.25">
      <c r="A2964" t="str">
        <f xml:space="preserve"> $H$2956</f>
        <v>&lt;flags count_in_cargo="0" count_in_hoarder="0" count_in_map="1" count_in_player="0" crafted="0" deloot="0"/&gt;</v>
      </c>
      <c r="B2964" t="s">
        <v>499</v>
      </c>
    </row>
    <row r="2965" spans="1:8" x14ac:dyDescent="0.25">
      <c r="A2965" t="str">
        <f>"&lt;category name=" &amp;"""" &amp;$C$2956&amp;"""/&gt;"</f>
        <v>&lt;category name="clothes"/&gt;</v>
      </c>
      <c r="B2965" t="s">
        <v>499</v>
      </c>
    </row>
    <row r="2966" spans="1:8" x14ac:dyDescent="0.25">
      <c r="A2966" t="s">
        <v>39</v>
      </c>
      <c r="B2966" t="s">
        <v>499</v>
      </c>
    </row>
    <row r="2967" spans="1:8" x14ac:dyDescent="0.25">
      <c r="A2967" t="s">
        <v>40</v>
      </c>
      <c r="B2967" t="s">
        <v>499</v>
      </c>
    </row>
    <row r="2968" spans="1:8" x14ac:dyDescent="0.25">
      <c r="A2968" t="s">
        <v>22</v>
      </c>
      <c r="B2968" t="s">
        <v>499</v>
      </c>
    </row>
    <row r="2969" spans="1:8" x14ac:dyDescent="0.25">
      <c r="A2969" t="s">
        <v>1632</v>
      </c>
      <c r="B2969" t="s">
        <v>500</v>
      </c>
      <c r="C2969" t="s">
        <v>403</v>
      </c>
      <c r="D2969">
        <v>30</v>
      </c>
      <c r="E2969">
        <v>2700</v>
      </c>
      <c r="F2969">
        <v>0</v>
      </c>
      <c r="G2969">
        <v>20</v>
      </c>
      <c r="H2969" t="s">
        <v>19</v>
      </c>
    </row>
    <row r="2970" spans="1:8" x14ac:dyDescent="0.25">
      <c r="A2970" t="str">
        <f>"&lt;nominal&gt;" &amp;$D$2969&amp;"&lt;/nominal&gt;"</f>
        <v>&lt;nominal&gt;30&lt;/nominal&gt;</v>
      </c>
      <c r="B2970" t="s">
        <v>500</v>
      </c>
    </row>
    <row r="2971" spans="1:8" x14ac:dyDescent="0.25">
      <c r="A2971" t="str">
        <f>"&lt;lifetime&gt;" &amp;$E$2969&amp;"&lt;/lifetime&gt;"</f>
        <v>&lt;lifetime&gt;2700&lt;/lifetime&gt;</v>
      </c>
      <c r="B2971" t="s">
        <v>500</v>
      </c>
    </row>
    <row r="2972" spans="1:8" x14ac:dyDescent="0.25">
      <c r="A2972" t="str">
        <f>"&lt;restock&gt;" &amp;$F$2969&amp;"&lt;/restock&gt;"</f>
        <v>&lt;restock&gt;0&lt;/restock&gt;</v>
      </c>
      <c r="B2972" t="s">
        <v>500</v>
      </c>
    </row>
    <row r="2973" spans="1:8" x14ac:dyDescent="0.25">
      <c r="A2973" t="str">
        <f>"&lt;min&gt;" &amp;$G$2969&amp;"&lt;/min&gt;"</f>
        <v>&lt;min&gt;20&lt;/min&gt;</v>
      </c>
      <c r="B2973" t="s">
        <v>500</v>
      </c>
    </row>
    <row r="2974" spans="1:8" x14ac:dyDescent="0.25">
      <c r="A2974" t="s">
        <v>16</v>
      </c>
      <c r="B2974" t="s">
        <v>500</v>
      </c>
    </row>
    <row r="2975" spans="1:8" x14ac:dyDescent="0.25">
      <c r="A2975" t="s">
        <v>17</v>
      </c>
      <c r="B2975" t="s">
        <v>500</v>
      </c>
    </row>
    <row r="2976" spans="1:8" x14ac:dyDescent="0.25">
      <c r="A2976" t="s">
        <v>18</v>
      </c>
      <c r="B2976" t="s">
        <v>500</v>
      </c>
    </row>
    <row r="2977" spans="1:8" x14ac:dyDescent="0.25">
      <c r="A2977" t="str">
        <f xml:space="preserve"> $H$2969</f>
        <v>&lt;flags count_in_cargo="0" count_in_hoarder="0" count_in_map="1" count_in_player="0" crafted="0" deloot="0"/&gt;</v>
      </c>
      <c r="B2977" t="s">
        <v>500</v>
      </c>
    </row>
    <row r="2978" spans="1:8" x14ac:dyDescent="0.25">
      <c r="A2978" t="str">
        <f>"&lt;category name=" &amp;"""" &amp;$C$2969&amp;"""/&gt;"</f>
        <v>&lt;category name="clothes"/&gt;</v>
      </c>
      <c r="B2978" t="s">
        <v>500</v>
      </c>
    </row>
    <row r="2979" spans="1:8" x14ac:dyDescent="0.25">
      <c r="A2979" t="s">
        <v>39</v>
      </c>
      <c r="B2979" t="s">
        <v>500</v>
      </c>
    </row>
    <row r="2980" spans="1:8" x14ac:dyDescent="0.25">
      <c r="A2980" t="s">
        <v>40</v>
      </c>
      <c r="B2980" t="s">
        <v>500</v>
      </c>
    </row>
    <row r="2981" spans="1:8" x14ac:dyDescent="0.25">
      <c r="A2981" t="s">
        <v>22</v>
      </c>
      <c r="B2981" t="s">
        <v>500</v>
      </c>
    </row>
    <row r="2982" spans="1:8" x14ac:dyDescent="0.25">
      <c r="A2982" t="s">
        <v>1633</v>
      </c>
      <c r="B2982" t="s">
        <v>501</v>
      </c>
      <c r="C2982" t="s">
        <v>403</v>
      </c>
      <c r="D2982">
        <v>30</v>
      </c>
      <c r="E2982">
        <v>2700</v>
      </c>
      <c r="F2982">
        <v>0</v>
      </c>
      <c r="G2982">
        <v>20</v>
      </c>
      <c r="H2982" t="s">
        <v>19</v>
      </c>
    </row>
    <row r="2983" spans="1:8" x14ac:dyDescent="0.25">
      <c r="A2983" t="str">
        <f>"&lt;nominal&gt;" &amp;$D$2982&amp;"&lt;/nominal&gt;"</f>
        <v>&lt;nominal&gt;30&lt;/nominal&gt;</v>
      </c>
      <c r="B2983" t="s">
        <v>501</v>
      </c>
    </row>
    <row r="2984" spans="1:8" x14ac:dyDescent="0.25">
      <c r="A2984" t="str">
        <f>"&lt;lifetime&gt;" &amp;$E$2982&amp;"&lt;/lifetime&gt;"</f>
        <v>&lt;lifetime&gt;2700&lt;/lifetime&gt;</v>
      </c>
      <c r="B2984" t="s">
        <v>501</v>
      </c>
    </row>
    <row r="2985" spans="1:8" x14ac:dyDescent="0.25">
      <c r="A2985" t="str">
        <f>"&lt;restock&gt;" &amp;$F$2982&amp;"&lt;/restock&gt;"</f>
        <v>&lt;restock&gt;0&lt;/restock&gt;</v>
      </c>
      <c r="B2985" t="s">
        <v>501</v>
      </c>
    </row>
    <row r="2986" spans="1:8" x14ac:dyDescent="0.25">
      <c r="A2986" t="str">
        <f>"&lt;min&gt;" &amp;$G$2982&amp;"&lt;/min&gt;"</f>
        <v>&lt;min&gt;20&lt;/min&gt;</v>
      </c>
      <c r="B2986" t="s">
        <v>501</v>
      </c>
    </row>
    <row r="2987" spans="1:8" x14ac:dyDescent="0.25">
      <c r="A2987" t="s">
        <v>16</v>
      </c>
      <c r="B2987" t="s">
        <v>501</v>
      </c>
    </row>
    <row r="2988" spans="1:8" x14ac:dyDescent="0.25">
      <c r="A2988" t="s">
        <v>17</v>
      </c>
      <c r="B2988" t="s">
        <v>501</v>
      </c>
    </row>
    <row r="2989" spans="1:8" x14ac:dyDescent="0.25">
      <c r="A2989" t="s">
        <v>18</v>
      </c>
      <c r="B2989" t="s">
        <v>501</v>
      </c>
    </row>
    <row r="2990" spans="1:8" x14ac:dyDescent="0.25">
      <c r="A2990" t="str">
        <f xml:space="preserve"> $H$2982</f>
        <v>&lt;flags count_in_cargo="0" count_in_hoarder="0" count_in_map="1" count_in_player="0" crafted="0" deloot="0"/&gt;</v>
      </c>
      <c r="B2990" t="s">
        <v>501</v>
      </c>
    </row>
    <row r="2991" spans="1:8" x14ac:dyDescent="0.25">
      <c r="A2991" t="str">
        <f>"&lt;category name=" &amp;"""" &amp;$C$2982&amp;"""/&gt;"</f>
        <v>&lt;category name="clothes"/&gt;</v>
      </c>
      <c r="B2991" t="s">
        <v>501</v>
      </c>
    </row>
    <row r="2992" spans="1:8" x14ac:dyDescent="0.25">
      <c r="A2992" t="s">
        <v>39</v>
      </c>
      <c r="B2992" t="s">
        <v>501</v>
      </c>
    </row>
    <row r="2993" spans="1:8" x14ac:dyDescent="0.25">
      <c r="A2993" t="s">
        <v>40</v>
      </c>
      <c r="B2993" t="s">
        <v>501</v>
      </c>
    </row>
    <row r="2994" spans="1:8" x14ac:dyDescent="0.25">
      <c r="A2994" t="s">
        <v>22</v>
      </c>
      <c r="B2994" t="s">
        <v>501</v>
      </c>
    </row>
    <row r="2995" spans="1:8" x14ac:dyDescent="0.25">
      <c r="A2995" t="s">
        <v>1634</v>
      </c>
      <c r="B2995" t="s">
        <v>502</v>
      </c>
      <c r="C2995" t="s">
        <v>426</v>
      </c>
      <c r="D2995">
        <v>100</v>
      </c>
      <c r="E2995">
        <v>5600</v>
      </c>
      <c r="F2995">
        <v>0</v>
      </c>
      <c r="G2995">
        <v>80</v>
      </c>
      <c r="H2995" t="s">
        <v>19</v>
      </c>
    </row>
    <row r="2996" spans="1:8" x14ac:dyDescent="0.25">
      <c r="A2996" t="str">
        <f>"&lt;nominal&gt;" &amp;$D$2995&amp;"&lt;/nominal&gt;"</f>
        <v>&lt;nominal&gt;100&lt;/nominal&gt;</v>
      </c>
      <c r="B2996" t="s">
        <v>502</v>
      </c>
    </row>
    <row r="2997" spans="1:8" x14ac:dyDescent="0.25">
      <c r="A2997" t="str">
        <f>"&lt;lifetime&gt;" &amp;$E$2995&amp;"&lt;/lifetime&gt;"</f>
        <v>&lt;lifetime&gt;5600&lt;/lifetime&gt;</v>
      </c>
      <c r="B2997" t="s">
        <v>502</v>
      </c>
    </row>
    <row r="2998" spans="1:8" x14ac:dyDescent="0.25">
      <c r="A2998" t="str">
        <f>"&lt;restock&gt;" &amp;$F$2995&amp;"&lt;/restock&gt;"</f>
        <v>&lt;restock&gt;0&lt;/restock&gt;</v>
      </c>
      <c r="B2998" t="s">
        <v>502</v>
      </c>
    </row>
    <row r="2999" spans="1:8" x14ac:dyDescent="0.25">
      <c r="A2999" t="str">
        <f>"&lt;min&gt;" &amp;$G$2995&amp;"&lt;/min&gt;"</f>
        <v>&lt;min&gt;80&lt;/min&gt;</v>
      </c>
      <c r="B2999" t="s">
        <v>502</v>
      </c>
    </row>
    <row r="3000" spans="1:8" x14ac:dyDescent="0.25">
      <c r="A3000" t="s">
        <v>16</v>
      </c>
      <c r="B3000" t="s">
        <v>502</v>
      </c>
    </row>
    <row r="3001" spans="1:8" x14ac:dyDescent="0.25">
      <c r="A3001" t="s">
        <v>17</v>
      </c>
      <c r="B3001" t="s">
        <v>502</v>
      </c>
    </row>
    <row r="3002" spans="1:8" x14ac:dyDescent="0.25">
      <c r="A3002" t="s">
        <v>18</v>
      </c>
      <c r="B3002" t="s">
        <v>502</v>
      </c>
    </row>
    <row r="3003" spans="1:8" x14ac:dyDescent="0.25">
      <c r="A3003" t="str">
        <f xml:space="preserve"> $H$2995</f>
        <v>&lt;flags count_in_cargo="0" count_in_hoarder="0" count_in_map="1" count_in_player="0" crafted="0" deloot="0"/&gt;</v>
      </c>
      <c r="B3003" t="s">
        <v>502</v>
      </c>
    </row>
    <row r="3004" spans="1:8" x14ac:dyDescent="0.25">
      <c r="A3004" t="str">
        <f>"&lt;category name=" &amp;"""" &amp;$C$2995&amp;"""/&gt;"</f>
        <v>&lt;category name="tools"/&gt;</v>
      </c>
      <c r="B3004" t="s">
        <v>502</v>
      </c>
    </row>
    <row r="3005" spans="1:8" x14ac:dyDescent="0.25">
      <c r="A3005" t="s">
        <v>55</v>
      </c>
      <c r="B3005" t="s">
        <v>502</v>
      </c>
    </row>
    <row r="3006" spans="1:8" x14ac:dyDescent="0.25">
      <c r="A3006" t="s">
        <v>56</v>
      </c>
      <c r="B3006" t="s">
        <v>502</v>
      </c>
    </row>
    <row r="3007" spans="1:8" x14ac:dyDescent="0.25">
      <c r="A3007" t="s">
        <v>22</v>
      </c>
      <c r="B3007" t="s">
        <v>502</v>
      </c>
    </row>
    <row r="3008" spans="1:8" x14ac:dyDescent="0.25">
      <c r="A3008" t="s">
        <v>1635</v>
      </c>
      <c r="B3008" t="s">
        <v>3391</v>
      </c>
      <c r="C3008" t="s">
        <v>426</v>
      </c>
      <c r="D3008">
        <v>0</v>
      </c>
      <c r="E3008">
        <v>5600</v>
      </c>
      <c r="F3008">
        <v>0</v>
      </c>
      <c r="G3008">
        <v>0</v>
      </c>
      <c r="H3008" t="s">
        <v>62</v>
      </c>
    </row>
    <row r="3009" spans="1:8" x14ac:dyDescent="0.25">
      <c r="A3009" t="str">
        <f>"&lt;nominal&gt;" &amp;$D$3008&amp;"&lt;/nominal&gt;"</f>
        <v>&lt;nominal&gt;0&lt;/nominal&gt;</v>
      </c>
      <c r="B3009" t="s">
        <v>3391</v>
      </c>
    </row>
    <row r="3010" spans="1:8" x14ac:dyDescent="0.25">
      <c r="A3010" t="str">
        <f>"&lt;lifetime&gt;" &amp;$E$3008&amp;"&lt;/lifetime&gt;"</f>
        <v>&lt;lifetime&gt;5600&lt;/lifetime&gt;</v>
      </c>
      <c r="B3010" t="s">
        <v>3391</v>
      </c>
    </row>
    <row r="3011" spans="1:8" x14ac:dyDescent="0.25">
      <c r="A3011" t="str">
        <f>"&lt;restock&gt;" &amp;$F$3008&amp;"&lt;/restock&gt;"</f>
        <v>&lt;restock&gt;0&lt;/restock&gt;</v>
      </c>
      <c r="B3011" t="s">
        <v>3391</v>
      </c>
    </row>
    <row r="3012" spans="1:8" x14ac:dyDescent="0.25">
      <c r="A3012" t="str">
        <f>"&lt;min&gt;" &amp;$G$3008&amp;"&lt;/min&gt;"</f>
        <v>&lt;min&gt;0&lt;/min&gt;</v>
      </c>
      <c r="B3012" t="s">
        <v>3391</v>
      </c>
    </row>
    <row r="3013" spans="1:8" x14ac:dyDescent="0.25">
      <c r="A3013" t="s">
        <v>16</v>
      </c>
      <c r="B3013" t="s">
        <v>3391</v>
      </c>
    </row>
    <row r="3014" spans="1:8" x14ac:dyDescent="0.25">
      <c r="A3014" t="s">
        <v>17</v>
      </c>
      <c r="B3014" t="s">
        <v>3391</v>
      </c>
    </row>
    <row r="3015" spans="1:8" x14ac:dyDescent="0.25">
      <c r="A3015" t="s">
        <v>18</v>
      </c>
      <c r="B3015" t="s">
        <v>3391</v>
      </c>
    </row>
    <row r="3016" spans="1:8" x14ac:dyDescent="0.25">
      <c r="A3016" t="str">
        <f xml:space="preserve"> $H$3008</f>
        <v>&lt;flags count_in_cargo="0" count_in_hoarder="0" count_in_map="1" count_in_player="0" crafted="1" deloot="0"/&gt;</v>
      </c>
      <c r="B3016" t="s">
        <v>3391</v>
      </c>
    </row>
    <row r="3017" spans="1:8" x14ac:dyDescent="0.25">
      <c r="A3017" t="str">
        <f>"&lt;category name=" &amp;"""" &amp;$C$3008&amp;"""/&gt;"</f>
        <v>&lt;category name="tools"/&gt;</v>
      </c>
      <c r="B3017" t="s">
        <v>3391</v>
      </c>
    </row>
    <row r="3018" spans="1:8" x14ac:dyDescent="0.25">
      <c r="A3018" t="s">
        <v>22</v>
      </c>
      <c r="B3018" t="s">
        <v>3391</v>
      </c>
    </row>
    <row r="3019" spans="1:8" x14ac:dyDescent="0.25">
      <c r="A3019" t="s">
        <v>1636</v>
      </c>
      <c r="B3019" t="s">
        <v>3392</v>
      </c>
      <c r="C3019" t="s">
        <v>426</v>
      </c>
      <c r="D3019">
        <v>0</v>
      </c>
      <c r="E3019">
        <v>7200</v>
      </c>
      <c r="F3019">
        <v>0</v>
      </c>
      <c r="G3019">
        <v>0</v>
      </c>
      <c r="H3019" t="s">
        <v>62</v>
      </c>
    </row>
    <row r="3020" spans="1:8" x14ac:dyDescent="0.25">
      <c r="A3020" t="str">
        <f>"&lt;nominal&gt;" &amp;$D$3019&amp;"&lt;/nominal&gt;"</f>
        <v>&lt;nominal&gt;0&lt;/nominal&gt;</v>
      </c>
      <c r="B3020" t="s">
        <v>3392</v>
      </c>
    </row>
    <row r="3021" spans="1:8" x14ac:dyDescent="0.25">
      <c r="A3021" t="str">
        <f>"&lt;lifetime&gt;" &amp;$E$3019&amp;"&lt;/lifetime&gt;"</f>
        <v>&lt;lifetime&gt;7200&lt;/lifetime&gt;</v>
      </c>
      <c r="B3021" t="s">
        <v>3392</v>
      </c>
    </row>
    <row r="3022" spans="1:8" x14ac:dyDescent="0.25">
      <c r="A3022" t="str">
        <f>"&lt;restock&gt;" &amp;$F$3019&amp;"&lt;/restock&gt;"</f>
        <v>&lt;restock&gt;0&lt;/restock&gt;</v>
      </c>
      <c r="B3022" t="s">
        <v>3392</v>
      </c>
    </row>
    <row r="3023" spans="1:8" x14ac:dyDescent="0.25">
      <c r="A3023" t="str">
        <f>"&lt;min&gt;" &amp;$G$3019&amp;"&lt;/min&gt;"</f>
        <v>&lt;min&gt;0&lt;/min&gt;</v>
      </c>
      <c r="B3023" t="s">
        <v>3392</v>
      </c>
    </row>
    <row r="3024" spans="1:8" x14ac:dyDescent="0.25">
      <c r="A3024" t="s">
        <v>16</v>
      </c>
      <c r="B3024" t="s">
        <v>3392</v>
      </c>
    </row>
    <row r="3025" spans="1:8" x14ac:dyDescent="0.25">
      <c r="A3025" t="s">
        <v>17</v>
      </c>
      <c r="B3025" t="s">
        <v>3392</v>
      </c>
    </row>
    <row r="3026" spans="1:8" x14ac:dyDescent="0.25">
      <c r="A3026" t="s">
        <v>18</v>
      </c>
      <c r="B3026" t="s">
        <v>3392</v>
      </c>
    </row>
    <row r="3027" spans="1:8" x14ac:dyDescent="0.25">
      <c r="A3027" t="str">
        <f xml:space="preserve"> $H$3019</f>
        <v>&lt;flags count_in_cargo="0" count_in_hoarder="0" count_in_map="1" count_in_player="0" crafted="1" deloot="0"/&gt;</v>
      </c>
      <c r="B3027" t="s">
        <v>3392</v>
      </c>
    </row>
    <row r="3028" spans="1:8" x14ac:dyDescent="0.25">
      <c r="A3028" t="str">
        <f>"&lt;category name=" &amp;"""" &amp;$C$3019&amp;"""/&gt;"</f>
        <v>&lt;category name="tools"/&gt;</v>
      </c>
      <c r="B3028" t="s">
        <v>3392</v>
      </c>
    </row>
    <row r="3029" spans="1:8" x14ac:dyDescent="0.25">
      <c r="A3029" t="s">
        <v>22</v>
      </c>
      <c r="B3029" t="s">
        <v>3392</v>
      </c>
    </row>
    <row r="3030" spans="1:8" x14ac:dyDescent="0.25">
      <c r="A3030" t="s">
        <v>1637</v>
      </c>
      <c r="B3030" t="s">
        <v>503</v>
      </c>
      <c r="C3030" t="s">
        <v>8</v>
      </c>
      <c r="D3030">
        <v>20</v>
      </c>
      <c r="E3030">
        <v>7200</v>
      </c>
      <c r="F3030">
        <v>0</v>
      </c>
      <c r="G3030">
        <v>10</v>
      </c>
      <c r="H3030" t="s">
        <v>19</v>
      </c>
    </row>
    <row r="3031" spans="1:8" x14ac:dyDescent="0.25">
      <c r="A3031" t="str">
        <f>"&lt;nominal&gt;" &amp;$D$3030&amp;"&lt;/nominal&gt;"</f>
        <v>&lt;nominal&gt;20&lt;/nominal&gt;</v>
      </c>
      <c r="B3031" t="s">
        <v>503</v>
      </c>
    </row>
    <row r="3032" spans="1:8" x14ac:dyDescent="0.25">
      <c r="A3032" t="str">
        <f>"&lt;lifetime&gt;" &amp;$E$3030&amp;"&lt;/lifetime&gt;"</f>
        <v>&lt;lifetime&gt;7200&lt;/lifetime&gt;</v>
      </c>
      <c r="B3032" t="s">
        <v>503</v>
      </c>
    </row>
    <row r="3033" spans="1:8" x14ac:dyDescent="0.25">
      <c r="A3033" t="str">
        <f>"&lt;restock&gt;" &amp;$F$3030&amp;"&lt;/restock&gt;"</f>
        <v>&lt;restock&gt;0&lt;/restock&gt;</v>
      </c>
      <c r="B3033" t="s">
        <v>503</v>
      </c>
    </row>
    <row r="3034" spans="1:8" x14ac:dyDescent="0.25">
      <c r="A3034" t="str">
        <f>"&lt;min&gt;" &amp;$G$3030&amp;"&lt;/min&gt;"</f>
        <v>&lt;min&gt;10&lt;/min&gt;</v>
      </c>
      <c r="B3034" t="s">
        <v>503</v>
      </c>
    </row>
    <row r="3035" spans="1:8" x14ac:dyDescent="0.25">
      <c r="A3035" t="s">
        <v>16</v>
      </c>
      <c r="B3035" t="s">
        <v>503</v>
      </c>
    </row>
    <row r="3036" spans="1:8" x14ac:dyDescent="0.25">
      <c r="A3036" t="s">
        <v>17</v>
      </c>
      <c r="B3036" t="s">
        <v>503</v>
      </c>
    </row>
    <row r="3037" spans="1:8" x14ac:dyDescent="0.25">
      <c r="A3037" t="s">
        <v>18</v>
      </c>
      <c r="B3037" t="s">
        <v>503</v>
      </c>
    </row>
    <row r="3038" spans="1:8" x14ac:dyDescent="0.25">
      <c r="A3038" t="str">
        <f xml:space="preserve"> $H$3030</f>
        <v>&lt;flags count_in_cargo="0" count_in_hoarder="0" count_in_map="1" count_in_player="0" crafted="0" deloot="0"/&gt;</v>
      </c>
      <c r="B3038" t="s">
        <v>503</v>
      </c>
    </row>
    <row r="3039" spans="1:8" x14ac:dyDescent="0.25">
      <c r="A3039" t="str">
        <f>"&lt;category name=" &amp;"""" &amp;$C$3030&amp;"""/&gt;"</f>
        <v>&lt;category name="weapons"/&gt;</v>
      </c>
      <c r="B3039" t="s">
        <v>503</v>
      </c>
    </row>
    <row r="3040" spans="1:8" x14ac:dyDescent="0.25">
      <c r="A3040" t="s">
        <v>56</v>
      </c>
      <c r="B3040" t="s">
        <v>503</v>
      </c>
    </row>
    <row r="3041" spans="1:8" x14ac:dyDescent="0.25">
      <c r="A3041" t="s">
        <v>40</v>
      </c>
      <c r="B3041" t="s">
        <v>503</v>
      </c>
    </row>
    <row r="3042" spans="1:8" x14ac:dyDescent="0.25">
      <c r="A3042" t="s">
        <v>67</v>
      </c>
      <c r="B3042" t="s">
        <v>503</v>
      </c>
    </row>
    <row r="3043" spans="1:8" x14ac:dyDescent="0.25">
      <c r="A3043" t="s">
        <v>30</v>
      </c>
      <c r="B3043" t="s">
        <v>503</v>
      </c>
    </row>
    <row r="3044" spans="1:8" x14ac:dyDescent="0.25">
      <c r="A3044" t="s">
        <v>31</v>
      </c>
      <c r="B3044" t="s">
        <v>503</v>
      </c>
    </row>
    <row r="3045" spans="1:8" x14ac:dyDescent="0.25">
      <c r="A3045" t="s">
        <v>22</v>
      </c>
      <c r="B3045" t="s">
        <v>503</v>
      </c>
    </row>
    <row r="3046" spans="1:8" x14ac:dyDescent="0.25">
      <c r="A3046" t="s">
        <v>1638</v>
      </c>
      <c r="B3046" t="s">
        <v>504</v>
      </c>
      <c r="C3046" t="s">
        <v>8</v>
      </c>
      <c r="D3046">
        <v>10</v>
      </c>
      <c r="E3046">
        <v>10800</v>
      </c>
      <c r="F3046">
        <v>1800</v>
      </c>
      <c r="G3046">
        <v>5</v>
      </c>
      <c r="H3046" t="s">
        <v>19</v>
      </c>
    </row>
    <row r="3047" spans="1:8" x14ac:dyDescent="0.25">
      <c r="A3047" t="str">
        <f>"&lt;nominal&gt;" &amp;$D$3046&amp;"&lt;/nominal&gt;"</f>
        <v>&lt;nominal&gt;10&lt;/nominal&gt;</v>
      </c>
      <c r="B3047" t="s">
        <v>504</v>
      </c>
    </row>
    <row r="3048" spans="1:8" x14ac:dyDescent="0.25">
      <c r="A3048" t="str">
        <f>"&lt;lifetime&gt;" &amp;$E$3046&amp;"&lt;/lifetime&gt;"</f>
        <v>&lt;lifetime&gt;10800&lt;/lifetime&gt;</v>
      </c>
      <c r="B3048" t="s">
        <v>504</v>
      </c>
    </row>
    <row r="3049" spans="1:8" x14ac:dyDescent="0.25">
      <c r="A3049" t="str">
        <f>"&lt;restock&gt;" &amp;$F$3046&amp;"&lt;/restock&gt;"</f>
        <v>&lt;restock&gt;1800&lt;/restock&gt;</v>
      </c>
      <c r="B3049" t="s">
        <v>504</v>
      </c>
    </row>
    <row r="3050" spans="1:8" x14ac:dyDescent="0.25">
      <c r="A3050" t="str">
        <f>"&lt;min&gt;" &amp;$G$3046&amp;"&lt;/min&gt;"</f>
        <v>&lt;min&gt;5&lt;/min&gt;</v>
      </c>
      <c r="B3050" t="s">
        <v>504</v>
      </c>
    </row>
    <row r="3051" spans="1:8" x14ac:dyDescent="0.25">
      <c r="A3051" t="s">
        <v>16</v>
      </c>
      <c r="B3051" t="s">
        <v>504</v>
      </c>
    </row>
    <row r="3052" spans="1:8" x14ac:dyDescent="0.25">
      <c r="A3052" t="s">
        <v>17</v>
      </c>
      <c r="B3052" t="s">
        <v>504</v>
      </c>
    </row>
    <row r="3053" spans="1:8" x14ac:dyDescent="0.25">
      <c r="A3053" t="s">
        <v>18</v>
      </c>
      <c r="B3053" t="s">
        <v>504</v>
      </c>
    </row>
    <row r="3054" spans="1:8" x14ac:dyDescent="0.25">
      <c r="A3054" t="str">
        <f xml:space="preserve"> $H$3046</f>
        <v>&lt;flags count_in_cargo="0" count_in_hoarder="0" count_in_map="1" count_in_player="0" crafted="0" deloot="0"/&gt;</v>
      </c>
      <c r="B3054" t="s">
        <v>504</v>
      </c>
    </row>
    <row r="3055" spans="1:8" x14ac:dyDescent="0.25">
      <c r="A3055" t="str">
        <f>"&lt;category name=" &amp;"""" &amp;$C$3046&amp;"""/&gt;"</f>
        <v>&lt;category name="weapons"/&gt;</v>
      </c>
      <c r="B3055" t="s">
        <v>504</v>
      </c>
    </row>
    <row r="3056" spans="1:8" x14ac:dyDescent="0.25">
      <c r="A3056" t="s">
        <v>173</v>
      </c>
      <c r="B3056" t="s">
        <v>504</v>
      </c>
    </row>
    <row r="3057" spans="1:8" x14ac:dyDescent="0.25">
      <c r="A3057" t="s">
        <v>22</v>
      </c>
      <c r="B3057" t="s">
        <v>504</v>
      </c>
    </row>
    <row r="3058" spans="1:8" x14ac:dyDescent="0.25">
      <c r="A3058" t="s">
        <v>1639</v>
      </c>
      <c r="B3058" t="s">
        <v>505</v>
      </c>
      <c r="C3058" t="s">
        <v>8</v>
      </c>
      <c r="D3058">
        <v>20</v>
      </c>
      <c r="E3058">
        <v>10800</v>
      </c>
      <c r="F3058">
        <v>0</v>
      </c>
      <c r="G3058">
        <v>10</v>
      </c>
      <c r="H3058" t="s">
        <v>19</v>
      </c>
    </row>
    <row r="3059" spans="1:8" x14ac:dyDescent="0.25">
      <c r="A3059" t="str">
        <f>"&lt;nominal&gt;" &amp;$D$3058&amp;"&lt;/nominal&gt;"</f>
        <v>&lt;nominal&gt;20&lt;/nominal&gt;</v>
      </c>
      <c r="B3059" t="s">
        <v>505</v>
      </c>
    </row>
    <row r="3060" spans="1:8" x14ac:dyDescent="0.25">
      <c r="A3060" t="str">
        <f>"&lt;lifetime&gt;" &amp;$E$3058&amp;"&lt;/lifetime&gt;"</f>
        <v>&lt;lifetime&gt;10800&lt;/lifetime&gt;</v>
      </c>
      <c r="B3060" t="s">
        <v>505</v>
      </c>
    </row>
    <row r="3061" spans="1:8" x14ac:dyDescent="0.25">
      <c r="A3061" t="str">
        <f>"&lt;restock&gt;" &amp;$F$3058&amp;"&lt;/restock&gt;"</f>
        <v>&lt;restock&gt;0&lt;/restock&gt;</v>
      </c>
      <c r="B3061" t="s">
        <v>505</v>
      </c>
    </row>
    <row r="3062" spans="1:8" x14ac:dyDescent="0.25">
      <c r="A3062" t="str">
        <f>"&lt;min&gt;" &amp;$G$3058&amp;"&lt;/min&gt;"</f>
        <v>&lt;min&gt;10&lt;/min&gt;</v>
      </c>
      <c r="B3062" t="s">
        <v>505</v>
      </c>
    </row>
    <row r="3063" spans="1:8" x14ac:dyDescent="0.25">
      <c r="A3063" t="s">
        <v>16</v>
      </c>
      <c r="B3063" t="s">
        <v>505</v>
      </c>
    </row>
    <row r="3064" spans="1:8" x14ac:dyDescent="0.25">
      <c r="A3064" t="s">
        <v>17</v>
      </c>
      <c r="B3064" t="s">
        <v>505</v>
      </c>
    </row>
    <row r="3065" spans="1:8" x14ac:dyDescent="0.25">
      <c r="A3065" t="s">
        <v>18</v>
      </c>
      <c r="B3065" t="s">
        <v>505</v>
      </c>
    </row>
    <row r="3066" spans="1:8" x14ac:dyDescent="0.25">
      <c r="A3066" t="str">
        <f xml:space="preserve"> $H$3058</f>
        <v>&lt;flags count_in_cargo="0" count_in_hoarder="0" count_in_map="1" count_in_player="0" crafted="0" deloot="0"/&gt;</v>
      </c>
      <c r="B3066" t="s">
        <v>505</v>
      </c>
    </row>
    <row r="3067" spans="1:8" x14ac:dyDescent="0.25">
      <c r="A3067" t="str">
        <f>"&lt;category name=" &amp;"""" &amp;$C$3058&amp;"""/&gt;"</f>
        <v>&lt;category name="weapons"/&gt;</v>
      </c>
      <c r="B3067" t="s">
        <v>505</v>
      </c>
    </row>
    <row r="3068" spans="1:8" x14ac:dyDescent="0.25">
      <c r="A3068" t="s">
        <v>173</v>
      </c>
      <c r="B3068" t="s">
        <v>505</v>
      </c>
    </row>
    <row r="3069" spans="1:8" x14ac:dyDescent="0.25">
      <c r="A3069" t="s">
        <v>40</v>
      </c>
      <c r="B3069" t="s">
        <v>505</v>
      </c>
    </row>
    <row r="3070" spans="1:8" x14ac:dyDescent="0.25">
      <c r="A3070" t="s">
        <v>82</v>
      </c>
      <c r="B3070" t="s">
        <v>505</v>
      </c>
    </row>
    <row r="3071" spans="1:8" x14ac:dyDescent="0.25">
      <c r="A3071" t="s">
        <v>30</v>
      </c>
      <c r="B3071" t="s">
        <v>505</v>
      </c>
    </row>
    <row r="3072" spans="1:8" x14ac:dyDescent="0.25">
      <c r="A3072" t="s">
        <v>31</v>
      </c>
      <c r="B3072" t="s">
        <v>505</v>
      </c>
    </row>
    <row r="3073" spans="1:8" x14ac:dyDescent="0.25">
      <c r="A3073" t="s">
        <v>22</v>
      </c>
      <c r="B3073" t="s">
        <v>505</v>
      </c>
    </row>
    <row r="3074" spans="1:8" x14ac:dyDescent="0.25">
      <c r="A3074" t="s">
        <v>1640</v>
      </c>
      <c r="B3074" t="s">
        <v>506</v>
      </c>
      <c r="C3074" t="s">
        <v>426</v>
      </c>
      <c r="D3074">
        <v>80</v>
      </c>
      <c r="E3074">
        <v>604800</v>
      </c>
      <c r="F3074">
        <v>0</v>
      </c>
      <c r="G3074">
        <v>50</v>
      </c>
      <c r="H3074" t="s">
        <v>19</v>
      </c>
    </row>
    <row r="3075" spans="1:8" x14ac:dyDescent="0.25">
      <c r="A3075" t="str">
        <f>"&lt;nominal&gt;" &amp;$D$3074&amp;"&lt;/nominal&gt;"</f>
        <v>&lt;nominal&gt;80&lt;/nominal&gt;</v>
      </c>
      <c r="B3075" t="s">
        <v>506</v>
      </c>
    </row>
    <row r="3076" spans="1:8" x14ac:dyDescent="0.25">
      <c r="A3076" t="str">
        <f>"&lt;lifetime&gt;" &amp;$E$3074&amp;"&lt;/lifetime&gt;"</f>
        <v>&lt;lifetime&gt;604800&lt;/lifetime&gt;</v>
      </c>
      <c r="B3076" t="s">
        <v>506</v>
      </c>
    </row>
    <row r="3077" spans="1:8" x14ac:dyDescent="0.25">
      <c r="A3077" t="str">
        <f>"&lt;restock&gt;" &amp;$F$3074&amp;"&lt;/restock&gt;"</f>
        <v>&lt;restock&gt;0&lt;/restock&gt;</v>
      </c>
      <c r="B3077" t="s">
        <v>506</v>
      </c>
    </row>
    <row r="3078" spans="1:8" x14ac:dyDescent="0.25">
      <c r="A3078" t="str">
        <f>"&lt;min&gt;" &amp;$G$3074&amp;"&lt;/min&gt;"</f>
        <v>&lt;min&gt;50&lt;/min&gt;</v>
      </c>
      <c r="B3078" t="s">
        <v>506</v>
      </c>
    </row>
    <row r="3079" spans="1:8" x14ac:dyDescent="0.25">
      <c r="A3079" t="s">
        <v>16</v>
      </c>
      <c r="B3079" t="s">
        <v>506</v>
      </c>
    </row>
    <row r="3080" spans="1:8" x14ac:dyDescent="0.25">
      <c r="A3080" t="s">
        <v>17</v>
      </c>
      <c r="B3080" t="s">
        <v>506</v>
      </c>
    </row>
    <row r="3081" spans="1:8" x14ac:dyDescent="0.25">
      <c r="A3081" t="s">
        <v>18</v>
      </c>
      <c r="B3081" t="s">
        <v>506</v>
      </c>
    </row>
    <row r="3082" spans="1:8" x14ac:dyDescent="0.25">
      <c r="A3082" t="str">
        <f xml:space="preserve"> $H$3074</f>
        <v>&lt;flags count_in_cargo="0" count_in_hoarder="0" count_in_map="1" count_in_player="0" crafted="0" deloot="0"/&gt;</v>
      </c>
      <c r="B3082" t="s">
        <v>506</v>
      </c>
    </row>
    <row r="3083" spans="1:8" x14ac:dyDescent="0.25">
      <c r="A3083" t="str">
        <f>"&lt;category name=" &amp;"""" &amp;$C$3074&amp;"""/&gt;"</f>
        <v>&lt;category name="tools"/&gt;</v>
      </c>
      <c r="B3083" t="s">
        <v>506</v>
      </c>
    </row>
    <row r="3084" spans="1:8" x14ac:dyDescent="0.25">
      <c r="A3084" t="s">
        <v>55</v>
      </c>
      <c r="B3084" t="s">
        <v>506</v>
      </c>
    </row>
    <row r="3085" spans="1:8" x14ac:dyDescent="0.25">
      <c r="A3085" t="s">
        <v>22</v>
      </c>
      <c r="B3085" t="s">
        <v>506</v>
      </c>
    </row>
    <row r="3086" spans="1:8" x14ac:dyDescent="0.25">
      <c r="A3086" t="s">
        <v>1641</v>
      </c>
      <c r="B3086" t="s">
        <v>507</v>
      </c>
      <c r="C3086" t="s">
        <v>426</v>
      </c>
      <c r="D3086">
        <v>40</v>
      </c>
      <c r="E3086">
        <v>7200</v>
      </c>
      <c r="F3086">
        <v>0</v>
      </c>
      <c r="G3086">
        <v>20</v>
      </c>
      <c r="H3086" t="s">
        <v>19</v>
      </c>
    </row>
    <row r="3087" spans="1:8" x14ac:dyDescent="0.25">
      <c r="A3087" t="str">
        <f>"&lt;nominal&gt;" &amp;$D$3086&amp;"&lt;/nominal&gt;"</f>
        <v>&lt;nominal&gt;40&lt;/nominal&gt;</v>
      </c>
      <c r="B3087" t="s">
        <v>507</v>
      </c>
    </row>
    <row r="3088" spans="1:8" x14ac:dyDescent="0.25">
      <c r="A3088" t="str">
        <f>"&lt;lifetime&gt;" &amp;$E$3086&amp;"&lt;/lifetime&gt;"</f>
        <v>&lt;lifetime&gt;7200&lt;/lifetime&gt;</v>
      </c>
      <c r="B3088" t="s">
        <v>507</v>
      </c>
    </row>
    <row r="3089" spans="1:8" x14ac:dyDescent="0.25">
      <c r="A3089" t="str">
        <f>"&lt;restock&gt;" &amp;$F$3086&amp;"&lt;/restock&gt;"</f>
        <v>&lt;restock&gt;0&lt;/restock&gt;</v>
      </c>
      <c r="B3089" t="s">
        <v>507</v>
      </c>
    </row>
    <row r="3090" spans="1:8" x14ac:dyDescent="0.25">
      <c r="A3090" t="str">
        <f>"&lt;min&gt;" &amp;$G$3086&amp;"&lt;/min&gt;"</f>
        <v>&lt;min&gt;20&lt;/min&gt;</v>
      </c>
      <c r="B3090" t="s">
        <v>507</v>
      </c>
    </row>
    <row r="3091" spans="1:8" x14ac:dyDescent="0.25">
      <c r="A3091" t="s">
        <v>16</v>
      </c>
      <c r="B3091" t="s">
        <v>507</v>
      </c>
    </row>
    <row r="3092" spans="1:8" x14ac:dyDescent="0.25">
      <c r="A3092" t="s">
        <v>17</v>
      </c>
      <c r="B3092" t="s">
        <v>507</v>
      </c>
    </row>
    <row r="3093" spans="1:8" x14ac:dyDescent="0.25">
      <c r="A3093" t="s">
        <v>18</v>
      </c>
      <c r="B3093" t="s">
        <v>507</v>
      </c>
    </row>
    <row r="3094" spans="1:8" x14ac:dyDescent="0.25">
      <c r="A3094" t="str">
        <f xml:space="preserve"> $H$3086</f>
        <v>&lt;flags count_in_cargo="0" count_in_hoarder="0" count_in_map="1" count_in_player="0" crafted="0" deloot="0"/&gt;</v>
      </c>
      <c r="B3094" t="s">
        <v>507</v>
      </c>
    </row>
    <row r="3095" spans="1:8" x14ac:dyDescent="0.25">
      <c r="A3095" t="str">
        <f>"&lt;category name=" &amp;"""" &amp;$C$3086&amp;"""/&gt;"</f>
        <v>&lt;category name="tools"/&gt;</v>
      </c>
      <c r="B3095" t="s">
        <v>507</v>
      </c>
    </row>
    <row r="3096" spans="1:8" x14ac:dyDescent="0.25">
      <c r="A3096" t="s">
        <v>25</v>
      </c>
      <c r="B3096" t="s">
        <v>507</v>
      </c>
    </row>
    <row r="3097" spans="1:8" x14ac:dyDescent="0.25">
      <c r="A3097" t="s">
        <v>29</v>
      </c>
      <c r="B3097" t="s">
        <v>507</v>
      </c>
    </row>
    <row r="3098" spans="1:8" x14ac:dyDescent="0.25">
      <c r="A3098" t="s">
        <v>22</v>
      </c>
      <c r="B3098" t="s">
        <v>507</v>
      </c>
    </row>
    <row r="3099" spans="1:8" x14ac:dyDescent="0.25">
      <c r="A3099" t="s">
        <v>1642</v>
      </c>
      <c r="B3099" t="s">
        <v>508</v>
      </c>
      <c r="C3099" t="s">
        <v>426</v>
      </c>
      <c r="D3099">
        <v>70</v>
      </c>
      <c r="E3099">
        <v>7200</v>
      </c>
      <c r="F3099">
        <v>0</v>
      </c>
      <c r="G3099">
        <v>50</v>
      </c>
      <c r="H3099" t="s">
        <v>19</v>
      </c>
    </row>
    <row r="3100" spans="1:8" x14ac:dyDescent="0.25">
      <c r="A3100" t="str">
        <f>"&lt;nominal&gt;" &amp;$D$3099&amp;"&lt;/nominal&gt;"</f>
        <v>&lt;nominal&gt;70&lt;/nominal&gt;</v>
      </c>
      <c r="B3100" t="s">
        <v>508</v>
      </c>
    </row>
    <row r="3101" spans="1:8" x14ac:dyDescent="0.25">
      <c r="A3101" t="str">
        <f>"&lt;lifetime&gt;" &amp;$E$3099&amp;"&lt;/lifetime&gt;"</f>
        <v>&lt;lifetime&gt;7200&lt;/lifetime&gt;</v>
      </c>
      <c r="B3101" t="s">
        <v>508</v>
      </c>
    </row>
    <row r="3102" spans="1:8" x14ac:dyDescent="0.25">
      <c r="A3102" t="str">
        <f>"&lt;restock&gt;" &amp;$F$3099&amp;"&lt;/restock&gt;"</f>
        <v>&lt;restock&gt;0&lt;/restock&gt;</v>
      </c>
      <c r="B3102" t="s">
        <v>508</v>
      </c>
    </row>
    <row r="3103" spans="1:8" x14ac:dyDescent="0.25">
      <c r="A3103" t="str">
        <f>"&lt;min&gt;" &amp;$G$3099&amp;"&lt;/min&gt;"</f>
        <v>&lt;min&gt;50&lt;/min&gt;</v>
      </c>
      <c r="B3103" t="s">
        <v>508</v>
      </c>
    </row>
    <row r="3104" spans="1:8" x14ac:dyDescent="0.25">
      <c r="A3104" t="s">
        <v>16</v>
      </c>
      <c r="B3104" t="s">
        <v>508</v>
      </c>
    </row>
    <row r="3105" spans="1:8" x14ac:dyDescent="0.25">
      <c r="A3105" t="s">
        <v>17</v>
      </c>
      <c r="B3105" t="s">
        <v>508</v>
      </c>
    </row>
    <row r="3106" spans="1:8" x14ac:dyDescent="0.25">
      <c r="A3106" t="s">
        <v>18</v>
      </c>
      <c r="B3106" t="s">
        <v>508</v>
      </c>
    </row>
    <row r="3107" spans="1:8" x14ac:dyDescent="0.25">
      <c r="A3107" t="str">
        <f xml:space="preserve"> $H$3099</f>
        <v>&lt;flags count_in_cargo="0" count_in_hoarder="0" count_in_map="1" count_in_player="0" crafted="0" deloot="0"/&gt;</v>
      </c>
      <c r="B3107" t="s">
        <v>508</v>
      </c>
    </row>
    <row r="3108" spans="1:8" x14ac:dyDescent="0.25">
      <c r="A3108" t="str">
        <f>"&lt;category name=" &amp;"""" &amp;$C$3099&amp;"""/&gt;"</f>
        <v>&lt;category name="tools"/&gt;</v>
      </c>
      <c r="B3108" t="s">
        <v>508</v>
      </c>
    </row>
    <row r="3109" spans="1:8" x14ac:dyDescent="0.25">
      <c r="A3109" t="s">
        <v>20</v>
      </c>
      <c r="B3109" t="s">
        <v>508</v>
      </c>
    </row>
    <row r="3110" spans="1:8" x14ac:dyDescent="0.25">
      <c r="A3110" t="s">
        <v>39</v>
      </c>
      <c r="B3110" t="s">
        <v>508</v>
      </c>
    </row>
    <row r="3111" spans="1:8" x14ac:dyDescent="0.25">
      <c r="A3111" t="s">
        <v>40</v>
      </c>
      <c r="B3111" t="s">
        <v>508</v>
      </c>
    </row>
    <row r="3112" spans="1:8" x14ac:dyDescent="0.25">
      <c r="A3112" t="s">
        <v>82</v>
      </c>
      <c r="B3112" t="s">
        <v>508</v>
      </c>
    </row>
    <row r="3113" spans="1:8" x14ac:dyDescent="0.25">
      <c r="A3113" t="s">
        <v>30</v>
      </c>
      <c r="B3113" t="s">
        <v>508</v>
      </c>
    </row>
    <row r="3114" spans="1:8" x14ac:dyDescent="0.25">
      <c r="A3114" t="s">
        <v>31</v>
      </c>
      <c r="B3114" t="s">
        <v>508</v>
      </c>
    </row>
    <row r="3115" spans="1:8" x14ac:dyDescent="0.25">
      <c r="A3115" t="s">
        <v>307</v>
      </c>
      <c r="B3115" t="s">
        <v>508</v>
      </c>
    </row>
    <row r="3116" spans="1:8" x14ac:dyDescent="0.25">
      <c r="A3116" t="s">
        <v>22</v>
      </c>
      <c r="B3116" t="s">
        <v>508</v>
      </c>
    </row>
    <row r="3117" spans="1:8" x14ac:dyDescent="0.25">
      <c r="A3117" t="s">
        <v>1643</v>
      </c>
      <c r="B3117" t="s">
        <v>2952</v>
      </c>
      <c r="C3117" t="s">
        <v>399</v>
      </c>
      <c r="D3117">
        <v>0</v>
      </c>
      <c r="E3117">
        <v>1800</v>
      </c>
      <c r="F3117">
        <v>0</v>
      </c>
      <c r="G3117">
        <v>0</v>
      </c>
      <c r="H3117" t="s">
        <v>62</v>
      </c>
    </row>
    <row r="3118" spans="1:8" x14ac:dyDescent="0.25">
      <c r="A3118" t="str">
        <f>"&lt;nominal&gt;" &amp;$D$3117&amp;"&lt;/nominal&gt;"</f>
        <v>&lt;nominal&gt;0&lt;/nominal&gt;</v>
      </c>
      <c r="B3118" t="s">
        <v>2952</v>
      </c>
    </row>
    <row r="3119" spans="1:8" x14ac:dyDescent="0.25">
      <c r="A3119" t="str">
        <f>"&lt;lifetime&gt;" &amp;$E$3117&amp;"&lt;/lifetime&gt;"</f>
        <v>&lt;lifetime&gt;1800&lt;/lifetime&gt;</v>
      </c>
      <c r="B3119" t="s">
        <v>2952</v>
      </c>
    </row>
    <row r="3120" spans="1:8" x14ac:dyDescent="0.25">
      <c r="A3120" t="str">
        <f>"&lt;restock&gt;" &amp;$F$3117&amp;"&lt;/restock&gt;"</f>
        <v>&lt;restock&gt;0&lt;/restock&gt;</v>
      </c>
      <c r="B3120" t="s">
        <v>2952</v>
      </c>
    </row>
    <row r="3121" spans="1:8" x14ac:dyDescent="0.25">
      <c r="A3121" t="str">
        <f>"&lt;min&gt;" &amp;$G$3117&amp;"&lt;/min&gt;"</f>
        <v>&lt;min&gt;0&lt;/min&gt;</v>
      </c>
      <c r="B3121" t="s">
        <v>2952</v>
      </c>
    </row>
    <row r="3122" spans="1:8" x14ac:dyDescent="0.25">
      <c r="A3122" t="s">
        <v>16</v>
      </c>
      <c r="B3122" t="s">
        <v>2952</v>
      </c>
    </row>
    <row r="3123" spans="1:8" x14ac:dyDescent="0.25">
      <c r="A3123" t="s">
        <v>17</v>
      </c>
      <c r="B3123" t="s">
        <v>2952</v>
      </c>
    </row>
    <row r="3124" spans="1:8" x14ac:dyDescent="0.25">
      <c r="A3124" t="s">
        <v>18</v>
      </c>
      <c r="B3124" t="s">
        <v>2952</v>
      </c>
    </row>
    <row r="3125" spans="1:8" x14ac:dyDescent="0.25">
      <c r="A3125" t="str">
        <f xml:space="preserve"> $H$3117</f>
        <v>&lt;flags count_in_cargo="0" count_in_hoarder="0" count_in_map="1" count_in_player="0" crafted="1" deloot="0"/&gt;</v>
      </c>
      <c r="B3125" t="s">
        <v>2952</v>
      </c>
    </row>
    <row r="3126" spans="1:8" x14ac:dyDescent="0.25">
      <c r="A3126" t="str">
        <f>"&lt;category name=" &amp;"""" &amp;$C$3117&amp;"""/&gt;"</f>
        <v>&lt;category name="food"/&gt;</v>
      </c>
      <c r="B3126" t="s">
        <v>2952</v>
      </c>
    </row>
    <row r="3127" spans="1:8" x14ac:dyDescent="0.25">
      <c r="A3127" t="s">
        <v>22</v>
      </c>
      <c r="B3127" t="s">
        <v>2952</v>
      </c>
    </row>
    <row r="3128" spans="1:8" x14ac:dyDescent="0.25">
      <c r="A3128" t="s">
        <v>1644</v>
      </c>
      <c r="B3128" t="s">
        <v>509</v>
      </c>
      <c r="C3128" t="s">
        <v>426</v>
      </c>
      <c r="D3128">
        <v>50</v>
      </c>
      <c r="E3128">
        <v>2700</v>
      </c>
      <c r="F3128">
        <v>0</v>
      </c>
      <c r="G3128">
        <v>30</v>
      </c>
      <c r="H3128" t="s">
        <v>19</v>
      </c>
    </row>
    <row r="3129" spans="1:8" x14ac:dyDescent="0.25">
      <c r="A3129" t="str">
        <f>"&lt;nominal&gt;" &amp;$D$3128&amp;"&lt;/nominal&gt;"</f>
        <v>&lt;nominal&gt;50&lt;/nominal&gt;</v>
      </c>
      <c r="B3129" t="s">
        <v>509</v>
      </c>
    </row>
    <row r="3130" spans="1:8" x14ac:dyDescent="0.25">
      <c r="A3130" t="str">
        <f>"&lt;lifetime&gt;" &amp;$E$3128&amp;"&lt;/lifetime&gt;"</f>
        <v>&lt;lifetime&gt;2700&lt;/lifetime&gt;</v>
      </c>
      <c r="B3130" t="s">
        <v>509</v>
      </c>
    </row>
    <row r="3131" spans="1:8" x14ac:dyDescent="0.25">
      <c r="A3131" t="str">
        <f>"&lt;restock&gt;" &amp;$F$3128&amp;"&lt;/restock&gt;"</f>
        <v>&lt;restock&gt;0&lt;/restock&gt;</v>
      </c>
      <c r="B3131" t="s">
        <v>509</v>
      </c>
    </row>
    <row r="3132" spans="1:8" x14ac:dyDescent="0.25">
      <c r="A3132" t="str">
        <f>"&lt;min&gt;" &amp;$G$3128&amp;"&lt;/min&gt;"</f>
        <v>&lt;min&gt;30&lt;/min&gt;</v>
      </c>
      <c r="B3132" t="s">
        <v>509</v>
      </c>
    </row>
    <row r="3133" spans="1:8" x14ac:dyDescent="0.25">
      <c r="A3133" t="s">
        <v>16</v>
      </c>
      <c r="B3133" t="s">
        <v>509</v>
      </c>
    </row>
    <row r="3134" spans="1:8" x14ac:dyDescent="0.25">
      <c r="A3134" t="s">
        <v>17</v>
      </c>
      <c r="B3134" t="s">
        <v>509</v>
      </c>
    </row>
    <row r="3135" spans="1:8" x14ac:dyDescent="0.25">
      <c r="A3135" t="s">
        <v>18</v>
      </c>
      <c r="B3135" t="s">
        <v>509</v>
      </c>
    </row>
    <row r="3136" spans="1:8" x14ac:dyDescent="0.25">
      <c r="A3136" t="str">
        <f xml:space="preserve"> $H$3128</f>
        <v>&lt;flags count_in_cargo="0" count_in_hoarder="0" count_in_map="1" count_in_player="0" crafted="0" deloot="0"/&gt;</v>
      </c>
      <c r="B3136" t="s">
        <v>509</v>
      </c>
    </row>
    <row r="3137" spans="1:8" x14ac:dyDescent="0.25">
      <c r="A3137" t="str">
        <f>"&lt;category name=" &amp;"""" &amp;$C$3128&amp;"""/&gt;"</f>
        <v>&lt;category name="tools"/&gt;</v>
      </c>
      <c r="B3137" t="s">
        <v>509</v>
      </c>
    </row>
    <row r="3138" spans="1:8" x14ac:dyDescent="0.25">
      <c r="A3138" t="s">
        <v>20</v>
      </c>
      <c r="B3138" t="s">
        <v>509</v>
      </c>
    </row>
    <row r="3139" spans="1:8" x14ac:dyDescent="0.25">
      <c r="A3139" t="s">
        <v>55</v>
      </c>
      <c r="B3139" t="s">
        <v>509</v>
      </c>
    </row>
    <row r="3140" spans="1:8" x14ac:dyDescent="0.25">
      <c r="A3140" t="s">
        <v>22</v>
      </c>
      <c r="B3140" t="s">
        <v>509</v>
      </c>
    </row>
    <row r="3141" spans="1:8" x14ac:dyDescent="0.25">
      <c r="A3141" t="s">
        <v>1645</v>
      </c>
      <c r="B3141" t="s">
        <v>510</v>
      </c>
      <c r="C3141" t="s">
        <v>399</v>
      </c>
      <c r="D3141">
        <v>10</v>
      </c>
      <c r="E3141">
        <v>7200</v>
      </c>
      <c r="F3141">
        <v>0</v>
      </c>
      <c r="G3141">
        <v>3</v>
      </c>
      <c r="H3141" t="s">
        <v>19</v>
      </c>
    </row>
    <row r="3142" spans="1:8" x14ac:dyDescent="0.25">
      <c r="A3142" t="str">
        <f>"&lt;nominal&gt;" &amp;$D$3141&amp;"&lt;/nominal&gt;"</f>
        <v>&lt;nominal&gt;10&lt;/nominal&gt;</v>
      </c>
      <c r="B3142" t="s">
        <v>510</v>
      </c>
    </row>
    <row r="3143" spans="1:8" x14ac:dyDescent="0.25">
      <c r="A3143" t="str">
        <f>"&lt;lifetime&gt;" &amp;$E$3141&amp;"&lt;/lifetime&gt;"</f>
        <v>&lt;lifetime&gt;7200&lt;/lifetime&gt;</v>
      </c>
      <c r="B3143" t="s">
        <v>510</v>
      </c>
    </row>
    <row r="3144" spans="1:8" x14ac:dyDescent="0.25">
      <c r="A3144" t="str">
        <f>"&lt;restock&gt;" &amp;$F$3141&amp;"&lt;/restock&gt;"</f>
        <v>&lt;restock&gt;0&lt;/restock&gt;</v>
      </c>
      <c r="B3144" t="s">
        <v>510</v>
      </c>
    </row>
    <row r="3145" spans="1:8" x14ac:dyDescent="0.25">
      <c r="A3145" t="str">
        <f>"&lt;min&gt;" &amp;$G$3141&amp;"&lt;/min&gt;"</f>
        <v>&lt;min&gt;3&lt;/min&gt;</v>
      </c>
      <c r="B3145" t="s">
        <v>510</v>
      </c>
    </row>
    <row r="3146" spans="1:8" x14ac:dyDescent="0.25">
      <c r="A3146" t="s">
        <v>1457</v>
      </c>
      <c r="B3146" t="s">
        <v>510</v>
      </c>
    </row>
    <row r="3147" spans="1:8" x14ac:dyDescent="0.25">
      <c r="A3147" t="s">
        <v>46</v>
      </c>
      <c r="B3147" t="s">
        <v>510</v>
      </c>
    </row>
    <row r="3148" spans="1:8" x14ac:dyDescent="0.25">
      <c r="A3148" t="s">
        <v>18</v>
      </c>
      <c r="B3148" t="s">
        <v>510</v>
      </c>
    </row>
    <row r="3149" spans="1:8" x14ac:dyDescent="0.25">
      <c r="A3149" t="str">
        <f xml:space="preserve"> $H$3141</f>
        <v>&lt;flags count_in_cargo="0" count_in_hoarder="0" count_in_map="1" count_in_player="0" crafted="0" deloot="0"/&gt;</v>
      </c>
      <c r="B3149" t="s">
        <v>510</v>
      </c>
    </row>
    <row r="3150" spans="1:8" x14ac:dyDescent="0.25">
      <c r="A3150" t="str">
        <f>"&lt;category name=" &amp;"""" &amp;$C$3141&amp;"""/&gt;"</f>
        <v>&lt;category name="food"/&gt;</v>
      </c>
      <c r="B3150" t="s">
        <v>510</v>
      </c>
    </row>
    <row r="3151" spans="1:8" x14ac:dyDescent="0.25">
      <c r="A3151" t="s">
        <v>29</v>
      </c>
      <c r="B3151" t="s">
        <v>510</v>
      </c>
    </row>
    <row r="3152" spans="1:8" x14ac:dyDescent="0.25">
      <c r="A3152" t="s">
        <v>67</v>
      </c>
      <c r="B3152" t="s">
        <v>510</v>
      </c>
    </row>
    <row r="3153" spans="1:8" x14ac:dyDescent="0.25">
      <c r="A3153" t="s">
        <v>22</v>
      </c>
      <c r="B3153" t="s">
        <v>510</v>
      </c>
    </row>
    <row r="3154" spans="1:8" x14ac:dyDescent="0.25">
      <c r="A3154" t="s">
        <v>1646</v>
      </c>
      <c r="B3154" t="s">
        <v>511</v>
      </c>
      <c r="C3154" t="s">
        <v>403</v>
      </c>
      <c r="D3154">
        <v>25</v>
      </c>
      <c r="E3154">
        <v>2700</v>
      </c>
      <c r="F3154">
        <v>0</v>
      </c>
      <c r="G3154">
        <v>15</v>
      </c>
      <c r="H3154" t="s">
        <v>19</v>
      </c>
    </row>
    <row r="3155" spans="1:8" x14ac:dyDescent="0.25">
      <c r="A3155" t="str">
        <f>"&lt;nominal&gt;" &amp;$D$3154&amp;"&lt;/nominal&gt;"</f>
        <v>&lt;nominal&gt;25&lt;/nominal&gt;</v>
      </c>
      <c r="B3155" t="s">
        <v>511</v>
      </c>
    </row>
    <row r="3156" spans="1:8" x14ac:dyDescent="0.25">
      <c r="A3156" t="str">
        <f>"&lt;lifetime&gt;" &amp;$E$3154&amp;"&lt;/lifetime&gt;"</f>
        <v>&lt;lifetime&gt;2700&lt;/lifetime&gt;</v>
      </c>
      <c r="B3156" t="s">
        <v>511</v>
      </c>
    </row>
    <row r="3157" spans="1:8" x14ac:dyDescent="0.25">
      <c r="A3157" t="str">
        <f>"&lt;restock&gt;" &amp;$F$3154&amp;"&lt;/restock&gt;"</f>
        <v>&lt;restock&gt;0&lt;/restock&gt;</v>
      </c>
      <c r="B3157" t="s">
        <v>511</v>
      </c>
    </row>
    <row r="3158" spans="1:8" x14ac:dyDescent="0.25">
      <c r="A3158" t="str">
        <f>"&lt;min&gt;" &amp;$G$3154&amp;"&lt;/min&gt;"</f>
        <v>&lt;min&gt;15&lt;/min&gt;</v>
      </c>
      <c r="B3158" t="s">
        <v>511</v>
      </c>
    </row>
    <row r="3159" spans="1:8" x14ac:dyDescent="0.25">
      <c r="A3159" t="s">
        <v>16</v>
      </c>
      <c r="B3159" t="s">
        <v>511</v>
      </c>
    </row>
    <row r="3160" spans="1:8" x14ac:dyDescent="0.25">
      <c r="A3160" t="s">
        <v>17</v>
      </c>
      <c r="B3160" t="s">
        <v>511</v>
      </c>
    </row>
    <row r="3161" spans="1:8" x14ac:dyDescent="0.25">
      <c r="A3161" t="s">
        <v>18</v>
      </c>
      <c r="B3161" t="s">
        <v>511</v>
      </c>
    </row>
    <row r="3162" spans="1:8" x14ac:dyDescent="0.25">
      <c r="A3162" t="str">
        <f xml:space="preserve"> $H$3154</f>
        <v>&lt;flags count_in_cargo="0" count_in_hoarder="0" count_in_map="1" count_in_player="0" crafted="0" deloot="0"/&gt;</v>
      </c>
      <c r="B3162" t="s">
        <v>511</v>
      </c>
    </row>
    <row r="3163" spans="1:8" x14ac:dyDescent="0.25">
      <c r="A3163" t="str">
        <f>"&lt;category name=" &amp;"""" &amp;$C$3154&amp;"""/&gt;"</f>
        <v>&lt;category name="clothes"/&gt;</v>
      </c>
      <c r="B3163" t="s">
        <v>511</v>
      </c>
    </row>
    <row r="3164" spans="1:8" x14ac:dyDescent="0.25">
      <c r="A3164" t="s">
        <v>39</v>
      </c>
      <c r="B3164" t="s">
        <v>511</v>
      </c>
    </row>
    <row r="3165" spans="1:8" x14ac:dyDescent="0.25">
      <c r="A3165" t="s">
        <v>40</v>
      </c>
      <c r="B3165" t="s">
        <v>511</v>
      </c>
    </row>
    <row r="3166" spans="1:8" x14ac:dyDescent="0.25">
      <c r="A3166" t="s">
        <v>22</v>
      </c>
      <c r="B3166" t="s">
        <v>511</v>
      </c>
    </row>
    <row r="3167" spans="1:8" x14ac:dyDescent="0.25">
      <c r="A3167" t="s">
        <v>1647</v>
      </c>
      <c r="B3167" t="s">
        <v>512</v>
      </c>
      <c r="C3167" t="s">
        <v>403</v>
      </c>
      <c r="D3167">
        <v>25</v>
      </c>
      <c r="E3167">
        <v>2700</v>
      </c>
      <c r="F3167">
        <v>0</v>
      </c>
      <c r="G3167">
        <v>15</v>
      </c>
      <c r="H3167" t="s">
        <v>19</v>
      </c>
    </row>
    <row r="3168" spans="1:8" x14ac:dyDescent="0.25">
      <c r="A3168" t="str">
        <f>"&lt;nominal&gt;" &amp;$D$3167&amp;"&lt;/nominal&gt;"</f>
        <v>&lt;nominal&gt;25&lt;/nominal&gt;</v>
      </c>
      <c r="B3168" t="s">
        <v>512</v>
      </c>
    </row>
    <row r="3169" spans="1:8" x14ac:dyDescent="0.25">
      <c r="A3169" t="str">
        <f>"&lt;lifetime&gt;" &amp;$E$3167&amp;"&lt;/lifetime&gt;"</f>
        <v>&lt;lifetime&gt;2700&lt;/lifetime&gt;</v>
      </c>
      <c r="B3169" t="s">
        <v>512</v>
      </c>
    </row>
    <row r="3170" spans="1:8" x14ac:dyDescent="0.25">
      <c r="A3170" t="str">
        <f>"&lt;restock&gt;" &amp;$F$3167&amp;"&lt;/restock&gt;"</f>
        <v>&lt;restock&gt;0&lt;/restock&gt;</v>
      </c>
      <c r="B3170" t="s">
        <v>512</v>
      </c>
    </row>
    <row r="3171" spans="1:8" x14ac:dyDescent="0.25">
      <c r="A3171" t="str">
        <f>"&lt;min&gt;" &amp;$G$3167&amp;"&lt;/min&gt;"</f>
        <v>&lt;min&gt;15&lt;/min&gt;</v>
      </c>
      <c r="B3171" t="s">
        <v>512</v>
      </c>
    </row>
    <row r="3172" spans="1:8" x14ac:dyDescent="0.25">
      <c r="A3172" t="s">
        <v>16</v>
      </c>
      <c r="B3172" t="s">
        <v>512</v>
      </c>
    </row>
    <row r="3173" spans="1:8" x14ac:dyDescent="0.25">
      <c r="A3173" t="s">
        <v>17</v>
      </c>
      <c r="B3173" t="s">
        <v>512</v>
      </c>
    </row>
    <row r="3174" spans="1:8" x14ac:dyDescent="0.25">
      <c r="A3174" t="s">
        <v>18</v>
      </c>
      <c r="B3174" t="s">
        <v>512</v>
      </c>
    </row>
    <row r="3175" spans="1:8" x14ac:dyDescent="0.25">
      <c r="A3175" t="str">
        <f xml:space="preserve"> $H$3167</f>
        <v>&lt;flags count_in_cargo="0" count_in_hoarder="0" count_in_map="1" count_in_player="0" crafted="0" deloot="0"/&gt;</v>
      </c>
      <c r="B3175" t="s">
        <v>512</v>
      </c>
    </row>
    <row r="3176" spans="1:8" x14ac:dyDescent="0.25">
      <c r="A3176" t="str">
        <f>"&lt;category name=" &amp;"""" &amp;$C$3167&amp;"""/&gt;"</f>
        <v>&lt;category name="clothes"/&gt;</v>
      </c>
      <c r="B3176" t="s">
        <v>512</v>
      </c>
    </row>
    <row r="3177" spans="1:8" x14ac:dyDescent="0.25">
      <c r="A3177" t="s">
        <v>39</v>
      </c>
      <c r="B3177" t="s">
        <v>512</v>
      </c>
    </row>
    <row r="3178" spans="1:8" x14ac:dyDescent="0.25">
      <c r="A3178" t="s">
        <v>40</v>
      </c>
      <c r="B3178" t="s">
        <v>512</v>
      </c>
    </row>
    <row r="3179" spans="1:8" x14ac:dyDescent="0.25">
      <c r="A3179" t="s">
        <v>22</v>
      </c>
      <c r="B3179" t="s">
        <v>512</v>
      </c>
    </row>
    <row r="3180" spans="1:8" x14ac:dyDescent="0.25">
      <c r="A3180" t="s">
        <v>1648</v>
      </c>
      <c r="B3180" t="s">
        <v>513</v>
      </c>
      <c r="C3180" t="s">
        <v>403</v>
      </c>
      <c r="D3180">
        <v>25</v>
      </c>
      <c r="E3180">
        <v>2700</v>
      </c>
      <c r="F3180">
        <v>0</v>
      </c>
      <c r="G3180">
        <v>15</v>
      </c>
      <c r="H3180" t="s">
        <v>19</v>
      </c>
    </row>
    <row r="3181" spans="1:8" x14ac:dyDescent="0.25">
      <c r="A3181" t="str">
        <f>"&lt;nominal&gt;" &amp;$D$3180&amp;"&lt;/nominal&gt;"</f>
        <v>&lt;nominal&gt;25&lt;/nominal&gt;</v>
      </c>
      <c r="B3181" t="s">
        <v>513</v>
      </c>
    </row>
    <row r="3182" spans="1:8" x14ac:dyDescent="0.25">
      <c r="A3182" t="str">
        <f>"&lt;lifetime&gt;" &amp;$E$3180&amp;"&lt;/lifetime&gt;"</f>
        <v>&lt;lifetime&gt;2700&lt;/lifetime&gt;</v>
      </c>
      <c r="B3182" t="s">
        <v>513</v>
      </c>
    </row>
    <row r="3183" spans="1:8" x14ac:dyDescent="0.25">
      <c r="A3183" t="str">
        <f>"&lt;restock&gt;" &amp;$F$3180&amp;"&lt;/restock&gt;"</f>
        <v>&lt;restock&gt;0&lt;/restock&gt;</v>
      </c>
      <c r="B3183" t="s">
        <v>513</v>
      </c>
    </row>
    <row r="3184" spans="1:8" x14ac:dyDescent="0.25">
      <c r="A3184" t="str">
        <f>"&lt;min&gt;" &amp;$G$3180&amp;"&lt;/min&gt;"</f>
        <v>&lt;min&gt;15&lt;/min&gt;</v>
      </c>
      <c r="B3184" t="s">
        <v>513</v>
      </c>
    </row>
    <row r="3185" spans="1:8" x14ac:dyDescent="0.25">
      <c r="A3185" t="s">
        <v>16</v>
      </c>
      <c r="B3185" t="s">
        <v>513</v>
      </c>
    </row>
    <row r="3186" spans="1:8" x14ac:dyDescent="0.25">
      <c r="A3186" t="s">
        <v>17</v>
      </c>
      <c r="B3186" t="s">
        <v>513</v>
      </c>
    </row>
    <row r="3187" spans="1:8" x14ac:dyDescent="0.25">
      <c r="A3187" t="s">
        <v>18</v>
      </c>
      <c r="B3187" t="s">
        <v>513</v>
      </c>
    </row>
    <row r="3188" spans="1:8" x14ac:dyDescent="0.25">
      <c r="A3188" t="str">
        <f xml:space="preserve"> $H$3180</f>
        <v>&lt;flags count_in_cargo="0" count_in_hoarder="0" count_in_map="1" count_in_player="0" crafted="0" deloot="0"/&gt;</v>
      </c>
      <c r="B3188" t="s">
        <v>513</v>
      </c>
    </row>
    <row r="3189" spans="1:8" x14ac:dyDescent="0.25">
      <c r="A3189" t="str">
        <f>"&lt;category name=" &amp;"""" &amp;$C$3180&amp;"""/&gt;"</f>
        <v>&lt;category name="clothes"/&gt;</v>
      </c>
      <c r="B3189" t="s">
        <v>513</v>
      </c>
    </row>
    <row r="3190" spans="1:8" x14ac:dyDescent="0.25">
      <c r="A3190" t="s">
        <v>39</v>
      </c>
      <c r="B3190" t="s">
        <v>513</v>
      </c>
    </row>
    <row r="3191" spans="1:8" x14ac:dyDescent="0.25">
      <c r="A3191" t="s">
        <v>40</v>
      </c>
      <c r="B3191" t="s">
        <v>513</v>
      </c>
    </row>
    <row r="3192" spans="1:8" x14ac:dyDescent="0.25">
      <c r="A3192" t="s">
        <v>22</v>
      </c>
      <c r="B3192" t="s">
        <v>513</v>
      </c>
    </row>
    <row r="3193" spans="1:8" x14ac:dyDescent="0.25">
      <c r="A3193" t="s">
        <v>1649</v>
      </c>
      <c r="B3193" t="s">
        <v>514</v>
      </c>
      <c r="C3193" t="s">
        <v>403</v>
      </c>
      <c r="D3193">
        <v>25</v>
      </c>
      <c r="E3193">
        <v>2700</v>
      </c>
      <c r="F3193">
        <v>0</v>
      </c>
      <c r="G3193">
        <v>15</v>
      </c>
      <c r="H3193" t="s">
        <v>19</v>
      </c>
    </row>
    <row r="3194" spans="1:8" x14ac:dyDescent="0.25">
      <c r="A3194" t="str">
        <f>"&lt;nominal&gt;" &amp;$D$3193&amp;"&lt;/nominal&gt;"</f>
        <v>&lt;nominal&gt;25&lt;/nominal&gt;</v>
      </c>
      <c r="B3194" t="s">
        <v>514</v>
      </c>
    </row>
    <row r="3195" spans="1:8" x14ac:dyDescent="0.25">
      <c r="A3195" t="str">
        <f>"&lt;lifetime&gt;" &amp;$E$3193&amp;"&lt;/lifetime&gt;"</f>
        <v>&lt;lifetime&gt;2700&lt;/lifetime&gt;</v>
      </c>
      <c r="B3195" t="s">
        <v>514</v>
      </c>
    </row>
    <row r="3196" spans="1:8" x14ac:dyDescent="0.25">
      <c r="A3196" t="str">
        <f>"&lt;restock&gt;" &amp;$F$3193&amp;"&lt;/restock&gt;"</f>
        <v>&lt;restock&gt;0&lt;/restock&gt;</v>
      </c>
      <c r="B3196" t="s">
        <v>514</v>
      </c>
    </row>
    <row r="3197" spans="1:8" x14ac:dyDescent="0.25">
      <c r="A3197" t="str">
        <f>"&lt;min&gt;" &amp;$G$3193&amp;"&lt;/min&gt;"</f>
        <v>&lt;min&gt;15&lt;/min&gt;</v>
      </c>
      <c r="B3197" t="s">
        <v>514</v>
      </c>
    </row>
    <row r="3198" spans="1:8" x14ac:dyDescent="0.25">
      <c r="A3198" t="s">
        <v>16</v>
      </c>
      <c r="B3198" t="s">
        <v>514</v>
      </c>
    </row>
    <row r="3199" spans="1:8" x14ac:dyDescent="0.25">
      <c r="A3199" t="s">
        <v>17</v>
      </c>
      <c r="B3199" t="s">
        <v>514</v>
      </c>
    </row>
    <row r="3200" spans="1:8" x14ac:dyDescent="0.25">
      <c r="A3200" t="s">
        <v>18</v>
      </c>
      <c r="B3200" t="s">
        <v>514</v>
      </c>
    </row>
    <row r="3201" spans="1:8" x14ac:dyDescent="0.25">
      <c r="A3201" t="str">
        <f xml:space="preserve"> $H$3193</f>
        <v>&lt;flags count_in_cargo="0" count_in_hoarder="0" count_in_map="1" count_in_player="0" crafted="0" deloot="0"/&gt;</v>
      </c>
      <c r="B3201" t="s">
        <v>514</v>
      </c>
    </row>
    <row r="3202" spans="1:8" x14ac:dyDescent="0.25">
      <c r="A3202" t="str">
        <f>"&lt;category name=" &amp;"""" &amp;$C$3193&amp;"""/&gt;"</f>
        <v>&lt;category name="clothes"/&gt;</v>
      </c>
      <c r="B3202" t="s">
        <v>514</v>
      </c>
    </row>
    <row r="3203" spans="1:8" x14ac:dyDescent="0.25">
      <c r="A3203" t="s">
        <v>39</v>
      </c>
      <c r="B3203" t="s">
        <v>514</v>
      </c>
    </row>
    <row r="3204" spans="1:8" x14ac:dyDescent="0.25">
      <c r="A3204" t="s">
        <v>40</v>
      </c>
      <c r="B3204" t="s">
        <v>514</v>
      </c>
    </row>
    <row r="3205" spans="1:8" x14ac:dyDescent="0.25">
      <c r="A3205" t="s">
        <v>22</v>
      </c>
      <c r="B3205" t="s">
        <v>514</v>
      </c>
    </row>
    <row r="3206" spans="1:8" x14ac:dyDescent="0.25">
      <c r="A3206" t="s">
        <v>1650</v>
      </c>
      <c r="B3206" t="s">
        <v>515</v>
      </c>
      <c r="C3206" t="s">
        <v>403</v>
      </c>
      <c r="D3206">
        <v>25</v>
      </c>
      <c r="E3206">
        <v>2700</v>
      </c>
      <c r="F3206">
        <v>0</v>
      </c>
      <c r="G3206">
        <v>15</v>
      </c>
      <c r="H3206" t="s">
        <v>19</v>
      </c>
    </row>
    <row r="3207" spans="1:8" x14ac:dyDescent="0.25">
      <c r="A3207" t="str">
        <f>"&lt;nominal&gt;" &amp;$D$3206&amp;"&lt;/nominal&gt;"</f>
        <v>&lt;nominal&gt;25&lt;/nominal&gt;</v>
      </c>
      <c r="B3207" t="s">
        <v>515</v>
      </c>
    </row>
    <row r="3208" spans="1:8" x14ac:dyDescent="0.25">
      <c r="A3208" t="str">
        <f>"&lt;lifetime&gt;" &amp;$E$3206&amp;"&lt;/lifetime&gt;"</f>
        <v>&lt;lifetime&gt;2700&lt;/lifetime&gt;</v>
      </c>
      <c r="B3208" t="s">
        <v>515</v>
      </c>
    </row>
    <row r="3209" spans="1:8" x14ac:dyDescent="0.25">
      <c r="A3209" t="str">
        <f>"&lt;restock&gt;" &amp;$F$3206&amp;"&lt;/restock&gt;"</f>
        <v>&lt;restock&gt;0&lt;/restock&gt;</v>
      </c>
      <c r="B3209" t="s">
        <v>515</v>
      </c>
    </row>
    <row r="3210" spans="1:8" x14ac:dyDescent="0.25">
      <c r="A3210" t="str">
        <f>"&lt;min&gt;" &amp;$G$3206&amp;"&lt;/min&gt;"</f>
        <v>&lt;min&gt;15&lt;/min&gt;</v>
      </c>
      <c r="B3210" t="s">
        <v>515</v>
      </c>
    </row>
    <row r="3211" spans="1:8" x14ac:dyDescent="0.25">
      <c r="A3211" t="s">
        <v>16</v>
      </c>
      <c r="B3211" t="s">
        <v>515</v>
      </c>
    </row>
    <row r="3212" spans="1:8" x14ac:dyDescent="0.25">
      <c r="A3212" t="s">
        <v>17</v>
      </c>
      <c r="B3212" t="s">
        <v>515</v>
      </c>
    </row>
    <row r="3213" spans="1:8" x14ac:dyDescent="0.25">
      <c r="A3213" t="s">
        <v>18</v>
      </c>
      <c r="B3213" t="s">
        <v>515</v>
      </c>
    </row>
    <row r="3214" spans="1:8" x14ac:dyDescent="0.25">
      <c r="A3214" t="str">
        <f xml:space="preserve"> $H$3206</f>
        <v>&lt;flags count_in_cargo="0" count_in_hoarder="0" count_in_map="1" count_in_player="0" crafted="0" deloot="0"/&gt;</v>
      </c>
      <c r="B3214" t="s">
        <v>515</v>
      </c>
    </row>
    <row r="3215" spans="1:8" x14ac:dyDescent="0.25">
      <c r="A3215" t="str">
        <f>"&lt;category name=" &amp;"""" &amp;$C$3206&amp;"""/&gt;"</f>
        <v>&lt;category name="clothes"/&gt;</v>
      </c>
      <c r="B3215" t="s">
        <v>515</v>
      </c>
    </row>
    <row r="3216" spans="1:8" x14ac:dyDescent="0.25">
      <c r="A3216" t="s">
        <v>39</v>
      </c>
      <c r="B3216" t="s">
        <v>515</v>
      </c>
    </row>
    <row r="3217" spans="1:8" x14ac:dyDescent="0.25">
      <c r="A3217" t="s">
        <v>40</v>
      </c>
      <c r="B3217" t="s">
        <v>515</v>
      </c>
    </row>
    <row r="3218" spans="1:8" x14ac:dyDescent="0.25">
      <c r="A3218" t="s">
        <v>22</v>
      </c>
      <c r="B3218" t="s">
        <v>515</v>
      </c>
    </row>
    <row r="3219" spans="1:8" x14ac:dyDescent="0.25">
      <c r="A3219" t="s">
        <v>1651</v>
      </c>
      <c r="B3219" t="s">
        <v>516</v>
      </c>
      <c r="C3219" t="s">
        <v>403</v>
      </c>
      <c r="D3219">
        <v>25</v>
      </c>
      <c r="E3219">
        <v>5600</v>
      </c>
      <c r="F3219">
        <v>0</v>
      </c>
      <c r="G3219">
        <v>15</v>
      </c>
      <c r="H3219" t="s">
        <v>19</v>
      </c>
    </row>
    <row r="3220" spans="1:8" x14ac:dyDescent="0.25">
      <c r="A3220" t="str">
        <f>"&lt;nominal&gt;" &amp;$D$3219&amp;"&lt;/nominal&gt;"</f>
        <v>&lt;nominal&gt;25&lt;/nominal&gt;</v>
      </c>
      <c r="B3220" t="s">
        <v>516</v>
      </c>
    </row>
    <row r="3221" spans="1:8" x14ac:dyDescent="0.25">
      <c r="A3221" t="str">
        <f>"&lt;lifetime&gt;" &amp;$E$3219&amp;"&lt;/lifetime&gt;"</f>
        <v>&lt;lifetime&gt;5600&lt;/lifetime&gt;</v>
      </c>
      <c r="B3221" t="s">
        <v>516</v>
      </c>
    </row>
    <row r="3222" spans="1:8" x14ac:dyDescent="0.25">
      <c r="A3222" t="str">
        <f>"&lt;restock&gt;" &amp;$F$3219&amp;"&lt;/restock&gt;"</f>
        <v>&lt;restock&gt;0&lt;/restock&gt;</v>
      </c>
      <c r="B3222" t="s">
        <v>516</v>
      </c>
    </row>
    <row r="3223" spans="1:8" x14ac:dyDescent="0.25">
      <c r="A3223" t="str">
        <f>"&lt;min&gt;" &amp;$G$3219&amp;"&lt;/min&gt;"</f>
        <v>&lt;min&gt;15&lt;/min&gt;</v>
      </c>
      <c r="B3223" t="s">
        <v>516</v>
      </c>
    </row>
    <row r="3224" spans="1:8" x14ac:dyDescent="0.25">
      <c r="A3224" t="s">
        <v>16</v>
      </c>
      <c r="B3224" t="s">
        <v>516</v>
      </c>
    </row>
    <row r="3225" spans="1:8" x14ac:dyDescent="0.25">
      <c r="A3225" t="s">
        <v>17</v>
      </c>
      <c r="B3225" t="s">
        <v>516</v>
      </c>
    </row>
    <row r="3226" spans="1:8" x14ac:dyDescent="0.25">
      <c r="A3226" t="s">
        <v>18</v>
      </c>
      <c r="B3226" t="s">
        <v>516</v>
      </c>
    </row>
    <row r="3227" spans="1:8" x14ac:dyDescent="0.25">
      <c r="A3227" t="str">
        <f xml:space="preserve"> $H$3219</f>
        <v>&lt;flags count_in_cargo="0" count_in_hoarder="0" count_in_map="1" count_in_player="0" crafted="0" deloot="0"/&gt;</v>
      </c>
      <c r="B3227" t="s">
        <v>516</v>
      </c>
    </row>
    <row r="3228" spans="1:8" x14ac:dyDescent="0.25">
      <c r="A3228" t="str">
        <f>"&lt;category name=" &amp;"""" &amp;$C$3219&amp;"""/&gt;"</f>
        <v>&lt;category name="clothes"/&gt;</v>
      </c>
      <c r="B3228" t="s">
        <v>516</v>
      </c>
    </row>
    <row r="3229" spans="1:8" x14ac:dyDescent="0.25">
      <c r="A3229" t="s">
        <v>40</v>
      </c>
      <c r="B3229" t="s">
        <v>516</v>
      </c>
    </row>
    <row r="3230" spans="1:8" x14ac:dyDescent="0.25">
      <c r="A3230" t="s">
        <v>22</v>
      </c>
      <c r="B3230" t="s">
        <v>516</v>
      </c>
    </row>
    <row r="3231" spans="1:8" x14ac:dyDescent="0.25">
      <c r="A3231" t="s">
        <v>1652</v>
      </c>
      <c r="B3231" t="s">
        <v>517</v>
      </c>
      <c r="C3231" t="s">
        <v>403</v>
      </c>
      <c r="D3231">
        <v>25</v>
      </c>
      <c r="E3231">
        <v>5600</v>
      </c>
      <c r="F3231">
        <v>0</v>
      </c>
      <c r="G3231">
        <v>15</v>
      </c>
      <c r="H3231" t="s">
        <v>19</v>
      </c>
    </row>
    <row r="3232" spans="1:8" x14ac:dyDescent="0.25">
      <c r="A3232" t="str">
        <f>"&lt;nominal&gt;" &amp;$D$3231&amp;"&lt;/nominal&gt;"</f>
        <v>&lt;nominal&gt;25&lt;/nominal&gt;</v>
      </c>
      <c r="B3232" t="s">
        <v>517</v>
      </c>
    </row>
    <row r="3233" spans="1:8" x14ac:dyDescent="0.25">
      <c r="A3233" t="str">
        <f>"&lt;lifetime&gt;" &amp;$E$3231&amp;"&lt;/lifetime&gt;"</f>
        <v>&lt;lifetime&gt;5600&lt;/lifetime&gt;</v>
      </c>
      <c r="B3233" t="s">
        <v>517</v>
      </c>
    </row>
    <row r="3234" spans="1:8" x14ac:dyDescent="0.25">
      <c r="A3234" t="str">
        <f>"&lt;restock&gt;" &amp;$F$3231&amp;"&lt;/restock&gt;"</f>
        <v>&lt;restock&gt;0&lt;/restock&gt;</v>
      </c>
      <c r="B3234" t="s">
        <v>517</v>
      </c>
    </row>
    <row r="3235" spans="1:8" x14ac:dyDescent="0.25">
      <c r="A3235" t="str">
        <f>"&lt;min&gt;" &amp;$G$3231&amp;"&lt;/min&gt;"</f>
        <v>&lt;min&gt;15&lt;/min&gt;</v>
      </c>
      <c r="B3235" t="s">
        <v>517</v>
      </c>
    </row>
    <row r="3236" spans="1:8" x14ac:dyDescent="0.25">
      <c r="A3236" t="s">
        <v>16</v>
      </c>
      <c r="B3236" t="s">
        <v>517</v>
      </c>
    </row>
    <row r="3237" spans="1:8" x14ac:dyDescent="0.25">
      <c r="A3237" t="s">
        <v>17</v>
      </c>
      <c r="B3237" t="s">
        <v>517</v>
      </c>
    </row>
    <row r="3238" spans="1:8" x14ac:dyDescent="0.25">
      <c r="A3238" t="s">
        <v>18</v>
      </c>
      <c r="B3238" t="s">
        <v>517</v>
      </c>
    </row>
    <row r="3239" spans="1:8" x14ac:dyDescent="0.25">
      <c r="A3239" t="str">
        <f xml:space="preserve"> $H$3231</f>
        <v>&lt;flags count_in_cargo="0" count_in_hoarder="0" count_in_map="1" count_in_player="0" crafted="0" deloot="0"/&gt;</v>
      </c>
      <c r="B3239" t="s">
        <v>517</v>
      </c>
    </row>
    <row r="3240" spans="1:8" x14ac:dyDescent="0.25">
      <c r="A3240" t="str">
        <f>"&lt;category name=" &amp;"""" &amp;$C$3231&amp;"""/&gt;"</f>
        <v>&lt;category name="clothes"/&gt;</v>
      </c>
      <c r="B3240" t="s">
        <v>517</v>
      </c>
    </row>
    <row r="3241" spans="1:8" x14ac:dyDescent="0.25">
      <c r="A3241" t="s">
        <v>40</v>
      </c>
      <c r="B3241" t="s">
        <v>517</v>
      </c>
    </row>
    <row r="3242" spans="1:8" x14ac:dyDescent="0.25">
      <c r="A3242" t="s">
        <v>22</v>
      </c>
      <c r="B3242" t="s">
        <v>517</v>
      </c>
    </row>
    <row r="3243" spans="1:8" x14ac:dyDescent="0.25">
      <c r="A3243" t="s">
        <v>1653</v>
      </c>
      <c r="B3243" t="s">
        <v>518</v>
      </c>
      <c r="C3243" t="s">
        <v>403</v>
      </c>
      <c r="D3243">
        <v>25</v>
      </c>
      <c r="E3243">
        <v>5600</v>
      </c>
      <c r="F3243">
        <v>0</v>
      </c>
      <c r="G3243">
        <v>15</v>
      </c>
      <c r="H3243" t="s">
        <v>19</v>
      </c>
    </row>
    <row r="3244" spans="1:8" x14ac:dyDescent="0.25">
      <c r="A3244" t="str">
        <f>"&lt;nominal&gt;" &amp;$D$3243&amp;"&lt;/nominal&gt;"</f>
        <v>&lt;nominal&gt;25&lt;/nominal&gt;</v>
      </c>
      <c r="B3244" t="s">
        <v>518</v>
      </c>
    </row>
    <row r="3245" spans="1:8" x14ac:dyDescent="0.25">
      <c r="A3245" t="str">
        <f>"&lt;lifetime&gt;" &amp;$E$3243&amp;"&lt;/lifetime&gt;"</f>
        <v>&lt;lifetime&gt;5600&lt;/lifetime&gt;</v>
      </c>
      <c r="B3245" t="s">
        <v>518</v>
      </c>
    </row>
    <row r="3246" spans="1:8" x14ac:dyDescent="0.25">
      <c r="A3246" t="str">
        <f>"&lt;restock&gt;" &amp;$F$3243&amp;"&lt;/restock&gt;"</f>
        <v>&lt;restock&gt;0&lt;/restock&gt;</v>
      </c>
      <c r="B3246" t="s">
        <v>518</v>
      </c>
    </row>
    <row r="3247" spans="1:8" x14ac:dyDescent="0.25">
      <c r="A3247" t="str">
        <f>"&lt;min&gt;" &amp;$G$3243&amp;"&lt;/min&gt;"</f>
        <v>&lt;min&gt;15&lt;/min&gt;</v>
      </c>
      <c r="B3247" t="s">
        <v>518</v>
      </c>
    </row>
    <row r="3248" spans="1:8" x14ac:dyDescent="0.25">
      <c r="A3248" t="s">
        <v>16</v>
      </c>
      <c r="B3248" t="s">
        <v>518</v>
      </c>
    </row>
    <row r="3249" spans="1:8" x14ac:dyDescent="0.25">
      <c r="A3249" t="s">
        <v>17</v>
      </c>
      <c r="B3249" t="s">
        <v>518</v>
      </c>
    </row>
    <row r="3250" spans="1:8" x14ac:dyDescent="0.25">
      <c r="A3250" t="s">
        <v>18</v>
      </c>
      <c r="B3250" t="s">
        <v>518</v>
      </c>
    </row>
    <row r="3251" spans="1:8" x14ac:dyDescent="0.25">
      <c r="A3251" t="str">
        <f xml:space="preserve"> $H$3243</f>
        <v>&lt;flags count_in_cargo="0" count_in_hoarder="0" count_in_map="1" count_in_player="0" crafted="0" deloot="0"/&gt;</v>
      </c>
      <c r="B3251" t="s">
        <v>518</v>
      </c>
    </row>
    <row r="3252" spans="1:8" x14ac:dyDescent="0.25">
      <c r="A3252" t="str">
        <f>"&lt;category name=" &amp;"""" &amp;$C$3243&amp;"""/&gt;"</f>
        <v>&lt;category name="clothes"/&gt;</v>
      </c>
      <c r="B3252" t="s">
        <v>518</v>
      </c>
    </row>
    <row r="3253" spans="1:8" x14ac:dyDescent="0.25">
      <c r="A3253" t="s">
        <v>40</v>
      </c>
      <c r="B3253" t="s">
        <v>518</v>
      </c>
    </row>
    <row r="3254" spans="1:8" x14ac:dyDescent="0.25">
      <c r="A3254" t="s">
        <v>22</v>
      </c>
      <c r="B3254" t="s">
        <v>518</v>
      </c>
    </row>
    <row r="3255" spans="1:8" x14ac:dyDescent="0.25">
      <c r="A3255" t="s">
        <v>1654</v>
      </c>
      <c r="B3255" t="s">
        <v>519</v>
      </c>
      <c r="C3255" t="s">
        <v>403</v>
      </c>
      <c r="D3255">
        <v>25</v>
      </c>
      <c r="E3255">
        <v>5600</v>
      </c>
      <c r="F3255">
        <v>0</v>
      </c>
      <c r="G3255">
        <v>15</v>
      </c>
      <c r="H3255" t="s">
        <v>19</v>
      </c>
    </row>
    <row r="3256" spans="1:8" x14ac:dyDescent="0.25">
      <c r="A3256" t="str">
        <f>"&lt;nominal&gt;" &amp;$D$3255&amp;"&lt;/nominal&gt;"</f>
        <v>&lt;nominal&gt;25&lt;/nominal&gt;</v>
      </c>
      <c r="B3256" t="s">
        <v>519</v>
      </c>
    </row>
    <row r="3257" spans="1:8" x14ac:dyDescent="0.25">
      <c r="A3257" t="str">
        <f>"&lt;lifetime&gt;" &amp;$E$3255&amp;"&lt;/lifetime&gt;"</f>
        <v>&lt;lifetime&gt;5600&lt;/lifetime&gt;</v>
      </c>
      <c r="B3257" t="s">
        <v>519</v>
      </c>
    </row>
    <row r="3258" spans="1:8" x14ac:dyDescent="0.25">
      <c r="A3258" t="str">
        <f>"&lt;restock&gt;" &amp;$F$3255&amp;"&lt;/restock&gt;"</f>
        <v>&lt;restock&gt;0&lt;/restock&gt;</v>
      </c>
      <c r="B3258" t="s">
        <v>519</v>
      </c>
    </row>
    <row r="3259" spans="1:8" x14ac:dyDescent="0.25">
      <c r="A3259" t="str">
        <f>"&lt;min&gt;" &amp;$G$3255&amp;"&lt;/min&gt;"</f>
        <v>&lt;min&gt;15&lt;/min&gt;</v>
      </c>
      <c r="B3259" t="s">
        <v>519</v>
      </c>
    </row>
    <row r="3260" spans="1:8" x14ac:dyDescent="0.25">
      <c r="A3260" t="s">
        <v>16</v>
      </c>
      <c r="B3260" t="s">
        <v>519</v>
      </c>
    </row>
    <row r="3261" spans="1:8" x14ac:dyDescent="0.25">
      <c r="A3261" t="s">
        <v>17</v>
      </c>
      <c r="B3261" t="s">
        <v>519</v>
      </c>
    </row>
    <row r="3262" spans="1:8" x14ac:dyDescent="0.25">
      <c r="A3262" t="s">
        <v>18</v>
      </c>
      <c r="B3262" t="s">
        <v>519</v>
      </c>
    </row>
    <row r="3263" spans="1:8" x14ac:dyDescent="0.25">
      <c r="A3263" t="str">
        <f xml:space="preserve"> $H$3255</f>
        <v>&lt;flags count_in_cargo="0" count_in_hoarder="0" count_in_map="1" count_in_player="0" crafted="0" deloot="0"/&gt;</v>
      </c>
      <c r="B3263" t="s">
        <v>519</v>
      </c>
    </row>
    <row r="3264" spans="1:8" x14ac:dyDescent="0.25">
      <c r="A3264" t="str">
        <f>"&lt;category name=" &amp;"""" &amp;$C$3255&amp;"""/&gt;"</f>
        <v>&lt;category name="clothes"/&gt;</v>
      </c>
      <c r="B3264" t="s">
        <v>519</v>
      </c>
    </row>
    <row r="3265" spans="1:8" x14ac:dyDescent="0.25">
      <c r="A3265" t="s">
        <v>40</v>
      </c>
      <c r="B3265" t="s">
        <v>519</v>
      </c>
    </row>
    <row r="3266" spans="1:8" x14ac:dyDescent="0.25">
      <c r="A3266" t="s">
        <v>22</v>
      </c>
      <c r="B3266" t="s">
        <v>519</v>
      </c>
    </row>
    <row r="3267" spans="1:8" x14ac:dyDescent="0.25">
      <c r="A3267" t="s">
        <v>1655</v>
      </c>
      <c r="B3267" t="s">
        <v>520</v>
      </c>
      <c r="C3267" t="s">
        <v>403</v>
      </c>
      <c r="D3267">
        <v>25</v>
      </c>
      <c r="E3267">
        <v>5600</v>
      </c>
      <c r="F3267">
        <v>0</v>
      </c>
      <c r="G3267">
        <v>15</v>
      </c>
      <c r="H3267" t="s">
        <v>19</v>
      </c>
    </row>
    <row r="3268" spans="1:8" x14ac:dyDescent="0.25">
      <c r="A3268" t="str">
        <f>"&lt;nominal&gt;" &amp;$D$3267&amp;"&lt;/nominal&gt;"</f>
        <v>&lt;nominal&gt;25&lt;/nominal&gt;</v>
      </c>
      <c r="B3268" t="s">
        <v>520</v>
      </c>
    </row>
    <row r="3269" spans="1:8" x14ac:dyDescent="0.25">
      <c r="A3269" t="str">
        <f>"&lt;lifetime&gt;" &amp;$E$3267&amp;"&lt;/lifetime&gt;"</f>
        <v>&lt;lifetime&gt;5600&lt;/lifetime&gt;</v>
      </c>
      <c r="B3269" t="s">
        <v>520</v>
      </c>
    </row>
    <row r="3270" spans="1:8" x14ac:dyDescent="0.25">
      <c r="A3270" t="str">
        <f>"&lt;restock&gt;" &amp;$F$3267&amp;"&lt;/restock&gt;"</f>
        <v>&lt;restock&gt;0&lt;/restock&gt;</v>
      </c>
      <c r="B3270" t="s">
        <v>520</v>
      </c>
    </row>
    <row r="3271" spans="1:8" x14ac:dyDescent="0.25">
      <c r="A3271" t="str">
        <f>"&lt;min&gt;" &amp;$G$3267&amp;"&lt;/min&gt;"</f>
        <v>&lt;min&gt;15&lt;/min&gt;</v>
      </c>
      <c r="B3271" t="s">
        <v>520</v>
      </c>
    </row>
    <row r="3272" spans="1:8" x14ac:dyDescent="0.25">
      <c r="A3272" t="s">
        <v>16</v>
      </c>
      <c r="B3272" t="s">
        <v>520</v>
      </c>
    </row>
    <row r="3273" spans="1:8" x14ac:dyDescent="0.25">
      <c r="A3273" t="s">
        <v>17</v>
      </c>
      <c r="B3273" t="s">
        <v>520</v>
      </c>
    </row>
    <row r="3274" spans="1:8" x14ac:dyDescent="0.25">
      <c r="A3274" t="s">
        <v>18</v>
      </c>
      <c r="B3274" t="s">
        <v>520</v>
      </c>
    </row>
    <row r="3275" spans="1:8" x14ac:dyDescent="0.25">
      <c r="A3275" t="str">
        <f xml:space="preserve"> $H$3267</f>
        <v>&lt;flags count_in_cargo="0" count_in_hoarder="0" count_in_map="1" count_in_player="0" crafted="0" deloot="0"/&gt;</v>
      </c>
      <c r="B3275" t="s">
        <v>520</v>
      </c>
    </row>
    <row r="3276" spans="1:8" x14ac:dyDescent="0.25">
      <c r="A3276" t="str">
        <f>"&lt;category name=" &amp;"""" &amp;$C$3267&amp;"""/&gt;"</f>
        <v>&lt;category name="clothes"/&gt;</v>
      </c>
      <c r="B3276" t="s">
        <v>520</v>
      </c>
    </row>
    <row r="3277" spans="1:8" x14ac:dyDescent="0.25">
      <c r="A3277" t="s">
        <v>40</v>
      </c>
      <c r="B3277" t="s">
        <v>520</v>
      </c>
    </row>
    <row r="3278" spans="1:8" x14ac:dyDescent="0.25">
      <c r="A3278" t="s">
        <v>22</v>
      </c>
      <c r="B3278" t="s">
        <v>520</v>
      </c>
    </row>
    <row r="3279" spans="1:8" x14ac:dyDescent="0.25">
      <c r="A3279" t="s">
        <v>1656</v>
      </c>
      <c r="B3279" t="s">
        <v>521</v>
      </c>
      <c r="C3279" t="s">
        <v>426</v>
      </c>
      <c r="D3279">
        <v>60</v>
      </c>
      <c r="E3279">
        <v>43200</v>
      </c>
      <c r="F3279">
        <v>0</v>
      </c>
      <c r="G3279">
        <v>40</v>
      </c>
      <c r="H3279" t="s">
        <v>19</v>
      </c>
    </row>
    <row r="3280" spans="1:8" x14ac:dyDescent="0.25">
      <c r="A3280" t="str">
        <f>"&lt;nominal&gt;" &amp;$D$3279&amp;"&lt;/nominal&gt;"</f>
        <v>&lt;nominal&gt;60&lt;/nominal&gt;</v>
      </c>
      <c r="B3280" t="s">
        <v>521</v>
      </c>
    </row>
    <row r="3281" spans="1:8" x14ac:dyDescent="0.25">
      <c r="A3281" t="str">
        <f>"&lt;lifetime&gt;" &amp;$E$3279&amp;"&lt;/lifetime&gt;"</f>
        <v>&lt;lifetime&gt;43200&lt;/lifetime&gt;</v>
      </c>
      <c r="B3281" t="s">
        <v>521</v>
      </c>
    </row>
    <row r="3282" spans="1:8" x14ac:dyDescent="0.25">
      <c r="A3282" t="str">
        <f>"&lt;restock&gt;" &amp;$F$3279&amp;"&lt;/restock&gt;"</f>
        <v>&lt;restock&gt;0&lt;/restock&gt;</v>
      </c>
      <c r="B3282" t="s">
        <v>521</v>
      </c>
    </row>
    <row r="3283" spans="1:8" x14ac:dyDescent="0.25">
      <c r="A3283" t="str">
        <f>"&lt;min&gt;" &amp;$G$3279&amp;"&lt;/min&gt;"</f>
        <v>&lt;min&gt;40&lt;/min&gt;</v>
      </c>
      <c r="B3283" t="s">
        <v>521</v>
      </c>
    </row>
    <row r="3284" spans="1:8" x14ac:dyDescent="0.25">
      <c r="A3284" t="s">
        <v>16</v>
      </c>
      <c r="B3284" t="s">
        <v>521</v>
      </c>
    </row>
    <row r="3285" spans="1:8" x14ac:dyDescent="0.25">
      <c r="A3285" t="s">
        <v>17</v>
      </c>
      <c r="B3285" t="s">
        <v>521</v>
      </c>
    </row>
    <row r="3286" spans="1:8" x14ac:dyDescent="0.25">
      <c r="A3286" t="s">
        <v>18</v>
      </c>
      <c r="B3286" t="s">
        <v>521</v>
      </c>
    </row>
    <row r="3287" spans="1:8" x14ac:dyDescent="0.25">
      <c r="A3287" t="str">
        <f xml:space="preserve"> $H$3279</f>
        <v>&lt;flags count_in_cargo="0" count_in_hoarder="0" count_in_map="1" count_in_player="0" crafted="0" deloot="0"/&gt;</v>
      </c>
      <c r="B3287" t="s">
        <v>521</v>
      </c>
    </row>
    <row r="3288" spans="1:8" x14ac:dyDescent="0.25">
      <c r="A3288" t="str">
        <f>"&lt;category name=" &amp;"""" &amp;$C$3279&amp;"""/&gt;"</f>
        <v>&lt;category name="tools"/&gt;</v>
      </c>
      <c r="B3288" t="s">
        <v>521</v>
      </c>
    </row>
    <row r="3289" spans="1:8" x14ac:dyDescent="0.25">
      <c r="A3289" t="s">
        <v>55</v>
      </c>
      <c r="B3289" t="s">
        <v>521</v>
      </c>
    </row>
    <row r="3290" spans="1:8" x14ac:dyDescent="0.25">
      <c r="A3290" t="s">
        <v>22</v>
      </c>
      <c r="B3290" t="s">
        <v>521</v>
      </c>
    </row>
    <row r="3291" spans="1:8" x14ac:dyDescent="0.25">
      <c r="A3291" t="s">
        <v>1657</v>
      </c>
      <c r="B3291" t="s">
        <v>522</v>
      </c>
      <c r="C3291" t="s">
        <v>426</v>
      </c>
      <c r="D3291">
        <v>60</v>
      </c>
      <c r="E3291">
        <v>14400</v>
      </c>
      <c r="F3291">
        <v>0</v>
      </c>
      <c r="G3291">
        <v>40</v>
      </c>
      <c r="H3291" t="s">
        <v>19</v>
      </c>
    </row>
    <row r="3292" spans="1:8" x14ac:dyDescent="0.25">
      <c r="A3292" t="str">
        <f>"&lt;nominal&gt;" &amp;$D$3291&amp;"&lt;/nominal&gt;"</f>
        <v>&lt;nominal&gt;60&lt;/nominal&gt;</v>
      </c>
      <c r="B3292" t="s">
        <v>522</v>
      </c>
    </row>
    <row r="3293" spans="1:8" x14ac:dyDescent="0.25">
      <c r="A3293" t="str">
        <f>"&lt;lifetime&gt;" &amp;$E$3291&amp;"&lt;/lifetime&gt;"</f>
        <v>&lt;lifetime&gt;14400&lt;/lifetime&gt;</v>
      </c>
      <c r="B3293" t="s">
        <v>522</v>
      </c>
    </row>
    <row r="3294" spans="1:8" x14ac:dyDescent="0.25">
      <c r="A3294" t="str">
        <f>"&lt;restock&gt;" &amp;$F$3291&amp;"&lt;/restock&gt;"</f>
        <v>&lt;restock&gt;0&lt;/restock&gt;</v>
      </c>
      <c r="B3294" t="s">
        <v>522</v>
      </c>
    </row>
    <row r="3295" spans="1:8" x14ac:dyDescent="0.25">
      <c r="A3295" t="str">
        <f>"&lt;min&gt;" &amp;$G$3291&amp;"&lt;/min&gt;"</f>
        <v>&lt;min&gt;40&lt;/min&gt;</v>
      </c>
      <c r="B3295" t="s">
        <v>522</v>
      </c>
    </row>
    <row r="3296" spans="1:8" x14ac:dyDescent="0.25">
      <c r="A3296" t="s">
        <v>16</v>
      </c>
      <c r="B3296" t="s">
        <v>522</v>
      </c>
    </row>
    <row r="3297" spans="1:8" x14ac:dyDescent="0.25">
      <c r="A3297" t="s">
        <v>17</v>
      </c>
      <c r="B3297" t="s">
        <v>522</v>
      </c>
    </row>
    <row r="3298" spans="1:8" x14ac:dyDescent="0.25">
      <c r="A3298" t="s">
        <v>18</v>
      </c>
      <c r="B3298" t="s">
        <v>522</v>
      </c>
    </row>
    <row r="3299" spans="1:8" x14ac:dyDescent="0.25">
      <c r="A3299" t="str">
        <f xml:space="preserve"> $H$3291</f>
        <v>&lt;flags count_in_cargo="0" count_in_hoarder="0" count_in_map="1" count_in_player="0" crafted="0" deloot="0"/&gt;</v>
      </c>
      <c r="B3299" t="s">
        <v>522</v>
      </c>
    </row>
    <row r="3300" spans="1:8" x14ac:dyDescent="0.25">
      <c r="A3300" t="str">
        <f>"&lt;category name=" &amp;"""" &amp;$C$3291&amp;"""/&gt;"</f>
        <v>&lt;category name="tools"/&gt;</v>
      </c>
      <c r="B3300" t="s">
        <v>522</v>
      </c>
    </row>
    <row r="3301" spans="1:8" x14ac:dyDescent="0.25">
      <c r="A3301" t="s">
        <v>25</v>
      </c>
      <c r="B3301" t="s">
        <v>522</v>
      </c>
    </row>
    <row r="3302" spans="1:8" x14ac:dyDescent="0.25">
      <c r="A3302" t="s">
        <v>55</v>
      </c>
      <c r="B3302" t="s">
        <v>522</v>
      </c>
    </row>
    <row r="3303" spans="1:8" x14ac:dyDescent="0.25">
      <c r="A3303" t="s">
        <v>22</v>
      </c>
      <c r="B3303" t="s">
        <v>522</v>
      </c>
    </row>
    <row r="3304" spans="1:8" x14ac:dyDescent="0.25">
      <c r="A3304" t="s">
        <v>1658</v>
      </c>
      <c r="B3304" t="s">
        <v>523</v>
      </c>
      <c r="C3304" t="s">
        <v>426</v>
      </c>
      <c r="D3304">
        <v>10</v>
      </c>
      <c r="E3304">
        <v>3888000</v>
      </c>
      <c r="F3304">
        <v>0</v>
      </c>
      <c r="G3304">
        <v>5</v>
      </c>
      <c r="H3304" t="s">
        <v>1559</v>
      </c>
    </row>
    <row r="3305" spans="1:8" x14ac:dyDescent="0.25">
      <c r="A3305" t="str">
        <f>"&lt;nominal&gt;" &amp;$D$3304&amp;"&lt;/nominal&gt;"</f>
        <v>&lt;nominal&gt;10&lt;/nominal&gt;</v>
      </c>
      <c r="B3305" t="s">
        <v>523</v>
      </c>
    </row>
    <row r="3306" spans="1:8" x14ac:dyDescent="0.25">
      <c r="A3306" t="str">
        <f>"&lt;lifetime&gt;" &amp;$E$3304&amp;"&lt;/lifetime&gt;"</f>
        <v>&lt;lifetime&gt;3888000&lt;/lifetime&gt;</v>
      </c>
      <c r="B3306" t="s">
        <v>523</v>
      </c>
    </row>
    <row r="3307" spans="1:8" x14ac:dyDescent="0.25">
      <c r="A3307" t="str">
        <f>"&lt;restock&gt;" &amp;$F$3304&amp;"&lt;/restock&gt;"</f>
        <v>&lt;restock&gt;0&lt;/restock&gt;</v>
      </c>
      <c r="B3307" t="s">
        <v>523</v>
      </c>
    </row>
    <row r="3308" spans="1:8" x14ac:dyDescent="0.25">
      <c r="A3308" t="str">
        <f>"&lt;min&gt;" &amp;$G$3304&amp;"&lt;/min&gt;"</f>
        <v>&lt;min&gt;5&lt;/min&gt;</v>
      </c>
      <c r="B3308" t="s">
        <v>523</v>
      </c>
    </row>
    <row r="3309" spans="1:8" x14ac:dyDescent="0.25">
      <c r="A3309" t="s">
        <v>16</v>
      </c>
      <c r="B3309" t="s">
        <v>523</v>
      </c>
    </row>
    <row r="3310" spans="1:8" x14ac:dyDescent="0.25">
      <c r="A3310" t="s">
        <v>17</v>
      </c>
      <c r="B3310" t="s">
        <v>523</v>
      </c>
    </row>
    <row r="3311" spans="1:8" x14ac:dyDescent="0.25">
      <c r="A3311" t="s">
        <v>18</v>
      </c>
      <c r="B3311" t="s">
        <v>523</v>
      </c>
    </row>
    <row r="3312" spans="1:8" x14ac:dyDescent="0.25">
      <c r="A3312" t="str">
        <f xml:space="preserve"> $H$3304</f>
        <v>&lt;flags count_in_cargo="1" count_in_hoarder="0" count_in_map="1" count_in_player="1" crafted="0" deloot="0"/&gt;</v>
      </c>
      <c r="B3312" t="s">
        <v>523</v>
      </c>
    </row>
    <row r="3313" spans="1:8" x14ac:dyDescent="0.25">
      <c r="A3313" t="str">
        <f>"&lt;category name=" &amp;"""" &amp;$C$3304&amp;"""/&gt;"</f>
        <v>&lt;category name="tools"/&gt;</v>
      </c>
      <c r="B3313" t="s">
        <v>523</v>
      </c>
    </row>
    <row r="3314" spans="1:8" x14ac:dyDescent="0.25">
      <c r="A3314" t="s">
        <v>55</v>
      </c>
      <c r="B3314" t="s">
        <v>523</v>
      </c>
    </row>
    <row r="3315" spans="1:8" x14ac:dyDescent="0.25">
      <c r="A3315" t="s">
        <v>22</v>
      </c>
      <c r="B3315" t="s">
        <v>523</v>
      </c>
    </row>
    <row r="3316" spans="1:8" x14ac:dyDescent="0.25">
      <c r="A3316" t="s">
        <v>1659</v>
      </c>
      <c r="B3316" t="s">
        <v>524</v>
      </c>
      <c r="C3316" t="s">
        <v>403</v>
      </c>
      <c r="D3316">
        <v>20</v>
      </c>
      <c r="E3316">
        <v>5600</v>
      </c>
      <c r="F3316">
        <v>0</v>
      </c>
      <c r="G3316">
        <v>10</v>
      </c>
      <c r="H3316" t="s">
        <v>19</v>
      </c>
    </row>
    <row r="3317" spans="1:8" x14ac:dyDescent="0.25">
      <c r="A3317" t="str">
        <f>"&lt;nominal&gt;" &amp;$D$3316&amp;"&lt;/nominal&gt;"</f>
        <v>&lt;nominal&gt;20&lt;/nominal&gt;</v>
      </c>
      <c r="B3317" t="s">
        <v>524</v>
      </c>
    </row>
    <row r="3318" spans="1:8" x14ac:dyDescent="0.25">
      <c r="A3318" t="str">
        <f>"&lt;lifetime&gt;" &amp;$E$3316&amp;"&lt;/lifetime&gt;"</f>
        <v>&lt;lifetime&gt;5600&lt;/lifetime&gt;</v>
      </c>
      <c r="B3318" t="s">
        <v>524</v>
      </c>
    </row>
    <row r="3319" spans="1:8" x14ac:dyDescent="0.25">
      <c r="A3319" t="str">
        <f>"&lt;restock&gt;" &amp;$F$3316&amp;"&lt;/restock&gt;"</f>
        <v>&lt;restock&gt;0&lt;/restock&gt;</v>
      </c>
      <c r="B3319" t="s">
        <v>524</v>
      </c>
    </row>
    <row r="3320" spans="1:8" x14ac:dyDescent="0.25">
      <c r="A3320" t="str">
        <f>"&lt;min&gt;" &amp;$G$3316&amp;"&lt;/min&gt;"</f>
        <v>&lt;min&gt;10&lt;/min&gt;</v>
      </c>
      <c r="B3320" t="s">
        <v>524</v>
      </c>
    </row>
    <row r="3321" spans="1:8" x14ac:dyDescent="0.25">
      <c r="A3321" t="s">
        <v>16</v>
      </c>
      <c r="B3321" t="s">
        <v>524</v>
      </c>
    </row>
    <row r="3322" spans="1:8" x14ac:dyDescent="0.25">
      <c r="A3322" t="s">
        <v>17</v>
      </c>
      <c r="B3322" t="s">
        <v>524</v>
      </c>
    </row>
    <row r="3323" spans="1:8" x14ac:dyDescent="0.25">
      <c r="A3323" t="s">
        <v>18</v>
      </c>
      <c r="B3323" t="s">
        <v>524</v>
      </c>
    </row>
    <row r="3324" spans="1:8" x14ac:dyDescent="0.25">
      <c r="A3324" t="str">
        <f xml:space="preserve"> $H$3316</f>
        <v>&lt;flags count_in_cargo="0" count_in_hoarder="0" count_in_map="1" count_in_player="0" crafted="0" deloot="0"/&gt;</v>
      </c>
      <c r="B3324" t="s">
        <v>524</v>
      </c>
    </row>
    <row r="3325" spans="1:8" x14ac:dyDescent="0.25">
      <c r="A3325" t="str">
        <f>"&lt;category name=" &amp;"""" &amp;$C$3316&amp;"""/&gt;"</f>
        <v>&lt;category name="clothes"/&gt;</v>
      </c>
      <c r="B3325" t="s">
        <v>524</v>
      </c>
    </row>
    <row r="3326" spans="1:8" x14ac:dyDescent="0.25">
      <c r="A3326" t="s">
        <v>55</v>
      </c>
      <c r="B3326" t="s">
        <v>524</v>
      </c>
    </row>
    <row r="3327" spans="1:8" x14ac:dyDescent="0.25">
      <c r="A3327" t="s">
        <v>56</v>
      </c>
      <c r="B3327" t="s">
        <v>524</v>
      </c>
    </row>
    <row r="3328" spans="1:8" x14ac:dyDescent="0.25">
      <c r="A3328" t="s">
        <v>31</v>
      </c>
      <c r="B3328" t="s">
        <v>524</v>
      </c>
    </row>
    <row r="3329" spans="1:8" x14ac:dyDescent="0.25">
      <c r="A3329" t="s">
        <v>307</v>
      </c>
      <c r="B3329" t="s">
        <v>524</v>
      </c>
    </row>
    <row r="3330" spans="1:8" x14ac:dyDescent="0.25">
      <c r="A3330" t="s">
        <v>22</v>
      </c>
      <c r="B3330" t="s">
        <v>524</v>
      </c>
    </row>
    <row r="3331" spans="1:8" x14ac:dyDescent="0.25">
      <c r="A3331" t="s">
        <v>1660</v>
      </c>
      <c r="B3331" t="s">
        <v>525</v>
      </c>
      <c r="C3331" t="s">
        <v>403</v>
      </c>
      <c r="D3331">
        <v>20</v>
      </c>
      <c r="E3331">
        <v>5600</v>
      </c>
      <c r="F3331">
        <v>0</v>
      </c>
      <c r="G3331">
        <v>10</v>
      </c>
      <c r="H3331" t="s">
        <v>19</v>
      </c>
    </row>
    <row r="3332" spans="1:8" x14ac:dyDescent="0.25">
      <c r="A3332" t="str">
        <f>"&lt;nominal&gt;" &amp;$D$3331&amp;"&lt;/nominal&gt;"</f>
        <v>&lt;nominal&gt;20&lt;/nominal&gt;</v>
      </c>
      <c r="B3332" t="s">
        <v>525</v>
      </c>
    </row>
    <row r="3333" spans="1:8" x14ac:dyDescent="0.25">
      <c r="A3333" t="str">
        <f>"&lt;lifetime&gt;" &amp;$E$3331&amp;"&lt;/lifetime&gt;"</f>
        <v>&lt;lifetime&gt;5600&lt;/lifetime&gt;</v>
      </c>
      <c r="B3333" t="s">
        <v>525</v>
      </c>
    </row>
    <row r="3334" spans="1:8" x14ac:dyDescent="0.25">
      <c r="A3334" t="str">
        <f>"&lt;restock&gt;" &amp;$F$3331&amp;"&lt;/restock&gt;"</f>
        <v>&lt;restock&gt;0&lt;/restock&gt;</v>
      </c>
      <c r="B3334" t="s">
        <v>525</v>
      </c>
    </row>
    <row r="3335" spans="1:8" x14ac:dyDescent="0.25">
      <c r="A3335" t="str">
        <f>"&lt;min&gt;" &amp;$G$3331&amp;"&lt;/min&gt;"</f>
        <v>&lt;min&gt;10&lt;/min&gt;</v>
      </c>
      <c r="B3335" t="s">
        <v>525</v>
      </c>
    </row>
    <row r="3336" spans="1:8" x14ac:dyDescent="0.25">
      <c r="A3336" t="s">
        <v>16</v>
      </c>
      <c r="B3336" t="s">
        <v>525</v>
      </c>
    </row>
    <row r="3337" spans="1:8" x14ac:dyDescent="0.25">
      <c r="A3337" t="s">
        <v>17</v>
      </c>
      <c r="B3337" t="s">
        <v>525</v>
      </c>
    </row>
    <row r="3338" spans="1:8" x14ac:dyDescent="0.25">
      <c r="A3338" t="s">
        <v>18</v>
      </c>
      <c r="B3338" t="s">
        <v>525</v>
      </c>
    </row>
    <row r="3339" spans="1:8" x14ac:dyDescent="0.25">
      <c r="A3339" t="str">
        <f xml:space="preserve"> $H$3331</f>
        <v>&lt;flags count_in_cargo="0" count_in_hoarder="0" count_in_map="1" count_in_player="0" crafted="0" deloot="0"/&gt;</v>
      </c>
      <c r="B3339" t="s">
        <v>525</v>
      </c>
    </row>
    <row r="3340" spans="1:8" x14ac:dyDescent="0.25">
      <c r="A3340" t="str">
        <f>"&lt;category name=" &amp;"""" &amp;$C$3331&amp;"""/&gt;"</f>
        <v>&lt;category name="clothes"/&gt;</v>
      </c>
      <c r="B3340" t="s">
        <v>525</v>
      </c>
    </row>
    <row r="3341" spans="1:8" x14ac:dyDescent="0.25">
      <c r="A3341" t="s">
        <v>55</v>
      </c>
      <c r="B3341" t="s">
        <v>525</v>
      </c>
    </row>
    <row r="3342" spans="1:8" x14ac:dyDescent="0.25">
      <c r="A3342" t="s">
        <v>56</v>
      </c>
      <c r="B3342" t="s">
        <v>525</v>
      </c>
    </row>
    <row r="3343" spans="1:8" x14ac:dyDescent="0.25">
      <c r="A3343" t="s">
        <v>31</v>
      </c>
      <c r="B3343" t="s">
        <v>525</v>
      </c>
    </row>
    <row r="3344" spans="1:8" x14ac:dyDescent="0.25">
      <c r="A3344" t="s">
        <v>307</v>
      </c>
      <c r="B3344" t="s">
        <v>525</v>
      </c>
    </row>
    <row r="3345" spans="1:8" x14ac:dyDescent="0.25">
      <c r="A3345" t="s">
        <v>22</v>
      </c>
      <c r="B3345" t="s">
        <v>525</v>
      </c>
    </row>
    <row r="3346" spans="1:8" x14ac:dyDescent="0.25">
      <c r="A3346" t="s">
        <v>1661</v>
      </c>
      <c r="B3346" t="s">
        <v>526</v>
      </c>
      <c r="C3346" t="s">
        <v>403</v>
      </c>
      <c r="D3346">
        <v>20</v>
      </c>
      <c r="E3346">
        <v>5600</v>
      </c>
      <c r="F3346">
        <v>0</v>
      </c>
      <c r="G3346">
        <v>10</v>
      </c>
      <c r="H3346" t="s">
        <v>19</v>
      </c>
    </row>
    <row r="3347" spans="1:8" x14ac:dyDescent="0.25">
      <c r="A3347" t="str">
        <f>"&lt;nominal&gt;" &amp;$D$3346&amp;"&lt;/nominal&gt;"</f>
        <v>&lt;nominal&gt;20&lt;/nominal&gt;</v>
      </c>
      <c r="B3347" t="s">
        <v>526</v>
      </c>
    </row>
    <row r="3348" spans="1:8" x14ac:dyDescent="0.25">
      <c r="A3348" t="str">
        <f>"&lt;lifetime&gt;" &amp;$E$3346&amp;"&lt;/lifetime&gt;"</f>
        <v>&lt;lifetime&gt;5600&lt;/lifetime&gt;</v>
      </c>
      <c r="B3348" t="s">
        <v>526</v>
      </c>
    </row>
    <row r="3349" spans="1:8" x14ac:dyDescent="0.25">
      <c r="A3349" t="str">
        <f>"&lt;restock&gt;" &amp;$F$3346&amp;"&lt;/restock&gt;"</f>
        <v>&lt;restock&gt;0&lt;/restock&gt;</v>
      </c>
      <c r="B3349" t="s">
        <v>526</v>
      </c>
    </row>
    <row r="3350" spans="1:8" x14ac:dyDescent="0.25">
      <c r="A3350" t="str">
        <f>"&lt;min&gt;" &amp;$G$3346&amp;"&lt;/min&gt;"</f>
        <v>&lt;min&gt;10&lt;/min&gt;</v>
      </c>
      <c r="B3350" t="s">
        <v>526</v>
      </c>
    </row>
    <row r="3351" spans="1:8" x14ac:dyDescent="0.25">
      <c r="A3351" t="s">
        <v>16</v>
      </c>
      <c r="B3351" t="s">
        <v>526</v>
      </c>
    </row>
    <row r="3352" spans="1:8" x14ac:dyDescent="0.25">
      <c r="A3352" t="s">
        <v>17</v>
      </c>
      <c r="B3352" t="s">
        <v>526</v>
      </c>
    </row>
    <row r="3353" spans="1:8" x14ac:dyDescent="0.25">
      <c r="A3353" t="s">
        <v>18</v>
      </c>
      <c r="B3353" t="s">
        <v>526</v>
      </c>
    </row>
    <row r="3354" spans="1:8" x14ac:dyDescent="0.25">
      <c r="A3354" t="str">
        <f xml:space="preserve"> $H$3346</f>
        <v>&lt;flags count_in_cargo="0" count_in_hoarder="0" count_in_map="1" count_in_player="0" crafted="0" deloot="0"/&gt;</v>
      </c>
      <c r="B3354" t="s">
        <v>526</v>
      </c>
    </row>
    <row r="3355" spans="1:8" x14ac:dyDescent="0.25">
      <c r="A3355" t="str">
        <f>"&lt;category name=" &amp;"""" &amp;$C$3346&amp;"""/&gt;"</f>
        <v>&lt;category name="clothes"/&gt;</v>
      </c>
      <c r="B3355" t="s">
        <v>526</v>
      </c>
    </row>
    <row r="3356" spans="1:8" x14ac:dyDescent="0.25">
      <c r="A3356" t="s">
        <v>55</v>
      </c>
      <c r="B3356" t="s">
        <v>526</v>
      </c>
    </row>
    <row r="3357" spans="1:8" x14ac:dyDescent="0.25">
      <c r="A3357" t="s">
        <v>56</v>
      </c>
      <c r="B3357" t="s">
        <v>526</v>
      </c>
    </row>
    <row r="3358" spans="1:8" x14ac:dyDescent="0.25">
      <c r="A3358" t="s">
        <v>31</v>
      </c>
      <c r="B3358" t="s">
        <v>526</v>
      </c>
    </row>
    <row r="3359" spans="1:8" x14ac:dyDescent="0.25">
      <c r="A3359" t="s">
        <v>307</v>
      </c>
      <c r="B3359" t="s">
        <v>526</v>
      </c>
    </row>
    <row r="3360" spans="1:8" x14ac:dyDescent="0.25">
      <c r="A3360" t="s">
        <v>22</v>
      </c>
      <c r="B3360" t="s">
        <v>526</v>
      </c>
    </row>
    <row r="3361" spans="1:8" x14ac:dyDescent="0.25">
      <c r="A3361" t="s">
        <v>1662</v>
      </c>
      <c r="B3361" t="s">
        <v>527</v>
      </c>
      <c r="C3361" t="s">
        <v>403</v>
      </c>
      <c r="D3361">
        <v>20</v>
      </c>
      <c r="E3361">
        <v>5600</v>
      </c>
      <c r="F3361">
        <v>0</v>
      </c>
      <c r="G3361">
        <v>10</v>
      </c>
      <c r="H3361" t="s">
        <v>19</v>
      </c>
    </row>
    <row r="3362" spans="1:8" x14ac:dyDescent="0.25">
      <c r="A3362" t="str">
        <f>"&lt;nominal&gt;" &amp;$D$3361&amp;"&lt;/nominal&gt;"</f>
        <v>&lt;nominal&gt;20&lt;/nominal&gt;</v>
      </c>
      <c r="B3362" t="s">
        <v>527</v>
      </c>
    </row>
    <row r="3363" spans="1:8" x14ac:dyDescent="0.25">
      <c r="A3363" t="str">
        <f>"&lt;lifetime&gt;" &amp;$E$3361&amp;"&lt;/lifetime&gt;"</f>
        <v>&lt;lifetime&gt;5600&lt;/lifetime&gt;</v>
      </c>
      <c r="B3363" t="s">
        <v>527</v>
      </c>
    </row>
    <row r="3364" spans="1:8" x14ac:dyDescent="0.25">
      <c r="A3364" t="str">
        <f>"&lt;restock&gt;" &amp;$F$3361&amp;"&lt;/restock&gt;"</f>
        <v>&lt;restock&gt;0&lt;/restock&gt;</v>
      </c>
      <c r="B3364" t="s">
        <v>527</v>
      </c>
    </row>
    <row r="3365" spans="1:8" x14ac:dyDescent="0.25">
      <c r="A3365" t="str">
        <f>"&lt;min&gt;" &amp;$G$3361&amp;"&lt;/min&gt;"</f>
        <v>&lt;min&gt;10&lt;/min&gt;</v>
      </c>
      <c r="B3365" t="s">
        <v>527</v>
      </c>
    </row>
    <row r="3366" spans="1:8" x14ac:dyDescent="0.25">
      <c r="A3366" t="s">
        <v>16</v>
      </c>
      <c r="B3366" t="s">
        <v>527</v>
      </c>
    </row>
    <row r="3367" spans="1:8" x14ac:dyDescent="0.25">
      <c r="A3367" t="s">
        <v>17</v>
      </c>
      <c r="B3367" t="s">
        <v>527</v>
      </c>
    </row>
    <row r="3368" spans="1:8" x14ac:dyDescent="0.25">
      <c r="A3368" t="s">
        <v>18</v>
      </c>
      <c r="B3368" t="s">
        <v>527</v>
      </c>
    </row>
    <row r="3369" spans="1:8" x14ac:dyDescent="0.25">
      <c r="A3369" t="str">
        <f xml:space="preserve"> $H$3361</f>
        <v>&lt;flags count_in_cargo="0" count_in_hoarder="0" count_in_map="1" count_in_player="0" crafted="0" deloot="0"/&gt;</v>
      </c>
      <c r="B3369" t="s">
        <v>527</v>
      </c>
    </row>
    <row r="3370" spans="1:8" x14ac:dyDescent="0.25">
      <c r="A3370" t="str">
        <f>"&lt;category name=" &amp;"""" &amp;$C$3361&amp;"""/&gt;"</f>
        <v>&lt;category name="clothes"/&gt;</v>
      </c>
      <c r="B3370" t="s">
        <v>527</v>
      </c>
    </row>
    <row r="3371" spans="1:8" x14ac:dyDescent="0.25">
      <c r="A3371" t="s">
        <v>55</v>
      </c>
      <c r="B3371" t="s">
        <v>527</v>
      </c>
    </row>
    <row r="3372" spans="1:8" x14ac:dyDescent="0.25">
      <c r="A3372" t="s">
        <v>56</v>
      </c>
      <c r="B3372" t="s">
        <v>527</v>
      </c>
    </row>
    <row r="3373" spans="1:8" x14ac:dyDescent="0.25">
      <c r="A3373" t="s">
        <v>31</v>
      </c>
      <c r="B3373" t="s">
        <v>527</v>
      </c>
    </row>
    <row r="3374" spans="1:8" x14ac:dyDescent="0.25">
      <c r="A3374" t="s">
        <v>307</v>
      </c>
      <c r="B3374" t="s">
        <v>527</v>
      </c>
    </row>
    <row r="3375" spans="1:8" x14ac:dyDescent="0.25">
      <c r="A3375" t="s">
        <v>22</v>
      </c>
      <c r="B3375" t="s">
        <v>527</v>
      </c>
    </row>
    <row r="3376" spans="1:8" x14ac:dyDescent="0.25">
      <c r="A3376" t="s">
        <v>1663</v>
      </c>
      <c r="B3376" t="s">
        <v>528</v>
      </c>
      <c r="C3376" t="s">
        <v>403</v>
      </c>
      <c r="D3376">
        <v>20</v>
      </c>
      <c r="E3376">
        <v>5600</v>
      </c>
      <c r="F3376">
        <v>0</v>
      </c>
      <c r="G3376">
        <v>10</v>
      </c>
      <c r="H3376" t="s">
        <v>19</v>
      </c>
    </row>
    <row r="3377" spans="1:8" x14ac:dyDescent="0.25">
      <c r="A3377" t="str">
        <f>"&lt;nominal&gt;" &amp;$D$3376&amp;"&lt;/nominal&gt;"</f>
        <v>&lt;nominal&gt;20&lt;/nominal&gt;</v>
      </c>
      <c r="B3377" t="s">
        <v>528</v>
      </c>
    </row>
    <row r="3378" spans="1:8" x14ac:dyDescent="0.25">
      <c r="A3378" t="str">
        <f>"&lt;lifetime&gt;" &amp;$E$3376&amp;"&lt;/lifetime&gt;"</f>
        <v>&lt;lifetime&gt;5600&lt;/lifetime&gt;</v>
      </c>
      <c r="B3378" t="s">
        <v>528</v>
      </c>
    </row>
    <row r="3379" spans="1:8" x14ac:dyDescent="0.25">
      <c r="A3379" t="str">
        <f>"&lt;restock&gt;" &amp;$F$3376&amp;"&lt;/restock&gt;"</f>
        <v>&lt;restock&gt;0&lt;/restock&gt;</v>
      </c>
      <c r="B3379" t="s">
        <v>528</v>
      </c>
    </row>
    <row r="3380" spans="1:8" x14ac:dyDescent="0.25">
      <c r="A3380" t="str">
        <f>"&lt;min&gt;" &amp;$G$3376&amp;"&lt;/min&gt;"</f>
        <v>&lt;min&gt;10&lt;/min&gt;</v>
      </c>
      <c r="B3380" t="s">
        <v>528</v>
      </c>
    </row>
    <row r="3381" spans="1:8" x14ac:dyDescent="0.25">
      <c r="A3381" t="s">
        <v>16</v>
      </c>
      <c r="B3381" t="s">
        <v>528</v>
      </c>
    </row>
    <row r="3382" spans="1:8" x14ac:dyDescent="0.25">
      <c r="A3382" t="s">
        <v>17</v>
      </c>
      <c r="B3382" t="s">
        <v>528</v>
      </c>
    </row>
    <row r="3383" spans="1:8" x14ac:dyDescent="0.25">
      <c r="A3383" t="s">
        <v>18</v>
      </c>
      <c r="B3383" t="s">
        <v>528</v>
      </c>
    </row>
    <row r="3384" spans="1:8" x14ac:dyDescent="0.25">
      <c r="A3384" t="str">
        <f xml:space="preserve"> $H$3376</f>
        <v>&lt;flags count_in_cargo="0" count_in_hoarder="0" count_in_map="1" count_in_player="0" crafted="0" deloot="0"/&gt;</v>
      </c>
      <c r="B3384" t="s">
        <v>528</v>
      </c>
    </row>
    <row r="3385" spans="1:8" x14ac:dyDescent="0.25">
      <c r="A3385" t="str">
        <f>"&lt;category name=" &amp;"""" &amp;$C$3376&amp;"""/&gt;"</f>
        <v>&lt;category name="clothes"/&gt;</v>
      </c>
      <c r="B3385" t="s">
        <v>528</v>
      </c>
    </row>
    <row r="3386" spans="1:8" x14ac:dyDescent="0.25">
      <c r="A3386" t="s">
        <v>55</v>
      </c>
      <c r="B3386" t="s">
        <v>528</v>
      </c>
    </row>
    <row r="3387" spans="1:8" x14ac:dyDescent="0.25">
      <c r="A3387" t="s">
        <v>56</v>
      </c>
      <c r="B3387" t="s">
        <v>528</v>
      </c>
    </row>
    <row r="3388" spans="1:8" x14ac:dyDescent="0.25">
      <c r="A3388" t="s">
        <v>31</v>
      </c>
      <c r="B3388" t="s">
        <v>528</v>
      </c>
    </row>
    <row r="3389" spans="1:8" x14ac:dyDescent="0.25">
      <c r="A3389" t="s">
        <v>307</v>
      </c>
      <c r="B3389" t="s">
        <v>528</v>
      </c>
    </row>
    <row r="3390" spans="1:8" x14ac:dyDescent="0.25">
      <c r="A3390" t="s">
        <v>22</v>
      </c>
      <c r="B3390" t="s">
        <v>528</v>
      </c>
    </row>
    <row r="3391" spans="1:8" x14ac:dyDescent="0.25">
      <c r="A3391" t="s">
        <v>1664</v>
      </c>
      <c r="B3391" t="s">
        <v>3393</v>
      </c>
      <c r="C3391" t="s">
        <v>426</v>
      </c>
      <c r="D3391">
        <v>0</v>
      </c>
      <c r="E3391">
        <v>7200</v>
      </c>
      <c r="F3391">
        <v>0</v>
      </c>
      <c r="G3391">
        <v>0</v>
      </c>
      <c r="H3391" t="s">
        <v>19</v>
      </c>
    </row>
    <row r="3392" spans="1:8" x14ac:dyDescent="0.25">
      <c r="A3392" t="str">
        <f>"&lt;nominal&gt;" &amp;$D$3391&amp;"&lt;/nominal&gt;"</f>
        <v>&lt;nominal&gt;0&lt;/nominal&gt;</v>
      </c>
      <c r="B3392" t="s">
        <v>3393</v>
      </c>
    </row>
    <row r="3393" spans="1:8" x14ac:dyDescent="0.25">
      <c r="A3393" t="str">
        <f>"&lt;lifetime&gt;" &amp;$E$3391&amp;"&lt;/lifetime&gt;"</f>
        <v>&lt;lifetime&gt;7200&lt;/lifetime&gt;</v>
      </c>
      <c r="B3393" t="s">
        <v>3393</v>
      </c>
    </row>
    <row r="3394" spans="1:8" x14ac:dyDescent="0.25">
      <c r="A3394" t="str">
        <f>"&lt;restock&gt;" &amp;$F$3391&amp;"&lt;/restock&gt;"</f>
        <v>&lt;restock&gt;0&lt;/restock&gt;</v>
      </c>
      <c r="B3394" t="s">
        <v>3393</v>
      </c>
    </row>
    <row r="3395" spans="1:8" x14ac:dyDescent="0.25">
      <c r="A3395" t="str">
        <f>"&lt;min&gt;" &amp;$G$3391&amp;"&lt;/min&gt;"</f>
        <v>&lt;min&gt;0&lt;/min&gt;</v>
      </c>
      <c r="B3395" t="s">
        <v>3393</v>
      </c>
    </row>
    <row r="3396" spans="1:8" x14ac:dyDescent="0.25">
      <c r="A3396" t="s">
        <v>16</v>
      </c>
      <c r="B3396" t="s">
        <v>3393</v>
      </c>
    </row>
    <row r="3397" spans="1:8" x14ac:dyDescent="0.25">
      <c r="A3397" t="s">
        <v>17</v>
      </c>
      <c r="B3397" t="s">
        <v>3393</v>
      </c>
    </row>
    <row r="3398" spans="1:8" x14ac:dyDescent="0.25">
      <c r="A3398" t="s">
        <v>18</v>
      </c>
      <c r="B3398" t="s">
        <v>3393</v>
      </c>
    </row>
    <row r="3399" spans="1:8" x14ac:dyDescent="0.25">
      <c r="A3399" t="str">
        <f xml:space="preserve"> $H$3391</f>
        <v>&lt;flags count_in_cargo="0" count_in_hoarder="0" count_in_map="1" count_in_player="0" crafted="0" deloot="0"/&gt;</v>
      </c>
      <c r="B3399" t="s">
        <v>3393</v>
      </c>
    </row>
    <row r="3400" spans="1:8" x14ac:dyDescent="0.25">
      <c r="A3400" t="str">
        <f>"&lt;category name=" &amp;"""" &amp;$C$3391&amp;"""/&gt;"</f>
        <v>&lt;category name="tools"/&gt;</v>
      </c>
      <c r="B3400" t="s">
        <v>3393</v>
      </c>
    </row>
    <row r="3401" spans="1:8" x14ac:dyDescent="0.25">
      <c r="A3401" t="s">
        <v>56</v>
      </c>
      <c r="B3401" t="s">
        <v>3393</v>
      </c>
    </row>
    <row r="3402" spans="1:8" x14ac:dyDescent="0.25">
      <c r="A3402" t="s">
        <v>40</v>
      </c>
      <c r="B3402" t="s">
        <v>3393</v>
      </c>
    </row>
    <row r="3403" spans="1:8" x14ac:dyDescent="0.25">
      <c r="A3403" t="s">
        <v>22</v>
      </c>
      <c r="B3403" t="s">
        <v>3393</v>
      </c>
    </row>
    <row r="3404" spans="1:8" x14ac:dyDescent="0.25">
      <c r="A3404" t="s">
        <v>1665</v>
      </c>
      <c r="B3404" t="s">
        <v>529</v>
      </c>
      <c r="C3404" t="s">
        <v>426</v>
      </c>
      <c r="D3404">
        <v>20</v>
      </c>
      <c r="E3404">
        <v>10800</v>
      </c>
      <c r="F3404">
        <v>0</v>
      </c>
      <c r="G3404">
        <v>12</v>
      </c>
      <c r="H3404" t="s">
        <v>19</v>
      </c>
    </row>
    <row r="3405" spans="1:8" x14ac:dyDescent="0.25">
      <c r="A3405" t="str">
        <f>"&lt;nominal&gt;" &amp;$D$3404&amp;"&lt;/nominal&gt;"</f>
        <v>&lt;nominal&gt;20&lt;/nominal&gt;</v>
      </c>
      <c r="B3405" t="s">
        <v>529</v>
      </c>
    </row>
    <row r="3406" spans="1:8" x14ac:dyDescent="0.25">
      <c r="A3406" t="str">
        <f>"&lt;lifetime&gt;" &amp;$E$3404&amp;"&lt;/lifetime&gt;"</f>
        <v>&lt;lifetime&gt;10800&lt;/lifetime&gt;</v>
      </c>
      <c r="B3406" t="s">
        <v>529</v>
      </c>
    </row>
    <row r="3407" spans="1:8" x14ac:dyDescent="0.25">
      <c r="A3407" t="str">
        <f>"&lt;restock&gt;" &amp;$F$3404&amp;"&lt;/restock&gt;"</f>
        <v>&lt;restock&gt;0&lt;/restock&gt;</v>
      </c>
      <c r="B3407" t="s">
        <v>529</v>
      </c>
    </row>
    <row r="3408" spans="1:8" x14ac:dyDescent="0.25">
      <c r="A3408" t="str">
        <f>"&lt;min&gt;" &amp;$G$3404&amp;"&lt;/min&gt;"</f>
        <v>&lt;min&gt;12&lt;/min&gt;</v>
      </c>
      <c r="B3408" t="s">
        <v>529</v>
      </c>
    </row>
    <row r="3409" spans="1:8" x14ac:dyDescent="0.25">
      <c r="A3409" t="s">
        <v>16</v>
      </c>
      <c r="B3409" t="s">
        <v>529</v>
      </c>
    </row>
    <row r="3410" spans="1:8" x14ac:dyDescent="0.25">
      <c r="A3410" t="s">
        <v>17</v>
      </c>
      <c r="B3410" t="s">
        <v>529</v>
      </c>
    </row>
    <row r="3411" spans="1:8" x14ac:dyDescent="0.25">
      <c r="A3411" t="s">
        <v>18</v>
      </c>
      <c r="B3411" t="s">
        <v>529</v>
      </c>
    </row>
    <row r="3412" spans="1:8" x14ac:dyDescent="0.25">
      <c r="A3412" t="str">
        <f xml:space="preserve"> $H$3404</f>
        <v>&lt;flags count_in_cargo="0" count_in_hoarder="0" count_in_map="1" count_in_player="0" crafted="0" deloot="0"/&gt;</v>
      </c>
      <c r="B3412" t="s">
        <v>529</v>
      </c>
    </row>
    <row r="3413" spans="1:8" x14ac:dyDescent="0.25">
      <c r="A3413" t="str">
        <f>"&lt;category name=" &amp;"""" &amp;$C$3404&amp;"""/&gt;"</f>
        <v>&lt;category name="tools"/&gt;</v>
      </c>
      <c r="B3413" t="s">
        <v>529</v>
      </c>
    </row>
    <row r="3414" spans="1:8" x14ac:dyDescent="0.25">
      <c r="A3414" t="s">
        <v>20</v>
      </c>
      <c r="B3414" t="s">
        <v>529</v>
      </c>
    </row>
    <row r="3415" spans="1:8" x14ac:dyDescent="0.25">
      <c r="A3415" t="s">
        <v>21</v>
      </c>
      <c r="B3415" t="s">
        <v>529</v>
      </c>
    </row>
    <row r="3416" spans="1:8" x14ac:dyDescent="0.25">
      <c r="A3416" t="s">
        <v>22</v>
      </c>
      <c r="B3416" t="s">
        <v>529</v>
      </c>
    </row>
    <row r="3417" spans="1:8" x14ac:dyDescent="0.25">
      <c r="A3417" t="s">
        <v>1666</v>
      </c>
      <c r="B3417" t="s">
        <v>530</v>
      </c>
      <c r="C3417" t="s">
        <v>426</v>
      </c>
      <c r="D3417">
        <v>70</v>
      </c>
      <c r="E3417">
        <v>1800</v>
      </c>
      <c r="F3417">
        <v>0</v>
      </c>
      <c r="G3417">
        <v>50</v>
      </c>
      <c r="H3417" t="s">
        <v>19</v>
      </c>
    </row>
    <row r="3418" spans="1:8" x14ac:dyDescent="0.25">
      <c r="A3418" t="str">
        <f>"&lt;nominal&gt;" &amp;$D$3417&amp;"&lt;/nominal&gt;"</f>
        <v>&lt;nominal&gt;70&lt;/nominal&gt;</v>
      </c>
      <c r="B3418" t="s">
        <v>530</v>
      </c>
    </row>
    <row r="3419" spans="1:8" x14ac:dyDescent="0.25">
      <c r="A3419" t="str">
        <f>"&lt;lifetime&gt;" &amp;$E$3417&amp;"&lt;/lifetime&gt;"</f>
        <v>&lt;lifetime&gt;1800&lt;/lifetime&gt;</v>
      </c>
      <c r="B3419" t="s">
        <v>530</v>
      </c>
    </row>
    <row r="3420" spans="1:8" x14ac:dyDescent="0.25">
      <c r="A3420" t="str">
        <f>"&lt;restock&gt;" &amp;$F$3417&amp;"&lt;/restock&gt;"</f>
        <v>&lt;restock&gt;0&lt;/restock&gt;</v>
      </c>
      <c r="B3420" t="s">
        <v>530</v>
      </c>
    </row>
    <row r="3421" spans="1:8" x14ac:dyDescent="0.25">
      <c r="A3421" t="str">
        <f>"&lt;min&gt;" &amp;$G$3417&amp;"&lt;/min&gt;"</f>
        <v>&lt;min&gt;50&lt;/min&gt;</v>
      </c>
      <c r="B3421" t="s">
        <v>530</v>
      </c>
    </row>
    <row r="3422" spans="1:8" x14ac:dyDescent="0.25">
      <c r="A3422" t="s">
        <v>16</v>
      </c>
      <c r="B3422" t="s">
        <v>530</v>
      </c>
    </row>
    <row r="3423" spans="1:8" x14ac:dyDescent="0.25">
      <c r="A3423" t="s">
        <v>17</v>
      </c>
      <c r="B3423" t="s">
        <v>530</v>
      </c>
    </row>
    <row r="3424" spans="1:8" x14ac:dyDescent="0.25">
      <c r="A3424" t="s">
        <v>18</v>
      </c>
      <c r="B3424" t="s">
        <v>530</v>
      </c>
    </row>
    <row r="3425" spans="1:8" x14ac:dyDescent="0.25">
      <c r="A3425" t="str">
        <f xml:space="preserve"> $H$3417</f>
        <v>&lt;flags count_in_cargo="0" count_in_hoarder="0" count_in_map="1" count_in_player="0" crafted="0" deloot="0"/&gt;</v>
      </c>
      <c r="B3425" t="s">
        <v>530</v>
      </c>
    </row>
    <row r="3426" spans="1:8" x14ac:dyDescent="0.25">
      <c r="A3426" t="str">
        <f>"&lt;category name=" &amp;"""" &amp;$C$3417&amp;"""/&gt;"</f>
        <v>&lt;category name="tools"/&gt;</v>
      </c>
      <c r="B3426" t="s">
        <v>530</v>
      </c>
    </row>
    <row r="3427" spans="1:8" x14ac:dyDescent="0.25">
      <c r="A3427" t="s">
        <v>55</v>
      </c>
      <c r="B3427" t="s">
        <v>530</v>
      </c>
    </row>
    <row r="3428" spans="1:8" x14ac:dyDescent="0.25">
      <c r="A3428" t="s">
        <v>39</v>
      </c>
      <c r="B3428" t="s">
        <v>530</v>
      </c>
    </row>
    <row r="3429" spans="1:8" x14ac:dyDescent="0.25">
      <c r="A3429" t="s">
        <v>40</v>
      </c>
      <c r="B3429" t="s">
        <v>530</v>
      </c>
    </row>
    <row r="3430" spans="1:8" x14ac:dyDescent="0.25">
      <c r="A3430" t="s">
        <v>22</v>
      </c>
      <c r="B3430" t="s">
        <v>530</v>
      </c>
    </row>
    <row r="3431" spans="1:8" x14ac:dyDescent="0.25">
      <c r="A3431" t="s">
        <v>1667</v>
      </c>
      <c r="B3431" t="s">
        <v>531</v>
      </c>
      <c r="C3431" t="s">
        <v>426</v>
      </c>
      <c r="D3431">
        <v>70</v>
      </c>
      <c r="E3431">
        <v>1800</v>
      </c>
      <c r="F3431">
        <v>0</v>
      </c>
      <c r="G3431">
        <v>50</v>
      </c>
      <c r="H3431" t="s">
        <v>19</v>
      </c>
    </row>
    <row r="3432" spans="1:8" x14ac:dyDescent="0.25">
      <c r="A3432" t="str">
        <f>"&lt;nominal&gt;" &amp;$D$3431&amp;"&lt;/nominal&gt;"</f>
        <v>&lt;nominal&gt;70&lt;/nominal&gt;</v>
      </c>
      <c r="B3432" t="s">
        <v>531</v>
      </c>
    </row>
    <row r="3433" spans="1:8" x14ac:dyDescent="0.25">
      <c r="A3433" t="str">
        <f>"&lt;lifetime&gt;" &amp;$E$3431&amp;"&lt;/lifetime&gt;"</f>
        <v>&lt;lifetime&gt;1800&lt;/lifetime&gt;</v>
      </c>
      <c r="B3433" t="s">
        <v>531</v>
      </c>
    </row>
    <row r="3434" spans="1:8" x14ac:dyDescent="0.25">
      <c r="A3434" t="str">
        <f>"&lt;restock&gt;" &amp;$F$3431&amp;"&lt;/restock&gt;"</f>
        <v>&lt;restock&gt;0&lt;/restock&gt;</v>
      </c>
      <c r="B3434" t="s">
        <v>531</v>
      </c>
    </row>
    <row r="3435" spans="1:8" x14ac:dyDescent="0.25">
      <c r="A3435" t="str">
        <f>"&lt;min&gt;" &amp;$G$3431&amp;"&lt;/min&gt;"</f>
        <v>&lt;min&gt;50&lt;/min&gt;</v>
      </c>
      <c r="B3435" t="s">
        <v>531</v>
      </c>
    </row>
    <row r="3436" spans="1:8" x14ac:dyDescent="0.25">
      <c r="A3436" t="s">
        <v>16</v>
      </c>
      <c r="B3436" t="s">
        <v>531</v>
      </c>
    </row>
    <row r="3437" spans="1:8" x14ac:dyDescent="0.25">
      <c r="A3437" t="s">
        <v>17</v>
      </c>
      <c r="B3437" t="s">
        <v>531</v>
      </c>
    </row>
    <row r="3438" spans="1:8" x14ac:dyDescent="0.25">
      <c r="A3438" t="s">
        <v>18</v>
      </c>
      <c r="B3438" t="s">
        <v>531</v>
      </c>
    </row>
    <row r="3439" spans="1:8" x14ac:dyDescent="0.25">
      <c r="A3439" t="str">
        <f xml:space="preserve"> $H$3431</f>
        <v>&lt;flags count_in_cargo="0" count_in_hoarder="0" count_in_map="1" count_in_player="0" crafted="0" deloot="0"/&gt;</v>
      </c>
      <c r="B3439" t="s">
        <v>531</v>
      </c>
    </row>
    <row r="3440" spans="1:8" x14ac:dyDescent="0.25">
      <c r="A3440" t="str">
        <f>"&lt;category name=" &amp;"""" &amp;$C$3431&amp;"""/&gt;"</f>
        <v>&lt;category name="tools"/&gt;</v>
      </c>
      <c r="B3440" t="s">
        <v>531</v>
      </c>
    </row>
    <row r="3441" spans="1:8" x14ac:dyDescent="0.25">
      <c r="A3441" t="s">
        <v>55</v>
      </c>
      <c r="B3441" t="s">
        <v>531</v>
      </c>
    </row>
    <row r="3442" spans="1:8" x14ac:dyDescent="0.25">
      <c r="A3442" t="s">
        <v>39</v>
      </c>
      <c r="B3442" t="s">
        <v>531</v>
      </c>
    </row>
    <row r="3443" spans="1:8" x14ac:dyDescent="0.25">
      <c r="A3443" t="s">
        <v>40</v>
      </c>
      <c r="B3443" t="s">
        <v>531</v>
      </c>
    </row>
    <row r="3444" spans="1:8" x14ac:dyDescent="0.25">
      <c r="A3444" t="s">
        <v>22</v>
      </c>
      <c r="B3444" t="s">
        <v>531</v>
      </c>
    </row>
    <row r="3445" spans="1:8" x14ac:dyDescent="0.25">
      <c r="A3445" t="s">
        <v>1668</v>
      </c>
      <c r="B3445" t="s">
        <v>532</v>
      </c>
      <c r="C3445" t="s">
        <v>426</v>
      </c>
      <c r="D3445">
        <v>70</v>
      </c>
      <c r="E3445">
        <v>1800</v>
      </c>
      <c r="F3445">
        <v>0</v>
      </c>
      <c r="G3445">
        <v>50</v>
      </c>
      <c r="H3445" t="s">
        <v>19</v>
      </c>
    </row>
    <row r="3446" spans="1:8" x14ac:dyDescent="0.25">
      <c r="A3446" t="str">
        <f>"&lt;nominal&gt;" &amp;$D$3445&amp;"&lt;/nominal&gt;"</f>
        <v>&lt;nominal&gt;70&lt;/nominal&gt;</v>
      </c>
      <c r="B3446" t="s">
        <v>532</v>
      </c>
    </row>
    <row r="3447" spans="1:8" x14ac:dyDescent="0.25">
      <c r="A3447" t="str">
        <f>"&lt;lifetime&gt;" &amp;$E$3445&amp;"&lt;/lifetime&gt;"</f>
        <v>&lt;lifetime&gt;1800&lt;/lifetime&gt;</v>
      </c>
      <c r="B3447" t="s">
        <v>532</v>
      </c>
    </row>
    <row r="3448" spans="1:8" x14ac:dyDescent="0.25">
      <c r="A3448" t="str">
        <f>"&lt;restock&gt;" &amp;$F$3445&amp;"&lt;/restock&gt;"</f>
        <v>&lt;restock&gt;0&lt;/restock&gt;</v>
      </c>
      <c r="B3448" t="s">
        <v>532</v>
      </c>
    </row>
    <row r="3449" spans="1:8" x14ac:dyDescent="0.25">
      <c r="A3449" t="str">
        <f>"&lt;min&gt;" &amp;$G$3445&amp;"&lt;/min&gt;"</f>
        <v>&lt;min&gt;50&lt;/min&gt;</v>
      </c>
      <c r="B3449" t="s">
        <v>532</v>
      </c>
    </row>
    <row r="3450" spans="1:8" x14ac:dyDescent="0.25">
      <c r="A3450" t="s">
        <v>16</v>
      </c>
      <c r="B3450" t="s">
        <v>532</v>
      </c>
    </row>
    <row r="3451" spans="1:8" x14ac:dyDescent="0.25">
      <c r="A3451" t="s">
        <v>17</v>
      </c>
      <c r="B3451" t="s">
        <v>532</v>
      </c>
    </row>
    <row r="3452" spans="1:8" x14ac:dyDescent="0.25">
      <c r="A3452" t="s">
        <v>18</v>
      </c>
      <c r="B3452" t="s">
        <v>532</v>
      </c>
    </row>
    <row r="3453" spans="1:8" x14ac:dyDescent="0.25">
      <c r="A3453" t="str">
        <f xml:space="preserve"> $H$3445</f>
        <v>&lt;flags count_in_cargo="0" count_in_hoarder="0" count_in_map="1" count_in_player="0" crafted="0" deloot="0"/&gt;</v>
      </c>
      <c r="B3453" t="s">
        <v>532</v>
      </c>
    </row>
    <row r="3454" spans="1:8" x14ac:dyDescent="0.25">
      <c r="A3454" t="str">
        <f>"&lt;category name=" &amp;"""" &amp;$C$3445&amp;"""/&gt;"</f>
        <v>&lt;category name="tools"/&gt;</v>
      </c>
      <c r="B3454" t="s">
        <v>532</v>
      </c>
    </row>
    <row r="3455" spans="1:8" x14ac:dyDescent="0.25">
      <c r="A3455" t="s">
        <v>55</v>
      </c>
      <c r="B3455" t="s">
        <v>532</v>
      </c>
    </row>
    <row r="3456" spans="1:8" x14ac:dyDescent="0.25">
      <c r="A3456" t="s">
        <v>39</v>
      </c>
      <c r="B3456" t="s">
        <v>532</v>
      </c>
    </row>
    <row r="3457" spans="1:8" x14ac:dyDescent="0.25">
      <c r="A3457" t="s">
        <v>40</v>
      </c>
      <c r="B3457" t="s">
        <v>532</v>
      </c>
    </row>
    <row r="3458" spans="1:8" x14ac:dyDescent="0.25">
      <c r="A3458" t="s">
        <v>22</v>
      </c>
      <c r="B3458" t="s">
        <v>532</v>
      </c>
    </row>
    <row r="3459" spans="1:8" x14ac:dyDescent="0.25">
      <c r="A3459" t="s">
        <v>1669</v>
      </c>
      <c r="B3459" t="s">
        <v>533</v>
      </c>
      <c r="C3459" t="s">
        <v>426</v>
      </c>
      <c r="D3459">
        <v>70</v>
      </c>
      <c r="E3459">
        <v>1800</v>
      </c>
      <c r="F3459">
        <v>0</v>
      </c>
      <c r="G3459">
        <v>50</v>
      </c>
      <c r="H3459" t="s">
        <v>19</v>
      </c>
    </row>
    <row r="3460" spans="1:8" x14ac:dyDescent="0.25">
      <c r="A3460" t="str">
        <f>"&lt;nominal&gt;" &amp;$D$3459&amp;"&lt;/nominal&gt;"</f>
        <v>&lt;nominal&gt;70&lt;/nominal&gt;</v>
      </c>
      <c r="B3460" t="s">
        <v>533</v>
      </c>
    </row>
    <row r="3461" spans="1:8" x14ac:dyDescent="0.25">
      <c r="A3461" t="str">
        <f>"&lt;lifetime&gt;" &amp;$E$3459&amp;"&lt;/lifetime&gt;"</f>
        <v>&lt;lifetime&gt;1800&lt;/lifetime&gt;</v>
      </c>
      <c r="B3461" t="s">
        <v>533</v>
      </c>
    </row>
    <row r="3462" spans="1:8" x14ac:dyDescent="0.25">
      <c r="A3462" t="str">
        <f>"&lt;restock&gt;" &amp;$F$3459&amp;"&lt;/restock&gt;"</f>
        <v>&lt;restock&gt;0&lt;/restock&gt;</v>
      </c>
      <c r="B3462" t="s">
        <v>533</v>
      </c>
    </row>
    <row r="3463" spans="1:8" x14ac:dyDescent="0.25">
      <c r="A3463" t="str">
        <f>"&lt;min&gt;" &amp;$G$3459&amp;"&lt;/min&gt;"</f>
        <v>&lt;min&gt;50&lt;/min&gt;</v>
      </c>
      <c r="B3463" t="s">
        <v>533</v>
      </c>
    </row>
    <row r="3464" spans="1:8" x14ac:dyDescent="0.25">
      <c r="A3464" t="s">
        <v>16</v>
      </c>
      <c r="B3464" t="s">
        <v>533</v>
      </c>
    </row>
    <row r="3465" spans="1:8" x14ac:dyDescent="0.25">
      <c r="A3465" t="s">
        <v>17</v>
      </c>
      <c r="B3465" t="s">
        <v>533</v>
      </c>
    </row>
    <row r="3466" spans="1:8" x14ac:dyDescent="0.25">
      <c r="A3466" t="s">
        <v>18</v>
      </c>
      <c r="B3466" t="s">
        <v>533</v>
      </c>
    </row>
    <row r="3467" spans="1:8" x14ac:dyDescent="0.25">
      <c r="A3467" t="str">
        <f xml:space="preserve"> $H$3459</f>
        <v>&lt;flags count_in_cargo="0" count_in_hoarder="0" count_in_map="1" count_in_player="0" crafted="0" deloot="0"/&gt;</v>
      </c>
      <c r="B3467" t="s">
        <v>533</v>
      </c>
    </row>
    <row r="3468" spans="1:8" x14ac:dyDescent="0.25">
      <c r="A3468" t="str">
        <f>"&lt;category name=" &amp;"""" &amp;$C$3459&amp;"""/&gt;"</f>
        <v>&lt;category name="tools"/&gt;</v>
      </c>
      <c r="B3468" t="s">
        <v>533</v>
      </c>
    </row>
    <row r="3469" spans="1:8" x14ac:dyDescent="0.25">
      <c r="A3469" t="s">
        <v>55</v>
      </c>
      <c r="B3469" t="s">
        <v>533</v>
      </c>
    </row>
    <row r="3470" spans="1:8" x14ac:dyDescent="0.25">
      <c r="A3470" t="s">
        <v>39</v>
      </c>
      <c r="B3470" t="s">
        <v>533</v>
      </c>
    </row>
    <row r="3471" spans="1:8" x14ac:dyDescent="0.25">
      <c r="A3471" t="s">
        <v>40</v>
      </c>
      <c r="B3471" t="s">
        <v>533</v>
      </c>
    </row>
    <row r="3472" spans="1:8" x14ac:dyDescent="0.25">
      <c r="A3472" t="s">
        <v>22</v>
      </c>
      <c r="B3472" t="s">
        <v>533</v>
      </c>
    </row>
    <row r="3473" spans="1:8" x14ac:dyDescent="0.25">
      <c r="A3473" t="s">
        <v>1670</v>
      </c>
      <c r="B3473" t="s">
        <v>534</v>
      </c>
      <c r="C3473" t="s">
        <v>426</v>
      </c>
      <c r="D3473">
        <v>70</v>
      </c>
      <c r="E3473">
        <v>1800</v>
      </c>
      <c r="F3473">
        <v>0</v>
      </c>
      <c r="G3473">
        <v>50</v>
      </c>
      <c r="H3473" t="s">
        <v>19</v>
      </c>
    </row>
    <row r="3474" spans="1:8" x14ac:dyDescent="0.25">
      <c r="A3474" t="str">
        <f>"&lt;nominal&gt;" &amp;$D$3473&amp;"&lt;/nominal&gt;"</f>
        <v>&lt;nominal&gt;70&lt;/nominal&gt;</v>
      </c>
      <c r="B3474" t="s">
        <v>534</v>
      </c>
    </row>
    <row r="3475" spans="1:8" x14ac:dyDescent="0.25">
      <c r="A3475" t="str">
        <f>"&lt;lifetime&gt;" &amp;$E$3473&amp;"&lt;/lifetime&gt;"</f>
        <v>&lt;lifetime&gt;1800&lt;/lifetime&gt;</v>
      </c>
      <c r="B3475" t="s">
        <v>534</v>
      </c>
    </row>
    <row r="3476" spans="1:8" x14ac:dyDescent="0.25">
      <c r="A3476" t="str">
        <f>"&lt;restock&gt;" &amp;$F$3473&amp;"&lt;/restock&gt;"</f>
        <v>&lt;restock&gt;0&lt;/restock&gt;</v>
      </c>
      <c r="B3476" t="s">
        <v>534</v>
      </c>
    </row>
    <row r="3477" spans="1:8" x14ac:dyDescent="0.25">
      <c r="A3477" t="str">
        <f>"&lt;min&gt;" &amp;$G$3473&amp;"&lt;/min&gt;"</f>
        <v>&lt;min&gt;50&lt;/min&gt;</v>
      </c>
      <c r="B3477" t="s">
        <v>534</v>
      </c>
    </row>
    <row r="3478" spans="1:8" x14ac:dyDescent="0.25">
      <c r="A3478" t="s">
        <v>16</v>
      </c>
      <c r="B3478" t="s">
        <v>534</v>
      </c>
    </row>
    <row r="3479" spans="1:8" x14ac:dyDescent="0.25">
      <c r="A3479" t="s">
        <v>17</v>
      </c>
      <c r="B3479" t="s">
        <v>534</v>
      </c>
    </row>
    <row r="3480" spans="1:8" x14ac:dyDescent="0.25">
      <c r="A3480" t="s">
        <v>18</v>
      </c>
      <c r="B3480" t="s">
        <v>534</v>
      </c>
    </row>
    <row r="3481" spans="1:8" x14ac:dyDescent="0.25">
      <c r="A3481" t="str">
        <f xml:space="preserve"> $H$3473</f>
        <v>&lt;flags count_in_cargo="0" count_in_hoarder="0" count_in_map="1" count_in_player="0" crafted="0" deloot="0"/&gt;</v>
      </c>
      <c r="B3481" t="s">
        <v>534</v>
      </c>
    </row>
    <row r="3482" spans="1:8" x14ac:dyDescent="0.25">
      <c r="A3482" t="str">
        <f>"&lt;category name=" &amp;"""" &amp;$C$3473&amp;"""/&gt;"</f>
        <v>&lt;category name="tools"/&gt;</v>
      </c>
      <c r="B3482" t="s">
        <v>534</v>
      </c>
    </row>
    <row r="3483" spans="1:8" x14ac:dyDescent="0.25">
      <c r="A3483" t="s">
        <v>55</v>
      </c>
      <c r="B3483" t="s">
        <v>534</v>
      </c>
    </row>
    <row r="3484" spans="1:8" x14ac:dyDescent="0.25">
      <c r="A3484" t="s">
        <v>39</v>
      </c>
      <c r="B3484" t="s">
        <v>534</v>
      </c>
    </row>
    <row r="3485" spans="1:8" x14ac:dyDescent="0.25">
      <c r="A3485" t="s">
        <v>40</v>
      </c>
      <c r="B3485" t="s">
        <v>534</v>
      </c>
    </row>
    <row r="3486" spans="1:8" x14ac:dyDescent="0.25">
      <c r="A3486" t="s">
        <v>22</v>
      </c>
      <c r="B3486" t="s">
        <v>534</v>
      </c>
    </row>
    <row r="3487" spans="1:8" x14ac:dyDescent="0.25">
      <c r="A3487" t="s">
        <v>1671</v>
      </c>
      <c r="B3487" t="s">
        <v>535</v>
      </c>
      <c r="C3487" t="s">
        <v>426</v>
      </c>
      <c r="D3487">
        <v>80</v>
      </c>
      <c r="E3487">
        <v>7200</v>
      </c>
      <c r="F3487">
        <v>0</v>
      </c>
      <c r="G3487">
        <v>50</v>
      </c>
      <c r="H3487" t="s">
        <v>19</v>
      </c>
    </row>
    <row r="3488" spans="1:8" x14ac:dyDescent="0.25">
      <c r="A3488" t="str">
        <f>"&lt;nominal&gt;" &amp;$D$3487&amp;"&lt;/nominal&gt;"</f>
        <v>&lt;nominal&gt;80&lt;/nominal&gt;</v>
      </c>
      <c r="B3488" t="s">
        <v>535</v>
      </c>
    </row>
    <row r="3489" spans="1:8" x14ac:dyDescent="0.25">
      <c r="A3489" t="str">
        <f>"&lt;lifetime&gt;" &amp;$E$3487&amp;"&lt;/lifetime&gt;"</f>
        <v>&lt;lifetime&gt;7200&lt;/lifetime&gt;</v>
      </c>
      <c r="B3489" t="s">
        <v>535</v>
      </c>
    </row>
    <row r="3490" spans="1:8" x14ac:dyDescent="0.25">
      <c r="A3490" t="str">
        <f>"&lt;restock&gt;" &amp;$F$3487&amp;"&lt;/restock&gt;"</f>
        <v>&lt;restock&gt;0&lt;/restock&gt;</v>
      </c>
      <c r="B3490" t="s">
        <v>535</v>
      </c>
    </row>
    <row r="3491" spans="1:8" x14ac:dyDescent="0.25">
      <c r="A3491" t="str">
        <f>"&lt;min&gt;" &amp;$G$3487&amp;"&lt;/min&gt;"</f>
        <v>&lt;min&gt;50&lt;/min&gt;</v>
      </c>
      <c r="B3491" t="s">
        <v>535</v>
      </c>
    </row>
    <row r="3492" spans="1:8" x14ac:dyDescent="0.25">
      <c r="A3492" t="s">
        <v>16</v>
      </c>
      <c r="B3492" t="s">
        <v>535</v>
      </c>
    </row>
    <row r="3493" spans="1:8" x14ac:dyDescent="0.25">
      <c r="A3493" t="s">
        <v>17</v>
      </c>
      <c r="B3493" t="s">
        <v>535</v>
      </c>
    </row>
    <row r="3494" spans="1:8" x14ac:dyDescent="0.25">
      <c r="A3494" t="s">
        <v>18</v>
      </c>
      <c r="B3494" t="s">
        <v>535</v>
      </c>
    </row>
    <row r="3495" spans="1:8" x14ac:dyDescent="0.25">
      <c r="A3495" t="str">
        <f xml:space="preserve"> $H$3487</f>
        <v>&lt;flags count_in_cargo="0" count_in_hoarder="0" count_in_map="1" count_in_player="0" crafted="0" deloot="0"/&gt;</v>
      </c>
      <c r="B3495" t="s">
        <v>535</v>
      </c>
    </row>
    <row r="3496" spans="1:8" x14ac:dyDescent="0.25">
      <c r="A3496" t="str">
        <f>"&lt;category name=" &amp;"""" &amp;$C$3487&amp;"""/&gt;"</f>
        <v>&lt;category name="tools"/&gt;</v>
      </c>
      <c r="B3496" t="s">
        <v>535</v>
      </c>
    </row>
    <row r="3497" spans="1:8" x14ac:dyDescent="0.25">
      <c r="A3497" t="s">
        <v>20</v>
      </c>
      <c r="B3497" t="s">
        <v>535</v>
      </c>
    </row>
    <row r="3498" spans="1:8" x14ac:dyDescent="0.25">
      <c r="A3498" t="s">
        <v>67</v>
      </c>
      <c r="B3498" t="s">
        <v>535</v>
      </c>
    </row>
    <row r="3499" spans="1:8" x14ac:dyDescent="0.25">
      <c r="A3499" t="s">
        <v>172</v>
      </c>
      <c r="B3499" t="s">
        <v>535</v>
      </c>
    </row>
    <row r="3500" spans="1:8" x14ac:dyDescent="0.25">
      <c r="A3500" t="s">
        <v>39</v>
      </c>
      <c r="B3500" t="s">
        <v>535</v>
      </c>
    </row>
    <row r="3501" spans="1:8" x14ac:dyDescent="0.25">
      <c r="A3501" t="s">
        <v>40</v>
      </c>
      <c r="B3501" t="s">
        <v>535</v>
      </c>
    </row>
    <row r="3502" spans="1:8" x14ac:dyDescent="0.25">
      <c r="A3502" t="s">
        <v>22</v>
      </c>
      <c r="B3502" t="s">
        <v>535</v>
      </c>
    </row>
    <row r="3503" spans="1:8" x14ac:dyDescent="0.25">
      <c r="A3503" t="s">
        <v>1672</v>
      </c>
      <c r="B3503" t="s">
        <v>3394</v>
      </c>
      <c r="C3503" t="s">
        <v>426</v>
      </c>
      <c r="D3503">
        <v>0</v>
      </c>
      <c r="E3503">
        <v>180</v>
      </c>
      <c r="F3503">
        <v>0</v>
      </c>
      <c r="G3503">
        <v>0</v>
      </c>
      <c r="H3503" t="s">
        <v>62</v>
      </c>
    </row>
    <row r="3504" spans="1:8" x14ac:dyDescent="0.25">
      <c r="A3504" t="str">
        <f>"&lt;nominal&gt;" &amp;$D$3503&amp;"&lt;/nominal&gt;"</f>
        <v>&lt;nominal&gt;0&lt;/nominal&gt;</v>
      </c>
      <c r="B3504" t="s">
        <v>3394</v>
      </c>
    </row>
    <row r="3505" spans="1:8" x14ac:dyDescent="0.25">
      <c r="A3505" t="str">
        <f>"&lt;lifetime&gt;" &amp;$E$3503&amp;"&lt;/lifetime&gt;"</f>
        <v>&lt;lifetime&gt;180&lt;/lifetime&gt;</v>
      </c>
      <c r="B3505" t="s">
        <v>3394</v>
      </c>
    </row>
    <row r="3506" spans="1:8" x14ac:dyDescent="0.25">
      <c r="A3506" t="str">
        <f>"&lt;restock&gt;" &amp;$F$3503&amp;"&lt;/restock&gt;"</f>
        <v>&lt;restock&gt;0&lt;/restock&gt;</v>
      </c>
      <c r="B3506" t="s">
        <v>3394</v>
      </c>
    </row>
    <row r="3507" spans="1:8" x14ac:dyDescent="0.25">
      <c r="A3507" t="str">
        <f>"&lt;min&gt;" &amp;$G$3503&amp;"&lt;/min&gt;"</f>
        <v>&lt;min&gt;0&lt;/min&gt;</v>
      </c>
      <c r="B3507" t="s">
        <v>3394</v>
      </c>
    </row>
    <row r="3508" spans="1:8" x14ac:dyDescent="0.25">
      <c r="A3508" t="s">
        <v>16</v>
      </c>
      <c r="B3508" t="s">
        <v>3394</v>
      </c>
    </row>
    <row r="3509" spans="1:8" x14ac:dyDescent="0.25">
      <c r="A3509" t="s">
        <v>17</v>
      </c>
      <c r="B3509" t="s">
        <v>3394</v>
      </c>
    </row>
    <row r="3510" spans="1:8" x14ac:dyDescent="0.25">
      <c r="A3510" t="s">
        <v>18</v>
      </c>
      <c r="B3510" t="s">
        <v>3394</v>
      </c>
    </row>
    <row r="3511" spans="1:8" x14ac:dyDescent="0.25">
      <c r="A3511" t="str">
        <f xml:space="preserve"> $H$3503</f>
        <v>&lt;flags count_in_cargo="0" count_in_hoarder="0" count_in_map="1" count_in_player="0" crafted="1" deloot="0"/&gt;</v>
      </c>
      <c r="B3511" t="s">
        <v>3394</v>
      </c>
    </row>
    <row r="3512" spans="1:8" x14ac:dyDescent="0.25">
      <c r="A3512" t="str">
        <f>"&lt;category name=" &amp;"""" &amp;$C$3503&amp;"""/&gt;"</f>
        <v>&lt;category name="tools"/&gt;</v>
      </c>
      <c r="B3512" t="s">
        <v>3394</v>
      </c>
    </row>
    <row r="3513" spans="1:8" x14ac:dyDescent="0.25">
      <c r="A3513" t="s">
        <v>22</v>
      </c>
      <c r="B3513" t="s">
        <v>3394</v>
      </c>
    </row>
    <row r="3514" spans="1:8" x14ac:dyDescent="0.25">
      <c r="A3514" t="s">
        <v>1673</v>
      </c>
      <c r="B3514" t="s">
        <v>536</v>
      </c>
      <c r="C3514" t="s">
        <v>403</v>
      </c>
      <c r="D3514">
        <v>30</v>
      </c>
      <c r="E3514">
        <v>5600</v>
      </c>
      <c r="F3514">
        <v>0</v>
      </c>
      <c r="G3514">
        <v>20</v>
      </c>
      <c r="H3514" t="s">
        <v>19</v>
      </c>
    </row>
    <row r="3515" spans="1:8" x14ac:dyDescent="0.25">
      <c r="A3515" t="str">
        <f>"&lt;nominal&gt;" &amp;$D$3514&amp;"&lt;/nominal&gt;"</f>
        <v>&lt;nominal&gt;30&lt;/nominal&gt;</v>
      </c>
      <c r="B3515" t="s">
        <v>536</v>
      </c>
    </row>
    <row r="3516" spans="1:8" x14ac:dyDescent="0.25">
      <c r="A3516" t="str">
        <f>"&lt;lifetime&gt;" &amp;$E$3514&amp;"&lt;/lifetime&gt;"</f>
        <v>&lt;lifetime&gt;5600&lt;/lifetime&gt;</v>
      </c>
      <c r="B3516" t="s">
        <v>536</v>
      </c>
    </row>
    <row r="3517" spans="1:8" x14ac:dyDescent="0.25">
      <c r="A3517" t="str">
        <f>"&lt;restock&gt;" &amp;$F$3514&amp;"&lt;/restock&gt;"</f>
        <v>&lt;restock&gt;0&lt;/restock&gt;</v>
      </c>
      <c r="B3517" t="s">
        <v>536</v>
      </c>
    </row>
    <row r="3518" spans="1:8" x14ac:dyDescent="0.25">
      <c r="A3518" t="str">
        <f>"&lt;min&gt;" &amp;$G$3514&amp;"&lt;/min&gt;"</f>
        <v>&lt;min&gt;20&lt;/min&gt;</v>
      </c>
      <c r="B3518" t="s">
        <v>536</v>
      </c>
    </row>
    <row r="3519" spans="1:8" x14ac:dyDescent="0.25">
      <c r="A3519" t="s">
        <v>16</v>
      </c>
      <c r="B3519" t="s">
        <v>536</v>
      </c>
    </row>
    <row r="3520" spans="1:8" x14ac:dyDescent="0.25">
      <c r="A3520" t="s">
        <v>17</v>
      </c>
      <c r="B3520" t="s">
        <v>536</v>
      </c>
    </row>
    <row r="3521" spans="1:8" x14ac:dyDescent="0.25">
      <c r="A3521" t="s">
        <v>18</v>
      </c>
      <c r="B3521" t="s">
        <v>536</v>
      </c>
    </row>
    <row r="3522" spans="1:8" x14ac:dyDescent="0.25">
      <c r="A3522" t="str">
        <f xml:space="preserve"> $H$3514</f>
        <v>&lt;flags count_in_cargo="0" count_in_hoarder="0" count_in_map="1" count_in_player="0" crafted="0" deloot="0"/&gt;</v>
      </c>
      <c r="B3522" t="s">
        <v>536</v>
      </c>
    </row>
    <row r="3523" spans="1:8" x14ac:dyDescent="0.25">
      <c r="A3523" t="str">
        <f>"&lt;category name=" &amp;"""" &amp;$C$3514&amp;"""/&gt;"</f>
        <v>&lt;category name="clothes"/&gt;</v>
      </c>
      <c r="B3523" t="s">
        <v>536</v>
      </c>
    </row>
    <row r="3524" spans="1:8" x14ac:dyDescent="0.25">
      <c r="A3524" t="s">
        <v>39</v>
      </c>
      <c r="B3524" t="s">
        <v>536</v>
      </c>
    </row>
    <row r="3525" spans="1:8" x14ac:dyDescent="0.25">
      <c r="A3525" t="s">
        <v>40</v>
      </c>
      <c r="B3525" t="s">
        <v>536</v>
      </c>
    </row>
    <row r="3526" spans="1:8" x14ac:dyDescent="0.25">
      <c r="A3526" t="s">
        <v>22</v>
      </c>
      <c r="B3526" t="s">
        <v>536</v>
      </c>
    </row>
    <row r="3527" spans="1:8" x14ac:dyDescent="0.25">
      <c r="A3527" t="s">
        <v>1674</v>
      </c>
      <c r="B3527" t="s">
        <v>537</v>
      </c>
      <c r="C3527" t="s">
        <v>403</v>
      </c>
      <c r="D3527">
        <v>40</v>
      </c>
      <c r="E3527">
        <v>7200</v>
      </c>
      <c r="F3527">
        <v>0</v>
      </c>
      <c r="G3527">
        <v>30</v>
      </c>
      <c r="H3527" t="s">
        <v>19</v>
      </c>
    </row>
    <row r="3528" spans="1:8" x14ac:dyDescent="0.25">
      <c r="A3528" t="str">
        <f>"&lt;nominal&gt;" &amp;$D$3527&amp;"&lt;/nominal&gt;"</f>
        <v>&lt;nominal&gt;40&lt;/nominal&gt;</v>
      </c>
      <c r="B3528" t="s">
        <v>537</v>
      </c>
    </row>
    <row r="3529" spans="1:8" x14ac:dyDescent="0.25">
      <c r="A3529" t="str">
        <f>"&lt;lifetime&gt;" &amp;$E$3527&amp;"&lt;/lifetime&gt;"</f>
        <v>&lt;lifetime&gt;7200&lt;/lifetime&gt;</v>
      </c>
      <c r="B3529" t="s">
        <v>537</v>
      </c>
    </row>
    <row r="3530" spans="1:8" x14ac:dyDescent="0.25">
      <c r="A3530" t="str">
        <f>"&lt;restock&gt;" &amp;$F$3527&amp;"&lt;/restock&gt;"</f>
        <v>&lt;restock&gt;0&lt;/restock&gt;</v>
      </c>
      <c r="B3530" t="s">
        <v>537</v>
      </c>
    </row>
    <row r="3531" spans="1:8" x14ac:dyDescent="0.25">
      <c r="A3531" t="str">
        <f>"&lt;min&gt;" &amp;$G$3527&amp;"&lt;/min&gt;"</f>
        <v>&lt;min&gt;30&lt;/min&gt;</v>
      </c>
      <c r="B3531" t="s">
        <v>537</v>
      </c>
    </row>
    <row r="3532" spans="1:8" x14ac:dyDescent="0.25">
      <c r="A3532" t="s">
        <v>16</v>
      </c>
      <c r="B3532" t="s">
        <v>537</v>
      </c>
    </row>
    <row r="3533" spans="1:8" x14ac:dyDescent="0.25">
      <c r="A3533" t="s">
        <v>17</v>
      </c>
      <c r="B3533" t="s">
        <v>537</v>
      </c>
    </row>
    <row r="3534" spans="1:8" x14ac:dyDescent="0.25">
      <c r="A3534" t="s">
        <v>18</v>
      </c>
      <c r="B3534" t="s">
        <v>537</v>
      </c>
    </row>
    <row r="3535" spans="1:8" x14ac:dyDescent="0.25">
      <c r="A3535" t="str">
        <f xml:space="preserve"> $H$3527</f>
        <v>&lt;flags count_in_cargo="0" count_in_hoarder="0" count_in_map="1" count_in_player="0" crafted="0" deloot="0"/&gt;</v>
      </c>
      <c r="B3535" t="s">
        <v>537</v>
      </c>
    </row>
    <row r="3536" spans="1:8" x14ac:dyDescent="0.25">
      <c r="A3536" t="str">
        <f>"&lt;category name=" &amp;"""" &amp;$C$3527&amp;"""/&gt;"</f>
        <v>&lt;category name="clothes"/&gt;</v>
      </c>
      <c r="B3536" t="s">
        <v>537</v>
      </c>
    </row>
    <row r="3537" spans="1:8" x14ac:dyDescent="0.25">
      <c r="A3537" t="s">
        <v>39</v>
      </c>
      <c r="B3537" t="s">
        <v>537</v>
      </c>
    </row>
    <row r="3538" spans="1:8" x14ac:dyDescent="0.25">
      <c r="A3538" t="s">
        <v>40</v>
      </c>
      <c r="B3538" t="s">
        <v>537</v>
      </c>
    </row>
    <row r="3539" spans="1:8" x14ac:dyDescent="0.25">
      <c r="A3539" t="s">
        <v>30</v>
      </c>
      <c r="B3539" t="s">
        <v>537</v>
      </c>
    </row>
    <row r="3540" spans="1:8" x14ac:dyDescent="0.25">
      <c r="A3540" t="s">
        <v>31</v>
      </c>
      <c r="B3540" t="s">
        <v>537</v>
      </c>
    </row>
    <row r="3541" spans="1:8" x14ac:dyDescent="0.25">
      <c r="A3541" t="s">
        <v>307</v>
      </c>
      <c r="B3541" t="s">
        <v>537</v>
      </c>
    </row>
    <row r="3542" spans="1:8" x14ac:dyDescent="0.25">
      <c r="A3542" t="s">
        <v>22</v>
      </c>
      <c r="B3542" t="s">
        <v>537</v>
      </c>
    </row>
    <row r="3543" spans="1:8" x14ac:dyDescent="0.25">
      <c r="A3543" t="s">
        <v>1675</v>
      </c>
      <c r="B3543" t="s">
        <v>538</v>
      </c>
      <c r="C3543" t="s">
        <v>399</v>
      </c>
      <c r="D3543">
        <v>0</v>
      </c>
      <c r="E3543">
        <v>7200</v>
      </c>
      <c r="F3543">
        <v>0</v>
      </c>
      <c r="G3543">
        <v>0</v>
      </c>
      <c r="H3543" t="s">
        <v>62</v>
      </c>
    </row>
    <row r="3544" spans="1:8" x14ac:dyDescent="0.25">
      <c r="A3544" t="str">
        <f>"&lt;nominal&gt;" &amp;$D$3543&amp;"&lt;/nominal&gt;"</f>
        <v>&lt;nominal&gt;0&lt;/nominal&gt;</v>
      </c>
      <c r="B3544" t="s">
        <v>538</v>
      </c>
    </row>
    <row r="3545" spans="1:8" x14ac:dyDescent="0.25">
      <c r="A3545" t="str">
        <f>"&lt;lifetime&gt;" &amp;$E$3543&amp;"&lt;/lifetime&gt;"</f>
        <v>&lt;lifetime&gt;7200&lt;/lifetime&gt;</v>
      </c>
      <c r="B3545" t="s">
        <v>538</v>
      </c>
    </row>
    <row r="3546" spans="1:8" x14ac:dyDescent="0.25">
      <c r="A3546" t="str">
        <f>"&lt;restock&gt;" &amp;$F$3543&amp;"&lt;/restock&gt;"</f>
        <v>&lt;restock&gt;0&lt;/restock&gt;</v>
      </c>
      <c r="B3546" t="s">
        <v>538</v>
      </c>
    </row>
    <row r="3547" spans="1:8" x14ac:dyDescent="0.25">
      <c r="A3547" t="str">
        <f>"&lt;min&gt;" &amp;$G$3543&amp;"&lt;/min&gt;"</f>
        <v>&lt;min&gt;0&lt;/min&gt;</v>
      </c>
      <c r="B3547" t="s">
        <v>538</v>
      </c>
    </row>
    <row r="3548" spans="1:8" x14ac:dyDescent="0.25">
      <c r="A3548" t="s">
        <v>16</v>
      </c>
      <c r="B3548" t="s">
        <v>538</v>
      </c>
    </row>
    <row r="3549" spans="1:8" x14ac:dyDescent="0.25">
      <c r="A3549" t="s">
        <v>17</v>
      </c>
      <c r="B3549" t="s">
        <v>538</v>
      </c>
    </row>
    <row r="3550" spans="1:8" x14ac:dyDescent="0.25">
      <c r="A3550" t="s">
        <v>18</v>
      </c>
      <c r="B3550" t="s">
        <v>538</v>
      </c>
    </row>
    <row r="3551" spans="1:8" x14ac:dyDescent="0.25">
      <c r="A3551" t="str">
        <f xml:space="preserve"> $H$3543</f>
        <v>&lt;flags count_in_cargo="0" count_in_hoarder="0" count_in_map="1" count_in_player="0" crafted="1" deloot="0"/&gt;</v>
      </c>
      <c r="B3551" t="s">
        <v>538</v>
      </c>
    </row>
    <row r="3552" spans="1:8" x14ac:dyDescent="0.25">
      <c r="A3552" t="str">
        <f>"&lt;category name=" &amp;"""" &amp;$C$3543&amp;"""/&gt;"</f>
        <v>&lt;category name="food"/&gt;</v>
      </c>
      <c r="B3552" t="s">
        <v>538</v>
      </c>
    </row>
    <row r="3553" spans="1:8" x14ac:dyDescent="0.25">
      <c r="A3553" t="s">
        <v>22</v>
      </c>
      <c r="B3553" t="s">
        <v>538</v>
      </c>
    </row>
    <row r="3554" spans="1:8" x14ac:dyDescent="0.25">
      <c r="A3554" t="s">
        <v>1676</v>
      </c>
      <c r="B3554" t="s">
        <v>539</v>
      </c>
      <c r="C3554" t="s">
        <v>363</v>
      </c>
      <c r="D3554">
        <v>50</v>
      </c>
      <c r="E3554">
        <v>21600</v>
      </c>
      <c r="F3554">
        <v>0</v>
      </c>
      <c r="G3554">
        <v>30</v>
      </c>
      <c r="H3554" t="s">
        <v>19</v>
      </c>
    </row>
    <row r="3555" spans="1:8" x14ac:dyDescent="0.25">
      <c r="A3555" t="str">
        <f>"&lt;nominal&gt;" &amp;$D$3554&amp;"&lt;/nominal&gt;"</f>
        <v>&lt;nominal&gt;50&lt;/nominal&gt;</v>
      </c>
      <c r="B3555" t="s">
        <v>539</v>
      </c>
    </row>
    <row r="3556" spans="1:8" x14ac:dyDescent="0.25">
      <c r="A3556" t="str">
        <f>"&lt;lifetime&gt;" &amp;$E$3554&amp;"&lt;/lifetime&gt;"</f>
        <v>&lt;lifetime&gt;21600&lt;/lifetime&gt;</v>
      </c>
      <c r="B3556" t="s">
        <v>539</v>
      </c>
    </row>
    <row r="3557" spans="1:8" x14ac:dyDescent="0.25">
      <c r="A3557" t="str">
        <f>"&lt;restock&gt;" &amp;$F$3554&amp;"&lt;/restock&gt;"</f>
        <v>&lt;restock&gt;0&lt;/restock&gt;</v>
      </c>
      <c r="B3557" t="s">
        <v>539</v>
      </c>
    </row>
    <row r="3558" spans="1:8" x14ac:dyDescent="0.25">
      <c r="A3558" t="str">
        <f>"&lt;min&gt;" &amp;$G$3554&amp;"&lt;/min&gt;"</f>
        <v>&lt;min&gt;30&lt;/min&gt;</v>
      </c>
      <c r="B3558" t="s">
        <v>539</v>
      </c>
    </row>
    <row r="3559" spans="1:8" x14ac:dyDescent="0.25">
      <c r="A3559" t="s">
        <v>16</v>
      </c>
      <c r="B3559" t="s">
        <v>539</v>
      </c>
    </row>
    <row r="3560" spans="1:8" x14ac:dyDescent="0.25">
      <c r="A3560" t="s">
        <v>17</v>
      </c>
      <c r="B3560" t="s">
        <v>539</v>
      </c>
    </row>
    <row r="3561" spans="1:8" x14ac:dyDescent="0.25">
      <c r="A3561" t="s">
        <v>18</v>
      </c>
      <c r="B3561" t="s">
        <v>539</v>
      </c>
    </row>
    <row r="3562" spans="1:8" x14ac:dyDescent="0.25">
      <c r="A3562" t="str">
        <f xml:space="preserve"> $H$3554</f>
        <v>&lt;flags count_in_cargo="0" count_in_hoarder="0" count_in_map="1" count_in_player="0" crafted="0" deloot="0"/&gt;</v>
      </c>
      <c r="B3562" t="s">
        <v>539</v>
      </c>
    </row>
    <row r="3563" spans="1:8" x14ac:dyDescent="0.25">
      <c r="A3563" t="str">
        <f>"&lt;category name=" &amp;"""" &amp;$C$3554&amp;"""/&gt;"</f>
        <v>&lt;category name="containers"/&gt;</v>
      </c>
      <c r="B3563" t="s">
        <v>539</v>
      </c>
    </row>
    <row r="3564" spans="1:8" x14ac:dyDescent="0.25">
      <c r="A3564" t="s">
        <v>39</v>
      </c>
      <c r="B3564" t="s">
        <v>539</v>
      </c>
    </row>
    <row r="3565" spans="1:8" x14ac:dyDescent="0.25">
      <c r="A3565" t="s">
        <v>40</v>
      </c>
      <c r="B3565" t="s">
        <v>539</v>
      </c>
    </row>
    <row r="3566" spans="1:8" x14ac:dyDescent="0.25">
      <c r="A3566" t="s">
        <v>92</v>
      </c>
      <c r="B3566" t="s">
        <v>539</v>
      </c>
    </row>
    <row r="3567" spans="1:8" x14ac:dyDescent="0.25">
      <c r="A3567" t="s">
        <v>22</v>
      </c>
      <c r="B3567" t="s">
        <v>539</v>
      </c>
    </row>
    <row r="3568" spans="1:8" x14ac:dyDescent="0.25">
      <c r="A3568" t="s">
        <v>1677</v>
      </c>
      <c r="B3568" t="s">
        <v>540</v>
      </c>
      <c r="C3568" t="s">
        <v>363</v>
      </c>
      <c r="D3568">
        <v>50</v>
      </c>
      <c r="E3568">
        <v>21600</v>
      </c>
      <c r="F3568">
        <v>0</v>
      </c>
      <c r="G3568">
        <v>30</v>
      </c>
      <c r="H3568" t="s">
        <v>19</v>
      </c>
    </row>
    <row r="3569" spans="1:8" x14ac:dyDescent="0.25">
      <c r="A3569" t="str">
        <f>"&lt;nominal&gt;" &amp;$D$3568&amp;"&lt;/nominal&gt;"</f>
        <v>&lt;nominal&gt;50&lt;/nominal&gt;</v>
      </c>
      <c r="B3569" t="s">
        <v>540</v>
      </c>
    </row>
    <row r="3570" spans="1:8" x14ac:dyDescent="0.25">
      <c r="A3570" t="str">
        <f>"&lt;lifetime&gt;" &amp;$E$3568&amp;"&lt;/lifetime&gt;"</f>
        <v>&lt;lifetime&gt;21600&lt;/lifetime&gt;</v>
      </c>
      <c r="B3570" t="s">
        <v>540</v>
      </c>
    </row>
    <row r="3571" spans="1:8" x14ac:dyDescent="0.25">
      <c r="A3571" t="str">
        <f>"&lt;restock&gt;" &amp;$F$3568&amp;"&lt;/restock&gt;"</f>
        <v>&lt;restock&gt;0&lt;/restock&gt;</v>
      </c>
      <c r="B3571" t="s">
        <v>540</v>
      </c>
    </row>
    <row r="3572" spans="1:8" x14ac:dyDescent="0.25">
      <c r="A3572" t="str">
        <f>"&lt;min&gt;" &amp;$G$3568&amp;"&lt;/min&gt;"</f>
        <v>&lt;min&gt;30&lt;/min&gt;</v>
      </c>
      <c r="B3572" t="s">
        <v>540</v>
      </c>
    </row>
    <row r="3573" spans="1:8" x14ac:dyDescent="0.25">
      <c r="A3573" t="s">
        <v>16</v>
      </c>
      <c r="B3573" t="s">
        <v>540</v>
      </c>
    </row>
    <row r="3574" spans="1:8" x14ac:dyDescent="0.25">
      <c r="A3574" t="s">
        <v>17</v>
      </c>
      <c r="B3574" t="s">
        <v>540</v>
      </c>
    </row>
    <row r="3575" spans="1:8" x14ac:dyDescent="0.25">
      <c r="A3575" t="s">
        <v>18</v>
      </c>
      <c r="B3575" t="s">
        <v>540</v>
      </c>
    </row>
    <row r="3576" spans="1:8" x14ac:dyDescent="0.25">
      <c r="A3576" t="str">
        <f xml:space="preserve"> $H$3568</f>
        <v>&lt;flags count_in_cargo="0" count_in_hoarder="0" count_in_map="1" count_in_player="0" crafted="0" deloot="0"/&gt;</v>
      </c>
      <c r="B3576" t="s">
        <v>540</v>
      </c>
    </row>
    <row r="3577" spans="1:8" x14ac:dyDescent="0.25">
      <c r="A3577" t="str">
        <f>"&lt;category name=" &amp;"""" &amp;$C$3568&amp;"""/&gt;"</f>
        <v>&lt;category name="containers"/&gt;</v>
      </c>
      <c r="B3577" t="s">
        <v>540</v>
      </c>
    </row>
    <row r="3578" spans="1:8" x14ac:dyDescent="0.25">
      <c r="A3578" t="s">
        <v>39</v>
      </c>
      <c r="B3578" t="s">
        <v>540</v>
      </c>
    </row>
    <row r="3579" spans="1:8" x14ac:dyDescent="0.25">
      <c r="A3579" t="s">
        <v>40</v>
      </c>
      <c r="B3579" t="s">
        <v>540</v>
      </c>
    </row>
    <row r="3580" spans="1:8" x14ac:dyDescent="0.25">
      <c r="A3580" t="s">
        <v>92</v>
      </c>
      <c r="B3580" t="s">
        <v>540</v>
      </c>
    </row>
    <row r="3581" spans="1:8" x14ac:dyDescent="0.25">
      <c r="A3581" t="s">
        <v>22</v>
      </c>
      <c r="B3581" t="s">
        <v>540</v>
      </c>
    </row>
    <row r="3582" spans="1:8" x14ac:dyDescent="0.25">
      <c r="A3582" t="s">
        <v>1678</v>
      </c>
      <c r="B3582" t="s">
        <v>541</v>
      </c>
      <c r="C3582" t="s">
        <v>363</v>
      </c>
      <c r="D3582">
        <v>50</v>
      </c>
      <c r="E3582">
        <v>21600</v>
      </c>
      <c r="F3582">
        <v>0</v>
      </c>
      <c r="G3582">
        <v>30</v>
      </c>
      <c r="H3582" t="s">
        <v>19</v>
      </c>
    </row>
    <row r="3583" spans="1:8" x14ac:dyDescent="0.25">
      <c r="A3583" t="str">
        <f>"&lt;nominal&gt;" &amp;$D$3582&amp;"&lt;/nominal&gt;"</f>
        <v>&lt;nominal&gt;50&lt;/nominal&gt;</v>
      </c>
      <c r="B3583" t="s">
        <v>541</v>
      </c>
    </row>
    <row r="3584" spans="1:8" x14ac:dyDescent="0.25">
      <c r="A3584" t="str">
        <f>"&lt;lifetime&gt;" &amp;$E$3582&amp;"&lt;/lifetime&gt;"</f>
        <v>&lt;lifetime&gt;21600&lt;/lifetime&gt;</v>
      </c>
      <c r="B3584" t="s">
        <v>541</v>
      </c>
    </row>
    <row r="3585" spans="1:8" x14ac:dyDescent="0.25">
      <c r="A3585" t="str">
        <f>"&lt;restock&gt;" &amp;$F$3582&amp;"&lt;/restock&gt;"</f>
        <v>&lt;restock&gt;0&lt;/restock&gt;</v>
      </c>
      <c r="B3585" t="s">
        <v>541</v>
      </c>
    </row>
    <row r="3586" spans="1:8" x14ac:dyDescent="0.25">
      <c r="A3586" t="str">
        <f>"&lt;min&gt;" &amp;$G$3582&amp;"&lt;/min&gt;"</f>
        <v>&lt;min&gt;30&lt;/min&gt;</v>
      </c>
      <c r="B3586" t="s">
        <v>541</v>
      </c>
    </row>
    <row r="3587" spans="1:8" x14ac:dyDescent="0.25">
      <c r="A3587" t="s">
        <v>16</v>
      </c>
      <c r="B3587" t="s">
        <v>541</v>
      </c>
    </row>
    <row r="3588" spans="1:8" x14ac:dyDescent="0.25">
      <c r="A3588" t="s">
        <v>17</v>
      </c>
      <c r="B3588" t="s">
        <v>541</v>
      </c>
    </row>
    <row r="3589" spans="1:8" x14ac:dyDescent="0.25">
      <c r="A3589" t="s">
        <v>18</v>
      </c>
      <c r="B3589" t="s">
        <v>541</v>
      </c>
    </row>
    <row r="3590" spans="1:8" x14ac:dyDescent="0.25">
      <c r="A3590" t="str">
        <f xml:space="preserve"> $H$3582</f>
        <v>&lt;flags count_in_cargo="0" count_in_hoarder="0" count_in_map="1" count_in_player="0" crafted="0" deloot="0"/&gt;</v>
      </c>
      <c r="B3590" t="s">
        <v>541</v>
      </c>
    </row>
    <row r="3591" spans="1:8" x14ac:dyDescent="0.25">
      <c r="A3591" t="str">
        <f>"&lt;category name=" &amp;"""" &amp;$C$3582&amp;"""/&gt;"</f>
        <v>&lt;category name="containers"/&gt;</v>
      </c>
      <c r="B3591" t="s">
        <v>541</v>
      </c>
    </row>
    <row r="3592" spans="1:8" x14ac:dyDescent="0.25">
      <c r="A3592" t="s">
        <v>39</v>
      </c>
      <c r="B3592" t="s">
        <v>541</v>
      </c>
    </row>
    <row r="3593" spans="1:8" x14ac:dyDescent="0.25">
      <c r="A3593" t="s">
        <v>40</v>
      </c>
      <c r="B3593" t="s">
        <v>541</v>
      </c>
    </row>
    <row r="3594" spans="1:8" x14ac:dyDescent="0.25">
      <c r="A3594" t="s">
        <v>92</v>
      </c>
      <c r="B3594" t="s">
        <v>541</v>
      </c>
    </row>
    <row r="3595" spans="1:8" x14ac:dyDescent="0.25">
      <c r="A3595" t="s">
        <v>22</v>
      </c>
      <c r="B3595" t="s">
        <v>541</v>
      </c>
    </row>
    <row r="3596" spans="1:8" x14ac:dyDescent="0.25">
      <c r="A3596" t="s">
        <v>1679</v>
      </c>
      <c r="B3596" t="s">
        <v>3649</v>
      </c>
      <c r="D3596">
        <v>0</v>
      </c>
      <c r="E3596">
        <v>3</v>
      </c>
      <c r="F3596">
        <v>0</v>
      </c>
      <c r="G3596">
        <v>0</v>
      </c>
      <c r="H3596" t="s">
        <v>19</v>
      </c>
    </row>
    <row r="3597" spans="1:8" x14ac:dyDescent="0.25">
      <c r="A3597" t="str">
        <f>"&lt;nominal&gt;" &amp;$D$3596&amp;"&lt;/nominal&gt;"</f>
        <v>&lt;nominal&gt;0&lt;/nominal&gt;</v>
      </c>
      <c r="B3597" t="s">
        <v>3649</v>
      </c>
    </row>
    <row r="3598" spans="1:8" x14ac:dyDescent="0.25">
      <c r="A3598" t="str">
        <f>"&lt;lifetime&gt;" &amp;$E$3596&amp;"&lt;/lifetime&gt;"</f>
        <v>&lt;lifetime&gt;3&lt;/lifetime&gt;</v>
      </c>
      <c r="B3598" t="s">
        <v>3649</v>
      </c>
    </row>
    <row r="3599" spans="1:8" x14ac:dyDescent="0.25">
      <c r="A3599" t="str">
        <f>"&lt;restock&gt;" &amp;$F$3596&amp;"&lt;/restock&gt;"</f>
        <v>&lt;restock&gt;0&lt;/restock&gt;</v>
      </c>
      <c r="B3599" t="s">
        <v>3649</v>
      </c>
    </row>
    <row r="3600" spans="1:8" x14ac:dyDescent="0.25">
      <c r="A3600" t="str">
        <f>"&lt;min&gt;" &amp;$G$3596&amp;"&lt;/min&gt;"</f>
        <v>&lt;min&gt;0&lt;/min&gt;</v>
      </c>
      <c r="B3600" t="s">
        <v>3649</v>
      </c>
    </row>
    <row r="3601" spans="1:8" x14ac:dyDescent="0.25">
      <c r="A3601" t="s">
        <v>16</v>
      </c>
      <c r="B3601" t="s">
        <v>3649</v>
      </c>
    </row>
    <row r="3602" spans="1:8" x14ac:dyDescent="0.25">
      <c r="A3602" t="s">
        <v>17</v>
      </c>
      <c r="B3602" t="s">
        <v>3649</v>
      </c>
    </row>
    <row r="3603" spans="1:8" x14ac:dyDescent="0.25">
      <c r="A3603" t="s">
        <v>18</v>
      </c>
      <c r="B3603" t="s">
        <v>3649</v>
      </c>
    </row>
    <row r="3604" spans="1:8" x14ac:dyDescent="0.25">
      <c r="A3604" t="str">
        <f xml:space="preserve"> $H$3596</f>
        <v>&lt;flags count_in_cargo="0" count_in_hoarder="0" count_in_map="1" count_in_player="0" crafted="0" deloot="0"/&gt;</v>
      </c>
      <c r="B3604" t="s">
        <v>3649</v>
      </c>
    </row>
    <row r="3605" spans="1:8" x14ac:dyDescent="0.25">
      <c r="A3605" t="s">
        <v>22</v>
      </c>
      <c r="B3605" t="s">
        <v>3649</v>
      </c>
    </row>
    <row r="3606" spans="1:8" x14ac:dyDescent="0.25">
      <c r="A3606" t="s">
        <v>1680</v>
      </c>
      <c r="B3606" t="s">
        <v>542</v>
      </c>
      <c r="C3606" t="s">
        <v>426</v>
      </c>
      <c r="D3606">
        <v>2</v>
      </c>
      <c r="E3606">
        <v>2700</v>
      </c>
      <c r="F3606">
        <v>0</v>
      </c>
      <c r="G3606">
        <v>1</v>
      </c>
      <c r="H3606" t="s">
        <v>19</v>
      </c>
    </row>
    <row r="3607" spans="1:8" x14ac:dyDescent="0.25">
      <c r="A3607" t="str">
        <f>"&lt;nominal&gt;" &amp;$D$3606&amp;"&lt;/nominal&gt;"</f>
        <v>&lt;nominal&gt;2&lt;/nominal&gt;</v>
      </c>
      <c r="B3607" t="s">
        <v>542</v>
      </c>
    </row>
    <row r="3608" spans="1:8" x14ac:dyDescent="0.25">
      <c r="A3608" t="str">
        <f>"&lt;lifetime&gt;" &amp;$E$3606&amp;"&lt;/lifetime&gt;"</f>
        <v>&lt;lifetime&gt;2700&lt;/lifetime&gt;</v>
      </c>
      <c r="B3608" t="s">
        <v>542</v>
      </c>
    </row>
    <row r="3609" spans="1:8" x14ac:dyDescent="0.25">
      <c r="A3609" t="str">
        <f>"&lt;restock&gt;" &amp;$F$3606&amp;"&lt;/restock&gt;"</f>
        <v>&lt;restock&gt;0&lt;/restock&gt;</v>
      </c>
      <c r="B3609" t="s">
        <v>542</v>
      </c>
    </row>
    <row r="3610" spans="1:8" x14ac:dyDescent="0.25">
      <c r="A3610" t="str">
        <f>"&lt;min&gt;" &amp;$G$3606&amp;"&lt;/min&gt;"</f>
        <v>&lt;min&gt;1&lt;/min&gt;</v>
      </c>
      <c r="B3610" t="s">
        <v>542</v>
      </c>
    </row>
    <row r="3611" spans="1:8" x14ac:dyDescent="0.25">
      <c r="A3611" t="s">
        <v>16</v>
      </c>
      <c r="B3611" t="s">
        <v>542</v>
      </c>
    </row>
    <row r="3612" spans="1:8" x14ac:dyDescent="0.25">
      <c r="A3612" t="s">
        <v>17</v>
      </c>
      <c r="B3612" t="s">
        <v>542</v>
      </c>
    </row>
    <row r="3613" spans="1:8" x14ac:dyDescent="0.25">
      <c r="A3613" t="s">
        <v>18</v>
      </c>
      <c r="B3613" t="s">
        <v>542</v>
      </c>
    </row>
    <row r="3614" spans="1:8" x14ac:dyDescent="0.25">
      <c r="A3614" t="str">
        <f xml:space="preserve"> $H$3606</f>
        <v>&lt;flags count_in_cargo="0" count_in_hoarder="0" count_in_map="1" count_in_player="0" crafted="0" deloot="0"/&gt;</v>
      </c>
      <c r="B3614" t="s">
        <v>542</v>
      </c>
    </row>
    <row r="3615" spans="1:8" x14ac:dyDescent="0.25">
      <c r="A3615" t="str">
        <f>"&lt;category name=" &amp;"""" &amp;$C$3606&amp;"""/&gt;"</f>
        <v>&lt;category name="tools"/&gt;</v>
      </c>
      <c r="B3615" t="s">
        <v>542</v>
      </c>
    </row>
    <row r="3616" spans="1:8" x14ac:dyDescent="0.25">
      <c r="A3616" t="s">
        <v>25</v>
      </c>
      <c r="B3616" t="s">
        <v>542</v>
      </c>
    </row>
    <row r="3617" spans="1:8" x14ac:dyDescent="0.25">
      <c r="A3617" t="s">
        <v>55</v>
      </c>
      <c r="B3617" t="s">
        <v>542</v>
      </c>
    </row>
    <row r="3618" spans="1:8" x14ac:dyDescent="0.25">
      <c r="A3618" t="s">
        <v>22</v>
      </c>
      <c r="B3618" t="s">
        <v>542</v>
      </c>
    </row>
    <row r="3619" spans="1:8" x14ac:dyDescent="0.25">
      <c r="A3619" t="s">
        <v>1681</v>
      </c>
      <c r="B3619" t="s">
        <v>543</v>
      </c>
      <c r="C3619" t="s">
        <v>426</v>
      </c>
      <c r="D3619">
        <v>2</v>
      </c>
      <c r="E3619">
        <v>2700</v>
      </c>
      <c r="F3619">
        <v>0</v>
      </c>
      <c r="G3619">
        <v>1</v>
      </c>
      <c r="H3619" t="s">
        <v>19</v>
      </c>
    </row>
    <row r="3620" spans="1:8" x14ac:dyDescent="0.25">
      <c r="A3620" t="str">
        <f>"&lt;nominal&gt;" &amp;$D$3619&amp;"&lt;/nominal&gt;"</f>
        <v>&lt;nominal&gt;2&lt;/nominal&gt;</v>
      </c>
      <c r="B3620" t="s">
        <v>543</v>
      </c>
    </row>
    <row r="3621" spans="1:8" x14ac:dyDescent="0.25">
      <c r="A3621" t="str">
        <f>"&lt;lifetime&gt;" &amp;$E$3619&amp;"&lt;/lifetime&gt;"</f>
        <v>&lt;lifetime&gt;2700&lt;/lifetime&gt;</v>
      </c>
      <c r="B3621" t="s">
        <v>543</v>
      </c>
    </row>
    <row r="3622" spans="1:8" x14ac:dyDescent="0.25">
      <c r="A3622" t="str">
        <f>"&lt;restock&gt;" &amp;$F$3619&amp;"&lt;/restock&gt;"</f>
        <v>&lt;restock&gt;0&lt;/restock&gt;</v>
      </c>
      <c r="B3622" t="s">
        <v>543</v>
      </c>
    </row>
    <row r="3623" spans="1:8" x14ac:dyDescent="0.25">
      <c r="A3623" t="str">
        <f>"&lt;min&gt;" &amp;$G$3619&amp;"&lt;/min&gt;"</f>
        <v>&lt;min&gt;1&lt;/min&gt;</v>
      </c>
      <c r="B3623" t="s">
        <v>543</v>
      </c>
    </row>
    <row r="3624" spans="1:8" x14ac:dyDescent="0.25">
      <c r="A3624" t="s">
        <v>16</v>
      </c>
      <c r="B3624" t="s">
        <v>543</v>
      </c>
    </row>
    <row r="3625" spans="1:8" x14ac:dyDescent="0.25">
      <c r="A3625" t="s">
        <v>17</v>
      </c>
      <c r="B3625" t="s">
        <v>543</v>
      </c>
    </row>
    <row r="3626" spans="1:8" x14ac:dyDescent="0.25">
      <c r="A3626" t="s">
        <v>18</v>
      </c>
      <c r="B3626" t="s">
        <v>543</v>
      </c>
    </row>
    <row r="3627" spans="1:8" x14ac:dyDescent="0.25">
      <c r="A3627" t="str">
        <f xml:space="preserve"> $H$3619</f>
        <v>&lt;flags count_in_cargo="0" count_in_hoarder="0" count_in_map="1" count_in_player="0" crafted="0" deloot="0"/&gt;</v>
      </c>
      <c r="B3627" t="s">
        <v>543</v>
      </c>
    </row>
    <row r="3628" spans="1:8" x14ac:dyDescent="0.25">
      <c r="A3628" t="str">
        <f>"&lt;category name=" &amp;"""" &amp;$C$3619&amp;"""/&gt;"</f>
        <v>&lt;category name="tools"/&gt;</v>
      </c>
      <c r="B3628" t="s">
        <v>543</v>
      </c>
    </row>
    <row r="3629" spans="1:8" x14ac:dyDescent="0.25">
      <c r="A3629" t="s">
        <v>25</v>
      </c>
      <c r="B3629" t="s">
        <v>543</v>
      </c>
    </row>
    <row r="3630" spans="1:8" x14ac:dyDescent="0.25">
      <c r="A3630" t="s">
        <v>55</v>
      </c>
      <c r="B3630" t="s">
        <v>543</v>
      </c>
    </row>
    <row r="3631" spans="1:8" x14ac:dyDescent="0.25">
      <c r="A3631" t="s">
        <v>22</v>
      </c>
      <c r="B3631" t="s">
        <v>543</v>
      </c>
    </row>
    <row r="3632" spans="1:8" x14ac:dyDescent="0.25">
      <c r="A3632" t="s">
        <v>1682</v>
      </c>
      <c r="B3632" t="s">
        <v>544</v>
      </c>
      <c r="C3632" t="s">
        <v>426</v>
      </c>
      <c r="D3632">
        <v>2</v>
      </c>
      <c r="E3632">
        <v>2700</v>
      </c>
      <c r="F3632">
        <v>0</v>
      </c>
      <c r="G3632">
        <v>1</v>
      </c>
      <c r="H3632" t="s">
        <v>19</v>
      </c>
    </row>
    <row r="3633" spans="1:8" x14ac:dyDescent="0.25">
      <c r="A3633" t="str">
        <f>"&lt;nominal&gt;" &amp;$D$3632&amp;"&lt;/nominal&gt;"</f>
        <v>&lt;nominal&gt;2&lt;/nominal&gt;</v>
      </c>
      <c r="B3633" t="s">
        <v>544</v>
      </c>
    </row>
    <row r="3634" spans="1:8" x14ac:dyDescent="0.25">
      <c r="A3634" t="str">
        <f>"&lt;lifetime&gt;" &amp;$E$3632&amp;"&lt;/lifetime&gt;"</f>
        <v>&lt;lifetime&gt;2700&lt;/lifetime&gt;</v>
      </c>
      <c r="B3634" t="s">
        <v>544</v>
      </c>
    </row>
    <row r="3635" spans="1:8" x14ac:dyDescent="0.25">
      <c r="A3635" t="str">
        <f>"&lt;restock&gt;" &amp;$F$3632&amp;"&lt;/restock&gt;"</f>
        <v>&lt;restock&gt;0&lt;/restock&gt;</v>
      </c>
      <c r="B3635" t="s">
        <v>544</v>
      </c>
    </row>
    <row r="3636" spans="1:8" x14ac:dyDescent="0.25">
      <c r="A3636" t="str">
        <f>"&lt;min&gt;" &amp;$G$3632&amp;"&lt;/min&gt;"</f>
        <v>&lt;min&gt;1&lt;/min&gt;</v>
      </c>
      <c r="B3636" t="s">
        <v>544</v>
      </c>
    </row>
    <row r="3637" spans="1:8" x14ac:dyDescent="0.25">
      <c r="A3637" t="s">
        <v>16</v>
      </c>
      <c r="B3637" t="s">
        <v>544</v>
      </c>
    </row>
    <row r="3638" spans="1:8" x14ac:dyDescent="0.25">
      <c r="A3638" t="s">
        <v>17</v>
      </c>
      <c r="B3638" t="s">
        <v>544</v>
      </c>
    </row>
    <row r="3639" spans="1:8" x14ac:dyDescent="0.25">
      <c r="A3639" t="s">
        <v>18</v>
      </c>
      <c r="B3639" t="s">
        <v>544</v>
      </c>
    </row>
    <row r="3640" spans="1:8" x14ac:dyDescent="0.25">
      <c r="A3640" t="str">
        <f xml:space="preserve"> $H$3632</f>
        <v>&lt;flags count_in_cargo="0" count_in_hoarder="0" count_in_map="1" count_in_player="0" crafted="0" deloot="0"/&gt;</v>
      </c>
      <c r="B3640" t="s">
        <v>544</v>
      </c>
    </row>
    <row r="3641" spans="1:8" x14ac:dyDescent="0.25">
      <c r="A3641" t="str">
        <f>"&lt;category name=" &amp;"""" &amp;$C$3632&amp;"""/&gt;"</f>
        <v>&lt;category name="tools"/&gt;</v>
      </c>
      <c r="B3641" t="s">
        <v>544</v>
      </c>
    </row>
    <row r="3642" spans="1:8" x14ac:dyDescent="0.25">
      <c r="A3642" t="s">
        <v>25</v>
      </c>
      <c r="B3642" t="s">
        <v>544</v>
      </c>
    </row>
    <row r="3643" spans="1:8" x14ac:dyDescent="0.25">
      <c r="A3643" t="s">
        <v>55</v>
      </c>
      <c r="B3643" t="s">
        <v>544</v>
      </c>
    </row>
    <row r="3644" spans="1:8" x14ac:dyDescent="0.25">
      <c r="A3644" t="s">
        <v>22</v>
      </c>
      <c r="B3644" t="s">
        <v>544</v>
      </c>
    </row>
    <row r="3645" spans="1:8" x14ac:dyDescent="0.25">
      <c r="A3645" t="s">
        <v>1683</v>
      </c>
      <c r="B3645" t="s">
        <v>545</v>
      </c>
      <c r="C3645" t="s">
        <v>426</v>
      </c>
      <c r="D3645">
        <v>2</v>
      </c>
      <c r="E3645">
        <v>2700</v>
      </c>
      <c r="F3645">
        <v>0</v>
      </c>
      <c r="G3645">
        <v>1</v>
      </c>
      <c r="H3645" t="s">
        <v>19</v>
      </c>
    </row>
    <row r="3646" spans="1:8" x14ac:dyDescent="0.25">
      <c r="A3646" t="str">
        <f>"&lt;nominal&gt;" &amp;$D$3645&amp;"&lt;/nominal&gt;"</f>
        <v>&lt;nominal&gt;2&lt;/nominal&gt;</v>
      </c>
      <c r="B3646" t="s">
        <v>545</v>
      </c>
    </row>
    <row r="3647" spans="1:8" x14ac:dyDescent="0.25">
      <c r="A3647" t="str">
        <f>"&lt;lifetime&gt;" &amp;$E$3645&amp;"&lt;/lifetime&gt;"</f>
        <v>&lt;lifetime&gt;2700&lt;/lifetime&gt;</v>
      </c>
      <c r="B3647" t="s">
        <v>545</v>
      </c>
    </row>
    <row r="3648" spans="1:8" x14ac:dyDescent="0.25">
      <c r="A3648" t="str">
        <f>"&lt;restock&gt;" &amp;$F$3645&amp;"&lt;/restock&gt;"</f>
        <v>&lt;restock&gt;0&lt;/restock&gt;</v>
      </c>
      <c r="B3648" t="s">
        <v>545</v>
      </c>
    </row>
    <row r="3649" spans="1:8" x14ac:dyDescent="0.25">
      <c r="A3649" t="str">
        <f>"&lt;min&gt;" &amp;$G$3645&amp;"&lt;/min&gt;"</f>
        <v>&lt;min&gt;1&lt;/min&gt;</v>
      </c>
      <c r="B3649" t="s">
        <v>545</v>
      </c>
    </row>
    <row r="3650" spans="1:8" x14ac:dyDescent="0.25">
      <c r="A3650" t="s">
        <v>16</v>
      </c>
      <c r="B3650" t="s">
        <v>545</v>
      </c>
    </row>
    <row r="3651" spans="1:8" x14ac:dyDescent="0.25">
      <c r="A3651" t="s">
        <v>17</v>
      </c>
      <c r="B3651" t="s">
        <v>545</v>
      </c>
    </row>
    <row r="3652" spans="1:8" x14ac:dyDescent="0.25">
      <c r="A3652" t="s">
        <v>18</v>
      </c>
      <c r="B3652" t="s">
        <v>545</v>
      </c>
    </row>
    <row r="3653" spans="1:8" x14ac:dyDescent="0.25">
      <c r="A3653" t="str">
        <f xml:space="preserve"> $H$3645</f>
        <v>&lt;flags count_in_cargo="0" count_in_hoarder="0" count_in_map="1" count_in_player="0" crafted="0" deloot="0"/&gt;</v>
      </c>
      <c r="B3653" t="s">
        <v>545</v>
      </c>
    </row>
    <row r="3654" spans="1:8" x14ac:dyDescent="0.25">
      <c r="A3654" t="str">
        <f>"&lt;category name=" &amp;"""" &amp;$C$3645&amp;"""/&gt;"</f>
        <v>&lt;category name="tools"/&gt;</v>
      </c>
      <c r="B3654" t="s">
        <v>545</v>
      </c>
    </row>
    <row r="3655" spans="1:8" x14ac:dyDescent="0.25">
      <c r="A3655" t="s">
        <v>25</v>
      </c>
      <c r="B3655" t="s">
        <v>545</v>
      </c>
    </row>
    <row r="3656" spans="1:8" x14ac:dyDescent="0.25">
      <c r="A3656" t="s">
        <v>55</v>
      </c>
      <c r="B3656" t="s">
        <v>545</v>
      </c>
    </row>
    <row r="3657" spans="1:8" x14ac:dyDescent="0.25">
      <c r="A3657" t="s">
        <v>22</v>
      </c>
      <c r="B3657" t="s">
        <v>545</v>
      </c>
    </row>
    <row r="3658" spans="1:8" x14ac:dyDescent="0.25">
      <c r="A3658" t="s">
        <v>1684</v>
      </c>
      <c r="B3658" t="s">
        <v>546</v>
      </c>
      <c r="C3658" t="s">
        <v>426</v>
      </c>
      <c r="D3658">
        <v>2</v>
      </c>
      <c r="E3658">
        <v>2700</v>
      </c>
      <c r="F3658">
        <v>0</v>
      </c>
      <c r="G3658">
        <v>1</v>
      </c>
      <c r="H3658" t="s">
        <v>19</v>
      </c>
    </row>
    <row r="3659" spans="1:8" x14ac:dyDescent="0.25">
      <c r="A3659" t="str">
        <f>"&lt;nominal&gt;" &amp;$D$3658&amp;"&lt;/nominal&gt;"</f>
        <v>&lt;nominal&gt;2&lt;/nominal&gt;</v>
      </c>
      <c r="B3659" t="s">
        <v>546</v>
      </c>
    </row>
    <row r="3660" spans="1:8" x14ac:dyDescent="0.25">
      <c r="A3660" t="str">
        <f>"&lt;lifetime&gt;" &amp;$E$3658&amp;"&lt;/lifetime&gt;"</f>
        <v>&lt;lifetime&gt;2700&lt;/lifetime&gt;</v>
      </c>
      <c r="B3660" t="s">
        <v>546</v>
      </c>
    </row>
    <row r="3661" spans="1:8" x14ac:dyDescent="0.25">
      <c r="A3661" t="str">
        <f>"&lt;restock&gt;" &amp;$F$3658&amp;"&lt;/restock&gt;"</f>
        <v>&lt;restock&gt;0&lt;/restock&gt;</v>
      </c>
      <c r="B3661" t="s">
        <v>546</v>
      </c>
    </row>
    <row r="3662" spans="1:8" x14ac:dyDescent="0.25">
      <c r="A3662" t="str">
        <f>"&lt;min&gt;" &amp;$G$3658&amp;"&lt;/min&gt;"</f>
        <v>&lt;min&gt;1&lt;/min&gt;</v>
      </c>
      <c r="B3662" t="s">
        <v>546</v>
      </c>
    </row>
    <row r="3663" spans="1:8" x14ac:dyDescent="0.25">
      <c r="A3663" t="s">
        <v>16</v>
      </c>
      <c r="B3663" t="s">
        <v>546</v>
      </c>
    </row>
    <row r="3664" spans="1:8" x14ac:dyDescent="0.25">
      <c r="A3664" t="s">
        <v>17</v>
      </c>
      <c r="B3664" t="s">
        <v>546</v>
      </c>
    </row>
    <row r="3665" spans="1:8" x14ac:dyDescent="0.25">
      <c r="A3665" t="s">
        <v>18</v>
      </c>
      <c r="B3665" t="s">
        <v>546</v>
      </c>
    </row>
    <row r="3666" spans="1:8" x14ac:dyDescent="0.25">
      <c r="A3666" t="str">
        <f xml:space="preserve"> $H$3658</f>
        <v>&lt;flags count_in_cargo="0" count_in_hoarder="0" count_in_map="1" count_in_player="0" crafted="0" deloot="0"/&gt;</v>
      </c>
      <c r="B3666" t="s">
        <v>546</v>
      </c>
    </row>
    <row r="3667" spans="1:8" x14ac:dyDescent="0.25">
      <c r="A3667" t="str">
        <f>"&lt;category name=" &amp;"""" &amp;$C$3658&amp;"""/&gt;"</f>
        <v>&lt;category name="tools"/&gt;</v>
      </c>
      <c r="B3667" t="s">
        <v>546</v>
      </c>
    </row>
    <row r="3668" spans="1:8" x14ac:dyDescent="0.25">
      <c r="A3668" t="s">
        <v>25</v>
      </c>
      <c r="B3668" t="s">
        <v>546</v>
      </c>
    </row>
    <row r="3669" spans="1:8" x14ac:dyDescent="0.25">
      <c r="A3669" t="s">
        <v>55</v>
      </c>
      <c r="B3669" t="s">
        <v>546</v>
      </c>
    </row>
    <row r="3670" spans="1:8" x14ac:dyDescent="0.25">
      <c r="A3670" t="s">
        <v>22</v>
      </c>
      <c r="B3670" t="s">
        <v>546</v>
      </c>
    </row>
    <row r="3671" spans="1:8" x14ac:dyDescent="0.25">
      <c r="A3671" t="s">
        <v>1685</v>
      </c>
      <c r="B3671" t="s">
        <v>547</v>
      </c>
      <c r="C3671" t="s">
        <v>426</v>
      </c>
      <c r="D3671">
        <v>2</v>
      </c>
      <c r="E3671">
        <v>2700</v>
      </c>
      <c r="F3671">
        <v>0</v>
      </c>
      <c r="G3671">
        <v>1</v>
      </c>
      <c r="H3671" t="s">
        <v>19</v>
      </c>
    </row>
    <row r="3672" spans="1:8" x14ac:dyDescent="0.25">
      <c r="A3672" t="str">
        <f>"&lt;nominal&gt;" &amp;$D$3671&amp;"&lt;/nominal&gt;"</f>
        <v>&lt;nominal&gt;2&lt;/nominal&gt;</v>
      </c>
      <c r="B3672" t="s">
        <v>547</v>
      </c>
    </row>
    <row r="3673" spans="1:8" x14ac:dyDescent="0.25">
      <c r="A3673" t="str">
        <f>"&lt;lifetime&gt;" &amp;$E$3671&amp;"&lt;/lifetime&gt;"</f>
        <v>&lt;lifetime&gt;2700&lt;/lifetime&gt;</v>
      </c>
      <c r="B3673" t="s">
        <v>547</v>
      </c>
    </row>
    <row r="3674" spans="1:8" x14ac:dyDescent="0.25">
      <c r="A3674" t="str">
        <f>"&lt;restock&gt;" &amp;$F$3671&amp;"&lt;/restock&gt;"</f>
        <v>&lt;restock&gt;0&lt;/restock&gt;</v>
      </c>
      <c r="B3674" t="s">
        <v>547</v>
      </c>
    </row>
    <row r="3675" spans="1:8" x14ac:dyDescent="0.25">
      <c r="A3675" t="str">
        <f>"&lt;min&gt;" &amp;$G$3671&amp;"&lt;/min&gt;"</f>
        <v>&lt;min&gt;1&lt;/min&gt;</v>
      </c>
      <c r="B3675" t="s">
        <v>547</v>
      </c>
    </row>
    <row r="3676" spans="1:8" x14ac:dyDescent="0.25">
      <c r="A3676" t="s">
        <v>16</v>
      </c>
      <c r="B3676" t="s">
        <v>547</v>
      </c>
    </row>
    <row r="3677" spans="1:8" x14ac:dyDescent="0.25">
      <c r="A3677" t="s">
        <v>17</v>
      </c>
      <c r="B3677" t="s">
        <v>547</v>
      </c>
    </row>
    <row r="3678" spans="1:8" x14ac:dyDescent="0.25">
      <c r="A3678" t="s">
        <v>18</v>
      </c>
      <c r="B3678" t="s">
        <v>547</v>
      </c>
    </row>
    <row r="3679" spans="1:8" x14ac:dyDescent="0.25">
      <c r="A3679" t="str">
        <f xml:space="preserve"> $H$3671</f>
        <v>&lt;flags count_in_cargo="0" count_in_hoarder="0" count_in_map="1" count_in_player="0" crafted="0" deloot="0"/&gt;</v>
      </c>
      <c r="B3679" t="s">
        <v>547</v>
      </c>
    </row>
    <row r="3680" spans="1:8" x14ac:dyDescent="0.25">
      <c r="A3680" t="str">
        <f>"&lt;category name=" &amp;"""" &amp;$C$3671&amp;"""/&gt;"</f>
        <v>&lt;category name="tools"/&gt;</v>
      </c>
      <c r="B3680" t="s">
        <v>547</v>
      </c>
    </row>
    <row r="3681" spans="1:8" x14ac:dyDescent="0.25">
      <c r="A3681" t="s">
        <v>25</v>
      </c>
      <c r="B3681" t="s">
        <v>547</v>
      </c>
    </row>
    <row r="3682" spans="1:8" x14ac:dyDescent="0.25">
      <c r="A3682" t="s">
        <v>55</v>
      </c>
      <c r="B3682" t="s">
        <v>547</v>
      </c>
    </row>
    <row r="3683" spans="1:8" x14ac:dyDescent="0.25">
      <c r="A3683" t="s">
        <v>22</v>
      </c>
      <c r="B3683" t="s">
        <v>547</v>
      </c>
    </row>
    <row r="3684" spans="1:8" x14ac:dyDescent="0.25">
      <c r="A3684" t="s">
        <v>1686</v>
      </c>
      <c r="B3684" t="s">
        <v>548</v>
      </c>
      <c r="C3684" t="s">
        <v>426</v>
      </c>
      <c r="D3684">
        <v>2</v>
      </c>
      <c r="E3684">
        <v>2700</v>
      </c>
      <c r="F3684">
        <v>0</v>
      </c>
      <c r="G3684">
        <v>1</v>
      </c>
      <c r="H3684" t="s">
        <v>19</v>
      </c>
    </row>
    <row r="3685" spans="1:8" x14ac:dyDescent="0.25">
      <c r="A3685" t="str">
        <f>"&lt;nominal&gt;" &amp;$D$3684&amp;"&lt;/nominal&gt;"</f>
        <v>&lt;nominal&gt;2&lt;/nominal&gt;</v>
      </c>
      <c r="B3685" t="s">
        <v>548</v>
      </c>
    </row>
    <row r="3686" spans="1:8" x14ac:dyDescent="0.25">
      <c r="A3686" t="str">
        <f>"&lt;lifetime&gt;" &amp;$E$3684&amp;"&lt;/lifetime&gt;"</f>
        <v>&lt;lifetime&gt;2700&lt;/lifetime&gt;</v>
      </c>
      <c r="B3686" t="s">
        <v>548</v>
      </c>
    </row>
    <row r="3687" spans="1:8" x14ac:dyDescent="0.25">
      <c r="A3687" t="str">
        <f>"&lt;restock&gt;" &amp;$F$3684&amp;"&lt;/restock&gt;"</f>
        <v>&lt;restock&gt;0&lt;/restock&gt;</v>
      </c>
      <c r="B3687" t="s">
        <v>548</v>
      </c>
    </row>
    <row r="3688" spans="1:8" x14ac:dyDescent="0.25">
      <c r="A3688" t="str">
        <f>"&lt;min&gt;" &amp;$G$3684&amp;"&lt;/min&gt;"</f>
        <v>&lt;min&gt;1&lt;/min&gt;</v>
      </c>
      <c r="B3688" t="s">
        <v>548</v>
      </c>
    </row>
    <row r="3689" spans="1:8" x14ac:dyDescent="0.25">
      <c r="A3689" t="s">
        <v>16</v>
      </c>
      <c r="B3689" t="s">
        <v>548</v>
      </c>
    </row>
    <row r="3690" spans="1:8" x14ac:dyDescent="0.25">
      <c r="A3690" t="s">
        <v>17</v>
      </c>
      <c r="B3690" t="s">
        <v>548</v>
      </c>
    </row>
    <row r="3691" spans="1:8" x14ac:dyDescent="0.25">
      <c r="A3691" t="s">
        <v>18</v>
      </c>
      <c r="B3691" t="s">
        <v>548</v>
      </c>
    </row>
    <row r="3692" spans="1:8" x14ac:dyDescent="0.25">
      <c r="A3692" t="str">
        <f xml:space="preserve"> $H$3684</f>
        <v>&lt;flags count_in_cargo="0" count_in_hoarder="0" count_in_map="1" count_in_player="0" crafted="0" deloot="0"/&gt;</v>
      </c>
      <c r="B3692" t="s">
        <v>548</v>
      </c>
    </row>
    <row r="3693" spans="1:8" x14ac:dyDescent="0.25">
      <c r="A3693" t="str">
        <f>"&lt;category name=" &amp;"""" &amp;$C$3684&amp;"""/&gt;"</f>
        <v>&lt;category name="tools"/&gt;</v>
      </c>
      <c r="B3693" t="s">
        <v>548</v>
      </c>
    </row>
    <row r="3694" spans="1:8" x14ac:dyDescent="0.25">
      <c r="A3694" t="s">
        <v>25</v>
      </c>
      <c r="B3694" t="s">
        <v>548</v>
      </c>
    </row>
    <row r="3695" spans="1:8" x14ac:dyDescent="0.25">
      <c r="A3695" t="s">
        <v>55</v>
      </c>
      <c r="B3695" t="s">
        <v>548</v>
      </c>
    </row>
    <row r="3696" spans="1:8" x14ac:dyDescent="0.25">
      <c r="A3696" t="s">
        <v>22</v>
      </c>
      <c r="B3696" t="s">
        <v>548</v>
      </c>
    </row>
    <row r="3697" spans="1:8" x14ac:dyDescent="0.25">
      <c r="A3697" t="s">
        <v>1687</v>
      </c>
      <c r="B3697" t="s">
        <v>549</v>
      </c>
      <c r="C3697" t="s">
        <v>426</v>
      </c>
      <c r="D3697">
        <v>2</v>
      </c>
      <c r="E3697">
        <v>2700</v>
      </c>
      <c r="F3697">
        <v>0</v>
      </c>
      <c r="G3697">
        <v>1</v>
      </c>
      <c r="H3697" t="s">
        <v>19</v>
      </c>
    </row>
    <row r="3698" spans="1:8" x14ac:dyDescent="0.25">
      <c r="A3698" t="str">
        <f>"&lt;nominal&gt;" &amp;$D$3697&amp;"&lt;/nominal&gt;"</f>
        <v>&lt;nominal&gt;2&lt;/nominal&gt;</v>
      </c>
      <c r="B3698" t="s">
        <v>549</v>
      </c>
    </row>
    <row r="3699" spans="1:8" x14ac:dyDescent="0.25">
      <c r="A3699" t="str">
        <f>"&lt;lifetime&gt;" &amp;$E$3697&amp;"&lt;/lifetime&gt;"</f>
        <v>&lt;lifetime&gt;2700&lt;/lifetime&gt;</v>
      </c>
      <c r="B3699" t="s">
        <v>549</v>
      </c>
    </row>
    <row r="3700" spans="1:8" x14ac:dyDescent="0.25">
      <c r="A3700" t="str">
        <f>"&lt;restock&gt;" &amp;$F$3697&amp;"&lt;/restock&gt;"</f>
        <v>&lt;restock&gt;0&lt;/restock&gt;</v>
      </c>
      <c r="B3700" t="s">
        <v>549</v>
      </c>
    </row>
    <row r="3701" spans="1:8" x14ac:dyDescent="0.25">
      <c r="A3701" t="str">
        <f>"&lt;min&gt;" &amp;$G$3697&amp;"&lt;/min&gt;"</f>
        <v>&lt;min&gt;1&lt;/min&gt;</v>
      </c>
      <c r="B3701" t="s">
        <v>549</v>
      </c>
    </row>
    <row r="3702" spans="1:8" x14ac:dyDescent="0.25">
      <c r="A3702" t="s">
        <v>16</v>
      </c>
      <c r="B3702" t="s">
        <v>549</v>
      </c>
    </row>
    <row r="3703" spans="1:8" x14ac:dyDescent="0.25">
      <c r="A3703" t="s">
        <v>17</v>
      </c>
      <c r="B3703" t="s">
        <v>549</v>
      </c>
    </row>
    <row r="3704" spans="1:8" x14ac:dyDescent="0.25">
      <c r="A3704" t="s">
        <v>18</v>
      </c>
      <c r="B3704" t="s">
        <v>549</v>
      </c>
    </row>
    <row r="3705" spans="1:8" x14ac:dyDescent="0.25">
      <c r="A3705" t="str">
        <f xml:space="preserve"> $H$3697</f>
        <v>&lt;flags count_in_cargo="0" count_in_hoarder="0" count_in_map="1" count_in_player="0" crafted="0" deloot="0"/&gt;</v>
      </c>
      <c r="B3705" t="s">
        <v>549</v>
      </c>
    </row>
    <row r="3706" spans="1:8" x14ac:dyDescent="0.25">
      <c r="A3706" t="str">
        <f>"&lt;category name=" &amp;"""" &amp;$C$3697&amp;"""/&gt;"</f>
        <v>&lt;category name="tools"/&gt;</v>
      </c>
      <c r="B3706" t="s">
        <v>549</v>
      </c>
    </row>
    <row r="3707" spans="1:8" x14ac:dyDescent="0.25">
      <c r="A3707" t="s">
        <v>25</v>
      </c>
      <c r="B3707" t="s">
        <v>549</v>
      </c>
    </row>
    <row r="3708" spans="1:8" x14ac:dyDescent="0.25">
      <c r="A3708" t="s">
        <v>55</v>
      </c>
      <c r="B3708" t="s">
        <v>549</v>
      </c>
    </row>
    <row r="3709" spans="1:8" x14ac:dyDescent="0.25">
      <c r="A3709" t="s">
        <v>22</v>
      </c>
      <c r="B3709" t="s">
        <v>549</v>
      </c>
    </row>
    <row r="3710" spans="1:8" x14ac:dyDescent="0.25">
      <c r="A3710" t="s">
        <v>1688</v>
      </c>
      <c r="B3710" t="s">
        <v>550</v>
      </c>
      <c r="C3710" t="s">
        <v>426</v>
      </c>
      <c r="D3710">
        <v>2</v>
      </c>
      <c r="E3710">
        <v>2700</v>
      </c>
      <c r="F3710">
        <v>0</v>
      </c>
      <c r="G3710">
        <v>1</v>
      </c>
      <c r="H3710" t="s">
        <v>19</v>
      </c>
    </row>
    <row r="3711" spans="1:8" x14ac:dyDescent="0.25">
      <c r="A3711" t="str">
        <f>"&lt;nominal&gt;" &amp;$D$3710&amp;"&lt;/nominal&gt;"</f>
        <v>&lt;nominal&gt;2&lt;/nominal&gt;</v>
      </c>
      <c r="B3711" t="s">
        <v>550</v>
      </c>
    </row>
    <row r="3712" spans="1:8" x14ac:dyDescent="0.25">
      <c r="A3712" t="str">
        <f>"&lt;lifetime&gt;" &amp;$E$3710&amp;"&lt;/lifetime&gt;"</f>
        <v>&lt;lifetime&gt;2700&lt;/lifetime&gt;</v>
      </c>
      <c r="B3712" t="s">
        <v>550</v>
      </c>
    </row>
    <row r="3713" spans="1:8" x14ac:dyDescent="0.25">
      <c r="A3713" t="str">
        <f>"&lt;restock&gt;" &amp;$F$3710&amp;"&lt;/restock&gt;"</f>
        <v>&lt;restock&gt;0&lt;/restock&gt;</v>
      </c>
      <c r="B3713" t="s">
        <v>550</v>
      </c>
    </row>
    <row r="3714" spans="1:8" x14ac:dyDescent="0.25">
      <c r="A3714" t="str">
        <f>"&lt;min&gt;" &amp;$G$3710&amp;"&lt;/min&gt;"</f>
        <v>&lt;min&gt;1&lt;/min&gt;</v>
      </c>
      <c r="B3714" t="s">
        <v>550</v>
      </c>
    </row>
    <row r="3715" spans="1:8" x14ac:dyDescent="0.25">
      <c r="A3715" t="s">
        <v>16</v>
      </c>
      <c r="B3715" t="s">
        <v>550</v>
      </c>
    </row>
    <row r="3716" spans="1:8" x14ac:dyDescent="0.25">
      <c r="A3716" t="s">
        <v>17</v>
      </c>
      <c r="B3716" t="s">
        <v>550</v>
      </c>
    </row>
    <row r="3717" spans="1:8" x14ac:dyDescent="0.25">
      <c r="A3717" t="s">
        <v>18</v>
      </c>
      <c r="B3717" t="s">
        <v>550</v>
      </c>
    </row>
    <row r="3718" spans="1:8" x14ac:dyDescent="0.25">
      <c r="A3718" t="str">
        <f xml:space="preserve"> $H$3710</f>
        <v>&lt;flags count_in_cargo="0" count_in_hoarder="0" count_in_map="1" count_in_player="0" crafted="0" deloot="0"/&gt;</v>
      </c>
      <c r="B3718" t="s">
        <v>550</v>
      </c>
    </row>
    <row r="3719" spans="1:8" x14ac:dyDescent="0.25">
      <c r="A3719" t="str">
        <f>"&lt;category name=" &amp;"""" &amp;$C$3710&amp;"""/&gt;"</f>
        <v>&lt;category name="tools"/&gt;</v>
      </c>
      <c r="B3719" t="s">
        <v>550</v>
      </c>
    </row>
    <row r="3720" spans="1:8" x14ac:dyDescent="0.25">
      <c r="A3720" t="s">
        <v>25</v>
      </c>
      <c r="B3720" t="s">
        <v>550</v>
      </c>
    </row>
    <row r="3721" spans="1:8" x14ac:dyDescent="0.25">
      <c r="A3721" t="s">
        <v>55</v>
      </c>
      <c r="B3721" t="s">
        <v>550</v>
      </c>
    </row>
    <row r="3722" spans="1:8" x14ac:dyDescent="0.25">
      <c r="A3722" t="s">
        <v>22</v>
      </c>
      <c r="B3722" t="s">
        <v>550</v>
      </c>
    </row>
    <row r="3723" spans="1:8" x14ac:dyDescent="0.25">
      <c r="A3723" t="s">
        <v>1689</v>
      </c>
      <c r="B3723" t="s">
        <v>551</v>
      </c>
      <c r="C3723" t="s">
        <v>426</v>
      </c>
      <c r="D3723">
        <v>2</v>
      </c>
      <c r="E3723">
        <v>2700</v>
      </c>
      <c r="F3723">
        <v>0</v>
      </c>
      <c r="G3723">
        <v>1</v>
      </c>
      <c r="H3723" t="s">
        <v>19</v>
      </c>
    </row>
    <row r="3724" spans="1:8" x14ac:dyDescent="0.25">
      <c r="A3724" t="str">
        <f>"&lt;nominal&gt;" &amp;$D$3723&amp;"&lt;/nominal&gt;"</f>
        <v>&lt;nominal&gt;2&lt;/nominal&gt;</v>
      </c>
      <c r="B3724" t="s">
        <v>551</v>
      </c>
    </row>
    <row r="3725" spans="1:8" x14ac:dyDescent="0.25">
      <c r="A3725" t="str">
        <f>"&lt;lifetime&gt;" &amp;$E$3723&amp;"&lt;/lifetime&gt;"</f>
        <v>&lt;lifetime&gt;2700&lt;/lifetime&gt;</v>
      </c>
      <c r="B3725" t="s">
        <v>551</v>
      </c>
    </row>
    <row r="3726" spans="1:8" x14ac:dyDescent="0.25">
      <c r="A3726" t="str">
        <f>"&lt;restock&gt;" &amp;$F$3723&amp;"&lt;/restock&gt;"</f>
        <v>&lt;restock&gt;0&lt;/restock&gt;</v>
      </c>
      <c r="B3726" t="s">
        <v>551</v>
      </c>
    </row>
    <row r="3727" spans="1:8" x14ac:dyDescent="0.25">
      <c r="A3727" t="str">
        <f>"&lt;min&gt;" &amp;$G$3723&amp;"&lt;/min&gt;"</f>
        <v>&lt;min&gt;1&lt;/min&gt;</v>
      </c>
      <c r="B3727" t="s">
        <v>551</v>
      </c>
    </row>
    <row r="3728" spans="1:8" x14ac:dyDescent="0.25">
      <c r="A3728" t="s">
        <v>16</v>
      </c>
      <c r="B3728" t="s">
        <v>551</v>
      </c>
    </row>
    <row r="3729" spans="1:8" x14ac:dyDescent="0.25">
      <c r="A3729" t="s">
        <v>17</v>
      </c>
      <c r="B3729" t="s">
        <v>551</v>
      </c>
    </row>
    <row r="3730" spans="1:8" x14ac:dyDescent="0.25">
      <c r="A3730" t="s">
        <v>18</v>
      </c>
      <c r="B3730" t="s">
        <v>551</v>
      </c>
    </row>
    <row r="3731" spans="1:8" x14ac:dyDescent="0.25">
      <c r="A3731" t="str">
        <f xml:space="preserve"> $H$3723</f>
        <v>&lt;flags count_in_cargo="0" count_in_hoarder="0" count_in_map="1" count_in_player="0" crafted="0" deloot="0"/&gt;</v>
      </c>
      <c r="B3731" t="s">
        <v>551</v>
      </c>
    </row>
    <row r="3732" spans="1:8" x14ac:dyDescent="0.25">
      <c r="A3732" t="str">
        <f>"&lt;category name=" &amp;"""" &amp;$C$3723&amp;"""/&gt;"</f>
        <v>&lt;category name="tools"/&gt;</v>
      </c>
      <c r="B3732" t="s">
        <v>551</v>
      </c>
    </row>
    <row r="3733" spans="1:8" x14ac:dyDescent="0.25">
      <c r="A3733" t="s">
        <v>25</v>
      </c>
      <c r="B3733" t="s">
        <v>551</v>
      </c>
    </row>
    <row r="3734" spans="1:8" x14ac:dyDescent="0.25">
      <c r="A3734" t="s">
        <v>55</v>
      </c>
      <c r="B3734" t="s">
        <v>551</v>
      </c>
    </row>
    <row r="3735" spans="1:8" x14ac:dyDescent="0.25">
      <c r="A3735" t="s">
        <v>22</v>
      </c>
      <c r="B3735" t="s">
        <v>551</v>
      </c>
    </row>
    <row r="3736" spans="1:8" x14ac:dyDescent="0.25">
      <c r="A3736" t="s">
        <v>1690</v>
      </c>
      <c r="B3736" t="s">
        <v>552</v>
      </c>
      <c r="C3736" t="s">
        <v>426</v>
      </c>
      <c r="D3736">
        <v>2</v>
      </c>
      <c r="E3736">
        <v>2700</v>
      </c>
      <c r="F3736">
        <v>0</v>
      </c>
      <c r="G3736">
        <v>1</v>
      </c>
      <c r="H3736" t="s">
        <v>19</v>
      </c>
    </row>
    <row r="3737" spans="1:8" x14ac:dyDescent="0.25">
      <c r="A3737" t="str">
        <f>"&lt;nominal&gt;" &amp;$D$3736&amp;"&lt;/nominal&gt;"</f>
        <v>&lt;nominal&gt;2&lt;/nominal&gt;</v>
      </c>
      <c r="B3737" t="s">
        <v>552</v>
      </c>
    </row>
    <row r="3738" spans="1:8" x14ac:dyDescent="0.25">
      <c r="A3738" t="str">
        <f>"&lt;lifetime&gt;" &amp;$E$3736&amp;"&lt;/lifetime&gt;"</f>
        <v>&lt;lifetime&gt;2700&lt;/lifetime&gt;</v>
      </c>
      <c r="B3738" t="s">
        <v>552</v>
      </c>
    </row>
    <row r="3739" spans="1:8" x14ac:dyDescent="0.25">
      <c r="A3739" t="str">
        <f>"&lt;restock&gt;" &amp;$F$3736&amp;"&lt;/restock&gt;"</f>
        <v>&lt;restock&gt;0&lt;/restock&gt;</v>
      </c>
      <c r="B3739" t="s">
        <v>552</v>
      </c>
    </row>
    <row r="3740" spans="1:8" x14ac:dyDescent="0.25">
      <c r="A3740" t="str">
        <f>"&lt;min&gt;" &amp;$G$3736&amp;"&lt;/min&gt;"</f>
        <v>&lt;min&gt;1&lt;/min&gt;</v>
      </c>
      <c r="B3740" t="s">
        <v>552</v>
      </c>
    </row>
    <row r="3741" spans="1:8" x14ac:dyDescent="0.25">
      <c r="A3741" t="s">
        <v>16</v>
      </c>
      <c r="B3741" t="s">
        <v>552</v>
      </c>
    </row>
    <row r="3742" spans="1:8" x14ac:dyDescent="0.25">
      <c r="A3742" t="s">
        <v>17</v>
      </c>
      <c r="B3742" t="s">
        <v>552</v>
      </c>
    </row>
    <row r="3743" spans="1:8" x14ac:dyDescent="0.25">
      <c r="A3743" t="s">
        <v>18</v>
      </c>
      <c r="B3743" t="s">
        <v>552</v>
      </c>
    </row>
    <row r="3744" spans="1:8" x14ac:dyDescent="0.25">
      <c r="A3744" t="str">
        <f xml:space="preserve"> $H$3736</f>
        <v>&lt;flags count_in_cargo="0" count_in_hoarder="0" count_in_map="1" count_in_player="0" crafted="0" deloot="0"/&gt;</v>
      </c>
      <c r="B3744" t="s">
        <v>552</v>
      </c>
    </row>
    <row r="3745" spans="1:8" x14ac:dyDescent="0.25">
      <c r="A3745" t="str">
        <f>"&lt;category name=" &amp;"""" &amp;$C$3736&amp;"""/&gt;"</f>
        <v>&lt;category name="tools"/&gt;</v>
      </c>
      <c r="B3745" t="s">
        <v>552</v>
      </c>
    </row>
    <row r="3746" spans="1:8" x14ac:dyDescent="0.25">
      <c r="A3746" t="s">
        <v>25</v>
      </c>
      <c r="B3746" t="s">
        <v>552</v>
      </c>
    </row>
    <row r="3747" spans="1:8" x14ac:dyDescent="0.25">
      <c r="A3747" t="s">
        <v>55</v>
      </c>
      <c r="B3747" t="s">
        <v>552</v>
      </c>
    </row>
    <row r="3748" spans="1:8" x14ac:dyDescent="0.25">
      <c r="A3748" t="s">
        <v>22</v>
      </c>
      <c r="B3748" t="s">
        <v>552</v>
      </c>
    </row>
    <row r="3749" spans="1:8" x14ac:dyDescent="0.25">
      <c r="A3749" t="s">
        <v>1691</v>
      </c>
      <c r="B3749" t="s">
        <v>553</v>
      </c>
      <c r="C3749" t="s">
        <v>426</v>
      </c>
      <c r="D3749">
        <v>2</v>
      </c>
      <c r="E3749">
        <v>2700</v>
      </c>
      <c r="F3749">
        <v>0</v>
      </c>
      <c r="G3749">
        <v>1</v>
      </c>
      <c r="H3749" t="s">
        <v>19</v>
      </c>
    </row>
    <row r="3750" spans="1:8" x14ac:dyDescent="0.25">
      <c r="A3750" t="str">
        <f>"&lt;nominal&gt;" &amp;$D$3749&amp;"&lt;/nominal&gt;"</f>
        <v>&lt;nominal&gt;2&lt;/nominal&gt;</v>
      </c>
      <c r="B3750" t="s">
        <v>553</v>
      </c>
    </row>
    <row r="3751" spans="1:8" x14ac:dyDescent="0.25">
      <c r="A3751" t="str">
        <f>"&lt;lifetime&gt;" &amp;$E$3749&amp;"&lt;/lifetime&gt;"</f>
        <v>&lt;lifetime&gt;2700&lt;/lifetime&gt;</v>
      </c>
      <c r="B3751" t="s">
        <v>553</v>
      </c>
    </row>
    <row r="3752" spans="1:8" x14ac:dyDescent="0.25">
      <c r="A3752" t="str">
        <f>"&lt;restock&gt;" &amp;$F$3749&amp;"&lt;/restock&gt;"</f>
        <v>&lt;restock&gt;0&lt;/restock&gt;</v>
      </c>
      <c r="B3752" t="s">
        <v>553</v>
      </c>
    </row>
    <row r="3753" spans="1:8" x14ac:dyDescent="0.25">
      <c r="A3753" t="str">
        <f>"&lt;min&gt;" &amp;$G$3749&amp;"&lt;/min&gt;"</f>
        <v>&lt;min&gt;1&lt;/min&gt;</v>
      </c>
      <c r="B3753" t="s">
        <v>553</v>
      </c>
    </row>
    <row r="3754" spans="1:8" x14ac:dyDescent="0.25">
      <c r="A3754" t="s">
        <v>16</v>
      </c>
      <c r="B3754" t="s">
        <v>553</v>
      </c>
    </row>
    <row r="3755" spans="1:8" x14ac:dyDescent="0.25">
      <c r="A3755" t="s">
        <v>17</v>
      </c>
      <c r="B3755" t="s">
        <v>553</v>
      </c>
    </row>
    <row r="3756" spans="1:8" x14ac:dyDescent="0.25">
      <c r="A3756" t="s">
        <v>18</v>
      </c>
      <c r="B3756" t="s">
        <v>553</v>
      </c>
    </row>
    <row r="3757" spans="1:8" x14ac:dyDescent="0.25">
      <c r="A3757" t="str">
        <f xml:space="preserve"> $H$3749</f>
        <v>&lt;flags count_in_cargo="0" count_in_hoarder="0" count_in_map="1" count_in_player="0" crafted="0" deloot="0"/&gt;</v>
      </c>
      <c r="B3757" t="s">
        <v>553</v>
      </c>
    </row>
    <row r="3758" spans="1:8" x14ac:dyDescent="0.25">
      <c r="A3758" t="str">
        <f>"&lt;category name=" &amp;"""" &amp;$C$3749&amp;"""/&gt;"</f>
        <v>&lt;category name="tools"/&gt;</v>
      </c>
      <c r="B3758" t="s">
        <v>553</v>
      </c>
    </row>
    <row r="3759" spans="1:8" x14ac:dyDescent="0.25">
      <c r="A3759" t="s">
        <v>25</v>
      </c>
      <c r="B3759" t="s">
        <v>553</v>
      </c>
    </row>
    <row r="3760" spans="1:8" x14ac:dyDescent="0.25">
      <c r="A3760" t="s">
        <v>55</v>
      </c>
      <c r="B3760" t="s">
        <v>553</v>
      </c>
    </row>
    <row r="3761" spans="1:8" x14ac:dyDescent="0.25">
      <c r="A3761" t="s">
        <v>22</v>
      </c>
      <c r="B3761" t="s">
        <v>553</v>
      </c>
    </row>
    <row r="3762" spans="1:8" x14ac:dyDescent="0.25">
      <c r="A3762" t="s">
        <v>1692</v>
      </c>
      <c r="B3762" t="s">
        <v>554</v>
      </c>
      <c r="C3762" t="s">
        <v>426</v>
      </c>
      <c r="D3762">
        <v>2</v>
      </c>
      <c r="E3762">
        <v>2700</v>
      </c>
      <c r="F3762">
        <v>0</v>
      </c>
      <c r="G3762">
        <v>1</v>
      </c>
      <c r="H3762" t="s">
        <v>19</v>
      </c>
    </row>
    <row r="3763" spans="1:8" x14ac:dyDescent="0.25">
      <c r="A3763" t="str">
        <f>"&lt;nominal&gt;" &amp;$D$3762&amp;"&lt;/nominal&gt;"</f>
        <v>&lt;nominal&gt;2&lt;/nominal&gt;</v>
      </c>
      <c r="B3763" t="s">
        <v>554</v>
      </c>
    </row>
    <row r="3764" spans="1:8" x14ac:dyDescent="0.25">
      <c r="A3764" t="str">
        <f>"&lt;lifetime&gt;" &amp;$E$3762&amp;"&lt;/lifetime&gt;"</f>
        <v>&lt;lifetime&gt;2700&lt;/lifetime&gt;</v>
      </c>
      <c r="B3764" t="s">
        <v>554</v>
      </c>
    </row>
    <row r="3765" spans="1:8" x14ac:dyDescent="0.25">
      <c r="A3765" t="str">
        <f>"&lt;restock&gt;" &amp;$F$3762&amp;"&lt;/restock&gt;"</f>
        <v>&lt;restock&gt;0&lt;/restock&gt;</v>
      </c>
      <c r="B3765" t="s">
        <v>554</v>
      </c>
    </row>
    <row r="3766" spans="1:8" x14ac:dyDescent="0.25">
      <c r="A3766" t="str">
        <f>"&lt;min&gt;" &amp;$G$3762&amp;"&lt;/min&gt;"</f>
        <v>&lt;min&gt;1&lt;/min&gt;</v>
      </c>
      <c r="B3766" t="s">
        <v>554</v>
      </c>
    </row>
    <row r="3767" spans="1:8" x14ac:dyDescent="0.25">
      <c r="A3767" t="s">
        <v>16</v>
      </c>
      <c r="B3767" t="s">
        <v>554</v>
      </c>
    </row>
    <row r="3768" spans="1:8" x14ac:dyDescent="0.25">
      <c r="A3768" t="s">
        <v>17</v>
      </c>
      <c r="B3768" t="s">
        <v>554</v>
      </c>
    </row>
    <row r="3769" spans="1:8" x14ac:dyDescent="0.25">
      <c r="A3769" t="s">
        <v>18</v>
      </c>
      <c r="B3769" t="s">
        <v>554</v>
      </c>
    </row>
    <row r="3770" spans="1:8" x14ac:dyDescent="0.25">
      <c r="A3770" t="str">
        <f xml:space="preserve"> $H$3762</f>
        <v>&lt;flags count_in_cargo="0" count_in_hoarder="0" count_in_map="1" count_in_player="0" crafted="0" deloot="0"/&gt;</v>
      </c>
      <c r="B3770" t="s">
        <v>554</v>
      </c>
    </row>
    <row r="3771" spans="1:8" x14ac:dyDescent="0.25">
      <c r="A3771" t="str">
        <f>"&lt;category name=" &amp;"""" &amp;$C$3762&amp;"""/&gt;"</f>
        <v>&lt;category name="tools"/&gt;</v>
      </c>
      <c r="B3771" t="s">
        <v>554</v>
      </c>
    </row>
    <row r="3772" spans="1:8" x14ac:dyDescent="0.25">
      <c r="A3772" t="s">
        <v>25</v>
      </c>
      <c r="B3772" t="s">
        <v>554</v>
      </c>
    </row>
    <row r="3773" spans="1:8" x14ac:dyDescent="0.25">
      <c r="A3773" t="s">
        <v>55</v>
      </c>
      <c r="B3773" t="s">
        <v>554</v>
      </c>
    </row>
    <row r="3774" spans="1:8" x14ac:dyDescent="0.25">
      <c r="A3774" t="s">
        <v>22</v>
      </c>
      <c r="B3774" t="s">
        <v>554</v>
      </c>
    </row>
    <row r="3775" spans="1:8" x14ac:dyDescent="0.25">
      <c r="A3775" t="s">
        <v>1693</v>
      </c>
      <c r="B3775" t="s">
        <v>555</v>
      </c>
      <c r="C3775" t="s">
        <v>426</v>
      </c>
      <c r="D3775">
        <v>2</v>
      </c>
      <c r="E3775">
        <v>2700</v>
      </c>
      <c r="F3775">
        <v>0</v>
      </c>
      <c r="G3775">
        <v>1</v>
      </c>
      <c r="H3775" t="s">
        <v>19</v>
      </c>
    </row>
    <row r="3776" spans="1:8" x14ac:dyDescent="0.25">
      <c r="A3776" t="str">
        <f>"&lt;nominal&gt;" &amp;$D$3775&amp;"&lt;/nominal&gt;"</f>
        <v>&lt;nominal&gt;2&lt;/nominal&gt;</v>
      </c>
      <c r="B3776" t="s">
        <v>555</v>
      </c>
    </row>
    <row r="3777" spans="1:8" x14ac:dyDescent="0.25">
      <c r="A3777" t="str">
        <f>"&lt;lifetime&gt;" &amp;$E$3775&amp;"&lt;/lifetime&gt;"</f>
        <v>&lt;lifetime&gt;2700&lt;/lifetime&gt;</v>
      </c>
      <c r="B3777" t="s">
        <v>555</v>
      </c>
    </row>
    <row r="3778" spans="1:8" x14ac:dyDescent="0.25">
      <c r="A3778" t="str">
        <f>"&lt;restock&gt;" &amp;$F$3775&amp;"&lt;/restock&gt;"</f>
        <v>&lt;restock&gt;0&lt;/restock&gt;</v>
      </c>
      <c r="B3778" t="s">
        <v>555</v>
      </c>
    </row>
    <row r="3779" spans="1:8" x14ac:dyDescent="0.25">
      <c r="A3779" t="str">
        <f>"&lt;min&gt;" &amp;$G$3775&amp;"&lt;/min&gt;"</f>
        <v>&lt;min&gt;1&lt;/min&gt;</v>
      </c>
      <c r="B3779" t="s">
        <v>555</v>
      </c>
    </row>
    <row r="3780" spans="1:8" x14ac:dyDescent="0.25">
      <c r="A3780" t="s">
        <v>16</v>
      </c>
      <c r="B3780" t="s">
        <v>555</v>
      </c>
    </row>
    <row r="3781" spans="1:8" x14ac:dyDescent="0.25">
      <c r="A3781" t="s">
        <v>17</v>
      </c>
      <c r="B3781" t="s">
        <v>555</v>
      </c>
    </row>
    <row r="3782" spans="1:8" x14ac:dyDescent="0.25">
      <c r="A3782" t="s">
        <v>18</v>
      </c>
      <c r="B3782" t="s">
        <v>555</v>
      </c>
    </row>
    <row r="3783" spans="1:8" x14ac:dyDescent="0.25">
      <c r="A3783" t="str">
        <f xml:space="preserve"> $H$3775</f>
        <v>&lt;flags count_in_cargo="0" count_in_hoarder="0" count_in_map="1" count_in_player="0" crafted="0" deloot="0"/&gt;</v>
      </c>
      <c r="B3783" t="s">
        <v>555</v>
      </c>
    </row>
    <row r="3784" spans="1:8" x14ac:dyDescent="0.25">
      <c r="A3784" t="str">
        <f>"&lt;category name=" &amp;"""" &amp;$C$3775&amp;"""/&gt;"</f>
        <v>&lt;category name="tools"/&gt;</v>
      </c>
      <c r="B3784" t="s">
        <v>555</v>
      </c>
    </row>
    <row r="3785" spans="1:8" x14ac:dyDescent="0.25">
      <c r="A3785" t="s">
        <v>25</v>
      </c>
      <c r="B3785" t="s">
        <v>555</v>
      </c>
    </row>
    <row r="3786" spans="1:8" x14ac:dyDescent="0.25">
      <c r="A3786" t="s">
        <v>55</v>
      </c>
      <c r="B3786" t="s">
        <v>555</v>
      </c>
    </row>
    <row r="3787" spans="1:8" x14ac:dyDescent="0.25">
      <c r="A3787" t="s">
        <v>22</v>
      </c>
      <c r="B3787" t="s">
        <v>555</v>
      </c>
    </row>
    <row r="3788" spans="1:8" x14ac:dyDescent="0.25">
      <c r="A3788" t="s">
        <v>1694</v>
      </c>
      <c r="B3788" t="s">
        <v>556</v>
      </c>
      <c r="C3788" t="s">
        <v>426</v>
      </c>
      <c r="D3788">
        <v>2</v>
      </c>
      <c r="E3788">
        <v>2700</v>
      </c>
      <c r="F3788">
        <v>0</v>
      </c>
      <c r="G3788">
        <v>1</v>
      </c>
      <c r="H3788" t="s">
        <v>19</v>
      </c>
    </row>
    <row r="3789" spans="1:8" x14ac:dyDescent="0.25">
      <c r="A3789" t="str">
        <f>"&lt;nominal&gt;" &amp;$D$3788&amp;"&lt;/nominal&gt;"</f>
        <v>&lt;nominal&gt;2&lt;/nominal&gt;</v>
      </c>
      <c r="B3789" t="s">
        <v>556</v>
      </c>
    </row>
    <row r="3790" spans="1:8" x14ac:dyDescent="0.25">
      <c r="A3790" t="str">
        <f>"&lt;lifetime&gt;" &amp;$E$3788&amp;"&lt;/lifetime&gt;"</f>
        <v>&lt;lifetime&gt;2700&lt;/lifetime&gt;</v>
      </c>
      <c r="B3790" t="s">
        <v>556</v>
      </c>
    </row>
    <row r="3791" spans="1:8" x14ac:dyDescent="0.25">
      <c r="A3791" t="str">
        <f>"&lt;restock&gt;" &amp;$F$3788&amp;"&lt;/restock&gt;"</f>
        <v>&lt;restock&gt;0&lt;/restock&gt;</v>
      </c>
      <c r="B3791" t="s">
        <v>556</v>
      </c>
    </row>
    <row r="3792" spans="1:8" x14ac:dyDescent="0.25">
      <c r="A3792" t="str">
        <f>"&lt;min&gt;" &amp;$G$3788&amp;"&lt;/min&gt;"</f>
        <v>&lt;min&gt;1&lt;/min&gt;</v>
      </c>
      <c r="B3792" t="s">
        <v>556</v>
      </c>
    </row>
    <row r="3793" spans="1:8" x14ac:dyDescent="0.25">
      <c r="A3793" t="s">
        <v>16</v>
      </c>
      <c r="B3793" t="s">
        <v>556</v>
      </c>
    </row>
    <row r="3794" spans="1:8" x14ac:dyDescent="0.25">
      <c r="A3794" t="s">
        <v>17</v>
      </c>
      <c r="B3794" t="s">
        <v>556</v>
      </c>
    </row>
    <row r="3795" spans="1:8" x14ac:dyDescent="0.25">
      <c r="A3795" t="s">
        <v>18</v>
      </c>
      <c r="B3795" t="s">
        <v>556</v>
      </c>
    </row>
    <row r="3796" spans="1:8" x14ac:dyDescent="0.25">
      <c r="A3796" t="str">
        <f xml:space="preserve"> $H$3788</f>
        <v>&lt;flags count_in_cargo="0" count_in_hoarder="0" count_in_map="1" count_in_player="0" crafted="0" deloot="0"/&gt;</v>
      </c>
      <c r="B3796" t="s">
        <v>556</v>
      </c>
    </row>
    <row r="3797" spans="1:8" x14ac:dyDescent="0.25">
      <c r="A3797" t="str">
        <f>"&lt;category name=" &amp;"""" &amp;$C$3788&amp;"""/&gt;"</f>
        <v>&lt;category name="tools"/&gt;</v>
      </c>
      <c r="B3797" t="s">
        <v>556</v>
      </c>
    </row>
    <row r="3798" spans="1:8" x14ac:dyDescent="0.25">
      <c r="A3798" t="s">
        <v>25</v>
      </c>
      <c r="B3798" t="s">
        <v>556</v>
      </c>
    </row>
    <row r="3799" spans="1:8" x14ac:dyDescent="0.25">
      <c r="A3799" t="s">
        <v>55</v>
      </c>
      <c r="B3799" t="s">
        <v>556</v>
      </c>
    </row>
    <row r="3800" spans="1:8" x14ac:dyDescent="0.25">
      <c r="A3800" t="s">
        <v>22</v>
      </c>
      <c r="B3800" t="s">
        <v>556</v>
      </c>
    </row>
    <row r="3801" spans="1:8" x14ac:dyDescent="0.25">
      <c r="A3801" t="s">
        <v>1695</v>
      </c>
      <c r="B3801" t="s">
        <v>557</v>
      </c>
      <c r="C3801" t="s">
        <v>426</v>
      </c>
      <c r="D3801">
        <v>2</v>
      </c>
      <c r="E3801">
        <v>2700</v>
      </c>
      <c r="F3801">
        <v>0</v>
      </c>
      <c r="G3801">
        <v>1</v>
      </c>
      <c r="H3801" t="s">
        <v>19</v>
      </c>
    </row>
    <row r="3802" spans="1:8" x14ac:dyDescent="0.25">
      <c r="A3802" t="str">
        <f>"&lt;nominal&gt;" &amp;$D$3801&amp;"&lt;/nominal&gt;"</f>
        <v>&lt;nominal&gt;2&lt;/nominal&gt;</v>
      </c>
      <c r="B3802" t="s">
        <v>557</v>
      </c>
    </row>
    <row r="3803" spans="1:8" x14ac:dyDescent="0.25">
      <c r="A3803" t="str">
        <f>"&lt;lifetime&gt;" &amp;$E$3801&amp;"&lt;/lifetime&gt;"</f>
        <v>&lt;lifetime&gt;2700&lt;/lifetime&gt;</v>
      </c>
      <c r="B3803" t="s">
        <v>557</v>
      </c>
    </row>
    <row r="3804" spans="1:8" x14ac:dyDescent="0.25">
      <c r="A3804" t="str">
        <f>"&lt;restock&gt;" &amp;$F$3801&amp;"&lt;/restock&gt;"</f>
        <v>&lt;restock&gt;0&lt;/restock&gt;</v>
      </c>
      <c r="B3804" t="s">
        <v>557</v>
      </c>
    </row>
    <row r="3805" spans="1:8" x14ac:dyDescent="0.25">
      <c r="A3805" t="str">
        <f>"&lt;min&gt;" &amp;$G$3801&amp;"&lt;/min&gt;"</f>
        <v>&lt;min&gt;1&lt;/min&gt;</v>
      </c>
      <c r="B3805" t="s">
        <v>557</v>
      </c>
    </row>
    <row r="3806" spans="1:8" x14ac:dyDescent="0.25">
      <c r="A3806" t="s">
        <v>16</v>
      </c>
      <c r="B3806" t="s">
        <v>557</v>
      </c>
    </row>
    <row r="3807" spans="1:8" x14ac:dyDescent="0.25">
      <c r="A3807" t="s">
        <v>17</v>
      </c>
      <c r="B3807" t="s">
        <v>557</v>
      </c>
    </row>
    <row r="3808" spans="1:8" x14ac:dyDescent="0.25">
      <c r="A3808" t="s">
        <v>18</v>
      </c>
      <c r="B3808" t="s">
        <v>557</v>
      </c>
    </row>
    <row r="3809" spans="1:8" x14ac:dyDescent="0.25">
      <c r="A3809" t="str">
        <f xml:space="preserve"> $H$3801</f>
        <v>&lt;flags count_in_cargo="0" count_in_hoarder="0" count_in_map="1" count_in_player="0" crafted="0" deloot="0"/&gt;</v>
      </c>
      <c r="B3809" t="s">
        <v>557</v>
      </c>
    </row>
    <row r="3810" spans="1:8" x14ac:dyDescent="0.25">
      <c r="A3810" t="str">
        <f>"&lt;category name=" &amp;"""" &amp;$C$3801&amp;"""/&gt;"</f>
        <v>&lt;category name="tools"/&gt;</v>
      </c>
      <c r="B3810" t="s">
        <v>557</v>
      </c>
    </row>
    <row r="3811" spans="1:8" x14ac:dyDescent="0.25">
      <c r="A3811" t="s">
        <v>25</v>
      </c>
      <c r="B3811" t="s">
        <v>557</v>
      </c>
    </row>
    <row r="3812" spans="1:8" x14ac:dyDescent="0.25">
      <c r="A3812" t="s">
        <v>55</v>
      </c>
      <c r="B3812" t="s">
        <v>557</v>
      </c>
    </row>
    <row r="3813" spans="1:8" x14ac:dyDescent="0.25">
      <c r="A3813" t="s">
        <v>22</v>
      </c>
      <c r="B3813" t="s">
        <v>557</v>
      </c>
    </row>
    <row r="3814" spans="1:8" x14ac:dyDescent="0.25">
      <c r="A3814" t="s">
        <v>1696</v>
      </c>
      <c r="B3814" t="s">
        <v>558</v>
      </c>
      <c r="C3814" t="s">
        <v>426</v>
      </c>
      <c r="D3814">
        <v>2</v>
      </c>
      <c r="E3814">
        <v>2700</v>
      </c>
      <c r="F3814">
        <v>0</v>
      </c>
      <c r="G3814">
        <v>1</v>
      </c>
      <c r="H3814" t="s">
        <v>19</v>
      </c>
    </row>
    <row r="3815" spans="1:8" x14ac:dyDescent="0.25">
      <c r="A3815" t="str">
        <f>"&lt;nominal&gt;" &amp;$D$3814&amp;"&lt;/nominal&gt;"</f>
        <v>&lt;nominal&gt;2&lt;/nominal&gt;</v>
      </c>
      <c r="B3815" t="s">
        <v>558</v>
      </c>
    </row>
    <row r="3816" spans="1:8" x14ac:dyDescent="0.25">
      <c r="A3816" t="str">
        <f>"&lt;lifetime&gt;" &amp;$E$3814&amp;"&lt;/lifetime&gt;"</f>
        <v>&lt;lifetime&gt;2700&lt;/lifetime&gt;</v>
      </c>
      <c r="B3816" t="s">
        <v>558</v>
      </c>
    </row>
    <row r="3817" spans="1:8" x14ac:dyDescent="0.25">
      <c r="A3817" t="str">
        <f>"&lt;restock&gt;" &amp;$F$3814&amp;"&lt;/restock&gt;"</f>
        <v>&lt;restock&gt;0&lt;/restock&gt;</v>
      </c>
      <c r="B3817" t="s">
        <v>558</v>
      </c>
    </row>
    <row r="3818" spans="1:8" x14ac:dyDescent="0.25">
      <c r="A3818" t="str">
        <f>"&lt;min&gt;" &amp;$G$3814&amp;"&lt;/min&gt;"</f>
        <v>&lt;min&gt;1&lt;/min&gt;</v>
      </c>
      <c r="B3818" t="s">
        <v>558</v>
      </c>
    </row>
    <row r="3819" spans="1:8" x14ac:dyDescent="0.25">
      <c r="A3819" t="s">
        <v>16</v>
      </c>
      <c r="B3819" t="s">
        <v>558</v>
      </c>
    </row>
    <row r="3820" spans="1:8" x14ac:dyDescent="0.25">
      <c r="A3820" t="s">
        <v>17</v>
      </c>
      <c r="B3820" t="s">
        <v>558</v>
      </c>
    </row>
    <row r="3821" spans="1:8" x14ac:dyDescent="0.25">
      <c r="A3821" t="s">
        <v>18</v>
      </c>
      <c r="B3821" t="s">
        <v>558</v>
      </c>
    </row>
    <row r="3822" spans="1:8" x14ac:dyDescent="0.25">
      <c r="A3822" t="str">
        <f xml:space="preserve"> $H$3814</f>
        <v>&lt;flags count_in_cargo="0" count_in_hoarder="0" count_in_map="1" count_in_player="0" crafted="0" deloot="0"/&gt;</v>
      </c>
      <c r="B3822" t="s">
        <v>558</v>
      </c>
    </row>
    <row r="3823" spans="1:8" x14ac:dyDescent="0.25">
      <c r="A3823" t="str">
        <f>"&lt;category name=" &amp;"""" &amp;$C$3814&amp;"""/&gt;"</f>
        <v>&lt;category name="tools"/&gt;</v>
      </c>
      <c r="B3823" t="s">
        <v>558</v>
      </c>
    </row>
    <row r="3824" spans="1:8" x14ac:dyDescent="0.25">
      <c r="A3824" t="s">
        <v>25</v>
      </c>
      <c r="B3824" t="s">
        <v>558</v>
      </c>
    </row>
    <row r="3825" spans="1:8" x14ac:dyDescent="0.25">
      <c r="A3825" t="s">
        <v>55</v>
      </c>
      <c r="B3825" t="s">
        <v>558</v>
      </c>
    </row>
    <row r="3826" spans="1:8" x14ac:dyDescent="0.25">
      <c r="A3826" t="s">
        <v>22</v>
      </c>
      <c r="B3826" t="s">
        <v>558</v>
      </c>
    </row>
    <row r="3827" spans="1:8" x14ac:dyDescent="0.25">
      <c r="A3827" t="s">
        <v>1697</v>
      </c>
      <c r="B3827" t="s">
        <v>559</v>
      </c>
      <c r="C3827" t="s">
        <v>426</v>
      </c>
      <c r="D3827">
        <v>2</v>
      </c>
      <c r="E3827">
        <v>2700</v>
      </c>
      <c r="F3827">
        <v>0</v>
      </c>
      <c r="G3827">
        <v>1</v>
      </c>
      <c r="H3827" t="s">
        <v>19</v>
      </c>
    </row>
    <row r="3828" spans="1:8" x14ac:dyDescent="0.25">
      <c r="A3828" t="str">
        <f>"&lt;nominal&gt;" &amp;$D$3827&amp;"&lt;/nominal&gt;"</f>
        <v>&lt;nominal&gt;2&lt;/nominal&gt;</v>
      </c>
      <c r="B3828" t="s">
        <v>559</v>
      </c>
    </row>
    <row r="3829" spans="1:8" x14ac:dyDescent="0.25">
      <c r="A3829" t="str">
        <f>"&lt;lifetime&gt;" &amp;$E$3827&amp;"&lt;/lifetime&gt;"</f>
        <v>&lt;lifetime&gt;2700&lt;/lifetime&gt;</v>
      </c>
      <c r="B3829" t="s">
        <v>559</v>
      </c>
    </row>
    <row r="3830" spans="1:8" x14ac:dyDescent="0.25">
      <c r="A3830" t="str">
        <f>"&lt;restock&gt;" &amp;$F$3827&amp;"&lt;/restock&gt;"</f>
        <v>&lt;restock&gt;0&lt;/restock&gt;</v>
      </c>
      <c r="B3830" t="s">
        <v>559</v>
      </c>
    </row>
    <row r="3831" spans="1:8" x14ac:dyDescent="0.25">
      <c r="A3831" t="str">
        <f>"&lt;min&gt;" &amp;$G$3827&amp;"&lt;/min&gt;"</f>
        <v>&lt;min&gt;1&lt;/min&gt;</v>
      </c>
      <c r="B3831" t="s">
        <v>559</v>
      </c>
    </row>
    <row r="3832" spans="1:8" x14ac:dyDescent="0.25">
      <c r="A3832" t="s">
        <v>16</v>
      </c>
      <c r="B3832" t="s">
        <v>559</v>
      </c>
    </row>
    <row r="3833" spans="1:8" x14ac:dyDescent="0.25">
      <c r="A3833" t="s">
        <v>17</v>
      </c>
      <c r="B3833" t="s">
        <v>559</v>
      </c>
    </row>
    <row r="3834" spans="1:8" x14ac:dyDescent="0.25">
      <c r="A3834" t="s">
        <v>18</v>
      </c>
      <c r="B3834" t="s">
        <v>559</v>
      </c>
    </row>
    <row r="3835" spans="1:8" x14ac:dyDescent="0.25">
      <c r="A3835" t="str">
        <f xml:space="preserve"> $H$3827</f>
        <v>&lt;flags count_in_cargo="0" count_in_hoarder="0" count_in_map="1" count_in_player="0" crafted="0" deloot="0"/&gt;</v>
      </c>
      <c r="B3835" t="s">
        <v>559</v>
      </c>
    </row>
    <row r="3836" spans="1:8" x14ac:dyDescent="0.25">
      <c r="A3836" t="str">
        <f>"&lt;category name=" &amp;"""" &amp;$C$3827&amp;"""/&gt;"</f>
        <v>&lt;category name="tools"/&gt;</v>
      </c>
      <c r="B3836" t="s">
        <v>559</v>
      </c>
    </row>
    <row r="3837" spans="1:8" x14ac:dyDescent="0.25">
      <c r="A3837" t="s">
        <v>25</v>
      </c>
      <c r="B3837" t="s">
        <v>559</v>
      </c>
    </row>
    <row r="3838" spans="1:8" x14ac:dyDescent="0.25">
      <c r="A3838" t="s">
        <v>55</v>
      </c>
      <c r="B3838" t="s">
        <v>559</v>
      </c>
    </row>
    <row r="3839" spans="1:8" x14ac:dyDescent="0.25">
      <c r="A3839" t="s">
        <v>22</v>
      </c>
      <c r="B3839" t="s">
        <v>559</v>
      </c>
    </row>
    <row r="3840" spans="1:8" x14ac:dyDescent="0.25">
      <c r="A3840" t="s">
        <v>1698</v>
      </c>
      <c r="B3840" t="s">
        <v>560</v>
      </c>
      <c r="C3840" t="s">
        <v>426</v>
      </c>
      <c r="D3840">
        <v>2</v>
      </c>
      <c r="E3840">
        <v>2700</v>
      </c>
      <c r="F3840">
        <v>0</v>
      </c>
      <c r="G3840">
        <v>1</v>
      </c>
      <c r="H3840" t="s">
        <v>19</v>
      </c>
    </row>
    <row r="3841" spans="1:8" x14ac:dyDescent="0.25">
      <c r="A3841" t="str">
        <f>"&lt;nominal&gt;" &amp;$D$3840&amp;"&lt;/nominal&gt;"</f>
        <v>&lt;nominal&gt;2&lt;/nominal&gt;</v>
      </c>
      <c r="B3841" t="s">
        <v>560</v>
      </c>
    </row>
    <row r="3842" spans="1:8" x14ac:dyDescent="0.25">
      <c r="A3842" t="str">
        <f>"&lt;lifetime&gt;" &amp;$E$3840&amp;"&lt;/lifetime&gt;"</f>
        <v>&lt;lifetime&gt;2700&lt;/lifetime&gt;</v>
      </c>
      <c r="B3842" t="s">
        <v>560</v>
      </c>
    </row>
    <row r="3843" spans="1:8" x14ac:dyDescent="0.25">
      <c r="A3843" t="str">
        <f>"&lt;restock&gt;" &amp;$F$3840&amp;"&lt;/restock&gt;"</f>
        <v>&lt;restock&gt;0&lt;/restock&gt;</v>
      </c>
      <c r="B3843" t="s">
        <v>560</v>
      </c>
    </row>
    <row r="3844" spans="1:8" x14ac:dyDescent="0.25">
      <c r="A3844" t="str">
        <f>"&lt;min&gt;" &amp;$G$3840&amp;"&lt;/min&gt;"</f>
        <v>&lt;min&gt;1&lt;/min&gt;</v>
      </c>
      <c r="B3844" t="s">
        <v>560</v>
      </c>
    </row>
    <row r="3845" spans="1:8" x14ac:dyDescent="0.25">
      <c r="A3845" t="s">
        <v>16</v>
      </c>
      <c r="B3845" t="s">
        <v>560</v>
      </c>
    </row>
    <row r="3846" spans="1:8" x14ac:dyDescent="0.25">
      <c r="A3846" t="s">
        <v>17</v>
      </c>
      <c r="B3846" t="s">
        <v>560</v>
      </c>
    </row>
    <row r="3847" spans="1:8" x14ac:dyDescent="0.25">
      <c r="A3847" t="s">
        <v>18</v>
      </c>
      <c r="B3847" t="s">
        <v>560</v>
      </c>
    </row>
    <row r="3848" spans="1:8" x14ac:dyDescent="0.25">
      <c r="A3848" t="str">
        <f xml:space="preserve"> $H$3840</f>
        <v>&lt;flags count_in_cargo="0" count_in_hoarder="0" count_in_map="1" count_in_player="0" crafted="0" deloot="0"/&gt;</v>
      </c>
      <c r="B3848" t="s">
        <v>560</v>
      </c>
    </row>
    <row r="3849" spans="1:8" x14ac:dyDescent="0.25">
      <c r="A3849" t="str">
        <f>"&lt;category name=" &amp;"""" &amp;$C$3840&amp;"""/&gt;"</f>
        <v>&lt;category name="tools"/&gt;</v>
      </c>
      <c r="B3849" t="s">
        <v>560</v>
      </c>
    </row>
    <row r="3850" spans="1:8" x14ac:dyDescent="0.25">
      <c r="A3850" t="s">
        <v>25</v>
      </c>
      <c r="B3850" t="s">
        <v>560</v>
      </c>
    </row>
    <row r="3851" spans="1:8" x14ac:dyDescent="0.25">
      <c r="A3851" t="s">
        <v>55</v>
      </c>
      <c r="B3851" t="s">
        <v>560</v>
      </c>
    </row>
    <row r="3852" spans="1:8" x14ac:dyDescent="0.25">
      <c r="A3852" t="s">
        <v>22</v>
      </c>
      <c r="B3852" t="s">
        <v>560</v>
      </c>
    </row>
    <row r="3853" spans="1:8" x14ac:dyDescent="0.25">
      <c r="A3853" t="s">
        <v>1699</v>
      </c>
      <c r="B3853" t="s">
        <v>3396</v>
      </c>
      <c r="C3853" t="s">
        <v>426</v>
      </c>
      <c r="D3853">
        <v>0</v>
      </c>
      <c r="E3853">
        <v>1800</v>
      </c>
      <c r="F3853">
        <v>0</v>
      </c>
      <c r="G3853">
        <v>0</v>
      </c>
      <c r="H3853" t="s">
        <v>62</v>
      </c>
    </row>
    <row r="3854" spans="1:8" x14ac:dyDescent="0.25">
      <c r="A3854" t="str">
        <f>"&lt;nominal&gt;" &amp;$D$3853&amp;"&lt;/nominal&gt;"</f>
        <v>&lt;nominal&gt;0&lt;/nominal&gt;</v>
      </c>
      <c r="B3854" t="s">
        <v>3396</v>
      </c>
    </row>
    <row r="3855" spans="1:8" x14ac:dyDescent="0.25">
      <c r="A3855" t="str">
        <f>"&lt;lifetime&gt;" &amp;$E$3853&amp;"&lt;/lifetime&gt;"</f>
        <v>&lt;lifetime&gt;1800&lt;/lifetime&gt;</v>
      </c>
      <c r="B3855" t="s">
        <v>3396</v>
      </c>
    </row>
    <row r="3856" spans="1:8" x14ac:dyDescent="0.25">
      <c r="A3856" t="str">
        <f>"&lt;restock&gt;" &amp;$F$3853&amp;"&lt;/restock&gt;"</f>
        <v>&lt;restock&gt;0&lt;/restock&gt;</v>
      </c>
      <c r="B3856" t="s">
        <v>3396</v>
      </c>
    </row>
    <row r="3857" spans="1:8" x14ac:dyDescent="0.25">
      <c r="A3857" t="str">
        <f>"&lt;min&gt;" &amp;$G$3853&amp;"&lt;/min&gt;"</f>
        <v>&lt;min&gt;0&lt;/min&gt;</v>
      </c>
      <c r="B3857" t="s">
        <v>3396</v>
      </c>
    </row>
    <row r="3858" spans="1:8" x14ac:dyDescent="0.25">
      <c r="A3858" t="s">
        <v>16</v>
      </c>
      <c r="B3858" t="s">
        <v>3396</v>
      </c>
    </row>
    <row r="3859" spans="1:8" x14ac:dyDescent="0.25">
      <c r="A3859" t="s">
        <v>17</v>
      </c>
      <c r="B3859" t="s">
        <v>3396</v>
      </c>
    </row>
    <row r="3860" spans="1:8" x14ac:dyDescent="0.25">
      <c r="A3860" t="s">
        <v>18</v>
      </c>
      <c r="B3860" t="s">
        <v>3396</v>
      </c>
    </row>
    <row r="3861" spans="1:8" x14ac:dyDescent="0.25">
      <c r="A3861" t="str">
        <f xml:space="preserve"> $H$3853</f>
        <v>&lt;flags count_in_cargo="0" count_in_hoarder="0" count_in_map="1" count_in_player="0" crafted="1" deloot="0"/&gt;</v>
      </c>
      <c r="B3861" t="s">
        <v>3396</v>
      </c>
    </row>
    <row r="3862" spans="1:8" x14ac:dyDescent="0.25">
      <c r="A3862" t="str">
        <f>"&lt;category name=" &amp;"""" &amp;$C$3853&amp;"""/&gt;"</f>
        <v>&lt;category name="tools"/&gt;</v>
      </c>
      <c r="B3862" t="s">
        <v>3396</v>
      </c>
    </row>
    <row r="3863" spans="1:8" x14ac:dyDescent="0.25">
      <c r="A3863" t="s">
        <v>25</v>
      </c>
      <c r="B3863" t="s">
        <v>3396</v>
      </c>
    </row>
    <row r="3864" spans="1:8" x14ac:dyDescent="0.25">
      <c r="A3864" t="s">
        <v>55</v>
      </c>
      <c r="B3864" t="s">
        <v>3396</v>
      </c>
    </row>
    <row r="3865" spans="1:8" x14ac:dyDescent="0.25">
      <c r="A3865" t="s">
        <v>22</v>
      </c>
      <c r="B3865" t="s">
        <v>3396</v>
      </c>
    </row>
    <row r="3866" spans="1:8" x14ac:dyDescent="0.25">
      <c r="A3866" t="s">
        <v>1700</v>
      </c>
      <c r="B3866" t="s">
        <v>561</v>
      </c>
      <c r="C3866" t="s">
        <v>403</v>
      </c>
      <c r="D3866">
        <v>40</v>
      </c>
      <c r="E3866">
        <v>7200</v>
      </c>
      <c r="F3866">
        <v>0</v>
      </c>
      <c r="G3866">
        <v>30</v>
      </c>
      <c r="H3866" t="s">
        <v>19</v>
      </c>
    </row>
    <row r="3867" spans="1:8" x14ac:dyDescent="0.25">
      <c r="A3867" t="str">
        <f>"&lt;nominal&gt;" &amp;$D$3866&amp;"&lt;/nominal&gt;"</f>
        <v>&lt;nominal&gt;40&lt;/nominal&gt;</v>
      </c>
      <c r="B3867" t="s">
        <v>561</v>
      </c>
    </row>
    <row r="3868" spans="1:8" x14ac:dyDescent="0.25">
      <c r="A3868" t="str">
        <f>"&lt;lifetime&gt;" &amp;$E$3866&amp;"&lt;/lifetime&gt;"</f>
        <v>&lt;lifetime&gt;7200&lt;/lifetime&gt;</v>
      </c>
      <c r="B3868" t="s">
        <v>561</v>
      </c>
    </row>
    <row r="3869" spans="1:8" x14ac:dyDescent="0.25">
      <c r="A3869" t="str">
        <f>"&lt;restock&gt;" &amp;$F$3866&amp;"&lt;/restock&gt;"</f>
        <v>&lt;restock&gt;0&lt;/restock&gt;</v>
      </c>
      <c r="B3869" t="s">
        <v>561</v>
      </c>
    </row>
    <row r="3870" spans="1:8" x14ac:dyDescent="0.25">
      <c r="A3870" t="str">
        <f>"&lt;min&gt;" &amp;$G$3866&amp;"&lt;/min&gt;"</f>
        <v>&lt;min&gt;30&lt;/min&gt;</v>
      </c>
      <c r="B3870" t="s">
        <v>561</v>
      </c>
    </row>
    <row r="3871" spans="1:8" x14ac:dyDescent="0.25">
      <c r="A3871" t="s">
        <v>16</v>
      </c>
      <c r="B3871" t="s">
        <v>561</v>
      </c>
    </row>
    <row r="3872" spans="1:8" x14ac:dyDescent="0.25">
      <c r="A3872" t="s">
        <v>17</v>
      </c>
      <c r="B3872" t="s">
        <v>561</v>
      </c>
    </row>
    <row r="3873" spans="1:8" x14ac:dyDescent="0.25">
      <c r="A3873" t="s">
        <v>18</v>
      </c>
      <c r="B3873" t="s">
        <v>561</v>
      </c>
    </row>
    <row r="3874" spans="1:8" x14ac:dyDescent="0.25">
      <c r="A3874" t="str">
        <f xml:space="preserve"> $H$3866</f>
        <v>&lt;flags count_in_cargo="0" count_in_hoarder="0" count_in_map="1" count_in_player="0" crafted="0" deloot="0"/&gt;</v>
      </c>
      <c r="B3874" t="s">
        <v>561</v>
      </c>
    </row>
    <row r="3875" spans="1:8" x14ac:dyDescent="0.25">
      <c r="A3875" t="str">
        <f>"&lt;category name=" &amp;"""" &amp;$C$3866&amp;"""/&gt;"</f>
        <v>&lt;category name="clothes"/&gt;</v>
      </c>
      <c r="B3875" t="s">
        <v>561</v>
      </c>
    </row>
    <row r="3876" spans="1:8" x14ac:dyDescent="0.25">
      <c r="A3876" t="s">
        <v>39</v>
      </c>
      <c r="B3876" t="s">
        <v>561</v>
      </c>
    </row>
    <row r="3877" spans="1:8" x14ac:dyDescent="0.25">
      <c r="A3877" t="s">
        <v>40</v>
      </c>
      <c r="B3877" t="s">
        <v>561</v>
      </c>
    </row>
    <row r="3878" spans="1:8" x14ac:dyDescent="0.25">
      <c r="A3878" t="s">
        <v>22</v>
      </c>
      <c r="B3878" t="s">
        <v>561</v>
      </c>
    </row>
    <row r="3879" spans="1:8" x14ac:dyDescent="0.25">
      <c r="A3879" t="s">
        <v>1701</v>
      </c>
      <c r="B3879" t="s">
        <v>562</v>
      </c>
      <c r="D3879">
        <v>0</v>
      </c>
      <c r="E3879">
        <v>3888000</v>
      </c>
      <c r="F3879">
        <v>1800</v>
      </c>
      <c r="G3879">
        <v>0</v>
      </c>
      <c r="H3879" t="s">
        <v>19</v>
      </c>
    </row>
    <row r="3880" spans="1:8" x14ac:dyDescent="0.25">
      <c r="A3880" t="str">
        <f>"&lt;nominal&gt;" &amp;$D$3879&amp;"&lt;/nominal&gt;"</f>
        <v>&lt;nominal&gt;0&lt;/nominal&gt;</v>
      </c>
      <c r="B3880" t="s">
        <v>562</v>
      </c>
    </row>
    <row r="3881" spans="1:8" x14ac:dyDescent="0.25">
      <c r="A3881" t="str">
        <f>"&lt;lifetime&gt;" &amp;$E$3879&amp;"&lt;/lifetime&gt;"</f>
        <v>&lt;lifetime&gt;3888000&lt;/lifetime&gt;</v>
      </c>
      <c r="B3881" t="s">
        <v>562</v>
      </c>
    </row>
    <row r="3882" spans="1:8" x14ac:dyDescent="0.25">
      <c r="A3882" t="str">
        <f>"&lt;restock&gt;" &amp;$F$3879&amp;"&lt;/restock&gt;"</f>
        <v>&lt;restock&gt;1800&lt;/restock&gt;</v>
      </c>
      <c r="B3882" t="s">
        <v>562</v>
      </c>
    </row>
    <row r="3883" spans="1:8" x14ac:dyDescent="0.25">
      <c r="A3883" t="str">
        <f>"&lt;min&gt;" &amp;$G$3879&amp;"&lt;/min&gt;"</f>
        <v>&lt;min&gt;0&lt;/min&gt;</v>
      </c>
      <c r="B3883" t="s">
        <v>562</v>
      </c>
    </row>
    <row r="3884" spans="1:8" x14ac:dyDescent="0.25">
      <c r="A3884" t="s">
        <v>16</v>
      </c>
      <c r="B3884" t="s">
        <v>562</v>
      </c>
    </row>
    <row r="3885" spans="1:8" x14ac:dyDescent="0.25">
      <c r="A3885" t="s">
        <v>17</v>
      </c>
      <c r="B3885" t="s">
        <v>562</v>
      </c>
    </row>
    <row r="3886" spans="1:8" x14ac:dyDescent="0.25">
      <c r="A3886" t="s">
        <v>18</v>
      </c>
      <c r="B3886" t="s">
        <v>562</v>
      </c>
    </row>
    <row r="3887" spans="1:8" x14ac:dyDescent="0.25">
      <c r="A3887" t="str">
        <f xml:space="preserve"> $H$3879</f>
        <v>&lt;flags count_in_cargo="0" count_in_hoarder="0" count_in_map="1" count_in_player="0" crafted="0" deloot="0"/&gt;</v>
      </c>
      <c r="B3887" t="s">
        <v>562</v>
      </c>
    </row>
    <row r="3888" spans="1:8" x14ac:dyDescent="0.25">
      <c r="A3888" t="s">
        <v>22</v>
      </c>
      <c r="B3888" t="s">
        <v>562</v>
      </c>
    </row>
    <row r="3889" spans="1:8" x14ac:dyDescent="0.25">
      <c r="A3889" t="s">
        <v>1702</v>
      </c>
      <c r="B3889" t="s">
        <v>563</v>
      </c>
      <c r="D3889">
        <v>0</v>
      </c>
      <c r="E3889">
        <v>3888000</v>
      </c>
      <c r="F3889">
        <v>1800</v>
      </c>
      <c r="G3889">
        <v>0</v>
      </c>
      <c r="H3889" t="s">
        <v>19</v>
      </c>
    </row>
    <row r="3890" spans="1:8" x14ac:dyDescent="0.25">
      <c r="A3890" t="str">
        <f>"&lt;nominal&gt;" &amp;$D$3889&amp;"&lt;/nominal&gt;"</f>
        <v>&lt;nominal&gt;0&lt;/nominal&gt;</v>
      </c>
      <c r="B3890" t="s">
        <v>563</v>
      </c>
    </row>
    <row r="3891" spans="1:8" x14ac:dyDescent="0.25">
      <c r="A3891" t="str">
        <f>"&lt;lifetime&gt;" &amp;$E$3889&amp;"&lt;/lifetime&gt;"</f>
        <v>&lt;lifetime&gt;3888000&lt;/lifetime&gt;</v>
      </c>
      <c r="B3891" t="s">
        <v>563</v>
      </c>
    </row>
    <row r="3892" spans="1:8" x14ac:dyDescent="0.25">
      <c r="A3892" t="str">
        <f>"&lt;restock&gt;" &amp;$F$3889&amp;"&lt;/restock&gt;"</f>
        <v>&lt;restock&gt;1800&lt;/restock&gt;</v>
      </c>
      <c r="B3892" t="s">
        <v>563</v>
      </c>
    </row>
    <row r="3893" spans="1:8" x14ac:dyDescent="0.25">
      <c r="A3893" t="str">
        <f>"&lt;min&gt;" &amp;$G$3889&amp;"&lt;/min&gt;"</f>
        <v>&lt;min&gt;0&lt;/min&gt;</v>
      </c>
      <c r="B3893" t="s">
        <v>563</v>
      </c>
    </row>
    <row r="3894" spans="1:8" x14ac:dyDescent="0.25">
      <c r="A3894" t="s">
        <v>16</v>
      </c>
      <c r="B3894" t="s">
        <v>563</v>
      </c>
    </row>
    <row r="3895" spans="1:8" x14ac:dyDescent="0.25">
      <c r="A3895" t="s">
        <v>17</v>
      </c>
      <c r="B3895" t="s">
        <v>563</v>
      </c>
    </row>
    <row r="3896" spans="1:8" x14ac:dyDescent="0.25">
      <c r="A3896" t="s">
        <v>18</v>
      </c>
      <c r="B3896" t="s">
        <v>563</v>
      </c>
    </row>
    <row r="3897" spans="1:8" x14ac:dyDescent="0.25">
      <c r="A3897" t="str">
        <f xml:space="preserve"> $H$3889</f>
        <v>&lt;flags count_in_cargo="0" count_in_hoarder="0" count_in_map="1" count_in_player="0" crafted="0" deloot="0"/&gt;</v>
      </c>
      <c r="B3897" t="s">
        <v>563</v>
      </c>
    </row>
    <row r="3898" spans="1:8" x14ac:dyDescent="0.25">
      <c r="A3898" t="s">
        <v>22</v>
      </c>
      <c r="B3898" t="s">
        <v>563</v>
      </c>
    </row>
    <row r="3899" spans="1:8" x14ac:dyDescent="0.25">
      <c r="A3899" t="s">
        <v>1703</v>
      </c>
      <c r="B3899" t="s">
        <v>564</v>
      </c>
      <c r="D3899">
        <v>0</v>
      </c>
      <c r="E3899">
        <v>3888000</v>
      </c>
      <c r="F3899">
        <v>1800</v>
      </c>
      <c r="G3899">
        <v>0</v>
      </c>
      <c r="H3899" t="s">
        <v>19</v>
      </c>
    </row>
    <row r="3900" spans="1:8" x14ac:dyDescent="0.25">
      <c r="A3900" t="str">
        <f>"&lt;nominal&gt;" &amp;$D$3899&amp;"&lt;/nominal&gt;"</f>
        <v>&lt;nominal&gt;0&lt;/nominal&gt;</v>
      </c>
      <c r="B3900" t="s">
        <v>564</v>
      </c>
    </row>
    <row r="3901" spans="1:8" x14ac:dyDescent="0.25">
      <c r="A3901" t="str">
        <f>"&lt;lifetime&gt;" &amp;$E$3899&amp;"&lt;/lifetime&gt;"</f>
        <v>&lt;lifetime&gt;3888000&lt;/lifetime&gt;</v>
      </c>
      <c r="B3901" t="s">
        <v>564</v>
      </c>
    </row>
    <row r="3902" spans="1:8" x14ac:dyDescent="0.25">
      <c r="A3902" t="str">
        <f>"&lt;restock&gt;" &amp;$F$3899&amp;"&lt;/restock&gt;"</f>
        <v>&lt;restock&gt;1800&lt;/restock&gt;</v>
      </c>
      <c r="B3902" t="s">
        <v>564</v>
      </c>
    </row>
    <row r="3903" spans="1:8" x14ac:dyDescent="0.25">
      <c r="A3903" t="str">
        <f>"&lt;min&gt;" &amp;$G$3899&amp;"&lt;/min&gt;"</f>
        <v>&lt;min&gt;0&lt;/min&gt;</v>
      </c>
      <c r="B3903" t="s">
        <v>564</v>
      </c>
    </row>
    <row r="3904" spans="1:8" x14ac:dyDescent="0.25">
      <c r="A3904" t="s">
        <v>16</v>
      </c>
      <c r="B3904" t="s">
        <v>564</v>
      </c>
    </row>
    <row r="3905" spans="1:8" x14ac:dyDescent="0.25">
      <c r="A3905" t="s">
        <v>17</v>
      </c>
      <c r="B3905" t="s">
        <v>564</v>
      </c>
    </row>
    <row r="3906" spans="1:8" x14ac:dyDescent="0.25">
      <c r="A3906" t="s">
        <v>18</v>
      </c>
      <c r="B3906" t="s">
        <v>564</v>
      </c>
    </row>
    <row r="3907" spans="1:8" x14ac:dyDescent="0.25">
      <c r="A3907" t="str">
        <f xml:space="preserve"> $H$3899</f>
        <v>&lt;flags count_in_cargo="0" count_in_hoarder="0" count_in_map="1" count_in_player="0" crafted="0" deloot="0"/&gt;</v>
      </c>
      <c r="B3907" t="s">
        <v>564</v>
      </c>
    </row>
    <row r="3908" spans="1:8" x14ac:dyDescent="0.25">
      <c r="A3908" t="s">
        <v>22</v>
      </c>
      <c r="B3908" t="s">
        <v>564</v>
      </c>
    </row>
    <row r="3909" spans="1:8" x14ac:dyDescent="0.25">
      <c r="A3909" t="s">
        <v>1704</v>
      </c>
      <c r="B3909" t="s">
        <v>565</v>
      </c>
      <c r="C3909" t="s">
        <v>8</v>
      </c>
      <c r="D3909">
        <v>20</v>
      </c>
      <c r="E3909">
        <v>7200</v>
      </c>
      <c r="F3909">
        <v>0</v>
      </c>
      <c r="G3909">
        <v>10</v>
      </c>
      <c r="H3909" t="s">
        <v>19</v>
      </c>
    </row>
    <row r="3910" spans="1:8" x14ac:dyDescent="0.25">
      <c r="A3910" t="str">
        <f>"&lt;nominal&gt;" &amp;$D$3909&amp;"&lt;/nominal&gt;"</f>
        <v>&lt;nominal&gt;20&lt;/nominal&gt;</v>
      </c>
      <c r="B3910" t="s">
        <v>565</v>
      </c>
    </row>
    <row r="3911" spans="1:8" x14ac:dyDescent="0.25">
      <c r="A3911" t="str">
        <f>"&lt;lifetime&gt;" &amp;$E$3909&amp;"&lt;/lifetime&gt;"</f>
        <v>&lt;lifetime&gt;7200&lt;/lifetime&gt;</v>
      </c>
      <c r="B3911" t="s">
        <v>565</v>
      </c>
    </row>
    <row r="3912" spans="1:8" x14ac:dyDescent="0.25">
      <c r="A3912" t="str">
        <f>"&lt;restock&gt;" &amp;$F$3909&amp;"&lt;/restock&gt;"</f>
        <v>&lt;restock&gt;0&lt;/restock&gt;</v>
      </c>
      <c r="B3912" t="s">
        <v>565</v>
      </c>
    </row>
    <row r="3913" spans="1:8" x14ac:dyDescent="0.25">
      <c r="A3913" t="str">
        <f>"&lt;min&gt;" &amp;$G$3909&amp;"&lt;/min&gt;"</f>
        <v>&lt;min&gt;10&lt;/min&gt;</v>
      </c>
      <c r="B3913" t="s">
        <v>565</v>
      </c>
    </row>
    <row r="3914" spans="1:8" x14ac:dyDescent="0.25">
      <c r="A3914" t="s">
        <v>16</v>
      </c>
      <c r="B3914" t="s">
        <v>565</v>
      </c>
    </row>
    <row r="3915" spans="1:8" x14ac:dyDescent="0.25">
      <c r="A3915" t="s">
        <v>17</v>
      </c>
      <c r="B3915" t="s">
        <v>565</v>
      </c>
    </row>
    <row r="3916" spans="1:8" x14ac:dyDescent="0.25">
      <c r="A3916" t="s">
        <v>18</v>
      </c>
      <c r="B3916" t="s">
        <v>565</v>
      </c>
    </row>
    <row r="3917" spans="1:8" x14ac:dyDescent="0.25">
      <c r="A3917" t="str">
        <f xml:space="preserve"> $H$3909</f>
        <v>&lt;flags count_in_cargo="0" count_in_hoarder="0" count_in_map="1" count_in_player="0" crafted="0" deloot="0"/&gt;</v>
      </c>
      <c r="B3917" t="s">
        <v>565</v>
      </c>
    </row>
    <row r="3918" spans="1:8" x14ac:dyDescent="0.25">
      <c r="A3918" t="str">
        <f>"&lt;category name=" &amp;"""" &amp;$C$3909&amp;"""/&gt;"</f>
        <v>&lt;category name="weapons"/&gt;</v>
      </c>
      <c r="B3918" t="s">
        <v>565</v>
      </c>
    </row>
    <row r="3919" spans="1:8" x14ac:dyDescent="0.25">
      <c r="A3919" t="s">
        <v>39</v>
      </c>
      <c r="B3919" t="s">
        <v>565</v>
      </c>
    </row>
    <row r="3920" spans="1:8" x14ac:dyDescent="0.25">
      <c r="A3920" t="s">
        <v>40</v>
      </c>
      <c r="B3920" t="s">
        <v>565</v>
      </c>
    </row>
    <row r="3921" spans="1:8" x14ac:dyDescent="0.25">
      <c r="A3921" t="s">
        <v>22</v>
      </c>
      <c r="B3921" t="s">
        <v>565</v>
      </c>
    </row>
    <row r="3922" spans="1:8" x14ac:dyDescent="0.25">
      <c r="A3922" t="s">
        <v>1705</v>
      </c>
      <c r="B3922" t="s">
        <v>566</v>
      </c>
      <c r="C3922" t="s">
        <v>403</v>
      </c>
      <c r="D3922">
        <v>5</v>
      </c>
      <c r="E3922">
        <v>5600</v>
      </c>
      <c r="F3922">
        <v>1800</v>
      </c>
      <c r="G3922">
        <v>2</v>
      </c>
      <c r="H3922" t="s">
        <v>19</v>
      </c>
    </row>
    <row r="3923" spans="1:8" x14ac:dyDescent="0.25">
      <c r="A3923" t="str">
        <f>"&lt;nominal&gt;" &amp;$D$3922&amp;"&lt;/nominal&gt;"</f>
        <v>&lt;nominal&gt;5&lt;/nominal&gt;</v>
      </c>
      <c r="B3923" t="s">
        <v>566</v>
      </c>
    </row>
    <row r="3924" spans="1:8" x14ac:dyDescent="0.25">
      <c r="A3924" t="str">
        <f>"&lt;lifetime&gt;" &amp;$E$3922&amp;"&lt;/lifetime&gt;"</f>
        <v>&lt;lifetime&gt;5600&lt;/lifetime&gt;</v>
      </c>
      <c r="B3924" t="s">
        <v>566</v>
      </c>
    </row>
    <row r="3925" spans="1:8" x14ac:dyDescent="0.25">
      <c r="A3925" t="str">
        <f>"&lt;restock&gt;" &amp;$F$3922&amp;"&lt;/restock&gt;"</f>
        <v>&lt;restock&gt;1800&lt;/restock&gt;</v>
      </c>
      <c r="B3925" t="s">
        <v>566</v>
      </c>
    </row>
    <row r="3926" spans="1:8" x14ac:dyDescent="0.25">
      <c r="A3926" t="str">
        <f>"&lt;min&gt;" &amp;$G$3922&amp;"&lt;/min&gt;"</f>
        <v>&lt;min&gt;2&lt;/min&gt;</v>
      </c>
      <c r="B3926" t="s">
        <v>566</v>
      </c>
    </row>
    <row r="3927" spans="1:8" x14ac:dyDescent="0.25">
      <c r="A3927" t="s">
        <v>16</v>
      </c>
      <c r="B3927" t="s">
        <v>566</v>
      </c>
    </row>
    <row r="3928" spans="1:8" x14ac:dyDescent="0.25">
      <c r="A3928" t="s">
        <v>17</v>
      </c>
      <c r="B3928" t="s">
        <v>566</v>
      </c>
    </row>
    <row r="3929" spans="1:8" x14ac:dyDescent="0.25">
      <c r="A3929" t="s">
        <v>18</v>
      </c>
      <c r="B3929" t="s">
        <v>566</v>
      </c>
    </row>
    <row r="3930" spans="1:8" x14ac:dyDescent="0.25">
      <c r="A3930" t="str">
        <f xml:space="preserve"> $H$3922</f>
        <v>&lt;flags count_in_cargo="0" count_in_hoarder="0" count_in_map="1" count_in_player="0" crafted="0" deloot="0"/&gt;</v>
      </c>
      <c r="B3930" t="s">
        <v>566</v>
      </c>
    </row>
    <row r="3931" spans="1:8" x14ac:dyDescent="0.25">
      <c r="A3931" t="str">
        <f>"&lt;category name=" &amp;"""" &amp;$C$3922&amp;"""/&gt;"</f>
        <v>&lt;category name="clothes"/&gt;</v>
      </c>
      <c r="B3931" t="s">
        <v>566</v>
      </c>
    </row>
    <row r="3932" spans="1:8" x14ac:dyDescent="0.25">
      <c r="A3932" t="s">
        <v>25</v>
      </c>
      <c r="B3932" t="s">
        <v>566</v>
      </c>
    </row>
    <row r="3933" spans="1:8" x14ac:dyDescent="0.25">
      <c r="A3933" t="s">
        <v>29</v>
      </c>
      <c r="B3933" t="s">
        <v>566</v>
      </c>
    </row>
    <row r="3934" spans="1:8" x14ac:dyDescent="0.25">
      <c r="A3934" t="s">
        <v>22</v>
      </c>
      <c r="B3934" t="s">
        <v>566</v>
      </c>
    </row>
    <row r="3935" spans="1:8" x14ac:dyDescent="0.25">
      <c r="A3935" t="s">
        <v>1706</v>
      </c>
      <c r="B3935" t="s">
        <v>567</v>
      </c>
      <c r="C3935" t="s">
        <v>403</v>
      </c>
      <c r="D3935">
        <v>5</v>
      </c>
      <c r="E3935">
        <v>5600</v>
      </c>
      <c r="F3935">
        <v>1800</v>
      </c>
      <c r="G3935">
        <v>2</v>
      </c>
      <c r="H3935" t="s">
        <v>19</v>
      </c>
    </row>
    <row r="3936" spans="1:8" x14ac:dyDescent="0.25">
      <c r="A3936" t="str">
        <f>"&lt;nominal&gt;" &amp;$D$3935&amp;"&lt;/nominal&gt;"</f>
        <v>&lt;nominal&gt;5&lt;/nominal&gt;</v>
      </c>
      <c r="B3936" t="s">
        <v>567</v>
      </c>
    </row>
    <row r="3937" spans="1:8" x14ac:dyDescent="0.25">
      <c r="A3937" t="str">
        <f>"&lt;lifetime&gt;" &amp;$E$3935&amp;"&lt;/lifetime&gt;"</f>
        <v>&lt;lifetime&gt;5600&lt;/lifetime&gt;</v>
      </c>
      <c r="B3937" t="s">
        <v>567</v>
      </c>
    </row>
    <row r="3938" spans="1:8" x14ac:dyDescent="0.25">
      <c r="A3938" t="str">
        <f>"&lt;restock&gt;" &amp;$F$3935&amp;"&lt;/restock&gt;"</f>
        <v>&lt;restock&gt;1800&lt;/restock&gt;</v>
      </c>
      <c r="B3938" t="s">
        <v>567</v>
      </c>
    </row>
    <row r="3939" spans="1:8" x14ac:dyDescent="0.25">
      <c r="A3939" t="str">
        <f>"&lt;min&gt;" &amp;$G$3935&amp;"&lt;/min&gt;"</f>
        <v>&lt;min&gt;2&lt;/min&gt;</v>
      </c>
      <c r="B3939" t="s">
        <v>567</v>
      </c>
    </row>
    <row r="3940" spans="1:8" x14ac:dyDescent="0.25">
      <c r="A3940" t="s">
        <v>16</v>
      </c>
      <c r="B3940" t="s">
        <v>567</v>
      </c>
    </row>
    <row r="3941" spans="1:8" x14ac:dyDescent="0.25">
      <c r="A3941" t="s">
        <v>17</v>
      </c>
      <c r="B3941" t="s">
        <v>567</v>
      </c>
    </row>
    <row r="3942" spans="1:8" x14ac:dyDescent="0.25">
      <c r="A3942" t="s">
        <v>18</v>
      </c>
      <c r="B3942" t="s">
        <v>567</v>
      </c>
    </row>
    <row r="3943" spans="1:8" x14ac:dyDescent="0.25">
      <c r="A3943" t="str">
        <f xml:space="preserve"> $H$3935</f>
        <v>&lt;flags count_in_cargo="0" count_in_hoarder="0" count_in_map="1" count_in_player="0" crafted="0" deloot="0"/&gt;</v>
      </c>
      <c r="B3943" t="s">
        <v>567</v>
      </c>
    </row>
    <row r="3944" spans="1:8" x14ac:dyDescent="0.25">
      <c r="A3944" t="str">
        <f>"&lt;category name=" &amp;"""" &amp;$C$3935&amp;"""/&gt;"</f>
        <v>&lt;category name="clothes"/&gt;</v>
      </c>
      <c r="B3944" t="s">
        <v>567</v>
      </c>
    </row>
    <row r="3945" spans="1:8" x14ac:dyDescent="0.25">
      <c r="A3945" t="s">
        <v>25</v>
      </c>
      <c r="B3945" t="s">
        <v>567</v>
      </c>
    </row>
    <row r="3946" spans="1:8" x14ac:dyDescent="0.25">
      <c r="A3946" t="s">
        <v>29</v>
      </c>
      <c r="B3946" t="s">
        <v>567</v>
      </c>
    </row>
    <row r="3947" spans="1:8" x14ac:dyDescent="0.25">
      <c r="A3947" t="s">
        <v>22</v>
      </c>
      <c r="B3947" t="s">
        <v>567</v>
      </c>
    </row>
    <row r="3948" spans="1:8" x14ac:dyDescent="0.25">
      <c r="A3948" t="s">
        <v>1707</v>
      </c>
      <c r="B3948" t="s">
        <v>568</v>
      </c>
      <c r="C3948" t="s">
        <v>403</v>
      </c>
      <c r="D3948">
        <v>5</v>
      </c>
      <c r="E3948">
        <v>5600</v>
      </c>
      <c r="F3948">
        <v>1800</v>
      </c>
      <c r="G3948">
        <v>2</v>
      </c>
      <c r="H3948" t="s">
        <v>19</v>
      </c>
    </row>
    <row r="3949" spans="1:8" x14ac:dyDescent="0.25">
      <c r="A3949" t="str">
        <f>"&lt;nominal&gt;" &amp;$D$3948&amp;"&lt;/nominal&gt;"</f>
        <v>&lt;nominal&gt;5&lt;/nominal&gt;</v>
      </c>
      <c r="B3949" t="s">
        <v>568</v>
      </c>
    </row>
    <row r="3950" spans="1:8" x14ac:dyDescent="0.25">
      <c r="A3950" t="str">
        <f>"&lt;lifetime&gt;" &amp;$E$3948&amp;"&lt;/lifetime&gt;"</f>
        <v>&lt;lifetime&gt;5600&lt;/lifetime&gt;</v>
      </c>
      <c r="B3950" t="s">
        <v>568</v>
      </c>
    </row>
    <row r="3951" spans="1:8" x14ac:dyDescent="0.25">
      <c r="A3951" t="str">
        <f>"&lt;restock&gt;" &amp;$F$3948&amp;"&lt;/restock&gt;"</f>
        <v>&lt;restock&gt;1800&lt;/restock&gt;</v>
      </c>
      <c r="B3951" t="s">
        <v>568</v>
      </c>
    </row>
    <row r="3952" spans="1:8" x14ac:dyDescent="0.25">
      <c r="A3952" t="str">
        <f>"&lt;min&gt;" &amp;$G$3948&amp;"&lt;/min&gt;"</f>
        <v>&lt;min&gt;2&lt;/min&gt;</v>
      </c>
      <c r="B3952" t="s">
        <v>568</v>
      </c>
    </row>
    <row r="3953" spans="1:8" x14ac:dyDescent="0.25">
      <c r="A3953" t="s">
        <v>16</v>
      </c>
      <c r="B3953" t="s">
        <v>568</v>
      </c>
    </row>
    <row r="3954" spans="1:8" x14ac:dyDescent="0.25">
      <c r="A3954" t="s">
        <v>17</v>
      </c>
      <c r="B3954" t="s">
        <v>568</v>
      </c>
    </row>
    <row r="3955" spans="1:8" x14ac:dyDescent="0.25">
      <c r="A3955" t="s">
        <v>18</v>
      </c>
      <c r="B3955" t="s">
        <v>568</v>
      </c>
    </row>
    <row r="3956" spans="1:8" x14ac:dyDescent="0.25">
      <c r="A3956" t="str">
        <f xml:space="preserve"> $H$3948</f>
        <v>&lt;flags count_in_cargo="0" count_in_hoarder="0" count_in_map="1" count_in_player="0" crafted="0" deloot="0"/&gt;</v>
      </c>
      <c r="B3956" t="s">
        <v>568</v>
      </c>
    </row>
    <row r="3957" spans="1:8" x14ac:dyDescent="0.25">
      <c r="A3957" t="str">
        <f>"&lt;category name=" &amp;"""" &amp;$C$3948&amp;"""/&gt;"</f>
        <v>&lt;category name="clothes"/&gt;</v>
      </c>
      <c r="B3957" t="s">
        <v>568</v>
      </c>
    </row>
    <row r="3958" spans="1:8" x14ac:dyDescent="0.25">
      <c r="A3958" t="s">
        <v>25</v>
      </c>
      <c r="B3958" t="s">
        <v>568</v>
      </c>
    </row>
    <row r="3959" spans="1:8" x14ac:dyDescent="0.25">
      <c r="A3959" t="s">
        <v>29</v>
      </c>
      <c r="B3959" t="s">
        <v>568</v>
      </c>
    </row>
    <row r="3960" spans="1:8" x14ac:dyDescent="0.25">
      <c r="A3960" t="s">
        <v>22</v>
      </c>
      <c r="B3960" t="s">
        <v>568</v>
      </c>
    </row>
    <row r="3961" spans="1:8" x14ac:dyDescent="0.25">
      <c r="A3961" t="s">
        <v>1708</v>
      </c>
      <c r="B3961" t="s">
        <v>569</v>
      </c>
      <c r="C3961" t="s">
        <v>403</v>
      </c>
      <c r="D3961">
        <v>5</v>
      </c>
      <c r="E3961">
        <v>5600</v>
      </c>
      <c r="F3961">
        <v>1800</v>
      </c>
      <c r="G3961">
        <v>2</v>
      </c>
      <c r="H3961" t="s">
        <v>19</v>
      </c>
    </row>
    <row r="3962" spans="1:8" x14ac:dyDescent="0.25">
      <c r="A3962" t="str">
        <f>"&lt;nominal&gt;" &amp;$D$3961&amp;"&lt;/nominal&gt;"</f>
        <v>&lt;nominal&gt;5&lt;/nominal&gt;</v>
      </c>
      <c r="B3962" t="s">
        <v>569</v>
      </c>
    </row>
    <row r="3963" spans="1:8" x14ac:dyDescent="0.25">
      <c r="A3963" t="str">
        <f>"&lt;lifetime&gt;" &amp;$E$3961&amp;"&lt;/lifetime&gt;"</f>
        <v>&lt;lifetime&gt;5600&lt;/lifetime&gt;</v>
      </c>
      <c r="B3963" t="s">
        <v>569</v>
      </c>
    </row>
    <row r="3964" spans="1:8" x14ac:dyDescent="0.25">
      <c r="A3964" t="str">
        <f>"&lt;restock&gt;" &amp;$F$3961&amp;"&lt;/restock&gt;"</f>
        <v>&lt;restock&gt;1800&lt;/restock&gt;</v>
      </c>
      <c r="B3964" t="s">
        <v>569</v>
      </c>
    </row>
    <row r="3965" spans="1:8" x14ac:dyDescent="0.25">
      <c r="A3965" t="str">
        <f>"&lt;min&gt;" &amp;$G$3961&amp;"&lt;/min&gt;"</f>
        <v>&lt;min&gt;2&lt;/min&gt;</v>
      </c>
      <c r="B3965" t="s">
        <v>569</v>
      </c>
    </row>
    <row r="3966" spans="1:8" x14ac:dyDescent="0.25">
      <c r="A3966" t="s">
        <v>16</v>
      </c>
      <c r="B3966" t="s">
        <v>569</v>
      </c>
    </row>
    <row r="3967" spans="1:8" x14ac:dyDescent="0.25">
      <c r="A3967" t="s">
        <v>17</v>
      </c>
      <c r="B3967" t="s">
        <v>569</v>
      </c>
    </row>
    <row r="3968" spans="1:8" x14ac:dyDescent="0.25">
      <c r="A3968" t="s">
        <v>18</v>
      </c>
      <c r="B3968" t="s">
        <v>569</v>
      </c>
    </row>
    <row r="3969" spans="1:8" x14ac:dyDescent="0.25">
      <c r="A3969" t="str">
        <f xml:space="preserve"> $H$3961</f>
        <v>&lt;flags count_in_cargo="0" count_in_hoarder="0" count_in_map="1" count_in_player="0" crafted="0" deloot="0"/&gt;</v>
      </c>
      <c r="B3969" t="s">
        <v>569</v>
      </c>
    </row>
    <row r="3970" spans="1:8" x14ac:dyDescent="0.25">
      <c r="A3970" t="str">
        <f>"&lt;category name=" &amp;"""" &amp;$C$3961&amp;"""/&gt;"</f>
        <v>&lt;category name="clothes"/&gt;</v>
      </c>
      <c r="B3970" t="s">
        <v>569</v>
      </c>
    </row>
    <row r="3971" spans="1:8" x14ac:dyDescent="0.25">
      <c r="A3971" t="s">
        <v>25</v>
      </c>
      <c r="B3971" t="s">
        <v>569</v>
      </c>
    </row>
    <row r="3972" spans="1:8" x14ac:dyDescent="0.25">
      <c r="A3972" t="s">
        <v>29</v>
      </c>
      <c r="B3972" t="s">
        <v>569</v>
      </c>
    </row>
    <row r="3973" spans="1:8" x14ac:dyDescent="0.25">
      <c r="A3973" t="s">
        <v>22</v>
      </c>
      <c r="B3973" t="s">
        <v>569</v>
      </c>
    </row>
    <row r="3974" spans="1:8" x14ac:dyDescent="0.25">
      <c r="A3974" t="s">
        <v>1709</v>
      </c>
      <c r="B3974" t="s">
        <v>570</v>
      </c>
      <c r="C3974" t="s">
        <v>403</v>
      </c>
      <c r="D3974">
        <v>5</v>
      </c>
      <c r="E3974">
        <v>5600</v>
      </c>
      <c r="F3974">
        <v>1800</v>
      </c>
      <c r="G3974">
        <v>2</v>
      </c>
      <c r="H3974" t="s">
        <v>19</v>
      </c>
    </row>
    <row r="3975" spans="1:8" x14ac:dyDescent="0.25">
      <c r="A3975" t="str">
        <f>"&lt;nominal&gt;" &amp;$D$3974&amp;"&lt;/nominal&gt;"</f>
        <v>&lt;nominal&gt;5&lt;/nominal&gt;</v>
      </c>
      <c r="B3975" t="s">
        <v>570</v>
      </c>
    </row>
    <row r="3976" spans="1:8" x14ac:dyDescent="0.25">
      <c r="A3976" t="str">
        <f>"&lt;lifetime&gt;" &amp;$E$3974&amp;"&lt;/lifetime&gt;"</f>
        <v>&lt;lifetime&gt;5600&lt;/lifetime&gt;</v>
      </c>
      <c r="B3976" t="s">
        <v>570</v>
      </c>
    </row>
    <row r="3977" spans="1:8" x14ac:dyDescent="0.25">
      <c r="A3977" t="str">
        <f>"&lt;restock&gt;" &amp;$F$3974&amp;"&lt;/restock&gt;"</f>
        <v>&lt;restock&gt;1800&lt;/restock&gt;</v>
      </c>
      <c r="B3977" t="s">
        <v>570</v>
      </c>
    </row>
    <row r="3978" spans="1:8" x14ac:dyDescent="0.25">
      <c r="A3978" t="str">
        <f>"&lt;min&gt;" &amp;$G$3974&amp;"&lt;/min&gt;"</f>
        <v>&lt;min&gt;2&lt;/min&gt;</v>
      </c>
      <c r="B3978" t="s">
        <v>570</v>
      </c>
    </row>
    <row r="3979" spans="1:8" x14ac:dyDescent="0.25">
      <c r="A3979" t="s">
        <v>16</v>
      </c>
      <c r="B3979" t="s">
        <v>570</v>
      </c>
    </row>
    <row r="3980" spans="1:8" x14ac:dyDescent="0.25">
      <c r="A3980" t="s">
        <v>17</v>
      </c>
      <c r="B3980" t="s">
        <v>570</v>
      </c>
    </row>
    <row r="3981" spans="1:8" x14ac:dyDescent="0.25">
      <c r="A3981" t="s">
        <v>18</v>
      </c>
      <c r="B3981" t="s">
        <v>570</v>
      </c>
    </row>
    <row r="3982" spans="1:8" x14ac:dyDescent="0.25">
      <c r="A3982" t="str">
        <f xml:space="preserve"> $H$3974</f>
        <v>&lt;flags count_in_cargo="0" count_in_hoarder="0" count_in_map="1" count_in_player="0" crafted="0" deloot="0"/&gt;</v>
      </c>
      <c r="B3982" t="s">
        <v>570</v>
      </c>
    </row>
    <row r="3983" spans="1:8" x14ac:dyDescent="0.25">
      <c r="A3983" t="str">
        <f>"&lt;category name=" &amp;"""" &amp;$C$3974&amp;"""/&gt;"</f>
        <v>&lt;category name="clothes"/&gt;</v>
      </c>
      <c r="B3983" t="s">
        <v>570</v>
      </c>
    </row>
    <row r="3984" spans="1:8" x14ac:dyDescent="0.25">
      <c r="A3984" t="s">
        <v>25</v>
      </c>
      <c r="B3984" t="s">
        <v>570</v>
      </c>
    </row>
    <row r="3985" spans="1:8" x14ac:dyDescent="0.25">
      <c r="A3985" t="s">
        <v>29</v>
      </c>
      <c r="B3985" t="s">
        <v>570</v>
      </c>
    </row>
    <row r="3986" spans="1:8" x14ac:dyDescent="0.25">
      <c r="A3986" t="s">
        <v>22</v>
      </c>
      <c r="B3986" t="s">
        <v>570</v>
      </c>
    </row>
    <row r="3987" spans="1:8" x14ac:dyDescent="0.25">
      <c r="A3987" t="s">
        <v>1710</v>
      </c>
      <c r="B3987" t="s">
        <v>571</v>
      </c>
      <c r="C3987" t="s">
        <v>426</v>
      </c>
      <c r="D3987">
        <v>20</v>
      </c>
      <c r="E3987">
        <v>7200</v>
      </c>
      <c r="F3987">
        <v>0</v>
      </c>
      <c r="G3987">
        <v>10</v>
      </c>
      <c r="H3987" t="s">
        <v>19</v>
      </c>
    </row>
    <row r="3988" spans="1:8" x14ac:dyDescent="0.25">
      <c r="A3988" t="str">
        <f>"&lt;nominal&gt;" &amp;$D$3987&amp;"&lt;/nominal&gt;"</f>
        <v>&lt;nominal&gt;20&lt;/nominal&gt;</v>
      </c>
      <c r="B3988" t="s">
        <v>571</v>
      </c>
    </row>
    <row r="3989" spans="1:8" x14ac:dyDescent="0.25">
      <c r="A3989" t="str">
        <f>"&lt;lifetime&gt;" &amp;$E$3987&amp;"&lt;/lifetime&gt;"</f>
        <v>&lt;lifetime&gt;7200&lt;/lifetime&gt;</v>
      </c>
      <c r="B3989" t="s">
        <v>571</v>
      </c>
    </row>
    <row r="3990" spans="1:8" x14ac:dyDescent="0.25">
      <c r="A3990" t="str">
        <f>"&lt;restock&gt;" &amp;$F$3987&amp;"&lt;/restock&gt;"</f>
        <v>&lt;restock&gt;0&lt;/restock&gt;</v>
      </c>
      <c r="B3990" t="s">
        <v>571</v>
      </c>
    </row>
    <row r="3991" spans="1:8" x14ac:dyDescent="0.25">
      <c r="A3991" t="str">
        <f>"&lt;min&gt;" &amp;$G$3987&amp;"&lt;/min&gt;"</f>
        <v>&lt;min&gt;10&lt;/min&gt;</v>
      </c>
      <c r="B3991" t="s">
        <v>571</v>
      </c>
    </row>
    <row r="3992" spans="1:8" x14ac:dyDescent="0.25">
      <c r="A3992" t="s">
        <v>16</v>
      </c>
      <c r="B3992" t="s">
        <v>571</v>
      </c>
    </row>
    <row r="3993" spans="1:8" x14ac:dyDescent="0.25">
      <c r="A3993" t="s">
        <v>17</v>
      </c>
      <c r="B3993" t="s">
        <v>571</v>
      </c>
    </row>
    <row r="3994" spans="1:8" x14ac:dyDescent="0.25">
      <c r="A3994" t="s">
        <v>18</v>
      </c>
      <c r="B3994" t="s">
        <v>571</v>
      </c>
    </row>
    <row r="3995" spans="1:8" x14ac:dyDescent="0.25">
      <c r="A3995" t="str">
        <f xml:space="preserve"> $H$3987</f>
        <v>&lt;flags count_in_cargo="0" count_in_hoarder="0" count_in_map="1" count_in_player="0" crafted="0" deloot="0"/&gt;</v>
      </c>
      <c r="B3995" t="s">
        <v>571</v>
      </c>
    </row>
    <row r="3996" spans="1:8" x14ac:dyDescent="0.25">
      <c r="A3996" t="str">
        <f>"&lt;category name=" &amp;"""" &amp;$C$3987&amp;"""/&gt;"</f>
        <v>&lt;category name="tools"/&gt;</v>
      </c>
      <c r="B3996" t="s">
        <v>571</v>
      </c>
    </row>
    <row r="3997" spans="1:8" x14ac:dyDescent="0.25">
      <c r="A3997" t="s">
        <v>20</v>
      </c>
      <c r="B3997" t="s">
        <v>571</v>
      </c>
    </row>
    <row r="3998" spans="1:8" x14ac:dyDescent="0.25">
      <c r="A3998" t="s">
        <v>29</v>
      </c>
      <c r="B3998" t="s">
        <v>571</v>
      </c>
    </row>
    <row r="3999" spans="1:8" x14ac:dyDescent="0.25">
      <c r="A3999" t="s">
        <v>22</v>
      </c>
      <c r="B3999" t="s">
        <v>571</v>
      </c>
    </row>
    <row r="4000" spans="1:8" x14ac:dyDescent="0.25">
      <c r="A4000" t="s">
        <v>1711</v>
      </c>
      <c r="B4000" t="s">
        <v>572</v>
      </c>
      <c r="C4000" t="s">
        <v>426</v>
      </c>
      <c r="D4000">
        <v>60</v>
      </c>
      <c r="E4000">
        <v>7200</v>
      </c>
      <c r="F4000">
        <v>0</v>
      </c>
      <c r="G4000">
        <v>40</v>
      </c>
      <c r="H4000" t="s">
        <v>19</v>
      </c>
    </row>
    <row r="4001" spans="1:8" x14ac:dyDescent="0.25">
      <c r="A4001" t="str">
        <f>"&lt;nominal&gt;" &amp;$D$4000&amp;"&lt;/nominal&gt;"</f>
        <v>&lt;nominal&gt;60&lt;/nominal&gt;</v>
      </c>
      <c r="B4001" t="s">
        <v>572</v>
      </c>
    </row>
    <row r="4002" spans="1:8" x14ac:dyDescent="0.25">
      <c r="A4002" t="str">
        <f>"&lt;lifetime&gt;" &amp;$E$4000&amp;"&lt;/lifetime&gt;"</f>
        <v>&lt;lifetime&gt;7200&lt;/lifetime&gt;</v>
      </c>
      <c r="B4002" t="s">
        <v>572</v>
      </c>
    </row>
    <row r="4003" spans="1:8" x14ac:dyDescent="0.25">
      <c r="A4003" t="str">
        <f>"&lt;restock&gt;" &amp;$F$4000&amp;"&lt;/restock&gt;"</f>
        <v>&lt;restock&gt;0&lt;/restock&gt;</v>
      </c>
      <c r="B4003" t="s">
        <v>572</v>
      </c>
    </row>
    <row r="4004" spans="1:8" x14ac:dyDescent="0.25">
      <c r="A4004" t="str">
        <f>"&lt;min&gt;" &amp;$G$4000&amp;"&lt;/min&gt;"</f>
        <v>&lt;min&gt;40&lt;/min&gt;</v>
      </c>
      <c r="B4004" t="s">
        <v>572</v>
      </c>
    </row>
    <row r="4005" spans="1:8" x14ac:dyDescent="0.25">
      <c r="A4005" t="s">
        <v>16</v>
      </c>
      <c r="B4005" t="s">
        <v>572</v>
      </c>
    </row>
    <row r="4006" spans="1:8" x14ac:dyDescent="0.25">
      <c r="A4006" t="s">
        <v>17</v>
      </c>
      <c r="B4006" t="s">
        <v>572</v>
      </c>
    </row>
    <row r="4007" spans="1:8" x14ac:dyDescent="0.25">
      <c r="A4007" t="s">
        <v>18</v>
      </c>
      <c r="B4007" t="s">
        <v>572</v>
      </c>
    </row>
    <row r="4008" spans="1:8" x14ac:dyDescent="0.25">
      <c r="A4008" t="str">
        <f xml:space="preserve"> $H$4000</f>
        <v>&lt;flags count_in_cargo="0" count_in_hoarder="0" count_in_map="1" count_in_player="0" crafted="0" deloot="0"/&gt;</v>
      </c>
      <c r="B4008" t="s">
        <v>572</v>
      </c>
    </row>
    <row r="4009" spans="1:8" x14ac:dyDescent="0.25">
      <c r="A4009" t="str">
        <f>"&lt;category name=" &amp;"""" &amp;$C$4000&amp;"""/&gt;"</f>
        <v>&lt;category name="tools"/&gt;</v>
      </c>
      <c r="B4009" t="s">
        <v>572</v>
      </c>
    </row>
    <row r="4010" spans="1:8" x14ac:dyDescent="0.25">
      <c r="A4010" t="s">
        <v>55</v>
      </c>
      <c r="B4010" t="s">
        <v>572</v>
      </c>
    </row>
    <row r="4011" spans="1:8" x14ac:dyDescent="0.25">
      <c r="A4011" t="s">
        <v>56</v>
      </c>
      <c r="B4011" t="s">
        <v>572</v>
      </c>
    </row>
    <row r="4012" spans="1:8" x14ac:dyDescent="0.25">
      <c r="A4012" t="s">
        <v>22</v>
      </c>
      <c r="B4012" t="s">
        <v>572</v>
      </c>
    </row>
    <row r="4013" spans="1:8" x14ac:dyDescent="0.25">
      <c r="A4013" t="s">
        <v>1712</v>
      </c>
      <c r="B4013" t="s">
        <v>573</v>
      </c>
      <c r="C4013" t="s">
        <v>426</v>
      </c>
      <c r="D4013">
        <v>40</v>
      </c>
      <c r="E4013">
        <v>7200</v>
      </c>
      <c r="F4013">
        <v>0</v>
      </c>
      <c r="G4013">
        <v>20</v>
      </c>
      <c r="H4013" t="s">
        <v>19</v>
      </c>
    </row>
    <row r="4014" spans="1:8" x14ac:dyDescent="0.25">
      <c r="A4014" t="str">
        <f>"&lt;nominal&gt;" &amp;$D$4013&amp;"&lt;/nominal&gt;"</f>
        <v>&lt;nominal&gt;40&lt;/nominal&gt;</v>
      </c>
      <c r="B4014" t="s">
        <v>573</v>
      </c>
    </row>
    <row r="4015" spans="1:8" x14ac:dyDescent="0.25">
      <c r="A4015" t="str">
        <f>"&lt;lifetime&gt;" &amp;$E$4013&amp;"&lt;/lifetime&gt;"</f>
        <v>&lt;lifetime&gt;7200&lt;/lifetime&gt;</v>
      </c>
      <c r="B4015" t="s">
        <v>573</v>
      </c>
    </row>
    <row r="4016" spans="1:8" x14ac:dyDescent="0.25">
      <c r="A4016" t="str">
        <f>"&lt;restock&gt;" &amp;$F$4013&amp;"&lt;/restock&gt;"</f>
        <v>&lt;restock&gt;0&lt;/restock&gt;</v>
      </c>
      <c r="B4016" t="s">
        <v>573</v>
      </c>
    </row>
    <row r="4017" spans="1:8" x14ac:dyDescent="0.25">
      <c r="A4017" t="str">
        <f>"&lt;min&gt;" &amp;$G$4013&amp;"&lt;/min&gt;"</f>
        <v>&lt;min&gt;20&lt;/min&gt;</v>
      </c>
      <c r="B4017" t="s">
        <v>573</v>
      </c>
    </row>
    <row r="4018" spans="1:8" x14ac:dyDescent="0.25">
      <c r="A4018" t="s">
        <v>16</v>
      </c>
      <c r="B4018" t="s">
        <v>573</v>
      </c>
    </row>
    <row r="4019" spans="1:8" x14ac:dyDescent="0.25">
      <c r="A4019" t="s">
        <v>17</v>
      </c>
      <c r="B4019" t="s">
        <v>573</v>
      </c>
    </row>
    <row r="4020" spans="1:8" x14ac:dyDescent="0.25">
      <c r="A4020" t="s">
        <v>18</v>
      </c>
      <c r="B4020" t="s">
        <v>573</v>
      </c>
    </row>
    <row r="4021" spans="1:8" x14ac:dyDescent="0.25">
      <c r="A4021" t="str">
        <f xml:space="preserve"> $H$4013</f>
        <v>&lt;flags count_in_cargo="0" count_in_hoarder="0" count_in_map="1" count_in_player="0" crafted="0" deloot="0"/&gt;</v>
      </c>
      <c r="B4021" t="s">
        <v>573</v>
      </c>
    </row>
    <row r="4022" spans="1:8" x14ac:dyDescent="0.25">
      <c r="A4022" t="str">
        <f>"&lt;category name=" &amp;"""" &amp;$C$4013&amp;"""/&gt;"</f>
        <v>&lt;category name="tools"/&gt;</v>
      </c>
      <c r="B4022" t="s">
        <v>573</v>
      </c>
    </row>
    <row r="4023" spans="1:8" x14ac:dyDescent="0.25">
      <c r="A4023" t="s">
        <v>55</v>
      </c>
      <c r="B4023" t="s">
        <v>573</v>
      </c>
    </row>
    <row r="4024" spans="1:8" x14ac:dyDescent="0.25">
      <c r="A4024" t="s">
        <v>56</v>
      </c>
      <c r="B4024" t="s">
        <v>573</v>
      </c>
    </row>
    <row r="4025" spans="1:8" x14ac:dyDescent="0.25">
      <c r="A4025" t="s">
        <v>22</v>
      </c>
      <c r="B4025" t="s">
        <v>573</v>
      </c>
    </row>
    <row r="4026" spans="1:8" x14ac:dyDescent="0.25">
      <c r="A4026" t="s">
        <v>1713</v>
      </c>
      <c r="B4026" t="s">
        <v>574</v>
      </c>
      <c r="C4026" t="s">
        <v>426</v>
      </c>
      <c r="D4026">
        <v>70</v>
      </c>
      <c r="E4026">
        <v>7200</v>
      </c>
      <c r="F4026">
        <v>1800</v>
      </c>
      <c r="G4026">
        <v>50</v>
      </c>
      <c r="H4026" t="s">
        <v>19</v>
      </c>
    </row>
    <row r="4027" spans="1:8" x14ac:dyDescent="0.25">
      <c r="A4027" t="str">
        <f>"&lt;nominal&gt;" &amp;$D$4026&amp;"&lt;/nominal&gt;"</f>
        <v>&lt;nominal&gt;70&lt;/nominal&gt;</v>
      </c>
      <c r="B4027" t="s">
        <v>574</v>
      </c>
    </row>
    <row r="4028" spans="1:8" x14ac:dyDescent="0.25">
      <c r="A4028" t="str">
        <f>"&lt;lifetime&gt;" &amp;$E$4026&amp;"&lt;/lifetime&gt;"</f>
        <v>&lt;lifetime&gt;7200&lt;/lifetime&gt;</v>
      </c>
      <c r="B4028" t="s">
        <v>574</v>
      </c>
    </row>
    <row r="4029" spans="1:8" x14ac:dyDescent="0.25">
      <c r="A4029" t="str">
        <f>"&lt;restock&gt;" &amp;$F$4026&amp;"&lt;/restock&gt;"</f>
        <v>&lt;restock&gt;1800&lt;/restock&gt;</v>
      </c>
      <c r="B4029" t="s">
        <v>574</v>
      </c>
    </row>
    <row r="4030" spans="1:8" x14ac:dyDescent="0.25">
      <c r="A4030" t="str">
        <f>"&lt;min&gt;" &amp;$G$4026&amp;"&lt;/min&gt;"</f>
        <v>&lt;min&gt;50&lt;/min&gt;</v>
      </c>
      <c r="B4030" t="s">
        <v>574</v>
      </c>
    </row>
    <row r="4031" spans="1:8" x14ac:dyDescent="0.25">
      <c r="A4031" t="s">
        <v>16</v>
      </c>
      <c r="B4031" t="s">
        <v>574</v>
      </c>
    </row>
    <row r="4032" spans="1:8" x14ac:dyDescent="0.25">
      <c r="A4032" t="s">
        <v>17</v>
      </c>
      <c r="B4032" t="s">
        <v>574</v>
      </c>
    </row>
    <row r="4033" spans="1:8" x14ac:dyDescent="0.25">
      <c r="A4033" t="s">
        <v>18</v>
      </c>
      <c r="B4033" t="s">
        <v>574</v>
      </c>
    </row>
    <row r="4034" spans="1:8" x14ac:dyDescent="0.25">
      <c r="A4034" t="str">
        <f xml:space="preserve"> $H$4026</f>
        <v>&lt;flags count_in_cargo="0" count_in_hoarder="0" count_in_map="1" count_in_player="0" crafted="0" deloot="0"/&gt;</v>
      </c>
      <c r="B4034" t="s">
        <v>574</v>
      </c>
    </row>
    <row r="4035" spans="1:8" x14ac:dyDescent="0.25">
      <c r="A4035" t="str">
        <f>"&lt;category name=" &amp;"""" &amp;$C$4026&amp;"""/&gt;"</f>
        <v>&lt;category name="tools"/&gt;</v>
      </c>
      <c r="B4035" t="s">
        <v>574</v>
      </c>
    </row>
    <row r="4036" spans="1:8" x14ac:dyDescent="0.25">
      <c r="A4036" t="s">
        <v>20</v>
      </c>
      <c r="B4036" t="s">
        <v>574</v>
      </c>
    </row>
    <row r="4037" spans="1:8" x14ac:dyDescent="0.25">
      <c r="A4037" t="s">
        <v>29</v>
      </c>
      <c r="B4037" t="s">
        <v>574</v>
      </c>
    </row>
    <row r="4038" spans="1:8" x14ac:dyDescent="0.25">
      <c r="A4038" t="s">
        <v>67</v>
      </c>
      <c r="B4038" t="s">
        <v>574</v>
      </c>
    </row>
    <row r="4039" spans="1:8" x14ac:dyDescent="0.25">
      <c r="A4039" t="s">
        <v>22</v>
      </c>
      <c r="B4039" t="s">
        <v>574</v>
      </c>
    </row>
    <row r="4040" spans="1:8" x14ac:dyDescent="0.25">
      <c r="A4040" t="s">
        <v>1714</v>
      </c>
      <c r="B4040" t="s">
        <v>575</v>
      </c>
      <c r="C4040" t="s">
        <v>403</v>
      </c>
      <c r="D4040">
        <v>25</v>
      </c>
      <c r="E4040">
        <v>5600</v>
      </c>
      <c r="F4040">
        <v>0</v>
      </c>
      <c r="G4040">
        <v>15</v>
      </c>
      <c r="H4040" t="s">
        <v>19</v>
      </c>
    </row>
    <row r="4041" spans="1:8" x14ac:dyDescent="0.25">
      <c r="A4041" t="str">
        <f>"&lt;nominal&gt;" &amp;$D$4040&amp;"&lt;/nominal&gt;"</f>
        <v>&lt;nominal&gt;25&lt;/nominal&gt;</v>
      </c>
      <c r="B4041" t="s">
        <v>575</v>
      </c>
    </row>
    <row r="4042" spans="1:8" x14ac:dyDescent="0.25">
      <c r="A4042" t="str">
        <f>"&lt;lifetime&gt;" &amp;$E$4040&amp;"&lt;/lifetime&gt;"</f>
        <v>&lt;lifetime&gt;5600&lt;/lifetime&gt;</v>
      </c>
      <c r="B4042" t="s">
        <v>575</v>
      </c>
    </row>
    <row r="4043" spans="1:8" x14ac:dyDescent="0.25">
      <c r="A4043" t="str">
        <f>"&lt;restock&gt;" &amp;$F$4040&amp;"&lt;/restock&gt;"</f>
        <v>&lt;restock&gt;0&lt;/restock&gt;</v>
      </c>
      <c r="B4043" t="s">
        <v>575</v>
      </c>
    </row>
    <row r="4044" spans="1:8" x14ac:dyDescent="0.25">
      <c r="A4044" t="str">
        <f>"&lt;min&gt;" &amp;$G$4040&amp;"&lt;/min&gt;"</f>
        <v>&lt;min&gt;15&lt;/min&gt;</v>
      </c>
      <c r="B4044" t="s">
        <v>575</v>
      </c>
    </row>
    <row r="4045" spans="1:8" x14ac:dyDescent="0.25">
      <c r="A4045" t="s">
        <v>16</v>
      </c>
      <c r="B4045" t="s">
        <v>575</v>
      </c>
    </row>
    <row r="4046" spans="1:8" x14ac:dyDescent="0.25">
      <c r="A4046" t="s">
        <v>17</v>
      </c>
      <c r="B4046" t="s">
        <v>575</v>
      </c>
    </row>
    <row r="4047" spans="1:8" x14ac:dyDescent="0.25">
      <c r="A4047" t="s">
        <v>18</v>
      </c>
      <c r="B4047" t="s">
        <v>575</v>
      </c>
    </row>
    <row r="4048" spans="1:8" x14ac:dyDescent="0.25">
      <c r="A4048" t="str">
        <f xml:space="preserve"> $H$4040</f>
        <v>&lt;flags count_in_cargo="0" count_in_hoarder="0" count_in_map="1" count_in_player="0" crafted="0" deloot="0"/&gt;</v>
      </c>
      <c r="B4048" t="s">
        <v>575</v>
      </c>
    </row>
    <row r="4049" spans="1:8" x14ac:dyDescent="0.25">
      <c r="A4049" t="str">
        <f>"&lt;category name=" &amp;"""" &amp;$C$4040&amp;"""/&gt;"</f>
        <v>&lt;category name="clothes"/&gt;</v>
      </c>
      <c r="B4049" t="s">
        <v>575</v>
      </c>
    </row>
    <row r="4050" spans="1:8" x14ac:dyDescent="0.25">
      <c r="A4050" t="s">
        <v>20</v>
      </c>
      <c r="B4050" t="s">
        <v>575</v>
      </c>
    </row>
    <row r="4051" spans="1:8" x14ac:dyDescent="0.25">
      <c r="A4051" t="s">
        <v>55</v>
      </c>
      <c r="B4051" t="s">
        <v>575</v>
      </c>
    </row>
    <row r="4052" spans="1:8" x14ac:dyDescent="0.25">
      <c r="A4052" t="s">
        <v>22</v>
      </c>
      <c r="B4052" t="s">
        <v>575</v>
      </c>
    </row>
    <row r="4053" spans="1:8" x14ac:dyDescent="0.25">
      <c r="A4053" t="s">
        <v>1715</v>
      </c>
      <c r="B4053" t="s">
        <v>576</v>
      </c>
      <c r="C4053" t="s">
        <v>403</v>
      </c>
      <c r="D4053">
        <v>25</v>
      </c>
      <c r="E4053">
        <v>5600</v>
      </c>
      <c r="F4053">
        <v>0</v>
      </c>
      <c r="G4053">
        <v>15</v>
      </c>
      <c r="H4053" t="s">
        <v>19</v>
      </c>
    </row>
    <row r="4054" spans="1:8" x14ac:dyDescent="0.25">
      <c r="A4054" t="str">
        <f>"&lt;nominal&gt;" &amp;$D$4053&amp;"&lt;/nominal&gt;"</f>
        <v>&lt;nominal&gt;25&lt;/nominal&gt;</v>
      </c>
      <c r="B4054" t="s">
        <v>576</v>
      </c>
    </row>
    <row r="4055" spans="1:8" x14ac:dyDescent="0.25">
      <c r="A4055" t="str">
        <f>"&lt;lifetime&gt;" &amp;$E$4053&amp;"&lt;/lifetime&gt;"</f>
        <v>&lt;lifetime&gt;5600&lt;/lifetime&gt;</v>
      </c>
      <c r="B4055" t="s">
        <v>576</v>
      </c>
    </row>
    <row r="4056" spans="1:8" x14ac:dyDescent="0.25">
      <c r="A4056" t="str">
        <f>"&lt;restock&gt;" &amp;$F$4053&amp;"&lt;/restock&gt;"</f>
        <v>&lt;restock&gt;0&lt;/restock&gt;</v>
      </c>
      <c r="B4056" t="s">
        <v>576</v>
      </c>
    </row>
    <row r="4057" spans="1:8" x14ac:dyDescent="0.25">
      <c r="A4057" t="str">
        <f>"&lt;min&gt;" &amp;$G$4053&amp;"&lt;/min&gt;"</f>
        <v>&lt;min&gt;15&lt;/min&gt;</v>
      </c>
      <c r="B4057" t="s">
        <v>576</v>
      </c>
    </row>
    <row r="4058" spans="1:8" x14ac:dyDescent="0.25">
      <c r="A4058" t="s">
        <v>16</v>
      </c>
      <c r="B4058" t="s">
        <v>576</v>
      </c>
    </row>
    <row r="4059" spans="1:8" x14ac:dyDescent="0.25">
      <c r="A4059" t="s">
        <v>17</v>
      </c>
      <c r="B4059" t="s">
        <v>576</v>
      </c>
    </row>
    <row r="4060" spans="1:8" x14ac:dyDescent="0.25">
      <c r="A4060" t="s">
        <v>18</v>
      </c>
      <c r="B4060" t="s">
        <v>576</v>
      </c>
    </row>
    <row r="4061" spans="1:8" x14ac:dyDescent="0.25">
      <c r="A4061" t="str">
        <f xml:space="preserve"> $H$4053</f>
        <v>&lt;flags count_in_cargo="0" count_in_hoarder="0" count_in_map="1" count_in_player="0" crafted="0" deloot="0"/&gt;</v>
      </c>
      <c r="B4061" t="s">
        <v>576</v>
      </c>
    </row>
    <row r="4062" spans="1:8" x14ac:dyDescent="0.25">
      <c r="A4062" t="str">
        <f>"&lt;category name=" &amp;"""" &amp;$C$4053&amp;"""/&gt;"</f>
        <v>&lt;category name="clothes"/&gt;</v>
      </c>
      <c r="B4062" t="s">
        <v>576</v>
      </c>
    </row>
    <row r="4063" spans="1:8" x14ac:dyDescent="0.25">
      <c r="A4063" t="s">
        <v>20</v>
      </c>
      <c r="B4063" t="s">
        <v>576</v>
      </c>
    </row>
    <row r="4064" spans="1:8" x14ac:dyDescent="0.25">
      <c r="A4064" t="s">
        <v>55</v>
      </c>
      <c r="B4064" t="s">
        <v>576</v>
      </c>
    </row>
    <row r="4065" spans="1:8" x14ac:dyDescent="0.25">
      <c r="A4065" t="s">
        <v>22</v>
      </c>
      <c r="B4065" t="s">
        <v>576</v>
      </c>
    </row>
    <row r="4066" spans="1:8" x14ac:dyDescent="0.25">
      <c r="A4066" t="s">
        <v>1716</v>
      </c>
      <c r="B4066" t="s">
        <v>577</v>
      </c>
      <c r="C4066" t="s">
        <v>403</v>
      </c>
      <c r="D4066">
        <v>25</v>
      </c>
      <c r="E4066">
        <v>5600</v>
      </c>
      <c r="F4066">
        <v>0</v>
      </c>
      <c r="G4066">
        <v>15</v>
      </c>
      <c r="H4066" t="s">
        <v>19</v>
      </c>
    </row>
    <row r="4067" spans="1:8" x14ac:dyDescent="0.25">
      <c r="A4067" t="str">
        <f>"&lt;nominal&gt;" &amp;$D$4066&amp;"&lt;/nominal&gt;"</f>
        <v>&lt;nominal&gt;25&lt;/nominal&gt;</v>
      </c>
      <c r="B4067" t="s">
        <v>577</v>
      </c>
    </row>
    <row r="4068" spans="1:8" x14ac:dyDescent="0.25">
      <c r="A4068" t="str">
        <f>"&lt;lifetime&gt;" &amp;$E$4066&amp;"&lt;/lifetime&gt;"</f>
        <v>&lt;lifetime&gt;5600&lt;/lifetime&gt;</v>
      </c>
      <c r="B4068" t="s">
        <v>577</v>
      </c>
    </row>
    <row r="4069" spans="1:8" x14ac:dyDescent="0.25">
      <c r="A4069" t="str">
        <f>"&lt;restock&gt;" &amp;$F$4066&amp;"&lt;/restock&gt;"</f>
        <v>&lt;restock&gt;0&lt;/restock&gt;</v>
      </c>
      <c r="B4069" t="s">
        <v>577</v>
      </c>
    </row>
    <row r="4070" spans="1:8" x14ac:dyDescent="0.25">
      <c r="A4070" t="str">
        <f>"&lt;min&gt;" &amp;$G$4066&amp;"&lt;/min&gt;"</f>
        <v>&lt;min&gt;15&lt;/min&gt;</v>
      </c>
      <c r="B4070" t="s">
        <v>577</v>
      </c>
    </row>
    <row r="4071" spans="1:8" x14ac:dyDescent="0.25">
      <c r="A4071" t="s">
        <v>16</v>
      </c>
      <c r="B4071" t="s">
        <v>577</v>
      </c>
    </row>
    <row r="4072" spans="1:8" x14ac:dyDescent="0.25">
      <c r="A4072" t="s">
        <v>17</v>
      </c>
      <c r="B4072" t="s">
        <v>577</v>
      </c>
    </row>
    <row r="4073" spans="1:8" x14ac:dyDescent="0.25">
      <c r="A4073" t="s">
        <v>18</v>
      </c>
      <c r="B4073" t="s">
        <v>577</v>
      </c>
    </row>
    <row r="4074" spans="1:8" x14ac:dyDescent="0.25">
      <c r="A4074" t="str">
        <f xml:space="preserve"> $H$4066</f>
        <v>&lt;flags count_in_cargo="0" count_in_hoarder="0" count_in_map="1" count_in_player="0" crafted="0" deloot="0"/&gt;</v>
      </c>
      <c r="B4074" t="s">
        <v>577</v>
      </c>
    </row>
    <row r="4075" spans="1:8" x14ac:dyDescent="0.25">
      <c r="A4075" t="str">
        <f>"&lt;category name=" &amp;"""" &amp;$C$4066&amp;"""/&gt;"</f>
        <v>&lt;category name="clothes"/&gt;</v>
      </c>
      <c r="B4075" t="s">
        <v>577</v>
      </c>
    </row>
    <row r="4076" spans="1:8" x14ac:dyDescent="0.25">
      <c r="A4076" t="s">
        <v>20</v>
      </c>
      <c r="B4076" t="s">
        <v>577</v>
      </c>
    </row>
    <row r="4077" spans="1:8" x14ac:dyDescent="0.25">
      <c r="A4077" t="s">
        <v>55</v>
      </c>
      <c r="B4077" t="s">
        <v>577</v>
      </c>
    </row>
    <row r="4078" spans="1:8" x14ac:dyDescent="0.25">
      <c r="A4078" t="s">
        <v>22</v>
      </c>
      <c r="B4078" t="s">
        <v>577</v>
      </c>
    </row>
    <row r="4079" spans="1:8" x14ac:dyDescent="0.25">
      <c r="A4079" t="s">
        <v>1717</v>
      </c>
      <c r="B4079" t="s">
        <v>578</v>
      </c>
      <c r="C4079" t="s">
        <v>403</v>
      </c>
      <c r="D4079">
        <v>25</v>
      </c>
      <c r="E4079">
        <v>5600</v>
      </c>
      <c r="F4079">
        <v>0</v>
      </c>
      <c r="G4079">
        <v>15</v>
      </c>
      <c r="H4079" t="s">
        <v>19</v>
      </c>
    </row>
    <row r="4080" spans="1:8" x14ac:dyDescent="0.25">
      <c r="A4080" t="str">
        <f>"&lt;nominal&gt;" &amp;$D$4079&amp;"&lt;/nominal&gt;"</f>
        <v>&lt;nominal&gt;25&lt;/nominal&gt;</v>
      </c>
      <c r="B4080" t="s">
        <v>578</v>
      </c>
    </row>
    <row r="4081" spans="1:8" x14ac:dyDescent="0.25">
      <c r="A4081" t="str">
        <f>"&lt;lifetime&gt;" &amp;$E$4079&amp;"&lt;/lifetime&gt;"</f>
        <v>&lt;lifetime&gt;5600&lt;/lifetime&gt;</v>
      </c>
      <c r="B4081" t="s">
        <v>578</v>
      </c>
    </row>
    <row r="4082" spans="1:8" x14ac:dyDescent="0.25">
      <c r="A4082" t="str">
        <f>"&lt;restock&gt;" &amp;$F$4079&amp;"&lt;/restock&gt;"</f>
        <v>&lt;restock&gt;0&lt;/restock&gt;</v>
      </c>
      <c r="B4082" t="s">
        <v>578</v>
      </c>
    </row>
    <row r="4083" spans="1:8" x14ac:dyDescent="0.25">
      <c r="A4083" t="str">
        <f>"&lt;min&gt;" &amp;$G$4079&amp;"&lt;/min&gt;"</f>
        <v>&lt;min&gt;15&lt;/min&gt;</v>
      </c>
      <c r="B4083" t="s">
        <v>578</v>
      </c>
    </row>
    <row r="4084" spans="1:8" x14ac:dyDescent="0.25">
      <c r="A4084" t="s">
        <v>16</v>
      </c>
      <c r="B4084" t="s">
        <v>578</v>
      </c>
    </row>
    <row r="4085" spans="1:8" x14ac:dyDescent="0.25">
      <c r="A4085" t="s">
        <v>17</v>
      </c>
      <c r="B4085" t="s">
        <v>578</v>
      </c>
    </row>
    <row r="4086" spans="1:8" x14ac:dyDescent="0.25">
      <c r="A4086" t="s">
        <v>18</v>
      </c>
      <c r="B4086" t="s">
        <v>578</v>
      </c>
    </row>
    <row r="4087" spans="1:8" x14ac:dyDescent="0.25">
      <c r="A4087" t="str">
        <f xml:space="preserve"> $H$4079</f>
        <v>&lt;flags count_in_cargo="0" count_in_hoarder="0" count_in_map="1" count_in_player="0" crafted="0" deloot="0"/&gt;</v>
      </c>
      <c r="B4087" t="s">
        <v>578</v>
      </c>
    </row>
    <row r="4088" spans="1:8" x14ac:dyDescent="0.25">
      <c r="A4088" t="str">
        <f>"&lt;category name=" &amp;"""" &amp;$C$4079&amp;"""/&gt;"</f>
        <v>&lt;category name="clothes"/&gt;</v>
      </c>
      <c r="B4088" t="s">
        <v>578</v>
      </c>
    </row>
    <row r="4089" spans="1:8" x14ac:dyDescent="0.25">
      <c r="A4089" t="s">
        <v>20</v>
      </c>
      <c r="B4089" t="s">
        <v>578</v>
      </c>
    </row>
    <row r="4090" spans="1:8" x14ac:dyDescent="0.25">
      <c r="A4090" t="s">
        <v>55</v>
      </c>
      <c r="B4090" t="s">
        <v>578</v>
      </c>
    </row>
    <row r="4091" spans="1:8" x14ac:dyDescent="0.25">
      <c r="A4091" t="s">
        <v>22</v>
      </c>
      <c r="B4091" t="s">
        <v>578</v>
      </c>
    </row>
    <row r="4092" spans="1:8" x14ac:dyDescent="0.25">
      <c r="A4092" t="s">
        <v>1718</v>
      </c>
      <c r="B4092" t="s">
        <v>579</v>
      </c>
      <c r="C4092" t="s">
        <v>403</v>
      </c>
      <c r="D4092">
        <v>25</v>
      </c>
      <c r="E4092">
        <v>5600</v>
      </c>
      <c r="F4092">
        <v>0</v>
      </c>
      <c r="G4092">
        <v>15</v>
      </c>
      <c r="H4092" t="s">
        <v>19</v>
      </c>
    </row>
    <row r="4093" spans="1:8" x14ac:dyDescent="0.25">
      <c r="A4093" t="str">
        <f>"&lt;nominal&gt;" &amp;$D$4092&amp;"&lt;/nominal&gt;"</f>
        <v>&lt;nominal&gt;25&lt;/nominal&gt;</v>
      </c>
      <c r="B4093" t="s">
        <v>579</v>
      </c>
    </row>
    <row r="4094" spans="1:8" x14ac:dyDescent="0.25">
      <c r="A4094" t="str">
        <f>"&lt;lifetime&gt;" &amp;$E$4092&amp;"&lt;/lifetime&gt;"</f>
        <v>&lt;lifetime&gt;5600&lt;/lifetime&gt;</v>
      </c>
      <c r="B4094" t="s">
        <v>579</v>
      </c>
    </row>
    <row r="4095" spans="1:8" x14ac:dyDescent="0.25">
      <c r="A4095" t="str">
        <f>"&lt;restock&gt;" &amp;$F$4092&amp;"&lt;/restock&gt;"</f>
        <v>&lt;restock&gt;0&lt;/restock&gt;</v>
      </c>
      <c r="B4095" t="s">
        <v>579</v>
      </c>
    </row>
    <row r="4096" spans="1:8" x14ac:dyDescent="0.25">
      <c r="A4096" t="str">
        <f>"&lt;min&gt;" &amp;$G$4092&amp;"&lt;/min&gt;"</f>
        <v>&lt;min&gt;15&lt;/min&gt;</v>
      </c>
      <c r="B4096" t="s">
        <v>579</v>
      </c>
    </row>
    <row r="4097" spans="1:8" x14ac:dyDescent="0.25">
      <c r="A4097" t="s">
        <v>16</v>
      </c>
      <c r="B4097" t="s">
        <v>579</v>
      </c>
    </row>
    <row r="4098" spans="1:8" x14ac:dyDescent="0.25">
      <c r="A4098" t="s">
        <v>17</v>
      </c>
      <c r="B4098" t="s">
        <v>579</v>
      </c>
    </row>
    <row r="4099" spans="1:8" x14ac:dyDescent="0.25">
      <c r="A4099" t="s">
        <v>18</v>
      </c>
      <c r="B4099" t="s">
        <v>579</v>
      </c>
    </row>
    <row r="4100" spans="1:8" x14ac:dyDescent="0.25">
      <c r="A4100" t="str">
        <f xml:space="preserve"> $H$4092</f>
        <v>&lt;flags count_in_cargo="0" count_in_hoarder="0" count_in_map="1" count_in_player="0" crafted="0" deloot="0"/&gt;</v>
      </c>
      <c r="B4100" t="s">
        <v>579</v>
      </c>
    </row>
    <row r="4101" spans="1:8" x14ac:dyDescent="0.25">
      <c r="A4101" t="str">
        <f>"&lt;category name=" &amp;"""" &amp;$C$4092&amp;"""/&gt;"</f>
        <v>&lt;category name="clothes"/&gt;</v>
      </c>
      <c r="B4101" t="s">
        <v>579</v>
      </c>
    </row>
    <row r="4102" spans="1:8" x14ac:dyDescent="0.25">
      <c r="A4102" t="s">
        <v>20</v>
      </c>
      <c r="B4102" t="s">
        <v>579</v>
      </c>
    </row>
    <row r="4103" spans="1:8" x14ac:dyDescent="0.25">
      <c r="A4103" t="s">
        <v>55</v>
      </c>
      <c r="B4103" t="s">
        <v>579</v>
      </c>
    </row>
    <row r="4104" spans="1:8" x14ac:dyDescent="0.25">
      <c r="A4104" t="s">
        <v>22</v>
      </c>
      <c r="B4104" t="s">
        <v>579</v>
      </c>
    </row>
    <row r="4105" spans="1:8" x14ac:dyDescent="0.25">
      <c r="A4105" t="s">
        <v>1719</v>
      </c>
      <c r="B4105" t="s">
        <v>580</v>
      </c>
      <c r="C4105" t="s">
        <v>403</v>
      </c>
      <c r="D4105">
        <v>25</v>
      </c>
      <c r="E4105">
        <v>5600</v>
      </c>
      <c r="F4105">
        <v>0</v>
      </c>
      <c r="G4105">
        <v>15</v>
      </c>
      <c r="H4105" t="s">
        <v>19</v>
      </c>
    </row>
    <row r="4106" spans="1:8" x14ac:dyDescent="0.25">
      <c r="A4106" t="str">
        <f>"&lt;nominal&gt;" &amp;$D$4105&amp;"&lt;/nominal&gt;"</f>
        <v>&lt;nominal&gt;25&lt;/nominal&gt;</v>
      </c>
      <c r="B4106" t="s">
        <v>580</v>
      </c>
    </row>
    <row r="4107" spans="1:8" x14ac:dyDescent="0.25">
      <c r="A4107" t="str">
        <f>"&lt;lifetime&gt;" &amp;$E$4105&amp;"&lt;/lifetime&gt;"</f>
        <v>&lt;lifetime&gt;5600&lt;/lifetime&gt;</v>
      </c>
      <c r="B4107" t="s">
        <v>580</v>
      </c>
    </row>
    <row r="4108" spans="1:8" x14ac:dyDescent="0.25">
      <c r="A4108" t="str">
        <f>"&lt;restock&gt;" &amp;$F$4105&amp;"&lt;/restock&gt;"</f>
        <v>&lt;restock&gt;0&lt;/restock&gt;</v>
      </c>
      <c r="B4108" t="s">
        <v>580</v>
      </c>
    </row>
    <row r="4109" spans="1:8" x14ac:dyDescent="0.25">
      <c r="A4109" t="str">
        <f>"&lt;min&gt;" &amp;$G$4105&amp;"&lt;/min&gt;"</f>
        <v>&lt;min&gt;15&lt;/min&gt;</v>
      </c>
      <c r="B4109" t="s">
        <v>580</v>
      </c>
    </row>
    <row r="4110" spans="1:8" x14ac:dyDescent="0.25">
      <c r="A4110" t="s">
        <v>16</v>
      </c>
      <c r="B4110" t="s">
        <v>580</v>
      </c>
    </row>
    <row r="4111" spans="1:8" x14ac:dyDescent="0.25">
      <c r="A4111" t="s">
        <v>17</v>
      </c>
      <c r="B4111" t="s">
        <v>580</v>
      </c>
    </row>
    <row r="4112" spans="1:8" x14ac:dyDescent="0.25">
      <c r="A4112" t="s">
        <v>18</v>
      </c>
      <c r="B4112" t="s">
        <v>580</v>
      </c>
    </row>
    <row r="4113" spans="1:8" x14ac:dyDescent="0.25">
      <c r="A4113" t="str">
        <f xml:space="preserve"> $H$4105</f>
        <v>&lt;flags count_in_cargo="0" count_in_hoarder="0" count_in_map="1" count_in_player="0" crafted="0" deloot="0"/&gt;</v>
      </c>
      <c r="B4113" t="s">
        <v>580</v>
      </c>
    </row>
    <row r="4114" spans="1:8" x14ac:dyDescent="0.25">
      <c r="A4114" t="str">
        <f>"&lt;category name=" &amp;"""" &amp;$C$4105&amp;"""/&gt;"</f>
        <v>&lt;category name="clothes"/&gt;</v>
      </c>
      <c r="B4114" t="s">
        <v>580</v>
      </c>
    </row>
    <row r="4115" spans="1:8" x14ac:dyDescent="0.25">
      <c r="A4115" t="s">
        <v>20</v>
      </c>
      <c r="B4115" t="s">
        <v>580</v>
      </c>
    </row>
    <row r="4116" spans="1:8" x14ac:dyDescent="0.25">
      <c r="A4116" t="s">
        <v>55</v>
      </c>
      <c r="B4116" t="s">
        <v>580</v>
      </c>
    </row>
    <row r="4117" spans="1:8" x14ac:dyDescent="0.25">
      <c r="A4117" t="s">
        <v>22</v>
      </c>
      <c r="B4117" t="s">
        <v>580</v>
      </c>
    </row>
    <row r="4118" spans="1:8" x14ac:dyDescent="0.25">
      <c r="A4118" t="s">
        <v>1720</v>
      </c>
      <c r="B4118" t="s">
        <v>3397</v>
      </c>
      <c r="C4118" t="s">
        <v>403</v>
      </c>
      <c r="D4118">
        <v>0</v>
      </c>
      <c r="E4118">
        <v>21600</v>
      </c>
      <c r="F4118">
        <v>0</v>
      </c>
      <c r="G4118">
        <v>0</v>
      </c>
      <c r="H4118" t="s">
        <v>62</v>
      </c>
    </row>
    <row r="4119" spans="1:8" x14ac:dyDescent="0.25">
      <c r="A4119" t="str">
        <f>"&lt;nominal&gt;" &amp;$D$4118&amp;"&lt;/nominal&gt;"</f>
        <v>&lt;nominal&gt;0&lt;/nominal&gt;</v>
      </c>
      <c r="B4119" t="s">
        <v>3397</v>
      </c>
    </row>
    <row r="4120" spans="1:8" x14ac:dyDescent="0.25">
      <c r="A4120" t="str">
        <f>"&lt;lifetime&gt;" &amp;$E$4118&amp;"&lt;/lifetime&gt;"</f>
        <v>&lt;lifetime&gt;21600&lt;/lifetime&gt;</v>
      </c>
      <c r="B4120" t="s">
        <v>3397</v>
      </c>
    </row>
    <row r="4121" spans="1:8" x14ac:dyDescent="0.25">
      <c r="A4121" t="str">
        <f>"&lt;restock&gt;" &amp;$F$4118&amp;"&lt;/restock&gt;"</f>
        <v>&lt;restock&gt;0&lt;/restock&gt;</v>
      </c>
      <c r="B4121" t="s">
        <v>3397</v>
      </c>
    </row>
    <row r="4122" spans="1:8" x14ac:dyDescent="0.25">
      <c r="A4122" t="str">
        <f>"&lt;min&gt;" &amp;$G$4118&amp;"&lt;/min&gt;"</f>
        <v>&lt;min&gt;0&lt;/min&gt;</v>
      </c>
      <c r="B4122" t="s">
        <v>3397</v>
      </c>
    </row>
    <row r="4123" spans="1:8" x14ac:dyDescent="0.25">
      <c r="A4123" t="s">
        <v>16</v>
      </c>
      <c r="B4123" t="s">
        <v>3397</v>
      </c>
    </row>
    <row r="4124" spans="1:8" x14ac:dyDescent="0.25">
      <c r="A4124" t="s">
        <v>17</v>
      </c>
      <c r="B4124" t="s">
        <v>3397</v>
      </c>
    </row>
    <row r="4125" spans="1:8" x14ac:dyDescent="0.25">
      <c r="A4125" t="s">
        <v>18</v>
      </c>
      <c r="B4125" t="s">
        <v>3397</v>
      </c>
    </row>
    <row r="4126" spans="1:8" x14ac:dyDescent="0.25">
      <c r="A4126" t="str">
        <f xml:space="preserve"> $H$4118</f>
        <v>&lt;flags count_in_cargo="0" count_in_hoarder="0" count_in_map="1" count_in_player="0" crafted="1" deloot="0"/&gt;</v>
      </c>
      <c r="B4126" t="s">
        <v>3397</v>
      </c>
    </row>
    <row r="4127" spans="1:8" x14ac:dyDescent="0.25">
      <c r="A4127" t="str">
        <f>"&lt;category name=" &amp;"""" &amp;$C$4118&amp;"""/&gt;"</f>
        <v>&lt;category name="clothes"/&gt;</v>
      </c>
      <c r="B4127" t="s">
        <v>3397</v>
      </c>
    </row>
    <row r="4128" spans="1:8" x14ac:dyDescent="0.25">
      <c r="A4128" t="s">
        <v>22</v>
      </c>
      <c r="B4128" t="s">
        <v>3397</v>
      </c>
    </row>
    <row r="4129" spans="1:8" x14ac:dyDescent="0.25">
      <c r="A4129" t="s">
        <v>2723</v>
      </c>
      <c r="B4129" t="s">
        <v>2721</v>
      </c>
      <c r="C4129" t="s">
        <v>403</v>
      </c>
      <c r="D4129">
        <v>0</v>
      </c>
      <c r="E4129">
        <v>10800</v>
      </c>
      <c r="F4129">
        <v>0</v>
      </c>
      <c r="G4129">
        <v>0</v>
      </c>
      <c r="H4129" t="s">
        <v>62</v>
      </c>
    </row>
    <row r="4130" spans="1:8" x14ac:dyDescent="0.25">
      <c r="A4130" t="str">
        <f>"&lt;nominal&gt;" &amp;$D$4129&amp;"&lt;/nominal&gt;"</f>
        <v>&lt;nominal&gt;0&lt;/nominal&gt;</v>
      </c>
      <c r="B4130" t="s">
        <v>2721</v>
      </c>
    </row>
    <row r="4131" spans="1:8" x14ac:dyDescent="0.25">
      <c r="A4131" t="str">
        <f>"&lt;lifetime&gt;" &amp;$E$4129&amp;"&lt;/lifetime&gt;"</f>
        <v>&lt;lifetime&gt;10800&lt;/lifetime&gt;</v>
      </c>
      <c r="B4131" t="s">
        <v>2721</v>
      </c>
    </row>
    <row r="4132" spans="1:8" x14ac:dyDescent="0.25">
      <c r="A4132" t="str">
        <f>"&lt;restock&gt;" &amp;$F$4129&amp;"&lt;/restock&gt;"</f>
        <v>&lt;restock&gt;0&lt;/restock&gt;</v>
      </c>
      <c r="B4132" t="s">
        <v>2721</v>
      </c>
    </row>
    <row r="4133" spans="1:8" x14ac:dyDescent="0.25">
      <c r="A4133" t="str">
        <f>"&lt;min&gt;" &amp;$G$4129&amp;"&lt;/min&gt;"</f>
        <v>&lt;min&gt;0&lt;/min&gt;</v>
      </c>
      <c r="B4133" t="s">
        <v>2721</v>
      </c>
    </row>
    <row r="4134" spans="1:8" x14ac:dyDescent="0.25">
      <c r="A4134" t="s">
        <v>16</v>
      </c>
      <c r="B4134" t="s">
        <v>2721</v>
      </c>
    </row>
    <row r="4135" spans="1:8" x14ac:dyDescent="0.25">
      <c r="A4135" t="s">
        <v>17</v>
      </c>
      <c r="B4135" t="s">
        <v>2721</v>
      </c>
    </row>
    <row r="4136" spans="1:8" x14ac:dyDescent="0.25">
      <c r="A4136" t="s">
        <v>18</v>
      </c>
      <c r="B4136" t="s">
        <v>2721</v>
      </c>
    </row>
    <row r="4137" spans="1:8" x14ac:dyDescent="0.25">
      <c r="A4137" t="str">
        <f xml:space="preserve"> $H$4129</f>
        <v>&lt;flags count_in_cargo="0" count_in_hoarder="0" count_in_map="1" count_in_player="0" crafted="1" deloot="0"/&gt;</v>
      </c>
      <c r="B4137" t="s">
        <v>2721</v>
      </c>
    </row>
    <row r="4138" spans="1:8" x14ac:dyDescent="0.25">
      <c r="A4138" t="str">
        <f>"&lt;category name=" &amp;"""" &amp;$C$4129&amp;"""/&gt;"</f>
        <v>&lt;category name="clothes"/&gt;</v>
      </c>
      <c r="B4138" t="s">
        <v>2721</v>
      </c>
    </row>
    <row r="4139" spans="1:8" x14ac:dyDescent="0.25">
      <c r="A4139" t="s">
        <v>22</v>
      </c>
      <c r="B4139" t="s">
        <v>2721</v>
      </c>
    </row>
    <row r="4140" spans="1:8" x14ac:dyDescent="0.25">
      <c r="A4140" t="s">
        <v>1721</v>
      </c>
      <c r="B4140" t="s">
        <v>581</v>
      </c>
      <c r="C4140" t="s">
        <v>403</v>
      </c>
      <c r="D4140">
        <v>0</v>
      </c>
      <c r="E4140">
        <v>10800</v>
      </c>
      <c r="F4140">
        <v>0</v>
      </c>
      <c r="G4140">
        <v>0</v>
      </c>
      <c r="H4140" t="s">
        <v>62</v>
      </c>
    </row>
    <row r="4141" spans="1:8" x14ac:dyDescent="0.25">
      <c r="A4141" t="str">
        <f>"&lt;nominal&gt;" &amp;$D$4140&amp;"&lt;/nominal&gt;"</f>
        <v>&lt;nominal&gt;0&lt;/nominal&gt;</v>
      </c>
      <c r="B4141" t="s">
        <v>581</v>
      </c>
    </row>
    <row r="4142" spans="1:8" x14ac:dyDescent="0.25">
      <c r="A4142" t="str">
        <f>"&lt;lifetime&gt;" &amp;$E$4140&amp;"&lt;/lifetime&gt;"</f>
        <v>&lt;lifetime&gt;10800&lt;/lifetime&gt;</v>
      </c>
      <c r="B4142" t="s">
        <v>581</v>
      </c>
    </row>
    <row r="4143" spans="1:8" x14ac:dyDescent="0.25">
      <c r="A4143" t="str">
        <f>"&lt;restock&gt;" &amp;$F$4140&amp;"&lt;/restock&gt;"</f>
        <v>&lt;restock&gt;0&lt;/restock&gt;</v>
      </c>
      <c r="B4143" t="s">
        <v>581</v>
      </c>
    </row>
    <row r="4144" spans="1:8" x14ac:dyDescent="0.25">
      <c r="A4144" t="str">
        <f>"&lt;min&gt;" &amp;$G$4140&amp;"&lt;/min&gt;"</f>
        <v>&lt;min&gt;0&lt;/min&gt;</v>
      </c>
      <c r="B4144" t="s">
        <v>581</v>
      </c>
    </row>
    <row r="4145" spans="1:8" x14ac:dyDescent="0.25">
      <c r="A4145" t="s">
        <v>16</v>
      </c>
      <c r="B4145" t="s">
        <v>581</v>
      </c>
    </row>
    <row r="4146" spans="1:8" x14ac:dyDescent="0.25">
      <c r="A4146" t="s">
        <v>17</v>
      </c>
      <c r="B4146" t="s">
        <v>581</v>
      </c>
    </row>
    <row r="4147" spans="1:8" x14ac:dyDescent="0.25">
      <c r="A4147" t="s">
        <v>18</v>
      </c>
      <c r="B4147" t="s">
        <v>581</v>
      </c>
    </row>
    <row r="4148" spans="1:8" x14ac:dyDescent="0.25">
      <c r="A4148" t="str">
        <f xml:space="preserve"> $H$4140</f>
        <v>&lt;flags count_in_cargo="0" count_in_hoarder="0" count_in_map="1" count_in_player="0" crafted="1" deloot="0"/&gt;</v>
      </c>
      <c r="B4148" t="s">
        <v>581</v>
      </c>
    </row>
    <row r="4149" spans="1:8" x14ac:dyDescent="0.25">
      <c r="A4149" t="str">
        <f>"&lt;category name=" &amp;"""" &amp;$C$4140&amp;"""/&gt;"</f>
        <v>&lt;category name="clothes"/&gt;</v>
      </c>
      <c r="B4149" t="s">
        <v>581</v>
      </c>
    </row>
    <row r="4150" spans="1:8" x14ac:dyDescent="0.25">
      <c r="A4150" t="s">
        <v>22</v>
      </c>
      <c r="B4150" t="s">
        <v>581</v>
      </c>
    </row>
    <row r="4151" spans="1:8" x14ac:dyDescent="0.25">
      <c r="A4151" t="s">
        <v>2724</v>
      </c>
      <c r="B4151" t="s">
        <v>2722</v>
      </c>
      <c r="C4151" t="s">
        <v>399</v>
      </c>
      <c r="D4151">
        <v>0</v>
      </c>
      <c r="E4151">
        <v>7200</v>
      </c>
      <c r="F4151">
        <v>0</v>
      </c>
      <c r="G4151">
        <v>0</v>
      </c>
      <c r="H4151" t="s">
        <v>62</v>
      </c>
    </row>
    <row r="4152" spans="1:8" x14ac:dyDescent="0.25">
      <c r="A4152" t="str">
        <f>"&lt;nominal&gt;" &amp;$D$4151&amp;"&lt;/nominal&gt;"</f>
        <v>&lt;nominal&gt;0&lt;/nominal&gt;</v>
      </c>
      <c r="B4152" t="s">
        <v>2722</v>
      </c>
    </row>
    <row r="4153" spans="1:8" x14ac:dyDescent="0.25">
      <c r="A4153" t="str">
        <f>"&lt;lifetime&gt;" &amp;$E$4151&amp;"&lt;/lifetime&gt;"</f>
        <v>&lt;lifetime&gt;7200&lt;/lifetime&gt;</v>
      </c>
      <c r="B4153" t="s">
        <v>2722</v>
      </c>
    </row>
    <row r="4154" spans="1:8" x14ac:dyDescent="0.25">
      <c r="A4154" t="str">
        <f>"&lt;restock&gt;" &amp;$F$4151&amp;"&lt;/restock&gt;"</f>
        <v>&lt;restock&gt;0&lt;/restock&gt;</v>
      </c>
      <c r="B4154" t="s">
        <v>2722</v>
      </c>
    </row>
    <row r="4155" spans="1:8" x14ac:dyDescent="0.25">
      <c r="A4155" t="str">
        <f>"&lt;min&gt;" &amp;$G$4151&amp;"&lt;/min&gt;"</f>
        <v>&lt;min&gt;0&lt;/min&gt;</v>
      </c>
      <c r="B4155" t="s">
        <v>2722</v>
      </c>
    </row>
    <row r="4156" spans="1:8" x14ac:dyDescent="0.25">
      <c r="A4156" t="s">
        <v>16</v>
      </c>
      <c r="B4156" t="s">
        <v>2722</v>
      </c>
    </row>
    <row r="4157" spans="1:8" x14ac:dyDescent="0.25">
      <c r="A4157" t="s">
        <v>17</v>
      </c>
      <c r="B4157" t="s">
        <v>2722</v>
      </c>
    </row>
    <row r="4158" spans="1:8" x14ac:dyDescent="0.25">
      <c r="A4158" t="s">
        <v>18</v>
      </c>
      <c r="B4158" t="s">
        <v>2722</v>
      </c>
    </row>
    <row r="4159" spans="1:8" x14ac:dyDescent="0.25">
      <c r="A4159" t="str">
        <f xml:space="preserve"> $H$4151</f>
        <v>&lt;flags count_in_cargo="0" count_in_hoarder="0" count_in_map="1" count_in_player="0" crafted="1" deloot="0"/&gt;</v>
      </c>
      <c r="B4159" t="s">
        <v>2722</v>
      </c>
    </row>
    <row r="4160" spans="1:8" x14ac:dyDescent="0.25">
      <c r="A4160" t="str">
        <f>"&lt;category name=" &amp;"""" &amp;$C$4151&amp;"""/&gt;"</f>
        <v>&lt;category name="food"/&gt;</v>
      </c>
      <c r="B4160" t="s">
        <v>2722</v>
      </c>
    </row>
    <row r="4161" spans="1:8" x14ac:dyDescent="0.25">
      <c r="A4161" t="s">
        <v>22</v>
      </c>
      <c r="B4161" t="s">
        <v>2722</v>
      </c>
    </row>
    <row r="4162" spans="1:8" x14ac:dyDescent="0.25">
      <c r="A4162" t="s">
        <v>1722</v>
      </c>
      <c r="B4162" t="s">
        <v>582</v>
      </c>
      <c r="C4162" t="s">
        <v>399</v>
      </c>
      <c r="D4162">
        <v>0</v>
      </c>
      <c r="E4162">
        <v>7200</v>
      </c>
      <c r="F4162">
        <v>0</v>
      </c>
      <c r="G4162">
        <v>0</v>
      </c>
      <c r="H4162" t="s">
        <v>62</v>
      </c>
    </row>
    <row r="4163" spans="1:8" x14ac:dyDescent="0.25">
      <c r="A4163" t="str">
        <f>"&lt;nominal&gt;" &amp;$D$4162&amp;"&lt;/nominal&gt;"</f>
        <v>&lt;nominal&gt;0&lt;/nominal&gt;</v>
      </c>
      <c r="B4163" t="s">
        <v>582</v>
      </c>
    </row>
    <row r="4164" spans="1:8" x14ac:dyDescent="0.25">
      <c r="A4164" t="str">
        <f>"&lt;lifetime&gt;" &amp;$E$4162&amp;"&lt;/lifetime&gt;"</f>
        <v>&lt;lifetime&gt;7200&lt;/lifetime&gt;</v>
      </c>
      <c r="B4164" t="s">
        <v>582</v>
      </c>
    </row>
    <row r="4165" spans="1:8" x14ac:dyDescent="0.25">
      <c r="A4165" t="str">
        <f>"&lt;restock&gt;" &amp;$F$4162&amp;"&lt;/restock&gt;"</f>
        <v>&lt;restock&gt;0&lt;/restock&gt;</v>
      </c>
      <c r="B4165" t="s">
        <v>582</v>
      </c>
    </row>
    <row r="4166" spans="1:8" x14ac:dyDescent="0.25">
      <c r="A4166" t="str">
        <f>"&lt;min&gt;" &amp;$G$4162&amp;"&lt;/min&gt;"</f>
        <v>&lt;min&gt;0&lt;/min&gt;</v>
      </c>
      <c r="B4166" t="s">
        <v>582</v>
      </c>
    </row>
    <row r="4167" spans="1:8" x14ac:dyDescent="0.25">
      <c r="A4167" t="s">
        <v>16</v>
      </c>
      <c r="B4167" t="s">
        <v>582</v>
      </c>
    </row>
    <row r="4168" spans="1:8" x14ac:dyDescent="0.25">
      <c r="A4168" t="s">
        <v>17</v>
      </c>
      <c r="B4168" t="s">
        <v>582</v>
      </c>
    </row>
    <row r="4169" spans="1:8" x14ac:dyDescent="0.25">
      <c r="A4169" t="s">
        <v>18</v>
      </c>
      <c r="B4169" t="s">
        <v>582</v>
      </c>
    </row>
    <row r="4170" spans="1:8" x14ac:dyDescent="0.25">
      <c r="A4170" t="str">
        <f xml:space="preserve"> $H$4162</f>
        <v>&lt;flags count_in_cargo="0" count_in_hoarder="0" count_in_map="1" count_in_player="0" crafted="1" deloot="0"/&gt;</v>
      </c>
      <c r="B4170" t="s">
        <v>582</v>
      </c>
    </row>
    <row r="4171" spans="1:8" x14ac:dyDescent="0.25">
      <c r="A4171" t="str">
        <f>"&lt;category name=" &amp;"""" &amp;$C$4162&amp;"""/&gt;"</f>
        <v>&lt;category name="food"/&gt;</v>
      </c>
      <c r="B4171" t="s">
        <v>582</v>
      </c>
    </row>
    <row r="4172" spans="1:8" x14ac:dyDescent="0.25">
      <c r="A4172" t="s">
        <v>22</v>
      </c>
      <c r="B4172" t="s">
        <v>582</v>
      </c>
    </row>
    <row r="4173" spans="1:8" x14ac:dyDescent="0.25">
      <c r="A4173" t="s">
        <v>1723</v>
      </c>
      <c r="B4173" t="s">
        <v>583</v>
      </c>
      <c r="C4173" t="s">
        <v>403</v>
      </c>
      <c r="D4173">
        <v>20</v>
      </c>
      <c r="E4173">
        <v>5600</v>
      </c>
      <c r="F4173">
        <v>0</v>
      </c>
      <c r="G4173">
        <v>15</v>
      </c>
      <c r="H4173" t="s">
        <v>19</v>
      </c>
    </row>
    <row r="4174" spans="1:8" x14ac:dyDescent="0.25">
      <c r="A4174" t="str">
        <f>"&lt;nominal&gt;" &amp;$D$4173&amp;"&lt;/nominal&gt;"</f>
        <v>&lt;nominal&gt;20&lt;/nominal&gt;</v>
      </c>
      <c r="B4174" t="s">
        <v>583</v>
      </c>
    </row>
    <row r="4175" spans="1:8" x14ac:dyDescent="0.25">
      <c r="A4175" t="str">
        <f>"&lt;lifetime&gt;" &amp;$E$4173&amp;"&lt;/lifetime&gt;"</f>
        <v>&lt;lifetime&gt;5600&lt;/lifetime&gt;</v>
      </c>
      <c r="B4175" t="s">
        <v>583</v>
      </c>
    </row>
    <row r="4176" spans="1:8" x14ac:dyDescent="0.25">
      <c r="A4176" t="str">
        <f>"&lt;restock&gt;" &amp;$F$4173&amp;"&lt;/restock&gt;"</f>
        <v>&lt;restock&gt;0&lt;/restock&gt;</v>
      </c>
      <c r="B4176" t="s">
        <v>583</v>
      </c>
    </row>
    <row r="4177" spans="1:8" x14ac:dyDescent="0.25">
      <c r="A4177" t="str">
        <f>"&lt;min&gt;" &amp;$G$4173&amp;"&lt;/min&gt;"</f>
        <v>&lt;min&gt;15&lt;/min&gt;</v>
      </c>
      <c r="B4177" t="s">
        <v>583</v>
      </c>
    </row>
    <row r="4178" spans="1:8" x14ac:dyDescent="0.25">
      <c r="A4178" t="s">
        <v>16</v>
      </c>
      <c r="B4178" t="s">
        <v>583</v>
      </c>
    </row>
    <row r="4179" spans="1:8" x14ac:dyDescent="0.25">
      <c r="A4179" t="s">
        <v>17</v>
      </c>
      <c r="B4179" t="s">
        <v>583</v>
      </c>
    </row>
    <row r="4180" spans="1:8" x14ac:dyDescent="0.25">
      <c r="A4180" t="s">
        <v>18</v>
      </c>
      <c r="B4180" t="s">
        <v>583</v>
      </c>
    </row>
    <row r="4181" spans="1:8" x14ac:dyDescent="0.25">
      <c r="A4181" t="str">
        <f xml:space="preserve"> $H$4173</f>
        <v>&lt;flags count_in_cargo="0" count_in_hoarder="0" count_in_map="1" count_in_player="0" crafted="0" deloot="0"/&gt;</v>
      </c>
      <c r="B4181" t="s">
        <v>583</v>
      </c>
    </row>
    <row r="4182" spans="1:8" x14ac:dyDescent="0.25">
      <c r="A4182" t="str">
        <f>"&lt;category name=" &amp;"""" &amp;$C$4173&amp;"""/&gt;"</f>
        <v>&lt;category name="clothes"/&gt;</v>
      </c>
      <c r="B4182" t="s">
        <v>583</v>
      </c>
    </row>
    <row r="4183" spans="1:8" x14ac:dyDescent="0.25">
      <c r="A4183" t="s">
        <v>56</v>
      </c>
      <c r="B4183" t="s">
        <v>583</v>
      </c>
    </row>
    <row r="4184" spans="1:8" x14ac:dyDescent="0.25">
      <c r="A4184" t="s">
        <v>40</v>
      </c>
      <c r="B4184" t="s">
        <v>583</v>
      </c>
    </row>
    <row r="4185" spans="1:8" x14ac:dyDescent="0.25">
      <c r="A4185" t="s">
        <v>67</v>
      </c>
      <c r="B4185" t="s">
        <v>583</v>
      </c>
    </row>
    <row r="4186" spans="1:8" x14ac:dyDescent="0.25">
      <c r="A4186" t="s">
        <v>30</v>
      </c>
      <c r="B4186" t="s">
        <v>583</v>
      </c>
    </row>
    <row r="4187" spans="1:8" x14ac:dyDescent="0.25">
      <c r="A4187" t="s">
        <v>31</v>
      </c>
      <c r="B4187" t="s">
        <v>583</v>
      </c>
    </row>
    <row r="4188" spans="1:8" x14ac:dyDescent="0.25">
      <c r="A4188" t="s">
        <v>307</v>
      </c>
      <c r="B4188" t="s">
        <v>583</v>
      </c>
    </row>
    <row r="4189" spans="1:8" x14ac:dyDescent="0.25">
      <c r="A4189" t="s">
        <v>22</v>
      </c>
      <c r="B4189" t="s">
        <v>583</v>
      </c>
    </row>
    <row r="4190" spans="1:8" x14ac:dyDescent="0.25">
      <c r="A4190" t="s">
        <v>1724</v>
      </c>
      <c r="B4190" t="s">
        <v>584</v>
      </c>
      <c r="C4190" t="s">
        <v>403</v>
      </c>
      <c r="D4190">
        <v>20</v>
      </c>
      <c r="E4190">
        <v>5600</v>
      </c>
      <c r="F4190">
        <v>0</v>
      </c>
      <c r="G4190">
        <v>12</v>
      </c>
      <c r="H4190" t="s">
        <v>19</v>
      </c>
    </row>
    <row r="4191" spans="1:8" x14ac:dyDescent="0.25">
      <c r="A4191" t="str">
        <f>"&lt;nominal&gt;" &amp;$D$4190&amp;"&lt;/nominal&gt;"</f>
        <v>&lt;nominal&gt;20&lt;/nominal&gt;</v>
      </c>
      <c r="B4191" t="s">
        <v>584</v>
      </c>
    </row>
    <row r="4192" spans="1:8" x14ac:dyDescent="0.25">
      <c r="A4192" t="str">
        <f>"&lt;lifetime&gt;" &amp;$E$4190&amp;"&lt;/lifetime&gt;"</f>
        <v>&lt;lifetime&gt;5600&lt;/lifetime&gt;</v>
      </c>
      <c r="B4192" t="s">
        <v>584</v>
      </c>
    </row>
    <row r="4193" spans="1:8" x14ac:dyDescent="0.25">
      <c r="A4193" t="str">
        <f>"&lt;restock&gt;" &amp;$F$4190&amp;"&lt;/restock&gt;"</f>
        <v>&lt;restock&gt;0&lt;/restock&gt;</v>
      </c>
      <c r="B4193" t="s">
        <v>584</v>
      </c>
    </row>
    <row r="4194" spans="1:8" x14ac:dyDescent="0.25">
      <c r="A4194" t="str">
        <f>"&lt;min&gt;" &amp;$G$4190&amp;"&lt;/min&gt;"</f>
        <v>&lt;min&gt;12&lt;/min&gt;</v>
      </c>
      <c r="B4194" t="s">
        <v>584</v>
      </c>
    </row>
    <row r="4195" spans="1:8" x14ac:dyDescent="0.25">
      <c r="A4195" t="s">
        <v>16</v>
      </c>
      <c r="B4195" t="s">
        <v>584</v>
      </c>
    </row>
    <row r="4196" spans="1:8" x14ac:dyDescent="0.25">
      <c r="A4196" t="s">
        <v>17</v>
      </c>
      <c r="B4196" t="s">
        <v>584</v>
      </c>
    </row>
    <row r="4197" spans="1:8" x14ac:dyDescent="0.25">
      <c r="A4197" t="s">
        <v>18</v>
      </c>
      <c r="B4197" t="s">
        <v>584</v>
      </c>
    </row>
    <row r="4198" spans="1:8" x14ac:dyDescent="0.25">
      <c r="A4198" t="str">
        <f xml:space="preserve"> $H$4190</f>
        <v>&lt;flags count_in_cargo="0" count_in_hoarder="0" count_in_map="1" count_in_player="0" crafted="0" deloot="0"/&gt;</v>
      </c>
      <c r="B4198" t="s">
        <v>584</v>
      </c>
    </row>
    <row r="4199" spans="1:8" x14ac:dyDescent="0.25">
      <c r="A4199" t="str">
        <f>"&lt;category name=" &amp;"""" &amp;$C$4190&amp;"""/&gt;"</f>
        <v>&lt;category name="clothes"/&gt;</v>
      </c>
      <c r="B4199" t="s">
        <v>584</v>
      </c>
    </row>
    <row r="4200" spans="1:8" x14ac:dyDescent="0.25">
      <c r="A4200" t="s">
        <v>56</v>
      </c>
      <c r="B4200" t="s">
        <v>584</v>
      </c>
    </row>
    <row r="4201" spans="1:8" x14ac:dyDescent="0.25">
      <c r="A4201" t="s">
        <v>40</v>
      </c>
      <c r="B4201" t="s">
        <v>584</v>
      </c>
    </row>
    <row r="4202" spans="1:8" x14ac:dyDescent="0.25">
      <c r="A4202" t="s">
        <v>67</v>
      </c>
      <c r="B4202" t="s">
        <v>584</v>
      </c>
    </row>
    <row r="4203" spans="1:8" x14ac:dyDescent="0.25">
      <c r="A4203" t="s">
        <v>30</v>
      </c>
      <c r="B4203" t="s">
        <v>584</v>
      </c>
    </row>
    <row r="4204" spans="1:8" x14ac:dyDescent="0.25">
      <c r="A4204" t="s">
        <v>31</v>
      </c>
      <c r="B4204" t="s">
        <v>584</v>
      </c>
    </row>
    <row r="4205" spans="1:8" x14ac:dyDescent="0.25">
      <c r="A4205" t="s">
        <v>307</v>
      </c>
      <c r="B4205" t="s">
        <v>584</v>
      </c>
    </row>
    <row r="4206" spans="1:8" x14ac:dyDescent="0.25">
      <c r="A4206" t="s">
        <v>22</v>
      </c>
      <c r="B4206" t="s">
        <v>584</v>
      </c>
    </row>
    <row r="4207" spans="1:8" x14ac:dyDescent="0.25">
      <c r="A4207" t="s">
        <v>1725</v>
      </c>
      <c r="B4207" t="s">
        <v>585</v>
      </c>
      <c r="C4207" t="s">
        <v>403</v>
      </c>
      <c r="D4207">
        <v>20</v>
      </c>
      <c r="E4207">
        <v>5600</v>
      </c>
      <c r="F4207">
        <v>0</v>
      </c>
      <c r="G4207">
        <v>15</v>
      </c>
      <c r="H4207" t="s">
        <v>19</v>
      </c>
    </row>
    <row r="4208" spans="1:8" x14ac:dyDescent="0.25">
      <c r="A4208" t="str">
        <f>"&lt;nominal&gt;" &amp;$D$4207&amp;"&lt;/nominal&gt;"</f>
        <v>&lt;nominal&gt;20&lt;/nominal&gt;</v>
      </c>
      <c r="B4208" t="s">
        <v>585</v>
      </c>
    </row>
    <row r="4209" spans="1:8" x14ac:dyDescent="0.25">
      <c r="A4209" t="str">
        <f>"&lt;lifetime&gt;" &amp;$E$4207&amp;"&lt;/lifetime&gt;"</f>
        <v>&lt;lifetime&gt;5600&lt;/lifetime&gt;</v>
      </c>
      <c r="B4209" t="s">
        <v>585</v>
      </c>
    </row>
    <row r="4210" spans="1:8" x14ac:dyDescent="0.25">
      <c r="A4210" t="str">
        <f>"&lt;restock&gt;" &amp;$F$4207&amp;"&lt;/restock&gt;"</f>
        <v>&lt;restock&gt;0&lt;/restock&gt;</v>
      </c>
      <c r="B4210" t="s">
        <v>585</v>
      </c>
    </row>
    <row r="4211" spans="1:8" x14ac:dyDescent="0.25">
      <c r="A4211" t="str">
        <f>"&lt;min&gt;" &amp;$G$4207&amp;"&lt;/min&gt;"</f>
        <v>&lt;min&gt;15&lt;/min&gt;</v>
      </c>
      <c r="B4211" t="s">
        <v>585</v>
      </c>
    </row>
    <row r="4212" spans="1:8" x14ac:dyDescent="0.25">
      <c r="A4212" t="s">
        <v>16</v>
      </c>
      <c r="B4212" t="s">
        <v>585</v>
      </c>
    </row>
    <row r="4213" spans="1:8" x14ac:dyDescent="0.25">
      <c r="A4213" t="s">
        <v>17</v>
      </c>
      <c r="B4213" t="s">
        <v>585</v>
      </c>
    </row>
    <row r="4214" spans="1:8" x14ac:dyDescent="0.25">
      <c r="A4214" t="s">
        <v>18</v>
      </c>
      <c r="B4214" t="s">
        <v>585</v>
      </c>
    </row>
    <row r="4215" spans="1:8" x14ac:dyDescent="0.25">
      <c r="A4215" t="str">
        <f xml:space="preserve"> $H$4207</f>
        <v>&lt;flags count_in_cargo="0" count_in_hoarder="0" count_in_map="1" count_in_player="0" crafted="0" deloot="0"/&gt;</v>
      </c>
      <c r="B4215" t="s">
        <v>585</v>
      </c>
    </row>
    <row r="4216" spans="1:8" x14ac:dyDescent="0.25">
      <c r="A4216" t="str">
        <f>"&lt;category name=" &amp;"""" &amp;$C$4207&amp;"""/&gt;"</f>
        <v>&lt;category name="clothes"/&gt;</v>
      </c>
      <c r="B4216" t="s">
        <v>585</v>
      </c>
    </row>
    <row r="4217" spans="1:8" x14ac:dyDescent="0.25">
      <c r="A4217" t="s">
        <v>56</v>
      </c>
      <c r="B4217" t="s">
        <v>585</v>
      </c>
    </row>
    <row r="4218" spans="1:8" x14ac:dyDescent="0.25">
      <c r="A4218" t="s">
        <v>40</v>
      </c>
      <c r="B4218" t="s">
        <v>585</v>
      </c>
    </row>
    <row r="4219" spans="1:8" x14ac:dyDescent="0.25">
      <c r="A4219" t="s">
        <v>67</v>
      </c>
      <c r="B4219" t="s">
        <v>585</v>
      </c>
    </row>
    <row r="4220" spans="1:8" x14ac:dyDescent="0.25">
      <c r="A4220" t="s">
        <v>30</v>
      </c>
      <c r="B4220" t="s">
        <v>585</v>
      </c>
    </row>
    <row r="4221" spans="1:8" x14ac:dyDescent="0.25">
      <c r="A4221" t="s">
        <v>31</v>
      </c>
      <c r="B4221" t="s">
        <v>585</v>
      </c>
    </row>
    <row r="4222" spans="1:8" x14ac:dyDescent="0.25">
      <c r="A4222" t="s">
        <v>307</v>
      </c>
      <c r="B4222" t="s">
        <v>585</v>
      </c>
    </row>
    <row r="4223" spans="1:8" x14ac:dyDescent="0.25">
      <c r="A4223" t="s">
        <v>22</v>
      </c>
      <c r="B4223" t="s">
        <v>585</v>
      </c>
    </row>
    <row r="4224" spans="1:8" x14ac:dyDescent="0.25">
      <c r="A4224" t="s">
        <v>1726</v>
      </c>
      <c r="B4224" t="s">
        <v>586</v>
      </c>
      <c r="C4224" t="s">
        <v>403</v>
      </c>
      <c r="D4224">
        <v>20</v>
      </c>
      <c r="E4224">
        <v>5600</v>
      </c>
      <c r="F4224">
        <v>0</v>
      </c>
      <c r="G4224">
        <v>15</v>
      </c>
      <c r="H4224" t="s">
        <v>19</v>
      </c>
    </row>
    <row r="4225" spans="1:2" x14ac:dyDescent="0.25">
      <c r="A4225" t="str">
        <f>"&lt;nominal&gt;" &amp;$D$4224&amp;"&lt;/nominal&gt;"</f>
        <v>&lt;nominal&gt;20&lt;/nominal&gt;</v>
      </c>
      <c r="B4225" t="s">
        <v>586</v>
      </c>
    </row>
    <row r="4226" spans="1:2" x14ac:dyDescent="0.25">
      <c r="A4226" t="str">
        <f>"&lt;lifetime&gt;" &amp;$E$4224&amp;"&lt;/lifetime&gt;"</f>
        <v>&lt;lifetime&gt;5600&lt;/lifetime&gt;</v>
      </c>
      <c r="B4226" t="s">
        <v>586</v>
      </c>
    </row>
    <row r="4227" spans="1:2" x14ac:dyDescent="0.25">
      <c r="A4227" t="str">
        <f>"&lt;restock&gt;" &amp;$F$4224&amp;"&lt;/restock&gt;"</f>
        <v>&lt;restock&gt;0&lt;/restock&gt;</v>
      </c>
      <c r="B4227" t="s">
        <v>586</v>
      </c>
    </row>
    <row r="4228" spans="1:2" x14ac:dyDescent="0.25">
      <c r="A4228" t="str">
        <f>"&lt;min&gt;" &amp;$G$4224&amp;"&lt;/min&gt;"</f>
        <v>&lt;min&gt;15&lt;/min&gt;</v>
      </c>
      <c r="B4228" t="s">
        <v>586</v>
      </c>
    </row>
    <row r="4229" spans="1:2" x14ac:dyDescent="0.25">
      <c r="A4229" t="s">
        <v>16</v>
      </c>
      <c r="B4229" t="s">
        <v>586</v>
      </c>
    </row>
    <row r="4230" spans="1:2" x14ac:dyDescent="0.25">
      <c r="A4230" t="s">
        <v>17</v>
      </c>
      <c r="B4230" t="s">
        <v>586</v>
      </c>
    </row>
    <row r="4231" spans="1:2" x14ac:dyDescent="0.25">
      <c r="A4231" t="s">
        <v>18</v>
      </c>
      <c r="B4231" t="s">
        <v>586</v>
      </c>
    </row>
    <row r="4232" spans="1:2" x14ac:dyDescent="0.25">
      <c r="A4232" t="str">
        <f xml:space="preserve"> $H$4224</f>
        <v>&lt;flags count_in_cargo="0" count_in_hoarder="0" count_in_map="1" count_in_player="0" crafted="0" deloot="0"/&gt;</v>
      </c>
      <c r="B4232" t="s">
        <v>586</v>
      </c>
    </row>
    <row r="4233" spans="1:2" x14ac:dyDescent="0.25">
      <c r="A4233" t="str">
        <f>"&lt;category name=" &amp;"""" &amp;$C$4224&amp;"""/&gt;"</f>
        <v>&lt;category name="clothes"/&gt;</v>
      </c>
      <c r="B4233" t="s">
        <v>586</v>
      </c>
    </row>
    <row r="4234" spans="1:2" x14ac:dyDescent="0.25">
      <c r="A4234" t="s">
        <v>56</v>
      </c>
      <c r="B4234" t="s">
        <v>586</v>
      </c>
    </row>
    <row r="4235" spans="1:2" x14ac:dyDescent="0.25">
      <c r="A4235" t="s">
        <v>40</v>
      </c>
      <c r="B4235" t="s">
        <v>586</v>
      </c>
    </row>
    <row r="4236" spans="1:2" x14ac:dyDescent="0.25">
      <c r="A4236" t="s">
        <v>67</v>
      </c>
      <c r="B4236" t="s">
        <v>586</v>
      </c>
    </row>
    <row r="4237" spans="1:2" x14ac:dyDescent="0.25">
      <c r="A4237" t="s">
        <v>30</v>
      </c>
      <c r="B4237" t="s">
        <v>586</v>
      </c>
    </row>
    <row r="4238" spans="1:2" x14ac:dyDescent="0.25">
      <c r="A4238" t="s">
        <v>31</v>
      </c>
      <c r="B4238" t="s">
        <v>586</v>
      </c>
    </row>
    <row r="4239" spans="1:2" x14ac:dyDescent="0.25">
      <c r="A4239" t="s">
        <v>307</v>
      </c>
      <c r="B4239" t="s">
        <v>586</v>
      </c>
    </row>
    <row r="4240" spans="1:2" x14ac:dyDescent="0.25">
      <c r="A4240" t="s">
        <v>22</v>
      </c>
      <c r="B4240" t="s">
        <v>586</v>
      </c>
    </row>
    <row r="4241" spans="1:8" x14ac:dyDescent="0.25">
      <c r="A4241" t="s">
        <v>1727</v>
      </c>
      <c r="B4241" t="s">
        <v>587</v>
      </c>
      <c r="C4241" t="s">
        <v>363</v>
      </c>
      <c r="D4241">
        <v>5</v>
      </c>
      <c r="E4241">
        <v>21600</v>
      </c>
      <c r="F4241">
        <v>1800</v>
      </c>
      <c r="G4241">
        <v>1</v>
      </c>
      <c r="H4241" t="s">
        <v>1559</v>
      </c>
    </row>
    <row r="4242" spans="1:8" x14ac:dyDescent="0.25">
      <c r="A4242" t="str">
        <f>"&lt;nominal&gt;" &amp;$D$4241&amp;"&lt;/nominal&gt;"</f>
        <v>&lt;nominal&gt;5&lt;/nominal&gt;</v>
      </c>
      <c r="B4242" t="s">
        <v>587</v>
      </c>
    </row>
    <row r="4243" spans="1:8" x14ac:dyDescent="0.25">
      <c r="A4243" t="str">
        <f>"&lt;lifetime&gt;" &amp;$E$4241&amp;"&lt;/lifetime&gt;"</f>
        <v>&lt;lifetime&gt;21600&lt;/lifetime&gt;</v>
      </c>
      <c r="B4243" t="s">
        <v>587</v>
      </c>
    </row>
    <row r="4244" spans="1:8" x14ac:dyDescent="0.25">
      <c r="A4244" t="str">
        <f>"&lt;restock&gt;" &amp;$F$4241&amp;"&lt;/restock&gt;"</f>
        <v>&lt;restock&gt;1800&lt;/restock&gt;</v>
      </c>
      <c r="B4244" t="s">
        <v>587</v>
      </c>
    </row>
    <row r="4245" spans="1:8" x14ac:dyDescent="0.25">
      <c r="A4245" t="str">
        <f>"&lt;min&gt;" &amp;$G$4241&amp;"&lt;/min&gt;"</f>
        <v>&lt;min&gt;1&lt;/min&gt;</v>
      </c>
      <c r="B4245" t="s">
        <v>587</v>
      </c>
    </row>
    <row r="4246" spans="1:8" x14ac:dyDescent="0.25">
      <c r="A4246" t="s">
        <v>16</v>
      </c>
      <c r="B4246" t="s">
        <v>587</v>
      </c>
    </row>
    <row r="4247" spans="1:8" x14ac:dyDescent="0.25">
      <c r="A4247" t="s">
        <v>17</v>
      </c>
      <c r="B4247" t="s">
        <v>587</v>
      </c>
    </row>
    <row r="4248" spans="1:8" x14ac:dyDescent="0.25">
      <c r="A4248" t="s">
        <v>18</v>
      </c>
      <c r="B4248" t="s">
        <v>587</v>
      </c>
    </row>
    <row r="4249" spans="1:8" x14ac:dyDescent="0.25">
      <c r="A4249" t="str">
        <f xml:space="preserve"> $H$4241</f>
        <v>&lt;flags count_in_cargo="1" count_in_hoarder="0" count_in_map="1" count_in_player="1" crafted="0" deloot="0"/&gt;</v>
      </c>
      <c r="B4249" t="s">
        <v>587</v>
      </c>
    </row>
    <row r="4250" spans="1:8" x14ac:dyDescent="0.25">
      <c r="A4250" t="str">
        <f>"&lt;category name=" &amp;"""" &amp;$C$4241&amp;"""/&gt;"</f>
        <v>&lt;category name="containers"/&gt;</v>
      </c>
      <c r="B4250" t="s">
        <v>587</v>
      </c>
    </row>
    <row r="4251" spans="1:8" x14ac:dyDescent="0.25">
      <c r="A4251" t="s">
        <v>29</v>
      </c>
      <c r="B4251" t="s">
        <v>587</v>
      </c>
    </row>
    <row r="4252" spans="1:8" x14ac:dyDescent="0.25">
      <c r="A4252" t="s">
        <v>22</v>
      </c>
      <c r="B4252" t="s">
        <v>587</v>
      </c>
    </row>
    <row r="4253" spans="1:8" x14ac:dyDescent="0.25">
      <c r="A4253" t="s">
        <v>1728</v>
      </c>
      <c r="B4253" t="s">
        <v>588</v>
      </c>
      <c r="C4253" t="s">
        <v>363</v>
      </c>
      <c r="D4253">
        <v>5</v>
      </c>
      <c r="E4253">
        <v>21600</v>
      </c>
      <c r="F4253">
        <v>1800</v>
      </c>
      <c r="G4253">
        <v>1</v>
      </c>
      <c r="H4253" t="s">
        <v>1559</v>
      </c>
    </row>
    <row r="4254" spans="1:8" x14ac:dyDescent="0.25">
      <c r="A4254" t="str">
        <f>"&lt;nominal&gt;" &amp;$D$4253&amp;"&lt;/nominal&gt;"</f>
        <v>&lt;nominal&gt;5&lt;/nominal&gt;</v>
      </c>
      <c r="B4254" t="s">
        <v>588</v>
      </c>
    </row>
    <row r="4255" spans="1:8" x14ac:dyDescent="0.25">
      <c r="A4255" t="str">
        <f>"&lt;lifetime&gt;" &amp;$E$4253&amp;"&lt;/lifetime&gt;"</f>
        <v>&lt;lifetime&gt;21600&lt;/lifetime&gt;</v>
      </c>
      <c r="B4255" t="s">
        <v>588</v>
      </c>
    </row>
    <row r="4256" spans="1:8" x14ac:dyDescent="0.25">
      <c r="A4256" t="str">
        <f>"&lt;restock&gt;" &amp;$F$4253&amp;"&lt;/restock&gt;"</f>
        <v>&lt;restock&gt;1800&lt;/restock&gt;</v>
      </c>
      <c r="B4256" t="s">
        <v>588</v>
      </c>
    </row>
    <row r="4257" spans="1:8" x14ac:dyDescent="0.25">
      <c r="A4257" t="str">
        <f>"&lt;min&gt;" &amp;$G$4253&amp;"&lt;/min&gt;"</f>
        <v>&lt;min&gt;1&lt;/min&gt;</v>
      </c>
      <c r="B4257" t="s">
        <v>588</v>
      </c>
    </row>
    <row r="4258" spans="1:8" x14ac:dyDescent="0.25">
      <c r="A4258" t="s">
        <v>16</v>
      </c>
      <c r="B4258" t="s">
        <v>588</v>
      </c>
    </row>
    <row r="4259" spans="1:8" x14ac:dyDescent="0.25">
      <c r="A4259" t="s">
        <v>17</v>
      </c>
      <c r="B4259" t="s">
        <v>588</v>
      </c>
    </row>
    <row r="4260" spans="1:8" x14ac:dyDescent="0.25">
      <c r="A4260" t="s">
        <v>18</v>
      </c>
      <c r="B4260" t="s">
        <v>588</v>
      </c>
    </row>
    <row r="4261" spans="1:8" x14ac:dyDescent="0.25">
      <c r="A4261" t="str">
        <f xml:space="preserve"> $H$4253</f>
        <v>&lt;flags count_in_cargo="1" count_in_hoarder="0" count_in_map="1" count_in_player="1" crafted="0" deloot="0"/&gt;</v>
      </c>
      <c r="B4261" t="s">
        <v>588</v>
      </c>
    </row>
    <row r="4262" spans="1:8" x14ac:dyDescent="0.25">
      <c r="A4262" t="str">
        <f>"&lt;category name=" &amp;"""" &amp;$C$4253&amp;"""/&gt;"</f>
        <v>&lt;category name="containers"/&gt;</v>
      </c>
      <c r="B4262" t="s">
        <v>588</v>
      </c>
    </row>
    <row r="4263" spans="1:8" x14ac:dyDescent="0.25">
      <c r="A4263" t="s">
        <v>29</v>
      </c>
      <c r="B4263" t="s">
        <v>588</v>
      </c>
    </row>
    <row r="4264" spans="1:8" x14ac:dyDescent="0.25">
      <c r="A4264" t="s">
        <v>22</v>
      </c>
      <c r="B4264" t="s">
        <v>588</v>
      </c>
    </row>
    <row r="4265" spans="1:8" x14ac:dyDescent="0.25">
      <c r="A4265" t="s">
        <v>1729</v>
      </c>
      <c r="B4265" t="s">
        <v>589</v>
      </c>
      <c r="C4265" t="s">
        <v>426</v>
      </c>
      <c r="D4265">
        <v>70</v>
      </c>
      <c r="E4265">
        <v>7200</v>
      </c>
      <c r="F4265">
        <v>0</v>
      </c>
      <c r="G4265">
        <v>50</v>
      </c>
      <c r="H4265" t="s">
        <v>19</v>
      </c>
    </row>
    <row r="4266" spans="1:8" x14ac:dyDescent="0.25">
      <c r="A4266" t="str">
        <f>"&lt;nominal&gt;" &amp;$D$4265&amp;"&lt;/nominal&gt;"</f>
        <v>&lt;nominal&gt;70&lt;/nominal&gt;</v>
      </c>
      <c r="B4266" t="s">
        <v>589</v>
      </c>
    </row>
    <row r="4267" spans="1:8" x14ac:dyDescent="0.25">
      <c r="A4267" t="str">
        <f>"&lt;lifetime&gt;" &amp;$E$4265&amp;"&lt;/lifetime&gt;"</f>
        <v>&lt;lifetime&gt;7200&lt;/lifetime&gt;</v>
      </c>
      <c r="B4267" t="s">
        <v>589</v>
      </c>
    </row>
    <row r="4268" spans="1:8" x14ac:dyDescent="0.25">
      <c r="A4268" t="str">
        <f>"&lt;restock&gt;" &amp;$F$4265&amp;"&lt;/restock&gt;"</f>
        <v>&lt;restock&gt;0&lt;/restock&gt;</v>
      </c>
      <c r="B4268" t="s">
        <v>589</v>
      </c>
    </row>
    <row r="4269" spans="1:8" x14ac:dyDescent="0.25">
      <c r="A4269" t="str">
        <f>"&lt;min&gt;" &amp;$G$4265&amp;"&lt;/min&gt;"</f>
        <v>&lt;min&gt;50&lt;/min&gt;</v>
      </c>
      <c r="B4269" t="s">
        <v>589</v>
      </c>
    </row>
    <row r="4270" spans="1:8" x14ac:dyDescent="0.25">
      <c r="A4270" t="s">
        <v>16</v>
      </c>
      <c r="B4270" t="s">
        <v>589</v>
      </c>
    </row>
    <row r="4271" spans="1:8" x14ac:dyDescent="0.25">
      <c r="A4271" t="s">
        <v>17</v>
      </c>
      <c r="B4271" t="s">
        <v>589</v>
      </c>
    </row>
    <row r="4272" spans="1:8" x14ac:dyDescent="0.25">
      <c r="A4272" t="s">
        <v>18</v>
      </c>
      <c r="B4272" t="s">
        <v>589</v>
      </c>
    </row>
    <row r="4273" spans="1:8" x14ac:dyDescent="0.25">
      <c r="A4273" t="str">
        <f xml:space="preserve"> $H$4265</f>
        <v>&lt;flags count_in_cargo="0" count_in_hoarder="0" count_in_map="1" count_in_player="0" crafted="0" deloot="0"/&gt;</v>
      </c>
      <c r="B4273" t="s">
        <v>589</v>
      </c>
    </row>
    <row r="4274" spans="1:8" x14ac:dyDescent="0.25">
      <c r="A4274" t="str">
        <f>"&lt;category name=" &amp;"""" &amp;$C$4265&amp;"""/&gt;"</f>
        <v>&lt;category name="tools"/&gt;</v>
      </c>
      <c r="B4274" t="s">
        <v>589</v>
      </c>
    </row>
    <row r="4275" spans="1:8" x14ac:dyDescent="0.25">
      <c r="A4275" t="s">
        <v>55</v>
      </c>
      <c r="B4275" t="s">
        <v>589</v>
      </c>
    </row>
    <row r="4276" spans="1:8" x14ac:dyDescent="0.25">
      <c r="A4276" t="s">
        <v>22</v>
      </c>
      <c r="B4276" t="s">
        <v>589</v>
      </c>
    </row>
    <row r="4277" spans="1:8" x14ac:dyDescent="0.25">
      <c r="A4277" t="s">
        <v>1730</v>
      </c>
      <c r="B4277" t="s">
        <v>3650</v>
      </c>
      <c r="C4277" t="s">
        <v>403</v>
      </c>
      <c r="D4277">
        <v>0</v>
      </c>
      <c r="E4277">
        <v>5600</v>
      </c>
      <c r="F4277">
        <v>0</v>
      </c>
      <c r="G4277">
        <v>0</v>
      </c>
      <c r="H4277" t="s">
        <v>19</v>
      </c>
    </row>
    <row r="4278" spans="1:8" x14ac:dyDescent="0.25">
      <c r="A4278" t="str">
        <f>"&lt;nominal&gt;" &amp;$D$4277&amp;"&lt;/nominal&gt;"</f>
        <v>&lt;nominal&gt;0&lt;/nominal&gt;</v>
      </c>
      <c r="B4278" t="s">
        <v>3650</v>
      </c>
    </row>
    <row r="4279" spans="1:8" x14ac:dyDescent="0.25">
      <c r="A4279" t="str">
        <f>"&lt;lifetime&gt;" &amp;$E$4277&amp;"&lt;/lifetime&gt;"</f>
        <v>&lt;lifetime&gt;5600&lt;/lifetime&gt;</v>
      </c>
      <c r="B4279" t="s">
        <v>3650</v>
      </c>
    </row>
    <row r="4280" spans="1:8" x14ac:dyDescent="0.25">
      <c r="A4280" t="str">
        <f>"&lt;restock&gt;" &amp;$F$4277&amp;"&lt;/restock&gt;"</f>
        <v>&lt;restock&gt;0&lt;/restock&gt;</v>
      </c>
      <c r="B4280" t="s">
        <v>3650</v>
      </c>
    </row>
    <row r="4281" spans="1:8" x14ac:dyDescent="0.25">
      <c r="A4281" t="str">
        <f>"&lt;min&gt;" &amp;$G$4277&amp;"&lt;/min&gt;"</f>
        <v>&lt;min&gt;0&lt;/min&gt;</v>
      </c>
      <c r="B4281" t="s">
        <v>3650</v>
      </c>
    </row>
    <row r="4282" spans="1:8" x14ac:dyDescent="0.25">
      <c r="A4282" t="s">
        <v>16</v>
      </c>
      <c r="B4282" t="s">
        <v>3650</v>
      </c>
    </row>
    <row r="4283" spans="1:8" x14ac:dyDescent="0.25">
      <c r="A4283" t="s">
        <v>17</v>
      </c>
      <c r="B4283" t="s">
        <v>3650</v>
      </c>
    </row>
    <row r="4284" spans="1:8" x14ac:dyDescent="0.25">
      <c r="A4284" t="s">
        <v>18</v>
      </c>
      <c r="B4284" t="s">
        <v>3650</v>
      </c>
    </row>
    <row r="4285" spans="1:8" x14ac:dyDescent="0.25">
      <c r="A4285" t="str">
        <f xml:space="preserve"> $H$4277</f>
        <v>&lt;flags count_in_cargo="0" count_in_hoarder="0" count_in_map="1" count_in_player="0" crafted="0" deloot="0"/&gt;</v>
      </c>
      <c r="B4285" t="s">
        <v>3650</v>
      </c>
    </row>
    <row r="4286" spans="1:8" x14ac:dyDescent="0.25">
      <c r="A4286" t="str">
        <f>"&lt;category name=" &amp;"""" &amp;$C$4277&amp;"""/&gt;"</f>
        <v>&lt;category name="clothes"/&gt;</v>
      </c>
      <c r="B4286" t="s">
        <v>3650</v>
      </c>
    </row>
    <row r="4287" spans="1:8" x14ac:dyDescent="0.25">
      <c r="A4287" t="s">
        <v>39</v>
      </c>
      <c r="B4287" t="s">
        <v>3650</v>
      </c>
    </row>
    <row r="4288" spans="1:8" x14ac:dyDescent="0.25">
      <c r="A4288" t="s">
        <v>22</v>
      </c>
      <c r="B4288" t="s">
        <v>3650</v>
      </c>
    </row>
    <row r="4289" spans="1:8" x14ac:dyDescent="0.25">
      <c r="A4289" t="s">
        <v>1731</v>
      </c>
      <c r="B4289" t="s">
        <v>590</v>
      </c>
      <c r="C4289" t="s">
        <v>403</v>
      </c>
      <c r="D4289">
        <v>15</v>
      </c>
      <c r="E4289">
        <v>1800</v>
      </c>
      <c r="F4289">
        <v>0</v>
      </c>
      <c r="G4289">
        <v>5</v>
      </c>
      <c r="H4289" t="s">
        <v>19</v>
      </c>
    </row>
    <row r="4290" spans="1:8" x14ac:dyDescent="0.25">
      <c r="A4290" t="str">
        <f>"&lt;nominal&gt;" &amp;$D$4289&amp;"&lt;/nominal&gt;"</f>
        <v>&lt;nominal&gt;15&lt;/nominal&gt;</v>
      </c>
      <c r="B4290" t="s">
        <v>590</v>
      </c>
    </row>
    <row r="4291" spans="1:8" x14ac:dyDescent="0.25">
      <c r="A4291" t="str">
        <f>"&lt;lifetime&gt;" &amp;$E$4289&amp;"&lt;/lifetime&gt;"</f>
        <v>&lt;lifetime&gt;1800&lt;/lifetime&gt;</v>
      </c>
      <c r="B4291" t="s">
        <v>590</v>
      </c>
    </row>
    <row r="4292" spans="1:8" x14ac:dyDescent="0.25">
      <c r="A4292" t="str">
        <f>"&lt;restock&gt;" &amp;$F$4289&amp;"&lt;/restock&gt;"</f>
        <v>&lt;restock&gt;0&lt;/restock&gt;</v>
      </c>
      <c r="B4292" t="s">
        <v>590</v>
      </c>
    </row>
    <row r="4293" spans="1:8" x14ac:dyDescent="0.25">
      <c r="A4293" t="str">
        <f>"&lt;min&gt;" &amp;$G$4289&amp;"&lt;/min&gt;"</f>
        <v>&lt;min&gt;5&lt;/min&gt;</v>
      </c>
      <c r="B4293" t="s">
        <v>590</v>
      </c>
    </row>
    <row r="4294" spans="1:8" x14ac:dyDescent="0.25">
      <c r="A4294" t="s">
        <v>16</v>
      </c>
      <c r="B4294" t="s">
        <v>590</v>
      </c>
    </row>
    <row r="4295" spans="1:8" x14ac:dyDescent="0.25">
      <c r="A4295" t="s">
        <v>17</v>
      </c>
      <c r="B4295" t="s">
        <v>590</v>
      </c>
    </row>
    <row r="4296" spans="1:8" x14ac:dyDescent="0.25">
      <c r="A4296" t="s">
        <v>18</v>
      </c>
      <c r="B4296" t="s">
        <v>590</v>
      </c>
    </row>
    <row r="4297" spans="1:8" x14ac:dyDescent="0.25">
      <c r="A4297" t="str">
        <f xml:space="preserve"> $H$4289</f>
        <v>&lt;flags count_in_cargo="0" count_in_hoarder="0" count_in_map="1" count_in_player="0" crafted="0" deloot="0"/&gt;</v>
      </c>
      <c r="B4297" t="s">
        <v>590</v>
      </c>
    </row>
    <row r="4298" spans="1:8" x14ac:dyDescent="0.25">
      <c r="A4298" t="str">
        <f>"&lt;category name=" &amp;"""" &amp;$C$4289&amp;"""/&gt;"</f>
        <v>&lt;category name="clothes"/&gt;</v>
      </c>
      <c r="B4298" t="s">
        <v>590</v>
      </c>
    </row>
    <row r="4299" spans="1:8" x14ac:dyDescent="0.25">
      <c r="A4299" t="s">
        <v>55</v>
      </c>
      <c r="B4299" t="s">
        <v>590</v>
      </c>
    </row>
    <row r="4300" spans="1:8" x14ac:dyDescent="0.25">
      <c r="A4300" t="s">
        <v>39</v>
      </c>
      <c r="B4300" t="s">
        <v>590</v>
      </c>
    </row>
    <row r="4301" spans="1:8" x14ac:dyDescent="0.25">
      <c r="A4301" t="s">
        <v>40</v>
      </c>
      <c r="B4301" t="s">
        <v>590</v>
      </c>
    </row>
    <row r="4302" spans="1:8" x14ac:dyDescent="0.25">
      <c r="A4302" t="s">
        <v>22</v>
      </c>
      <c r="B4302" t="s">
        <v>590</v>
      </c>
    </row>
    <row r="4303" spans="1:8" x14ac:dyDescent="0.25">
      <c r="A4303" t="s">
        <v>1732</v>
      </c>
      <c r="B4303" t="s">
        <v>591</v>
      </c>
      <c r="C4303" t="s">
        <v>403</v>
      </c>
      <c r="D4303">
        <v>15</v>
      </c>
      <c r="E4303">
        <v>1800</v>
      </c>
      <c r="F4303">
        <v>0</v>
      </c>
      <c r="G4303">
        <v>5</v>
      </c>
      <c r="H4303" t="s">
        <v>19</v>
      </c>
    </row>
    <row r="4304" spans="1:8" x14ac:dyDescent="0.25">
      <c r="A4304" t="str">
        <f>"&lt;nominal&gt;" &amp;$D$4303&amp;"&lt;/nominal&gt;"</f>
        <v>&lt;nominal&gt;15&lt;/nominal&gt;</v>
      </c>
      <c r="B4304" t="s">
        <v>591</v>
      </c>
    </row>
    <row r="4305" spans="1:8" x14ac:dyDescent="0.25">
      <c r="A4305" t="str">
        <f>"&lt;lifetime&gt;" &amp;$E$4303&amp;"&lt;/lifetime&gt;"</f>
        <v>&lt;lifetime&gt;1800&lt;/lifetime&gt;</v>
      </c>
      <c r="B4305" t="s">
        <v>591</v>
      </c>
    </row>
    <row r="4306" spans="1:8" x14ac:dyDescent="0.25">
      <c r="A4306" t="str">
        <f>"&lt;restock&gt;" &amp;$F$4303&amp;"&lt;/restock&gt;"</f>
        <v>&lt;restock&gt;0&lt;/restock&gt;</v>
      </c>
      <c r="B4306" t="s">
        <v>591</v>
      </c>
    </row>
    <row r="4307" spans="1:8" x14ac:dyDescent="0.25">
      <c r="A4307" t="str">
        <f>"&lt;min&gt;" &amp;$G$4303&amp;"&lt;/min&gt;"</f>
        <v>&lt;min&gt;5&lt;/min&gt;</v>
      </c>
      <c r="B4307" t="s">
        <v>591</v>
      </c>
    </row>
    <row r="4308" spans="1:8" x14ac:dyDescent="0.25">
      <c r="A4308" t="s">
        <v>16</v>
      </c>
      <c r="B4308" t="s">
        <v>591</v>
      </c>
    </row>
    <row r="4309" spans="1:8" x14ac:dyDescent="0.25">
      <c r="A4309" t="s">
        <v>17</v>
      </c>
      <c r="B4309" t="s">
        <v>591</v>
      </c>
    </row>
    <row r="4310" spans="1:8" x14ac:dyDescent="0.25">
      <c r="A4310" t="s">
        <v>18</v>
      </c>
      <c r="B4310" t="s">
        <v>591</v>
      </c>
    </row>
    <row r="4311" spans="1:8" x14ac:dyDescent="0.25">
      <c r="A4311" t="str">
        <f xml:space="preserve"> $H$4303</f>
        <v>&lt;flags count_in_cargo="0" count_in_hoarder="0" count_in_map="1" count_in_player="0" crafted="0" deloot="0"/&gt;</v>
      </c>
      <c r="B4311" t="s">
        <v>591</v>
      </c>
    </row>
    <row r="4312" spans="1:8" x14ac:dyDescent="0.25">
      <c r="A4312" t="str">
        <f>"&lt;category name=" &amp;"""" &amp;$C$4303&amp;"""/&gt;"</f>
        <v>&lt;category name="clothes"/&gt;</v>
      </c>
      <c r="B4312" t="s">
        <v>591</v>
      </c>
    </row>
    <row r="4313" spans="1:8" x14ac:dyDescent="0.25">
      <c r="A4313" t="s">
        <v>55</v>
      </c>
      <c r="B4313" t="s">
        <v>591</v>
      </c>
    </row>
    <row r="4314" spans="1:8" x14ac:dyDescent="0.25">
      <c r="A4314" t="s">
        <v>39</v>
      </c>
      <c r="B4314" t="s">
        <v>591</v>
      </c>
    </row>
    <row r="4315" spans="1:8" x14ac:dyDescent="0.25">
      <c r="A4315" t="s">
        <v>40</v>
      </c>
      <c r="B4315" t="s">
        <v>591</v>
      </c>
    </row>
    <row r="4316" spans="1:8" x14ac:dyDescent="0.25">
      <c r="A4316" t="s">
        <v>22</v>
      </c>
      <c r="B4316" t="s">
        <v>591</v>
      </c>
    </row>
    <row r="4317" spans="1:8" x14ac:dyDescent="0.25">
      <c r="A4317" t="s">
        <v>1733</v>
      </c>
      <c r="B4317" t="s">
        <v>592</v>
      </c>
      <c r="C4317" t="s">
        <v>403</v>
      </c>
      <c r="D4317">
        <v>15</v>
      </c>
      <c r="E4317">
        <v>1800</v>
      </c>
      <c r="F4317">
        <v>0</v>
      </c>
      <c r="G4317">
        <v>5</v>
      </c>
      <c r="H4317" t="s">
        <v>19</v>
      </c>
    </row>
    <row r="4318" spans="1:8" x14ac:dyDescent="0.25">
      <c r="A4318" t="str">
        <f>"&lt;nominal&gt;" &amp;$D$4317&amp;"&lt;/nominal&gt;"</f>
        <v>&lt;nominal&gt;15&lt;/nominal&gt;</v>
      </c>
      <c r="B4318" t="s">
        <v>592</v>
      </c>
    </row>
    <row r="4319" spans="1:8" x14ac:dyDescent="0.25">
      <c r="A4319" t="str">
        <f>"&lt;lifetime&gt;" &amp;$E$4317&amp;"&lt;/lifetime&gt;"</f>
        <v>&lt;lifetime&gt;1800&lt;/lifetime&gt;</v>
      </c>
      <c r="B4319" t="s">
        <v>592</v>
      </c>
    </row>
    <row r="4320" spans="1:8" x14ac:dyDescent="0.25">
      <c r="A4320" t="str">
        <f>"&lt;restock&gt;" &amp;$F$4317&amp;"&lt;/restock&gt;"</f>
        <v>&lt;restock&gt;0&lt;/restock&gt;</v>
      </c>
      <c r="B4320" t="s">
        <v>592</v>
      </c>
    </row>
    <row r="4321" spans="1:8" x14ac:dyDescent="0.25">
      <c r="A4321" t="str">
        <f>"&lt;min&gt;" &amp;$G$4317&amp;"&lt;/min&gt;"</f>
        <v>&lt;min&gt;5&lt;/min&gt;</v>
      </c>
      <c r="B4321" t="s">
        <v>592</v>
      </c>
    </row>
    <row r="4322" spans="1:8" x14ac:dyDescent="0.25">
      <c r="A4322" t="s">
        <v>16</v>
      </c>
      <c r="B4322" t="s">
        <v>592</v>
      </c>
    </row>
    <row r="4323" spans="1:8" x14ac:dyDescent="0.25">
      <c r="A4323" t="s">
        <v>17</v>
      </c>
      <c r="B4323" t="s">
        <v>592</v>
      </c>
    </row>
    <row r="4324" spans="1:8" x14ac:dyDescent="0.25">
      <c r="A4324" t="s">
        <v>18</v>
      </c>
      <c r="B4324" t="s">
        <v>592</v>
      </c>
    </row>
    <row r="4325" spans="1:8" x14ac:dyDescent="0.25">
      <c r="A4325" t="str">
        <f xml:space="preserve"> $H$4317</f>
        <v>&lt;flags count_in_cargo="0" count_in_hoarder="0" count_in_map="1" count_in_player="0" crafted="0" deloot="0"/&gt;</v>
      </c>
      <c r="B4325" t="s">
        <v>592</v>
      </c>
    </row>
    <row r="4326" spans="1:8" x14ac:dyDescent="0.25">
      <c r="A4326" t="str">
        <f>"&lt;category name=" &amp;"""" &amp;$C$4317&amp;"""/&gt;"</f>
        <v>&lt;category name="clothes"/&gt;</v>
      </c>
      <c r="B4326" t="s">
        <v>592</v>
      </c>
    </row>
    <row r="4327" spans="1:8" x14ac:dyDescent="0.25">
      <c r="A4327" t="s">
        <v>55</v>
      </c>
      <c r="B4327" t="s">
        <v>592</v>
      </c>
    </row>
    <row r="4328" spans="1:8" x14ac:dyDescent="0.25">
      <c r="A4328" t="s">
        <v>39</v>
      </c>
      <c r="B4328" t="s">
        <v>592</v>
      </c>
    </row>
    <row r="4329" spans="1:8" x14ac:dyDescent="0.25">
      <c r="A4329" t="s">
        <v>40</v>
      </c>
      <c r="B4329" t="s">
        <v>592</v>
      </c>
    </row>
    <row r="4330" spans="1:8" x14ac:dyDescent="0.25">
      <c r="A4330" t="s">
        <v>22</v>
      </c>
      <c r="B4330" t="s">
        <v>592</v>
      </c>
    </row>
    <row r="4331" spans="1:8" x14ac:dyDescent="0.25">
      <c r="A4331" t="s">
        <v>1734</v>
      </c>
      <c r="B4331" t="s">
        <v>593</v>
      </c>
      <c r="C4331" t="s">
        <v>403</v>
      </c>
      <c r="D4331">
        <v>15</v>
      </c>
      <c r="E4331">
        <v>1800</v>
      </c>
      <c r="F4331">
        <v>0</v>
      </c>
      <c r="G4331">
        <v>5</v>
      </c>
      <c r="H4331" t="s">
        <v>19</v>
      </c>
    </row>
    <row r="4332" spans="1:8" x14ac:dyDescent="0.25">
      <c r="A4332" t="str">
        <f>"&lt;nominal&gt;" &amp;$D$4331&amp;"&lt;/nominal&gt;"</f>
        <v>&lt;nominal&gt;15&lt;/nominal&gt;</v>
      </c>
      <c r="B4332" t="s">
        <v>593</v>
      </c>
    </row>
    <row r="4333" spans="1:8" x14ac:dyDescent="0.25">
      <c r="A4333" t="str">
        <f>"&lt;lifetime&gt;" &amp;$E$4331&amp;"&lt;/lifetime&gt;"</f>
        <v>&lt;lifetime&gt;1800&lt;/lifetime&gt;</v>
      </c>
      <c r="B4333" t="s">
        <v>593</v>
      </c>
    </row>
    <row r="4334" spans="1:8" x14ac:dyDescent="0.25">
      <c r="A4334" t="str">
        <f>"&lt;restock&gt;" &amp;$F$4331&amp;"&lt;/restock&gt;"</f>
        <v>&lt;restock&gt;0&lt;/restock&gt;</v>
      </c>
      <c r="B4334" t="s">
        <v>593</v>
      </c>
    </row>
    <row r="4335" spans="1:8" x14ac:dyDescent="0.25">
      <c r="A4335" t="str">
        <f>"&lt;min&gt;" &amp;$G$4331&amp;"&lt;/min&gt;"</f>
        <v>&lt;min&gt;5&lt;/min&gt;</v>
      </c>
      <c r="B4335" t="s">
        <v>593</v>
      </c>
    </row>
    <row r="4336" spans="1:8" x14ac:dyDescent="0.25">
      <c r="A4336" t="s">
        <v>16</v>
      </c>
      <c r="B4336" t="s">
        <v>593</v>
      </c>
    </row>
    <row r="4337" spans="1:8" x14ac:dyDescent="0.25">
      <c r="A4337" t="s">
        <v>17</v>
      </c>
      <c r="B4337" t="s">
        <v>593</v>
      </c>
    </row>
    <row r="4338" spans="1:8" x14ac:dyDescent="0.25">
      <c r="A4338" t="s">
        <v>18</v>
      </c>
      <c r="B4338" t="s">
        <v>593</v>
      </c>
    </row>
    <row r="4339" spans="1:8" x14ac:dyDescent="0.25">
      <c r="A4339" t="str">
        <f xml:space="preserve"> $H$4331</f>
        <v>&lt;flags count_in_cargo="0" count_in_hoarder="0" count_in_map="1" count_in_player="0" crafted="0" deloot="0"/&gt;</v>
      </c>
      <c r="B4339" t="s">
        <v>593</v>
      </c>
    </row>
    <row r="4340" spans="1:8" x14ac:dyDescent="0.25">
      <c r="A4340" t="str">
        <f>"&lt;category name=" &amp;"""" &amp;$C$4331&amp;"""/&gt;"</f>
        <v>&lt;category name="clothes"/&gt;</v>
      </c>
      <c r="B4340" t="s">
        <v>593</v>
      </c>
    </row>
    <row r="4341" spans="1:8" x14ac:dyDescent="0.25">
      <c r="A4341" t="s">
        <v>55</v>
      </c>
      <c r="B4341" t="s">
        <v>593</v>
      </c>
    </row>
    <row r="4342" spans="1:8" x14ac:dyDescent="0.25">
      <c r="A4342" t="s">
        <v>39</v>
      </c>
      <c r="B4342" t="s">
        <v>593</v>
      </c>
    </row>
    <row r="4343" spans="1:8" x14ac:dyDescent="0.25">
      <c r="A4343" t="s">
        <v>40</v>
      </c>
      <c r="B4343" t="s">
        <v>593</v>
      </c>
    </row>
    <row r="4344" spans="1:8" x14ac:dyDescent="0.25">
      <c r="A4344" t="s">
        <v>22</v>
      </c>
      <c r="B4344" t="s">
        <v>593</v>
      </c>
    </row>
    <row r="4345" spans="1:8" x14ac:dyDescent="0.25">
      <c r="A4345" t="s">
        <v>1735</v>
      </c>
      <c r="B4345" t="s">
        <v>594</v>
      </c>
      <c r="C4345" t="s">
        <v>403</v>
      </c>
      <c r="D4345">
        <v>15</v>
      </c>
      <c r="E4345">
        <v>1800</v>
      </c>
      <c r="F4345">
        <v>0</v>
      </c>
      <c r="G4345">
        <v>5</v>
      </c>
      <c r="H4345" t="s">
        <v>19</v>
      </c>
    </row>
    <row r="4346" spans="1:8" x14ac:dyDescent="0.25">
      <c r="A4346" t="str">
        <f>"&lt;nominal&gt;" &amp;$D$4345&amp;"&lt;/nominal&gt;"</f>
        <v>&lt;nominal&gt;15&lt;/nominal&gt;</v>
      </c>
      <c r="B4346" t="s">
        <v>594</v>
      </c>
    </row>
    <row r="4347" spans="1:8" x14ac:dyDescent="0.25">
      <c r="A4347" t="str">
        <f>"&lt;lifetime&gt;" &amp;$E$4345&amp;"&lt;/lifetime&gt;"</f>
        <v>&lt;lifetime&gt;1800&lt;/lifetime&gt;</v>
      </c>
      <c r="B4347" t="s">
        <v>594</v>
      </c>
    </row>
    <row r="4348" spans="1:8" x14ac:dyDescent="0.25">
      <c r="A4348" t="str">
        <f>"&lt;restock&gt;" &amp;$F$4345&amp;"&lt;/restock&gt;"</f>
        <v>&lt;restock&gt;0&lt;/restock&gt;</v>
      </c>
      <c r="B4348" t="s">
        <v>594</v>
      </c>
    </row>
    <row r="4349" spans="1:8" x14ac:dyDescent="0.25">
      <c r="A4349" t="str">
        <f>"&lt;min&gt;" &amp;$G$4345&amp;"&lt;/min&gt;"</f>
        <v>&lt;min&gt;5&lt;/min&gt;</v>
      </c>
      <c r="B4349" t="s">
        <v>594</v>
      </c>
    </row>
    <row r="4350" spans="1:8" x14ac:dyDescent="0.25">
      <c r="A4350" t="s">
        <v>16</v>
      </c>
      <c r="B4350" t="s">
        <v>594</v>
      </c>
    </row>
    <row r="4351" spans="1:8" x14ac:dyDescent="0.25">
      <c r="A4351" t="s">
        <v>17</v>
      </c>
      <c r="B4351" t="s">
        <v>594</v>
      </c>
    </row>
    <row r="4352" spans="1:8" x14ac:dyDescent="0.25">
      <c r="A4352" t="s">
        <v>18</v>
      </c>
      <c r="B4352" t="s">
        <v>594</v>
      </c>
    </row>
    <row r="4353" spans="1:8" x14ac:dyDescent="0.25">
      <c r="A4353" t="str">
        <f xml:space="preserve"> $H$4345</f>
        <v>&lt;flags count_in_cargo="0" count_in_hoarder="0" count_in_map="1" count_in_player="0" crafted="0" deloot="0"/&gt;</v>
      </c>
      <c r="B4353" t="s">
        <v>594</v>
      </c>
    </row>
    <row r="4354" spans="1:8" x14ac:dyDescent="0.25">
      <c r="A4354" t="str">
        <f>"&lt;category name=" &amp;"""" &amp;$C$4345&amp;"""/&gt;"</f>
        <v>&lt;category name="clothes"/&gt;</v>
      </c>
      <c r="B4354" t="s">
        <v>594</v>
      </c>
    </row>
    <row r="4355" spans="1:8" x14ac:dyDescent="0.25">
      <c r="A4355" t="s">
        <v>55</v>
      </c>
      <c r="B4355" t="s">
        <v>594</v>
      </c>
    </row>
    <row r="4356" spans="1:8" x14ac:dyDescent="0.25">
      <c r="A4356" t="s">
        <v>39</v>
      </c>
      <c r="B4356" t="s">
        <v>594</v>
      </c>
    </row>
    <row r="4357" spans="1:8" x14ac:dyDescent="0.25">
      <c r="A4357" t="s">
        <v>40</v>
      </c>
      <c r="B4357" t="s">
        <v>594</v>
      </c>
    </row>
    <row r="4358" spans="1:8" x14ac:dyDescent="0.25">
      <c r="A4358" t="s">
        <v>22</v>
      </c>
      <c r="B4358" t="s">
        <v>594</v>
      </c>
    </row>
    <row r="4359" spans="1:8" x14ac:dyDescent="0.25">
      <c r="A4359" t="s">
        <v>1736</v>
      </c>
      <c r="B4359" t="s">
        <v>595</v>
      </c>
      <c r="C4359" t="s">
        <v>403</v>
      </c>
      <c r="D4359">
        <v>15</v>
      </c>
      <c r="E4359">
        <v>1800</v>
      </c>
      <c r="F4359">
        <v>0</v>
      </c>
      <c r="G4359">
        <v>5</v>
      </c>
      <c r="H4359" t="s">
        <v>19</v>
      </c>
    </row>
    <row r="4360" spans="1:8" x14ac:dyDescent="0.25">
      <c r="A4360" t="str">
        <f>"&lt;nominal&gt;" &amp;$D$4359&amp;"&lt;/nominal&gt;"</f>
        <v>&lt;nominal&gt;15&lt;/nominal&gt;</v>
      </c>
      <c r="B4360" t="s">
        <v>595</v>
      </c>
    </row>
    <row r="4361" spans="1:8" x14ac:dyDescent="0.25">
      <c r="A4361" t="str">
        <f>"&lt;lifetime&gt;" &amp;$E$4359&amp;"&lt;/lifetime&gt;"</f>
        <v>&lt;lifetime&gt;1800&lt;/lifetime&gt;</v>
      </c>
      <c r="B4361" t="s">
        <v>595</v>
      </c>
    </row>
    <row r="4362" spans="1:8" x14ac:dyDescent="0.25">
      <c r="A4362" t="str">
        <f>"&lt;restock&gt;" &amp;$F$4359&amp;"&lt;/restock&gt;"</f>
        <v>&lt;restock&gt;0&lt;/restock&gt;</v>
      </c>
      <c r="B4362" t="s">
        <v>595</v>
      </c>
    </row>
    <row r="4363" spans="1:8" x14ac:dyDescent="0.25">
      <c r="A4363" t="str">
        <f>"&lt;min&gt;" &amp;$G$4359&amp;"&lt;/min&gt;"</f>
        <v>&lt;min&gt;5&lt;/min&gt;</v>
      </c>
      <c r="B4363" t="s">
        <v>595</v>
      </c>
    </row>
    <row r="4364" spans="1:8" x14ac:dyDescent="0.25">
      <c r="A4364" t="s">
        <v>16</v>
      </c>
      <c r="B4364" t="s">
        <v>595</v>
      </c>
    </row>
    <row r="4365" spans="1:8" x14ac:dyDescent="0.25">
      <c r="A4365" t="s">
        <v>17</v>
      </c>
      <c r="B4365" t="s">
        <v>595</v>
      </c>
    </row>
    <row r="4366" spans="1:8" x14ac:dyDescent="0.25">
      <c r="A4366" t="s">
        <v>18</v>
      </c>
      <c r="B4366" t="s">
        <v>595</v>
      </c>
    </row>
    <row r="4367" spans="1:8" x14ac:dyDescent="0.25">
      <c r="A4367" t="str">
        <f xml:space="preserve"> $H$4359</f>
        <v>&lt;flags count_in_cargo="0" count_in_hoarder="0" count_in_map="1" count_in_player="0" crafted="0" deloot="0"/&gt;</v>
      </c>
      <c r="B4367" t="s">
        <v>595</v>
      </c>
    </row>
    <row r="4368" spans="1:8" x14ac:dyDescent="0.25">
      <c r="A4368" t="str">
        <f>"&lt;category name=" &amp;"""" &amp;$C$4359&amp;"""/&gt;"</f>
        <v>&lt;category name="clothes"/&gt;</v>
      </c>
      <c r="B4368" t="s">
        <v>595</v>
      </c>
    </row>
    <row r="4369" spans="1:8" x14ac:dyDescent="0.25">
      <c r="A4369" t="s">
        <v>55</v>
      </c>
      <c r="B4369" t="s">
        <v>595</v>
      </c>
    </row>
    <row r="4370" spans="1:8" x14ac:dyDescent="0.25">
      <c r="A4370" t="s">
        <v>39</v>
      </c>
      <c r="B4370" t="s">
        <v>595</v>
      </c>
    </row>
    <row r="4371" spans="1:8" x14ac:dyDescent="0.25">
      <c r="A4371" t="s">
        <v>40</v>
      </c>
      <c r="B4371" t="s">
        <v>595</v>
      </c>
    </row>
    <row r="4372" spans="1:8" x14ac:dyDescent="0.25">
      <c r="A4372" t="s">
        <v>22</v>
      </c>
      <c r="B4372" t="s">
        <v>595</v>
      </c>
    </row>
    <row r="4373" spans="1:8" x14ac:dyDescent="0.25">
      <c r="A4373" t="s">
        <v>1737</v>
      </c>
      <c r="B4373" t="s">
        <v>596</v>
      </c>
      <c r="C4373" t="s">
        <v>403</v>
      </c>
      <c r="D4373">
        <v>15</v>
      </c>
      <c r="E4373">
        <v>1800</v>
      </c>
      <c r="F4373">
        <v>0</v>
      </c>
      <c r="G4373">
        <v>5</v>
      </c>
      <c r="H4373" t="s">
        <v>19</v>
      </c>
    </row>
    <row r="4374" spans="1:8" x14ac:dyDescent="0.25">
      <c r="A4374" t="str">
        <f>"&lt;nominal&gt;" &amp;$D$4373&amp;"&lt;/nominal&gt;"</f>
        <v>&lt;nominal&gt;15&lt;/nominal&gt;</v>
      </c>
      <c r="B4374" t="s">
        <v>596</v>
      </c>
    </row>
    <row r="4375" spans="1:8" x14ac:dyDescent="0.25">
      <c r="A4375" t="str">
        <f>"&lt;lifetime&gt;" &amp;$E$4373&amp;"&lt;/lifetime&gt;"</f>
        <v>&lt;lifetime&gt;1800&lt;/lifetime&gt;</v>
      </c>
      <c r="B4375" t="s">
        <v>596</v>
      </c>
    </row>
    <row r="4376" spans="1:8" x14ac:dyDescent="0.25">
      <c r="A4376" t="str">
        <f>"&lt;restock&gt;" &amp;$F$4373&amp;"&lt;/restock&gt;"</f>
        <v>&lt;restock&gt;0&lt;/restock&gt;</v>
      </c>
      <c r="B4376" t="s">
        <v>596</v>
      </c>
    </row>
    <row r="4377" spans="1:8" x14ac:dyDescent="0.25">
      <c r="A4377" t="str">
        <f>"&lt;min&gt;" &amp;$G$4373&amp;"&lt;/min&gt;"</f>
        <v>&lt;min&gt;5&lt;/min&gt;</v>
      </c>
      <c r="B4377" t="s">
        <v>596</v>
      </c>
    </row>
    <row r="4378" spans="1:8" x14ac:dyDescent="0.25">
      <c r="A4378" t="s">
        <v>16</v>
      </c>
      <c r="B4378" t="s">
        <v>596</v>
      </c>
    </row>
    <row r="4379" spans="1:8" x14ac:dyDescent="0.25">
      <c r="A4379" t="s">
        <v>17</v>
      </c>
      <c r="B4379" t="s">
        <v>596</v>
      </c>
    </row>
    <row r="4380" spans="1:8" x14ac:dyDescent="0.25">
      <c r="A4380" t="s">
        <v>18</v>
      </c>
      <c r="B4380" t="s">
        <v>596</v>
      </c>
    </row>
    <row r="4381" spans="1:8" x14ac:dyDescent="0.25">
      <c r="A4381" t="str">
        <f xml:space="preserve"> $H$4373</f>
        <v>&lt;flags count_in_cargo="0" count_in_hoarder="0" count_in_map="1" count_in_player="0" crafted="0" deloot="0"/&gt;</v>
      </c>
      <c r="B4381" t="s">
        <v>596</v>
      </c>
    </row>
    <row r="4382" spans="1:8" x14ac:dyDescent="0.25">
      <c r="A4382" t="str">
        <f>"&lt;category name=" &amp;"""" &amp;$C$4373&amp;"""/&gt;"</f>
        <v>&lt;category name="clothes"/&gt;</v>
      </c>
      <c r="B4382" t="s">
        <v>596</v>
      </c>
    </row>
    <row r="4383" spans="1:8" x14ac:dyDescent="0.25">
      <c r="A4383" t="s">
        <v>55</v>
      </c>
      <c r="B4383" t="s">
        <v>596</v>
      </c>
    </row>
    <row r="4384" spans="1:8" x14ac:dyDescent="0.25">
      <c r="A4384" t="s">
        <v>39</v>
      </c>
      <c r="B4384" t="s">
        <v>596</v>
      </c>
    </row>
    <row r="4385" spans="1:8" x14ac:dyDescent="0.25">
      <c r="A4385" t="s">
        <v>40</v>
      </c>
      <c r="B4385" t="s">
        <v>596</v>
      </c>
    </row>
    <row r="4386" spans="1:8" x14ac:dyDescent="0.25">
      <c r="A4386" t="s">
        <v>22</v>
      </c>
      <c r="B4386" t="s">
        <v>596</v>
      </c>
    </row>
    <row r="4387" spans="1:8" x14ac:dyDescent="0.25">
      <c r="A4387" t="s">
        <v>1738</v>
      </c>
      <c r="B4387" t="s">
        <v>597</v>
      </c>
      <c r="C4387" t="s">
        <v>403</v>
      </c>
      <c r="D4387">
        <v>0</v>
      </c>
      <c r="E4387">
        <v>10800</v>
      </c>
      <c r="F4387">
        <v>0</v>
      </c>
      <c r="G4387">
        <v>0</v>
      </c>
      <c r="H4387" t="s">
        <v>62</v>
      </c>
    </row>
    <row r="4388" spans="1:8" x14ac:dyDescent="0.25">
      <c r="A4388" t="str">
        <f>"&lt;nominal&gt;" &amp;$D$4387&amp;"&lt;/nominal&gt;"</f>
        <v>&lt;nominal&gt;0&lt;/nominal&gt;</v>
      </c>
      <c r="B4388" t="s">
        <v>597</v>
      </c>
    </row>
    <row r="4389" spans="1:8" x14ac:dyDescent="0.25">
      <c r="A4389" t="str">
        <f>"&lt;lifetime&gt;" &amp;$E$4387&amp;"&lt;/lifetime&gt;"</f>
        <v>&lt;lifetime&gt;10800&lt;/lifetime&gt;</v>
      </c>
      <c r="B4389" t="s">
        <v>597</v>
      </c>
    </row>
    <row r="4390" spans="1:8" x14ac:dyDescent="0.25">
      <c r="A4390" t="str">
        <f>"&lt;restock&gt;" &amp;$F$4387&amp;"&lt;/restock&gt;"</f>
        <v>&lt;restock&gt;0&lt;/restock&gt;</v>
      </c>
      <c r="B4390" t="s">
        <v>597</v>
      </c>
    </row>
    <row r="4391" spans="1:8" x14ac:dyDescent="0.25">
      <c r="A4391" t="str">
        <f>"&lt;min&gt;" &amp;$G$4387&amp;"&lt;/min&gt;"</f>
        <v>&lt;min&gt;0&lt;/min&gt;</v>
      </c>
      <c r="B4391" t="s">
        <v>597</v>
      </c>
    </row>
    <row r="4392" spans="1:8" x14ac:dyDescent="0.25">
      <c r="A4392" t="s">
        <v>16</v>
      </c>
      <c r="B4392" t="s">
        <v>597</v>
      </c>
    </row>
    <row r="4393" spans="1:8" x14ac:dyDescent="0.25">
      <c r="A4393" t="s">
        <v>17</v>
      </c>
      <c r="B4393" t="s">
        <v>597</v>
      </c>
    </row>
    <row r="4394" spans="1:8" x14ac:dyDescent="0.25">
      <c r="A4394" t="s">
        <v>18</v>
      </c>
      <c r="B4394" t="s">
        <v>597</v>
      </c>
    </row>
    <row r="4395" spans="1:8" x14ac:dyDescent="0.25">
      <c r="A4395" t="str">
        <f xml:space="preserve"> $H$4387</f>
        <v>&lt;flags count_in_cargo="0" count_in_hoarder="0" count_in_map="1" count_in_player="0" crafted="1" deloot="0"/&gt;</v>
      </c>
      <c r="B4395" t="s">
        <v>597</v>
      </c>
    </row>
    <row r="4396" spans="1:8" x14ac:dyDescent="0.25">
      <c r="A4396" t="str">
        <f>"&lt;category name=" &amp;"""" &amp;$C$4387&amp;"""/&gt;"</f>
        <v>&lt;category name="clothes"/&gt;</v>
      </c>
      <c r="B4396" t="s">
        <v>597</v>
      </c>
    </row>
    <row r="4397" spans="1:8" x14ac:dyDescent="0.25">
      <c r="A4397" t="s">
        <v>22</v>
      </c>
      <c r="B4397" t="s">
        <v>597</v>
      </c>
    </row>
    <row r="4398" spans="1:8" x14ac:dyDescent="0.25">
      <c r="A4398" t="s">
        <v>1739</v>
      </c>
      <c r="B4398" t="s">
        <v>598</v>
      </c>
      <c r="C4398" t="s">
        <v>399</v>
      </c>
      <c r="D4398">
        <v>0</v>
      </c>
      <c r="E4398">
        <v>7200</v>
      </c>
      <c r="F4398">
        <v>0</v>
      </c>
      <c r="G4398">
        <v>0</v>
      </c>
      <c r="H4398" t="s">
        <v>62</v>
      </c>
    </row>
    <row r="4399" spans="1:8" x14ac:dyDescent="0.25">
      <c r="A4399" t="str">
        <f>"&lt;nominal&gt;" &amp;$D$4398&amp;"&lt;/nominal&gt;"</f>
        <v>&lt;nominal&gt;0&lt;/nominal&gt;</v>
      </c>
      <c r="B4399" t="s">
        <v>598</v>
      </c>
    </row>
    <row r="4400" spans="1:8" x14ac:dyDescent="0.25">
      <c r="A4400" t="str">
        <f>"&lt;lifetime&gt;" &amp;$E$4398&amp;"&lt;/lifetime&gt;"</f>
        <v>&lt;lifetime&gt;7200&lt;/lifetime&gt;</v>
      </c>
      <c r="B4400" t="s">
        <v>598</v>
      </c>
    </row>
    <row r="4401" spans="1:8" x14ac:dyDescent="0.25">
      <c r="A4401" t="str">
        <f>"&lt;restock&gt;" &amp;$F$4398&amp;"&lt;/restock&gt;"</f>
        <v>&lt;restock&gt;0&lt;/restock&gt;</v>
      </c>
      <c r="B4401" t="s">
        <v>598</v>
      </c>
    </row>
    <row r="4402" spans="1:8" x14ac:dyDescent="0.25">
      <c r="A4402" t="str">
        <f>"&lt;min&gt;" &amp;$G$4398&amp;"&lt;/min&gt;"</f>
        <v>&lt;min&gt;0&lt;/min&gt;</v>
      </c>
      <c r="B4402" t="s">
        <v>598</v>
      </c>
    </row>
    <row r="4403" spans="1:8" x14ac:dyDescent="0.25">
      <c r="A4403" t="s">
        <v>16</v>
      </c>
      <c r="B4403" t="s">
        <v>598</v>
      </c>
    </row>
    <row r="4404" spans="1:8" x14ac:dyDescent="0.25">
      <c r="A4404" t="s">
        <v>17</v>
      </c>
      <c r="B4404" t="s">
        <v>598</v>
      </c>
    </row>
    <row r="4405" spans="1:8" x14ac:dyDescent="0.25">
      <c r="A4405" t="s">
        <v>18</v>
      </c>
      <c r="B4405" t="s">
        <v>598</v>
      </c>
    </row>
    <row r="4406" spans="1:8" x14ac:dyDescent="0.25">
      <c r="A4406" t="str">
        <f xml:space="preserve"> $H$4398</f>
        <v>&lt;flags count_in_cargo="0" count_in_hoarder="0" count_in_map="1" count_in_player="0" crafted="1" deloot="0"/&gt;</v>
      </c>
      <c r="B4406" t="s">
        <v>598</v>
      </c>
    </row>
    <row r="4407" spans="1:8" x14ac:dyDescent="0.25">
      <c r="A4407" t="str">
        <f>"&lt;category name=" &amp;"""" &amp;$C$4398&amp;"""/&gt;"</f>
        <v>&lt;category name="food"/&gt;</v>
      </c>
      <c r="B4407" t="s">
        <v>598</v>
      </c>
    </row>
    <row r="4408" spans="1:8" x14ac:dyDescent="0.25">
      <c r="A4408" t="s">
        <v>22</v>
      </c>
      <c r="B4408" t="s">
        <v>598</v>
      </c>
    </row>
    <row r="4409" spans="1:8" x14ac:dyDescent="0.25">
      <c r="A4409" t="s">
        <v>1740</v>
      </c>
      <c r="B4409" t="s">
        <v>3398</v>
      </c>
      <c r="C4409" t="s">
        <v>426</v>
      </c>
      <c r="D4409">
        <v>0</v>
      </c>
      <c r="E4409">
        <v>7200</v>
      </c>
      <c r="F4409">
        <v>0</v>
      </c>
      <c r="G4409">
        <v>0</v>
      </c>
      <c r="H4409" t="s">
        <v>19</v>
      </c>
    </row>
    <row r="4410" spans="1:8" x14ac:dyDescent="0.25">
      <c r="A4410" t="str">
        <f>"&lt;nominal&gt;" &amp;$D$4409&amp;"&lt;/nominal&gt;"</f>
        <v>&lt;nominal&gt;0&lt;/nominal&gt;</v>
      </c>
      <c r="B4410" t="s">
        <v>3398</v>
      </c>
    </row>
    <row r="4411" spans="1:8" x14ac:dyDescent="0.25">
      <c r="A4411" t="str">
        <f>"&lt;lifetime&gt;" &amp;$E$4409&amp;"&lt;/lifetime&gt;"</f>
        <v>&lt;lifetime&gt;7200&lt;/lifetime&gt;</v>
      </c>
      <c r="B4411" t="s">
        <v>3398</v>
      </c>
    </row>
    <row r="4412" spans="1:8" x14ac:dyDescent="0.25">
      <c r="A4412" t="str">
        <f>"&lt;restock&gt;" &amp;$F$4409&amp;"&lt;/restock&gt;"</f>
        <v>&lt;restock&gt;0&lt;/restock&gt;</v>
      </c>
      <c r="B4412" t="s">
        <v>3398</v>
      </c>
    </row>
    <row r="4413" spans="1:8" x14ac:dyDescent="0.25">
      <c r="A4413" t="str">
        <f>"&lt;min&gt;" &amp;$G$4409&amp;"&lt;/min&gt;"</f>
        <v>&lt;min&gt;0&lt;/min&gt;</v>
      </c>
      <c r="B4413" t="s">
        <v>3398</v>
      </c>
    </row>
    <row r="4414" spans="1:8" x14ac:dyDescent="0.25">
      <c r="A4414" t="s">
        <v>16</v>
      </c>
      <c r="B4414" t="s">
        <v>3398</v>
      </c>
    </row>
    <row r="4415" spans="1:8" x14ac:dyDescent="0.25">
      <c r="A4415" t="s">
        <v>17</v>
      </c>
      <c r="B4415" t="s">
        <v>3398</v>
      </c>
    </row>
    <row r="4416" spans="1:8" x14ac:dyDescent="0.25">
      <c r="A4416" t="s">
        <v>18</v>
      </c>
      <c r="B4416" t="s">
        <v>3398</v>
      </c>
    </row>
    <row r="4417" spans="1:8" x14ac:dyDescent="0.25">
      <c r="A4417" t="str">
        <f xml:space="preserve"> $H$4409</f>
        <v>&lt;flags count_in_cargo="0" count_in_hoarder="0" count_in_map="1" count_in_player="0" crafted="0" deloot="0"/&gt;</v>
      </c>
      <c r="B4417" t="s">
        <v>3398</v>
      </c>
    </row>
    <row r="4418" spans="1:8" x14ac:dyDescent="0.25">
      <c r="A4418" t="str">
        <f>"&lt;category name=" &amp;"""" &amp;$C$4409&amp;"""/&gt;"</f>
        <v>&lt;category name="tools"/&gt;</v>
      </c>
      <c r="B4418" t="s">
        <v>3398</v>
      </c>
    </row>
    <row r="4419" spans="1:8" x14ac:dyDescent="0.25">
      <c r="A4419" t="s">
        <v>21</v>
      </c>
      <c r="B4419" t="s">
        <v>3398</v>
      </c>
    </row>
    <row r="4420" spans="1:8" x14ac:dyDescent="0.25">
      <c r="A4420" t="s">
        <v>30</v>
      </c>
      <c r="B4420" t="s">
        <v>3398</v>
      </c>
    </row>
    <row r="4421" spans="1:8" x14ac:dyDescent="0.25">
      <c r="A4421" t="s">
        <v>31</v>
      </c>
      <c r="B4421" t="s">
        <v>3398</v>
      </c>
    </row>
    <row r="4422" spans="1:8" x14ac:dyDescent="0.25">
      <c r="A4422" t="s">
        <v>307</v>
      </c>
      <c r="B4422" t="s">
        <v>3398</v>
      </c>
    </row>
    <row r="4423" spans="1:8" x14ac:dyDescent="0.25">
      <c r="A4423" t="s">
        <v>22</v>
      </c>
      <c r="B4423" t="s">
        <v>3398</v>
      </c>
    </row>
    <row r="4424" spans="1:8" x14ac:dyDescent="0.25">
      <c r="A4424" t="s">
        <v>1741</v>
      </c>
      <c r="B4424" t="s">
        <v>599</v>
      </c>
      <c r="C4424" t="s">
        <v>403</v>
      </c>
      <c r="D4424">
        <v>30</v>
      </c>
      <c r="E4424">
        <v>2700</v>
      </c>
      <c r="F4424">
        <v>0</v>
      </c>
      <c r="G4424">
        <v>20</v>
      </c>
      <c r="H4424" t="s">
        <v>19</v>
      </c>
    </row>
    <row r="4425" spans="1:8" x14ac:dyDescent="0.25">
      <c r="A4425" t="str">
        <f>"&lt;nominal&gt;" &amp;$D$4424&amp;"&lt;/nominal&gt;"</f>
        <v>&lt;nominal&gt;30&lt;/nominal&gt;</v>
      </c>
      <c r="B4425" t="s">
        <v>599</v>
      </c>
    </row>
    <row r="4426" spans="1:8" x14ac:dyDescent="0.25">
      <c r="A4426" t="str">
        <f>"&lt;lifetime&gt;" &amp;$E$4424&amp;"&lt;/lifetime&gt;"</f>
        <v>&lt;lifetime&gt;2700&lt;/lifetime&gt;</v>
      </c>
      <c r="B4426" t="s">
        <v>599</v>
      </c>
    </row>
    <row r="4427" spans="1:8" x14ac:dyDescent="0.25">
      <c r="A4427" t="str">
        <f>"&lt;restock&gt;" &amp;$F$4424&amp;"&lt;/restock&gt;"</f>
        <v>&lt;restock&gt;0&lt;/restock&gt;</v>
      </c>
      <c r="B4427" t="s">
        <v>599</v>
      </c>
    </row>
    <row r="4428" spans="1:8" x14ac:dyDescent="0.25">
      <c r="A4428" t="str">
        <f>"&lt;min&gt;" &amp;$G$4424&amp;"&lt;/min&gt;"</f>
        <v>&lt;min&gt;20&lt;/min&gt;</v>
      </c>
      <c r="B4428" t="s">
        <v>599</v>
      </c>
    </row>
    <row r="4429" spans="1:8" x14ac:dyDescent="0.25">
      <c r="A4429" t="s">
        <v>16</v>
      </c>
      <c r="B4429" t="s">
        <v>599</v>
      </c>
    </row>
    <row r="4430" spans="1:8" x14ac:dyDescent="0.25">
      <c r="A4430" t="s">
        <v>17</v>
      </c>
      <c r="B4430" t="s">
        <v>599</v>
      </c>
    </row>
    <row r="4431" spans="1:8" x14ac:dyDescent="0.25">
      <c r="A4431" t="s">
        <v>18</v>
      </c>
      <c r="B4431" t="s">
        <v>599</v>
      </c>
    </row>
    <row r="4432" spans="1:8" x14ac:dyDescent="0.25">
      <c r="A4432" t="str">
        <f xml:space="preserve"> $H$4424</f>
        <v>&lt;flags count_in_cargo="0" count_in_hoarder="0" count_in_map="1" count_in_player="0" crafted="0" deloot="0"/&gt;</v>
      </c>
      <c r="B4432" t="s">
        <v>599</v>
      </c>
    </row>
    <row r="4433" spans="1:8" x14ac:dyDescent="0.25">
      <c r="A4433" t="str">
        <f>"&lt;category name=" &amp;"""" &amp;$C$4424&amp;"""/&gt;"</f>
        <v>&lt;category name="clothes"/&gt;</v>
      </c>
      <c r="B4433" t="s">
        <v>599</v>
      </c>
    </row>
    <row r="4434" spans="1:8" x14ac:dyDescent="0.25">
      <c r="A4434" t="s">
        <v>39</v>
      </c>
      <c r="B4434" t="s">
        <v>599</v>
      </c>
    </row>
    <row r="4435" spans="1:8" x14ac:dyDescent="0.25">
      <c r="A4435" t="s">
        <v>40</v>
      </c>
      <c r="B4435" t="s">
        <v>599</v>
      </c>
    </row>
    <row r="4436" spans="1:8" x14ac:dyDescent="0.25">
      <c r="A4436" t="s">
        <v>22</v>
      </c>
      <c r="B4436" t="s">
        <v>599</v>
      </c>
    </row>
    <row r="4437" spans="1:8" x14ac:dyDescent="0.25">
      <c r="A4437" t="s">
        <v>1742</v>
      </c>
      <c r="B4437" t="s">
        <v>600</v>
      </c>
      <c r="C4437" t="s">
        <v>403</v>
      </c>
      <c r="D4437">
        <v>30</v>
      </c>
      <c r="E4437">
        <v>5600</v>
      </c>
      <c r="F4437">
        <v>0</v>
      </c>
      <c r="G4437">
        <v>20</v>
      </c>
      <c r="H4437" t="s">
        <v>19</v>
      </c>
    </row>
    <row r="4438" spans="1:8" x14ac:dyDescent="0.25">
      <c r="A4438" t="str">
        <f>"&lt;nominal&gt;" &amp;$D$4437&amp;"&lt;/nominal&gt;"</f>
        <v>&lt;nominal&gt;30&lt;/nominal&gt;</v>
      </c>
      <c r="B4438" t="s">
        <v>600</v>
      </c>
    </row>
    <row r="4439" spans="1:8" x14ac:dyDescent="0.25">
      <c r="A4439" t="str">
        <f>"&lt;lifetime&gt;" &amp;$E$4437&amp;"&lt;/lifetime&gt;"</f>
        <v>&lt;lifetime&gt;5600&lt;/lifetime&gt;</v>
      </c>
      <c r="B4439" t="s">
        <v>600</v>
      </c>
    </row>
    <row r="4440" spans="1:8" x14ac:dyDescent="0.25">
      <c r="A4440" t="str">
        <f>"&lt;restock&gt;" &amp;$F$4437&amp;"&lt;/restock&gt;"</f>
        <v>&lt;restock&gt;0&lt;/restock&gt;</v>
      </c>
      <c r="B4440" t="s">
        <v>600</v>
      </c>
    </row>
    <row r="4441" spans="1:8" x14ac:dyDescent="0.25">
      <c r="A4441" t="str">
        <f>"&lt;min&gt;" &amp;$G$4437&amp;"&lt;/min&gt;"</f>
        <v>&lt;min&gt;20&lt;/min&gt;</v>
      </c>
      <c r="B4441" t="s">
        <v>600</v>
      </c>
    </row>
    <row r="4442" spans="1:8" x14ac:dyDescent="0.25">
      <c r="A4442" t="s">
        <v>16</v>
      </c>
      <c r="B4442" t="s">
        <v>600</v>
      </c>
    </row>
    <row r="4443" spans="1:8" x14ac:dyDescent="0.25">
      <c r="A4443" t="s">
        <v>17</v>
      </c>
      <c r="B4443" t="s">
        <v>600</v>
      </c>
    </row>
    <row r="4444" spans="1:8" x14ac:dyDescent="0.25">
      <c r="A4444" t="s">
        <v>18</v>
      </c>
      <c r="B4444" t="s">
        <v>600</v>
      </c>
    </row>
    <row r="4445" spans="1:8" x14ac:dyDescent="0.25">
      <c r="A4445" t="str">
        <f xml:space="preserve"> $H$4437</f>
        <v>&lt;flags count_in_cargo="0" count_in_hoarder="0" count_in_map="1" count_in_player="0" crafted="0" deloot="0"/&gt;</v>
      </c>
      <c r="B4445" t="s">
        <v>600</v>
      </c>
    </row>
    <row r="4446" spans="1:8" x14ac:dyDescent="0.25">
      <c r="A4446" t="str">
        <f>"&lt;category name=" &amp;"""" &amp;$C$4437&amp;"""/&gt;"</f>
        <v>&lt;category name="clothes"/&gt;</v>
      </c>
      <c r="B4446" t="s">
        <v>600</v>
      </c>
    </row>
    <row r="4447" spans="1:8" x14ac:dyDescent="0.25">
      <c r="A4447" t="s">
        <v>39</v>
      </c>
      <c r="B4447" t="s">
        <v>600</v>
      </c>
    </row>
    <row r="4448" spans="1:8" x14ac:dyDescent="0.25">
      <c r="A4448" t="s">
        <v>22</v>
      </c>
      <c r="B4448" t="s">
        <v>600</v>
      </c>
    </row>
    <row r="4449" spans="1:8" x14ac:dyDescent="0.25">
      <c r="A4449" t="s">
        <v>1743</v>
      </c>
      <c r="B4449" t="s">
        <v>601</v>
      </c>
      <c r="C4449" t="s">
        <v>403</v>
      </c>
      <c r="D4449">
        <v>5</v>
      </c>
      <c r="E4449">
        <v>5600</v>
      </c>
      <c r="F4449">
        <v>0</v>
      </c>
      <c r="G4449">
        <v>2</v>
      </c>
      <c r="H4449" t="s">
        <v>19</v>
      </c>
    </row>
    <row r="4450" spans="1:8" x14ac:dyDescent="0.25">
      <c r="A4450" t="str">
        <f>"&lt;nominal&gt;" &amp;$D$4449&amp;"&lt;/nominal&gt;"</f>
        <v>&lt;nominal&gt;5&lt;/nominal&gt;</v>
      </c>
      <c r="B4450" t="s">
        <v>601</v>
      </c>
    </row>
    <row r="4451" spans="1:8" x14ac:dyDescent="0.25">
      <c r="A4451" t="str">
        <f>"&lt;lifetime&gt;" &amp;$E$4449&amp;"&lt;/lifetime&gt;"</f>
        <v>&lt;lifetime&gt;5600&lt;/lifetime&gt;</v>
      </c>
      <c r="B4451" t="s">
        <v>601</v>
      </c>
    </row>
    <row r="4452" spans="1:8" x14ac:dyDescent="0.25">
      <c r="A4452" t="str">
        <f>"&lt;restock&gt;" &amp;$F$4449&amp;"&lt;/restock&gt;"</f>
        <v>&lt;restock&gt;0&lt;/restock&gt;</v>
      </c>
      <c r="B4452" t="s">
        <v>601</v>
      </c>
    </row>
    <row r="4453" spans="1:8" x14ac:dyDescent="0.25">
      <c r="A4453" t="str">
        <f>"&lt;min&gt;" &amp;$G$4449&amp;"&lt;/min&gt;"</f>
        <v>&lt;min&gt;2&lt;/min&gt;</v>
      </c>
      <c r="B4453" t="s">
        <v>601</v>
      </c>
    </row>
    <row r="4454" spans="1:8" x14ac:dyDescent="0.25">
      <c r="A4454" t="s">
        <v>16</v>
      </c>
      <c r="B4454" t="s">
        <v>601</v>
      </c>
    </row>
    <row r="4455" spans="1:8" x14ac:dyDescent="0.25">
      <c r="A4455" t="s">
        <v>17</v>
      </c>
      <c r="B4455" t="s">
        <v>601</v>
      </c>
    </row>
    <row r="4456" spans="1:8" x14ac:dyDescent="0.25">
      <c r="A4456" t="s">
        <v>18</v>
      </c>
      <c r="B4456" t="s">
        <v>601</v>
      </c>
    </row>
    <row r="4457" spans="1:8" x14ac:dyDescent="0.25">
      <c r="A4457" t="str">
        <f xml:space="preserve"> $H$4449</f>
        <v>&lt;flags count_in_cargo="0" count_in_hoarder="0" count_in_map="1" count_in_player="0" crafted="0" deloot="0"/&gt;</v>
      </c>
      <c r="B4457" t="s">
        <v>601</v>
      </c>
    </row>
    <row r="4458" spans="1:8" x14ac:dyDescent="0.25">
      <c r="A4458" t="str">
        <f>"&lt;category name=" &amp;"""" &amp;$C$4449&amp;"""/&gt;"</f>
        <v>&lt;category name="clothes"/&gt;</v>
      </c>
      <c r="B4458" t="s">
        <v>601</v>
      </c>
    </row>
    <row r="4459" spans="1:8" x14ac:dyDescent="0.25">
      <c r="A4459" t="s">
        <v>39</v>
      </c>
      <c r="B4459" t="s">
        <v>601</v>
      </c>
    </row>
    <row r="4460" spans="1:8" x14ac:dyDescent="0.25">
      <c r="A4460" t="s">
        <v>40</v>
      </c>
      <c r="B4460" t="s">
        <v>601</v>
      </c>
    </row>
    <row r="4461" spans="1:8" x14ac:dyDescent="0.25">
      <c r="A4461" t="s">
        <v>22</v>
      </c>
      <c r="B4461" t="s">
        <v>601</v>
      </c>
    </row>
    <row r="4462" spans="1:8" x14ac:dyDescent="0.25">
      <c r="A4462" t="s">
        <v>1744</v>
      </c>
      <c r="B4462" t="s">
        <v>602</v>
      </c>
      <c r="C4462" t="s">
        <v>403</v>
      </c>
      <c r="D4462">
        <v>5</v>
      </c>
      <c r="E4462">
        <v>5600</v>
      </c>
      <c r="F4462">
        <v>0</v>
      </c>
      <c r="G4462">
        <v>2</v>
      </c>
      <c r="H4462" t="s">
        <v>19</v>
      </c>
    </row>
    <row r="4463" spans="1:8" x14ac:dyDescent="0.25">
      <c r="A4463" t="str">
        <f>"&lt;nominal&gt;" &amp;$D$4462&amp;"&lt;/nominal&gt;"</f>
        <v>&lt;nominal&gt;5&lt;/nominal&gt;</v>
      </c>
      <c r="B4463" t="s">
        <v>602</v>
      </c>
    </row>
    <row r="4464" spans="1:8" x14ac:dyDescent="0.25">
      <c r="A4464" t="str">
        <f>"&lt;lifetime&gt;" &amp;$E$4462&amp;"&lt;/lifetime&gt;"</f>
        <v>&lt;lifetime&gt;5600&lt;/lifetime&gt;</v>
      </c>
      <c r="B4464" t="s">
        <v>602</v>
      </c>
    </row>
    <row r="4465" spans="1:8" x14ac:dyDescent="0.25">
      <c r="A4465" t="str">
        <f>"&lt;restock&gt;" &amp;$F$4462&amp;"&lt;/restock&gt;"</f>
        <v>&lt;restock&gt;0&lt;/restock&gt;</v>
      </c>
      <c r="B4465" t="s">
        <v>602</v>
      </c>
    </row>
    <row r="4466" spans="1:8" x14ac:dyDescent="0.25">
      <c r="A4466" t="str">
        <f>"&lt;min&gt;" &amp;$G$4462&amp;"&lt;/min&gt;"</f>
        <v>&lt;min&gt;2&lt;/min&gt;</v>
      </c>
      <c r="B4466" t="s">
        <v>602</v>
      </c>
    </row>
    <row r="4467" spans="1:8" x14ac:dyDescent="0.25">
      <c r="A4467" t="s">
        <v>16</v>
      </c>
      <c r="B4467" t="s">
        <v>602</v>
      </c>
    </row>
    <row r="4468" spans="1:8" x14ac:dyDescent="0.25">
      <c r="A4468" t="s">
        <v>17</v>
      </c>
      <c r="B4468" t="s">
        <v>602</v>
      </c>
    </row>
    <row r="4469" spans="1:8" x14ac:dyDescent="0.25">
      <c r="A4469" t="s">
        <v>18</v>
      </c>
      <c r="B4469" t="s">
        <v>602</v>
      </c>
    </row>
    <row r="4470" spans="1:8" x14ac:dyDescent="0.25">
      <c r="A4470" t="str">
        <f xml:space="preserve"> $H$4462</f>
        <v>&lt;flags count_in_cargo="0" count_in_hoarder="0" count_in_map="1" count_in_player="0" crafted="0" deloot="0"/&gt;</v>
      </c>
      <c r="B4470" t="s">
        <v>602</v>
      </c>
    </row>
    <row r="4471" spans="1:8" x14ac:dyDescent="0.25">
      <c r="A4471" t="str">
        <f>"&lt;category name=" &amp;"""" &amp;$C$4462&amp;"""/&gt;"</f>
        <v>&lt;category name="clothes"/&gt;</v>
      </c>
      <c r="B4471" t="s">
        <v>602</v>
      </c>
    </row>
    <row r="4472" spans="1:8" x14ac:dyDescent="0.25">
      <c r="A4472" t="s">
        <v>39</v>
      </c>
      <c r="B4472" t="s">
        <v>602</v>
      </c>
    </row>
    <row r="4473" spans="1:8" x14ac:dyDescent="0.25">
      <c r="A4473" t="s">
        <v>40</v>
      </c>
      <c r="B4473" t="s">
        <v>602</v>
      </c>
    </row>
    <row r="4474" spans="1:8" x14ac:dyDescent="0.25">
      <c r="A4474" t="s">
        <v>22</v>
      </c>
      <c r="B4474" t="s">
        <v>602</v>
      </c>
    </row>
    <row r="4475" spans="1:8" x14ac:dyDescent="0.25">
      <c r="A4475" t="s">
        <v>1745</v>
      </c>
      <c r="B4475" t="s">
        <v>603</v>
      </c>
      <c r="C4475" t="s">
        <v>403</v>
      </c>
      <c r="D4475">
        <v>5</v>
      </c>
      <c r="E4475">
        <v>5600</v>
      </c>
      <c r="F4475">
        <v>0</v>
      </c>
      <c r="G4475">
        <v>2</v>
      </c>
      <c r="H4475" t="s">
        <v>19</v>
      </c>
    </row>
    <row r="4476" spans="1:8" x14ac:dyDescent="0.25">
      <c r="A4476" t="str">
        <f>"&lt;nominal&gt;" &amp;$D$4475&amp;"&lt;/nominal&gt;"</f>
        <v>&lt;nominal&gt;5&lt;/nominal&gt;</v>
      </c>
      <c r="B4476" t="s">
        <v>603</v>
      </c>
    </row>
    <row r="4477" spans="1:8" x14ac:dyDescent="0.25">
      <c r="A4477" t="str">
        <f>"&lt;lifetime&gt;" &amp;$E$4475&amp;"&lt;/lifetime&gt;"</f>
        <v>&lt;lifetime&gt;5600&lt;/lifetime&gt;</v>
      </c>
      <c r="B4477" t="s">
        <v>603</v>
      </c>
    </row>
    <row r="4478" spans="1:8" x14ac:dyDescent="0.25">
      <c r="A4478" t="str">
        <f>"&lt;restock&gt;" &amp;$F$4475&amp;"&lt;/restock&gt;"</f>
        <v>&lt;restock&gt;0&lt;/restock&gt;</v>
      </c>
      <c r="B4478" t="s">
        <v>603</v>
      </c>
    </row>
    <row r="4479" spans="1:8" x14ac:dyDescent="0.25">
      <c r="A4479" t="str">
        <f>"&lt;min&gt;" &amp;$G$4475&amp;"&lt;/min&gt;"</f>
        <v>&lt;min&gt;2&lt;/min&gt;</v>
      </c>
      <c r="B4479" t="s">
        <v>603</v>
      </c>
    </row>
    <row r="4480" spans="1:8" x14ac:dyDescent="0.25">
      <c r="A4480" t="s">
        <v>16</v>
      </c>
      <c r="B4480" t="s">
        <v>603</v>
      </c>
    </row>
    <row r="4481" spans="1:8" x14ac:dyDescent="0.25">
      <c r="A4481" t="s">
        <v>17</v>
      </c>
      <c r="B4481" t="s">
        <v>603</v>
      </c>
    </row>
    <row r="4482" spans="1:8" x14ac:dyDescent="0.25">
      <c r="A4482" t="s">
        <v>18</v>
      </c>
      <c r="B4482" t="s">
        <v>603</v>
      </c>
    </row>
    <row r="4483" spans="1:8" x14ac:dyDescent="0.25">
      <c r="A4483" t="str">
        <f xml:space="preserve"> $H$4475</f>
        <v>&lt;flags count_in_cargo="0" count_in_hoarder="0" count_in_map="1" count_in_player="0" crafted="0" deloot="0"/&gt;</v>
      </c>
      <c r="B4483" t="s">
        <v>603</v>
      </c>
    </row>
    <row r="4484" spans="1:8" x14ac:dyDescent="0.25">
      <c r="A4484" t="str">
        <f>"&lt;category name=" &amp;"""" &amp;$C$4475&amp;"""/&gt;"</f>
        <v>&lt;category name="clothes"/&gt;</v>
      </c>
      <c r="B4484" t="s">
        <v>603</v>
      </c>
    </row>
    <row r="4485" spans="1:8" x14ac:dyDescent="0.25">
      <c r="A4485" t="s">
        <v>39</v>
      </c>
      <c r="B4485" t="s">
        <v>603</v>
      </c>
    </row>
    <row r="4486" spans="1:8" x14ac:dyDescent="0.25">
      <c r="A4486" t="s">
        <v>40</v>
      </c>
      <c r="B4486" t="s">
        <v>603</v>
      </c>
    </row>
    <row r="4487" spans="1:8" x14ac:dyDescent="0.25">
      <c r="A4487" t="s">
        <v>22</v>
      </c>
      <c r="B4487" t="s">
        <v>603</v>
      </c>
    </row>
    <row r="4488" spans="1:8" x14ac:dyDescent="0.25">
      <c r="A4488" t="s">
        <v>1746</v>
      </c>
      <c r="B4488" t="s">
        <v>604</v>
      </c>
      <c r="C4488" t="s">
        <v>403</v>
      </c>
      <c r="D4488">
        <v>5</v>
      </c>
      <c r="E4488">
        <v>5600</v>
      </c>
      <c r="F4488">
        <v>0</v>
      </c>
      <c r="G4488">
        <v>2</v>
      </c>
      <c r="H4488" t="s">
        <v>19</v>
      </c>
    </row>
    <row r="4489" spans="1:8" x14ac:dyDescent="0.25">
      <c r="A4489" t="str">
        <f>"&lt;nominal&gt;" &amp;$D$4488&amp;"&lt;/nominal&gt;"</f>
        <v>&lt;nominal&gt;5&lt;/nominal&gt;</v>
      </c>
      <c r="B4489" t="s">
        <v>604</v>
      </c>
    </row>
    <row r="4490" spans="1:8" x14ac:dyDescent="0.25">
      <c r="A4490" t="str">
        <f>"&lt;lifetime&gt;" &amp;$E$4488&amp;"&lt;/lifetime&gt;"</f>
        <v>&lt;lifetime&gt;5600&lt;/lifetime&gt;</v>
      </c>
      <c r="B4490" t="s">
        <v>604</v>
      </c>
    </row>
    <row r="4491" spans="1:8" x14ac:dyDescent="0.25">
      <c r="A4491" t="str">
        <f>"&lt;restock&gt;" &amp;$F$4488&amp;"&lt;/restock&gt;"</f>
        <v>&lt;restock&gt;0&lt;/restock&gt;</v>
      </c>
      <c r="B4491" t="s">
        <v>604</v>
      </c>
    </row>
    <row r="4492" spans="1:8" x14ac:dyDescent="0.25">
      <c r="A4492" t="str">
        <f>"&lt;min&gt;" &amp;$G$4488&amp;"&lt;/min&gt;"</f>
        <v>&lt;min&gt;2&lt;/min&gt;</v>
      </c>
      <c r="B4492" t="s">
        <v>604</v>
      </c>
    </row>
    <row r="4493" spans="1:8" x14ac:dyDescent="0.25">
      <c r="A4493" t="s">
        <v>16</v>
      </c>
      <c r="B4493" t="s">
        <v>604</v>
      </c>
    </row>
    <row r="4494" spans="1:8" x14ac:dyDescent="0.25">
      <c r="A4494" t="s">
        <v>17</v>
      </c>
      <c r="B4494" t="s">
        <v>604</v>
      </c>
    </row>
    <row r="4495" spans="1:8" x14ac:dyDescent="0.25">
      <c r="A4495" t="s">
        <v>18</v>
      </c>
      <c r="B4495" t="s">
        <v>604</v>
      </c>
    </row>
    <row r="4496" spans="1:8" x14ac:dyDescent="0.25">
      <c r="A4496" t="str">
        <f xml:space="preserve"> $H$4488</f>
        <v>&lt;flags count_in_cargo="0" count_in_hoarder="0" count_in_map="1" count_in_player="0" crafted="0" deloot="0"/&gt;</v>
      </c>
      <c r="B4496" t="s">
        <v>604</v>
      </c>
    </row>
    <row r="4497" spans="1:8" x14ac:dyDescent="0.25">
      <c r="A4497" t="str">
        <f>"&lt;category name=" &amp;"""" &amp;$C$4488&amp;"""/&gt;"</f>
        <v>&lt;category name="clothes"/&gt;</v>
      </c>
      <c r="B4497" t="s">
        <v>604</v>
      </c>
    </row>
    <row r="4498" spans="1:8" x14ac:dyDescent="0.25">
      <c r="A4498" t="s">
        <v>39</v>
      </c>
      <c r="B4498" t="s">
        <v>604</v>
      </c>
    </row>
    <row r="4499" spans="1:8" x14ac:dyDescent="0.25">
      <c r="A4499" t="s">
        <v>40</v>
      </c>
      <c r="B4499" t="s">
        <v>604</v>
      </c>
    </row>
    <row r="4500" spans="1:8" x14ac:dyDescent="0.25">
      <c r="A4500" t="s">
        <v>22</v>
      </c>
      <c r="B4500" t="s">
        <v>604</v>
      </c>
    </row>
    <row r="4501" spans="1:8" x14ac:dyDescent="0.25">
      <c r="A4501" t="s">
        <v>1747</v>
      </c>
      <c r="B4501" t="s">
        <v>605</v>
      </c>
      <c r="C4501" t="s">
        <v>403</v>
      </c>
      <c r="D4501">
        <v>5</v>
      </c>
      <c r="E4501">
        <v>5600</v>
      </c>
      <c r="F4501">
        <v>0</v>
      </c>
      <c r="G4501">
        <v>2</v>
      </c>
      <c r="H4501" t="s">
        <v>19</v>
      </c>
    </row>
    <row r="4502" spans="1:8" x14ac:dyDescent="0.25">
      <c r="A4502" t="str">
        <f>"&lt;nominal&gt;" &amp;$D$4501&amp;"&lt;/nominal&gt;"</f>
        <v>&lt;nominal&gt;5&lt;/nominal&gt;</v>
      </c>
      <c r="B4502" t="s">
        <v>605</v>
      </c>
    </row>
    <row r="4503" spans="1:8" x14ac:dyDescent="0.25">
      <c r="A4503" t="str">
        <f>"&lt;lifetime&gt;" &amp;$E$4501&amp;"&lt;/lifetime&gt;"</f>
        <v>&lt;lifetime&gt;5600&lt;/lifetime&gt;</v>
      </c>
      <c r="B4503" t="s">
        <v>605</v>
      </c>
    </row>
    <row r="4504" spans="1:8" x14ac:dyDescent="0.25">
      <c r="A4504" t="str">
        <f>"&lt;restock&gt;" &amp;$F$4501&amp;"&lt;/restock&gt;"</f>
        <v>&lt;restock&gt;0&lt;/restock&gt;</v>
      </c>
      <c r="B4504" t="s">
        <v>605</v>
      </c>
    </row>
    <row r="4505" spans="1:8" x14ac:dyDescent="0.25">
      <c r="A4505" t="str">
        <f>"&lt;min&gt;" &amp;$G$4501&amp;"&lt;/min&gt;"</f>
        <v>&lt;min&gt;2&lt;/min&gt;</v>
      </c>
      <c r="B4505" t="s">
        <v>605</v>
      </c>
    </row>
    <row r="4506" spans="1:8" x14ac:dyDescent="0.25">
      <c r="A4506" t="s">
        <v>16</v>
      </c>
      <c r="B4506" t="s">
        <v>605</v>
      </c>
    </row>
    <row r="4507" spans="1:8" x14ac:dyDescent="0.25">
      <c r="A4507" t="s">
        <v>17</v>
      </c>
      <c r="B4507" t="s">
        <v>605</v>
      </c>
    </row>
    <row r="4508" spans="1:8" x14ac:dyDescent="0.25">
      <c r="A4508" t="s">
        <v>18</v>
      </c>
      <c r="B4508" t="s">
        <v>605</v>
      </c>
    </row>
    <row r="4509" spans="1:8" x14ac:dyDescent="0.25">
      <c r="A4509" t="str">
        <f xml:space="preserve"> $H$4501</f>
        <v>&lt;flags count_in_cargo="0" count_in_hoarder="0" count_in_map="1" count_in_player="0" crafted="0" deloot="0"/&gt;</v>
      </c>
      <c r="B4509" t="s">
        <v>605</v>
      </c>
    </row>
    <row r="4510" spans="1:8" x14ac:dyDescent="0.25">
      <c r="A4510" t="str">
        <f>"&lt;category name=" &amp;"""" &amp;$C$4501&amp;"""/&gt;"</f>
        <v>&lt;category name="clothes"/&gt;</v>
      </c>
      <c r="B4510" t="s">
        <v>605</v>
      </c>
    </row>
    <row r="4511" spans="1:8" x14ac:dyDescent="0.25">
      <c r="A4511" t="s">
        <v>39</v>
      </c>
      <c r="B4511" t="s">
        <v>605</v>
      </c>
    </row>
    <row r="4512" spans="1:8" x14ac:dyDescent="0.25">
      <c r="A4512" t="s">
        <v>40</v>
      </c>
      <c r="B4512" t="s">
        <v>605</v>
      </c>
    </row>
    <row r="4513" spans="1:8" x14ac:dyDescent="0.25">
      <c r="A4513" t="s">
        <v>22</v>
      </c>
      <c r="B4513" t="s">
        <v>605</v>
      </c>
    </row>
    <row r="4514" spans="1:8" x14ac:dyDescent="0.25">
      <c r="A4514" t="s">
        <v>1748</v>
      </c>
      <c r="B4514" t="s">
        <v>606</v>
      </c>
      <c r="C4514" t="s">
        <v>403</v>
      </c>
      <c r="D4514">
        <v>15</v>
      </c>
      <c r="E4514">
        <v>5600</v>
      </c>
      <c r="F4514">
        <v>0</v>
      </c>
      <c r="G4514">
        <v>10</v>
      </c>
      <c r="H4514" t="s">
        <v>19</v>
      </c>
    </row>
    <row r="4515" spans="1:8" x14ac:dyDescent="0.25">
      <c r="A4515" t="str">
        <f>"&lt;nominal&gt;" &amp;$D$4514&amp;"&lt;/nominal&gt;"</f>
        <v>&lt;nominal&gt;15&lt;/nominal&gt;</v>
      </c>
      <c r="B4515" t="s">
        <v>606</v>
      </c>
    </row>
    <row r="4516" spans="1:8" x14ac:dyDescent="0.25">
      <c r="A4516" t="str">
        <f>"&lt;lifetime&gt;" &amp;$E$4514&amp;"&lt;/lifetime&gt;"</f>
        <v>&lt;lifetime&gt;5600&lt;/lifetime&gt;</v>
      </c>
      <c r="B4516" t="s">
        <v>606</v>
      </c>
    </row>
    <row r="4517" spans="1:8" x14ac:dyDescent="0.25">
      <c r="A4517" t="str">
        <f>"&lt;restock&gt;" &amp;$F$4514&amp;"&lt;/restock&gt;"</f>
        <v>&lt;restock&gt;0&lt;/restock&gt;</v>
      </c>
      <c r="B4517" t="s">
        <v>606</v>
      </c>
    </row>
    <row r="4518" spans="1:8" x14ac:dyDescent="0.25">
      <c r="A4518" t="str">
        <f>"&lt;min&gt;" &amp;$G$4514&amp;"&lt;/min&gt;"</f>
        <v>&lt;min&gt;10&lt;/min&gt;</v>
      </c>
      <c r="B4518" t="s">
        <v>606</v>
      </c>
    </row>
    <row r="4519" spans="1:8" x14ac:dyDescent="0.25">
      <c r="A4519" t="s">
        <v>16</v>
      </c>
      <c r="B4519" t="s">
        <v>606</v>
      </c>
    </row>
    <row r="4520" spans="1:8" x14ac:dyDescent="0.25">
      <c r="A4520" t="s">
        <v>17</v>
      </c>
      <c r="B4520" t="s">
        <v>606</v>
      </c>
    </row>
    <row r="4521" spans="1:8" x14ac:dyDescent="0.25">
      <c r="A4521" t="s">
        <v>18</v>
      </c>
      <c r="B4521" t="s">
        <v>606</v>
      </c>
    </row>
    <row r="4522" spans="1:8" x14ac:dyDescent="0.25">
      <c r="A4522" t="str">
        <f xml:space="preserve"> $H$4514</f>
        <v>&lt;flags count_in_cargo="0" count_in_hoarder="0" count_in_map="1" count_in_player="0" crafted="0" deloot="0"/&gt;</v>
      </c>
      <c r="B4522" t="s">
        <v>606</v>
      </c>
    </row>
    <row r="4523" spans="1:8" x14ac:dyDescent="0.25">
      <c r="A4523" t="str">
        <f>"&lt;category name=" &amp;"""" &amp;$C$4514&amp;"""/&gt;"</f>
        <v>&lt;category name="clothes"/&gt;</v>
      </c>
      <c r="B4523" t="s">
        <v>606</v>
      </c>
    </row>
    <row r="4524" spans="1:8" x14ac:dyDescent="0.25">
      <c r="A4524" t="s">
        <v>39</v>
      </c>
      <c r="B4524" t="s">
        <v>606</v>
      </c>
    </row>
    <row r="4525" spans="1:8" x14ac:dyDescent="0.25">
      <c r="A4525" t="s">
        <v>40</v>
      </c>
      <c r="B4525" t="s">
        <v>606</v>
      </c>
    </row>
    <row r="4526" spans="1:8" x14ac:dyDescent="0.25">
      <c r="A4526" t="s">
        <v>22</v>
      </c>
      <c r="B4526" t="s">
        <v>606</v>
      </c>
    </row>
    <row r="4527" spans="1:8" x14ac:dyDescent="0.25">
      <c r="A4527" t="s">
        <v>1749</v>
      </c>
      <c r="B4527" t="s">
        <v>607</v>
      </c>
      <c r="C4527" t="s">
        <v>403</v>
      </c>
      <c r="D4527">
        <v>5</v>
      </c>
      <c r="E4527">
        <v>5600</v>
      </c>
      <c r="F4527">
        <v>0</v>
      </c>
      <c r="G4527">
        <v>2</v>
      </c>
      <c r="H4527" t="s">
        <v>19</v>
      </c>
    </row>
    <row r="4528" spans="1:8" x14ac:dyDescent="0.25">
      <c r="A4528" t="str">
        <f>"&lt;nominal&gt;" &amp;$D$4527&amp;"&lt;/nominal&gt;"</f>
        <v>&lt;nominal&gt;5&lt;/nominal&gt;</v>
      </c>
      <c r="B4528" t="s">
        <v>607</v>
      </c>
    </row>
    <row r="4529" spans="1:8" x14ac:dyDescent="0.25">
      <c r="A4529" t="str">
        <f>"&lt;lifetime&gt;" &amp;$E$4527&amp;"&lt;/lifetime&gt;"</f>
        <v>&lt;lifetime&gt;5600&lt;/lifetime&gt;</v>
      </c>
      <c r="B4529" t="s">
        <v>607</v>
      </c>
    </row>
    <row r="4530" spans="1:8" x14ac:dyDescent="0.25">
      <c r="A4530" t="str">
        <f>"&lt;restock&gt;" &amp;$F$4527&amp;"&lt;/restock&gt;"</f>
        <v>&lt;restock&gt;0&lt;/restock&gt;</v>
      </c>
      <c r="B4530" t="s">
        <v>607</v>
      </c>
    </row>
    <row r="4531" spans="1:8" x14ac:dyDescent="0.25">
      <c r="A4531" t="str">
        <f>"&lt;min&gt;" &amp;$G$4527&amp;"&lt;/min&gt;"</f>
        <v>&lt;min&gt;2&lt;/min&gt;</v>
      </c>
      <c r="B4531" t="s">
        <v>607</v>
      </c>
    </row>
    <row r="4532" spans="1:8" x14ac:dyDescent="0.25">
      <c r="A4532" t="s">
        <v>16</v>
      </c>
      <c r="B4532" t="s">
        <v>607</v>
      </c>
    </row>
    <row r="4533" spans="1:8" x14ac:dyDescent="0.25">
      <c r="A4533" t="s">
        <v>17</v>
      </c>
      <c r="B4533" t="s">
        <v>607</v>
      </c>
    </row>
    <row r="4534" spans="1:8" x14ac:dyDescent="0.25">
      <c r="A4534" t="s">
        <v>18</v>
      </c>
      <c r="B4534" t="s">
        <v>607</v>
      </c>
    </row>
    <row r="4535" spans="1:8" x14ac:dyDescent="0.25">
      <c r="A4535" t="str">
        <f xml:space="preserve"> $H$4527</f>
        <v>&lt;flags count_in_cargo="0" count_in_hoarder="0" count_in_map="1" count_in_player="0" crafted="0" deloot="0"/&gt;</v>
      </c>
      <c r="B4535" t="s">
        <v>607</v>
      </c>
    </row>
    <row r="4536" spans="1:8" x14ac:dyDescent="0.25">
      <c r="A4536" t="str">
        <f>"&lt;category name=" &amp;"""" &amp;$C$4527&amp;"""/&gt;"</f>
        <v>&lt;category name="clothes"/&gt;</v>
      </c>
      <c r="B4536" t="s">
        <v>607</v>
      </c>
    </row>
    <row r="4537" spans="1:8" x14ac:dyDescent="0.25">
      <c r="A4537" t="s">
        <v>39</v>
      </c>
      <c r="B4537" t="s">
        <v>607</v>
      </c>
    </row>
    <row r="4538" spans="1:8" x14ac:dyDescent="0.25">
      <c r="A4538" t="s">
        <v>40</v>
      </c>
      <c r="B4538" t="s">
        <v>607</v>
      </c>
    </row>
    <row r="4539" spans="1:8" x14ac:dyDescent="0.25">
      <c r="A4539" t="s">
        <v>22</v>
      </c>
      <c r="B4539" t="s">
        <v>607</v>
      </c>
    </row>
    <row r="4540" spans="1:8" x14ac:dyDescent="0.25">
      <c r="A4540" t="s">
        <v>1750</v>
      </c>
      <c r="B4540" t="s">
        <v>608</v>
      </c>
      <c r="C4540" t="s">
        <v>403</v>
      </c>
      <c r="D4540">
        <v>5</v>
      </c>
      <c r="E4540">
        <v>5600</v>
      </c>
      <c r="F4540">
        <v>0</v>
      </c>
      <c r="G4540">
        <v>2</v>
      </c>
      <c r="H4540" t="s">
        <v>19</v>
      </c>
    </row>
    <row r="4541" spans="1:8" x14ac:dyDescent="0.25">
      <c r="A4541" t="str">
        <f>"&lt;nominal&gt;" &amp;$D$4540&amp;"&lt;/nominal&gt;"</f>
        <v>&lt;nominal&gt;5&lt;/nominal&gt;</v>
      </c>
      <c r="B4541" t="s">
        <v>608</v>
      </c>
    </row>
    <row r="4542" spans="1:8" x14ac:dyDescent="0.25">
      <c r="A4542" t="str">
        <f>"&lt;lifetime&gt;" &amp;$E$4540&amp;"&lt;/lifetime&gt;"</f>
        <v>&lt;lifetime&gt;5600&lt;/lifetime&gt;</v>
      </c>
      <c r="B4542" t="s">
        <v>608</v>
      </c>
    </row>
    <row r="4543" spans="1:8" x14ac:dyDescent="0.25">
      <c r="A4543" t="str">
        <f>"&lt;restock&gt;" &amp;$F$4540&amp;"&lt;/restock&gt;"</f>
        <v>&lt;restock&gt;0&lt;/restock&gt;</v>
      </c>
      <c r="B4543" t="s">
        <v>608</v>
      </c>
    </row>
    <row r="4544" spans="1:8" x14ac:dyDescent="0.25">
      <c r="A4544" t="str">
        <f>"&lt;min&gt;" &amp;$G$4540&amp;"&lt;/min&gt;"</f>
        <v>&lt;min&gt;2&lt;/min&gt;</v>
      </c>
      <c r="B4544" t="s">
        <v>608</v>
      </c>
    </row>
    <row r="4545" spans="1:8" x14ac:dyDescent="0.25">
      <c r="A4545" t="s">
        <v>16</v>
      </c>
      <c r="B4545" t="s">
        <v>608</v>
      </c>
    </row>
    <row r="4546" spans="1:8" x14ac:dyDescent="0.25">
      <c r="A4546" t="s">
        <v>17</v>
      </c>
      <c r="B4546" t="s">
        <v>608</v>
      </c>
    </row>
    <row r="4547" spans="1:8" x14ac:dyDescent="0.25">
      <c r="A4547" t="s">
        <v>18</v>
      </c>
      <c r="B4547" t="s">
        <v>608</v>
      </c>
    </row>
    <row r="4548" spans="1:8" x14ac:dyDescent="0.25">
      <c r="A4548" t="str">
        <f xml:space="preserve"> $H$4540</f>
        <v>&lt;flags count_in_cargo="0" count_in_hoarder="0" count_in_map="1" count_in_player="0" crafted="0" deloot="0"/&gt;</v>
      </c>
      <c r="B4548" t="s">
        <v>608</v>
      </c>
    </row>
    <row r="4549" spans="1:8" x14ac:dyDescent="0.25">
      <c r="A4549" t="str">
        <f>"&lt;category name=" &amp;"""" &amp;$C$4540&amp;"""/&gt;"</f>
        <v>&lt;category name="clothes"/&gt;</v>
      </c>
      <c r="B4549" t="s">
        <v>608</v>
      </c>
    </row>
    <row r="4550" spans="1:8" x14ac:dyDescent="0.25">
      <c r="A4550" t="s">
        <v>39</v>
      </c>
      <c r="B4550" t="s">
        <v>608</v>
      </c>
    </row>
    <row r="4551" spans="1:8" x14ac:dyDescent="0.25">
      <c r="A4551" t="s">
        <v>40</v>
      </c>
      <c r="B4551" t="s">
        <v>608</v>
      </c>
    </row>
    <row r="4552" spans="1:8" x14ac:dyDescent="0.25">
      <c r="A4552" t="s">
        <v>22</v>
      </c>
      <c r="B4552" t="s">
        <v>608</v>
      </c>
    </row>
    <row r="4553" spans="1:8" x14ac:dyDescent="0.25">
      <c r="A4553" t="s">
        <v>1751</v>
      </c>
      <c r="B4553" t="s">
        <v>609</v>
      </c>
      <c r="C4553" t="s">
        <v>403</v>
      </c>
      <c r="D4553">
        <v>15</v>
      </c>
      <c r="E4553">
        <v>5600</v>
      </c>
      <c r="F4553">
        <v>0</v>
      </c>
      <c r="G4553">
        <v>10</v>
      </c>
      <c r="H4553" t="s">
        <v>19</v>
      </c>
    </row>
    <row r="4554" spans="1:8" x14ac:dyDescent="0.25">
      <c r="A4554" t="str">
        <f>"&lt;nominal&gt;" &amp;$D$4553&amp;"&lt;/nominal&gt;"</f>
        <v>&lt;nominal&gt;15&lt;/nominal&gt;</v>
      </c>
      <c r="B4554" t="s">
        <v>609</v>
      </c>
    </row>
    <row r="4555" spans="1:8" x14ac:dyDescent="0.25">
      <c r="A4555" t="str">
        <f>"&lt;lifetime&gt;" &amp;$E$4553&amp;"&lt;/lifetime&gt;"</f>
        <v>&lt;lifetime&gt;5600&lt;/lifetime&gt;</v>
      </c>
      <c r="B4555" t="s">
        <v>609</v>
      </c>
    </row>
    <row r="4556" spans="1:8" x14ac:dyDescent="0.25">
      <c r="A4556" t="str">
        <f>"&lt;restock&gt;" &amp;$F$4553&amp;"&lt;/restock&gt;"</f>
        <v>&lt;restock&gt;0&lt;/restock&gt;</v>
      </c>
      <c r="B4556" t="s">
        <v>609</v>
      </c>
    </row>
    <row r="4557" spans="1:8" x14ac:dyDescent="0.25">
      <c r="A4557" t="str">
        <f>"&lt;min&gt;" &amp;$G$4553&amp;"&lt;/min&gt;"</f>
        <v>&lt;min&gt;10&lt;/min&gt;</v>
      </c>
      <c r="B4557" t="s">
        <v>609</v>
      </c>
    </row>
    <row r="4558" spans="1:8" x14ac:dyDescent="0.25">
      <c r="A4558" t="s">
        <v>16</v>
      </c>
      <c r="B4558" t="s">
        <v>609</v>
      </c>
    </row>
    <row r="4559" spans="1:8" x14ac:dyDescent="0.25">
      <c r="A4559" t="s">
        <v>17</v>
      </c>
      <c r="B4559" t="s">
        <v>609</v>
      </c>
    </row>
    <row r="4560" spans="1:8" x14ac:dyDescent="0.25">
      <c r="A4560" t="s">
        <v>18</v>
      </c>
      <c r="B4560" t="s">
        <v>609</v>
      </c>
    </row>
    <row r="4561" spans="1:8" x14ac:dyDescent="0.25">
      <c r="A4561" t="str">
        <f xml:space="preserve"> $H$4553</f>
        <v>&lt;flags count_in_cargo="0" count_in_hoarder="0" count_in_map="1" count_in_player="0" crafted="0" deloot="0"/&gt;</v>
      </c>
      <c r="B4561" t="s">
        <v>609</v>
      </c>
    </row>
    <row r="4562" spans="1:8" x14ac:dyDescent="0.25">
      <c r="A4562" t="str">
        <f>"&lt;category name=" &amp;"""" &amp;$C$4553&amp;"""/&gt;"</f>
        <v>&lt;category name="clothes"/&gt;</v>
      </c>
      <c r="B4562" t="s">
        <v>609</v>
      </c>
    </row>
    <row r="4563" spans="1:8" x14ac:dyDescent="0.25">
      <c r="A4563" t="s">
        <v>39</v>
      </c>
      <c r="B4563" t="s">
        <v>609</v>
      </c>
    </row>
    <row r="4564" spans="1:8" x14ac:dyDescent="0.25">
      <c r="A4564" t="s">
        <v>40</v>
      </c>
      <c r="B4564" t="s">
        <v>609</v>
      </c>
    </row>
    <row r="4565" spans="1:8" x14ac:dyDescent="0.25">
      <c r="A4565" t="s">
        <v>22</v>
      </c>
      <c r="B4565" t="s">
        <v>609</v>
      </c>
    </row>
    <row r="4566" spans="1:8" x14ac:dyDescent="0.25">
      <c r="A4566" t="s">
        <v>1752</v>
      </c>
      <c r="B4566" t="s">
        <v>610</v>
      </c>
      <c r="C4566" t="s">
        <v>426</v>
      </c>
      <c r="D4566">
        <v>80</v>
      </c>
      <c r="E4566">
        <v>2700</v>
      </c>
      <c r="F4566">
        <v>0</v>
      </c>
      <c r="G4566">
        <v>60</v>
      </c>
      <c r="H4566" t="s">
        <v>19</v>
      </c>
    </row>
    <row r="4567" spans="1:8" x14ac:dyDescent="0.25">
      <c r="A4567" t="str">
        <f>"&lt;nominal&gt;" &amp;$D$4566&amp;"&lt;/nominal&gt;"</f>
        <v>&lt;nominal&gt;80&lt;/nominal&gt;</v>
      </c>
      <c r="B4567" t="s">
        <v>610</v>
      </c>
    </row>
    <row r="4568" spans="1:8" x14ac:dyDescent="0.25">
      <c r="A4568" t="str">
        <f>"&lt;lifetime&gt;" &amp;$E$4566&amp;"&lt;/lifetime&gt;"</f>
        <v>&lt;lifetime&gt;2700&lt;/lifetime&gt;</v>
      </c>
      <c r="B4568" t="s">
        <v>610</v>
      </c>
    </row>
    <row r="4569" spans="1:8" x14ac:dyDescent="0.25">
      <c r="A4569" t="str">
        <f>"&lt;restock&gt;" &amp;$F$4566&amp;"&lt;/restock&gt;"</f>
        <v>&lt;restock&gt;0&lt;/restock&gt;</v>
      </c>
      <c r="B4569" t="s">
        <v>610</v>
      </c>
    </row>
    <row r="4570" spans="1:8" x14ac:dyDescent="0.25">
      <c r="A4570" t="str">
        <f>"&lt;min&gt;" &amp;$G$4566&amp;"&lt;/min&gt;"</f>
        <v>&lt;min&gt;60&lt;/min&gt;</v>
      </c>
      <c r="B4570" t="s">
        <v>610</v>
      </c>
    </row>
    <row r="4571" spans="1:8" x14ac:dyDescent="0.25">
      <c r="A4571" t="s">
        <v>16</v>
      </c>
      <c r="B4571" t="s">
        <v>610</v>
      </c>
    </row>
    <row r="4572" spans="1:8" x14ac:dyDescent="0.25">
      <c r="A4572" t="s">
        <v>17</v>
      </c>
      <c r="B4572" t="s">
        <v>610</v>
      </c>
    </row>
    <row r="4573" spans="1:8" x14ac:dyDescent="0.25">
      <c r="A4573" t="s">
        <v>18</v>
      </c>
      <c r="B4573" t="s">
        <v>610</v>
      </c>
    </row>
    <row r="4574" spans="1:8" x14ac:dyDescent="0.25">
      <c r="A4574" t="str">
        <f xml:space="preserve"> $H$4566</f>
        <v>&lt;flags count_in_cargo="0" count_in_hoarder="0" count_in_map="1" count_in_player="0" crafted="0" deloot="0"/&gt;</v>
      </c>
      <c r="B4574" t="s">
        <v>610</v>
      </c>
    </row>
    <row r="4575" spans="1:8" x14ac:dyDescent="0.25">
      <c r="A4575" t="str">
        <f>"&lt;category name=" &amp;"""" &amp;$C$4566&amp;"""/&gt;"</f>
        <v>&lt;category name="tools"/&gt;</v>
      </c>
      <c r="B4575" t="s">
        <v>610</v>
      </c>
    </row>
    <row r="4576" spans="1:8" x14ac:dyDescent="0.25">
      <c r="A4576" t="s">
        <v>20</v>
      </c>
      <c r="B4576" t="s">
        <v>610</v>
      </c>
    </row>
    <row r="4577" spans="1:8" x14ac:dyDescent="0.25">
      <c r="A4577" t="s">
        <v>39</v>
      </c>
      <c r="B4577" t="s">
        <v>610</v>
      </c>
    </row>
    <row r="4578" spans="1:8" x14ac:dyDescent="0.25">
      <c r="A4578" t="s">
        <v>40</v>
      </c>
      <c r="B4578" t="s">
        <v>610</v>
      </c>
    </row>
    <row r="4579" spans="1:8" x14ac:dyDescent="0.25">
      <c r="A4579" t="s">
        <v>22</v>
      </c>
      <c r="B4579" t="s">
        <v>610</v>
      </c>
    </row>
    <row r="4580" spans="1:8" x14ac:dyDescent="0.25">
      <c r="A4580" t="s">
        <v>1753</v>
      </c>
      <c r="B4580" t="s">
        <v>611</v>
      </c>
      <c r="C4580" t="s">
        <v>426</v>
      </c>
      <c r="D4580">
        <v>30</v>
      </c>
      <c r="E4580">
        <v>2700</v>
      </c>
      <c r="F4580">
        <v>0</v>
      </c>
      <c r="G4580">
        <v>20</v>
      </c>
      <c r="H4580" t="s">
        <v>19</v>
      </c>
    </row>
    <row r="4581" spans="1:8" x14ac:dyDescent="0.25">
      <c r="A4581" t="str">
        <f>"&lt;nominal&gt;" &amp;$D$4580&amp;"&lt;/nominal&gt;"</f>
        <v>&lt;nominal&gt;30&lt;/nominal&gt;</v>
      </c>
      <c r="B4581" t="s">
        <v>611</v>
      </c>
    </row>
    <row r="4582" spans="1:8" x14ac:dyDescent="0.25">
      <c r="A4582" t="str">
        <f>"&lt;lifetime&gt;" &amp;$E$4580&amp;"&lt;/lifetime&gt;"</f>
        <v>&lt;lifetime&gt;2700&lt;/lifetime&gt;</v>
      </c>
      <c r="B4582" t="s">
        <v>611</v>
      </c>
    </row>
    <row r="4583" spans="1:8" x14ac:dyDescent="0.25">
      <c r="A4583" t="str">
        <f>"&lt;restock&gt;" &amp;$F$4580&amp;"&lt;/restock&gt;"</f>
        <v>&lt;restock&gt;0&lt;/restock&gt;</v>
      </c>
      <c r="B4583" t="s">
        <v>611</v>
      </c>
    </row>
    <row r="4584" spans="1:8" x14ac:dyDescent="0.25">
      <c r="A4584" t="str">
        <f>"&lt;min&gt;" &amp;$G$4580&amp;"&lt;/min&gt;"</f>
        <v>&lt;min&gt;20&lt;/min&gt;</v>
      </c>
      <c r="B4584" t="s">
        <v>611</v>
      </c>
    </row>
    <row r="4585" spans="1:8" x14ac:dyDescent="0.25">
      <c r="A4585" t="s">
        <v>16</v>
      </c>
      <c r="B4585" t="s">
        <v>611</v>
      </c>
    </row>
    <row r="4586" spans="1:8" x14ac:dyDescent="0.25">
      <c r="A4586" t="s">
        <v>17</v>
      </c>
      <c r="B4586" t="s">
        <v>611</v>
      </c>
    </row>
    <row r="4587" spans="1:8" x14ac:dyDescent="0.25">
      <c r="A4587" t="s">
        <v>18</v>
      </c>
      <c r="B4587" t="s">
        <v>611</v>
      </c>
    </row>
    <row r="4588" spans="1:8" x14ac:dyDescent="0.25">
      <c r="A4588" t="str">
        <f xml:space="preserve"> $H$4580</f>
        <v>&lt;flags count_in_cargo="0" count_in_hoarder="0" count_in_map="1" count_in_player="0" crafted="0" deloot="0"/&gt;</v>
      </c>
      <c r="B4588" t="s">
        <v>611</v>
      </c>
    </row>
    <row r="4589" spans="1:8" x14ac:dyDescent="0.25">
      <c r="A4589" t="str">
        <f>"&lt;category name=" &amp;"""" &amp;$C$4580&amp;"""/&gt;"</f>
        <v>&lt;category name="tools"/&gt;</v>
      </c>
      <c r="B4589" t="s">
        <v>611</v>
      </c>
    </row>
    <row r="4590" spans="1:8" x14ac:dyDescent="0.25">
      <c r="A4590" t="s">
        <v>20</v>
      </c>
      <c r="B4590" t="s">
        <v>611</v>
      </c>
    </row>
    <row r="4591" spans="1:8" x14ac:dyDescent="0.25">
      <c r="A4591" t="s">
        <v>21</v>
      </c>
      <c r="B4591" t="s">
        <v>611</v>
      </c>
    </row>
    <row r="4592" spans="1:8" x14ac:dyDescent="0.25">
      <c r="A4592" t="s">
        <v>39</v>
      </c>
      <c r="B4592" t="s">
        <v>611</v>
      </c>
    </row>
    <row r="4593" spans="1:8" x14ac:dyDescent="0.25">
      <c r="A4593" t="s">
        <v>40</v>
      </c>
      <c r="B4593" t="s">
        <v>611</v>
      </c>
    </row>
    <row r="4594" spans="1:8" x14ac:dyDescent="0.25">
      <c r="A4594" t="s">
        <v>22</v>
      </c>
      <c r="B4594" t="s">
        <v>611</v>
      </c>
    </row>
    <row r="4595" spans="1:8" x14ac:dyDescent="0.25">
      <c r="A4595" t="s">
        <v>1754</v>
      </c>
      <c r="B4595" t="s">
        <v>612</v>
      </c>
      <c r="C4595" t="s">
        <v>403</v>
      </c>
      <c r="D4595">
        <v>10</v>
      </c>
      <c r="E4595">
        <v>2700</v>
      </c>
      <c r="F4595">
        <v>0</v>
      </c>
      <c r="G4595">
        <v>5</v>
      </c>
      <c r="H4595" t="s">
        <v>19</v>
      </c>
    </row>
    <row r="4596" spans="1:8" x14ac:dyDescent="0.25">
      <c r="A4596" t="str">
        <f>"&lt;nominal&gt;" &amp;$D$4595&amp;"&lt;/nominal&gt;"</f>
        <v>&lt;nominal&gt;10&lt;/nominal&gt;</v>
      </c>
      <c r="B4596" t="s">
        <v>612</v>
      </c>
    </row>
    <row r="4597" spans="1:8" x14ac:dyDescent="0.25">
      <c r="A4597" t="str">
        <f>"&lt;lifetime&gt;" &amp;$E$4595&amp;"&lt;/lifetime&gt;"</f>
        <v>&lt;lifetime&gt;2700&lt;/lifetime&gt;</v>
      </c>
      <c r="B4597" t="s">
        <v>612</v>
      </c>
    </row>
    <row r="4598" spans="1:8" x14ac:dyDescent="0.25">
      <c r="A4598" t="str">
        <f>"&lt;restock&gt;" &amp;$F$4595&amp;"&lt;/restock&gt;"</f>
        <v>&lt;restock&gt;0&lt;/restock&gt;</v>
      </c>
      <c r="B4598" t="s">
        <v>612</v>
      </c>
    </row>
    <row r="4599" spans="1:8" x14ac:dyDescent="0.25">
      <c r="A4599" t="str">
        <f>"&lt;min&gt;" &amp;$G$4595&amp;"&lt;/min&gt;"</f>
        <v>&lt;min&gt;5&lt;/min&gt;</v>
      </c>
      <c r="B4599" t="s">
        <v>612</v>
      </c>
    </row>
    <row r="4600" spans="1:8" x14ac:dyDescent="0.25">
      <c r="A4600" t="s">
        <v>16</v>
      </c>
      <c r="B4600" t="s">
        <v>612</v>
      </c>
    </row>
    <row r="4601" spans="1:8" x14ac:dyDescent="0.25">
      <c r="A4601" t="s">
        <v>17</v>
      </c>
      <c r="B4601" t="s">
        <v>612</v>
      </c>
    </row>
    <row r="4602" spans="1:8" x14ac:dyDescent="0.25">
      <c r="A4602" t="s">
        <v>18</v>
      </c>
      <c r="B4602" t="s">
        <v>612</v>
      </c>
    </row>
    <row r="4603" spans="1:8" x14ac:dyDescent="0.25">
      <c r="A4603" t="str">
        <f xml:space="preserve"> $H$4595</f>
        <v>&lt;flags count_in_cargo="0" count_in_hoarder="0" count_in_map="1" count_in_player="0" crafted="0" deloot="0"/&gt;</v>
      </c>
      <c r="B4603" t="s">
        <v>612</v>
      </c>
    </row>
    <row r="4604" spans="1:8" x14ac:dyDescent="0.25">
      <c r="A4604" t="str">
        <f>"&lt;category name=" &amp;"""" &amp;$C$4595&amp;"""/&gt;"</f>
        <v>&lt;category name="clothes"/&gt;</v>
      </c>
      <c r="B4604" t="s">
        <v>612</v>
      </c>
    </row>
    <row r="4605" spans="1:8" x14ac:dyDescent="0.25">
      <c r="A4605" t="s">
        <v>25</v>
      </c>
      <c r="B4605" t="s">
        <v>612</v>
      </c>
    </row>
    <row r="4606" spans="1:8" x14ac:dyDescent="0.25">
      <c r="A4606" t="s">
        <v>39</v>
      </c>
      <c r="B4606" t="s">
        <v>612</v>
      </c>
    </row>
    <row r="4607" spans="1:8" x14ac:dyDescent="0.25">
      <c r="A4607" t="s">
        <v>22</v>
      </c>
      <c r="B4607" t="s">
        <v>612</v>
      </c>
    </row>
    <row r="4608" spans="1:8" x14ac:dyDescent="0.25">
      <c r="A4608" t="s">
        <v>1755</v>
      </c>
      <c r="B4608" t="s">
        <v>613</v>
      </c>
      <c r="C4608" t="s">
        <v>403</v>
      </c>
      <c r="D4608">
        <v>10</v>
      </c>
      <c r="E4608">
        <v>2700</v>
      </c>
      <c r="F4608">
        <v>0</v>
      </c>
      <c r="G4608">
        <v>5</v>
      </c>
      <c r="H4608" t="s">
        <v>19</v>
      </c>
    </row>
    <row r="4609" spans="1:8" x14ac:dyDescent="0.25">
      <c r="A4609" t="str">
        <f>"&lt;nominal&gt;" &amp;$D$4608&amp;"&lt;/nominal&gt;"</f>
        <v>&lt;nominal&gt;10&lt;/nominal&gt;</v>
      </c>
      <c r="B4609" t="s">
        <v>613</v>
      </c>
    </row>
    <row r="4610" spans="1:8" x14ac:dyDescent="0.25">
      <c r="A4610" t="str">
        <f>"&lt;lifetime&gt;" &amp;$E$4608&amp;"&lt;/lifetime&gt;"</f>
        <v>&lt;lifetime&gt;2700&lt;/lifetime&gt;</v>
      </c>
      <c r="B4610" t="s">
        <v>613</v>
      </c>
    </row>
    <row r="4611" spans="1:8" x14ac:dyDescent="0.25">
      <c r="A4611" t="str">
        <f>"&lt;restock&gt;" &amp;$F$4608&amp;"&lt;/restock&gt;"</f>
        <v>&lt;restock&gt;0&lt;/restock&gt;</v>
      </c>
      <c r="B4611" t="s">
        <v>613</v>
      </c>
    </row>
    <row r="4612" spans="1:8" x14ac:dyDescent="0.25">
      <c r="A4612" t="str">
        <f>"&lt;min&gt;" &amp;$G$4608&amp;"&lt;/min&gt;"</f>
        <v>&lt;min&gt;5&lt;/min&gt;</v>
      </c>
      <c r="B4612" t="s">
        <v>613</v>
      </c>
    </row>
    <row r="4613" spans="1:8" x14ac:dyDescent="0.25">
      <c r="A4613" t="s">
        <v>16</v>
      </c>
      <c r="B4613" t="s">
        <v>613</v>
      </c>
    </row>
    <row r="4614" spans="1:8" x14ac:dyDescent="0.25">
      <c r="A4614" t="s">
        <v>17</v>
      </c>
      <c r="B4614" t="s">
        <v>613</v>
      </c>
    </row>
    <row r="4615" spans="1:8" x14ac:dyDescent="0.25">
      <c r="A4615" t="s">
        <v>18</v>
      </c>
      <c r="B4615" t="s">
        <v>613</v>
      </c>
    </row>
    <row r="4616" spans="1:8" x14ac:dyDescent="0.25">
      <c r="A4616" t="str">
        <f xml:space="preserve"> $H$4608</f>
        <v>&lt;flags count_in_cargo="0" count_in_hoarder="0" count_in_map="1" count_in_player="0" crafted="0" deloot="0"/&gt;</v>
      </c>
      <c r="B4616" t="s">
        <v>613</v>
      </c>
    </row>
    <row r="4617" spans="1:8" x14ac:dyDescent="0.25">
      <c r="A4617" t="str">
        <f>"&lt;category name=" &amp;"""" &amp;$C$4608&amp;"""/&gt;"</f>
        <v>&lt;category name="clothes"/&gt;</v>
      </c>
      <c r="B4617" t="s">
        <v>613</v>
      </c>
    </row>
    <row r="4618" spans="1:8" x14ac:dyDescent="0.25">
      <c r="A4618" t="s">
        <v>25</v>
      </c>
      <c r="B4618" t="s">
        <v>613</v>
      </c>
    </row>
    <row r="4619" spans="1:8" x14ac:dyDescent="0.25">
      <c r="A4619" t="s">
        <v>39</v>
      </c>
      <c r="B4619" t="s">
        <v>613</v>
      </c>
    </row>
    <row r="4620" spans="1:8" x14ac:dyDescent="0.25">
      <c r="A4620" t="s">
        <v>22</v>
      </c>
      <c r="B4620" t="s">
        <v>613</v>
      </c>
    </row>
    <row r="4621" spans="1:8" x14ac:dyDescent="0.25">
      <c r="A4621" t="s">
        <v>1756</v>
      </c>
      <c r="B4621" t="s">
        <v>614</v>
      </c>
      <c r="C4621" t="s">
        <v>403</v>
      </c>
      <c r="D4621">
        <v>10</v>
      </c>
      <c r="E4621">
        <v>2700</v>
      </c>
      <c r="F4621">
        <v>0</v>
      </c>
      <c r="G4621">
        <v>5</v>
      </c>
      <c r="H4621" t="s">
        <v>19</v>
      </c>
    </row>
    <row r="4622" spans="1:8" x14ac:dyDescent="0.25">
      <c r="A4622" t="str">
        <f>"&lt;nominal&gt;" &amp;$D$4621&amp;"&lt;/nominal&gt;"</f>
        <v>&lt;nominal&gt;10&lt;/nominal&gt;</v>
      </c>
      <c r="B4622" t="s">
        <v>614</v>
      </c>
    </row>
    <row r="4623" spans="1:8" x14ac:dyDescent="0.25">
      <c r="A4623" t="str">
        <f>"&lt;lifetime&gt;" &amp;$E$4621&amp;"&lt;/lifetime&gt;"</f>
        <v>&lt;lifetime&gt;2700&lt;/lifetime&gt;</v>
      </c>
      <c r="B4623" t="s">
        <v>614</v>
      </c>
    </row>
    <row r="4624" spans="1:8" x14ac:dyDescent="0.25">
      <c r="A4624" t="str">
        <f>"&lt;restock&gt;" &amp;$F$4621&amp;"&lt;/restock&gt;"</f>
        <v>&lt;restock&gt;0&lt;/restock&gt;</v>
      </c>
      <c r="B4624" t="s">
        <v>614</v>
      </c>
    </row>
    <row r="4625" spans="1:8" x14ac:dyDescent="0.25">
      <c r="A4625" t="str">
        <f>"&lt;min&gt;" &amp;$G$4621&amp;"&lt;/min&gt;"</f>
        <v>&lt;min&gt;5&lt;/min&gt;</v>
      </c>
      <c r="B4625" t="s">
        <v>614</v>
      </c>
    </row>
    <row r="4626" spans="1:8" x14ac:dyDescent="0.25">
      <c r="A4626" t="s">
        <v>16</v>
      </c>
      <c r="B4626" t="s">
        <v>614</v>
      </c>
    </row>
    <row r="4627" spans="1:8" x14ac:dyDescent="0.25">
      <c r="A4627" t="s">
        <v>17</v>
      </c>
      <c r="B4627" t="s">
        <v>614</v>
      </c>
    </row>
    <row r="4628" spans="1:8" x14ac:dyDescent="0.25">
      <c r="A4628" t="s">
        <v>18</v>
      </c>
      <c r="B4628" t="s">
        <v>614</v>
      </c>
    </row>
    <row r="4629" spans="1:8" x14ac:dyDescent="0.25">
      <c r="A4629" t="str">
        <f xml:space="preserve"> $H$4621</f>
        <v>&lt;flags count_in_cargo="0" count_in_hoarder="0" count_in_map="1" count_in_player="0" crafted="0" deloot="0"/&gt;</v>
      </c>
      <c r="B4629" t="s">
        <v>614</v>
      </c>
    </row>
    <row r="4630" spans="1:8" x14ac:dyDescent="0.25">
      <c r="A4630" t="str">
        <f>"&lt;category name=" &amp;"""" &amp;$C$4621&amp;"""/&gt;"</f>
        <v>&lt;category name="clothes"/&gt;</v>
      </c>
      <c r="B4630" t="s">
        <v>614</v>
      </c>
    </row>
    <row r="4631" spans="1:8" x14ac:dyDescent="0.25">
      <c r="A4631" t="s">
        <v>25</v>
      </c>
      <c r="B4631" t="s">
        <v>614</v>
      </c>
    </row>
    <row r="4632" spans="1:8" x14ac:dyDescent="0.25">
      <c r="A4632" t="s">
        <v>39</v>
      </c>
      <c r="B4632" t="s">
        <v>614</v>
      </c>
    </row>
    <row r="4633" spans="1:8" x14ac:dyDescent="0.25">
      <c r="A4633" t="s">
        <v>22</v>
      </c>
      <c r="B4633" t="s">
        <v>614</v>
      </c>
    </row>
    <row r="4634" spans="1:8" x14ac:dyDescent="0.25">
      <c r="A4634" t="s">
        <v>1757</v>
      </c>
      <c r="B4634" t="s">
        <v>615</v>
      </c>
      <c r="C4634" t="s">
        <v>403</v>
      </c>
      <c r="D4634">
        <v>10</v>
      </c>
      <c r="E4634">
        <v>2700</v>
      </c>
      <c r="F4634">
        <v>0</v>
      </c>
      <c r="G4634">
        <v>5</v>
      </c>
      <c r="H4634" t="s">
        <v>19</v>
      </c>
    </row>
    <row r="4635" spans="1:8" x14ac:dyDescent="0.25">
      <c r="A4635" t="str">
        <f>"&lt;nominal&gt;" &amp;$D$4634&amp;"&lt;/nominal&gt;"</f>
        <v>&lt;nominal&gt;10&lt;/nominal&gt;</v>
      </c>
      <c r="B4635" t="s">
        <v>615</v>
      </c>
    </row>
    <row r="4636" spans="1:8" x14ac:dyDescent="0.25">
      <c r="A4636" t="str">
        <f>"&lt;lifetime&gt;" &amp;$E$4634&amp;"&lt;/lifetime&gt;"</f>
        <v>&lt;lifetime&gt;2700&lt;/lifetime&gt;</v>
      </c>
      <c r="B4636" t="s">
        <v>615</v>
      </c>
    </row>
    <row r="4637" spans="1:8" x14ac:dyDescent="0.25">
      <c r="A4637" t="str">
        <f>"&lt;restock&gt;" &amp;$F$4634&amp;"&lt;/restock&gt;"</f>
        <v>&lt;restock&gt;0&lt;/restock&gt;</v>
      </c>
      <c r="B4637" t="s">
        <v>615</v>
      </c>
    </row>
    <row r="4638" spans="1:8" x14ac:dyDescent="0.25">
      <c r="A4638" t="str">
        <f>"&lt;min&gt;" &amp;$G$4634&amp;"&lt;/min&gt;"</f>
        <v>&lt;min&gt;5&lt;/min&gt;</v>
      </c>
      <c r="B4638" t="s">
        <v>615</v>
      </c>
    </row>
    <row r="4639" spans="1:8" x14ac:dyDescent="0.25">
      <c r="A4639" t="s">
        <v>16</v>
      </c>
      <c r="B4639" t="s">
        <v>615</v>
      </c>
    </row>
    <row r="4640" spans="1:8" x14ac:dyDescent="0.25">
      <c r="A4640" t="s">
        <v>17</v>
      </c>
      <c r="B4640" t="s">
        <v>615</v>
      </c>
    </row>
    <row r="4641" spans="1:8" x14ac:dyDescent="0.25">
      <c r="A4641" t="s">
        <v>18</v>
      </c>
      <c r="B4641" t="s">
        <v>615</v>
      </c>
    </row>
    <row r="4642" spans="1:8" x14ac:dyDescent="0.25">
      <c r="A4642" t="str">
        <f xml:space="preserve"> $H$4634</f>
        <v>&lt;flags count_in_cargo="0" count_in_hoarder="0" count_in_map="1" count_in_player="0" crafted="0" deloot="0"/&gt;</v>
      </c>
      <c r="B4642" t="s">
        <v>615</v>
      </c>
    </row>
    <row r="4643" spans="1:8" x14ac:dyDescent="0.25">
      <c r="A4643" t="str">
        <f>"&lt;category name=" &amp;"""" &amp;$C$4634&amp;"""/&gt;"</f>
        <v>&lt;category name="clothes"/&gt;</v>
      </c>
      <c r="B4643" t="s">
        <v>615</v>
      </c>
    </row>
    <row r="4644" spans="1:8" x14ac:dyDescent="0.25">
      <c r="A4644" t="s">
        <v>25</v>
      </c>
      <c r="B4644" t="s">
        <v>615</v>
      </c>
    </row>
    <row r="4645" spans="1:8" x14ac:dyDescent="0.25">
      <c r="A4645" t="s">
        <v>39</v>
      </c>
      <c r="B4645" t="s">
        <v>615</v>
      </c>
    </row>
    <row r="4646" spans="1:8" x14ac:dyDescent="0.25">
      <c r="A4646" t="s">
        <v>22</v>
      </c>
      <c r="B4646" t="s">
        <v>615</v>
      </c>
    </row>
    <row r="4647" spans="1:8" x14ac:dyDescent="0.25">
      <c r="A4647" t="s">
        <v>1758</v>
      </c>
      <c r="B4647" t="s">
        <v>616</v>
      </c>
      <c r="C4647" t="s">
        <v>403</v>
      </c>
      <c r="D4647">
        <v>10</v>
      </c>
      <c r="E4647">
        <v>2700</v>
      </c>
      <c r="F4647">
        <v>0</v>
      </c>
      <c r="G4647">
        <v>5</v>
      </c>
      <c r="H4647" t="s">
        <v>19</v>
      </c>
    </row>
    <row r="4648" spans="1:8" x14ac:dyDescent="0.25">
      <c r="A4648" t="str">
        <f>"&lt;nominal&gt;" &amp;$D$4647&amp;"&lt;/nominal&gt;"</f>
        <v>&lt;nominal&gt;10&lt;/nominal&gt;</v>
      </c>
      <c r="B4648" t="s">
        <v>616</v>
      </c>
    </row>
    <row r="4649" spans="1:8" x14ac:dyDescent="0.25">
      <c r="A4649" t="str">
        <f>"&lt;lifetime&gt;" &amp;$E$4647&amp;"&lt;/lifetime&gt;"</f>
        <v>&lt;lifetime&gt;2700&lt;/lifetime&gt;</v>
      </c>
      <c r="B4649" t="s">
        <v>616</v>
      </c>
    </row>
    <row r="4650" spans="1:8" x14ac:dyDescent="0.25">
      <c r="A4650" t="str">
        <f>"&lt;restock&gt;" &amp;$F$4647&amp;"&lt;/restock&gt;"</f>
        <v>&lt;restock&gt;0&lt;/restock&gt;</v>
      </c>
      <c r="B4650" t="s">
        <v>616</v>
      </c>
    </row>
    <row r="4651" spans="1:8" x14ac:dyDescent="0.25">
      <c r="A4651" t="str">
        <f>"&lt;min&gt;" &amp;$G$4647&amp;"&lt;/min&gt;"</f>
        <v>&lt;min&gt;5&lt;/min&gt;</v>
      </c>
      <c r="B4651" t="s">
        <v>616</v>
      </c>
    </row>
    <row r="4652" spans="1:8" x14ac:dyDescent="0.25">
      <c r="A4652" t="s">
        <v>16</v>
      </c>
      <c r="B4652" t="s">
        <v>616</v>
      </c>
    </row>
    <row r="4653" spans="1:8" x14ac:dyDescent="0.25">
      <c r="A4653" t="s">
        <v>17</v>
      </c>
      <c r="B4653" t="s">
        <v>616</v>
      </c>
    </row>
    <row r="4654" spans="1:8" x14ac:dyDescent="0.25">
      <c r="A4654" t="s">
        <v>18</v>
      </c>
      <c r="B4654" t="s">
        <v>616</v>
      </c>
    </row>
    <row r="4655" spans="1:8" x14ac:dyDescent="0.25">
      <c r="A4655" t="str">
        <f xml:space="preserve"> $H$4647</f>
        <v>&lt;flags count_in_cargo="0" count_in_hoarder="0" count_in_map="1" count_in_player="0" crafted="0" deloot="0"/&gt;</v>
      </c>
      <c r="B4655" t="s">
        <v>616</v>
      </c>
    </row>
    <row r="4656" spans="1:8" x14ac:dyDescent="0.25">
      <c r="A4656" t="str">
        <f>"&lt;category name=" &amp;"""" &amp;$C$4647&amp;"""/&gt;"</f>
        <v>&lt;category name="clothes"/&gt;</v>
      </c>
      <c r="B4656" t="s">
        <v>616</v>
      </c>
    </row>
    <row r="4657" spans="1:8" x14ac:dyDescent="0.25">
      <c r="A4657" t="s">
        <v>25</v>
      </c>
      <c r="B4657" t="s">
        <v>616</v>
      </c>
    </row>
    <row r="4658" spans="1:8" x14ac:dyDescent="0.25">
      <c r="A4658" t="s">
        <v>39</v>
      </c>
      <c r="B4658" t="s">
        <v>616</v>
      </c>
    </row>
    <row r="4659" spans="1:8" x14ac:dyDescent="0.25">
      <c r="A4659" t="s">
        <v>22</v>
      </c>
      <c r="B4659" t="s">
        <v>616</v>
      </c>
    </row>
    <row r="4660" spans="1:8" x14ac:dyDescent="0.25">
      <c r="A4660" t="s">
        <v>1759</v>
      </c>
      <c r="B4660" t="s">
        <v>617</v>
      </c>
      <c r="C4660" t="s">
        <v>363</v>
      </c>
      <c r="D4660">
        <v>10</v>
      </c>
      <c r="E4660">
        <v>21600</v>
      </c>
      <c r="F4660">
        <v>0</v>
      </c>
      <c r="G4660">
        <v>5</v>
      </c>
      <c r="H4660" t="s">
        <v>19</v>
      </c>
    </row>
    <row r="4661" spans="1:8" x14ac:dyDescent="0.25">
      <c r="A4661" t="str">
        <f>"&lt;nominal&gt;" &amp;$D$4660&amp;"&lt;/nominal&gt;"</f>
        <v>&lt;nominal&gt;10&lt;/nominal&gt;</v>
      </c>
      <c r="B4661" t="s">
        <v>617</v>
      </c>
    </row>
    <row r="4662" spans="1:8" x14ac:dyDescent="0.25">
      <c r="A4662" t="str">
        <f>"&lt;lifetime&gt;" &amp;$E$4660&amp;"&lt;/lifetime&gt;"</f>
        <v>&lt;lifetime&gt;21600&lt;/lifetime&gt;</v>
      </c>
      <c r="B4662" t="s">
        <v>617</v>
      </c>
    </row>
    <row r="4663" spans="1:8" x14ac:dyDescent="0.25">
      <c r="A4663" t="str">
        <f>"&lt;restock&gt;" &amp;$F$4660&amp;"&lt;/restock&gt;"</f>
        <v>&lt;restock&gt;0&lt;/restock&gt;</v>
      </c>
      <c r="B4663" t="s">
        <v>617</v>
      </c>
    </row>
    <row r="4664" spans="1:8" x14ac:dyDescent="0.25">
      <c r="A4664" t="str">
        <f>"&lt;min&gt;" &amp;$G$4660&amp;"&lt;/min&gt;"</f>
        <v>&lt;min&gt;5&lt;/min&gt;</v>
      </c>
      <c r="B4664" t="s">
        <v>617</v>
      </c>
    </row>
    <row r="4665" spans="1:8" x14ac:dyDescent="0.25">
      <c r="A4665" t="s">
        <v>16</v>
      </c>
      <c r="B4665" t="s">
        <v>617</v>
      </c>
    </row>
    <row r="4666" spans="1:8" x14ac:dyDescent="0.25">
      <c r="A4666" t="s">
        <v>17</v>
      </c>
      <c r="B4666" t="s">
        <v>617</v>
      </c>
    </row>
    <row r="4667" spans="1:8" x14ac:dyDescent="0.25">
      <c r="A4667" t="s">
        <v>18</v>
      </c>
      <c r="B4667" t="s">
        <v>617</v>
      </c>
    </row>
    <row r="4668" spans="1:8" x14ac:dyDescent="0.25">
      <c r="A4668" t="str">
        <f xml:space="preserve"> $H$4660</f>
        <v>&lt;flags count_in_cargo="0" count_in_hoarder="0" count_in_map="1" count_in_player="0" crafted="0" deloot="0"/&gt;</v>
      </c>
      <c r="B4668" t="s">
        <v>617</v>
      </c>
    </row>
    <row r="4669" spans="1:8" x14ac:dyDescent="0.25">
      <c r="A4669" t="str">
        <f>"&lt;category name=" &amp;"""" &amp;$C$4660&amp;"""/&gt;"</f>
        <v>&lt;category name="containers"/&gt;</v>
      </c>
      <c r="B4669" t="s">
        <v>617</v>
      </c>
    </row>
    <row r="4670" spans="1:8" x14ac:dyDescent="0.25">
      <c r="A4670" t="s">
        <v>1616</v>
      </c>
      <c r="B4670" t="s">
        <v>617</v>
      </c>
    </row>
    <row r="4671" spans="1:8" x14ac:dyDescent="0.25">
      <c r="A4671" t="s">
        <v>67</v>
      </c>
      <c r="B4671" t="s">
        <v>617</v>
      </c>
    </row>
    <row r="4672" spans="1:8" x14ac:dyDescent="0.25">
      <c r="A4672" t="s">
        <v>22</v>
      </c>
      <c r="B4672" t="s">
        <v>617</v>
      </c>
    </row>
    <row r="4673" spans="1:8" x14ac:dyDescent="0.25">
      <c r="A4673" t="s">
        <v>1760</v>
      </c>
      <c r="B4673" t="s">
        <v>618</v>
      </c>
      <c r="C4673" t="s">
        <v>363</v>
      </c>
      <c r="D4673">
        <v>15</v>
      </c>
      <c r="E4673">
        <v>21600</v>
      </c>
      <c r="F4673">
        <v>0</v>
      </c>
      <c r="G4673">
        <v>5</v>
      </c>
      <c r="H4673" t="s">
        <v>19</v>
      </c>
    </row>
    <row r="4674" spans="1:8" x14ac:dyDescent="0.25">
      <c r="A4674" t="str">
        <f>"&lt;nominal&gt;" &amp;$D$4673&amp;"&lt;/nominal&gt;"</f>
        <v>&lt;nominal&gt;15&lt;/nominal&gt;</v>
      </c>
      <c r="B4674" t="s">
        <v>618</v>
      </c>
    </row>
    <row r="4675" spans="1:8" x14ac:dyDescent="0.25">
      <c r="A4675" t="str">
        <f>"&lt;lifetime&gt;" &amp;$E$4673&amp;"&lt;/lifetime&gt;"</f>
        <v>&lt;lifetime&gt;21600&lt;/lifetime&gt;</v>
      </c>
      <c r="B4675" t="s">
        <v>618</v>
      </c>
    </row>
    <row r="4676" spans="1:8" x14ac:dyDescent="0.25">
      <c r="A4676" t="str">
        <f>"&lt;restock&gt;" &amp;$F$4673&amp;"&lt;/restock&gt;"</f>
        <v>&lt;restock&gt;0&lt;/restock&gt;</v>
      </c>
      <c r="B4676" t="s">
        <v>618</v>
      </c>
    </row>
    <row r="4677" spans="1:8" x14ac:dyDescent="0.25">
      <c r="A4677" t="str">
        <f>"&lt;min&gt;" &amp;$G$4673&amp;"&lt;/min&gt;"</f>
        <v>&lt;min&gt;5&lt;/min&gt;</v>
      </c>
      <c r="B4677" t="s">
        <v>618</v>
      </c>
    </row>
    <row r="4678" spans="1:8" x14ac:dyDescent="0.25">
      <c r="A4678" t="s">
        <v>16</v>
      </c>
      <c r="B4678" t="s">
        <v>618</v>
      </c>
    </row>
    <row r="4679" spans="1:8" x14ac:dyDescent="0.25">
      <c r="A4679" t="s">
        <v>17</v>
      </c>
      <c r="B4679" t="s">
        <v>618</v>
      </c>
    </row>
    <row r="4680" spans="1:8" x14ac:dyDescent="0.25">
      <c r="A4680" t="s">
        <v>18</v>
      </c>
      <c r="B4680" t="s">
        <v>618</v>
      </c>
    </row>
    <row r="4681" spans="1:8" x14ac:dyDescent="0.25">
      <c r="A4681" t="str">
        <f xml:space="preserve"> $H$4673</f>
        <v>&lt;flags count_in_cargo="0" count_in_hoarder="0" count_in_map="1" count_in_player="0" crafted="0" deloot="0"/&gt;</v>
      </c>
      <c r="B4681" t="s">
        <v>618</v>
      </c>
    </row>
    <row r="4682" spans="1:8" x14ac:dyDescent="0.25">
      <c r="A4682" t="str">
        <f>"&lt;category name=" &amp;"""" &amp;$C$4673&amp;"""/&gt;"</f>
        <v>&lt;category name="containers"/&gt;</v>
      </c>
      <c r="B4682" t="s">
        <v>618</v>
      </c>
    </row>
    <row r="4683" spans="1:8" x14ac:dyDescent="0.25">
      <c r="A4683" t="s">
        <v>1616</v>
      </c>
      <c r="B4683" t="s">
        <v>618</v>
      </c>
    </row>
    <row r="4684" spans="1:8" x14ac:dyDescent="0.25">
      <c r="A4684" t="s">
        <v>67</v>
      </c>
      <c r="B4684" t="s">
        <v>618</v>
      </c>
    </row>
    <row r="4685" spans="1:8" x14ac:dyDescent="0.25">
      <c r="A4685" t="s">
        <v>22</v>
      </c>
      <c r="B4685" t="s">
        <v>618</v>
      </c>
    </row>
    <row r="4686" spans="1:8" x14ac:dyDescent="0.25">
      <c r="A4686" t="s">
        <v>1761</v>
      </c>
      <c r="B4686" t="s">
        <v>619</v>
      </c>
      <c r="C4686" t="s">
        <v>363</v>
      </c>
      <c r="D4686">
        <v>5</v>
      </c>
      <c r="E4686">
        <v>21600</v>
      </c>
      <c r="F4686">
        <v>0</v>
      </c>
      <c r="G4686">
        <v>2</v>
      </c>
      <c r="H4686" t="s">
        <v>19</v>
      </c>
    </row>
    <row r="4687" spans="1:8" x14ac:dyDescent="0.25">
      <c r="A4687" t="str">
        <f>"&lt;nominal&gt;" &amp;$D$4686&amp;"&lt;/nominal&gt;"</f>
        <v>&lt;nominal&gt;5&lt;/nominal&gt;</v>
      </c>
      <c r="B4687" t="s">
        <v>619</v>
      </c>
    </row>
    <row r="4688" spans="1:8" x14ac:dyDescent="0.25">
      <c r="A4688" t="str">
        <f>"&lt;lifetime&gt;" &amp;$E$4686&amp;"&lt;/lifetime&gt;"</f>
        <v>&lt;lifetime&gt;21600&lt;/lifetime&gt;</v>
      </c>
      <c r="B4688" t="s">
        <v>619</v>
      </c>
    </row>
    <row r="4689" spans="1:8" x14ac:dyDescent="0.25">
      <c r="A4689" t="str">
        <f>"&lt;restock&gt;" &amp;$F$4686&amp;"&lt;/restock&gt;"</f>
        <v>&lt;restock&gt;0&lt;/restock&gt;</v>
      </c>
      <c r="B4689" t="s">
        <v>619</v>
      </c>
    </row>
    <row r="4690" spans="1:8" x14ac:dyDescent="0.25">
      <c r="A4690" t="str">
        <f>"&lt;min&gt;" &amp;$G$4686&amp;"&lt;/min&gt;"</f>
        <v>&lt;min&gt;2&lt;/min&gt;</v>
      </c>
      <c r="B4690" t="s">
        <v>619</v>
      </c>
    </row>
    <row r="4691" spans="1:8" x14ac:dyDescent="0.25">
      <c r="A4691" t="s">
        <v>16</v>
      </c>
      <c r="B4691" t="s">
        <v>619</v>
      </c>
    </row>
    <row r="4692" spans="1:8" x14ac:dyDescent="0.25">
      <c r="A4692" t="s">
        <v>17</v>
      </c>
      <c r="B4692" t="s">
        <v>619</v>
      </c>
    </row>
    <row r="4693" spans="1:8" x14ac:dyDescent="0.25">
      <c r="A4693" t="s">
        <v>18</v>
      </c>
      <c r="B4693" t="s">
        <v>619</v>
      </c>
    </row>
    <row r="4694" spans="1:8" x14ac:dyDescent="0.25">
      <c r="A4694" t="str">
        <f xml:space="preserve"> $H$4686</f>
        <v>&lt;flags count_in_cargo="0" count_in_hoarder="0" count_in_map="1" count_in_player="0" crafted="0" deloot="0"/&gt;</v>
      </c>
      <c r="B4694" t="s">
        <v>619</v>
      </c>
    </row>
    <row r="4695" spans="1:8" x14ac:dyDescent="0.25">
      <c r="A4695" t="str">
        <f>"&lt;category name=" &amp;"""" &amp;$C$4686&amp;"""/&gt;"</f>
        <v>&lt;category name="containers"/&gt;</v>
      </c>
      <c r="B4695" t="s">
        <v>619</v>
      </c>
    </row>
    <row r="4696" spans="1:8" x14ac:dyDescent="0.25">
      <c r="A4696" t="s">
        <v>1616</v>
      </c>
      <c r="B4696" t="s">
        <v>619</v>
      </c>
    </row>
    <row r="4697" spans="1:8" x14ac:dyDescent="0.25">
      <c r="A4697" t="s">
        <v>67</v>
      </c>
      <c r="B4697" t="s">
        <v>619</v>
      </c>
    </row>
    <row r="4698" spans="1:8" x14ac:dyDescent="0.25">
      <c r="A4698" t="s">
        <v>22</v>
      </c>
      <c r="B4698" t="s">
        <v>619</v>
      </c>
    </row>
    <row r="4699" spans="1:8" x14ac:dyDescent="0.25">
      <c r="A4699" t="s">
        <v>1762</v>
      </c>
      <c r="B4699" t="s">
        <v>620</v>
      </c>
      <c r="C4699" t="s">
        <v>363</v>
      </c>
      <c r="D4699">
        <v>15</v>
      </c>
      <c r="E4699">
        <v>21600</v>
      </c>
      <c r="F4699">
        <v>0</v>
      </c>
      <c r="G4699">
        <v>5</v>
      </c>
      <c r="H4699" t="s">
        <v>19</v>
      </c>
    </row>
    <row r="4700" spans="1:8" x14ac:dyDescent="0.25">
      <c r="A4700" t="str">
        <f>"&lt;nominal&gt;" &amp;$D$4699&amp;"&lt;/nominal&gt;"</f>
        <v>&lt;nominal&gt;15&lt;/nominal&gt;</v>
      </c>
      <c r="B4700" t="s">
        <v>620</v>
      </c>
    </row>
    <row r="4701" spans="1:8" x14ac:dyDescent="0.25">
      <c r="A4701" t="str">
        <f>"&lt;lifetime&gt;" &amp;$E$4699&amp;"&lt;/lifetime&gt;"</f>
        <v>&lt;lifetime&gt;21600&lt;/lifetime&gt;</v>
      </c>
      <c r="B4701" t="s">
        <v>620</v>
      </c>
    </row>
    <row r="4702" spans="1:8" x14ac:dyDescent="0.25">
      <c r="A4702" t="str">
        <f>"&lt;restock&gt;" &amp;$F$4699&amp;"&lt;/restock&gt;"</f>
        <v>&lt;restock&gt;0&lt;/restock&gt;</v>
      </c>
      <c r="B4702" t="s">
        <v>620</v>
      </c>
    </row>
    <row r="4703" spans="1:8" x14ac:dyDescent="0.25">
      <c r="A4703" t="str">
        <f>"&lt;min&gt;" &amp;$G$4699&amp;"&lt;/min&gt;"</f>
        <v>&lt;min&gt;5&lt;/min&gt;</v>
      </c>
      <c r="B4703" t="s">
        <v>620</v>
      </c>
    </row>
    <row r="4704" spans="1:8" x14ac:dyDescent="0.25">
      <c r="A4704" t="s">
        <v>16</v>
      </c>
      <c r="B4704" t="s">
        <v>620</v>
      </c>
    </row>
    <row r="4705" spans="1:8" x14ac:dyDescent="0.25">
      <c r="A4705" t="s">
        <v>17</v>
      </c>
      <c r="B4705" t="s">
        <v>620</v>
      </c>
    </row>
    <row r="4706" spans="1:8" x14ac:dyDescent="0.25">
      <c r="A4706" t="s">
        <v>18</v>
      </c>
      <c r="B4706" t="s">
        <v>620</v>
      </c>
    </row>
    <row r="4707" spans="1:8" x14ac:dyDescent="0.25">
      <c r="A4707" t="str">
        <f xml:space="preserve"> $H$4699</f>
        <v>&lt;flags count_in_cargo="0" count_in_hoarder="0" count_in_map="1" count_in_player="0" crafted="0" deloot="0"/&gt;</v>
      </c>
      <c r="B4707" t="s">
        <v>620</v>
      </c>
    </row>
    <row r="4708" spans="1:8" x14ac:dyDescent="0.25">
      <c r="A4708" t="str">
        <f>"&lt;category name=" &amp;"""" &amp;$C$4699&amp;"""/&gt;"</f>
        <v>&lt;category name="containers"/&gt;</v>
      </c>
      <c r="B4708" t="s">
        <v>620</v>
      </c>
    </row>
    <row r="4709" spans="1:8" x14ac:dyDescent="0.25">
      <c r="A4709" t="s">
        <v>1616</v>
      </c>
      <c r="B4709" t="s">
        <v>620</v>
      </c>
    </row>
    <row r="4710" spans="1:8" x14ac:dyDescent="0.25">
      <c r="A4710" t="s">
        <v>67</v>
      </c>
      <c r="B4710" t="s">
        <v>620</v>
      </c>
    </row>
    <row r="4711" spans="1:8" x14ac:dyDescent="0.25">
      <c r="A4711" t="s">
        <v>22</v>
      </c>
      <c r="B4711" t="s">
        <v>620</v>
      </c>
    </row>
    <row r="4712" spans="1:8" x14ac:dyDescent="0.25">
      <c r="A4712" t="s">
        <v>1763</v>
      </c>
      <c r="B4712" t="s">
        <v>621</v>
      </c>
      <c r="C4712" t="s">
        <v>363</v>
      </c>
      <c r="D4712">
        <v>15</v>
      </c>
      <c r="E4712">
        <v>21600</v>
      </c>
      <c r="F4712">
        <v>0</v>
      </c>
      <c r="G4712">
        <v>5</v>
      </c>
      <c r="H4712" t="s">
        <v>19</v>
      </c>
    </row>
    <row r="4713" spans="1:8" x14ac:dyDescent="0.25">
      <c r="A4713" t="str">
        <f>"&lt;nominal&gt;" &amp;$D$4712&amp;"&lt;/nominal&gt;"</f>
        <v>&lt;nominal&gt;15&lt;/nominal&gt;</v>
      </c>
      <c r="B4713" t="s">
        <v>621</v>
      </c>
    </row>
    <row r="4714" spans="1:8" x14ac:dyDescent="0.25">
      <c r="A4714" t="str">
        <f>"&lt;lifetime&gt;" &amp;$E$4712&amp;"&lt;/lifetime&gt;"</f>
        <v>&lt;lifetime&gt;21600&lt;/lifetime&gt;</v>
      </c>
      <c r="B4714" t="s">
        <v>621</v>
      </c>
    </row>
    <row r="4715" spans="1:8" x14ac:dyDescent="0.25">
      <c r="A4715" t="str">
        <f>"&lt;restock&gt;" &amp;$F$4712&amp;"&lt;/restock&gt;"</f>
        <v>&lt;restock&gt;0&lt;/restock&gt;</v>
      </c>
      <c r="B4715" t="s">
        <v>621</v>
      </c>
    </row>
    <row r="4716" spans="1:8" x14ac:dyDescent="0.25">
      <c r="A4716" t="str">
        <f>"&lt;min&gt;" &amp;$G$4712&amp;"&lt;/min&gt;"</f>
        <v>&lt;min&gt;5&lt;/min&gt;</v>
      </c>
      <c r="B4716" t="s">
        <v>621</v>
      </c>
    </row>
    <row r="4717" spans="1:8" x14ac:dyDescent="0.25">
      <c r="A4717" t="s">
        <v>16</v>
      </c>
      <c r="B4717" t="s">
        <v>621</v>
      </c>
    </row>
    <row r="4718" spans="1:8" x14ac:dyDescent="0.25">
      <c r="A4718" t="s">
        <v>17</v>
      </c>
      <c r="B4718" t="s">
        <v>621</v>
      </c>
    </row>
    <row r="4719" spans="1:8" x14ac:dyDescent="0.25">
      <c r="A4719" t="s">
        <v>18</v>
      </c>
      <c r="B4719" t="s">
        <v>621</v>
      </c>
    </row>
    <row r="4720" spans="1:8" x14ac:dyDescent="0.25">
      <c r="A4720" t="str">
        <f xml:space="preserve"> $H$4712</f>
        <v>&lt;flags count_in_cargo="0" count_in_hoarder="0" count_in_map="1" count_in_player="0" crafted="0" deloot="0"/&gt;</v>
      </c>
      <c r="B4720" t="s">
        <v>621</v>
      </c>
    </row>
    <row r="4721" spans="1:8" x14ac:dyDescent="0.25">
      <c r="A4721" t="str">
        <f>"&lt;category name=" &amp;"""" &amp;$C$4712&amp;"""/&gt;"</f>
        <v>&lt;category name="containers"/&gt;</v>
      </c>
      <c r="B4721" t="s">
        <v>621</v>
      </c>
    </row>
    <row r="4722" spans="1:8" x14ac:dyDescent="0.25">
      <c r="A4722" t="s">
        <v>1616</v>
      </c>
      <c r="B4722" t="s">
        <v>621</v>
      </c>
    </row>
    <row r="4723" spans="1:8" x14ac:dyDescent="0.25">
      <c r="A4723" t="s">
        <v>67</v>
      </c>
      <c r="B4723" t="s">
        <v>621</v>
      </c>
    </row>
    <row r="4724" spans="1:8" x14ac:dyDescent="0.25">
      <c r="A4724" t="s">
        <v>22</v>
      </c>
      <c r="B4724" t="s">
        <v>621</v>
      </c>
    </row>
    <row r="4725" spans="1:8" x14ac:dyDescent="0.25">
      <c r="A4725" t="s">
        <v>1764</v>
      </c>
      <c r="B4725" t="s">
        <v>622</v>
      </c>
      <c r="C4725" t="s">
        <v>363</v>
      </c>
      <c r="D4725">
        <v>15</v>
      </c>
      <c r="E4725">
        <v>21600</v>
      </c>
      <c r="F4725">
        <v>0</v>
      </c>
      <c r="G4725">
        <v>5</v>
      </c>
      <c r="H4725" t="s">
        <v>19</v>
      </c>
    </row>
    <row r="4726" spans="1:8" x14ac:dyDescent="0.25">
      <c r="A4726" t="str">
        <f>"&lt;nominal&gt;" &amp;$D$4725&amp;"&lt;/nominal&gt;"</f>
        <v>&lt;nominal&gt;15&lt;/nominal&gt;</v>
      </c>
      <c r="B4726" t="s">
        <v>622</v>
      </c>
    </row>
    <row r="4727" spans="1:8" x14ac:dyDescent="0.25">
      <c r="A4727" t="str">
        <f>"&lt;lifetime&gt;" &amp;$E$4725&amp;"&lt;/lifetime&gt;"</f>
        <v>&lt;lifetime&gt;21600&lt;/lifetime&gt;</v>
      </c>
      <c r="B4727" t="s">
        <v>622</v>
      </c>
    </row>
    <row r="4728" spans="1:8" x14ac:dyDescent="0.25">
      <c r="A4728" t="str">
        <f>"&lt;restock&gt;" &amp;$F$4725&amp;"&lt;/restock&gt;"</f>
        <v>&lt;restock&gt;0&lt;/restock&gt;</v>
      </c>
      <c r="B4728" t="s">
        <v>622</v>
      </c>
    </row>
    <row r="4729" spans="1:8" x14ac:dyDescent="0.25">
      <c r="A4729" t="str">
        <f>"&lt;min&gt;" &amp;$G$4725&amp;"&lt;/min&gt;"</f>
        <v>&lt;min&gt;5&lt;/min&gt;</v>
      </c>
      <c r="B4729" t="s">
        <v>622</v>
      </c>
    </row>
    <row r="4730" spans="1:8" x14ac:dyDescent="0.25">
      <c r="A4730" t="s">
        <v>16</v>
      </c>
      <c r="B4730" t="s">
        <v>622</v>
      </c>
    </row>
    <row r="4731" spans="1:8" x14ac:dyDescent="0.25">
      <c r="A4731" t="s">
        <v>17</v>
      </c>
      <c r="B4731" t="s">
        <v>622</v>
      </c>
    </row>
    <row r="4732" spans="1:8" x14ac:dyDescent="0.25">
      <c r="A4732" t="s">
        <v>18</v>
      </c>
      <c r="B4732" t="s">
        <v>622</v>
      </c>
    </row>
    <row r="4733" spans="1:8" x14ac:dyDescent="0.25">
      <c r="A4733" t="str">
        <f xml:space="preserve"> $H$4725</f>
        <v>&lt;flags count_in_cargo="0" count_in_hoarder="0" count_in_map="1" count_in_player="0" crafted="0" deloot="0"/&gt;</v>
      </c>
      <c r="B4733" t="s">
        <v>622</v>
      </c>
    </row>
    <row r="4734" spans="1:8" x14ac:dyDescent="0.25">
      <c r="A4734" t="str">
        <f>"&lt;category name=" &amp;"""" &amp;$C$4725&amp;"""/&gt;"</f>
        <v>&lt;category name="containers"/&gt;</v>
      </c>
      <c r="B4734" t="s">
        <v>622</v>
      </c>
    </row>
    <row r="4735" spans="1:8" x14ac:dyDescent="0.25">
      <c r="A4735" t="s">
        <v>1616</v>
      </c>
      <c r="B4735" t="s">
        <v>622</v>
      </c>
    </row>
    <row r="4736" spans="1:8" x14ac:dyDescent="0.25">
      <c r="A4736" t="s">
        <v>67</v>
      </c>
      <c r="B4736" t="s">
        <v>622</v>
      </c>
    </row>
    <row r="4737" spans="1:8" x14ac:dyDescent="0.25">
      <c r="A4737" t="s">
        <v>22</v>
      </c>
      <c r="B4737" t="s">
        <v>622</v>
      </c>
    </row>
    <row r="4738" spans="1:8" x14ac:dyDescent="0.25">
      <c r="A4738" t="s">
        <v>1765</v>
      </c>
      <c r="B4738" t="s">
        <v>623</v>
      </c>
      <c r="C4738" t="s">
        <v>426</v>
      </c>
      <c r="D4738">
        <v>80</v>
      </c>
      <c r="E4738">
        <v>7200</v>
      </c>
      <c r="F4738">
        <v>0</v>
      </c>
      <c r="G4738">
        <v>60</v>
      </c>
      <c r="H4738" t="s">
        <v>19</v>
      </c>
    </row>
    <row r="4739" spans="1:8" x14ac:dyDescent="0.25">
      <c r="A4739" t="str">
        <f>"&lt;nominal&gt;" &amp;$D$4738&amp;"&lt;/nominal&gt;"</f>
        <v>&lt;nominal&gt;80&lt;/nominal&gt;</v>
      </c>
      <c r="B4739" t="s">
        <v>623</v>
      </c>
    </row>
    <row r="4740" spans="1:8" x14ac:dyDescent="0.25">
      <c r="A4740" t="str">
        <f>"&lt;lifetime&gt;" &amp;$E$4738&amp;"&lt;/lifetime&gt;"</f>
        <v>&lt;lifetime&gt;7200&lt;/lifetime&gt;</v>
      </c>
      <c r="B4740" t="s">
        <v>623</v>
      </c>
    </row>
    <row r="4741" spans="1:8" x14ac:dyDescent="0.25">
      <c r="A4741" t="str">
        <f>"&lt;restock&gt;" &amp;$F$4738&amp;"&lt;/restock&gt;"</f>
        <v>&lt;restock&gt;0&lt;/restock&gt;</v>
      </c>
      <c r="B4741" t="s">
        <v>623</v>
      </c>
    </row>
    <row r="4742" spans="1:8" x14ac:dyDescent="0.25">
      <c r="A4742" t="str">
        <f>"&lt;min&gt;" &amp;$G$4738&amp;"&lt;/min&gt;"</f>
        <v>&lt;min&gt;60&lt;/min&gt;</v>
      </c>
      <c r="B4742" t="s">
        <v>623</v>
      </c>
    </row>
    <row r="4743" spans="1:8" x14ac:dyDescent="0.25">
      <c r="A4743" t="s">
        <v>16</v>
      </c>
      <c r="B4743" t="s">
        <v>623</v>
      </c>
    </row>
    <row r="4744" spans="1:8" x14ac:dyDescent="0.25">
      <c r="A4744" t="s">
        <v>17</v>
      </c>
      <c r="B4744" t="s">
        <v>623</v>
      </c>
    </row>
    <row r="4745" spans="1:8" x14ac:dyDescent="0.25">
      <c r="A4745" t="s">
        <v>18</v>
      </c>
      <c r="B4745" t="s">
        <v>623</v>
      </c>
    </row>
    <row r="4746" spans="1:8" x14ac:dyDescent="0.25">
      <c r="A4746" t="str">
        <f xml:space="preserve"> $H$4738</f>
        <v>&lt;flags count_in_cargo="0" count_in_hoarder="0" count_in_map="1" count_in_player="0" crafted="0" deloot="0"/&gt;</v>
      </c>
      <c r="B4746" t="s">
        <v>623</v>
      </c>
    </row>
    <row r="4747" spans="1:8" x14ac:dyDescent="0.25">
      <c r="A4747" t="str">
        <f>"&lt;category name=" &amp;"""" &amp;$C$4738&amp;"""/&gt;"</f>
        <v>&lt;category name="tools"/&gt;</v>
      </c>
      <c r="B4747" t="s">
        <v>623</v>
      </c>
    </row>
    <row r="4748" spans="1:8" x14ac:dyDescent="0.25">
      <c r="A4748" t="s">
        <v>55</v>
      </c>
      <c r="B4748" t="s">
        <v>623</v>
      </c>
    </row>
    <row r="4749" spans="1:8" x14ac:dyDescent="0.25">
      <c r="A4749" t="s">
        <v>56</v>
      </c>
      <c r="B4749" t="s">
        <v>623</v>
      </c>
    </row>
    <row r="4750" spans="1:8" x14ac:dyDescent="0.25">
      <c r="A4750" t="s">
        <v>39</v>
      </c>
      <c r="B4750" t="s">
        <v>623</v>
      </c>
    </row>
    <row r="4751" spans="1:8" x14ac:dyDescent="0.25">
      <c r="A4751" t="s">
        <v>40</v>
      </c>
      <c r="B4751" t="s">
        <v>623</v>
      </c>
    </row>
    <row r="4752" spans="1:8" x14ac:dyDescent="0.25">
      <c r="A4752" t="s">
        <v>22</v>
      </c>
      <c r="B4752" t="s">
        <v>623</v>
      </c>
    </row>
    <row r="4753" spans="1:8" x14ac:dyDescent="0.25">
      <c r="A4753" t="s">
        <v>1766</v>
      </c>
      <c r="B4753" t="s">
        <v>624</v>
      </c>
      <c r="C4753" t="s">
        <v>426</v>
      </c>
      <c r="D4753">
        <v>50</v>
      </c>
      <c r="E4753">
        <v>7200</v>
      </c>
      <c r="F4753">
        <v>0</v>
      </c>
      <c r="G4753">
        <v>30</v>
      </c>
      <c r="H4753" t="s">
        <v>19</v>
      </c>
    </row>
    <row r="4754" spans="1:8" x14ac:dyDescent="0.25">
      <c r="A4754" t="str">
        <f>"&lt;nominal&gt;" &amp;$D$4753&amp;"&lt;/nominal&gt;"</f>
        <v>&lt;nominal&gt;50&lt;/nominal&gt;</v>
      </c>
      <c r="B4754" t="s">
        <v>624</v>
      </c>
    </row>
    <row r="4755" spans="1:8" x14ac:dyDescent="0.25">
      <c r="A4755" t="str">
        <f>"&lt;lifetime&gt;" &amp;$E$4753&amp;"&lt;/lifetime&gt;"</f>
        <v>&lt;lifetime&gt;7200&lt;/lifetime&gt;</v>
      </c>
      <c r="B4755" t="s">
        <v>624</v>
      </c>
    </row>
    <row r="4756" spans="1:8" x14ac:dyDescent="0.25">
      <c r="A4756" t="str">
        <f>"&lt;restock&gt;" &amp;$F$4753&amp;"&lt;/restock&gt;"</f>
        <v>&lt;restock&gt;0&lt;/restock&gt;</v>
      </c>
      <c r="B4756" t="s">
        <v>624</v>
      </c>
    </row>
    <row r="4757" spans="1:8" x14ac:dyDescent="0.25">
      <c r="A4757" t="str">
        <f>"&lt;min&gt;" &amp;$G$4753&amp;"&lt;/min&gt;"</f>
        <v>&lt;min&gt;30&lt;/min&gt;</v>
      </c>
      <c r="B4757" t="s">
        <v>624</v>
      </c>
    </row>
    <row r="4758" spans="1:8" x14ac:dyDescent="0.25">
      <c r="A4758" t="s">
        <v>16</v>
      </c>
      <c r="B4758" t="s">
        <v>624</v>
      </c>
    </row>
    <row r="4759" spans="1:8" x14ac:dyDescent="0.25">
      <c r="A4759" t="s">
        <v>17</v>
      </c>
      <c r="B4759" t="s">
        <v>624</v>
      </c>
    </row>
    <row r="4760" spans="1:8" x14ac:dyDescent="0.25">
      <c r="A4760" t="s">
        <v>18</v>
      </c>
      <c r="B4760" t="s">
        <v>624</v>
      </c>
    </row>
    <row r="4761" spans="1:8" x14ac:dyDescent="0.25">
      <c r="A4761" t="str">
        <f xml:space="preserve"> $H$4753</f>
        <v>&lt;flags count_in_cargo="0" count_in_hoarder="0" count_in_map="1" count_in_player="0" crafted="0" deloot="0"/&gt;</v>
      </c>
      <c r="B4761" t="s">
        <v>624</v>
      </c>
    </row>
    <row r="4762" spans="1:8" x14ac:dyDescent="0.25">
      <c r="A4762" t="str">
        <f>"&lt;category name=" &amp;"""" &amp;$C$4753&amp;"""/&gt;"</f>
        <v>&lt;category name="tools"/&gt;</v>
      </c>
      <c r="B4762" t="s">
        <v>624</v>
      </c>
    </row>
    <row r="4763" spans="1:8" x14ac:dyDescent="0.25">
      <c r="A4763" t="s">
        <v>20</v>
      </c>
      <c r="B4763" t="s">
        <v>624</v>
      </c>
    </row>
    <row r="4764" spans="1:8" x14ac:dyDescent="0.25">
      <c r="A4764" t="s">
        <v>55</v>
      </c>
      <c r="B4764" t="s">
        <v>624</v>
      </c>
    </row>
    <row r="4765" spans="1:8" x14ac:dyDescent="0.25">
      <c r="A4765" t="s">
        <v>22</v>
      </c>
      <c r="B4765" t="s">
        <v>624</v>
      </c>
    </row>
    <row r="4766" spans="1:8" x14ac:dyDescent="0.25">
      <c r="A4766" t="s">
        <v>1767</v>
      </c>
      <c r="B4766" t="s">
        <v>3399</v>
      </c>
      <c r="C4766" t="s">
        <v>426</v>
      </c>
      <c r="D4766">
        <v>0</v>
      </c>
      <c r="E4766">
        <v>14400</v>
      </c>
      <c r="F4766">
        <v>0</v>
      </c>
      <c r="G4766">
        <v>0</v>
      </c>
      <c r="H4766" t="s">
        <v>19</v>
      </c>
    </row>
    <row r="4767" spans="1:8" x14ac:dyDescent="0.25">
      <c r="A4767" t="str">
        <f>"&lt;nominal&gt;" &amp;$D$4766&amp;"&lt;/nominal&gt;"</f>
        <v>&lt;nominal&gt;0&lt;/nominal&gt;</v>
      </c>
      <c r="B4767" t="s">
        <v>3399</v>
      </c>
    </row>
    <row r="4768" spans="1:8" x14ac:dyDescent="0.25">
      <c r="A4768" t="str">
        <f>"&lt;lifetime&gt;" &amp;$E$4766&amp;"&lt;/lifetime&gt;"</f>
        <v>&lt;lifetime&gt;14400&lt;/lifetime&gt;</v>
      </c>
      <c r="B4768" t="s">
        <v>3399</v>
      </c>
    </row>
    <row r="4769" spans="1:8" x14ac:dyDescent="0.25">
      <c r="A4769" t="str">
        <f>"&lt;restock&gt;" &amp;$F$4766&amp;"&lt;/restock&gt;"</f>
        <v>&lt;restock&gt;0&lt;/restock&gt;</v>
      </c>
      <c r="B4769" t="s">
        <v>3399</v>
      </c>
    </row>
    <row r="4770" spans="1:8" x14ac:dyDescent="0.25">
      <c r="A4770" t="str">
        <f>"&lt;min&gt;" &amp;$G$4766&amp;"&lt;/min&gt;"</f>
        <v>&lt;min&gt;0&lt;/min&gt;</v>
      </c>
      <c r="B4770" t="s">
        <v>3399</v>
      </c>
    </row>
    <row r="4771" spans="1:8" x14ac:dyDescent="0.25">
      <c r="A4771" t="s">
        <v>16</v>
      </c>
      <c r="B4771" t="s">
        <v>3399</v>
      </c>
    </row>
    <row r="4772" spans="1:8" x14ac:dyDescent="0.25">
      <c r="A4772" t="s">
        <v>17</v>
      </c>
      <c r="B4772" t="s">
        <v>3399</v>
      </c>
    </row>
    <row r="4773" spans="1:8" x14ac:dyDescent="0.25">
      <c r="A4773" t="s">
        <v>18</v>
      </c>
      <c r="B4773" t="s">
        <v>3399</v>
      </c>
    </row>
    <row r="4774" spans="1:8" x14ac:dyDescent="0.25">
      <c r="A4774" t="str">
        <f xml:space="preserve"> $H$4766</f>
        <v>&lt;flags count_in_cargo="0" count_in_hoarder="0" count_in_map="1" count_in_player="0" crafted="0" deloot="0"/&gt;</v>
      </c>
      <c r="B4774" t="s">
        <v>3399</v>
      </c>
    </row>
    <row r="4775" spans="1:8" x14ac:dyDescent="0.25">
      <c r="A4775" t="str">
        <f>"&lt;category name=" &amp;"""" &amp;$C$4766&amp;"""/&gt;"</f>
        <v>&lt;category name="tools"/&gt;</v>
      </c>
      <c r="B4775" t="s">
        <v>3399</v>
      </c>
    </row>
    <row r="4776" spans="1:8" x14ac:dyDescent="0.25">
      <c r="A4776" t="s">
        <v>55</v>
      </c>
      <c r="B4776" t="s">
        <v>3399</v>
      </c>
    </row>
    <row r="4777" spans="1:8" x14ac:dyDescent="0.25">
      <c r="A4777" t="s">
        <v>22</v>
      </c>
      <c r="B4777" t="s">
        <v>3399</v>
      </c>
    </row>
    <row r="4778" spans="1:8" x14ac:dyDescent="0.25">
      <c r="A4778" t="s">
        <v>1768</v>
      </c>
      <c r="B4778" t="s">
        <v>625</v>
      </c>
      <c r="C4778" t="s">
        <v>8</v>
      </c>
      <c r="D4778">
        <v>10</v>
      </c>
      <c r="E4778">
        <v>7200</v>
      </c>
      <c r="F4778">
        <v>0</v>
      </c>
      <c r="G4778">
        <v>5</v>
      </c>
      <c r="H4778" t="s">
        <v>19</v>
      </c>
    </row>
    <row r="4779" spans="1:8" x14ac:dyDescent="0.25">
      <c r="A4779" t="str">
        <f>"&lt;nominal&gt;" &amp;$D$4778&amp;"&lt;/nominal&gt;"</f>
        <v>&lt;nominal&gt;10&lt;/nominal&gt;</v>
      </c>
      <c r="B4779" t="s">
        <v>625</v>
      </c>
    </row>
    <row r="4780" spans="1:8" x14ac:dyDescent="0.25">
      <c r="A4780" t="str">
        <f>"&lt;lifetime&gt;" &amp;$E$4778&amp;"&lt;/lifetime&gt;"</f>
        <v>&lt;lifetime&gt;7200&lt;/lifetime&gt;</v>
      </c>
      <c r="B4780" t="s">
        <v>625</v>
      </c>
    </row>
    <row r="4781" spans="1:8" x14ac:dyDescent="0.25">
      <c r="A4781" t="str">
        <f>"&lt;restock&gt;" &amp;$F$4778&amp;"&lt;/restock&gt;"</f>
        <v>&lt;restock&gt;0&lt;/restock&gt;</v>
      </c>
      <c r="B4781" t="s">
        <v>625</v>
      </c>
    </row>
    <row r="4782" spans="1:8" x14ac:dyDescent="0.25">
      <c r="A4782" t="str">
        <f>"&lt;min&gt;" &amp;$G$4778&amp;"&lt;/min&gt;"</f>
        <v>&lt;min&gt;5&lt;/min&gt;</v>
      </c>
      <c r="B4782" t="s">
        <v>625</v>
      </c>
    </row>
    <row r="4783" spans="1:8" x14ac:dyDescent="0.25">
      <c r="A4783" t="s">
        <v>16</v>
      </c>
      <c r="B4783" t="s">
        <v>625</v>
      </c>
    </row>
    <row r="4784" spans="1:8" x14ac:dyDescent="0.25">
      <c r="A4784" t="s">
        <v>17</v>
      </c>
      <c r="B4784" t="s">
        <v>625</v>
      </c>
    </row>
    <row r="4785" spans="1:8" x14ac:dyDescent="0.25">
      <c r="A4785" t="s">
        <v>18</v>
      </c>
      <c r="B4785" t="s">
        <v>625</v>
      </c>
    </row>
    <row r="4786" spans="1:8" x14ac:dyDescent="0.25">
      <c r="A4786" t="str">
        <f xml:space="preserve"> $H$4778</f>
        <v>&lt;flags count_in_cargo="0" count_in_hoarder="0" count_in_map="1" count_in_player="0" crafted="0" deloot="0"/&gt;</v>
      </c>
      <c r="B4786" t="s">
        <v>625</v>
      </c>
    </row>
    <row r="4787" spans="1:8" x14ac:dyDescent="0.25">
      <c r="A4787" t="str">
        <f>"&lt;category name=" &amp;"""" &amp;$C$4778&amp;"""/&gt;"</f>
        <v>&lt;category name="weapons"/&gt;</v>
      </c>
      <c r="B4787" t="s">
        <v>625</v>
      </c>
    </row>
    <row r="4788" spans="1:8" x14ac:dyDescent="0.25">
      <c r="A4788" t="s">
        <v>29</v>
      </c>
      <c r="B4788" t="s">
        <v>625</v>
      </c>
    </row>
    <row r="4789" spans="1:8" x14ac:dyDescent="0.25">
      <c r="A4789" t="s">
        <v>39</v>
      </c>
      <c r="B4789" t="s">
        <v>625</v>
      </c>
    </row>
    <row r="4790" spans="1:8" x14ac:dyDescent="0.25">
      <c r="A4790" t="s">
        <v>40</v>
      </c>
      <c r="B4790" t="s">
        <v>625</v>
      </c>
    </row>
    <row r="4791" spans="1:8" x14ac:dyDescent="0.25">
      <c r="A4791" t="s">
        <v>22</v>
      </c>
      <c r="B4791" t="s">
        <v>625</v>
      </c>
    </row>
    <row r="4792" spans="1:8" x14ac:dyDescent="0.25">
      <c r="A4792" t="s">
        <v>1769</v>
      </c>
      <c r="B4792" t="s">
        <v>626</v>
      </c>
      <c r="C4792" t="s">
        <v>426</v>
      </c>
      <c r="D4792">
        <v>30</v>
      </c>
      <c r="E4792">
        <v>10800</v>
      </c>
      <c r="F4792">
        <v>0</v>
      </c>
      <c r="G4792">
        <v>20</v>
      </c>
      <c r="H4792" t="s">
        <v>19</v>
      </c>
    </row>
    <row r="4793" spans="1:8" x14ac:dyDescent="0.25">
      <c r="A4793" t="str">
        <f>"&lt;nominal&gt;" &amp;$D$4792&amp;"&lt;/nominal&gt;"</f>
        <v>&lt;nominal&gt;30&lt;/nominal&gt;</v>
      </c>
      <c r="B4793" t="s">
        <v>626</v>
      </c>
    </row>
    <row r="4794" spans="1:8" x14ac:dyDescent="0.25">
      <c r="A4794" t="str">
        <f>"&lt;lifetime&gt;" &amp;$E$4792&amp;"&lt;/lifetime&gt;"</f>
        <v>&lt;lifetime&gt;10800&lt;/lifetime&gt;</v>
      </c>
      <c r="B4794" t="s">
        <v>626</v>
      </c>
    </row>
    <row r="4795" spans="1:8" x14ac:dyDescent="0.25">
      <c r="A4795" t="str">
        <f>"&lt;restock&gt;" &amp;$F$4792&amp;"&lt;/restock&gt;"</f>
        <v>&lt;restock&gt;0&lt;/restock&gt;</v>
      </c>
      <c r="B4795" t="s">
        <v>626</v>
      </c>
    </row>
    <row r="4796" spans="1:8" x14ac:dyDescent="0.25">
      <c r="A4796" t="str">
        <f>"&lt;min&gt;" &amp;$G$4792&amp;"&lt;/min&gt;"</f>
        <v>&lt;min&gt;20&lt;/min&gt;</v>
      </c>
      <c r="B4796" t="s">
        <v>626</v>
      </c>
    </row>
    <row r="4797" spans="1:8" x14ac:dyDescent="0.25">
      <c r="A4797" t="s">
        <v>16</v>
      </c>
      <c r="B4797" t="s">
        <v>626</v>
      </c>
    </row>
    <row r="4798" spans="1:8" x14ac:dyDescent="0.25">
      <c r="A4798" t="s">
        <v>17</v>
      </c>
      <c r="B4798" t="s">
        <v>626</v>
      </c>
    </row>
    <row r="4799" spans="1:8" x14ac:dyDescent="0.25">
      <c r="A4799" t="s">
        <v>18</v>
      </c>
      <c r="B4799" t="s">
        <v>626</v>
      </c>
    </row>
    <row r="4800" spans="1:8" x14ac:dyDescent="0.25">
      <c r="A4800" t="str">
        <f xml:space="preserve"> $H$4792</f>
        <v>&lt;flags count_in_cargo="0" count_in_hoarder="0" count_in_map="1" count_in_player="0" crafted="0" deloot="0"/&gt;</v>
      </c>
      <c r="B4800" t="s">
        <v>626</v>
      </c>
    </row>
    <row r="4801" spans="1:8" x14ac:dyDescent="0.25">
      <c r="A4801" t="str">
        <f>"&lt;category name=" &amp;"""" &amp;$C$4792&amp;"""/&gt;"</f>
        <v>&lt;category name="tools"/&gt;</v>
      </c>
      <c r="B4801" t="s">
        <v>626</v>
      </c>
    </row>
    <row r="4802" spans="1:8" x14ac:dyDescent="0.25">
      <c r="A4802" t="s">
        <v>20</v>
      </c>
      <c r="B4802" t="s">
        <v>626</v>
      </c>
    </row>
    <row r="4803" spans="1:8" x14ac:dyDescent="0.25">
      <c r="A4803" t="s">
        <v>21</v>
      </c>
      <c r="B4803" t="s">
        <v>626</v>
      </c>
    </row>
    <row r="4804" spans="1:8" x14ac:dyDescent="0.25">
      <c r="A4804" t="s">
        <v>22</v>
      </c>
      <c r="B4804" t="s">
        <v>626</v>
      </c>
    </row>
    <row r="4805" spans="1:8" x14ac:dyDescent="0.25">
      <c r="A4805" t="s">
        <v>1770</v>
      </c>
      <c r="B4805" t="s">
        <v>627</v>
      </c>
      <c r="C4805" t="s">
        <v>426</v>
      </c>
      <c r="D4805">
        <v>50</v>
      </c>
      <c r="E4805">
        <v>7200</v>
      </c>
      <c r="F4805">
        <v>0</v>
      </c>
      <c r="G4805">
        <v>30</v>
      </c>
      <c r="H4805" t="s">
        <v>19</v>
      </c>
    </row>
    <row r="4806" spans="1:8" x14ac:dyDescent="0.25">
      <c r="A4806" t="str">
        <f>"&lt;nominal&gt;" &amp;$D$4805&amp;"&lt;/nominal&gt;"</f>
        <v>&lt;nominal&gt;50&lt;/nominal&gt;</v>
      </c>
      <c r="B4806" t="s">
        <v>627</v>
      </c>
    </row>
    <row r="4807" spans="1:8" x14ac:dyDescent="0.25">
      <c r="A4807" t="str">
        <f>"&lt;lifetime&gt;" &amp;$E$4805&amp;"&lt;/lifetime&gt;"</f>
        <v>&lt;lifetime&gt;7200&lt;/lifetime&gt;</v>
      </c>
      <c r="B4807" t="s">
        <v>627</v>
      </c>
    </row>
    <row r="4808" spans="1:8" x14ac:dyDescent="0.25">
      <c r="A4808" t="str">
        <f>"&lt;restock&gt;" &amp;$F$4805&amp;"&lt;/restock&gt;"</f>
        <v>&lt;restock&gt;0&lt;/restock&gt;</v>
      </c>
      <c r="B4808" t="s">
        <v>627</v>
      </c>
    </row>
    <row r="4809" spans="1:8" x14ac:dyDescent="0.25">
      <c r="A4809" t="str">
        <f>"&lt;min&gt;" &amp;$G$4805&amp;"&lt;/min&gt;"</f>
        <v>&lt;min&gt;30&lt;/min&gt;</v>
      </c>
      <c r="B4809" t="s">
        <v>627</v>
      </c>
    </row>
    <row r="4810" spans="1:8" x14ac:dyDescent="0.25">
      <c r="A4810" t="s">
        <v>16</v>
      </c>
      <c r="B4810" t="s">
        <v>627</v>
      </c>
    </row>
    <row r="4811" spans="1:8" x14ac:dyDescent="0.25">
      <c r="A4811" t="s">
        <v>17</v>
      </c>
      <c r="B4811" t="s">
        <v>627</v>
      </c>
    </row>
    <row r="4812" spans="1:8" x14ac:dyDescent="0.25">
      <c r="A4812" t="s">
        <v>18</v>
      </c>
      <c r="B4812" t="s">
        <v>627</v>
      </c>
    </row>
    <row r="4813" spans="1:8" x14ac:dyDescent="0.25">
      <c r="A4813" t="str">
        <f xml:space="preserve"> $H$4805</f>
        <v>&lt;flags count_in_cargo="0" count_in_hoarder="0" count_in_map="1" count_in_player="0" crafted="0" deloot="0"/&gt;</v>
      </c>
      <c r="B4813" t="s">
        <v>627</v>
      </c>
    </row>
    <row r="4814" spans="1:8" x14ac:dyDescent="0.25">
      <c r="A4814" t="str">
        <f>"&lt;category name=" &amp;"""" &amp;$C$4805&amp;"""/&gt;"</f>
        <v>&lt;category name="tools"/&gt;</v>
      </c>
      <c r="B4814" t="s">
        <v>627</v>
      </c>
    </row>
    <row r="4815" spans="1:8" x14ac:dyDescent="0.25">
      <c r="A4815" t="s">
        <v>20</v>
      </c>
      <c r="B4815" t="s">
        <v>627</v>
      </c>
    </row>
    <row r="4816" spans="1:8" x14ac:dyDescent="0.25">
      <c r="A4816" t="s">
        <v>55</v>
      </c>
      <c r="B4816" t="s">
        <v>627</v>
      </c>
    </row>
    <row r="4817" spans="1:8" x14ac:dyDescent="0.25">
      <c r="A4817" t="s">
        <v>22</v>
      </c>
      <c r="B4817" t="s">
        <v>627</v>
      </c>
    </row>
    <row r="4818" spans="1:8" x14ac:dyDescent="0.25">
      <c r="A4818" t="s">
        <v>1771</v>
      </c>
      <c r="B4818" t="s">
        <v>628</v>
      </c>
      <c r="C4818" t="s">
        <v>8</v>
      </c>
      <c r="D4818">
        <v>5</v>
      </c>
      <c r="E4818">
        <v>7200</v>
      </c>
      <c r="F4818">
        <v>0</v>
      </c>
      <c r="G4818">
        <v>2</v>
      </c>
      <c r="H4818" t="s">
        <v>28</v>
      </c>
    </row>
    <row r="4819" spans="1:8" x14ac:dyDescent="0.25">
      <c r="A4819" t="str">
        <f>"&lt;nominal&gt;" &amp;$D$4818&amp;"&lt;/nominal&gt;"</f>
        <v>&lt;nominal&gt;5&lt;/nominal&gt;</v>
      </c>
      <c r="B4819" t="s">
        <v>628</v>
      </c>
    </row>
    <row r="4820" spans="1:8" x14ac:dyDescent="0.25">
      <c r="A4820" t="str">
        <f>"&lt;lifetime&gt;" &amp;$E$4818&amp;"&lt;/lifetime&gt;"</f>
        <v>&lt;lifetime&gt;7200&lt;/lifetime&gt;</v>
      </c>
      <c r="B4820" t="s">
        <v>628</v>
      </c>
    </row>
    <row r="4821" spans="1:8" x14ac:dyDescent="0.25">
      <c r="A4821" t="str">
        <f>"&lt;restock&gt;" &amp;$F$4818&amp;"&lt;/restock&gt;"</f>
        <v>&lt;restock&gt;0&lt;/restock&gt;</v>
      </c>
      <c r="B4821" t="s">
        <v>628</v>
      </c>
    </row>
    <row r="4822" spans="1:8" x14ac:dyDescent="0.25">
      <c r="A4822" t="str">
        <f>"&lt;min&gt;" &amp;$G$4818&amp;"&lt;/min&gt;"</f>
        <v>&lt;min&gt;2&lt;/min&gt;</v>
      </c>
      <c r="B4822" t="s">
        <v>628</v>
      </c>
    </row>
    <row r="4823" spans="1:8" x14ac:dyDescent="0.25">
      <c r="A4823" t="s">
        <v>16</v>
      </c>
      <c r="B4823" t="s">
        <v>628</v>
      </c>
    </row>
    <row r="4824" spans="1:8" x14ac:dyDescent="0.25">
      <c r="A4824" t="s">
        <v>17</v>
      </c>
      <c r="B4824" t="s">
        <v>628</v>
      </c>
    </row>
    <row r="4825" spans="1:8" x14ac:dyDescent="0.25">
      <c r="A4825" t="s">
        <v>18</v>
      </c>
      <c r="B4825" t="s">
        <v>628</v>
      </c>
    </row>
    <row r="4826" spans="1:8" x14ac:dyDescent="0.25">
      <c r="A4826" t="str">
        <f xml:space="preserve"> $H$4818</f>
        <v>&lt;flags count_in_cargo="1" count_in_hoarder="1" count_in_map="1" count_in_player="1" crafted="0" deloot="1"/&gt;</v>
      </c>
      <c r="B4826" t="s">
        <v>628</v>
      </c>
    </row>
    <row r="4827" spans="1:8" x14ac:dyDescent="0.25">
      <c r="A4827" t="str">
        <f>"&lt;category name=" &amp;"""" &amp;$C$4818&amp;"""/&gt;"</f>
        <v>&lt;category name="weapons"/&gt;</v>
      </c>
      <c r="B4827" t="s">
        <v>628</v>
      </c>
    </row>
    <row r="4828" spans="1:8" x14ac:dyDescent="0.25">
      <c r="A4828" t="s">
        <v>29</v>
      </c>
      <c r="B4828" t="s">
        <v>628</v>
      </c>
    </row>
    <row r="4829" spans="1:8" x14ac:dyDescent="0.25">
      <c r="A4829" t="s">
        <v>307</v>
      </c>
      <c r="B4829" t="s">
        <v>628</v>
      </c>
    </row>
    <row r="4830" spans="1:8" x14ac:dyDescent="0.25">
      <c r="A4830" t="s">
        <v>22</v>
      </c>
      <c r="B4830" t="s">
        <v>628</v>
      </c>
    </row>
    <row r="4831" spans="1:8" x14ac:dyDescent="0.25">
      <c r="B4831" t="s">
        <v>628</v>
      </c>
    </row>
    <row r="4832" spans="1:8" x14ac:dyDescent="0.25">
      <c r="A4832" t="s">
        <v>2774</v>
      </c>
      <c r="B4832" t="s">
        <v>2812</v>
      </c>
      <c r="C4832" t="s">
        <v>8</v>
      </c>
      <c r="D4832">
        <v>5</v>
      </c>
      <c r="E4832">
        <v>7200</v>
      </c>
      <c r="F4832">
        <v>0</v>
      </c>
      <c r="G4832">
        <v>2</v>
      </c>
      <c r="H4832" t="s">
        <v>28</v>
      </c>
    </row>
    <row r="4833" spans="1:8" x14ac:dyDescent="0.25">
      <c r="A4833" t="str">
        <f>"&lt;nominal&gt;" &amp;$D$4832&amp;"&lt;/nominal&gt;"</f>
        <v>&lt;nominal&gt;5&lt;/nominal&gt;</v>
      </c>
      <c r="B4833" t="s">
        <v>2812</v>
      </c>
    </row>
    <row r="4834" spans="1:8" x14ac:dyDescent="0.25">
      <c r="A4834" t="str">
        <f>"&lt;lifetime&gt;" &amp;$E$4832&amp;"&lt;/lifetime&gt;"</f>
        <v>&lt;lifetime&gt;7200&lt;/lifetime&gt;</v>
      </c>
      <c r="B4834" t="s">
        <v>2812</v>
      </c>
    </row>
    <row r="4835" spans="1:8" x14ac:dyDescent="0.25">
      <c r="A4835" t="str">
        <f>"&lt;restock&gt;" &amp;$F$4832&amp;"&lt;/restock&gt;"</f>
        <v>&lt;restock&gt;0&lt;/restock&gt;</v>
      </c>
      <c r="B4835" t="s">
        <v>2812</v>
      </c>
    </row>
    <row r="4836" spans="1:8" x14ac:dyDescent="0.25">
      <c r="A4836" t="str">
        <f>"&lt;min&gt;" &amp;$G$4832&amp;"&lt;/min&gt;"</f>
        <v>&lt;min&gt;2&lt;/min&gt;</v>
      </c>
      <c r="B4836" t="s">
        <v>2812</v>
      </c>
    </row>
    <row r="4837" spans="1:8" x14ac:dyDescent="0.25">
      <c r="A4837" t="s">
        <v>16</v>
      </c>
      <c r="B4837" t="s">
        <v>2812</v>
      </c>
    </row>
    <row r="4838" spans="1:8" x14ac:dyDescent="0.25">
      <c r="A4838" t="s">
        <v>17</v>
      </c>
      <c r="B4838" t="s">
        <v>2812</v>
      </c>
    </row>
    <row r="4839" spans="1:8" x14ac:dyDescent="0.25">
      <c r="A4839" t="s">
        <v>18</v>
      </c>
      <c r="B4839" t="s">
        <v>2812</v>
      </c>
    </row>
    <row r="4840" spans="1:8" x14ac:dyDescent="0.25">
      <c r="A4840" t="str">
        <f xml:space="preserve"> $H$4832</f>
        <v>&lt;flags count_in_cargo="1" count_in_hoarder="1" count_in_map="1" count_in_player="1" crafted="0" deloot="1"/&gt;</v>
      </c>
      <c r="B4840" t="s">
        <v>2812</v>
      </c>
    </row>
    <row r="4841" spans="1:8" x14ac:dyDescent="0.25">
      <c r="A4841" t="str">
        <f>"&lt;category name=" &amp;"""" &amp;$C$4832&amp;"""/&gt;"</f>
        <v>&lt;category name="weapons"/&gt;</v>
      </c>
      <c r="B4841" t="s">
        <v>2812</v>
      </c>
    </row>
    <row r="4842" spans="1:8" x14ac:dyDescent="0.25">
      <c r="A4842" t="s">
        <v>29</v>
      </c>
      <c r="B4842" t="s">
        <v>2812</v>
      </c>
    </row>
    <row r="4843" spans="1:8" x14ac:dyDescent="0.25">
      <c r="A4843" t="s">
        <v>307</v>
      </c>
      <c r="B4843" t="s">
        <v>2812</v>
      </c>
    </row>
    <row r="4844" spans="1:8" x14ac:dyDescent="0.25">
      <c r="A4844" t="s">
        <v>22</v>
      </c>
      <c r="B4844" t="s">
        <v>2812</v>
      </c>
    </row>
    <row r="4845" spans="1:8" x14ac:dyDescent="0.25">
      <c r="B4845" t="s">
        <v>2812</v>
      </c>
    </row>
    <row r="4846" spans="1:8" x14ac:dyDescent="0.25">
      <c r="A4846" t="s">
        <v>1772</v>
      </c>
      <c r="B4846" t="s">
        <v>629</v>
      </c>
      <c r="C4846" t="s">
        <v>8</v>
      </c>
      <c r="D4846">
        <v>10</v>
      </c>
      <c r="E4846">
        <v>7200</v>
      </c>
      <c r="F4846">
        <v>0</v>
      </c>
      <c r="G4846">
        <v>5</v>
      </c>
      <c r="H4846" t="s">
        <v>19</v>
      </c>
    </row>
    <row r="4847" spans="1:8" x14ac:dyDescent="0.25">
      <c r="A4847" t="str">
        <f>"&lt;nominal&gt;" &amp;$D$4846&amp;"&lt;/nominal&gt;"</f>
        <v>&lt;nominal&gt;10&lt;/nominal&gt;</v>
      </c>
      <c r="B4847" t="s">
        <v>629</v>
      </c>
    </row>
    <row r="4848" spans="1:8" x14ac:dyDescent="0.25">
      <c r="A4848" t="str">
        <f>"&lt;lifetime&gt;" &amp;$E$4846&amp;"&lt;/lifetime&gt;"</f>
        <v>&lt;lifetime&gt;7200&lt;/lifetime&gt;</v>
      </c>
      <c r="B4848" t="s">
        <v>629</v>
      </c>
    </row>
    <row r="4849" spans="1:8" x14ac:dyDescent="0.25">
      <c r="A4849" t="str">
        <f>"&lt;restock&gt;" &amp;$F$4846&amp;"&lt;/restock&gt;"</f>
        <v>&lt;restock&gt;0&lt;/restock&gt;</v>
      </c>
      <c r="B4849" t="s">
        <v>629</v>
      </c>
    </row>
    <row r="4850" spans="1:8" x14ac:dyDescent="0.25">
      <c r="A4850" t="str">
        <f>"&lt;min&gt;" &amp;$G$4846&amp;"&lt;/min&gt;"</f>
        <v>&lt;min&gt;5&lt;/min&gt;</v>
      </c>
      <c r="B4850" t="s">
        <v>629</v>
      </c>
    </row>
    <row r="4851" spans="1:8" x14ac:dyDescent="0.25">
      <c r="A4851" t="s">
        <v>16</v>
      </c>
      <c r="B4851" t="s">
        <v>629</v>
      </c>
    </row>
    <row r="4852" spans="1:8" x14ac:dyDescent="0.25">
      <c r="A4852" t="s">
        <v>17</v>
      </c>
      <c r="B4852" t="s">
        <v>629</v>
      </c>
    </row>
    <row r="4853" spans="1:8" x14ac:dyDescent="0.25">
      <c r="A4853" t="s">
        <v>18</v>
      </c>
      <c r="B4853" t="s">
        <v>629</v>
      </c>
    </row>
    <row r="4854" spans="1:8" x14ac:dyDescent="0.25">
      <c r="A4854" t="str">
        <f xml:space="preserve"> $H$4846</f>
        <v>&lt;flags count_in_cargo="0" count_in_hoarder="0" count_in_map="1" count_in_player="0" crafted="0" deloot="0"/&gt;</v>
      </c>
      <c r="B4854" t="s">
        <v>629</v>
      </c>
    </row>
    <row r="4855" spans="1:8" x14ac:dyDescent="0.25">
      <c r="A4855" t="str">
        <f>"&lt;category name=" &amp;"""" &amp;$C$4846&amp;"""/&gt;"</f>
        <v>&lt;category name="weapons"/&gt;</v>
      </c>
      <c r="B4855" t="s">
        <v>629</v>
      </c>
    </row>
    <row r="4856" spans="1:8" x14ac:dyDescent="0.25">
      <c r="A4856" t="s">
        <v>29</v>
      </c>
      <c r="B4856" t="s">
        <v>629</v>
      </c>
    </row>
    <row r="4857" spans="1:8" x14ac:dyDescent="0.25">
      <c r="A4857" t="s">
        <v>31</v>
      </c>
      <c r="B4857" t="s">
        <v>629</v>
      </c>
    </row>
    <row r="4858" spans="1:8" x14ac:dyDescent="0.25">
      <c r="A4858" t="s">
        <v>307</v>
      </c>
      <c r="B4858" t="s">
        <v>629</v>
      </c>
    </row>
    <row r="4859" spans="1:8" x14ac:dyDescent="0.25">
      <c r="A4859" t="s">
        <v>22</v>
      </c>
      <c r="B4859" t="s">
        <v>629</v>
      </c>
    </row>
    <row r="4860" spans="1:8" x14ac:dyDescent="0.25">
      <c r="A4860" t="s">
        <v>1773</v>
      </c>
      <c r="B4860" t="s">
        <v>630</v>
      </c>
      <c r="C4860" t="s">
        <v>8</v>
      </c>
      <c r="D4860">
        <v>10</v>
      </c>
      <c r="E4860">
        <v>10800</v>
      </c>
      <c r="F4860">
        <v>1800</v>
      </c>
      <c r="G4860">
        <v>5</v>
      </c>
      <c r="H4860" t="s">
        <v>19</v>
      </c>
    </row>
    <row r="4861" spans="1:8" x14ac:dyDescent="0.25">
      <c r="A4861" t="str">
        <f>"&lt;nominal&gt;" &amp;$D$4860&amp;"&lt;/nominal&gt;"</f>
        <v>&lt;nominal&gt;10&lt;/nominal&gt;</v>
      </c>
      <c r="B4861" t="s">
        <v>630</v>
      </c>
    </row>
    <row r="4862" spans="1:8" x14ac:dyDescent="0.25">
      <c r="A4862" t="str">
        <f>"&lt;lifetime&gt;" &amp;$E$4860&amp;"&lt;/lifetime&gt;"</f>
        <v>&lt;lifetime&gt;10800&lt;/lifetime&gt;</v>
      </c>
      <c r="B4862" t="s">
        <v>630</v>
      </c>
    </row>
    <row r="4863" spans="1:8" x14ac:dyDescent="0.25">
      <c r="A4863" t="str">
        <f>"&lt;restock&gt;" &amp;$F$4860&amp;"&lt;/restock&gt;"</f>
        <v>&lt;restock&gt;1800&lt;/restock&gt;</v>
      </c>
      <c r="B4863" t="s">
        <v>630</v>
      </c>
    </row>
    <row r="4864" spans="1:8" x14ac:dyDescent="0.25">
      <c r="A4864" t="str">
        <f>"&lt;min&gt;" &amp;$G$4860&amp;"&lt;/min&gt;"</f>
        <v>&lt;min&gt;5&lt;/min&gt;</v>
      </c>
      <c r="B4864" t="s">
        <v>630</v>
      </c>
    </row>
    <row r="4865" spans="1:8" x14ac:dyDescent="0.25">
      <c r="A4865" t="s">
        <v>16</v>
      </c>
      <c r="B4865" t="s">
        <v>630</v>
      </c>
    </row>
    <row r="4866" spans="1:8" x14ac:dyDescent="0.25">
      <c r="A4866" t="s">
        <v>17</v>
      </c>
      <c r="B4866" t="s">
        <v>630</v>
      </c>
    </row>
    <row r="4867" spans="1:8" x14ac:dyDescent="0.25">
      <c r="A4867" t="s">
        <v>18</v>
      </c>
      <c r="B4867" t="s">
        <v>630</v>
      </c>
    </row>
    <row r="4868" spans="1:8" x14ac:dyDescent="0.25">
      <c r="A4868" t="str">
        <f xml:space="preserve"> $H$4860</f>
        <v>&lt;flags count_in_cargo="0" count_in_hoarder="0" count_in_map="1" count_in_player="0" crafted="0" deloot="0"/&gt;</v>
      </c>
      <c r="B4868" t="s">
        <v>630</v>
      </c>
    </row>
    <row r="4869" spans="1:8" x14ac:dyDescent="0.25">
      <c r="A4869" t="str">
        <f>"&lt;category name=" &amp;"""" &amp;$C$4860&amp;"""/&gt;"</f>
        <v>&lt;category name="weapons"/&gt;</v>
      </c>
      <c r="B4869" t="s">
        <v>630</v>
      </c>
    </row>
    <row r="4870" spans="1:8" x14ac:dyDescent="0.25">
      <c r="A4870" t="s">
        <v>29</v>
      </c>
      <c r="B4870" t="s">
        <v>630</v>
      </c>
    </row>
    <row r="4871" spans="1:8" x14ac:dyDescent="0.25">
      <c r="A4871" t="s">
        <v>82</v>
      </c>
      <c r="B4871" t="s">
        <v>630</v>
      </c>
    </row>
    <row r="4872" spans="1:8" x14ac:dyDescent="0.25">
      <c r="A4872" t="s">
        <v>30</v>
      </c>
      <c r="B4872" t="s">
        <v>630</v>
      </c>
    </row>
    <row r="4873" spans="1:8" x14ac:dyDescent="0.25">
      <c r="A4873" t="s">
        <v>22</v>
      </c>
      <c r="B4873" t="s">
        <v>630</v>
      </c>
    </row>
    <row r="4874" spans="1:8" x14ac:dyDescent="0.25">
      <c r="A4874" t="s">
        <v>1774</v>
      </c>
      <c r="B4874" t="s">
        <v>631</v>
      </c>
      <c r="C4874" t="s">
        <v>8</v>
      </c>
      <c r="D4874">
        <v>5</v>
      </c>
      <c r="E4874">
        <v>7200</v>
      </c>
      <c r="F4874">
        <v>0</v>
      </c>
      <c r="G4874">
        <v>2</v>
      </c>
      <c r="H4874" t="s">
        <v>19</v>
      </c>
    </row>
    <row r="4875" spans="1:8" x14ac:dyDescent="0.25">
      <c r="A4875" t="str">
        <f>"&lt;nominal&gt;" &amp;$D$4874&amp;"&lt;/nominal&gt;"</f>
        <v>&lt;nominal&gt;5&lt;/nominal&gt;</v>
      </c>
      <c r="B4875" t="s">
        <v>631</v>
      </c>
    </row>
    <row r="4876" spans="1:8" x14ac:dyDescent="0.25">
      <c r="A4876" t="str">
        <f>"&lt;lifetime&gt;" &amp;$E$4874&amp;"&lt;/lifetime&gt;"</f>
        <v>&lt;lifetime&gt;7200&lt;/lifetime&gt;</v>
      </c>
      <c r="B4876" t="s">
        <v>631</v>
      </c>
    </row>
    <row r="4877" spans="1:8" x14ac:dyDescent="0.25">
      <c r="A4877" t="str">
        <f>"&lt;restock&gt;" &amp;$F$4874&amp;"&lt;/restock&gt;"</f>
        <v>&lt;restock&gt;0&lt;/restock&gt;</v>
      </c>
      <c r="B4877" t="s">
        <v>631</v>
      </c>
    </row>
    <row r="4878" spans="1:8" x14ac:dyDescent="0.25">
      <c r="A4878" t="str">
        <f>"&lt;min&gt;" &amp;$G$4874&amp;"&lt;/min&gt;"</f>
        <v>&lt;min&gt;2&lt;/min&gt;</v>
      </c>
      <c r="B4878" t="s">
        <v>631</v>
      </c>
    </row>
    <row r="4879" spans="1:8" x14ac:dyDescent="0.25">
      <c r="A4879" t="s">
        <v>16</v>
      </c>
      <c r="B4879" t="s">
        <v>631</v>
      </c>
    </row>
    <row r="4880" spans="1:8" x14ac:dyDescent="0.25">
      <c r="A4880" t="s">
        <v>17</v>
      </c>
      <c r="B4880" t="s">
        <v>631</v>
      </c>
    </row>
    <row r="4881" spans="1:8" x14ac:dyDescent="0.25">
      <c r="A4881" t="s">
        <v>18</v>
      </c>
      <c r="B4881" t="s">
        <v>631</v>
      </c>
    </row>
    <row r="4882" spans="1:8" x14ac:dyDescent="0.25">
      <c r="A4882" t="str">
        <f xml:space="preserve"> $H$4874</f>
        <v>&lt;flags count_in_cargo="0" count_in_hoarder="0" count_in_map="1" count_in_player="0" crafted="0" deloot="0"/&gt;</v>
      </c>
      <c r="B4882" t="s">
        <v>631</v>
      </c>
    </row>
    <row r="4883" spans="1:8" x14ac:dyDescent="0.25">
      <c r="A4883" t="str">
        <f>"&lt;category name=" &amp;"""" &amp;$C$4874&amp;"""/&gt;"</f>
        <v>&lt;category name="weapons"/&gt;</v>
      </c>
      <c r="B4883" t="s">
        <v>631</v>
      </c>
    </row>
    <row r="4884" spans="1:8" x14ac:dyDescent="0.25">
      <c r="A4884" t="s">
        <v>29</v>
      </c>
      <c r="B4884" t="s">
        <v>631</v>
      </c>
    </row>
    <row r="4885" spans="1:8" x14ac:dyDescent="0.25">
      <c r="A4885" t="s">
        <v>31</v>
      </c>
      <c r="B4885" t="s">
        <v>631</v>
      </c>
    </row>
    <row r="4886" spans="1:8" x14ac:dyDescent="0.25">
      <c r="A4886" t="s">
        <v>307</v>
      </c>
      <c r="B4886" t="s">
        <v>631</v>
      </c>
    </row>
    <row r="4887" spans="1:8" x14ac:dyDescent="0.25">
      <c r="A4887" t="s">
        <v>22</v>
      </c>
      <c r="B4887" t="s">
        <v>631</v>
      </c>
    </row>
    <row r="4888" spans="1:8" x14ac:dyDescent="0.25">
      <c r="A4888" t="s">
        <v>1775</v>
      </c>
      <c r="B4888" t="s">
        <v>632</v>
      </c>
      <c r="C4888" t="s">
        <v>8</v>
      </c>
      <c r="D4888">
        <v>5</v>
      </c>
      <c r="E4888">
        <v>7200</v>
      </c>
      <c r="F4888">
        <v>0</v>
      </c>
      <c r="G4888">
        <v>2</v>
      </c>
      <c r="H4888" t="s">
        <v>19</v>
      </c>
    </row>
    <row r="4889" spans="1:8" x14ac:dyDescent="0.25">
      <c r="A4889" t="str">
        <f>"&lt;nominal&gt;" &amp;$D$4888&amp;"&lt;/nominal&gt;"</f>
        <v>&lt;nominal&gt;5&lt;/nominal&gt;</v>
      </c>
      <c r="B4889" t="s">
        <v>632</v>
      </c>
    </row>
    <row r="4890" spans="1:8" x14ac:dyDescent="0.25">
      <c r="A4890" t="str">
        <f>"&lt;lifetime&gt;" &amp;$E$4888&amp;"&lt;/lifetime&gt;"</f>
        <v>&lt;lifetime&gt;7200&lt;/lifetime&gt;</v>
      </c>
      <c r="B4890" t="s">
        <v>632</v>
      </c>
    </row>
    <row r="4891" spans="1:8" x14ac:dyDescent="0.25">
      <c r="A4891" t="str">
        <f>"&lt;restock&gt;" &amp;$F$4888&amp;"&lt;/restock&gt;"</f>
        <v>&lt;restock&gt;0&lt;/restock&gt;</v>
      </c>
      <c r="B4891" t="s">
        <v>632</v>
      </c>
    </row>
    <row r="4892" spans="1:8" x14ac:dyDescent="0.25">
      <c r="A4892" t="str">
        <f>"&lt;min&gt;" &amp;$G$4888&amp;"&lt;/min&gt;"</f>
        <v>&lt;min&gt;2&lt;/min&gt;</v>
      </c>
      <c r="B4892" t="s">
        <v>632</v>
      </c>
    </row>
    <row r="4893" spans="1:8" x14ac:dyDescent="0.25">
      <c r="A4893" t="s">
        <v>16</v>
      </c>
      <c r="B4893" t="s">
        <v>632</v>
      </c>
    </row>
    <row r="4894" spans="1:8" x14ac:dyDescent="0.25">
      <c r="A4894" t="s">
        <v>17</v>
      </c>
      <c r="B4894" t="s">
        <v>632</v>
      </c>
    </row>
    <row r="4895" spans="1:8" x14ac:dyDescent="0.25">
      <c r="A4895" t="s">
        <v>18</v>
      </c>
      <c r="B4895" t="s">
        <v>632</v>
      </c>
    </row>
    <row r="4896" spans="1:8" x14ac:dyDescent="0.25">
      <c r="A4896" t="str">
        <f xml:space="preserve"> $H$4888</f>
        <v>&lt;flags count_in_cargo="0" count_in_hoarder="0" count_in_map="1" count_in_player="0" crafted="0" deloot="0"/&gt;</v>
      </c>
      <c r="B4896" t="s">
        <v>632</v>
      </c>
    </row>
    <row r="4897" spans="1:8" x14ac:dyDescent="0.25">
      <c r="A4897" t="str">
        <f>"&lt;category name=" &amp;"""" &amp;$C$4888&amp;"""/&gt;"</f>
        <v>&lt;category name="weapons"/&gt;</v>
      </c>
      <c r="B4897" t="s">
        <v>632</v>
      </c>
    </row>
    <row r="4898" spans="1:8" x14ac:dyDescent="0.25">
      <c r="A4898" t="s">
        <v>29</v>
      </c>
      <c r="B4898" t="s">
        <v>632</v>
      </c>
    </row>
    <row r="4899" spans="1:8" x14ac:dyDescent="0.25">
      <c r="A4899" t="s">
        <v>31</v>
      </c>
      <c r="B4899" t="s">
        <v>632</v>
      </c>
    </row>
    <row r="4900" spans="1:8" x14ac:dyDescent="0.25">
      <c r="A4900" t="s">
        <v>307</v>
      </c>
      <c r="B4900" t="s">
        <v>632</v>
      </c>
    </row>
    <row r="4901" spans="1:8" x14ac:dyDescent="0.25">
      <c r="A4901" t="s">
        <v>22</v>
      </c>
      <c r="B4901" t="s">
        <v>632</v>
      </c>
    </row>
    <row r="4902" spans="1:8" x14ac:dyDescent="0.25">
      <c r="A4902" t="s">
        <v>1776</v>
      </c>
      <c r="B4902" t="s">
        <v>3400</v>
      </c>
      <c r="C4902" t="s">
        <v>426</v>
      </c>
      <c r="D4902">
        <v>0</v>
      </c>
      <c r="E4902">
        <v>3888000</v>
      </c>
      <c r="F4902">
        <v>0</v>
      </c>
      <c r="G4902">
        <v>0</v>
      </c>
      <c r="H4902" t="s">
        <v>62</v>
      </c>
    </row>
    <row r="4903" spans="1:8" x14ac:dyDescent="0.25">
      <c r="A4903" t="str">
        <f>"&lt;nominal&gt;" &amp;$D$4902&amp;"&lt;/nominal&gt;"</f>
        <v>&lt;nominal&gt;0&lt;/nominal&gt;</v>
      </c>
      <c r="B4903" t="s">
        <v>3400</v>
      </c>
    </row>
    <row r="4904" spans="1:8" x14ac:dyDescent="0.25">
      <c r="A4904" t="str">
        <f>"&lt;lifetime&gt;" &amp;$E$4902&amp;"&lt;/lifetime&gt;"</f>
        <v>&lt;lifetime&gt;3888000&lt;/lifetime&gt;</v>
      </c>
      <c r="B4904" t="s">
        <v>3400</v>
      </c>
    </row>
    <row r="4905" spans="1:8" x14ac:dyDescent="0.25">
      <c r="A4905" t="str">
        <f>"&lt;restock&gt;" &amp;$F$4902&amp;"&lt;/restock&gt;"</f>
        <v>&lt;restock&gt;0&lt;/restock&gt;</v>
      </c>
      <c r="B4905" t="s">
        <v>3400</v>
      </c>
    </row>
    <row r="4906" spans="1:8" x14ac:dyDescent="0.25">
      <c r="A4906" t="str">
        <f>"&lt;min&gt;" &amp;$G$4902&amp;"&lt;/min&gt;"</f>
        <v>&lt;min&gt;0&lt;/min&gt;</v>
      </c>
      <c r="B4906" t="s">
        <v>3400</v>
      </c>
    </row>
    <row r="4907" spans="1:8" x14ac:dyDescent="0.25">
      <c r="A4907" t="s">
        <v>16</v>
      </c>
      <c r="B4907" t="s">
        <v>3400</v>
      </c>
    </row>
    <row r="4908" spans="1:8" x14ac:dyDescent="0.25">
      <c r="A4908" t="s">
        <v>17</v>
      </c>
      <c r="B4908" t="s">
        <v>3400</v>
      </c>
    </row>
    <row r="4909" spans="1:8" x14ac:dyDescent="0.25">
      <c r="A4909" t="s">
        <v>18</v>
      </c>
      <c r="B4909" t="s">
        <v>3400</v>
      </c>
    </row>
    <row r="4910" spans="1:8" x14ac:dyDescent="0.25">
      <c r="A4910" t="str">
        <f xml:space="preserve"> $H$4902</f>
        <v>&lt;flags count_in_cargo="0" count_in_hoarder="0" count_in_map="1" count_in_player="0" crafted="1" deloot="0"/&gt;</v>
      </c>
      <c r="B4910" t="s">
        <v>3400</v>
      </c>
    </row>
    <row r="4911" spans="1:8" x14ac:dyDescent="0.25">
      <c r="A4911" t="str">
        <f>"&lt;category name=" &amp;"""" &amp;$C$4902&amp;"""/&gt;"</f>
        <v>&lt;category name="tools"/&gt;</v>
      </c>
      <c r="B4911" t="s">
        <v>3400</v>
      </c>
    </row>
    <row r="4912" spans="1:8" x14ac:dyDescent="0.25">
      <c r="A4912" t="s">
        <v>22</v>
      </c>
      <c r="B4912" t="s">
        <v>3400</v>
      </c>
    </row>
    <row r="4913" spans="1:8" x14ac:dyDescent="0.25">
      <c r="A4913" t="s">
        <v>1777</v>
      </c>
      <c r="B4913" t="s">
        <v>3401</v>
      </c>
      <c r="C4913" t="s">
        <v>426</v>
      </c>
      <c r="D4913">
        <v>0</v>
      </c>
      <c r="E4913">
        <v>7200</v>
      </c>
      <c r="F4913">
        <v>0</v>
      </c>
      <c r="G4913">
        <v>0</v>
      </c>
      <c r="H4913" t="s">
        <v>62</v>
      </c>
    </row>
    <row r="4914" spans="1:8" x14ac:dyDescent="0.25">
      <c r="A4914" t="str">
        <f>"&lt;nominal&gt;" &amp;$D$4913&amp;"&lt;/nominal&gt;"</f>
        <v>&lt;nominal&gt;0&lt;/nominal&gt;</v>
      </c>
      <c r="B4914" t="s">
        <v>3401</v>
      </c>
    </row>
    <row r="4915" spans="1:8" x14ac:dyDescent="0.25">
      <c r="A4915" t="str">
        <f>"&lt;lifetime&gt;" &amp;$E$4913&amp;"&lt;/lifetime&gt;"</f>
        <v>&lt;lifetime&gt;7200&lt;/lifetime&gt;</v>
      </c>
      <c r="B4915" t="s">
        <v>3401</v>
      </c>
    </row>
    <row r="4916" spans="1:8" x14ac:dyDescent="0.25">
      <c r="A4916" t="str">
        <f>"&lt;restock&gt;" &amp;$F$4913&amp;"&lt;/restock&gt;"</f>
        <v>&lt;restock&gt;0&lt;/restock&gt;</v>
      </c>
      <c r="B4916" t="s">
        <v>3401</v>
      </c>
    </row>
    <row r="4917" spans="1:8" x14ac:dyDescent="0.25">
      <c r="A4917" t="str">
        <f>"&lt;min&gt;" &amp;$G$4913&amp;"&lt;/min&gt;"</f>
        <v>&lt;min&gt;0&lt;/min&gt;</v>
      </c>
      <c r="B4917" t="s">
        <v>3401</v>
      </c>
    </row>
    <row r="4918" spans="1:8" x14ac:dyDescent="0.25">
      <c r="A4918" t="s">
        <v>16</v>
      </c>
      <c r="B4918" t="s">
        <v>3401</v>
      </c>
    </row>
    <row r="4919" spans="1:8" x14ac:dyDescent="0.25">
      <c r="A4919" t="s">
        <v>17</v>
      </c>
      <c r="B4919" t="s">
        <v>3401</v>
      </c>
    </row>
    <row r="4920" spans="1:8" x14ac:dyDescent="0.25">
      <c r="A4920" t="s">
        <v>18</v>
      </c>
      <c r="B4920" t="s">
        <v>3401</v>
      </c>
    </row>
    <row r="4921" spans="1:8" x14ac:dyDescent="0.25">
      <c r="A4921" t="str">
        <f xml:space="preserve"> $H$4913</f>
        <v>&lt;flags count_in_cargo="0" count_in_hoarder="0" count_in_map="1" count_in_player="0" crafted="1" deloot="0"/&gt;</v>
      </c>
      <c r="B4921" t="s">
        <v>3401</v>
      </c>
    </row>
    <row r="4922" spans="1:8" x14ac:dyDescent="0.25">
      <c r="A4922" t="str">
        <f>"&lt;category name=" &amp;"""" &amp;$C$4913&amp;"""/&gt;"</f>
        <v>&lt;category name="tools"/&gt;</v>
      </c>
      <c r="B4922" t="s">
        <v>3401</v>
      </c>
    </row>
    <row r="4923" spans="1:8" x14ac:dyDescent="0.25">
      <c r="A4923" t="s">
        <v>22</v>
      </c>
      <c r="B4923" t="s">
        <v>3401</v>
      </c>
    </row>
    <row r="4924" spans="1:8" x14ac:dyDescent="0.25">
      <c r="A4924" t="s">
        <v>1778</v>
      </c>
      <c r="B4924" t="s">
        <v>633</v>
      </c>
      <c r="C4924" t="s">
        <v>426</v>
      </c>
      <c r="D4924">
        <v>10</v>
      </c>
      <c r="E4924">
        <v>7200</v>
      </c>
      <c r="F4924">
        <v>0</v>
      </c>
      <c r="G4924">
        <v>5</v>
      </c>
      <c r="H4924" t="s">
        <v>19</v>
      </c>
    </row>
    <row r="4925" spans="1:8" x14ac:dyDescent="0.25">
      <c r="A4925" t="str">
        <f>"&lt;nominal&gt;" &amp;$D$4924&amp;"&lt;/nominal&gt;"</f>
        <v>&lt;nominal&gt;10&lt;/nominal&gt;</v>
      </c>
      <c r="B4925" t="s">
        <v>633</v>
      </c>
    </row>
    <row r="4926" spans="1:8" x14ac:dyDescent="0.25">
      <c r="A4926" t="str">
        <f>"&lt;lifetime&gt;" &amp;$E$4924&amp;"&lt;/lifetime&gt;"</f>
        <v>&lt;lifetime&gt;7200&lt;/lifetime&gt;</v>
      </c>
      <c r="B4926" t="s">
        <v>633</v>
      </c>
    </row>
    <row r="4927" spans="1:8" x14ac:dyDescent="0.25">
      <c r="A4927" t="str">
        <f>"&lt;restock&gt;" &amp;$F$4924&amp;"&lt;/restock&gt;"</f>
        <v>&lt;restock&gt;0&lt;/restock&gt;</v>
      </c>
      <c r="B4927" t="s">
        <v>633</v>
      </c>
    </row>
    <row r="4928" spans="1:8" x14ac:dyDescent="0.25">
      <c r="A4928" t="str">
        <f>"&lt;min&gt;" &amp;$G$4924&amp;"&lt;/min&gt;"</f>
        <v>&lt;min&gt;5&lt;/min&gt;</v>
      </c>
      <c r="B4928" t="s">
        <v>633</v>
      </c>
    </row>
    <row r="4929" spans="1:8" x14ac:dyDescent="0.25">
      <c r="A4929" t="s">
        <v>16</v>
      </c>
      <c r="B4929" t="s">
        <v>633</v>
      </c>
    </row>
    <row r="4930" spans="1:8" x14ac:dyDescent="0.25">
      <c r="A4930" t="s">
        <v>17</v>
      </c>
      <c r="B4930" t="s">
        <v>633</v>
      </c>
    </row>
    <row r="4931" spans="1:8" x14ac:dyDescent="0.25">
      <c r="A4931" t="s">
        <v>18</v>
      </c>
      <c r="B4931" t="s">
        <v>633</v>
      </c>
    </row>
    <row r="4932" spans="1:8" x14ac:dyDescent="0.25">
      <c r="A4932" t="str">
        <f xml:space="preserve"> $H$4924</f>
        <v>&lt;flags count_in_cargo="0" count_in_hoarder="0" count_in_map="1" count_in_player="0" crafted="0" deloot="0"/&gt;</v>
      </c>
      <c r="B4932" t="s">
        <v>633</v>
      </c>
    </row>
    <row r="4933" spans="1:8" x14ac:dyDescent="0.25">
      <c r="A4933" t="str">
        <f>"&lt;category name=" &amp;"""" &amp;$C$4924&amp;"""/&gt;"</f>
        <v>&lt;category name="tools"/&gt;</v>
      </c>
      <c r="B4933" t="s">
        <v>633</v>
      </c>
    </row>
    <row r="4934" spans="1:8" x14ac:dyDescent="0.25">
      <c r="A4934" t="s">
        <v>25</v>
      </c>
      <c r="B4934" t="s">
        <v>633</v>
      </c>
    </row>
    <row r="4935" spans="1:8" x14ac:dyDescent="0.25">
      <c r="A4935" t="s">
        <v>26</v>
      </c>
      <c r="B4935" t="s">
        <v>633</v>
      </c>
    </row>
    <row r="4936" spans="1:8" x14ac:dyDescent="0.25">
      <c r="A4936" t="s">
        <v>22</v>
      </c>
      <c r="B4936" t="s">
        <v>633</v>
      </c>
    </row>
    <row r="4937" spans="1:8" x14ac:dyDescent="0.25">
      <c r="A4937" t="s">
        <v>1779</v>
      </c>
      <c r="B4937" t="s">
        <v>2953</v>
      </c>
      <c r="C4937" t="s">
        <v>426</v>
      </c>
      <c r="D4937">
        <v>0</v>
      </c>
      <c r="E4937">
        <v>7200</v>
      </c>
      <c r="F4937">
        <v>0</v>
      </c>
      <c r="G4937">
        <v>0</v>
      </c>
      <c r="H4937" t="s">
        <v>62</v>
      </c>
    </row>
    <row r="4938" spans="1:8" x14ac:dyDescent="0.25">
      <c r="A4938" t="str">
        <f>"&lt;nominal&gt;" &amp;$D$4937&amp;"&lt;/nominal&gt;"</f>
        <v>&lt;nominal&gt;0&lt;/nominal&gt;</v>
      </c>
      <c r="B4938" t="s">
        <v>2953</v>
      </c>
    </row>
    <row r="4939" spans="1:8" x14ac:dyDescent="0.25">
      <c r="A4939" t="str">
        <f>"&lt;lifetime&gt;" &amp;$E$4937&amp;"&lt;/lifetime&gt;"</f>
        <v>&lt;lifetime&gt;7200&lt;/lifetime&gt;</v>
      </c>
      <c r="B4939" t="s">
        <v>2953</v>
      </c>
    </row>
    <row r="4940" spans="1:8" x14ac:dyDescent="0.25">
      <c r="A4940" t="str">
        <f>"&lt;restock&gt;" &amp;$F$4937&amp;"&lt;/restock&gt;"</f>
        <v>&lt;restock&gt;0&lt;/restock&gt;</v>
      </c>
      <c r="B4940" t="s">
        <v>2953</v>
      </c>
    </row>
    <row r="4941" spans="1:8" x14ac:dyDescent="0.25">
      <c r="A4941" t="str">
        <f>"&lt;min&gt;" &amp;$G$4937&amp;"&lt;/min&gt;"</f>
        <v>&lt;min&gt;0&lt;/min&gt;</v>
      </c>
      <c r="B4941" t="s">
        <v>2953</v>
      </c>
    </row>
    <row r="4942" spans="1:8" x14ac:dyDescent="0.25">
      <c r="A4942" t="s">
        <v>16</v>
      </c>
      <c r="B4942" t="s">
        <v>2953</v>
      </c>
    </row>
    <row r="4943" spans="1:8" x14ac:dyDescent="0.25">
      <c r="A4943" t="s">
        <v>17</v>
      </c>
      <c r="B4943" t="s">
        <v>2953</v>
      </c>
    </row>
    <row r="4944" spans="1:8" x14ac:dyDescent="0.25">
      <c r="A4944" t="s">
        <v>18</v>
      </c>
      <c r="B4944" t="s">
        <v>2953</v>
      </c>
    </row>
    <row r="4945" spans="1:8" x14ac:dyDescent="0.25">
      <c r="A4945" t="str">
        <f xml:space="preserve"> $H$4937</f>
        <v>&lt;flags count_in_cargo="0" count_in_hoarder="0" count_in_map="1" count_in_player="0" crafted="1" deloot="0"/&gt;</v>
      </c>
      <c r="B4945" t="s">
        <v>2953</v>
      </c>
    </row>
    <row r="4946" spans="1:8" x14ac:dyDescent="0.25">
      <c r="A4946" t="str">
        <f>"&lt;category name=" &amp;"""" &amp;$C$4937&amp;"""/&gt;"</f>
        <v>&lt;category name="tools"/&gt;</v>
      </c>
      <c r="B4946" t="s">
        <v>2953</v>
      </c>
    </row>
    <row r="4947" spans="1:8" x14ac:dyDescent="0.25">
      <c r="A4947" t="s">
        <v>22</v>
      </c>
      <c r="B4947" t="s">
        <v>2953</v>
      </c>
    </row>
    <row r="4948" spans="1:8" x14ac:dyDescent="0.25">
      <c r="A4948" t="s">
        <v>1780</v>
      </c>
      <c r="B4948" t="s">
        <v>2954</v>
      </c>
      <c r="C4948" t="s">
        <v>426</v>
      </c>
      <c r="D4948">
        <v>0</v>
      </c>
      <c r="E4948">
        <v>7200</v>
      </c>
      <c r="F4948">
        <v>0</v>
      </c>
      <c r="G4948">
        <v>0</v>
      </c>
      <c r="H4948" t="s">
        <v>62</v>
      </c>
    </row>
    <row r="4949" spans="1:8" x14ac:dyDescent="0.25">
      <c r="A4949" t="str">
        <f>"&lt;nominal&gt;" &amp;$D$4948&amp;"&lt;/nominal&gt;"</f>
        <v>&lt;nominal&gt;0&lt;/nominal&gt;</v>
      </c>
      <c r="B4949" t="s">
        <v>2954</v>
      </c>
    </row>
    <row r="4950" spans="1:8" x14ac:dyDescent="0.25">
      <c r="A4950" t="str">
        <f>"&lt;lifetime&gt;" &amp;$E$4948&amp;"&lt;/lifetime&gt;"</f>
        <v>&lt;lifetime&gt;7200&lt;/lifetime&gt;</v>
      </c>
      <c r="B4950" t="s">
        <v>2954</v>
      </c>
    </row>
    <row r="4951" spans="1:8" x14ac:dyDescent="0.25">
      <c r="A4951" t="str">
        <f>"&lt;restock&gt;" &amp;$F$4948&amp;"&lt;/restock&gt;"</f>
        <v>&lt;restock&gt;0&lt;/restock&gt;</v>
      </c>
      <c r="B4951" t="s">
        <v>2954</v>
      </c>
    </row>
    <row r="4952" spans="1:8" x14ac:dyDescent="0.25">
      <c r="A4952" t="str">
        <f>"&lt;min&gt;" &amp;$G$4948&amp;"&lt;/min&gt;"</f>
        <v>&lt;min&gt;0&lt;/min&gt;</v>
      </c>
      <c r="B4952" t="s">
        <v>2954</v>
      </c>
    </row>
    <row r="4953" spans="1:8" x14ac:dyDescent="0.25">
      <c r="A4953" t="s">
        <v>16</v>
      </c>
      <c r="B4953" t="s">
        <v>2954</v>
      </c>
    </row>
    <row r="4954" spans="1:8" x14ac:dyDescent="0.25">
      <c r="A4954" t="s">
        <v>17</v>
      </c>
      <c r="B4954" t="s">
        <v>2954</v>
      </c>
    </row>
    <row r="4955" spans="1:8" x14ac:dyDescent="0.25">
      <c r="A4955" t="s">
        <v>18</v>
      </c>
      <c r="B4955" t="s">
        <v>2954</v>
      </c>
    </row>
    <row r="4956" spans="1:8" x14ac:dyDescent="0.25">
      <c r="A4956" t="str">
        <f xml:space="preserve"> $H$4948</f>
        <v>&lt;flags count_in_cargo="0" count_in_hoarder="0" count_in_map="1" count_in_player="0" crafted="1" deloot="0"/&gt;</v>
      </c>
      <c r="B4956" t="s">
        <v>2954</v>
      </c>
    </row>
    <row r="4957" spans="1:8" x14ac:dyDescent="0.25">
      <c r="A4957" t="str">
        <f>"&lt;category name=" &amp;"""" &amp;$C$4948&amp;"""/&gt;"</f>
        <v>&lt;category name="tools"/&gt;</v>
      </c>
      <c r="B4957" t="s">
        <v>2954</v>
      </c>
    </row>
    <row r="4958" spans="1:8" x14ac:dyDescent="0.25">
      <c r="A4958" t="s">
        <v>22</v>
      </c>
      <c r="B4958" t="s">
        <v>2954</v>
      </c>
    </row>
    <row r="4959" spans="1:8" x14ac:dyDescent="0.25">
      <c r="A4959" t="s">
        <v>1781</v>
      </c>
      <c r="B4959" t="s">
        <v>634</v>
      </c>
      <c r="C4959" t="s">
        <v>403</v>
      </c>
      <c r="D4959">
        <v>5</v>
      </c>
      <c r="E4959">
        <v>5600</v>
      </c>
      <c r="F4959">
        <v>0</v>
      </c>
      <c r="G4959">
        <v>3</v>
      </c>
      <c r="H4959" t="s">
        <v>19</v>
      </c>
    </row>
    <row r="4960" spans="1:8" x14ac:dyDescent="0.25">
      <c r="A4960" t="str">
        <f>"&lt;nominal&gt;" &amp;$D$4959&amp;"&lt;/nominal&gt;"</f>
        <v>&lt;nominal&gt;5&lt;/nominal&gt;</v>
      </c>
      <c r="B4960" t="s">
        <v>634</v>
      </c>
    </row>
    <row r="4961" spans="1:8" x14ac:dyDescent="0.25">
      <c r="A4961" t="str">
        <f>"&lt;lifetime&gt;" &amp;$E$4959&amp;"&lt;/lifetime&gt;"</f>
        <v>&lt;lifetime&gt;5600&lt;/lifetime&gt;</v>
      </c>
      <c r="B4961" t="s">
        <v>634</v>
      </c>
    </row>
    <row r="4962" spans="1:8" x14ac:dyDescent="0.25">
      <c r="A4962" t="str">
        <f>"&lt;restock&gt;" &amp;$F$4959&amp;"&lt;/restock&gt;"</f>
        <v>&lt;restock&gt;0&lt;/restock&gt;</v>
      </c>
      <c r="B4962" t="s">
        <v>634</v>
      </c>
    </row>
    <row r="4963" spans="1:8" x14ac:dyDescent="0.25">
      <c r="A4963" t="str">
        <f>"&lt;min&gt;" &amp;$G$4959&amp;"&lt;/min&gt;"</f>
        <v>&lt;min&gt;3&lt;/min&gt;</v>
      </c>
      <c r="B4963" t="s">
        <v>634</v>
      </c>
    </row>
    <row r="4964" spans="1:8" x14ac:dyDescent="0.25">
      <c r="A4964" t="s">
        <v>16</v>
      </c>
      <c r="B4964" t="s">
        <v>634</v>
      </c>
    </row>
    <row r="4965" spans="1:8" x14ac:dyDescent="0.25">
      <c r="A4965" t="s">
        <v>17</v>
      </c>
      <c r="B4965" t="s">
        <v>634</v>
      </c>
    </row>
    <row r="4966" spans="1:8" x14ac:dyDescent="0.25">
      <c r="A4966" t="s">
        <v>18</v>
      </c>
      <c r="B4966" t="s">
        <v>634</v>
      </c>
    </row>
    <row r="4967" spans="1:8" x14ac:dyDescent="0.25">
      <c r="A4967" t="str">
        <f xml:space="preserve"> $H$4959</f>
        <v>&lt;flags count_in_cargo="0" count_in_hoarder="0" count_in_map="1" count_in_player="0" crafted="0" deloot="0"/&gt;</v>
      </c>
      <c r="B4967" t="s">
        <v>634</v>
      </c>
    </row>
    <row r="4968" spans="1:8" x14ac:dyDescent="0.25">
      <c r="A4968" t="str">
        <f>"&lt;category name=" &amp;"""" &amp;$C$4959&amp;"""/&gt;"</f>
        <v>&lt;category name="clothes"/&gt;</v>
      </c>
      <c r="B4968" t="s">
        <v>634</v>
      </c>
    </row>
    <row r="4969" spans="1:8" x14ac:dyDescent="0.25">
      <c r="A4969" t="s">
        <v>26</v>
      </c>
      <c r="B4969" t="s">
        <v>634</v>
      </c>
    </row>
    <row r="4970" spans="1:8" x14ac:dyDescent="0.25">
      <c r="A4970" t="s">
        <v>22</v>
      </c>
      <c r="B4970" t="s">
        <v>634</v>
      </c>
    </row>
    <row r="4971" spans="1:8" x14ac:dyDescent="0.25">
      <c r="A4971" t="s">
        <v>1782</v>
      </c>
      <c r="B4971" t="s">
        <v>635</v>
      </c>
      <c r="C4971" t="s">
        <v>403</v>
      </c>
      <c r="D4971">
        <v>5</v>
      </c>
      <c r="E4971">
        <v>5600</v>
      </c>
      <c r="F4971">
        <v>0</v>
      </c>
      <c r="G4971">
        <v>3</v>
      </c>
      <c r="H4971" t="s">
        <v>19</v>
      </c>
    </row>
    <row r="4972" spans="1:8" x14ac:dyDescent="0.25">
      <c r="A4972" t="str">
        <f>"&lt;nominal&gt;" &amp;$D$4971&amp;"&lt;/nominal&gt;"</f>
        <v>&lt;nominal&gt;5&lt;/nominal&gt;</v>
      </c>
      <c r="B4972" t="s">
        <v>635</v>
      </c>
    </row>
    <row r="4973" spans="1:8" x14ac:dyDescent="0.25">
      <c r="A4973" t="str">
        <f>"&lt;lifetime&gt;" &amp;$E$4971&amp;"&lt;/lifetime&gt;"</f>
        <v>&lt;lifetime&gt;5600&lt;/lifetime&gt;</v>
      </c>
      <c r="B4973" t="s">
        <v>635</v>
      </c>
    </row>
    <row r="4974" spans="1:8" x14ac:dyDescent="0.25">
      <c r="A4974" t="str">
        <f>"&lt;restock&gt;" &amp;$F$4971&amp;"&lt;/restock&gt;"</f>
        <v>&lt;restock&gt;0&lt;/restock&gt;</v>
      </c>
      <c r="B4974" t="s">
        <v>635</v>
      </c>
    </row>
    <row r="4975" spans="1:8" x14ac:dyDescent="0.25">
      <c r="A4975" t="str">
        <f>"&lt;min&gt;" &amp;$G$4971&amp;"&lt;/min&gt;"</f>
        <v>&lt;min&gt;3&lt;/min&gt;</v>
      </c>
      <c r="B4975" t="s">
        <v>635</v>
      </c>
    </row>
    <row r="4976" spans="1:8" x14ac:dyDescent="0.25">
      <c r="A4976" t="s">
        <v>16</v>
      </c>
      <c r="B4976" t="s">
        <v>635</v>
      </c>
    </row>
    <row r="4977" spans="1:8" x14ac:dyDescent="0.25">
      <c r="A4977" t="s">
        <v>17</v>
      </c>
      <c r="B4977" t="s">
        <v>635</v>
      </c>
    </row>
    <row r="4978" spans="1:8" x14ac:dyDescent="0.25">
      <c r="A4978" t="s">
        <v>18</v>
      </c>
      <c r="B4978" t="s">
        <v>635</v>
      </c>
    </row>
    <row r="4979" spans="1:8" x14ac:dyDescent="0.25">
      <c r="A4979" t="str">
        <f xml:space="preserve"> $H$4971</f>
        <v>&lt;flags count_in_cargo="0" count_in_hoarder="0" count_in_map="1" count_in_player="0" crafted="0" deloot="0"/&gt;</v>
      </c>
      <c r="B4979" t="s">
        <v>635</v>
      </c>
    </row>
    <row r="4980" spans="1:8" x14ac:dyDescent="0.25">
      <c r="A4980" t="str">
        <f>"&lt;category name=" &amp;"""" &amp;$C$4971&amp;"""/&gt;"</f>
        <v>&lt;category name="clothes"/&gt;</v>
      </c>
      <c r="B4980" t="s">
        <v>635</v>
      </c>
    </row>
    <row r="4981" spans="1:8" x14ac:dyDescent="0.25">
      <c r="A4981" t="s">
        <v>26</v>
      </c>
      <c r="B4981" t="s">
        <v>635</v>
      </c>
    </row>
    <row r="4982" spans="1:8" x14ac:dyDescent="0.25">
      <c r="A4982" t="s">
        <v>22</v>
      </c>
      <c r="B4982" t="s">
        <v>635</v>
      </c>
    </row>
    <row r="4983" spans="1:8" x14ac:dyDescent="0.25">
      <c r="A4983" t="s">
        <v>1783</v>
      </c>
      <c r="B4983" t="s">
        <v>636</v>
      </c>
      <c r="C4983" t="s">
        <v>403</v>
      </c>
      <c r="D4983">
        <v>5</v>
      </c>
      <c r="E4983">
        <v>5600</v>
      </c>
      <c r="F4983">
        <v>0</v>
      </c>
      <c r="G4983">
        <v>3</v>
      </c>
      <c r="H4983" t="s">
        <v>19</v>
      </c>
    </row>
    <row r="4984" spans="1:8" x14ac:dyDescent="0.25">
      <c r="A4984" t="str">
        <f>"&lt;nominal&gt;" &amp;$D$4983&amp;"&lt;/nominal&gt;"</f>
        <v>&lt;nominal&gt;5&lt;/nominal&gt;</v>
      </c>
      <c r="B4984" t="s">
        <v>636</v>
      </c>
    </row>
    <row r="4985" spans="1:8" x14ac:dyDescent="0.25">
      <c r="A4985" t="str">
        <f>"&lt;lifetime&gt;" &amp;$E$4983&amp;"&lt;/lifetime&gt;"</f>
        <v>&lt;lifetime&gt;5600&lt;/lifetime&gt;</v>
      </c>
      <c r="B4985" t="s">
        <v>636</v>
      </c>
    </row>
    <row r="4986" spans="1:8" x14ac:dyDescent="0.25">
      <c r="A4986" t="str">
        <f>"&lt;restock&gt;" &amp;$F$4983&amp;"&lt;/restock&gt;"</f>
        <v>&lt;restock&gt;0&lt;/restock&gt;</v>
      </c>
      <c r="B4986" t="s">
        <v>636</v>
      </c>
    </row>
    <row r="4987" spans="1:8" x14ac:dyDescent="0.25">
      <c r="A4987" t="str">
        <f>"&lt;min&gt;" &amp;$G$4983&amp;"&lt;/min&gt;"</f>
        <v>&lt;min&gt;3&lt;/min&gt;</v>
      </c>
      <c r="B4987" t="s">
        <v>636</v>
      </c>
    </row>
    <row r="4988" spans="1:8" x14ac:dyDescent="0.25">
      <c r="A4988" t="s">
        <v>16</v>
      </c>
      <c r="B4988" t="s">
        <v>636</v>
      </c>
    </row>
    <row r="4989" spans="1:8" x14ac:dyDescent="0.25">
      <c r="A4989" t="s">
        <v>17</v>
      </c>
      <c r="B4989" t="s">
        <v>636</v>
      </c>
    </row>
    <row r="4990" spans="1:8" x14ac:dyDescent="0.25">
      <c r="A4990" t="s">
        <v>18</v>
      </c>
      <c r="B4990" t="s">
        <v>636</v>
      </c>
    </row>
    <row r="4991" spans="1:8" x14ac:dyDescent="0.25">
      <c r="A4991" t="str">
        <f xml:space="preserve"> $H$4983</f>
        <v>&lt;flags count_in_cargo="0" count_in_hoarder="0" count_in_map="1" count_in_player="0" crafted="0" deloot="0"/&gt;</v>
      </c>
      <c r="B4991" t="s">
        <v>636</v>
      </c>
    </row>
    <row r="4992" spans="1:8" x14ac:dyDescent="0.25">
      <c r="A4992" t="str">
        <f>"&lt;category name=" &amp;"""" &amp;$C$4983&amp;"""/&gt;"</f>
        <v>&lt;category name="clothes"/&gt;</v>
      </c>
      <c r="B4992" t="s">
        <v>636</v>
      </c>
    </row>
    <row r="4993" spans="1:8" x14ac:dyDescent="0.25">
      <c r="A4993" t="s">
        <v>26</v>
      </c>
      <c r="B4993" t="s">
        <v>636</v>
      </c>
    </row>
    <row r="4994" spans="1:8" x14ac:dyDescent="0.25">
      <c r="A4994" t="s">
        <v>22</v>
      </c>
      <c r="B4994" t="s">
        <v>636</v>
      </c>
    </row>
    <row r="4995" spans="1:8" x14ac:dyDescent="0.25">
      <c r="A4995" t="s">
        <v>1784</v>
      </c>
      <c r="B4995" t="s">
        <v>637</v>
      </c>
      <c r="C4995" t="s">
        <v>403</v>
      </c>
      <c r="D4995">
        <v>5</v>
      </c>
      <c r="E4995">
        <v>5600</v>
      </c>
      <c r="F4995">
        <v>0</v>
      </c>
      <c r="G4995">
        <v>3</v>
      </c>
      <c r="H4995" t="s">
        <v>19</v>
      </c>
    </row>
    <row r="4996" spans="1:8" x14ac:dyDescent="0.25">
      <c r="A4996" t="str">
        <f>"&lt;nominal&gt;" &amp;$D$4995&amp;"&lt;/nominal&gt;"</f>
        <v>&lt;nominal&gt;5&lt;/nominal&gt;</v>
      </c>
      <c r="B4996" t="s">
        <v>637</v>
      </c>
    </row>
    <row r="4997" spans="1:8" x14ac:dyDescent="0.25">
      <c r="A4997" t="str">
        <f>"&lt;lifetime&gt;" &amp;$E$4995&amp;"&lt;/lifetime&gt;"</f>
        <v>&lt;lifetime&gt;5600&lt;/lifetime&gt;</v>
      </c>
      <c r="B4997" t="s">
        <v>637</v>
      </c>
    </row>
    <row r="4998" spans="1:8" x14ac:dyDescent="0.25">
      <c r="A4998" t="str">
        <f>"&lt;restock&gt;" &amp;$F$4995&amp;"&lt;/restock&gt;"</f>
        <v>&lt;restock&gt;0&lt;/restock&gt;</v>
      </c>
      <c r="B4998" t="s">
        <v>637</v>
      </c>
    </row>
    <row r="4999" spans="1:8" x14ac:dyDescent="0.25">
      <c r="A4999" t="str">
        <f>"&lt;min&gt;" &amp;$G$4995&amp;"&lt;/min&gt;"</f>
        <v>&lt;min&gt;3&lt;/min&gt;</v>
      </c>
      <c r="B4999" t="s">
        <v>637</v>
      </c>
    </row>
    <row r="5000" spans="1:8" x14ac:dyDescent="0.25">
      <c r="A5000" t="s">
        <v>16</v>
      </c>
      <c r="B5000" t="s">
        <v>637</v>
      </c>
    </row>
    <row r="5001" spans="1:8" x14ac:dyDescent="0.25">
      <c r="A5001" t="s">
        <v>17</v>
      </c>
      <c r="B5001" t="s">
        <v>637</v>
      </c>
    </row>
    <row r="5002" spans="1:8" x14ac:dyDescent="0.25">
      <c r="A5002" t="s">
        <v>18</v>
      </c>
      <c r="B5002" t="s">
        <v>637</v>
      </c>
    </row>
    <row r="5003" spans="1:8" x14ac:dyDescent="0.25">
      <c r="A5003" t="str">
        <f xml:space="preserve"> $H$4995</f>
        <v>&lt;flags count_in_cargo="0" count_in_hoarder="0" count_in_map="1" count_in_player="0" crafted="0" deloot="0"/&gt;</v>
      </c>
      <c r="B5003" t="s">
        <v>637</v>
      </c>
    </row>
    <row r="5004" spans="1:8" x14ac:dyDescent="0.25">
      <c r="A5004" t="str">
        <f>"&lt;category name=" &amp;"""" &amp;$C$4995&amp;"""/&gt;"</f>
        <v>&lt;category name="clothes"/&gt;</v>
      </c>
      <c r="B5004" t="s">
        <v>637</v>
      </c>
    </row>
    <row r="5005" spans="1:8" x14ac:dyDescent="0.25">
      <c r="A5005" t="s">
        <v>26</v>
      </c>
      <c r="B5005" t="s">
        <v>637</v>
      </c>
    </row>
    <row r="5006" spans="1:8" x14ac:dyDescent="0.25">
      <c r="A5006" t="s">
        <v>22</v>
      </c>
      <c r="B5006" t="s">
        <v>637</v>
      </c>
    </row>
    <row r="5007" spans="1:8" x14ac:dyDescent="0.25">
      <c r="A5007" t="s">
        <v>1785</v>
      </c>
      <c r="B5007" t="s">
        <v>638</v>
      </c>
      <c r="C5007" t="s">
        <v>403</v>
      </c>
      <c r="D5007">
        <v>5</v>
      </c>
      <c r="E5007">
        <v>5600</v>
      </c>
      <c r="F5007">
        <v>0</v>
      </c>
      <c r="G5007">
        <v>3</v>
      </c>
      <c r="H5007" t="s">
        <v>19</v>
      </c>
    </row>
    <row r="5008" spans="1:8" x14ac:dyDescent="0.25">
      <c r="A5008" t="str">
        <f>"&lt;nominal&gt;" &amp;$D$5007&amp;"&lt;/nominal&gt;"</f>
        <v>&lt;nominal&gt;5&lt;/nominal&gt;</v>
      </c>
      <c r="B5008" t="s">
        <v>638</v>
      </c>
    </row>
    <row r="5009" spans="1:8" x14ac:dyDescent="0.25">
      <c r="A5009" t="str">
        <f>"&lt;lifetime&gt;" &amp;$E$5007&amp;"&lt;/lifetime&gt;"</f>
        <v>&lt;lifetime&gt;5600&lt;/lifetime&gt;</v>
      </c>
      <c r="B5009" t="s">
        <v>638</v>
      </c>
    </row>
    <row r="5010" spans="1:8" x14ac:dyDescent="0.25">
      <c r="A5010" t="str">
        <f>"&lt;restock&gt;" &amp;$F$5007&amp;"&lt;/restock&gt;"</f>
        <v>&lt;restock&gt;0&lt;/restock&gt;</v>
      </c>
      <c r="B5010" t="s">
        <v>638</v>
      </c>
    </row>
    <row r="5011" spans="1:8" x14ac:dyDescent="0.25">
      <c r="A5011" t="str">
        <f>"&lt;min&gt;" &amp;$G$5007&amp;"&lt;/min&gt;"</f>
        <v>&lt;min&gt;3&lt;/min&gt;</v>
      </c>
      <c r="B5011" t="s">
        <v>638</v>
      </c>
    </row>
    <row r="5012" spans="1:8" x14ac:dyDescent="0.25">
      <c r="A5012" t="s">
        <v>16</v>
      </c>
      <c r="B5012" t="s">
        <v>638</v>
      </c>
    </row>
    <row r="5013" spans="1:8" x14ac:dyDescent="0.25">
      <c r="A5013" t="s">
        <v>17</v>
      </c>
      <c r="B5013" t="s">
        <v>638</v>
      </c>
    </row>
    <row r="5014" spans="1:8" x14ac:dyDescent="0.25">
      <c r="A5014" t="s">
        <v>18</v>
      </c>
      <c r="B5014" t="s">
        <v>638</v>
      </c>
    </row>
    <row r="5015" spans="1:8" x14ac:dyDescent="0.25">
      <c r="A5015" t="str">
        <f xml:space="preserve"> $H$5007</f>
        <v>&lt;flags count_in_cargo="0" count_in_hoarder="0" count_in_map="1" count_in_player="0" crafted="0" deloot="0"/&gt;</v>
      </c>
      <c r="B5015" t="s">
        <v>638</v>
      </c>
    </row>
    <row r="5016" spans="1:8" x14ac:dyDescent="0.25">
      <c r="A5016" t="str">
        <f>"&lt;category name=" &amp;"""" &amp;$C$5007&amp;"""/&gt;"</f>
        <v>&lt;category name="clothes"/&gt;</v>
      </c>
      <c r="B5016" t="s">
        <v>638</v>
      </c>
    </row>
    <row r="5017" spans="1:8" x14ac:dyDescent="0.25">
      <c r="A5017" t="s">
        <v>26</v>
      </c>
      <c r="B5017" t="s">
        <v>638</v>
      </c>
    </row>
    <row r="5018" spans="1:8" x14ac:dyDescent="0.25">
      <c r="A5018" t="s">
        <v>22</v>
      </c>
      <c r="B5018" t="s">
        <v>638</v>
      </c>
    </row>
    <row r="5019" spans="1:8" x14ac:dyDescent="0.25">
      <c r="A5019" t="s">
        <v>1786</v>
      </c>
      <c r="B5019" t="s">
        <v>639</v>
      </c>
      <c r="C5019" t="s">
        <v>403</v>
      </c>
      <c r="D5019">
        <v>5</v>
      </c>
      <c r="E5019">
        <v>5600</v>
      </c>
      <c r="F5019">
        <v>0</v>
      </c>
      <c r="G5019">
        <v>3</v>
      </c>
      <c r="H5019" t="s">
        <v>19</v>
      </c>
    </row>
    <row r="5020" spans="1:8" x14ac:dyDescent="0.25">
      <c r="A5020" t="str">
        <f>"&lt;nominal&gt;" &amp;$D$5019&amp;"&lt;/nominal&gt;"</f>
        <v>&lt;nominal&gt;5&lt;/nominal&gt;</v>
      </c>
      <c r="B5020" t="s">
        <v>639</v>
      </c>
    </row>
    <row r="5021" spans="1:8" x14ac:dyDescent="0.25">
      <c r="A5021" t="str">
        <f>"&lt;lifetime&gt;" &amp;$E$5019&amp;"&lt;/lifetime&gt;"</f>
        <v>&lt;lifetime&gt;5600&lt;/lifetime&gt;</v>
      </c>
      <c r="B5021" t="s">
        <v>639</v>
      </c>
    </row>
    <row r="5022" spans="1:8" x14ac:dyDescent="0.25">
      <c r="A5022" t="str">
        <f>"&lt;restock&gt;" &amp;$F$5019&amp;"&lt;/restock&gt;"</f>
        <v>&lt;restock&gt;0&lt;/restock&gt;</v>
      </c>
      <c r="B5022" t="s">
        <v>639</v>
      </c>
    </row>
    <row r="5023" spans="1:8" x14ac:dyDescent="0.25">
      <c r="A5023" t="str">
        <f>"&lt;min&gt;" &amp;$G$5019&amp;"&lt;/min&gt;"</f>
        <v>&lt;min&gt;3&lt;/min&gt;</v>
      </c>
      <c r="B5023" t="s">
        <v>639</v>
      </c>
    </row>
    <row r="5024" spans="1:8" x14ac:dyDescent="0.25">
      <c r="A5024" t="s">
        <v>16</v>
      </c>
      <c r="B5024" t="s">
        <v>639</v>
      </c>
    </row>
    <row r="5025" spans="1:8" x14ac:dyDescent="0.25">
      <c r="A5025" t="s">
        <v>17</v>
      </c>
      <c r="B5025" t="s">
        <v>639</v>
      </c>
    </row>
    <row r="5026" spans="1:8" x14ac:dyDescent="0.25">
      <c r="A5026" t="s">
        <v>18</v>
      </c>
      <c r="B5026" t="s">
        <v>639</v>
      </c>
    </row>
    <row r="5027" spans="1:8" x14ac:dyDescent="0.25">
      <c r="A5027" t="str">
        <f xml:space="preserve"> $H$5019</f>
        <v>&lt;flags count_in_cargo="0" count_in_hoarder="0" count_in_map="1" count_in_player="0" crafted="0" deloot="0"/&gt;</v>
      </c>
      <c r="B5027" t="s">
        <v>639</v>
      </c>
    </row>
    <row r="5028" spans="1:8" x14ac:dyDescent="0.25">
      <c r="A5028" t="str">
        <f>"&lt;category name=" &amp;"""" &amp;$C$5019&amp;"""/&gt;"</f>
        <v>&lt;category name="clothes"/&gt;</v>
      </c>
      <c r="B5028" t="s">
        <v>639</v>
      </c>
    </row>
    <row r="5029" spans="1:8" x14ac:dyDescent="0.25">
      <c r="A5029" t="s">
        <v>26</v>
      </c>
      <c r="B5029" t="s">
        <v>639</v>
      </c>
    </row>
    <row r="5030" spans="1:8" x14ac:dyDescent="0.25">
      <c r="A5030" t="s">
        <v>22</v>
      </c>
      <c r="B5030" t="s">
        <v>639</v>
      </c>
    </row>
    <row r="5031" spans="1:8" x14ac:dyDescent="0.25">
      <c r="A5031" t="s">
        <v>1787</v>
      </c>
      <c r="B5031" t="s">
        <v>640</v>
      </c>
      <c r="C5031" t="s">
        <v>403</v>
      </c>
      <c r="D5031">
        <v>5</v>
      </c>
      <c r="E5031">
        <v>5600</v>
      </c>
      <c r="F5031">
        <v>0</v>
      </c>
      <c r="G5031">
        <v>3</v>
      </c>
      <c r="H5031" t="s">
        <v>19</v>
      </c>
    </row>
    <row r="5032" spans="1:8" x14ac:dyDescent="0.25">
      <c r="A5032" t="str">
        <f>"&lt;nominal&gt;" &amp;$D$5031&amp;"&lt;/nominal&gt;"</f>
        <v>&lt;nominal&gt;5&lt;/nominal&gt;</v>
      </c>
      <c r="B5032" t="s">
        <v>640</v>
      </c>
    </row>
    <row r="5033" spans="1:8" x14ac:dyDescent="0.25">
      <c r="A5033" t="str">
        <f>"&lt;lifetime&gt;" &amp;$E$5031&amp;"&lt;/lifetime&gt;"</f>
        <v>&lt;lifetime&gt;5600&lt;/lifetime&gt;</v>
      </c>
      <c r="B5033" t="s">
        <v>640</v>
      </c>
    </row>
    <row r="5034" spans="1:8" x14ac:dyDescent="0.25">
      <c r="A5034" t="str">
        <f>"&lt;restock&gt;" &amp;$F$5031&amp;"&lt;/restock&gt;"</f>
        <v>&lt;restock&gt;0&lt;/restock&gt;</v>
      </c>
      <c r="B5034" t="s">
        <v>640</v>
      </c>
    </row>
    <row r="5035" spans="1:8" x14ac:dyDescent="0.25">
      <c r="A5035" t="str">
        <f>"&lt;min&gt;" &amp;$G$5031&amp;"&lt;/min&gt;"</f>
        <v>&lt;min&gt;3&lt;/min&gt;</v>
      </c>
      <c r="B5035" t="s">
        <v>640</v>
      </c>
    </row>
    <row r="5036" spans="1:8" x14ac:dyDescent="0.25">
      <c r="A5036" t="s">
        <v>16</v>
      </c>
      <c r="B5036" t="s">
        <v>640</v>
      </c>
    </row>
    <row r="5037" spans="1:8" x14ac:dyDescent="0.25">
      <c r="A5037" t="s">
        <v>17</v>
      </c>
      <c r="B5037" t="s">
        <v>640</v>
      </c>
    </row>
    <row r="5038" spans="1:8" x14ac:dyDescent="0.25">
      <c r="A5038" t="s">
        <v>18</v>
      </c>
      <c r="B5038" t="s">
        <v>640</v>
      </c>
    </row>
    <row r="5039" spans="1:8" x14ac:dyDescent="0.25">
      <c r="A5039" t="str">
        <f xml:space="preserve"> $H$5031</f>
        <v>&lt;flags count_in_cargo="0" count_in_hoarder="0" count_in_map="1" count_in_player="0" crafted="0" deloot="0"/&gt;</v>
      </c>
      <c r="B5039" t="s">
        <v>640</v>
      </c>
    </row>
    <row r="5040" spans="1:8" x14ac:dyDescent="0.25">
      <c r="A5040" t="str">
        <f>"&lt;category name=" &amp;"""" &amp;$C$5031&amp;"""/&gt;"</f>
        <v>&lt;category name="clothes"/&gt;</v>
      </c>
      <c r="B5040" t="s">
        <v>640</v>
      </c>
    </row>
    <row r="5041" spans="1:8" x14ac:dyDescent="0.25">
      <c r="A5041" t="s">
        <v>26</v>
      </c>
      <c r="B5041" t="s">
        <v>640</v>
      </c>
    </row>
    <row r="5042" spans="1:8" x14ac:dyDescent="0.25">
      <c r="A5042" t="s">
        <v>22</v>
      </c>
      <c r="B5042" t="s">
        <v>640</v>
      </c>
    </row>
    <row r="5043" spans="1:8" x14ac:dyDescent="0.25">
      <c r="A5043" t="s">
        <v>1788</v>
      </c>
      <c r="B5043" t="s">
        <v>3402</v>
      </c>
      <c r="D5043">
        <v>0</v>
      </c>
      <c r="E5043">
        <v>10800</v>
      </c>
      <c r="F5043">
        <v>0</v>
      </c>
      <c r="G5043">
        <v>0</v>
      </c>
      <c r="H5043" t="s">
        <v>62</v>
      </c>
    </row>
    <row r="5044" spans="1:8" x14ac:dyDescent="0.25">
      <c r="A5044" t="str">
        <f>"&lt;nominal&gt;" &amp;$D$5043&amp;"&lt;/nominal&gt;"</f>
        <v>&lt;nominal&gt;0&lt;/nominal&gt;</v>
      </c>
      <c r="B5044" t="s">
        <v>3402</v>
      </c>
    </row>
    <row r="5045" spans="1:8" x14ac:dyDescent="0.25">
      <c r="A5045" t="str">
        <f>"&lt;lifetime&gt;" &amp;$E$5043&amp;"&lt;/lifetime&gt;"</f>
        <v>&lt;lifetime&gt;10800&lt;/lifetime&gt;</v>
      </c>
      <c r="B5045" t="s">
        <v>3402</v>
      </c>
    </row>
    <row r="5046" spans="1:8" x14ac:dyDescent="0.25">
      <c r="A5046" t="str">
        <f>"&lt;restock&gt;" &amp;$F$5043&amp;"&lt;/restock&gt;"</f>
        <v>&lt;restock&gt;0&lt;/restock&gt;</v>
      </c>
      <c r="B5046" t="s">
        <v>3402</v>
      </c>
    </row>
    <row r="5047" spans="1:8" x14ac:dyDescent="0.25">
      <c r="A5047" t="str">
        <f>"&lt;min&gt;" &amp;$G$5043&amp;"&lt;/min&gt;"</f>
        <v>&lt;min&gt;0&lt;/min&gt;</v>
      </c>
      <c r="B5047" t="s">
        <v>3402</v>
      </c>
    </row>
    <row r="5048" spans="1:8" x14ac:dyDescent="0.25">
      <c r="A5048" t="s">
        <v>16</v>
      </c>
      <c r="B5048" t="s">
        <v>3402</v>
      </c>
    </row>
    <row r="5049" spans="1:8" x14ac:dyDescent="0.25">
      <c r="A5049" t="s">
        <v>17</v>
      </c>
      <c r="B5049" t="s">
        <v>3402</v>
      </c>
    </row>
    <row r="5050" spans="1:8" x14ac:dyDescent="0.25">
      <c r="A5050" t="s">
        <v>18</v>
      </c>
      <c r="B5050" t="s">
        <v>3402</v>
      </c>
    </row>
    <row r="5051" spans="1:8" x14ac:dyDescent="0.25">
      <c r="A5051" t="str">
        <f xml:space="preserve"> $H$5043</f>
        <v>&lt;flags count_in_cargo="0" count_in_hoarder="0" count_in_map="1" count_in_player="0" crafted="1" deloot="0"/&gt;</v>
      </c>
      <c r="B5051" t="s">
        <v>3402</v>
      </c>
    </row>
    <row r="5052" spans="1:8" x14ac:dyDescent="0.25">
      <c r="A5052" t="s">
        <v>22</v>
      </c>
      <c r="B5052" t="s">
        <v>3402</v>
      </c>
    </row>
    <row r="5053" spans="1:8" x14ac:dyDescent="0.25">
      <c r="A5053" t="s">
        <v>1789</v>
      </c>
      <c r="B5053" t="s">
        <v>3403</v>
      </c>
      <c r="D5053">
        <v>0</v>
      </c>
      <c r="E5053">
        <v>10800</v>
      </c>
      <c r="F5053">
        <v>0</v>
      </c>
      <c r="G5053">
        <v>0</v>
      </c>
      <c r="H5053" t="s">
        <v>62</v>
      </c>
    </row>
    <row r="5054" spans="1:8" x14ac:dyDescent="0.25">
      <c r="A5054" t="str">
        <f>"&lt;nominal&gt;" &amp;$D$5053&amp;"&lt;/nominal&gt;"</f>
        <v>&lt;nominal&gt;0&lt;/nominal&gt;</v>
      </c>
      <c r="B5054" t="s">
        <v>3403</v>
      </c>
    </row>
    <row r="5055" spans="1:8" x14ac:dyDescent="0.25">
      <c r="A5055" t="str">
        <f>"&lt;lifetime&gt;" &amp;$E$5053&amp;"&lt;/lifetime&gt;"</f>
        <v>&lt;lifetime&gt;10800&lt;/lifetime&gt;</v>
      </c>
      <c r="B5055" t="s">
        <v>3403</v>
      </c>
    </row>
    <row r="5056" spans="1:8" x14ac:dyDescent="0.25">
      <c r="A5056" t="str">
        <f>"&lt;restock&gt;" &amp;$F$5053&amp;"&lt;/restock&gt;"</f>
        <v>&lt;restock&gt;0&lt;/restock&gt;</v>
      </c>
      <c r="B5056" t="s">
        <v>3403</v>
      </c>
    </row>
    <row r="5057" spans="1:8" x14ac:dyDescent="0.25">
      <c r="A5057" t="str">
        <f>"&lt;min&gt;" &amp;$G$5053&amp;"&lt;/min&gt;"</f>
        <v>&lt;min&gt;0&lt;/min&gt;</v>
      </c>
      <c r="B5057" t="s">
        <v>3403</v>
      </c>
    </row>
    <row r="5058" spans="1:8" x14ac:dyDescent="0.25">
      <c r="A5058" t="s">
        <v>16</v>
      </c>
      <c r="B5058" t="s">
        <v>3403</v>
      </c>
    </row>
    <row r="5059" spans="1:8" x14ac:dyDescent="0.25">
      <c r="A5059" t="s">
        <v>17</v>
      </c>
      <c r="B5059" t="s">
        <v>3403</v>
      </c>
    </row>
    <row r="5060" spans="1:8" x14ac:dyDescent="0.25">
      <c r="A5060" t="s">
        <v>18</v>
      </c>
      <c r="B5060" t="s">
        <v>3403</v>
      </c>
    </row>
    <row r="5061" spans="1:8" x14ac:dyDescent="0.25">
      <c r="A5061" t="str">
        <f xml:space="preserve"> $H$5053</f>
        <v>&lt;flags count_in_cargo="0" count_in_hoarder="0" count_in_map="1" count_in_player="0" crafted="1" deloot="0"/&gt;</v>
      </c>
      <c r="B5061" t="s">
        <v>3403</v>
      </c>
    </row>
    <row r="5062" spans="1:8" x14ac:dyDescent="0.25">
      <c r="A5062" t="s">
        <v>22</v>
      </c>
      <c r="B5062" t="s">
        <v>3403</v>
      </c>
    </row>
    <row r="5063" spans="1:8" x14ac:dyDescent="0.25">
      <c r="A5063" t="s">
        <v>1790</v>
      </c>
      <c r="B5063" t="s">
        <v>3404</v>
      </c>
      <c r="C5063" t="s">
        <v>403</v>
      </c>
      <c r="D5063">
        <v>0</v>
      </c>
      <c r="E5063">
        <v>7200</v>
      </c>
      <c r="F5063">
        <v>0</v>
      </c>
      <c r="G5063">
        <v>0</v>
      </c>
      <c r="H5063" t="s">
        <v>62</v>
      </c>
    </row>
    <row r="5064" spans="1:8" x14ac:dyDescent="0.25">
      <c r="A5064" t="str">
        <f>"&lt;nominal&gt;" &amp;$D$5063&amp;"&lt;/nominal&gt;"</f>
        <v>&lt;nominal&gt;0&lt;/nominal&gt;</v>
      </c>
      <c r="B5064" t="s">
        <v>3404</v>
      </c>
    </row>
    <row r="5065" spans="1:8" x14ac:dyDescent="0.25">
      <c r="A5065" t="str">
        <f>"&lt;lifetime&gt;" &amp;$E$5063&amp;"&lt;/lifetime&gt;"</f>
        <v>&lt;lifetime&gt;7200&lt;/lifetime&gt;</v>
      </c>
      <c r="B5065" t="s">
        <v>3404</v>
      </c>
    </row>
    <row r="5066" spans="1:8" x14ac:dyDescent="0.25">
      <c r="A5066" t="str">
        <f>"&lt;restock&gt;" &amp;$F$5063&amp;"&lt;/restock&gt;"</f>
        <v>&lt;restock&gt;0&lt;/restock&gt;</v>
      </c>
      <c r="B5066" t="s">
        <v>3404</v>
      </c>
    </row>
    <row r="5067" spans="1:8" x14ac:dyDescent="0.25">
      <c r="A5067" t="str">
        <f>"&lt;min&gt;" &amp;$G$5063&amp;"&lt;/min&gt;"</f>
        <v>&lt;min&gt;0&lt;/min&gt;</v>
      </c>
      <c r="B5067" t="s">
        <v>3404</v>
      </c>
    </row>
    <row r="5068" spans="1:8" x14ac:dyDescent="0.25">
      <c r="A5068" t="s">
        <v>16</v>
      </c>
      <c r="B5068" t="s">
        <v>3404</v>
      </c>
    </row>
    <row r="5069" spans="1:8" x14ac:dyDescent="0.25">
      <c r="A5069" t="s">
        <v>17</v>
      </c>
      <c r="B5069" t="s">
        <v>3404</v>
      </c>
    </row>
    <row r="5070" spans="1:8" x14ac:dyDescent="0.25">
      <c r="A5070" t="s">
        <v>18</v>
      </c>
      <c r="B5070" t="s">
        <v>3404</v>
      </c>
    </row>
    <row r="5071" spans="1:8" x14ac:dyDescent="0.25">
      <c r="A5071" t="str">
        <f xml:space="preserve"> $H$5063</f>
        <v>&lt;flags count_in_cargo="0" count_in_hoarder="0" count_in_map="1" count_in_player="0" crafted="1" deloot="0"/&gt;</v>
      </c>
      <c r="B5071" t="s">
        <v>3404</v>
      </c>
    </row>
    <row r="5072" spans="1:8" x14ac:dyDescent="0.25">
      <c r="A5072" t="str">
        <f>"&lt;category name=" &amp;"""" &amp;$C$5063&amp;"""/&gt;"</f>
        <v>&lt;category name="clothes"/&gt;</v>
      </c>
      <c r="B5072" t="s">
        <v>3404</v>
      </c>
    </row>
    <row r="5073" spans="1:8" x14ac:dyDescent="0.25">
      <c r="A5073" t="s">
        <v>22</v>
      </c>
      <c r="B5073" t="s">
        <v>3404</v>
      </c>
    </row>
    <row r="5074" spans="1:8" x14ac:dyDescent="0.25">
      <c r="A5074" t="s">
        <v>1791</v>
      </c>
      <c r="B5074" t="s">
        <v>641</v>
      </c>
      <c r="C5074" t="s">
        <v>363</v>
      </c>
      <c r="D5074">
        <v>15</v>
      </c>
      <c r="E5074">
        <v>7200</v>
      </c>
      <c r="F5074">
        <v>0</v>
      </c>
      <c r="G5074">
        <v>10</v>
      </c>
      <c r="H5074" t="s">
        <v>19</v>
      </c>
    </row>
    <row r="5075" spans="1:8" x14ac:dyDescent="0.25">
      <c r="A5075" t="str">
        <f>"&lt;nominal&gt;" &amp;$D$5074&amp;"&lt;/nominal&gt;"</f>
        <v>&lt;nominal&gt;15&lt;/nominal&gt;</v>
      </c>
      <c r="B5075" t="s">
        <v>641</v>
      </c>
    </row>
    <row r="5076" spans="1:8" x14ac:dyDescent="0.25">
      <c r="A5076" t="str">
        <f>"&lt;lifetime&gt;" &amp;$E$5074&amp;"&lt;/lifetime&gt;"</f>
        <v>&lt;lifetime&gt;7200&lt;/lifetime&gt;</v>
      </c>
      <c r="B5076" t="s">
        <v>641</v>
      </c>
    </row>
    <row r="5077" spans="1:8" x14ac:dyDescent="0.25">
      <c r="A5077" t="str">
        <f>"&lt;restock&gt;" &amp;$F$5074&amp;"&lt;/restock&gt;"</f>
        <v>&lt;restock&gt;0&lt;/restock&gt;</v>
      </c>
      <c r="B5077" t="s">
        <v>641</v>
      </c>
    </row>
    <row r="5078" spans="1:8" x14ac:dyDescent="0.25">
      <c r="A5078" t="str">
        <f>"&lt;min&gt;" &amp;$G$5074&amp;"&lt;/min&gt;"</f>
        <v>&lt;min&gt;10&lt;/min&gt;</v>
      </c>
      <c r="B5078" t="s">
        <v>641</v>
      </c>
    </row>
    <row r="5079" spans="1:8" x14ac:dyDescent="0.25">
      <c r="A5079" t="s">
        <v>16</v>
      </c>
      <c r="B5079" t="s">
        <v>641</v>
      </c>
    </row>
    <row r="5080" spans="1:8" x14ac:dyDescent="0.25">
      <c r="A5080" t="s">
        <v>17</v>
      </c>
      <c r="B5080" t="s">
        <v>641</v>
      </c>
    </row>
    <row r="5081" spans="1:8" x14ac:dyDescent="0.25">
      <c r="A5081" t="s">
        <v>18</v>
      </c>
      <c r="B5081" t="s">
        <v>641</v>
      </c>
    </row>
    <row r="5082" spans="1:8" x14ac:dyDescent="0.25">
      <c r="A5082" t="str">
        <f xml:space="preserve"> $H$5074</f>
        <v>&lt;flags count_in_cargo="0" count_in_hoarder="0" count_in_map="1" count_in_player="0" crafted="0" deloot="0"/&gt;</v>
      </c>
      <c r="B5082" t="s">
        <v>641</v>
      </c>
    </row>
    <row r="5083" spans="1:8" x14ac:dyDescent="0.25">
      <c r="A5083" t="str">
        <f>"&lt;category name=" &amp;"""" &amp;$C$5074&amp;"""/&gt;"</f>
        <v>&lt;category name="containers"/&gt;</v>
      </c>
      <c r="B5083" t="s">
        <v>641</v>
      </c>
    </row>
    <row r="5084" spans="1:8" x14ac:dyDescent="0.25">
      <c r="A5084" t="s">
        <v>20</v>
      </c>
      <c r="B5084" t="s">
        <v>641</v>
      </c>
    </row>
    <row r="5085" spans="1:8" x14ac:dyDescent="0.25">
      <c r="A5085" t="s">
        <v>21</v>
      </c>
      <c r="B5085" t="s">
        <v>641</v>
      </c>
    </row>
    <row r="5086" spans="1:8" x14ac:dyDescent="0.25">
      <c r="A5086" t="s">
        <v>22</v>
      </c>
      <c r="B5086" t="s">
        <v>641</v>
      </c>
    </row>
    <row r="5087" spans="1:8" x14ac:dyDescent="0.25">
      <c r="A5087" t="s">
        <v>1792</v>
      </c>
      <c r="B5087" t="s">
        <v>642</v>
      </c>
      <c r="C5087" t="s">
        <v>426</v>
      </c>
      <c r="D5087">
        <v>35</v>
      </c>
      <c r="E5087">
        <v>7200</v>
      </c>
      <c r="F5087">
        <v>0</v>
      </c>
      <c r="G5087">
        <v>20</v>
      </c>
      <c r="H5087" t="s">
        <v>19</v>
      </c>
    </row>
    <row r="5088" spans="1:8" x14ac:dyDescent="0.25">
      <c r="A5088" t="str">
        <f>"&lt;nominal&gt;" &amp;$D$5087&amp;"&lt;/nominal&gt;"</f>
        <v>&lt;nominal&gt;35&lt;/nominal&gt;</v>
      </c>
      <c r="B5088" t="s">
        <v>642</v>
      </c>
    </row>
    <row r="5089" spans="1:8" x14ac:dyDescent="0.25">
      <c r="A5089" t="str">
        <f>"&lt;lifetime&gt;" &amp;$E$5087&amp;"&lt;/lifetime&gt;"</f>
        <v>&lt;lifetime&gt;7200&lt;/lifetime&gt;</v>
      </c>
      <c r="B5089" t="s">
        <v>642</v>
      </c>
    </row>
    <row r="5090" spans="1:8" x14ac:dyDescent="0.25">
      <c r="A5090" t="str">
        <f>"&lt;restock&gt;" &amp;$F$5087&amp;"&lt;/restock&gt;"</f>
        <v>&lt;restock&gt;0&lt;/restock&gt;</v>
      </c>
      <c r="B5090" t="s">
        <v>642</v>
      </c>
    </row>
    <row r="5091" spans="1:8" x14ac:dyDescent="0.25">
      <c r="A5091" t="str">
        <f>"&lt;min&gt;" &amp;$G$5087&amp;"&lt;/min&gt;"</f>
        <v>&lt;min&gt;20&lt;/min&gt;</v>
      </c>
      <c r="B5091" t="s">
        <v>642</v>
      </c>
    </row>
    <row r="5092" spans="1:8" x14ac:dyDescent="0.25">
      <c r="A5092" t="s">
        <v>16</v>
      </c>
      <c r="B5092" t="s">
        <v>642</v>
      </c>
    </row>
    <row r="5093" spans="1:8" x14ac:dyDescent="0.25">
      <c r="A5093" t="s">
        <v>17</v>
      </c>
      <c r="B5093" t="s">
        <v>642</v>
      </c>
    </row>
    <row r="5094" spans="1:8" x14ac:dyDescent="0.25">
      <c r="A5094" t="s">
        <v>18</v>
      </c>
      <c r="B5094" t="s">
        <v>642</v>
      </c>
    </row>
    <row r="5095" spans="1:8" x14ac:dyDescent="0.25">
      <c r="A5095" t="str">
        <f xml:space="preserve"> $H$5087</f>
        <v>&lt;flags count_in_cargo="0" count_in_hoarder="0" count_in_map="1" count_in_player="0" crafted="0" deloot="0"/&gt;</v>
      </c>
      <c r="B5095" t="s">
        <v>642</v>
      </c>
    </row>
    <row r="5096" spans="1:8" x14ac:dyDescent="0.25">
      <c r="A5096" t="str">
        <f>"&lt;category name=" &amp;"""" &amp;$C$5087&amp;"""/&gt;"</f>
        <v>&lt;category name="tools"/&gt;</v>
      </c>
      <c r="B5096" t="s">
        <v>642</v>
      </c>
    </row>
    <row r="5097" spans="1:8" x14ac:dyDescent="0.25">
      <c r="A5097" t="s">
        <v>1616</v>
      </c>
      <c r="B5097" t="s">
        <v>642</v>
      </c>
    </row>
    <row r="5098" spans="1:8" x14ac:dyDescent="0.25">
      <c r="A5098" t="s">
        <v>22</v>
      </c>
      <c r="B5098" t="s">
        <v>642</v>
      </c>
    </row>
    <row r="5099" spans="1:8" x14ac:dyDescent="0.25">
      <c r="A5099" t="s">
        <v>1793</v>
      </c>
      <c r="B5099" t="s">
        <v>643</v>
      </c>
      <c r="C5099" t="s">
        <v>644</v>
      </c>
      <c r="D5099">
        <v>10</v>
      </c>
      <c r="E5099">
        <v>7200</v>
      </c>
      <c r="F5099">
        <v>0</v>
      </c>
      <c r="G5099">
        <v>5</v>
      </c>
      <c r="H5099" t="s">
        <v>19</v>
      </c>
    </row>
    <row r="5100" spans="1:8" x14ac:dyDescent="0.25">
      <c r="A5100" t="str">
        <f>"&lt;nominal&gt;" &amp;$D$5099&amp;"&lt;/nominal&gt;"</f>
        <v>&lt;nominal&gt;10&lt;/nominal&gt;</v>
      </c>
      <c r="B5100" t="s">
        <v>643</v>
      </c>
    </row>
    <row r="5101" spans="1:8" x14ac:dyDescent="0.25">
      <c r="A5101" t="str">
        <f>"&lt;lifetime&gt;" &amp;$E$5099&amp;"&lt;/lifetime&gt;"</f>
        <v>&lt;lifetime&gt;7200&lt;/lifetime&gt;</v>
      </c>
      <c r="B5101" t="s">
        <v>643</v>
      </c>
    </row>
    <row r="5102" spans="1:8" x14ac:dyDescent="0.25">
      <c r="A5102" t="str">
        <f>"&lt;restock&gt;" &amp;$F$5099&amp;"&lt;/restock&gt;"</f>
        <v>&lt;restock&gt;0&lt;/restock&gt;</v>
      </c>
      <c r="B5102" t="s">
        <v>643</v>
      </c>
    </row>
    <row r="5103" spans="1:8" x14ac:dyDescent="0.25">
      <c r="A5103" t="str">
        <f>"&lt;min&gt;" &amp;$G$5099&amp;"&lt;/min&gt;"</f>
        <v>&lt;min&gt;5&lt;/min&gt;</v>
      </c>
      <c r="B5103" t="s">
        <v>643</v>
      </c>
    </row>
    <row r="5104" spans="1:8" x14ac:dyDescent="0.25">
      <c r="A5104" t="s">
        <v>16</v>
      </c>
      <c r="B5104" t="s">
        <v>643</v>
      </c>
    </row>
    <row r="5105" spans="1:8" x14ac:dyDescent="0.25">
      <c r="A5105" t="s">
        <v>17</v>
      </c>
      <c r="B5105" t="s">
        <v>643</v>
      </c>
    </row>
    <row r="5106" spans="1:8" x14ac:dyDescent="0.25">
      <c r="A5106" t="s">
        <v>18</v>
      </c>
      <c r="B5106" t="s">
        <v>643</v>
      </c>
    </row>
    <row r="5107" spans="1:8" x14ac:dyDescent="0.25">
      <c r="A5107" t="str">
        <f xml:space="preserve"> $H$5099</f>
        <v>&lt;flags count_in_cargo="0" count_in_hoarder="0" count_in_map="1" count_in_player="0" crafted="0" deloot="0"/&gt;</v>
      </c>
      <c r="B5107" t="s">
        <v>643</v>
      </c>
    </row>
    <row r="5108" spans="1:8" x14ac:dyDescent="0.25">
      <c r="A5108" t="str">
        <f>"&lt;category name=" &amp;"""" &amp;$C$5099&amp;"""/&gt;"</f>
        <v>&lt;category name="explosives"/&gt;</v>
      </c>
      <c r="B5108" t="s">
        <v>643</v>
      </c>
    </row>
    <row r="5109" spans="1:8" x14ac:dyDescent="0.25">
      <c r="A5109" t="s">
        <v>29</v>
      </c>
      <c r="B5109" t="s">
        <v>643</v>
      </c>
    </row>
    <row r="5110" spans="1:8" x14ac:dyDescent="0.25">
      <c r="A5110" t="s">
        <v>22</v>
      </c>
      <c r="B5110" t="s">
        <v>643</v>
      </c>
    </row>
    <row r="5111" spans="1:8" x14ac:dyDescent="0.25">
      <c r="A5111" t="s">
        <v>1794</v>
      </c>
      <c r="B5111" t="s">
        <v>645</v>
      </c>
      <c r="C5111" t="s">
        <v>426</v>
      </c>
      <c r="D5111">
        <v>90</v>
      </c>
      <c r="E5111">
        <v>1800</v>
      </c>
      <c r="F5111">
        <v>0</v>
      </c>
      <c r="G5111">
        <v>70</v>
      </c>
      <c r="H5111" t="s">
        <v>19</v>
      </c>
    </row>
    <row r="5112" spans="1:8" x14ac:dyDescent="0.25">
      <c r="A5112" t="str">
        <f>"&lt;nominal&gt;" &amp;$D$5111&amp;"&lt;/nominal&gt;"</f>
        <v>&lt;nominal&gt;90&lt;/nominal&gt;</v>
      </c>
      <c r="B5112" t="s">
        <v>645</v>
      </c>
    </row>
    <row r="5113" spans="1:8" x14ac:dyDescent="0.25">
      <c r="A5113" t="str">
        <f>"&lt;lifetime&gt;" &amp;$E$5111&amp;"&lt;/lifetime&gt;"</f>
        <v>&lt;lifetime&gt;1800&lt;/lifetime&gt;</v>
      </c>
      <c r="B5113" t="s">
        <v>645</v>
      </c>
    </row>
    <row r="5114" spans="1:8" x14ac:dyDescent="0.25">
      <c r="A5114" t="str">
        <f>"&lt;restock&gt;" &amp;$F$5111&amp;"&lt;/restock&gt;"</f>
        <v>&lt;restock&gt;0&lt;/restock&gt;</v>
      </c>
      <c r="B5114" t="s">
        <v>645</v>
      </c>
    </row>
    <row r="5115" spans="1:8" x14ac:dyDescent="0.25">
      <c r="A5115" t="str">
        <f>"&lt;min&gt;" &amp;$G$5111&amp;"&lt;/min&gt;"</f>
        <v>&lt;min&gt;70&lt;/min&gt;</v>
      </c>
      <c r="B5115" t="s">
        <v>645</v>
      </c>
    </row>
    <row r="5116" spans="1:8" x14ac:dyDescent="0.25">
      <c r="A5116" t="s">
        <v>16</v>
      </c>
      <c r="B5116" t="s">
        <v>645</v>
      </c>
    </row>
    <row r="5117" spans="1:8" x14ac:dyDescent="0.25">
      <c r="A5117" t="s">
        <v>17</v>
      </c>
      <c r="B5117" t="s">
        <v>645</v>
      </c>
    </row>
    <row r="5118" spans="1:8" x14ac:dyDescent="0.25">
      <c r="A5118" t="s">
        <v>18</v>
      </c>
      <c r="B5118" t="s">
        <v>645</v>
      </c>
    </row>
    <row r="5119" spans="1:8" x14ac:dyDescent="0.25">
      <c r="A5119" t="str">
        <f xml:space="preserve"> $H$5111</f>
        <v>&lt;flags count_in_cargo="0" count_in_hoarder="0" count_in_map="1" count_in_player="0" crafted="0" deloot="0"/&gt;</v>
      </c>
      <c r="B5119" t="s">
        <v>645</v>
      </c>
    </row>
    <row r="5120" spans="1:8" x14ac:dyDescent="0.25">
      <c r="A5120" t="str">
        <f>"&lt;category name=" &amp;"""" &amp;$C$5111&amp;"""/&gt;"</f>
        <v>&lt;category name="tools"/&gt;</v>
      </c>
      <c r="B5120" t="s">
        <v>645</v>
      </c>
    </row>
    <row r="5121" spans="1:8" x14ac:dyDescent="0.25">
      <c r="A5121" t="s">
        <v>20</v>
      </c>
      <c r="B5121" t="s">
        <v>645</v>
      </c>
    </row>
    <row r="5122" spans="1:8" x14ac:dyDescent="0.25">
      <c r="A5122" t="s">
        <v>22</v>
      </c>
      <c r="B5122" t="s">
        <v>645</v>
      </c>
    </row>
    <row r="5123" spans="1:8" x14ac:dyDescent="0.25">
      <c r="A5123" t="s">
        <v>1795</v>
      </c>
      <c r="B5123" t="s">
        <v>646</v>
      </c>
      <c r="C5123" t="s">
        <v>403</v>
      </c>
      <c r="D5123">
        <v>30</v>
      </c>
      <c r="E5123">
        <v>1800</v>
      </c>
      <c r="F5123">
        <v>0</v>
      </c>
      <c r="G5123">
        <v>20</v>
      </c>
      <c r="H5123" t="s">
        <v>19</v>
      </c>
    </row>
    <row r="5124" spans="1:8" x14ac:dyDescent="0.25">
      <c r="A5124" t="str">
        <f>"&lt;nominal&gt;" &amp;$D$5123&amp;"&lt;/nominal&gt;"</f>
        <v>&lt;nominal&gt;30&lt;/nominal&gt;</v>
      </c>
      <c r="B5124" t="s">
        <v>646</v>
      </c>
    </row>
    <row r="5125" spans="1:8" x14ac:dyDescent="0.25">
      <c r="A5125" t="str">
        <f>"&lt;lifetime&gt;" &amp;$E$5123&amp;"&lt;/lifetime&gt;"</f>
        <v>&lt;lifetime&gt;1800&lt;/lifetime&gt;</v>
      </c>
      <c r="B5125" t="s">
        <v>646</v>
      </c>
    </row>
    <row r="5126" spans="1:8" x14ac:dyDescent="0.25">
      <c r="A5126" t="str">
        <f>"&lt;restock&gt;" &amp;$F$5123&amp;"&lt;/restock&gt;"</f>
        <v>&lt;restock&gt;0&lt;/restock&gt;</v>
      </c>
      <c r="B5126" t="s">
        <v>646</v>
      </c>
    </row>
    <row r="5127" spans="1:8" x14ac:dyDescent="0.25">
      <c r="A5127" t="str">
        <f>"&lt;min&gt;" &amp;$G$5123&amp;"&lt;/min&gt;"</f>
        <v>&lt;min&gt;20&lt;/min&gt;</v>
      </c>
      <c r="B5127" t="s">
        <v>646</v>
      </c>
    </row>
    <row r="5128" spans="1:8" x14ac:dyDescent="0.25">
      <c r="A5128" t="s">
        <v>16</v>
      </c>
      <c r="B5128" t="s">
        <v>646</v>
      </c>
    </row>
    <row r="5129" spans="1:8" x14ac:dyDescent="0.25">
      <c r="A5129" t="s">
        <v>17</v>
      </c>
      <c r="B5129" t="s">
        <v>646</v>
      </c>
    </row>
    <row r="5130" spans="1:8" x14ac:dyDescent="0.25">
      <c r="A5130" t="s">
        <v>18</v>
      </c>
      <c r="B5130" t="s">
        <v>646</v>
      </c>
    </row>
    <row r="5131" spans="1:8" x14ac:dyDescent="0.25">
      <c r="A5131" t="str">
        <f xml:space="preserve"> $H$5123</f>
        <v>&lt;flags count_in_cargo="0" count_in_hoarder="0" count_in_map="1" count_in_player="0" crafted="0" deloot="0"/&gt;</v>
      </c>
      <c r="B5131" t="s">
        <v>646</v>
      </c>
    </row>
    <row r="5132" spans="1:8" x14ac:dyDescent="0.25">
      <c r="A5132" t="str">
        <f>"&lt;category name=" &amp;"""" &amp;$C$5123&amp;"""/&gt;"</f>
        <v>&lt;category name="clothes"/&gt;</v>
      </c>
      <c r="B5132" t="s">
        <v>646</v>
      </c>
    </row>
    <row r="5133" spans="1:8" x14ac:dyDescent="0.25">
      <c r="A5133" t="s">
        <v>20</v>
      </c>
      <c r="B5133" t="s">
        <v>646</v>
      </c>
    </row>
    <row r="5134" spans="1:8" x14ac:dyDescent="0.25">
      <c r="A5134" t="s">
        <v>39</v>
      </c>
      <c r="B5134" t="s">
        <v>646</v>
      </c>
    </row>
    <row r="5135" spans="1:8" x14ac:dyDescent="0.25">
      <c r="A5135" t="s">
        <v>40</v>
      </c>
      <c r="B5135" t="s">
        <v>646</v>
      </c>
    </row>
    <row r="5136" spans="1:8" x14ac:dyDescent="0.25">
      <c r="A5136" t="s">
        <v>22</v>
      </c>
      <c r="B5136" t="s">
        <v>646</v>
      </c>
    </row>
    <row r="5137" spans="1:8" x14ac:dyDescent="0.25">
      <c r="A5137" t="s">
        <v>1796</v>
      </c>
      <c r="B5137" t="s">
        <v>647</v>
      </c>
      <c r="C5137" t="s">
        <v>403</v>
      </c>
      <c r="D5137">
        <v>30</v>
      </c>
      <c r="E5137">
        <v>1800</v>
      </c>
      <c r="F5137">
        <v>0</v>
      </c>
      <c r="G5137">
        <v>20</v>
      </c>
      <c r="H5137" t="s">
        <v>19</v>
      </c>
    </row>
    <row r="5138" spans="1:8" x14ac:dyDescent="0.25">
      <c r="A5138" t="str">
        <f>"&lt;nominal&gt;" &amp;$D$5137&amp;"&lt;/nominal&gt;"</f>
        <v>&lt;nominal&gt;30&lt;/nominal&gt;</v>
      </c>
      <c r="B5138" t="s">
        <v>647</v>
      </c>
    </row>
    <row r="5139" spans="1:8" x14ac:dyDescent="0.25">
      <c r="A5139" t="str">
        <f>"&lt;lifetime&gt;" &amp;$E$5137&amp;"&lt;/lifetime&gt;"</f>
        <v>&lt;lifetime&gt;1800&lt;/lifetime&gt;</v>
      </c>
      <c r="B5139" t="s">
        <v>647</v>
      </c>
    </row>
    <row r="5140" spans="1:8" x14ac:dyDescent="0.25">
      <c r="A5140" t="str">
        <f>"&lt;restock&gt;" &amp;$F$5137&amp;"&lt;/restock&gt;"</f>
        <v>&lt;restock&gt;0&lt;/restock&gt;</v>
      </c>
      <c r="B5140" t="s">
        <v>647</v>
      </c>
    </row>
    <row r="5141" spans="1:8" x14ac:dyDescent="0.25">
      <c r="A5141" t="str">
        <f>"&lt;min&gt;" &amp;$G$5137&amp;"&lt;/min&gt;"</f>
        <v>&lt;min&gt;20&lt;/min&gt;</v>
      </c>
      <c r="B5141" t="s">
        <v>647</v>
      </c>
    </row>
    <row r="5142" spans="1:8" x14ac:dyDescent="0.25">
      <c r="A5142" t="s">
        <v>16</v>
      </c>
      <c r="B5142" t="s">
        <v>647</v>
      </c>
    </row>
    <row r="5143" spans="1:8" x14ac:dyDescent="0.25">
      <c r="A5143" t="s">
        <v>17</v>
      </c>
      <c r="B5143" t="s">
        <v>647</v>
      </c>
    </row>
    <row r="5144" spans="1:8" x14ac:dyDescent="0.25">
      <c r="A5144" t="s">
        <v>18</v>
      </c>
      <c r="B5144" t="s">
        <v>647</v>
      </c>
    </row>
    <row r="5145" spans="1:8" x14ac:dyDescent="0.25">
      <c r="A5145" t="str">
        <f xml:space="preserve"> $H$5137</f>
        <v>&lt;flags count_in_cargo="0" count_in_hoarder="0" count_in_map="1" count_in_player="0" crafted="0" deloot="0"/&gt;</v>
      </c>
      <c r="B5145" t="s">
        <v>647</v>
      </c>
    </row>
    <row r="5146" spans="1:8" x14ac:dyDescent="0.25">
      <c r="A5146" t="str">
        <f>"&lt;category name=" &amp;"""" &amp;$C$5137&amp;"""/&gt;"</f>
        <v>&lt;category name="clothes"/&gt;</v>
      </c>
      <c r="B5146" t="s">
        <v>647</v>
      </c>
    </row>
    <row r="5147" spans="1:8" x14ac:dyDescent="0.25">
      <c r="A5147" t="s">
        <v>20</v>
      </c>
      <c r="B5147" t="s">
        <v>647</v>
      </c>
    </row>
    <row r="5148" spans="1:8" x14ac:dyDescent="0.25">
      <c r="A5148" t="s">
        <v>39</v>
      </c>
      <c r="B5148" t="s">
        <v>647</v>
      </c>
    </row>
    <row r="5149" spans="1:8" x14ac:dyDescent="0.25">
      <c r="A5149" t="s">
        <v>40</v>
      </c>
      <c r="B5149" t="s">
        <v>647</v>
      </c>
    </row>
    <row r="5150" spans="1:8" x14ac:dyDescent="0.25">
      <c r="A5150" t="s">
        <v>22</v>
      </c>
      <c r="B5150" t="s">
        <v>647</v>
      </c>
    </row>
    <row r="5151" spans="1:8" x14ac:dyDescent="0.25">
      <c r="A5151" t="s">
        <v>1797</v>
      </c>
      <c r="B5151" t="s">
        <v>648</v>
      </c>
      <c r="C5151" t="s">
        <v>403</v>
      </c>
      <c r="D5151">
        <v>30</v>
      </c>
      <c r="E5151">
        <v>1800</v>
      </c>
      <c r="F5151">
        <v>0</v>
      </c>
      <c r="G5151">
        <v>20</v>
      </c>
      <c r="H5151" t="s">
        <v>19</v>
      </c>
    </row>
    <row r="5152" spans="1:8" x14ac:dyDescent="0.25">
      <c r="A5152" t="str">
        <f>"&lt;nominal&gt;" &amp;$D$5151&amp;"&lt;/nominal&gt;"</f>
        <v>&lt;nominal&gt;30&lt;/nominal&gt;</v>
      </c>
      <c r="B5152" t="s">
        <v>648</v>
      </c>
    </row>
    <row r="5153" spans="1:8" x14ac:dyDescent="0.25">
      <c r="A5153" t="str">
        <f>"&lt;lifetime&gt;" &amp;$E$5151&amp;"&lt;/lifetime&gt;"</f>
        <v>&lt;lifetime&gt;1800&lt;/lifetime&gt;</v>
      </c>
      <c r="B5153" t="s">
        <v>648</v>
      </c>
    </row>
    <row r="5154" spans="1:8" x14ac:dyDescent="0.25">
      <c r="A5154" t="str">
        <f>"&lt;restock&gt;" &amp;$F$5151&amp;"&lt;/restock&gt;"</f>
        <v>&lt;restock&gt;0&lt;/restock&gt;</v>
      </c>
      <c r="B5154" t="s">
        <v>648</v>
      </c>
    </row>
    <row r="5155" spans="1:8" x14ac:dyDescent="0.25">
      <c r="A5155" t="str">
        <f>"&lt;min&gt;" &amp;$G$5151&amp;"&lt;/min&gt;"</f>
        <v>&lt;min&gt;20&lt;/min&gt;</v>
      </c>
      <c r="B5155" t="s">
        <v>648</v>
      </c>
    </row>
    <row r="5156" spans="1:8" x14ac:dyDescent="0.25">
      <c r="A5156" t="s">
        <v>16</v>
      </c>
      <c r="B5156" t="s">
        <v>648</v>
      </c>
    </row>
    <row r="5157" spans="1:8" x14ac:dyDescent="0.25">
      <c r="A5157" t="s">
        <v>17</v>
      </c>
      <c r="B5157" t="s">
        <v>648</v>
      </c>
    </row>
    <row r="5158" spans="1:8" x14ac:dyDescent="0.25">
      <c r="A5158" t="s">
        <v>18</v>
      </c>
      <c r="B5158" t="s">
        <v>648</v>
      </c>
    </row>
    <row r="5159" spans="1:8" x14ac:dyDescent="0.25">
      <c r="A5159" t="str">
        <f xml:space="preserve"> $H$5151</f>
        <v>&lt;flags count_in_cargo="0" count_in_hoarder="0" count_in_map="1" count_in_player="0" crafted="0" deloot="0"/&gt;</v>
      </c>
      <c r="B5159" t="s">
        <v>648</v>
      </c>
    </row>
    <row r="5160" spans="1:8" x14ac:dyDescent="0.25">
      <c r="A5160" t="str">
        <f>"&lt;category name=" &amp;"""" &amp;$C$5151&amp;"""/&gt;"</f>
        <v>&lt;category name="clothes"/&gt;</v>
      </c>
      <c r="B5160" t="s">
        <v>648</v>
      </c>
    </row>
    <row r="5161" spans="1:8" x14ac:dyDescent="0.25">
      <c r="A5161" t="s">
        <v>20</v>
      </c>
      <c r="B5161" t="s">
        <v>648</v>
      </c>
    </row>
    <row r="5162" spans="1:8" x14ac:dyDescent="0.25">
      <c r="A5162" t="s">
        <v>39</v>
      </c>
      <c r="B5162" t="s">
        <v>648</v>
      </c>
    </row>
    <row r="5163" spans="1:8" x14ac:dyDescent="0.25">
      <c r="A5163" t="s">
        <v>40</v>
      </c>
      <c r="B5163" t="s">
        <v>648</v>
      </c>
    </row>
    <row r="5164" spans="1:8" x14ac:dyDescent="0.25">
      <c r="A5164" t="s">
        <v>22</v>
      </c>
      <c r="B5164" t="s">
        <v>648</v>
      </c>
    </row>
    <row r="5165" spans="1:8" x14ac:dyDescent="0.25">
      <c r="A5165" t="s">
        <v>1798</v>
      </c>
      <c r="B5165" t="s">
        <v>649</v>
      </c>
      <c r="C5165" t="s">
        <v>403</v>
      </c>
      <c r="D5165">
        <v>30</v>
      </c>
      <c r="E5165">
        <v>1800</v>
      </c>
      <c r="F5165">
        <v>0</v>
      </c>
      <c r="G5165">
        <v>20</v>
      </c>
      <c r="H5165" t="s">
        <v>19</v>
      </c>
    </row>
    <row r="5166" spans="1:8" x14ac:dyDescent="0.25">
      <c r="A5166" t="str">
        <f>"&lt;nominal&gt;" &amp;$D$5165&amp;"&lt;/nominal&gt;"</f>
        <v>&lt;nominal&gt;30&lt;/nominal&gt;</v>
      </c>
      <c r="B5166" t="s">
        <v>649</v>
      </c>
    </row>
    <row r="5167" spans="1:8" x14ac:dyDescent="0.25">
      <c r="A5167" t="str">
        <f>"&lt;lifetime&gt;" &amp;$E$5165&amp;"&lt;/lifetime&gt;"</f>
        <v>&lt;lifetime&gt;1800&lt;/lifetime&gt;</v>
      </c>
      <c r="B5167" t="s">
        <v>649</v>
      </c>
    </row>
    <row r="5168" spans="1:8" x14ac:dyDescent="0.25">
      <c r="A5168" t="str">
        <f>"&lt;restock&gt;" &amp;$F$5165&amp;"&lt;/restock&gt;"</f>
        <v>&lt;restock&gt;0&lt;/restock&gt;</v>
      </c>
      <c r="B5168" t="s">
        <v>649</v>
      </c>
    </row>
    <row r="5169" spans="1:8" x14ac:dyDescent="0.25">
      <c r="A5169" t="str">
        <f>"&lt;min&gt;" &amp;$G$5165&amp;"&lt;/min&gt;"</f>
        <v>&lt;min&gt;20&lt;/min&gt;</v>
      </c>
      <c r="B5169" t="s">
        <v>649</v>
      </c>
    </row>
    <row r="5170" spans="1:8" x14ac:dyDescent="0.25">
      <c r="A5170" t="s">
        <v>16</v>
      </c>
      <c r="B5170" t="s">
        <v>649</v>
      </c>
    </row>
    <row r="5171" spans="1:8" x14ac:dyDescent="0.25">
      <c r="A5171" t="s">
        <v>17</v>
      </c>
      <c r="B5171" t="s">
        <v>649</v>
      </c>
    </row>
    <row r="5172" spans="1:8" x14ac:dyDescent="0.25">
      <c r="A5172" t="s">
        <v>18</v>
      </c>
      <c r="B5172" t="s">
        <v>649</v>
      </c>
    </row>
    <row r="5173" spans="1:8" x14ac:dyDescent="0.25">
      <c r="A5173" t="str">
        <f xml:space="preserve"> $H$5165</f>
        <v>&lt;flags count_in_cargo="0" count_in_hoarder="0" count_in_map="1" count_in_player="0" crafted="0" deloot="0"/&gt;</v>
      </c>
      <c r="B5173" t="s">
        <v>649</v>
      </c>
    </row>
    <row r="5174" spans="1:8" x14ac:dyDescent="0.25">
      <c r="A5174" t="str">
        <f>"&lt;category name=" &amp;"""" &amp;$C$5165&amp;"""/&gt;"</f>
        <v>&lt;category name="clothes"/&gt;</v>
      </c>
      <c r="B5174" t="s">
        <v>649</v>
      </c>
    </row>
    <row r="5175" spans="1:8" x14ac:dyDescent="0.25">
      <c r="A5175" t="s">
        <v>20</v>
      </c>
      <c r="B5175" t="s">
        <v>649</v>
      </c>
    </row>
    <row r="5176" spans="1:8" x14ac:dyDescent="0.25">
      <c r="A5176" t="s">
        <v>39</v>
      </c>
      <c r="B5176" t="s">
        <v>649</v>
      </c>
    </row>
    <row r="5177" spans="1:8" x14ac:dyDescent="0.25">
      <c r="A5177" t="s">
        <v>40</v>
      </c>
      <c r="B5177" t="s">
        <v>649</v>
      </c>
    </row>
    <row r="5178" spans="1:8" x14ac:dyDescent="0.25">
      <c r="A5178" t="s">
        <v>22</v>
      </c>
      <c r="B5178" t="s">
        <v>649</v>
      </c>
    </row>
    <row r="5179" spans="1:8" x14ac:dyDescent="0.25">
      <c r="A5179" t="s">
        <v>1799</v>
      </c>
      <c r="B5179" t="s">
        <v>650</v>
      </c>
      <c r="C5179" t="s">
        <v>403</v>
      </c>
      <c r="D5179">
        <v>30</v>
      </c>
      <c r="E5179">
        <v>1800</v>
      </c>
      <c r="F5179">
        <v>0</v>
      </c>
      <c r="G5179">
        <v>20</v>
      </c>
      <c r="H5179" t="s">
        <v>19</v>
      </c>
    </row>
    <row r="5180" spans="1:8" x14ac:dyDescent="0.25">
      <c r="A5180" t="str">
        <f>"&lt;nominal&gt;" &amp;$D$5179&amp;"&lt;/nominal&gt;"</f>
        <v>&lt;nominal&gt;30&lt;/nominal&gt;</v>
      </c>
      <c r="B5180" t="s">
        <v>650</v>
      </c>
    </row>
    <row r="5181" spans="1:8" x14ac:dyDescent="0.25">
      <c r="A5181" t="str">
        <f>"&lt;lifetime&gt;" &amp;$E$5179&amp;"&lt;/lifetime&gt;"</f>
        <v>&lt;lifetime&gt;1800&lt;/lifetime&gt;</v>
      </c>
      <c r="B5181" t="s">
        <v>650</v>
      </c>
    </row>
    <row r="5182" spans="1:8" x14ac:dyDescent="0.25">
      <c r="A5182" t="str">
        <f>"&lt;restock&gt;" &amp;$F$5179&amp;"&lt;/restock&gt;"</f>
        <v>&lt;restock&gt;0&lt;/restock&gt;</v>
      </c>
      <c r="B5182" t="s">
        <v>650</v>
      </c>
    </row>
    <row r="5183" spans="1:8" x14ac:dyDescent="0.25">
      <c r="A5183" t="str">
        <f>"&lt;min&gt;" &amp;$G$5179&amp;"&lt;/min&gt;"</f>
        <v>&lt;min&gt;20&lt;/min&gt;</v>
      </c>
      <c r="B5183" t="s">
        <v>650</v>
      </c>
    </row>
    <row r="5184" spans="1:8" x14ac:dyDescent="0.25">
      <c r="A5184" t="s">
        <v>16</v>
      </c>
      <c r="B5184" t="s">
        <v>650</v>
      </c>
    </row>
    <row r="5185" spans="1:8" x14ac:dyDescent="0.25">
      <c r="A5185" t="s">
        <v>17</v>
      </c>
      <c r="B5185" t="s">
        <v>650</v>
      </c>
    </row>
    <row r="5186" spans="1:8" x14ac:dyDescent="0.25">
      <c r="A5186" t="s">
        <v>18</v>
      </c>
      <c r="B5186" t="s">
        <v>650</v>
      </c>
    </row>
    <row r="5187" spans="1:8" x14ac:dyDescent="0.25">
      <c r="A5187" t="str">
        <f xml:space="preserve"> $H$5179</f>
        <v>&lt;flags count_in_cargo="0" count_in_hoarder="0" count_in_map="1" count_in_player="0" crafted="0" deloot="0"/&gt;</v>
      </c>
      <c r="B5187" t="s">
        <v>650</v>
      </c>
    </row>
    <row r="5188" spans="1:8" x14ac:dyDescent="0.25">
      <c r="A5188" t="str">
        <f>"&lt;category name=" &amp;"""" &amp;$C$5179&amp;"""/&gt;"</f>
        <v>&lt;category name="clothes"/&gt;</v>
      </c>
      <c r="B5188" t="s">
        <v>650</v>
      </c>
    </row>
    <row r="5189" spans="1:8" x14ac:dyDescent="0.25">
      <c r="A5189" t="s">
        <v>20</v>
      </c>
      <c r="B5189" t="s">
        <v>650</v>
      </c>
    </row>
    <row r="5190" spans="1:8" x14ac:dyDescent="0.25">
      <c r="A5190" t="s">
        <v>39</v>
      </c>
      <c r="B5190" t="s">
        <v>650</v>
      </c>
    </row>
    <row r="5191" spans="1:8" x14ac:dyDescent="0.25">
      <c r="A5191" t="s">
        <v>40</v>
      </c>
      <c r="B5191" t="s">
        <v>650</v>
      </c>
    </row>
    <row r="5192" spans="1:8" x14ac:dyDescent="0.25">
      <c r="A5192" t="s">
        <v>22</v>
      </c>
      <c r="B5192" t="s">
        <v>650</v>
      </c>
    </row>
    <row r="5193" spans="1:8" x14ac:dyDescent="0.25">
      <c r="A5193" t="s">
        <v>1800</v>
      </c>
      <c r="B5193" t="s">
        <v>651</v>
      </c>
      <c r="C5193" t="s">
        <v>403</v>
      </c>
      <c r="D5193">
        <v>30</v>
      </c>
      <c r="E5193">
        <v>1800</v>
      </c>
      <c r="F5193">
        <v>0</v>
      </c>
      <c r="G5193">
        <v>20</v>
      </c>
      <c r="H5193" t="s">
        <v>19</v>
      </c>
    </row>
    <row r="5194" spans="1:8" x14ac:dyDescent="0.25">
      <c r="A5194" t="str">
        <f>"&lt;nominal&gt;" &amp;$D$5193&amp;"&lt;/nominal&gt;"</f>
        <v>&lt;nominal&gt;30&lt;/nominal&gt;</v>
      </c>
      <c r="B5194" t="s">
        <v>651</v>
      </c>
    </row>
    <row r="5195" spans="1:8" x14ac:dyDescent="0.25">
      <c r="A5195" t="str">
        <f>"&lt;lifetime&gt;" &amp;$E$5193&amp;"&lt;/lifetime&gt;"</f>
        <v>&lt;lifetime&gt;1800&lt;/lifetime&gt;</v>
      </c>
      <c r="B5195" t="s">
        <v>651</v>
      </c>
    </row>
    <row r="5196" spans="1:8" x14ac:dyDescent="0.25">
      <c r="A5196" t="str">
        <f>"&lt;restock&gt;" &amp;$F$5193&amp;"&lt;/restock&gt;"</f>
        <v>&lt;restock&gt;0&lt;/restock&gt;</v>
      </c>
      <c r="B5196" t="s">
        <v>651</v>
      </c>
    </row>
    <row r="5197" spans="1:8" x14ac:dyDescent="0.25">
      <c r="A5197" t="str">
        <f>"&lt;min&gt;" &amp;$G$5193&amp;"&lt;/min&gt;"</f>
        <v>&lt;min&gt;20&lt;/min&gt;</v>
      </c>
      <c r="B5197" t="s">
        <v>651</v>
      </c>
    </row>
    <row r="5198" spans="1:8" x14ac:dyDescent="0.25">
      <c r="A5198" t="s">
        <v>16</v>
      </c>
      <c r="B5198" t="s">
        <v>651</v>
      </c>
    </row>
    <row r="5199" spans="1:8" x14ac:dyDescent="0.25">
      <c r="A5199" t="s">
        <v>17</v>
      </c>
      <c r="B5199" t="s">
        <v>651</v>
      </c>
    </row>
    <row r="5200" spans="1:8" x14ac:dyDescent="0.25">
      <c r="A5200" t="s">
        <v>18</v>
      </c>
      <c r="B5200" t="s">
        <v>651</v>
      </c>
    </row>
    <row r="5201" spans="1:8" x14ac:dyDescent="0.25">
      <c r="A5201" t="str">
        <f xml:space="preserve"> $H$5193</f>
        <v>&lt;flags count_in_cargo="0" count_in_hoarder="0" count_in_map="1" count_in_player="0" crafted="0" deloot="0"/&gt;</v>
      </c>
      <c r="B5201" t="s">
        <v>651</v>
      </c>
    </row>
    <row r="5202" spans="1:8" x14ac:dyDescent="0.25">
      <c r="A5202" t="str">
        <f>"&lt;category name=" &amp;"""" &amp;$C$5193&amp;"""/&gt;"</f>
        <v>&lt;category name="clothes"/&gt;</v>
      </c>
      <c r="B5202" t="s">
        <v>651</v>
      </c>
    </row>
    <row r="5203" spans="1:8" x14ac:dyDescent="0.25">
      <c r="A5203" t="s">
        <v>20</v>
      </c>
      <c r="B5203" t="s">
        <v>651</v>
      </c>
    </row>
    <row r="5204" spans="1:8" x14ac:dyDescent="0.25">
      <c r="A5204" t="s">
        <v>39</v>
      </c>
      <c r="B5204" t="s">
        <v>651</v>
      </c>
    </row>
    <row r="5205" spans="1:8" x14ac:dyDescent="0.25">
      <c r="A5205" t="s">
        <v>40</v>
      </c>
      <c r="B5205" t="s">
        <v>651</v>
      </c>
    </row>
    <row r="5206" spans="1:8" x14ac:dyDescent="0.25">
      <c r="A5206" t="s">
        <v>22</v>
      </c>
      <c r="B5206" t="s">
        <v>651</v>
      </c>
    </row>
    <row r="5207" spans="1:8" x14ac:dyDescent="0.25">
      <c r="A5207" t="s">
        <v>1801</v>
      </c>
      <c r="B5207" t="s">
        <v>652</v>
      </c>
      <c r="C5207" t="s">
        <v>403</v>
      </c>
      <c r="D5207">
        <v>30</v>
      </c>
      <c r="E5207">
        <v>1800</v>
      </c>
      <c r="F5207">
        <v>0</v>
      </c>
      <c r="G5207">
        <v>20</v>
      </c>
      <c r="H5207" t="s">
        <v>19</v>
      </c>
    </row>
    <row r="5208" spans="1:8" x14ac:dyDescent="0.25">
      <c r="A5208" t="str">
        <f>"&lt;nominal&gt;" &amp;$D$5207&amp;"&lt;/nominal&gt;"</f>
        <v>&lt;nominal&gt;30&lt;/nominal&gt;</v>
      </c>
      <c r="B5208" t="s">
        <v>652</v>
      </c>
    </row>
    <row r="5209" spans="1:8" x14ac:dyDescent="0.25">
      <c r="A5209" t="str">
        <f>"&lt;lifetime&gt;" &amp;$E$5207&amp;"&lt;/lifetime&gt;"</f>
        <v>&lt;lifetime&gt;1800&lt;/lifetime&gt;</v>
      </c>
      <c r="B5209" t="s">
        <v>652</v>
      </c>
    </row>
    <row r="5210" spans="1:8" x14ac:dyDescent="0.25">
      <c r="A5210" t="str">
        <f>"&lt;restock&gt;" &amp;$F$5207&amp;"&lt;/restock&gt;"</f>
        <v>&lt;restock&gt;0&lt;/restock&gt;</v>
      </c>
      <c r="B5210" t="s">
        <v>652</v>
      </c>
    </row>
    <row r="5211" spans="1:8" x14ac:dyDescent="0.25">
      <c r="A5211" t="str">
        <f>"&lt;min&gt;" &amp;$G$5207&amp;"&lt;/min&gt;"</f>
        <v>&lt;min&gt;20&lt;/min&gt;</v>
      </c>
      <c r="B5211" t="s">
        <v>652</v>
      </c>
    </row>
    <row r="5212" spans="1:8" x14ac:dyDescent="0.25">
      <c r="A5212" t="s">
        <v>16</v>
      </c>
      <c r="B5212" t="s">
        <v>652</v>
      </c>
    </row>
    <row r="5213" spans="1:8" x14ac:dyDescent="0.25">
      <c r="A5213" t="s">
        <v>17</v>
      </c>
      <c r="B5213" t="s">
        <v>652</v>
      </c>
    </row>
    <row r="5214" spans="1:8" x14ac:dyDescent="0.25">
      <c r="A5214" t="s">
        <v>18</v>
      </c>
      <c r="B5214" t="s">
        <v>652</v>
      </c>
    </row>
    <row r="5215" spans="1:8" x14ac:dyDescent="0.25">
      <c r="A5215" t="str">
        <f xml:space="preserve"> $H$5207</f>
        <v>&lt;flags count_in_cargo="0" count_in_hoarder="0" count_in_map="1" count_in_player="0" crafted="0" deloot="0"/&gt;</v>
      </c>
      <c r="B5215" t="s">
        <v>652</v>
      </c>
    </row>
    <row r="5216" spans="1:8" x14ac:dyDescent="0.25">
      <c r="A5216" t="str">
        <f>"&lt;category name=" &amp;"""" &amp;$C$5207&amp;"""/&gt;"</f>
        <v>&lt;category name="clothes"/&gt;</v>
      </c>
      <c r="B5216" t="s">
        <v>652</v>
      </c>
    </row>
    <row r="5217" spans="1:8" x14ac:dyDescent="0.25">
      <c r="A5217" t="s">
        <v>20</v>
      </c>
      <c r="B5217" t="s">
        <v>652</v>
      </c>
    </row>
    <row r="5218" spans="1:8" x14ac:dyDescent="0.25">
      <c r="A5218" t="s">
        <v>39</v>
      </c>
      <c r="B5218" t="s">
        <v>652</v>
      </c>
    </row>
    <row r="5219" spans="1:8" x14ac:dyDescent="0.25">
      <c r="A5219" t="s">
        <v>40</v>
      </c>
      <c r="B5219" t="s">
        <v>652</v>
      </c>
    </row>
    <row r="5220" spans="1:8" x14ac:dyDescent="0.25">
      <c r="A5220" t="s">
        <v>22</v>
      </c>
      <c r="B5220" t="s">
        <v>652</v>
      </c>
    </row>
    <row r="5221" spans="1:8" x14ac:dyDescent="0.25">
      <c r="A5221" t="s">
        <v>1802</v>
      </c>
      <c r="B5221" t="s">
        <v>653</v>
      </c>
      <c r="C5221" t="s">
        <v>403</v>
      </c>
      <c r="D5221">
        <v>30</v>
      </c>
      <c r="E5221">
        <v>1800</v>
      </c>
      <c r="F5221">
        <v>0</v>
      </c>
      <c r="G5221">
        <v>20</v>
      </c>
      <c r="H5221" t="s">
        <v>19</v>
      </c>
    </row>
    <row r="5222" spans="1:8" x14ac:dyDescent="0.25">
      <c r="A5222" t="str">
        <f>"&lt;nominal&gt;" &amp;$D$5221&amp;"&lt;/nominal&gt;"</f>
        <v>&lt;nominal&gt;30&lt;/nominal&gt;</v>
      </c>
      <c r="B5222" t="s">
        <v>653</v>
      </c>
    </row>
    <row r="5223" spans="1:8" x14ac:dyDescent="0.25">
      <c r="A5223" t="str">
        <f>"&lt;lifetime&gt;" &amp;$E$5221&amp;"&lt;/lifetime&gt;"</f>
        <v>&lt;lifetime&gt;1800&lt;/lifetime&gt;</v>
      </c>
      <c r="B5223" t="s">
        <v>653</v>
      </c>
    </row>
    <row r="5224" spans="1:8" x14ac:dyDescent="0.25">
      <c r="A5224" t="str">
        <f>"&lt;restock&gt;" &amp;$F$5221&amp;"&lt;/restock&gt;"</f>
        <v>&lt;restock&gt;0&lt;/restock&gt;</v>
      </c>
      <c r="B5224" t="s">
        <v>653</v>
      </c>
    </row>
    <row r="5225" spans="1:8" x14ac:dyDescent="0.25">
      <c r="A5225" t="str">
        <f>"&lt;min&gt;" &amp;$G$5221&amp;"&lt;/min&gt;"</f>
        <v>&lt;min&gt;20&lt;/min&gt;</v>
      </c>
      <c r="B5225" t="s">
        <v>653</v>
      </c>
    </row>
    <row r="5226" spans="1:8" x14ac:dyDescent="0.25">
      <c r="A5226" t="s">
        <v>16</v>
      </c>
      <c r="B5226" t="s">
        <v>653</v>
      </c>
    </row>
    <row r="5227" spans="1:8" x14ac:dyDescent="0.25">
      <c r="A5227" t="s">
        <v>17</v>
      </c>
      <c r="B5227" t="s">
        <v>653</v>
      </c>
    </row>
    <row r="5228" spans="1:8" x14ac:dyDescent="0.25">
      <c r="A5228" t="s">
        <v>18</v>
      </c>
      <c r="B5228" t="s">
        <v>653</v>
      </c>
    </row>
    <row r="5229" spans="1:8" x14ac:dyDescent="0.25">
      <c r="A5229" t="str">
        <f xml:space="preserve"> $H$5221</f>
        <v>&lt;flags count_in_cargo="0" count_in_hoarder="0" count_in_map="1" count_in_player="0" crafted="0" deloot="0"/&gt;</v>
      </c>
      <c r="B5229" t="s">
        <v>653</v>
      </c>
    </row>
    <row r="5230" spans="1:8" x14ac:dyDescent="0.25">
      <c r="A5230" t="str">
        <f>"&lt;category name=" &amp;"""" &amp;$C$5221&amp;"""/&gt;"</f>
        <v>&lt;category name="clothes"/&gt;</v>
      </c>
      <c r="B5230" t="s">
        <v>653</v>
      </c>
    </row>
    <row r="5231" spans="1:8" x14ac:dyDescent="0.25">
      <c r="A5231" t="s">
        <v>20</v>
      </c>
      <c r="B5231" t="s">
        <v>653</v>
      </c>
    </row>
    <row r="5232" spans="1:8" x14ac:dyDescent="0.25">
      <c r="A5232" t="s">
        <v>39</v>
      </c>
      <c r="B5232" t="s">
        <v>653</v>
      </c>
    </row>
    <row r="5233" spans="1:8" x14ac:dyDescent="0.25">
      <c r="A5233" t="s">
        <v>40</v>
      </c>
      <c r="B5233" t="s">
        <v>653</v>
      </c>
    </row>
    <row r="5234" spans="1:8" x14ac:dyDescent="0.25">
      <c r="A5234" t="s">
        <v>22</v>
      </c>
      <c r="B5234" t="s">
        <v>653</v>
      </c>
    </row>
    <row r="5235" spans="1:8" x14ac:dyDescent="0.25">
      <c r="A5235" t="s">
        <v>1803</v>
      </c>
      <c r="B5235" t="s">
        <v>3405</v>
      </c>
      <c r="C5235" t="s">
        <v>363</v>
      </c>
      <c r="D5235">
        <v>0</v>
      </c>
      <c r="E5235">
        <v>7200</v>
      </c>
      <c r="F5235">
        <v>0</v>
      </c>
      <c r="G5235">
        <v>0</v>
      </c>
      <c r="H5235" t="s">
        <v>62</v>
      </c>
    </row>
    <row r="5236" spans="1:8" x14ac:dyDescent="0.25">
      <c r="A5236" t="str">
        <f>"&lt;nominal&gt;" &amp;$D$5235&amp;"&lt;/nominal&gt;"</f>
        <v>&lt;nominal&gt;0&lt;/nominal&gt;</v>
      </c>
      <c r="B5236" t="s">
        <v>3405</v>
      </c>
    </row>
    <row r="5237" spans="1:8" x14ac:dyDescent="0.25">
      <c r="A5237" t="str">
        <f>"&lt;lifetime&gt;" &amp;$E$5235&amp;"&lt;/lifetime&gt;"</f>
        <v>&lt;lifetime&gt;7200&lt;/lifetime&gt;</v>
      </c>
      <c r="B5237" t="s">
        <v>3405</v>
      </c>
    </row>
    <row r="5238" spans="1:8" x14ac:dyDescent="0.25">
      <c r="A5238" t="str">
        <f>"&lt;restock&gt;" &amp;$F$5235&amp;"&lt;/restock&gt;"</f>
        <v>&lt;restock&gt;0&lt;/restock&gt;</v>
      </c>
      <c r="B5238" t="s">
        <v>3405</v>
      </c>
    </row>
    <row r="5239" spans="1:8" x14ac:dyDescent="0.25">
      <c r="A5239" t="str">
        <f>"&lt;min&gt;" &amp;$G$5235&amp;"&lt;/min&gt;"</f>
        <v>&lt;min&gt;0&lt;/min&gt;</v>
      </c>
      <c r="B5239" t="s">
        <v>3405</v>
      </c>
    </row>
    <row r="5240" spans="1:8" x14ac:dyDescent="0.25">
      <c r="A5240" t="s">
        <v>16</v>
      </c>
      <c r="B5240" t="s">
        <v>3405</v>
      </c>
    </row>
    <row r="5241" spans="1:8" x14ac:dyDescent="0.25">
      <c r="A5241" t="s">
        <v>17</v>
      </c>
      <c r="B5241" t="s">
        <v>3405</v>
      </c>
    </row>
    <row r="5242" spans="1:8" x14ac:dyDescent="0.25">
      <c r="A5242" t="s">
        <v>18</v>
      </c>
      <c r="B5242" t="s">
        <v>3405</v>
      </c>
    </row>
    <row r="5243" spans="1:8" x14ac:dyDescent="0.25">
      <c r="A5243" t="str">
        <f xml:space="preserve"> $H$5235</f>
        <v>&lt;flags count_in_cargo="0" count_in_hoarder="0" count_in_map="1" count_in_player="0" crafted="1" deloot="0"/&gt;</v>
      </c>
      <c r="B5243" t="s">
        <v>3405</v>
      </c>
    </row>
    <row r="5244" spans="1:8" x14ac:dyDescent="0.25">
      <c r="A5244" t="str">
        <f>"&lt;category name=" &amp;"""" &amp;$C$5235&amp;"""/&gt;"</f>
        <v>&lt;category name="containers"/&gt;</v>
      </c>
      <c r="B5244" t="s">
        <v>3405</v>
      </c>
    </row>
    <row r="5245" spans="1:8" x14ac:dyDescent="0.25">
      <c r="A5245" t="s">
        <v>22</v>
      </c>
      <c r="B5245" t="s">
        <v>3405</v>
      </c>
    </row>
    <row r="5246" spans="1:8" x14ac:dyDescent="0.25">
      <c r="A5246" t="s">
        <v>1804</v>
      </c>
      <c r="B5246" t="s">
        <v>3406</v>
      </c>
      <c r="C5246" t="s">
        <v>363</v>
      </c>
      <c r="D5246">
        <v>0</v>
      </c>
      <c r="E5246">
        <v>7200</v>
      </c>
      <c r="F5246">
        <v>0</v>
      </c>
      <c r="G5246">
        <v>0</v>
      </c>
      <c r="H5246" t="s">
        <v>62</v>
      </c>
    </row>
    <row r="5247" spans="1:8" x14ac:dyDescent="0.25">
      <c r="A5247" t="str">
        <f>"&lt;nominal&gt;" &amp;$D$5246&amp;"&lt;/nominal&gt;"</f>
        <v>&lt;nominal&gt;0&lt;/nominal&gt;</v>
      </c>
      <c r="B5247" t="s">
        <v>3406</v>
      </c>
    </row>
    <row r="5248" spans="1:8" x14ac:dyDescent="0.25">
      <c r="A5248" t="str">
        <f>"&lt;lifetime&gt;" &amp;$E$5246&amp;"&lt;/lifetime&gt;"</f>
        <v>&lt;lifetime&gt;7200&lt;/lifetime&gt;</v>
      </c>
      <c r="B5248" t="s">
        <v>3406</v>
      </c>
    </row>
    <row r="5249" spans="1:8" x14ac:dyDescent="0.25">
      <c r="A5249" t="str">
        <f>"&lt;restock&gt;" &amp;$F$5246&amp;"&lt;/restock&gt;"</f>
        <v>&lt;restock&gt;0&lt;/restock&gt;</v>
      </c>
      <c r="B5249" t="s">
        <v>3406</v>
      </c>
    </row>
    <row r="5250" spans="1:8" x14ac:dyDescent="0.25">
      <c r="A5250" t="str">
        <f>"&lt;min&gt;" &amp;$G$5246&amp;"&lt;/min&gt;"</f>
        <v>&lt;min&gt;0&lt;/min&gt;</v>
      </c>
      <c r="B5250" t="s">
        <v>3406</v>
      </c>
    </row>
    <row r="5251" spans="1:8" x14ac:dyDescent="0.25">
      <c r="A5251" t="s">
        <v>16</v>
      </c>
      <c r="B5251" t="s">
        <v>3406</v>
      </c>
    </row>
    <row r="5252" spans="1:8" x14ac:dyDescent="0.25">
      <c r="A5252" t="s">
        <v>17</v>
      </c>
      <c r="B5252" t="s">
        <v>3406</v>
      </c>
    </row>
    <row r="5253" spans="1:8" x14ac:dyDescent="0.25">
      <c r="A5253" t="s">
        <v>18</v>
      </c>
      <c r="B5253" t="s">
        <v>3406</v>
      </c>
    </row>
    <row r="5254" spans="1:8" x14ac:dyDescent="0.25">
      <c r="A5254" t="str">
        <f xml:space="preserve"> $H$5246</f>
        <v>&lt;flags count_in_cargo="0" count_in_hoarder="0" count_in_map="1" count_in_player="0" crafted="1" deloot="0"/&gt;</v>
      </c>
      <c r="B5254" t="s">
        <v>3406</v>
      </c>
    </row>
    <row r="5255" spans="1:8" x14ac:dyDescent="0.25">
      <c r="A5255" t="str">
        <f>"&lt;category name=" &amp;"""" &amp;$C$5246&amp;"""/&gt;"</f>
        <v>&lt;category name="containers"/&gt;</v>
      </c>
      <c r="B5255" t="s">
        <v>3406</v>
      </c>
    </row>
    <row r="5256" spans="1:8" x14ac:dyDescent="0.25">
      <c r="A5256" t="s">
        <v>22</v>
      </c>
      <c r="B5256" t="s">
        <v>3406</v>
      </c>
    </row>
    <row r="5257" spans="1:8" x14ac:dyDescent="0.25">
      <c r="A5257" t="s">
        <v>1805</v>
      </c>
      <c r="B5257" t="s">
        <v>654</v>
      </c>
      <c r="C5257" t="s">
        <v>403</v>
      </c>
      <c r="D5257">
        <v>10</v>
      </c>
      <c r="E5257">
        <v>7200</v>
      </c>
      <c r="F5257">
        <v>0</v>
      </c>
      <c r="G5257">
        <v>5</v>
      </c>
      <c r="H5257" t="s">
        <v>19</v>
      </c>
    </row>
    <row r="5258" spans="1:8" x14ac:dyDescent="0.25">
      <c r="A5258" t="str">
        <f>"&lt;nominal&gt;" &amp;$D$5257&amp;"&lt;/nominal&gt;"</f>
        <v>&lt;nominal&gt;10&lt;/nominal&gt;</v>
      </c>
      <c r="B5258" t="s">
        <v>654</v>
      </c>
    </row>
    <row r="5259" spans="1:8" x14ac:dyDescent="0.25">
      <c r="A5259" t="str">
        <f>"&lt;lifetime&gt;" &amp;$E$5257&amp;"&lt;/lifetime&gt;"</f>
        <v>&lt;lifetime&gt;7200&lt;/lifetime&gt;</v>
      </c>
      <c r="B5259" t="s">
        <v>654</v>
      </c>
    </row>
    <row r="5260" spans="1:8" x14ac:dyDescent="0.25">
      <c r="A5260" t="str">
        <f>"&lt;restock&gt;" &amp;$F$5257&amp;"&lt;/restock&gt;"</f>
        <v>&lt;restock&gt;0&lt;/restock&gt;</v>
      </c>
      <c r="B5260" t="s">
        <v>654</v>
      </c>
    </row>
    <row r="5261" spans="1:8" x14ac:dyDescent="0.25">
      <c r="A5261" t="str">
        <f>"&lt;min&gt;" &amp;$G$5257&amp;"&lt;/min&gt;"</f>
        <v>&lt;min&gt;5&lt;/min&gt;</v>
      </c>
      <c r="B5261" t="s">
        <v>654</v>
      </c>
    </row>
    <row r="5262" spans="1:8" x14ac:dyDescent="0.25">
      <c r="A5262" t="s">
        <v>16</v>
      </c>
      <c r="B5262" t="s">
        <v>654</v>
      </c>
    </row>
    <row r="5263" spans="1:8" x14ac:dyDescent="0.25">
      <c r="A5263" t="s">
        <v>17</v>
      </c>
      <c r="B5263" t="s">
        <v>654</v>
      </c>
    </row>
    <row r="5264" spans="1:8" x14ac:dyDescent="0.25">
      <c r="A5264" t="s">
        <v>18</v>
      </c>
      <c r="B5264" t="s">
        <v>654</v>
      </c>
    </row>
    <row r="5265" spans="1:8" x14ac:dyDescent="0.25">
      <c r="A5265" t="str">
        <f xml:space="preserve"> $H$5257</f>
        <v>&lt;flags count_in_cargo="0" count_in_hoarder="0" count_in_map="1" count_in_player="0" crafted="0" deloot="0"/&gt;</v>
      </c>
      <c r="B5265" t="s">
        <v>654</v>
      </c>
    </row>
    <row r="5266" spans="1:8" x14ac:dyDescent="0.25">
      <c r="A5266" t="str">
        <f>"&lt;category name=" &amp;"""" &amp;$C$5257&amp;"""/&gt;"</f>
        <v>&lt;category name="clothes"/&gt;</v>
      </c>
      <c r="B5266" t="s">
        <v>654</v>
      </c>
    </row>
    <row r="5267" spans="1:8" x14ac:dyDescent="0.25">
      <c r="A5267" t="s">
        <v>29</v>
      </c>
      <c r="B5267" t="s">
        <v>654</v>
      </c>
    </row>
    <row r="5268" spans="1:8" x14ac:dyDescent="0.25">
      <c r="A5268" t="s">
        <v>173</v>
      </c>
      <c r="B5268" t="s">
        <v>654</v>
      </c>
    </row>
    <row r="5269" spans="1:8" x14ac:dyDescent="0.25">
      <c r="A5269" t="s">
        <v>26</v>
      </c>
      <c r="B5269" t="s">
        <v>654</v>
      </c>
    </row>
    <row r="5270" spans="1:8" x14ac:dyDescent="0.25">
      <c r="A5270" t="s">
        <v>22</v>
      </c>
      <c r="B5270" t="s">
        <v>654</v>
      </c>
    </row>
    <row r="5271" spans="1:8" x14ac:dyDescent="0.25">
      <c r="A5271" t="s">
        <v>1806</v>
      </c>
      <c r="B5271" t="s">
        <v>655</v>
      </c>
      <c r="C5271" t="s">
        <v>426</v>
      </c>
      <c r="D5271">
        <v>50</v>
      </c>
      <c r="E5271">
        <v>7200</v>
      </c>
      <c r="F5271">
        <v>0</v>
      </c>
      <c r="G5271">
        <v>30</v>
      </c>
      <c r="H5271" t="s">
        <v>19</v>
      </c>
    </row>
    <row r="5272" spans="1:8" x14ac:dyDescent="0.25">
      <c r="A5272" t="str">
        <f>"&lt;nominal&gt;" &amp;$D$5271&amp;"&lt;/nominal&gt;"</f>
        <v>&lt;nominal&gt;50&lt;/nominal&gt;</v>
      </c>
      <c r="B5272" t="s">
        <v>655</v>
      </c>
    </row>
    <row r="5273" spans="1:8" x14ac:dyDescent="0.25">
      <c r="A5273" t="str">
        <f>"&lt;lifetime&gt;" &amp;$E$5271&amp;"&lt;/lifetime&gt;"</f>
        <v>&lt;lifetime&gt;7200&lt;/lifetime&gt;</v>
      </c>
      <c r="B5273" t="s">
        <v>655</v>
      </c>
    </row>
    <row r="5274" spans="1:8" x14ac:dyDescent="0.25">
      <c r="A5274" t="str">
        <f>"&lt;restock&gt;" &amp;$F$5271&amp;"&lt;/restock&gt;"</f>
        <v>&lt;restock&gt;0&lt;/restock&gt;</v>
      </c>
      <c r="B5274" t="s">
        <v>655</v>
      </c>
    </row>
    <row r="5275" spans="1:8" x14ac:dyDescent="0.25">
      <c r="A5275" t="str">
        <f>"&lt;min&gt;" &amp;$G$5271&amp;"&lt;/min&gt;"</f>
        <v>&lt;min&gt;30&lt;/min&gt;</v>
      </c>
      <c r="B5275" t="s">
        <v>655</v>
      </c>
    </row>
    <row r="5276" spans="1:8" x14ac:dyDescent="0.25">
      <c r="A5276" t="s">
        <v>16</v>
      </c>
      <c r="B5276" t="s">
        <v>655</v>
      </c>
    </row>
    <row r="5277" spans="1:8" x14ac:dyDescent="0.25">
      <c r="A5277" t="s">
        <v>17</v>
      </c>
      <c r="B5277" t="s">
        <v>655</v>
      </c>
    </row>
    <row r="5278" spans="1:8" x14ac:dyDescent="0.25">
      <c r="A5278" t="s">
        <v>18</v>
      </c>
      <c r="B5278" t="s">
        <v>655</v>
      </c>
    </row>
    <row r="5279" spans="1:8" x14ac:dyDescent="0.25">
      <c r="A5279" t="str">
        <f xml:space="preserve"> $H$5271</f>
        <v>&lt;flags count_in_cargo="0" count_in_hoarder="0" count_in_map="1" count_in_player="0" crafted="0" deloot="0"/&gt;</v>
      </c>
      <c r="B5279" t="s">
        <v>655</v>
      </c>
    </row>
    <row r="5280" spans="1:8" x14ac:dyDescent="0.25">
      <c r="A5280" t="str">
        <f>"&lt;category name=" &amp;"""" &amp;$C$5271&amp;"""/&gt;"</f>
        <v>&lt;category name="tools"/&gt;</v>
      </c>
      <c r="B5280" t="s">
        <v>655</v>
      </c>
    </row>
    <row r="5281" spans="1:8" x14ac:dyDescent="0.25">
      <c r="A5281" t="s">
        <v>56</v>
      </c>
      <c r="B5281" t="s">
        <v>655</v>
      </c>
    </row>
    <row r="5282" spans="1:8" x14ac:dyDescent="0.25">
      <c r="A5282" t="s">
        <v>22</v>
      </c>
      <c r="B5282" t="s">
        <v>655</v>
      </c>
    </row>
    <row r="5283" spans="1:8" x14ac:dyDescent="0.25">
      <c r="A5283" t="s">
        <v>1807</v>
      </c>
      <c r="B5283" t="s">
        <v>3407</v>
      </c>
      <c r="C5283" t="s">
        <v>426</v>
      </c>
      <c r="D5283">
        <v>0</v>
      </c>
      <c r="E5283">
        <v>21600</v>
      </c>
      <c r="F5283">
        <v>0</v>
      </c>
      <c r="G5283">
        <v>0</v>
      </c>
      <c r="H5283" t="s">
        <v>62</v>
      </c>
    </row>
    <row r="5284" spans="1:8" x14ac:dyDescent="0.25">
      <c r="A5284" t="str">
        <f>"&lt;nominal&gt;" &amp;$D$5283&amp;"&lt;/nominal&gt;"</f>
        <v>&lt;nominal&gt;0&lt;/nominal&gt;</v>
      </c>
      <c r="B5284" t="s">
        <v>3407</v>
      </c>
    </row>
    <row r="5285" spans="1:8" x14ac:dyDescent="0.25">
      <c r="A5285" t="str">
        <f>"&lt;lifetime&gt;" &amp;$E$5283&amp;"&lt;/lifetime&gt;"</f>
        <v>&lt;lifetime&gt;21600&lt;/lifetime&gt;</v>
      </c>
      <c r="B5285" t="s">
        <v>3407</v>
      </c>
    </row>
    <row r="5286" spans="1:8" x14ac:dyDescent="0.25">
      <c r="A5286" t="str">
        <f>"&lt;restock&gt;" &amp;$F$5283&amp;"&lt;/restock&gt;"</f>
        <v>&lt;restock&gt;0&lt;/restock&gt;</v>
      </c>
      <c r="B5286" t="s">
        <v>3407</v>
      </c>
    </row>
    <row r="5287" spans="1:8" x14ac:dyDescent="0.25">
      <c r="A5287" t="str">
        <f>"&lt;min&gt;" &amp;$G$5283&amp;"&lt;/min&gt;"</f>
        <v>&lt;min&gt;0&lt;/min&gt;</v>
      </c>
      <c r="B5287" t="s">
        <v>3407</v>
      </c>
    </row>
    <row r="5288" spans="1:8" x14ac:dyDescent="0.25">
      <c r="A5288" t="s">
        <v>16</v>
      </c>
      <c r="B5288" t="s">
        <v>3407</v>
      </c>
    </row>
    <row r="5289" spans="1:8" x14ac:dyDescent="0.25">
      <c r="A5289" t="s">
        <v>17</v>
      </c>
      <c r="B5289" t="s">
        <v>3407</v>
      </c>
    </row>
    <row r="5290" spans="1:8" x14ac:dyDescent="0.25">
      <c r="A5290" t="s">
        <v>18</v>
      </c>
      <c r="B5290" t="s">
        <v>3407</v>
      </c>
    </row>
    <row r="5291" spans="1:8" x14ac:dyDescent="0.25">
      <c r="A5291" t="str">
        <f xml:space="preserve"> $H$5283</f>
        <v>&lt;flags count_in_cargo="0" count_in_hoarder="0" count_in_map="1" count_in_player="0" crafted="1" deloot="0"/&gt;</v>
      </c>
      <c r="B5291" t="s">
        <v>3407</v>
      </c>
    </row>
    <row r="5292" spans="1:8" x14ac:dyDescent="0.25">
      <c r="A5292" t="str">
        <f>"&lt;category name=" &amp;"""" &amp;$C$5283&amp;"""/&gt;"</f>
        <v>&lt;category name="tools"/&gt;</v>
      </c>
      <c r="B5292" t="s">
        <v>3407</v>
      </c>
    </row>
    <row r="5293" spans="1:8" x14ac:dyDescent="0.25">
      <c r="A5293" t="s">
        <v>22</v>
      </c>
      <c r="B5293" t="s">
        <v>3407</v>
      </c>
    </row>
    <row r="5294" spans="1:8" x14ac:dyDescent="0.25">
      <c r="A5294" t="s">
        <v>1808</v>
      </c>
      <c r="B5294" t="s">
        <v>656</v>
      </c>
      <c r="C5294" t="s">
        <v>403</v>
      </c>
      <c r="D5294">
        <v>10</v>
      </c>
      <c r="E5294">
        <v>7200</v>
      </c>
      <c r="F5294">
        <v>0</v>
      </c>
      <c r="G5294">
        <v>5</v>
      </c>
      <c r="H5294" t="s">
        <v>19</v>
      </c>
    </row>
    <row r="5295" spans="1:8" x14ac:dyDescent="0.25">
      <c r="A5295" t="str">
        <f>"&lt;nominal&gt;" &amp;$D$5294&amp;"&lt;/nominal&gt;"</f>
        <v>&lt;nominal&gt;10&lt;/nominal&gt;</v>
      </c>
      <c r="B5295" t="s">
        <v>656</v>
      </c>
    </row>
    <row r="5296" spans="1:8" x14ac:dyDescent="0.25">
      <c r="A5296" t="str">
        <f>"&lt;lifetime&gt;" &amp;$E$5294&amp;"&lt;/lifetime&gt;"</f>
        <v>&lt;lifetime&gt;7200&lt;/lifetime&gt;</v>
      </c>
      <c r="B5296" t="s">
        <v>656</v>
      </c>
    </row>
    <row r="5297" spans="1:8" x14ac:dyDescent="0.25">
      <c r="A5297" t="str">
        <f>"&lt;restock&gt;" &amp;$F$5294&amp;"&lt;/restock&gt;"</f>
        <v>&lt;restock&gt;0&lt;/restock&gt;</v>
      </c>
      <c r="B5297" t="s">
        <v>656</v>
      </c>
    </row>
    <row r="5298" spans="1:8" x14ac:dyDescent="0.25">
      <c r="A5298" t="str">
        <f>"&lt;min&gt;" &amp;$G$5294&amp;"&lt;/min&gt;"</f>
        <v>&lt;min&gt;5&lt;/min&gt;</v>
      </c>
      <c r="B5298" t="s">
        <v>656</v>
      </c>
    </row>
    <row r="5299" spans="1:8" x14ac:dyDescent="0.25">
      <c r="A5299" t="s">
        <v>16</v>
      </c>
      <c r="B5299" t="s">
        <v>656</v>
      </c>
    </row>
    <row r="5300" spans="1:8" x14ac:dyDescent="0.25">
      <c r="A5300" t="s">
        <v>17</v>
      </c>
      <c r="B5300" t="s">
        <v>656</v>
      </c>
    </row>
    <row r="5301" spans="1:8" x14ac:dyDescent="0.25">
      <c r="A5301" t="s">
        <v>18</v>
      </c>
      <c r="B5301" t="s">
        <v>656</v>
      </c>
    </row>
    <row r="5302" spans="1:8" x14ac:dyDescent="0.25">
      <c r="A5302" t="str">
        <f xml:space="preserve"> $H$5294</f>
        <v>&lt;flags count_in_cargo="0" count_in_hoarder="0" count_in_map="1" count_in_player="0" crafted="0" deloot="0"/&gt;</v>
      </c>
      <c r="B5302" t="s">
        <v>656</v>
      </c>
    </row>
    <row r="5303" spans="1:8" x14ac:dyDescent="0.25">
      <c r="A5303" t="str">
        <f>"&lt;category name=" &amp;"""" &amp;$C$5294&amp;"""/&gt;"</f>
        <v>&lt;category name="clothes"/&gt;</v>
      </c>
      <c r="B5303" t="s">
        <v>656</v>
      </c>
    </row>
    <row r="5304" spans="1:8" x14ac:dyDescent="0.25">
      <c r="A5304" t="s">
        <v>29</v>
      </c>
      <c r="B5304" t="s">
        <v>656</v>
      </c>
    </row>
    <row r="5305" spans="1:8" x14ac:dyDescent="0.25">
      <c r="A5305" t="s">
        <v>26</v>
      </c>
      <c r="B5305" t="s">
        <v>656</v>
      </c>
    </row>
    <row r="5306" spans="1:8" x14ac:dyDescent="0.25">
      <c r="A5306" t="s">
        <v>173</v>
      </c>
      <c r="B5306" t="s">
        <v>656</v>
      </c>
    </row>
    <row r="5307" spans="1:8" x14ac:dyDescent="0.25">
      <c r="A5307" t="s">
        <v>22</v>
      </c>
      <c r="B5307" t="s">
        <v>656</v>
      </c>
    </row>
    <row r="5308" spans="1:8" x14ac:dyDescent="0.25">
      <c r="A5308" t="s">
        <v>1809</v>
      </c>
      <c r="B5308" t="s">
        <v>657</v>
      </c>
      <c r="C5308" t="s">
        <v>403</v>
      </c>
      <c r="D5308">
        <v>5</v>
      </c>
      <c r="E5308">
        <v>7200</v>
      </c>
      <c r="F5308">
        <v>0</v>
      </c>
      <c r="G5308">
        <v>2</v>
      </c>
      <c r="H5308" t="s">
        <v>38</v>
      </c>
    </row>
    <row r="5309" spans="1:8" x14ac:dyDescent="0.25">
      <c r="A5309" t="str">
        <f>"&lt;nominal&gt;" &amp;$D$5308&amp;"&lt;/nominal&gt;"</f>
        <v>&lt;nominal&gt;5&lt;/nominal&gt;</v>
      </c>
      <c r="B5309" t="s">
        <v>657</v>
      </c>
    </row>
    <row r="5310" spans="1:8" x14ac:dyDescent="0.25">
      <c r="A5310" t="str">
        <f>"&lt;lifetime&gt;" &amp;$E$5308&amp;"&lt;/lifetime&gt;"</f>
        <v>&lt;lifetime&gt;7200&lt;/lifetime&gt;</v>
      </c>
      <c r="B5310" t="s">
        <v>657</v>
      </c>
    </row>
    <row r="5311" spans="1:8" x14ac:dyDescent="0.25">
      <c r="A5311" t="str">
        <f>"&lt;restock&gt;" &amp;$F$5308&amp;"&lt;/restock&gt;"</f>
        <v>&lt;restock&gt;0&lt;/restock&gt;</v>
      </c>
      <c r="B5311" t="s">
        <v>657</v>
      </c>
    </row>
    <row r="5312" spans="1:8" x14ac:dyDescent="0.25">
      <c r="A5312" t="str">
        <f>"&lt;min&gt;" &amp;$G$5308&amp;"&lt;/min&gt;"</f>
        <v>&lt;min&gt;2&lt;/min&gt;</v>
      </c>
      <c r="B5312" t="s">
        <v>657</v>
      </c>
    </row>
    <row r="5313" spans="1:8" x14ac:dyDescent="0.25">
      <c r="A5313" t="s">
        <v>16</v>
      </c>
      <c r="B5313" t="s">
        <v>657</v>
      </c>
    </row>
    <row r="5314" spans="1:8" x14ac:dyDescent="0.25">
      <c r="A5314" t="s">
        <v>17</v>
      </c>
      <c r="B5314" t="s">
        <v>657</v>
      </c>
    </row>
    <row r="5315" spans="1:8" x14ac:dyDescent="0.25">
      <c r="A5315" t="s">
        <v>18</v>
      </c>
      <c r="B5315" t="s">
        <v>657</v>
      </c>
    </row>
    <row r="5316" spans="1:8" x14ac:dyDescent="0.25">
      <c r="A5316" t="str">
        <f xml:space="preserve"> $H$5308</f>
        <v>&lt;flags count_in_cargo="0" count_in_hoarder="0" count_in_map="1" count_in_player="0" crafted="0" deloot="1"/&gt;</v>
      </c>
      <c r="B5316" t="s">
        <v>657</v>
      </c>
    </row>
    <row r="5317" spans="1:8" x14ac:dyDescent="0.25">
      <c r="A5317" t="str">
        <f>"&lt;category name=" &amp;"""" &amp;$C$5308&amp;"""/&gt;"</f>
        <v>&lt;category name="clothes"/&gt;</v>
      </c>
      <c r="B5317" t="s">
        <v>657</v>
      </c>
    </row>
    <row r="5318" spans="1:8" x14ac:dyDescent="0.25">
      <c r="A5318" t="s">
        <v>29</v>
      </c>
      <c r="B5318" t="s">
        <v>657</v>
      </c>
    </row>
    <row r="5319" spans="1:8" x14ac:dyDescent="0.25">
      <c r="A5319" t="s">
        <v>22</v>
      </c>
      <c r="B5319" t="s">
        <v>657</v>
      </c>
    </row>
    <row r="5320" spans="1:8" x14ac:dyDescent="0.25">
      <c r="A5320" t="s">
        <v>1810</v>
      </c>
      <c r="B5320" t="s">
        <v>2955</v>
      </c>
      <c r="C5320" t="s">
        <v>403</v>
      </c>
      <c r="D5320">
        <v>0</v>
      </c>
      <c r="E5320">
        <v>7200</v>
      </c>
      <c r="F5320">
        <v>0</v>
      </c>
      <c r="G5320">
        <v>0</v>
      </c>
      <c r="H5320" t="s">
        <v>62</v>
      </c>
    </row>
    <row r="5321" spans="1:8" x14ac:dyDescent="0.25">
      <c r="A5321" t="str">
        <f>"&lt;nominal&gt;" &amp;$D$5320&amp;"&lt;/nominal&gt;"</f>
        <v>&lt;nominal&gt;0&lt;/nominal&gt;</v>
      </c>
      <c r="B5321" t="s">
        <v>2955</v>
      </c>
    </row>
    <row r="5322" spans="1:8" x14ac:dyDescent="0.25">
      <c r="A5322" t="str">
        <f>"&lt;lifetime&gt;" &amp;$E$5320&amp;"&lt;/lifetime&gt;"</f>
        <v>&lt;lifetime&gt;7200&lt;/lifetime&gt;</v>
      </c>
      <c r="B5322" t="s">
        <v>2955</v>
      </c>
    </row>
    <row r="5323" spans="1:8" x14ac:dyDescent="0.25">
      <c r="A5323" t="str">
        <f>"&lt;restock&gt;" &amp;$F$5320&amp;"&lt;/restock&gt;"</f>
        <v>&lt;restock&gt;0&lt;/restock&gt;</v>
      </c>
      <c r="B5323" t="s">
        <v>2955</v>
      </c>
    </row>
    <row r="5324" spans="1:8" x14ac:dyDescent="0.25">
      <c r="A5324" t="str">
        <f>"&lt;min&gt;" &amp;$G$5320&amp;"&lt;/min&gt;"</f>
        <v>&lt;min&gt;0&lt;/min&gt;</v>
      </c>
      <c r="B5324" t="s">
        <v>2955</v>
      </c>
    </row>
    <row r="5325" spans="1:8" x14ac:dyDescent="0.25">
      <c r="A5325" t="s">
        <v>16</v>
      </c>
      <c r="B5325" t="s">
        <v>2955</v>
      </c>
    </row>
    <row r="5326" spans="1:8" x14ac:dyDescent="0.25">
      <c r="A5326" t="s">
        <v>17</v>
      </c>
      <c r="B5326" t="s">
        <v>2955</v>
      </c>
    </row>
    <row r="5327" spans="1:8" x14ac:dyDescent="0.25">
      <c r="A5327" t="s">
        <v>18</v>
      </c>
      <c r="B5327" t="s">
        <v>2955</v>
      </c>
    </row>
    <row r="5328" spans="1:8" x14ac:dyDescent="0.25">
      <c r="A5328" t="str">
        <f xml:space="preserve"> $H$5320</f>
        <v>&lt;flags count_in_cargo="0" count_in_hoarder="0" count_in_map="1" count_in_player="0" crafted="1" deloot="0"/&gt;</v>
      </c>
      <c r="B5328" t="s">
        <v>2955</v>
      </c>
    </row>
    <row r="5329" spans="1:8" x14ac:dyDescent="0.25">
      <c r="A5329" t="str">
        <f>"&lt;category name=" &amp;"""" &amp;$C$5320&amp;"""/&gt;"</f>
        <v>&lt;category name="clothes"/&gt;</v>
      </c>
      <c r="B5329" t="s">
        <v>2955</v>
      </c>
    </row>
    <row r="5330" spans="1:8" x14ac:dyDescent="0.25">
      <c r="A5330" t="s">
        <v>22</v>
      </c>
      <c r="B5330" t="s">
        <v>2955</v>
      </c>
    </row>
    <row r="5331" spans="1:8" x14ac:dyDescent="0.25">
      <c r="A5331" t="s">
        <v>1811</v>
      </c>
      <c r="B5331" t="s">
        <v>658</v>
      </c>
      <c r="C5331" t="s">
        <v>403</v>
      </c>
      <c r="D5331">
        <v>5</v>
      </c>
      <c r="E5331">
        <v>7200</v>
      </c>
      <c r="F5331">
        <v>0</v>
      </c>
      <c r="G5331">
        <v>2</v>
      </c>
      <c r="H5331" t="s">
        <v>38</v>
      </c>
    </row>
    <row r="5332" spans="1:8" x14ac:dyDescent="0.25">
      <c r="A5332" t="str">
        <f>"&lt;nominal&gt;" &amp;$D$5331&amp;"&lt;/nominal&gt;"</f>
        <v>&lt;nominal&gt;5&lt;/nominal&gt;</v>
      </c>
      <c r="B5332" t="s">
        <v>658</v>
      </c>
    </row>
    <row r="5333" spans="1:8" x14ac:dyDescent="0.25">
      <c r="A5333" t="str">
        <f>"&lt;lifetime&gt;" &amp;$E$5331&amp;"&lt;/lifetime&gt;"</f>
        <v>&lt;lifetime&gt;7200&lt;/lifetime&gt;</v>
      </c>
      <c r="B5333" t="s">
        <v>658</v>
      </c>
    </row>
    <row r="5334" spans="1:8" x14ac:dyDescent="0.25">
      <c r="A5334" t="str">
        <f>"&lt;restock&gt;" &amp;$F$5331&amp;"&lt;/restock&gt;"</f>
        <v>&lt;restock&gt;0&lt;/restock&gt;</v>
      </c>
      <c r="B5334" t="s">
        <v>658</v>
      </c>
    </row>
    <row r="5335" spans="1:8" x14ac:dyDescent="0.25">
      <c r="A5335" t="str">
        <f>"&lt;min&gt;" &amp;$G$5331&amp;"&lt;/min&gt;"</f>
        <v>&lt;min&gt;2&lt;/min&gt;</v>
      </c>
      <c r="B5335" t="s">
        <v>658</v>
      </c>
    </row>
    <row r="5336" spans="1:8" x14ac:dyDescent="0.25">
      <c r="A5336" t="s">
        <v>16</v>
      </c>
      <c r="B5336" t="s">
        <v>658</v>
      </c>
    </row>
    <row r="5337" spans="1:8" x14ac:dyDescent="0.25">
      <c r="A5337" t="s">
        <v>17</v>
      </c>
      <c r="B5337" t="s">
        <v>658</v>
      </c>
    </row>
    <row r="5338" spans="1:8" x14ac:dyDescent="0.25">
      <c r="A5338" t="s">
        <v>18</v>
      </c>
      <c r="B5338" t="s">
        <v>658</v>
      </c>
    </row>
    <row r="5339" spans="1:8" x14ac:dyDescent="0.25">
      <c r="A5339" t="str">
        <f xml:space="preserve"> $H$5331</f>
        <v>&lt;flags count_in_cargo="0" count_in_hoarder="0" count_in_map="1" count_in_player="0" crafted="0" deloot="1"/&gt;</v>
      </c>
      <c r="B5339" t="s">
        <v>658</v>
      </c>
    </row>
    <row r="5340" spans="1:8" x14ac:dyDescent="0.25">
      <c r="A5340" t="str">
        <f>"&lt;category name=" &amp;"""" &amp;$C$5331&amp;"""/&gt;"</f>
        <v>&lt;category name="clothes"/&gt;</v>
      </c>
      <c r="B5340" t="s">
        <v>658</v>
      </c>
    </row>
    <row r="5341" spans="1:8" x14ac:dyDescent="0.25">
      <c r="A5341" t="s">
        <v>29</v>
      </c>
      <c r="B5341" t="s">
        <v>658</v>
      </c>
    </row>
    <row r="5342" spans="1:8" x14ac:dyDescent="0.25">
      <c r="A5342" t="s">
        <v>22</v>
      </c>
      <c r="B5342" t="s">
        <v>658</v>
      </c>
    </row>
    <row r="5343" spans="1:8" x14ac:dyDescent="0.25">
      <c r="A5343" t="s">
        <v>1812</v>
      </c>
      <c r="B5343" t="s">
        <v>659</v>
      </c>
      <c r="C5343" t="s">
        <v>403</v>
      </c>
      <c r="D5343">
        <v>5</v>
      </c>
      <c r="E5343">
        <v>7200</v>
      </c>
      <c r="F5343">
        <v>0</v>
      </c>
      <c r="G5343">
        <v>2</v>
      </c>
      <c r="H5343" t="s">
        <v>38</v>
      </c>
    </row>
    <row r="5344" spans="1:8" x14ac:dyDescent="0.25">
      <c r="A5344" t="str">
        <f>"&lt;nominal&gt;" &amp;$D$5343&amp;"&lt;/nominal&gt;"</f>
        <v>&lt;nominal&gt;5&lt;/nominal&gt;</v>
      </c>
      <c r="B5344" t="s">
        <v>659</v>
      </c>
    </row>
    <row r="5345" spans="1:8" x14ac:dyDescent="0.25">
      <c r="A5345" t="str">
        <f>"&lt;lifetime&gt;" &amp;$E$5343&amp;"&lt;/lifetime&gt;"</f>
        <v>&lt;lifetime&gt;7200&lt;/lifetime&gt;</v>
      </c>
      <c r="B5345" t="s">
        <v>659</v>
      </c>
    </row>
    <row r="5346" spans="1:8" x14ac:dyDescent="0.25">
      <c r="A5346" t="str">
        <f>"&lt;restock&gt;" &amp;$F$5343&amp;"&lt;/restock&gt;"</f>
        <v>&lt;restock&gt;0&lt;/restock&gt;</v>
      </c>
      <c r="B5346" t="s">
        <v>659</v>
      </c>
    </row>
    <row r="5347" spans="1:8" x14ac:dyDescent="0.25">
      <c r="A5347" t="str">
        <f>"&lt;min&gt;" &amp;$G$5343&amp;"&lt;/min&gt;"</f>
        <v>&lt;min&gt;2&lt;/min&gt;</v>
      </c>
      <c r="B5347" t="s">
        <v>659</v>
      </c>
    </row>
    <row r="5348" spans="1:8" x14ac:dyDescent="0.25">
      <c r="A5348" t="s">
        <v>16</v>
      </c>
      <c r="B5348" t="s">
        <v>659</v>
      </c>
    </row>
    <row r="5349" spans="1:8" x14ac:dyDescent="0.25">
      <c r="A5349" t="s">
        <v>17</v>
      </c>
      <c r="B5349" t="s">
        <v>659</v>
      </c>
    </row>
    <row r="5350" spans="1:8" x14ac:dyDescent="0.25">
      <c r="A5350" t="s">
        <v>18</v>
      </c>
      <c r="B5350" t="s">
        <v>659</v>
      </c>
    </row>
    <row r="5351" spans="1:8" x14ac:dyDescent="0.25">
      <c r="A5351" t="str">
        <f xml:space="preserve"> $H$5343</f>
        <v>&lt;flags count_in_cargo="0" count_in_hoarder="0" count_in_map="1" count_in_player="0" crafted="0" deloot="1"/&gt;</v>
      </c>
      <c r="B5351" t="s">
        <v>659</v>
      </c>
    </row>
    <row r="5352" spans="1:8" x14ac:dyDescent="0.25">
      <c r="A5352" t="str">
        <f>"&lt;category name=" &amp;"""" &amp;$C$5343&amp;"""/&gt;"</f>
        <v>&lt;category name="clothes"/&gt;</v>
      </c>
      <c r="B5352" t="s">
        <v>659</v>
      </c>
    </row>
    <row r="5353" spans="1:8" x14ac:dyDescent="0.25">
      <c r="A5353" t="s">
        <v>29</v>
      </c>
      <c r="B5353" t="s">
        <v>659</v>
      </c>
    </row>
    <row r="5354" spans="1:8" x14ac:dyDescent="0.25">
      <c r="A5354" t="s">
        <v>22</v>
      </c>
      <c r="B5354" t="s">
        <v>659</v>
      </c>
    </row>
    <row r="5355" spans="1:8" x14ac:dyDescent="0.25">
      <c r="A5355" t="s">
        <v>1813</v>
      </c>
      <c r="B5355" t="s">
        <v>2956</v>
      </c>
      <c r="C5355" t="s">
        <v>403</v>
      </c>
      <c r="D5355">
        <v>0</v>
      </c>
      <c r="E5355">
        <v>7200</v>
      </c>
      <c r="F5355">
        <v>0</v>
      </c>
      <c r="G5355">
        <v>0</v>
      </c>
      <c r="H5355" t="s">
        <v>62</v>
      </c>
    </row>
    <row r="5356" spans="1:8" x14ac:dyDescent="0.25">
      <c r="A5356" t="str">
        <f>"&lt;nominal&gt;" &amp;$D$5355&amp;"&lt;/nominal&gt;"</f>
        <v>&lt;nominal&gt;0&lt;/nominal&gt;</v>
      </c>
      <c r="B5356" t="s">
        <v>2956</v>
      </c>
    </row>
    <row r="5357" spans="1:8" x14ac:dyDescent="0.25">
      <c r="A5357" t="str">
        <f>"&lt;lifetime&gt;" &amp;$E$5355&amp;"&lt;/lifetime&gt;"</f>
        <v>&lt;lifetime&gt;7200&lt;/lifetime&gt;</v>
      </c>
      <c r="B5357" t="s">
        <v>2956</v>
      </c>
    </row>
    <row r="5358" spans="1:8" x14ac:dyDescent="0.25">
      <c r="A5358" t="str">
        <f>"&lt;restock&gt;" &amp;$F$5355&amp;"&lt;/restock&gt;"</f>
        <v>&lt;restock&gt;0&lt;/restock&gt;</v>
      </c>
      <c r="B5358" t="s">
        <v>2956</v>
      </c>
    </row>
    <row r="5359" spans="1:8" x14ac:dyDescent="0.25">
      <c r="A5359" t="str">
        <f>"&lt;min&gt;" &amp;$G$5355&amp;"&lt;/min&gt;"</f>
        <v>&lt;min&gt;0&lt;/min&gt;</v>
      </c>
      <c r="B5359" t="s">
        <v>2956</v>
      </c>
    </row>
    <row r="5360" spans="1:8" x14ac:dyDescent="0.25">
      <c r="A5360" t="s">
        <v>16</v>
      </c>
      <c r="B5360" t="s">
        <v>2956</v>
      </c>
    </row>
    <row r="5361" spans="1:8" x14ac:dyDescent="0.25">
      <c r="A5361" t="s">
        <v>17</v>
      </c>
      <c r="B5361" t="s">
        <v>2956</v>
      </c>
    </row>
    <row r="5362" spans="1:8" x14ac:dyDescent="0.25">
      <c r="A5362" t="s">
        <v>18</v>
      </c>
      <c r="B5362" t="s">
        <v>2956</v>
      </c>
    </row>
    <row r="5363" spans="1:8" x14ac:dyDescent="0.25">
      <c r="A5363" t="str">
        <f xml:space="preserve"> $H$5355</f>
        <v>&lt;flags count_in_cargo="0" count_in_hoarder="0" count_in_map="1" count_in_player="0" crafted="1" deloot="0"/&gt;</v>
      </c>
      <c r="B5363" t="s">
        <v>2956</v>
      </c>
    </row>
    <row r="5364" spans="1:8" x14ac:dyDescent="0.25">
      <c r="A5364" t="str">
        <f>"&lt;category name=" &amp;"""" &amp;$C$5355&amp;"""/&gt;"</f>
        <v>&lt;category name="clothes"/&gt;</v>
      </c>
      <c r="B5364" t="s">
        <v>2956</v>
      </c>
    </row>
    <row r="5365" spans="1:8" x14ac:dyDescent="0.25">
      <c r="A5365" t="s">
        <v>22</v>
      </c>
      <c r="B5365" t="s">
        <v>2956</v>
      </c>
    </row>
    <row r="5366" spans="1:8" x14ac:dyDescent="0.25">
      <c r="A5366" t="s">
        <v>1814</v>
      </c>
      <c r="B5366" t="s">
        <v>660</v>
      </c>
      <c r="C5366" t="s">
        <v>403</v>
      </c>
      <c r="D5366">
        <v>5</v>
      </c>
      <c r="E5366">
        <v>7200</v>
      </c>
      <c r="F5366">
        <v>0</v>
      </c>
      <c r="G5366">
        <v>2</v>
      </c>
      <c r="H5366" t="s">
        <v>38</v>
      </c>
    </row>
    <row r="5367" spans="1:8" x14ac:dyDescent="0.25">
      <c r="A5367" t="str">
        <f>"&lt;nominal&gt;" &amp;$D$5366&amp;"&lt;/nominal&gt;"</f>
        <v>&lt;nominal&gt;5&lt;/nominal&gt;</v>
      </c>
      <c r="B5367" t="s">
        <v>660</v>
      </c>
    </row>
    <row r="5368" spans="1:8" x14ac:dyDescent="0.25">
      <c r="A5368" t="str">
        <f>"&lt;lifetime&gt;" &amp;$E$5366&amp;"&lt;/lifetime&gt;"</f>
        <v>&lt;lifetime&gt;7200&lt;/lifetime&gt;</v>
      </c>
      <c r="B5368" t="s">
        <v>660</v>
      </c>
    </row>
    <row r="5369" spans="1:8" x14ac:dyDescent="0.25">
      <c r="A5369" t="str">
        <f>"&lt;restock&gt;" &amp;$F$5366&amp;"&lt;/restock&gt;"</f>
        <v>&lt;restock&gt;0&lt;/restock&gt;</v>
      </c>
      <c r="B5369" t="s">
        <v>660</v>
      </c>
    </row>
    <row r="5370" spans="1:8" x14ac:dyDescent="0.25">
      <c r="A5370" t="str">
        <f>"&lt;min&gt;" &amp;$G$5366&amp;"&lt;/min&gt;"</f>
        <v>&lt;min&gt;2&lt;/min&gt;</v>
      </c>
      <c r="B5370" t="s">
        <v>660</v>
      </c>
    </row>
    <row r="5371" spans="1:8" x14ac:dyDescent="0.25">
      <c r="A5371" t="s">
        <v>16</v>
      </c>
      <c r="B5371" t="s">
        <v>660</v>
      </c>
    </row>
    <row r="5372" spans="1:8" x14ac:dyDescent="0.25">
      <c r="A5372" t="s">
        <v>17</v>
      </c>
      <c r="B5372" t="s">
        <v>660</v>
      </c>
    </row>
    <row r="5373" spans="1:8" x14ac:dyDescent="0.25">
      <c r="A5373" t="s">
        <v>18</v>
      </c>
      <c r="B5373" t="s">
        <v>660</v>
      </c>
    </row>
    <row r="5374" spans="1:8" x14ac:dyDescent="0.25">
      <c r="A5374" t="str">
        <f xml:space="preserve"> $H$5366</f>
        <v>&lt;flags count_in_cargo="0" count_in_hoarder="0" count_in_map="1" count_in_player="0" crafted="0" deloot="1"/&gt;</v>
      </c>
      <c r="B5374" t="s">
        <v>660</v>
      </c>
    </row>
    <row r="5375" spans="1:8" x14ac:dyDescent="0.25">
      <c r="A5375" t="str">
        <f>"&lt;category name=" &amp;"""" &amp;$C$5366&amp;"""/&gt;"</f>
        <v>&lt;category name="clothes"/&gt;</v>
      </c>
      <c r="B5375" t="s">
        <v>660</v>
      </c>
    </row>
    <row r="5376" spans="1:8" x14ac:dyDescent="0.25">
      <c r="A5376" t="s">
        <v>29</v>
      </c>
      <c r="B5376" t="s">
        <v>660</v>
      </c>
    </row>
    <row r="5377" spans="1:8" x14ac:dyDescent="0.25">
      <c r="A5377" t="s">
        <v>22</v>
      </c>
      <c r="B5377" t="s">
        <v>660</v>
      </c>
    </row>
    <row r="5378" spans="1:8" x14ac:dyDescent="0.25">
      <c r="A5378" t="s">
        <v>1815</v>
      </c>
      <c r="B5378" t="s">
        <v>661</v>
      </c>
      <c r="C5378" t="s">
        <v>403</v>
      </c>
      <c r="D5378">
        <v>5</v>
      </c>
      <c r="E5378">
        <v>5600</v>
      </c>
      <c r="F5378">
        <v>0</v>
      </c>
      <c r="G5378">
        <v>2</v>
      </c>
      <c r="H5378" t="s">
        <v>38</v>
      </c>
    </row>
    <row r="5379" spans="1:8" x14ac:dyDescent="0.25">
      <c r="A5379" t="str">
        <f>"&lt;nominal&gt;" &amp;$D$5378&amp;"&lt;/nominal&gt;"</f>
        <v>&lt;nominal&gt;5&lt;/nominal&gt;</v>
      </c>
      <c r="B5379" t="s">
        <v>661</v>
      </c>
    </row>
    <row r="5380" spans="1:8" x14ac:dyDescent="0.25">
      <c r="A5380" t="str">
        <f>"&lt;lifetime&gt;" &amp;$E$5378&amp;"&lt;/lifetime&gt;"</f>
        <v>&lt;lifetime&gt;5600&lt;/lifetime&gt;</v>
      </c>
      <c r="B5380" t="s">
        <v>661</v>
      </c>
    </row>
    <row r="5381" spans="1:8" x14ac:dyDescent="0.25">
      <c r="A5381" t="str">
        <f>"&lt;restock&gt;" &amp;$F$5378&amp;"&lt;/restock&gt;"</f>
        <v>&lt;restock&gt;0&lt;/restock&gt;</v>
      </c>
      <c r="B5381" t="s">
        <v>661</v>
      </c>
    </row>
    <row r="5382" spans="1:8" x14ac:dyDescent="0.25">
      <c r="A5382" t="str">
        <f>"&lt;min&gt;" &amp;$G$5378&amp;"&lt;/min&gt;"</f>
        <v>&lt;min&gt;2&lt;/min&gt;</v>
      </c>
      <c r="B5382" t="s">
        <v>661</v>
      </c>
    </row>
    <row r="5383" spans="1:8" x14ac:dyDescent="0.25">
      <c r="A5383" t="s">
        <v>16</v>
      </c>
      <c r="B5383" t="s">
        <v>661</v>
      </c>
    </row>
    <row r="5384" spans="1:8" x14ac:dyDescent="0.25">
      <c r="A5384" t="s">
        <v>17</v>
      </c>
      <c r="B5384" t="s">
        <v>661</v>
      </c>
    </row>
    <row r="5385" spans="1:8" x14ac:dyDescent="0.25">
      <c r="A5385" t="s">
        <v>18</v>
      </c>
      <c r="B5385" t="s">
        <v>661</v>
      </c>
    </row>
    <row r="5386" spans="1:8" x14ac:dyDescent="0.25">
      <c r="A5386" t="str">
        <f xml:space="preserve"> $H$5378</f>
        <v>&lt;flags count_in_cargo="0" count_in_hoarder="0" count_in_map="1" count_in_player="0" crafted="0" deloot="1"/&gt;</v>
      </c>
      <c r="B5386" t="s">
        <v>661</v>
      </c>
    </row>
    <row r="5387" spans="1:8" x14ac:dyDescent="0.25">
      <c r="A5387" t="str">
        <f>"&lt;category name=" &amp;"""" &amp;$C$5378&amp;"""/&gt;"</f>
        <v>&lt;category name="clothes"/&gt;</v>
      </c>
      <c r="B5387" t="s">
        <v>661</v>
      </c>
    </row>
    <row r="5388" spans="1:8" x14ac:dyDescent="0.25">
      <c r="A5388" t="s">
        <v>29</v>
      </c>
      <c r="B5388" t="s">
        <v>661</v>
      </c>
    </row>
    <row r="5389" spans="1:8" x14ac:dyDescent="0.25">
      <c r="A5389" t="s">
        <v>22</v>
      </c>
      <c r="B5389" t="s">
        <v>661</v>
      </c>
    </row>
    <row r="5390" spans="1:8" x14ac:dyDescent="0.25">
      <c r="A5390" t="s">
        <v>1816</v>
      </c>
      <c r="B5390" t="s">
        <v>2957</v>
      </c>
      <c r="C5390" t="s">
        <v>403</v>
      </c>
      <c r="D5390">
        <v>0</v>
      </c>
      <c r="E5390">
        <v>5600</v>
      </c>
      <c r="F5390">
        <v>0</v>
      </c>
      <c r="G5390">
        <v>0</v>
      </c>
      <c r="H5390" t="s">
        <v>62</v>
      </c>
    </row>
    <row r="5391" spans="1:8" x14ac:dyDescent="0.25">
      <c r="A5391" t="str">
        <f>"&lt;nominal&gt;" &amp;$D$5390&amp;"&lt;/nominal&gt;"</f>
        <v>&lt;nominal&gt;0&lt;/nominal&gt;</v>
      </c>
      <c r="B5391" t="s">
        <v>2957</v>
      </c>
    </row>
    <row r="5392" spans="1:8" x14ac:dyDescent="0.25">
      <c r="A5392" t="str">
        <f>"&lt;lifetime&gt;" &amp;$E$5390&amp;"&lt;/lifetime&gt;"</f>
        <v>&lt;lifetime&gt;5600&lt;/lifetime&gt;</v>
      </c>
      <c r="B5392" t="s">
        <v>2957</v>
      </c>
    </row>
    <row r="5393" spans="1:8" x14ac:dyDescent="0.25">
      <c r="A5393" t="str">
        <f>"&lt;restock&gt;" &amp;$F$5390&amp;"&lt;/restock&gt;"</f>
        <v>&lt;restock&gt;0&lt;/restock&gt;</v>
      </c>
      <c r="B5393" t="s">
        <v>2957</v>
      </c>
    </row>
    <row r="5394" spans="1:8" x14ac:dyDescent="0.25">
      <c r="A5394" t="str">
        <f>"&lt;min&gt;" &amp;$G$5390&amp;"&lt;/min&gt;"</f>
        <v>&lt;min&gt;0&lt;/min&gt;</v>
      </c>
      <c r="B5394" t="s">
        <v>2957</v>
      </c>
    </row>
    <row r="5395" spans="1:8" x14ac:dyDescent="0.25">
      <c r="A5395" t="s">
        <v>16</v>
      </c>
      <c r="B5395" t="s">
        <v>2957</v>
      </c>
    </row>
    <row r="5396" spans="1:8" x14ac:dyDescent="0.25">
      <c r="A5396" t="s">
        <v>17</v>
      </c>
      <c r="B5396" t="s">
        <v>2957</v>
      </c>
    </row>
    <row r="5397" spans="1:8" x14ac:dyDescent="0.25">
      <c r="A5397" t="s">
        <v>18</v>
      </c>
      <c r="B5397" t="s">
        <v>2957</v>
      </c>
    </row>
    <row r="5398" spans="1:8" x14ac:dyDescent="0.25">
      <c r="A5398" t="str">
        <f xml:space="preserve"> $H$5390</f>
        <v>&lt;flags count_in_cargo="0" count_in_hoarder="0" count_in_map="1" count_in_player="0" crafted="1" deloot="0"/&gt;</v>
      </c>
      <c r="B5398" t="s">
        <v>2957</v>
      </c>
    </row>
    <row r="5399" spans="1:8" x14ac:dyDescent="0.25">
      <c r="A5399" t="str">
        <f>"&lt;category name=" &amp;"""" &amp;$C$5390&amp;"""/&gt;"</f>
        <v>&lt;category name="clothes"/&gt;</v>
      </c>
      <c r="B5399" t="s">
        <v>2957</v>
      </c>
    </row>
    <row r="5400" spans="1:8" x14ac:dyDescent="0.25">
      <c r="A5400" t="s">
        <v>22</v>
      </c>
      <c r="B5400" t="s">
        <v>2957</v>
      </c>
    </row>
    <row r="5401" spans="1:8" x14ac:dyDescent="0.25">
      <c r="A5401" t="s">
        <v>1817</v>
      </c>
      <c r="B5401" t="s">
        <v>662</v>
      </c>
      <c r="C5401" t="s">
        <v>403</v>
      </c>
      <c r="D5401">
        <v>5</v>
      </c>
      <c r="E5401">
        <v>5600</v>
      </c>
      <c r="F5401">
        <v>0</v>
      </c>
      <c r="G5401">
        <v>2</v>
      </c>
      <c r="H5401" t="s">
        <v>38</v>
      </c>
    </row>
    <row r="5402" spans="1:8" x14ac:dyDescent="0.25">
      <c r="A5402" t="str">
        <f>"&lt;nominal&gt;" &amp;$D$5401&amp;"&lt;/nominal&gt;"</f>
        <v>&lt;nominal&gt;5&lt;/nominal&gt;</v>
      </c>
      <c r="B5402" t="s">
        <v>662</v>
      </c>
    </row>
    <row r="5403" spans="1:8" x14ac:dyDescent="0.25">
      <c r="A5403" t="str">
        <f>"&lt;lifetime&gt;" &amp;$E$5401&amp;"&lt;/lifetime&gt;"</f>
        <v>&lt;lifetime&gt;5600&lt;/lifetime&gt;</v>
      </c>
      <c r="B5403" t="s">
        <v>662</v>
      </c>
    </row>
    <row r="5404" spans="1:8" x14ac:dyDescent="0.25">
      <c r="A5404" t="str">
        <f>"&lt;restock&gt;" &amp;$F$5401&amp;"&lt;/restock&gt;"</f>
        <v>&lt;restock&gt;0&lt;/restock&gt;</v>
      </c>
      <c r="B5404" t="s">
        <v>662</v>
      </c>
    </row>
    <row r="5405" spans="1:8" x14ac:dyDescent="0.25">
      <c r="A5405" t="str">
        <f>"&lt;min&gt;" &amp;$G$5401&amp;"&lt;/min&gt;"</f>
        <v>&lt;min&gt;2&lt;/min&gt;</v>
      </c>
      <c r="B5405" t="s">
        <v>662</v>
      </c>
    </row>
    <row r="5406" spans="1:8" x14ac:dyDescent="0.25">
      <c r="A5406" t="s">
        <v>16</v>
      </c>
      <c r="B5406" t="s">
        <v>662</v>
      </c>
    </row>
    <row r="5407" spans="1:8" x14ac:dyDescent="0.25">
      <c r="A5407" t="s">
        <v>17</v>
      </c>
      <c r="B5407" t="s">
        <v>662</v>
      </c>
    </row>
    <row r="5408" spans="1:8" x14ac:dyDescent="0.25">
      <c r="A5408" t="s">
        <v>18</v>
      </c>
      <c r="B5408" t="s">
        <v>662</v>
      </c>
    </row>
    <row r="5409" spans="1:8" x14ac:dyDescent="0.25">
      <c r="A5409" t="str">
        <f xml:space="preserve"> $H$5401</f>
        <v>&lt;flags count_in_cargo="0" count_in_hoarder="0" count_in_map="1" count_in_player="0" crafted="0" deloot="1"/&gt;</v>
      </c>
      <c r="B5409" t="s">
        <v>662</v>
      </c>
    </row>
    <row r="5410" spans="1:8" x14ac:dyDescent="0.25">
      <c r="A5410" t="str">
        <f>"&lt;category name=" &amp;"""" &amp;$C$5401&amp;"""/&gt;"</f>
        <v>&lt;category name="clothes"/&gt;</v>
      </c>
      <c r="B5410" t="s">
        <v>662</v>
      </c>
    </row>
    <row r="5411" spans="1:8" x14ac:dyDescent="0.25">
      <c r="A5411" t="s">
        <v>29</v>
      </c>
      <c r="B5411" t="s">
        <v>662</v>
      </c>
    </row>
    <row r="5412" spans="1:8" x14ac:dyDescent="0.25">
      <c r="A5412" t="s">
        <v>22</v>
      </c>
      <c r="B5412" t="s">
        <v>662</v>
      </c>
    </row>
    <row r="5413" spans="1:8" x14ac:dyDescent="0.25">
      <c r="A5413" t="s">
        <v>1818</v>
      </c>
      <c r="B5413" t="s">
        <v>663</v>
      </c>
      <c r="C5413" t="s">
        <v>403</v>
      </c>
      <c r="D5413">
        <v>5</v>
      </c>
      <c r="E5413">
        <v>7200</v>
      </c>
      <c r="F5413">
        <v>0</v>
      </c>
      <c r="G5413">
        <v>2</v>
      </c>
      <c r="H5413" t="s">
        <v>38</v>
      </c>
    </row>
    <row r="5414" spans="1:8" x14ac:dyDescent="0.25">
      <c r="A5414" t="str">
        <f>"&lt;nominal&gt;" &amp;$D$5413&amp;"&lt;/nominal&gt;"</f>
        <v>&lt;nominal&gt;5&lt;/nominal&gt;</v>
      </c>
      <c r="B5414" t="s">
        <v>663</v>
      </c>
    </row>
    <row r="5415" spans="1:8" x14ac:dyDescent="0.25">
      <c r="A5415" t="str">
        <f>"&lt;lifetime&gt;" &amp;$E$5413&amp;"&lt;/lifetime&gt;"</f>
        <v>&lt;lifetime&gt;7200&lt;/lifetime&gt;</v>
      </c>
      <c r="B5415" t="s">
        <v>663</v>
      </c>
    </row>
    <row r="5416" spans="1:8" x14ac:dyDescent="0.25">
      <c r="A5416" t="str">
        <f>"&lt;restock&gt;" &amp;$F$5413&amp;"&lt;/restock&gt;"</f>
        <v>&lt;restock&gt;0&lt;/restock&gt;</v>
      </c>
      <c r="B5416" t="s">
        <v>663</v>
      </c>
    </row>
    <row r="5417" spans="1:8" x14ac:dyDescent="0.25">
      <c r="A5417" t="str">
        <f>"&lt;min&gt;" &amp;$G$5413&amp;"&lt;/min&gt;"</f>
        <v>&lt;min&gt;2&lt;/min&gt;</v>
      </c>
      <c r="B5417" t="s">
        <v>663</v>
      </c>
    </row>
    <row r="5418" spans="1:8" x14ac:dyDescent="0.25">
      <c r="A5418" t="s">
        <v>16</v>
      </c>
      <c r="B5418" t="s">
        <v>663</v>
      </c>
    </row>
    <row r="5419" spans="1:8" x14ac:dyDescent="0.25">
      <c r="A5419" t="s">
        <v>17</v>
      </c>
      <c r="B5419" t="s">
        <v>663</v>
      </c>
    </row>
    <row r="5420" spans="1:8" x14ac:dyDescent="0.25">
      <c r="A5420" t="s">
        <v>18</v>
      </c>
      <c r="B5420" t="s">
        <v>663</v>
      </c>
    </row>
    <row r="5421" spans="1:8" x14ac:dyDescent="0.25">
      <c r="A5421" t="str">
        <f xml:space="preserve"> $H$5413</f>
        <v>&lt;flags count_in_cargo="0" count_in_hoarder="0" count_in_map="1" count_in_player="0" crafted="0" deloot="1"/&gt;</v>
      </c>
      <c r="B5421" t="s">
        <v>663</v>
      </c>
    </row>
    <row r="5422" spans="1:8" x14ac:dyDescent="0.25">
      <c r="A5422" t="str">
        <f>"&lt;category name=" &amp;"""" &amp;$C$5413&amp;"""/&gt;"</f>
        <v>&lt;category name="clothes"/&gt;</v>
      </c>
      <c r="B5422" t="s">
        <v>663</v>
      </c>
    </row>
    <row r="5423" spans="1:8" x14ac:dyDescent="0.25">
      <c r="A5423" t="s">
        <v>29</v>
      </c>
      <c r="B5423" t="s">
        <v>663</v>
      </c>
    </row>
    <row r="5424" spans="1:8" x14ac:dyDescent="0.25">
      <c r="A5424" t="s">
        <v>22</v>
      </c>
      <c r="B5424" t="s">
        <v>663</v>
      </c>
    </row>
    <row r="5425" spans="1:8" x14ac:dyDescent="0.25">
      <c r="A5425" t="s">
        <v>1819</v>
      </c>
      <c r="B5425" t="s">
        <v>2958</v>
      </c>
      <c r="C5425" t="s">
        <v>403</v>
      </c>
      <c r="D5425">
        <v>0</v>
      </c>
      <c r="E5425">
        <v>7200</v>
      </c>
      <c r="F5425">
        <v>0</v>
      </c>
      <c r="G5425">
        <v>0</v>
      </c>
      <c r="H5425" t="s">
        <v>62</v>
      </c>
    </row>
    <row r="5426" spans="1:8" x14ac:dyDescent="0.25">
      <c r="A5426" t="str">
        <f>"&lt;nominal&gt;" &amp;$D$5425&amp;"&lt;/nominal&gt;"</f>
        <v>&lt;nominal&gt;0&lt;/nominal&gt;</v>
      </c>
      <c r="B5426" t="s">
        <v>2958</v>
      </c>
    </row>
    <row r="5427" spans="1:8" x14ac:dyDescent="0.25">
      <c r="A5427" t="str">
        <f>"&lt;lifetime&gt;" &amp;$E$5425&amp;"&lt;/lifetime&gt;"</f>
        <v>&lt;lifetime&gt;7200&lt;/lifetime&gt;</v>
      </c>
      <c r="B5427" t="s">
        <v>2958</v>
      </c>
    </row>
    <row r="5428" spans="1:8" x14ac:dyDescent="0.25">
      <c r="A5428" t="str">
        <f>"&lt;restock&gt;" &amp;$F$5425&amp;"&lt;/restock&gt;"</f>
        <v>&lt;restock&gt;0&lt;/restock&gt;</v>
      </c>
      <c r="B5428" t="s">
        <v>2958</v>
      </c>
    </row>
    <row r="5429" spans="1:8" x14ac:dyDescent="0.25">
      <c r="A5429" t="str">
        <f>"&lt;min&gt;" &amp;$G$5425&amp;"&lt;/min&gt;"</f>
        <v>&lt;min&gt;0&lt;/min&gt;</v>
      </c>
      <c r="B5429" t="s">
        <v>2958</v>
      </c>
    </row>
    <row r="5430" spans="1:8" x14ac:dyDescent="0.25">
      <c r="A5430" t="s">
        <v>16</v>
      </c>
      <c r="B5430" t="s">
        <v>2958</v>
      </c>
    </row>
    <row r="5431" spans="1:8" x14ac:dyDescent="0.25">
      <c r="A5431" t="s">
        <v>17</v>
      </c>
      <c r="B5431" t="s">
        <v>2958</v>
      </c>
    </row>
    <row r="5432" spans="1:8" x14ac:dyDescent="0.25">
      <c r="A5432" t="s">
        <v>18</v>
      </c>
      <c r="B5432" t="s">
        <v>2958</v>
      </c>
    </row>
    <row r="5433" spans="1:8" x14ac:dyDescent="0.25">
      <c r="A5433" t="str">
        <f xml:space="preserve"> $H$5425</f>
        <v>&lt;flags count_in_cargo="0" count_in_hoarder="0" count_in_map="1" count_in_player="0" crafted="1" deloot="0"/&gt;</v>
      </c>
      <c r="B5433" t="s">
        <v>2958</v>
      </c>
    </row>
    <row r="5434" spans="1:8" x14ac:dyDescent="0.25">
      <c r="A5434" t="str">
        <f>"&lt;category name=" &amp;"""" &amp;$C$5425&amp;"""/&gt;"</f>
        <v>&lt;category name="clothes"/&gt;</v>
      </c>
      <c r="B5434" t="s">
        <v>2958</v>
      </c>
    </row>
    <row r="5435" spans="1:8" x14ac:dyDescent="0.25">
      <c r="A5435" t="s">
        <v>22</v>
      </c>
      <c r="B5435" t="s">
        <v>2958</v>
      </c>
    </row>
    <row r="5436" spans="1:8" x14ac:dyDescent="0.25">
      <c r="A5436" t="s">
        <v>1820</v>
      </c>
      <c r="B5436" t="s">
        <v>664</v>
      </c>
      <c r="C5436" t="s">
        <v>403</v>
      </c>
      <c r="D5436">
        <v>5</v>
      </c>
      <c r="E5436">
        <v>7200</v>
      </c>
      <c r="F5436">
        <v>0</v>
      </c>
      <c r="G5436">
        <v>2</v>
      </c>
      <c r="H5436" t="s">
        <v>38</v>
      </c>
    </row>
    <row r="5437" spans="1:8" x14ac:dyDescent="0.25">
      <c r="A5437" t="str">
        <f>"&lt;nominal&gt;" &amp;$D$5436&amp;"&lt;/nominal&gt;"</f>
        <v>&lt;nominal&gt;5&lt;/nominal&gt;</v>
      </c>
      <c r="B5437" t="s">
        <v>664</v>
      </c>
    </row>
    <row r="5438" spans="1:8" x14ac:dyDescent="0.25">
      <c r="A5438" t="str">
        <f>"&lt;lifetime&gt;" &amp;$E$5436&amp;"&lt;/lifetime&gt;"</f>
        <v>&lt;lifetime&gt;7200&lt;/lifetime&gt;</v>
      </c>
      <c r="B5438" t="s">
        <v>664</v>
      </c>
    </row>
    <row r="5439" spans="1:8" x14ac:dyDescent="0.25">
      <c r="A5439" t="str">
        <f>"&lt;restock&gt;" &amp;$F$5436&amp;"&lt;/restock&gt;"</f>
        <v>&lt;restock&gt;0&lt;/restock&gt;</v>
      </c>
      <c r="B5439" t="s">
        <v>664</v>
      </c>
    </row>
    <row r="5440" spans="1:8" x14ac:dyDescent="0.25">
      <c r="A5440" t="str">
        <f>"&lt;min&gt;" &amp;$G$5436&amp;"&lt;/min&gt;"</f>
        <v>&lt;min&gt;2&lt;/min&gt;</v>
      </c>
      <c r="B5440" t="s">
        <v>664</v>
      </c>
    </row>
    <row r="5441" spans="1:8" x14ac:dyDescent="0.25">
      <c r="A5441" t="s">
        <v>16</v>
      </c>
      <c r="B5441" t="s">
        <v>664</v>
      </c>
    </row>
    <row r="5442" spans="1:8" x14ac:dyDescent="0.25">
      <c r="A5442" t="s">
        <v>17</v>
      </c>
      <c r="B5442" t="s">
        <v>664</v>
      </c>
    </row>
    <row r="5443" spans="1:8" x14ac:dyDescent="0.25">
      <c r="A5443" t="s">
        <v>18</v>
      </c>
      <c r="B5443" t="s">
        <v>664</v>
      </c>
    </row>
    <row r="5444" spans="1:8" x14ac:dyDescent="0.25">
      <c r="A5444" t="str">
        <f xml:space="preserve"> $H$5436</f>
        <v>&lt;flags count_in_cargo="0" count_in_hoarder="0" count_in_map="1" count_in_player="0" crafted="0" deloot="1"/&gt;</v>
      </c>
      <c r="B5444" t="s">
        <v>664</v>
      </c>
    </row>
    <row r="5445" spans="1:8" x14ac:dyDescent="0.25">
      <c r="A5445" t="str">
        <f>"&lt;category name=" &amp;"""" &amp;$C$5436&amp;"""/&gt;"</f>
        <v>&lt;category name="clothes"/&gt;</v>
      </c>
      <c r="B5445" t="s">
        <v>664</v>
      </c>
    </row>
    <row r="5446" spans="1:8" x14ac:dyDescent="0.25">
      <c r="A5446" t="s">
        <v>29</v>
      </c>
      <c r="B5446" t="s">
        <v>664</v>
      </c>
    </row>
    <row r="5447" spans="1:8" x14ac:dyDescent="0.25">
      <c r="A5447" t="s">
        <v>22</v>
      </c>
      <c r="B5447" t="s">
        <v>664</v>
      </c>
    </row>
    <row r="5448" spans="1:8" x14ac:dyDescent="0.25">
      <c r="A5448" t="s">
        <v>1821</v>
      </c>
      <c r="B5448" t="s">
        <v>665</v>
      </c>
      <c r="C5448" t="s">
        <v>403</v>
      </c>
      <c r="D5448">
        <v>5</v>
      </c>
      <c r="E5448">
        <v>7200</v>
      </c>
      <c r="F5448">
        <v>0</v>
      </c>
      <c r="G5448">
        <v>2</v>
      </c>
      <c r="H5448" t="s">
        <v>38</v>
      </c>
    </row>
    <row r="5449" spans="1:8" x14ac:dyDescent="0.25">
      <c r="A5449" t="str">
        <f>"&lt;nominal&gt;" &amp;$D$5448&amp;"&lt;/nominal&gt;"</f>
        <v>&lt;nominal&gt;5&lt;/nominal&gt;</v>
      </c>
      <c r="B5449" t="s">
        <v>665</v>
      </c>
    </row>
    <row r="5450" spans="1:8" x14ac:dyDescent="0.25">
      <c r="A5450" t="str">
        <f>"&lt;lifetime&gt;" &amp;$E$5448&amp;"&lt;/lifetime&gt;"</f>
        <v>&lt;lifetime&gt;7200&lt;/lifetime&gt;</v>
      </c>
      <c r="B5450" t="s">
        <v>665</v>
      </c>
    </row>
    <row r="5451" spans="1:8" x14ac:dyDescent="0.25">
      <c r="A5451" t="str">
        <f>"&lt;restock&gt;" &amp;$F$5448&amp;"&lt;/restock&gt;"</f>
        <v>&lt;restock&gt;0&lt;/restock&gt;</v>
      </c>
      <c r="B5451" t="s">
        <v>665</v>
      </c>
    </row>
    <row r="5452" spans="1:8" x14ac:dyDescent="0.25">
      <c r="A5452" t="str">
        <f>"&lt;min&gt;" &amp;$G$5448&amp;"&lt;/min&gt;"</f>
        <v>&lt;min&gt;2&lt;/min&gt;</v>
      </c>
      <c r="B5452" t="s">
        <v>665</v>
      </c>
    </row>
    <row r="5453" spans="1:8" x14ac:dyDescent="0.25">
      <c r="A5453" t="s">
        <v>16</v>
      </c>
      <c r="B5453" t="s">
        <v>665</v>
      </c>
    </row>
    <row r="5454" spans="1:8" x14ac:dyDescent="0.25">
      <c r="A5454" t="s">
        <v>17</v>
      </c>
      <c r="B5454" t="s">
        <v>665</v>
      </c>
    </row>
    <row r="5455" spans="1:8" x14ac:dyDescent="0.25">
      <c r="A5455" t="s">
        <v>18</v>
      </c>
      <c r="B5455" t="s">
        <v>665</v>
      </c>
    </row>
    <row r="5456" spans="1:8" x14ac:dyDescent="0.25">
      <c r="A5456" t="str">
        <f xml:space="preserve"> $H$5448</f>
        <v>&lt;flags count_in_cargo="0" count_in_hoarder="0" count_in_map="1" count_in_player="0" crafted="0" deloot="1"/&gt;</v>
      </c>
      <c r="B5456" t="s">
        <v>665</v>
      </c>
    </row>
    <row r="5457" spans="1:8" x14ac:dyDescent="0.25">
      <c r="A5457" t="str">
        <f>"&lt;category name=" &amp;"""" &amp;$C$5448&amp;"""/&gt;"</f>
        <v>&lt;category name="clothes"/&gt;</v>
      </c>
      <c r="B5457" t="s">
        <v>665</v>
      </c>
    </row>
    <row r="5458" spans="1:8" x14ac:dyDescent="0.25">
      <c r="A5458" t="s">
        <v>29</v>
      </c>
      <c r="B5458" t="s">
        <v>665</v>
      </c>
    </row>
    <row r="5459" spans="1:8" x14ac:dyDescent="0.25">
      <c r="A5459" t="s">
        <v>22</v>
      </c>
      <c r="B5459" t="s">
        <v>665</v>
      </c>
    </row>
    <row r="5460" spans="1:8" x14ac:dyDescent="0.25">
      <c r="A5460" t="s">
        <v>1822</v>
      </c>
      <c r="B5460" t="s">
        <v>2959</v>
      </c>
      <c r="C5460" t="s">
        <v>403</v>
      </c>
      <c r="D5460">
        <v>0</v>
      </c>
      <c r="E5460">
        <v>7200</v>
      </c>
      <c r="F5460">
        <v>0</v>
      </c>
      <c r="G5460">
        <v>0</v>
      </c>
      <c r="H5460" t="s">
        <v>62</v>
      </c>
    </row>
    <row r="5461" spans="1:8" x14ac:dyDescent="0.25">
      <c r="A5461" t="str">
        <f>"&lt;nominal&gt;" &amp;$D$5460&amp;"&lt;/nominal&gt;"</f>
        <v>&lt;nominal&gt;0&lt;/nominal&gt;</v>
      </c>
      <c r="B5461" t="s">
        <v>2959</v>
      </c>
    </row>
    <row r="5462" spans="1:8" x14ac:dyDescent="0.25">
      <c r="A5462" t="str">
        <f>"&lt;lifetime&gt;" &amp;$E$5460&amp;"&lt;/lifetime&gt;"</f>
        <v>&lt;lifetime&gt;7200&lt;/lifetime&gt;</v>
      </c>
      <c r="B5462" t="s">
        <v>2959</v>
      </c>
    </row>
    <row r="5463" spans="1:8" x14ac:dyDescent="0.25">
      <c r="A5463" t="str">
        <f>"&lt;restock&gt;" &amp;$F$5460&amp;"&lt;/restock&gt;"</f>
        <v>&lt;restock&gt;0&lt;/restock&gt;</v>
      </c>
      <c r="B5463" t="s">
        <v>2959</v>
      </c>
    </row>
    <row r="5464" spans="1:8" x14ac:dyDescent="0.25">
      <c r="A5464" t="str">
        <f>"&lt;min&gt;" &amp;$G$5460&amp;"&lt;/min&gt;"</f>
        <v>&lt;min&gt;0&lt;/min&gt;</v>
      </c>
      <c r="B5464" t="s">
        <v>2959</v>
      </c>
    </row>
    <row r="5465" spans="1:8" x14ac:dyDescent="0.25">
      <c r="A5465" t="s">
        <v>16</v>
      </c>
      <c r="B5465" t="s">
        <v>2959</v>
      </c>
    </row>
    <row r="5466" spans="1:8" x14ac:dyDescent="0.25">
      <c r="A5466" t="s">
        <v>17</v>
      </c>
      <c r="B5466" t="s">
        <v>2959</v>
      </c>
    </row>
    <row r="5467" spans="1:8" x14ac:dyDescent="0.25">
      <c r="A5467" t="s">
        <v>18</v>
      </c>
      <c r="B5467" t="s">
        <v>2959</v>
      </c>
    </row>
    <row r="5468" spans="1:8" x14ac:dyDescent="0.25">
      <c r="A5468" t="str">
        <f xml:space="preserve"> $H$5460</f>
        <v>&lt;flags count_in_cargo="0" count_in_hoarder="0" count_in_map="1" count_in_player="0" crafted="1" deloot="0"/&gt;</v>
      </c>
      <c r="B5468" t="s">
        <v>2959</v>
      </c>
    </row>
    <row r="5469" spans="1:8" x14ac:dyDescent="0.25">
      <c r="A5469" t="str">
        <f>"&lt;category name=" &amp;"""" &amp;$C$5460&amp;"""/&gt;"</f>
        <v>&lt;category name="clothes"/&gt;</v>
      </c>
      <c r="B5469" t="s">
        <v>2959</v>
      </c>
    </row>
    <row r="5470" spans="1:8" x14ac:dyDescent="0.25">
      <c r="A5470" t="s">
        <v>22</v>
      </c>
      <c r="B5470" t="s">
        <v>2959</v>
      </c>
    </row>
    <row r="5471" spans="1:8" x14ac:dyDescent="0.25">
      <c r="A5471" t="s">
        <v>1823</v>
      </c>
      <c r="B5471" t="s">
        <v>666</v>
      </c>
      <c r="C5471" t="s">
        <v>403</v>
      </c>
      <c r="D5471">
        <v>5</v>
      </c>
      <c r="E5471">
        <v>7200</v>
      </c>
      <c r="F5471">
        <v>0</v>
      </c>
      <c r="G5471">
        <v>2</v>
      </c>
      <c r="H5471" t="s">
        <v>38</v>
      </c>
    </row>
    <row r="5472" spans="1:8" x14ac:dyDescent="0.25">
      <c r="A5472" t="str">
        <f>"&lt;nominal&gt;" &amp;$D$5471&amp;"&lt;/nominal&gt;"</f>
        <v>&lt;nominal&gt;5&lt;/nominal&gt;</v>
      </c>
      <c r="B5472" t="s">
        <v>666</v>
      </c>
    </row>
    <row r="5473" spans="1:8" x14ac:dyDescent="0.25">
      <c r="A5473" t="str">
        <f>"&lt;lifetime&gt;" &amp;$E$5471&amp;"&lt;/lifetime&gt;"</f>
        <v>&lt;lifetime&gt;7200&lt;/lifetime&gt;</v>
      </c>
      <c r="B5473" t="s">
        <v>666</v>
      </c>
    </row>
    <row r="5474" spans="1:8" x14ac:dyDescent="0.25">
      <c r="A5474" t="str">
        <f>"&lt;restock&gt;" &amp;$F$5471&amp;"&lt;/restock&gt;"</f>
        <v>&lt;restock&gt;0&lt;/restock&gt;</v>
      </c>
      <c r="B5474" t="s">
        <v>666</v>
      </c>
    </row>
    <row r="5475" spans="1:8" x14ac:dyDescent="0.25">
      <c r="A5475" t="str">
        <f>"&lt;min&gt;" &amp;$G$5471&amp;"&lt;/min&gt;"</f>
        <v>&lt;min&gt;2&lt;/min&gt;</v>
      </c>
      <c r="B5475" t="s">
        <v>666</v>
      </c>
    </row>
    <row r="5476" spans="1:8" x14ac:dyDescent="0.25">
      <c r="A5476" t="s">
        <v>16</v>
      </c>
      <c r="B5476" t="s">
        <v>666</v>
      </c>
    </row>
    <row r="5477" spans="1:8" x14ac:dyDescent="0.25">
      <c r="A5477" t="s">
        <v>17</v>
      </c>
      <c r="B5477" t="s">
        <v>666</v>
      </c>
    </row>
    <row r="5478" spans="1:8" x14ac:dyDescent="0.25">
      <c r="A5478" t="s">
        <v>18</v>
      </c>
      <c r="B5478" t="s">
        <v>666</v>
      </c>
    </row>
    <row r="5479" spans="1:8" x14ac:dyDescent="0.25">
      <c r="A5479" t="str">
        <f xml:space="preserve"> $H$5471</f>
        <v>&lt;flags count_in_cargo="0" count_in_hoarder="0" count_in_map="1" count_in_player="0" crafted="0" deloot="1"/&gt;</v>
      </c>
      <c r="B5479" t="s">
        <v>666</v>
      </c>
    </row>
    <row r="5480" spans="1:8" x14ac:dyDescent="0.25">
      <c r="A5480" t="str">
        <f>"&lt;category name=" &amp;"""" &amp;$C$5471&amp;"""/&gt;"</f>
        <v>&lt;category name="clothes"/&gt;</v>
      </c>
      <c r="B5480" t="s">
        <v>666</v>
      </c>
    </row>
    <row r="5481" spans="1:8" x14ac:dyDescent="0.25">
      <c r="A5481" t="s">
        <v>29</v>
      </c>
      <c r="B5481" t="s">
        <v>666</v>
      </c>
    </row>
    <row r="5482" spans="1:8" x14ac:dyDescent="0.25">
      <c r="A5482" t="s">
        <v>22</v>
      </c>
      <c r="B5482" t="s">
        <v>666</v>
      </c>
    </row>
    <row r="5483" spans="1:8" x14ac:dyDescent="0.25">
      <c r="A5483" t="s">
        <v>1824</v>
      </c>
      <c r="B5483" t="s">
        <v>3408</v>
      </c>
      <c r="C5483" t="s">
        <v>363</v>
      </c>
      <c r="D5483">
        <v>0</v>
      </c>
      <c r="E5483">
        <v>1800</v>
      </c>
      <c r="F5483">
        <v>0</v>
      </c>
      <c r="G5483">
        <v>5</v>
      </c>
      <c r="H5483" t="s">
        <v>19</v>
      </c>
    </row>
    <row r="5484" spans="1:8" x14ac:dyDescent="0.25">
      <c r="A5484" t="str">
        <f>"&lt;nominal&gt;" &amp;$D$5483&amp;"&lt;/nominal&gt;"</f>
        <v>&lt;nominal&gt;0&lt;/nominal&gt;</v>
      </c>
      <c r="B5484" t="s">
        <v>3408</v>
      </c>
    </row>
    <row r="5485" spans="1:8" x14ac:dyDescent="0.25">
      <c r="A5485" t="str">
        <f>"&lt;lifetime&gt;" &amp;$E$5483&amp;"&lt;/lifetime&gt;"</f>
        <v>&lt;lifetime&gt;1800&lt;/lifetime&gt;</v>
      </c>
      <c r="B5485" t="s">
        <v>3408</v>
      </c>
    </row>
    <row r="5486" spans="1:8" x14ac:dyDescent="0.25">
      <c r="A5486" t="str">
        <f>"&lt;restock&gt;" &amp;$F$5483&amp;"&lt;/restock&gt;"</f>
        <v>&lt;restock&gt;0&lt;/restock&gt;</v>
      </c>
      <c r="B5486" t="s">
        <v>3408</v>
      </c>
    </row>
    <row r="5487" spans="1:8" x14ac:dyDescent="0.25">
      <c r="A5487" t="str">
        <f>"&lt;min&gt;" &amp;$G$5483&amp;"&lt;/min&gt;"</f>
        <v>&lt;min&gt;5&lt;/min&gt;</v>
      </c>
      <c r="B5487" t="s">
        <v>3408</v>
      </c>
    </row>
    <row r="5488" spans="1:8" x14ac:dyDescent="0.25">
      <c r="A5488" t="s">
        <v>16</v>
      </c>
      <c r="B5488" t="s">
        <v>3408</v>
      </c>
    </row>
    <row r="5489" spans="1:8" x14ac:dyDescent="0.25">
      <c r="A5489" t="s">
        <v>17</v>
      </c>
      <c r="B5489" t="s">
        <v>3408</v>
      </c>
    </row>
    <row r="5490" spans="1:8" x14ac:dyDescent="0.25">
      <c r="A5490" t="s">
        <v>18</v>
      </c>
      <c r="B5490" t="s">
        <v>3408</v>
      </c>
    </row>
    <row r="5491" spans="1:8" x14ac:dyDescent="0.25">
      <c r="A5491" t="str">
        <f xml:space="preserve"> $H$5483</f>
        <v>&lt;flags count_in_cargo="0" count_in_hoarder="0" count_in_map="1" count_in_player="0" crafted="0" deloot="0"/&gt;</v>
      </c>
      <c r="B5491" t="s">
        <v>3408</v>
      </c>
    </row>
    <row r="5492" spans="1:8" x14ac:dyDescent="0.25">
      <c r="A5492" t="str">
        <f>"&lt;category name=" &amp;"""" &amp;$C$5483&amp;"""/&gt;"</f>
        <v>&lt;category name="containers"/&gt;</v>
      </c>
      <c r="B5492" t="s">
        <v>3408</v>
      </c>
    </row>
    <row r="5493" spans="1:8" x14ac:dyDescent="0.25">
      <c r="A5493" t="s">
        <v>20</v>
      </c>
      <c r="B5493" t="s">
        <v>3408</v>
      </c>
    </row>
    <row r="5494" spans="1:8" x14ac:dyDescent="0.25">
      <c r="A5494" t="s">
        <v>39</v>
      </c>
      <c r="B5494" t="s">
        <v>3408</v>
      </c>
    </row>
    <row r="5495" spans="1:8" x14ac:dyDescent="0.25">
      <c r="A5495" t="s">
        <v>22</v>
      </c>
      <c r="B5495" t="s">
        <v>3408</v>
      </c>
    </row>
    <row r="5496" spans="1:8" x14ac:dyDescent="0.25">
      <c r="A5496" t="s">
        <v>1825</v>
      </c>
      <c r="B5496" t="s">
        <v>3409</v>
      </c>
      <c r="C5496" t="s">
        <v>363</v>
      </c>
      <c r="D5496">
        <v>0</v>
      </c>
      <c r="E5496">
        <v>1800</v>
      </c>
      <c r="F5496">
        <v>0</v>
      </c>
      <c r="G5496">
        <v>5</v>
      </c>
      <c r="H5496" t="s">
        <v>19</v>
      </c>
    </row>
    <row r="5497" spans="1:8" x14ac:dyDescent="0.25">
      <c r="A5497" t="str">
        <f>"&lt;nominal&gt;" &amp;$D$5496&amp;"&lt;/nominal&gt;"</f>
        <v>&lt;nominal&gt;0&lt;/nominal&gt;</v>
      </c>
      <c r="B5497" t="s">
        <v>3409</v>
      </c>
    </row>
    <row r="5498" spans="1:8" x14ac:dyDescent="0.25">
      <c r="A5498" t="str">
        <f>"&lt;lifetime&gt;" &amp;$E$5496&amp;"&lt;/lifetime&gt;"</f>
        <v>&lt;lifetime&gt;1800&lt;/lifetime&gt;</v>
      </c>
      <c r="B5498" t="s">
        <v>3409</v>
      </c>
    </row>
    <row r="5499" spans="1:8" x14ac:dyDescent="0.25">
      <c r="A5499" t="str">
        <f>"&lt;restock&gt;" &amp;$F$5496&amp;"&lt;/restock&gt;"</f>
        <v>&lt;restock&gt;0&lt;/restock&gt;</v>
      </c>
      <c r="B5499" t="s">
        <v>3409</v>
      </c>
    </row>
    <row r="5500" spans="1:8" x14ac:dyDescent="0.25">
      <c r="A5500" t="str">
        <f>"&lt;min&gt;" &amp;$G$5496&amp;"&lt;/min&gt;"</f>
        <v>&lt;min&gt;5&lt;/min&gt;</v>
      </c>
      <c r="B5500" t="s">
        <v>3409</v>
      </c>
    </row>
    <row r="5501" spans="1:8" x14ac:dyDescent="0.25">
      <c r="A5501" t="s">
        <v>16</v>
      </c>
      <c r="B5501" t="s">
        <v>3409</v>
      </c>
    </row>
    <row r="5502" spans="1:8" x14ac:dyDescent="0.25">
      <c r="A5502" t="s">
        <v>17</v>
      </c>
      <c r="B5502" t="s">
        <v>3409</v>
      </c>
    </row>
    <row r="5503" spans="1:8" x14ac:dyDescent="0.25">
      <c r="A5503" t="s">
        <v>18</v>
      </c>
      <c r="B5503" t="s">
        <v>3409</v>
      </c>
    </row>
    <row r="5504" spans="1:8" x14ac:dyDescent="0.25">
      <c r="A5504" t="str">
        <f xml:space="preserve"> $H$5496</f>
        <v>&lt;flags count_in_cargo="0" count_in_hoarder="0" count_in_map="1" count_in_player="0" crafted="0" deloot="0"/&gt;</v>
      </c>
      <c r="B5504" t="s">
        <v>3409</v>
      </c>
    </row>
    <row r="5505" spans="1:8" x14ac:dyDescent="0.25">
      <c r="A5505" t="str">
        <f>"&lt;category name=" &amp;"""" &amp;$C$5496&amp;"""/&gt;"</f>
        <v>&lt;category name="containers"/&gt;</v>
      </c>
      <c r="B5505" t="s">
        <v>3409</v>
      </c>
    </row>
    <row r="5506" spans="1:8" x14ac:dyDescent="0.25">
      <c r="A5506" t="s">
        <v>20</v>
      </c>
      <c r="B5506" t="s">
        <v>3409</v>
      </c>
    </row>
    <row r="5507" spans="1:8" x14ac:dyDescent="0.25">
      <c r="A5507" t="s">
        <v>39</v>
      </c>
      <c r="B5507" t="s">
        <v>3409</v>
      </c>
    </row>
    <row r="5508" spans="1:8" x14ac:dyDescent="0.25">
      <c r="A5508" t="s">
        <v>22</v>
      </c>
      <c r="B5508" t="s">
        <v>3409</v>
      </c>
    </row>
    <row r="5509" spans="1:8" x14ac:dyDescent="0.25">
      <c r="A5509" t="s">
        <v>1826</v>
      </c>
      <c r="B5509" t="s">
        <v>3410</v>
      </c>
      <c r="C5509" t="s">
        <v>363</v>
      </c>
      <c r="D5509">
        <v>0</v>
      </c>
      <c r="E5509">
        <v>1800</v>
      </c>
      <c r="F5509">
        <v>0</v>
      </c>
      <c r="G5509">
        <v>5</v>
      </c>
      <c r="H5509" t="s">
        <v>19</v>
      </c>
    </row>
    <row r="5510" spans="1:8" x14ac:dyDescent="0.25">
      <c r="A5510" t="str">
        <f>"&lt;nominal&gt;" &amp;$D$5509&amp;"&lt;/nominal&gt;"</f>
        <v>&lt;nominal&gt;0&lt;/nominal&gt;</v>
      </c>
      <c r="B5510" t="s">
        <v>3410</v>
      </c>
    </row>
    <row r="5511" spans="1:8" x14ac:dyDescent="0.25">
      <c r="A5511" t="str">
        <f>"&lt;lifetime&gt;" &amp;$E$5509&amp;"&lt;/lifetime&gt;"</f>
        <v>&lt;lifetime&gt;1800&lt;/lifetime&gt;</v>
      </c>
      <c r="B5511" t="s">
        <v>3410</v>
      </c>
    </row>
    <row r="5512" spans="1:8" x14ac:dyDescent="0.25">
      <c r="A5512" t="str">
        <f>"&lt;restock&gt;" &amp;$F$5509&amp;"&lt;/restock&gt;"</f>
        <v>&lt;restock&gt;0&lt;/restock&gt;</v>
      </c>
      <c r="B5512" t="s">
        <v>3410</v>
      </c>
    </row>
    <row r="5513" spans="1:8" x14ac:dyDescent="0.25">
      <c r="A5513" t="str">
        <f>"&lt;min&gt;" &amp;$G$5509&amp;"&lt;/min&gt;"</f>
        <v>&lt;min&gt;5&lt;/min&gt;</v>
      </c>
      <c r="B5513" t="s">
        <v>3410</v>
      </c>
    </row>
    <row r="5514" spans="1:8" x14ac:dyDescent="0.25">
      <c r="A5514" t="s">
        <v>16</v>
      </c>
      <c r="B5514" t="s">
        <v>3410</v>
      </c>
    </row>
    <row r="5515" spans="1:8" x14ac:dyDescent="0.25">
      <c r="A5515" t="s">
        <v>17</v>
      </c>
      <c r="B5515" t="s">
        <v>3410</v>
      </c>
    </row>
    <row r="5516" spans="1:8" x14ac:dyDescent="0.25">
      <c r="A5516" t="s">
        <v>18</v>
      </c>
      <c r="B5516" t="s">
        <v>3410</v>
      </c>
    </row>
    <row r="5517" spans="1:8" x14ac:dyDescent="0.25">
      <c r="A5517" t="str">
        <f xml:space="preserve"> $H$5509</f>
        <v>&lt;flags count_in_cargo="0" count_in_hoarder="0" count_in_map="1" count_in_player="0" crafted="0" deloot="0"/&gt;</v>
      </c>
      <c r="B5517" t="s">
        <v>3410</v>
      </c>
    </row>
    <row r="5518" spans="1:8" x14ac:dyDescent="0.25">
      <c r="A5518" t="str">
        <f>"&lt;category name=" &amp;"""" &amp;$C$5509&amp;"""/&gt;"</f>
        <v>&lt;category name="containers"/&gt;</v>
      </c>
      <c r="B5518" t="s">
        <v>3410</v>
      </c>
    </row>
    <row r="5519" spans="1:8" x14ac:dyDescent="0.25">
      <c r="A5519" t="s">
        <v>20</v>
      </c>
      <c r="B5519" t="s">
        <v>3410</v>
      </c>
    </row>
    <row r="5520" spans="1:8" x14ac:dyDescent="0.25">
      <c r="A5520" t="s">
        <v>39</v>
      </c>
      <c r="B5520" t="s">
        <v>3410</v>
      </c>
    </row>
    <row r="5521" spans="1:8" x14ac:dyDescent="0.25">
      <c r="A5521" t="s">
        <v>22</v>
      </c>
      <c r="B5521" t="s">
        <v>3410</v>
      </c>
    </row>
    <row r="5522" spans="1:8" x14ac:dyDescent="0.25">
      <c r="A5522" t="s">
        <v>1827</v>
      </c>
      <c r="B5522" t="s">
        <v>3411</v>
      </c>
      <c r="C5522" t="s">
        <v>363</v>
      </c>
      <c r="D5522">
        <v>0</v>
      </c>
      <c r="E5522">
        <v>1800</v>
      </c>
      <c r="F5522">
        <v>0</v>
      </c>
      <c r="G5522">
        <v>5</v>
      </c>
      <c r="H5522" t="s">
        <v>19</v>
      </c>
    </row>
    <row r="5523" spans="1:8" x14ac:dyDescent="0.25">
      <c r="A5523" t="str">
        <f>"&lt;nominal&gt;" &amp;$D$5522&amp;"&lt;/nominal&gt;"</f>
        <v>&lt;nominal&gt;0&lt;/nominal&gt;</v>
      </c>
      <c r="B5523" t="s">
        <v>3411</v>
      </c>
    </row>
    <row r="5524" spans="1:8" x14ac:dyDescent="0.25">
      <c r="A5524" t="str">
        <f>"&lt;lifetime&gt;" &amp;$E$5522&amp;"&lt;/lifetime&gt;"</f>
        <v>&lt;lifetime&gt;1800&lt;/lifetime&gt;</v>
      </c>
      <c r="B5524" t="s">
        <v>3411</v>
      </c>
    </row>
    <row r="5525" spans="1:8" x14ac:dyDescent="0.25">
      <c r="A5525" t="str">
        <f>"&lt;restock&gt;" &amp;$F$5522&amp;"&lt;/restock&gt;"</f>
        <v>&lt;restock&gt;0&lt;/restock&gt;</v>
      </c>
      <c r="B5525" t="s">
        <v>3411</v>
      </c>
    </row>
    <row r="5526" spans="1:8" x14ac:dyDescent="0.25">
      <c r="A5526" t="str">
        <f>"&lt;min&gt;" &amp;$G$5522&amp;"&lt;/min&gt;"</f>
        <v>&lt;min&gt;5&lt;/min&gt;</v>
      </c>
      <c r="B5526" t="s">
        <v>3411</v>
      </c>
    </row>
    <row r="5527" spans="1:8" x14ac:dyDescent="0.25">
      <c r="A5527" t="s">
        <v>16</v>
      </c>
      <c r="B5527" t="s">
        <v>3411</v>
      </c>
    </row>
    <row r="5528" spans="1:8" x14ac:dyDescent="0.25">
      <c r="A5528" t="s">
        <v>17</v>
      </c>
      <c r="B5528" t="s">
        <v>3411</v>
      </c>
    </row>
    <row r="5529" spans="1:8" x14ac:dyDescent="0.25">
      <c r="A5529" t="s">
        <v>18</v>
      </c>
      <c r="B5529" t="s">
        <v>3411</v>
      </c>
    </row>
    <row r="5530" spans="1:8" x14ac:dyDescent="0.25">
      <c r="A5530" t="str">
        <f xml:space="preserve"> $H$5522</f>
        <v>&lt;flags count_in_cargo="0" count_in_hoarder="0" count_in_map="1" count_in_player="0" crafted="0" deloot="0"/&gt;</v>
      </c>
      <c r="B5530" t="s">
        <v>3411</v>
      </c>
    </row>
    <row r="5531" spans="1:8" x14ac:dyDescent="0.25">
      <c r="A5531" t="str">
        <f>"&lt;category name=" &amp;"""" &amp;$C$5522&amp;"""/&gt;"</f>
        <v>&lt;category name="containers"/&gt;</v>
      </c>
      <c r="B5531" t="s">
        <v>3411</v>
      </c>
    </row>
    <row r="5532" spans="1:8" x14ac:dyDescent="0.25">
      <c r="A5532" t="s">
        <v>20</v>
      </c>
      <c r="B5532" t="s">
        <v>3411</v>
      </c>
    </row>
    <row r="5533" spans="1:8" x14ac:dyDescent="0.25">
      <c r="A5533" t="s">
        <v>39</v>
      </c>
      <c r="B5533" t="s">
        <v>3411</v>
      </c>
    </row>
    <row r="5534" spans="1:8" x14ac:dyDescent="0.25">
      <c r="A5534" t="s">
        <v>22</v>
      </c>
      <c r="B5534" t="s">
        <v>3411</v>
      </c>
    </row>
    <row r="5535" spans="1:8" x14ac:dyDescent="0.25">
      <c r="A5535" t="s">
        <v>1828</v>
      </c>
      <c r="B5535" t="s">
        <v>3412</v>
      </c>
      <c r="C5535" t="s">
        <v>363</v>
      </c>
      <c r="D5535">
        <v>0</v>
      </c>
      <c r="E5535">
        <v>1800</v>
      </c>
      <c r="F5535">
        <v>0</v>
      </c>
      <c r="G5535">
        <v>10</v>
      </c>
      <c r="H5535" t="s">
        <v>19</v>
      </c>
    </row>
    <row r="5536" spans="1:8" x14ac:dyDescent="0.25">
      <c r="A5536" t="str">
        <f>"&lt;nominal&gt;" &amp;$D$5535&amp;"&lt;/nominal&gt;"</f>
        <v>&lt;nominal&gt;0&lt;/nominal&gt;</v>
      </c>
      <c r="B5536" t="s">
        <v>3412</v>
      </c>
    </row>
    <row r="5537" spans="1:8" x14ac:dyDescent="0.25">
      <c r="A5537" t="str">
        <f>"&lt;lifetime&gt;" &amp;$E$5535&amp;"&lt;/lifetime&gt;"</f>
        <v>&lt;lifetime&gt;1800&lt;/lifetime&gt;</v>
      </c>
      <c r="B5537" t="s">
        <v>3412</v>
      </c>
    </row>
    <row r="5538" spans="1:8" x14ac:dyDescent="0.25">
      <c r="A5538" t="str">
        <f>"&lt;restock&gt;" &amp;$F$5535&amp;"&lt;/restock&gt;"</f>
        <v>&lt;restock&gt;0&lt;/restock&gt;</v>
      </c>
      <c r="B5538" t="s">
        <v>3412</v>
      </c>
    </row>
    <row r="5539" spans="1:8" x14ac:dyDescent="0.25">
      <c r="A5539" t="str">
        <f>"&lt;min&gt;" &amp;$G$5535&amp;"&lt;/min&gt;"</f>
        <v>&lt;min&gt;10&lt;/min&gt;</v>
      </c>
      <c r="B5539" t="s">
        <v>3412</v>
      </c>
    </row>
    <row r="5540" spans="1:8" x14ac:dyDescent="0.25">
      <c r="A5540" t="s">
        <v>16</v>
      </c>
      <c r="B5540" t="s">
        <v>3412</v>
      </c>
    </row>
    <row r="5541" spans="1:8" x14ac:dyDescent="0.25">
      <c r="A5541" t="s">
        <v>17</v>
      </c>
      <c r="B5541" t="s">
        <v>3412</v>
      </c>
    </row>
    <row r="5542" spans="1:8" x14ac:dyDescent="0.25">
      <c r="A5542" t="s">
        <v>18</v>
      </c>
      <c r="B5542" t="s">
        <v>3412</v>
      </c>
    </row>
    <row r="5543" spans="1:8" x14ac:dyDescent="0.25">
      <c r="A5543" t="str">
        <f xml:space="preserve"> $H$5535</f>
        <v>&lt;flags count_in_cargo="0" count_in_hoarder="0" count_in_map="1" count_in_player="0" crafted="0" deloot="0"/&gt;</v>
      </c>
      <c r="B5543" t="s">
        <v>3412</v>
      </c>
    </row>
    <row r="5544" spans="1:8" x14ac:dyDescent="0.25">
      <c r="A5544" t="str">
        <f>"&lt;category name=" &amp;"""" &amp;$C$5535&amp;"""/&gt;"</f>
        <v>&lt;category name="containers"/&gt;</v>
      </c>
      <c r="B5544" t="s">
        <v>3412</v>
      </c>
    </row>
    <row r="5545" spans="1:8" x14ac:dyDescent="0.25">
      <c r="A5545" t="s">
        <v>20</v>
      </c>
      <c r="B5545" t="s">
        <v>3412</v>
      </c>
    </row>
    <row r="5546" spans="1:8" x14ac:dyDescent="0.25">
      <c r="A5546" t="s">
        <v>39</v>
      </c>
      <c r="B5546" t="s">
        <v>3412</v>
      </c>
    </row>
    <row r="5547" spans="1:8" x14ac:dyDescent="0.25">
      <c r="A5547" t="s">
        <v>40</v>
      </c>
      <c r="B5547" t="s">
        <v>3412</v>
      </c>
    </row>
    <row r="5548" spans="1:8" x14ac:dyDescent="0.25">
      <c r="A5548" t="s">
        <v>22</v>
      </c>
      <c r="B5548" t="s">
        <v>3412</v>
      </c>
    </row>
    <row r="5549" spans="1:8" x14ac:dyDescent="0.25">
      <c r="A5549" t="s">
        <v>1829</v>
      </c>
      <c r="B5549" t="s">
        <v>3413</v>
      </c>
      <c r="C5549" t="s">
        <v>363</v>
      </c>
      <c r="D5549">
        <v>0</v>
      </c>
      <c r="E5549">
        <v>1800</v>
      </c>
      <c r="F5549">
        <v>0</v>
      </c>
      <c r="G5549">
        <v>10</v>
      </c>
      <c r="H5549" t="s">
        <v>19</v>
      </c>
    </row>
    <row r="5550" spans="1:8" x14ac:dyDescent="0.25">
      <c r="A5550" t="str">
        <f>"&lt;nominal&gt;" &amp;$D$5549&amp;"&lt;/nominal&gt;"</f>
        <v>&lt;nominal&gt;0&lt;/nominal&gt;</v>
      </c>
      <c r="B5550" t="s">
        <v>3413</v>
      </c>
    </row>
    <row r="5551" spans="1:8" x14ac:dyDescent="0.25">
      <c r="A5551" t="str">
        <f>"&lt;lifetime&gt;" &amp;$E$5549&amp;"&lt;/lifetime&gt;"</f>
        <v>&lt;lifetime&gt;1800&lt;/lifetime&gt;</v>
      </c>
      <c r="B5551" t="s">
        <v>3413</v>
      </c>
    </row>
    <row r="5552" spans="1:8" x14ac:dyDescent="0.25">
      <c r="A5552" t="str">
        <f>"&lt;restock&gt;" &amp;$F$5549&amp;"&lt;/restock&gt;"</f>
        <v>&lt;restock&gt;0&lt;/restock&gt;</v>
      </c>
      <c r="B5552" t="s">
        <v>3413</v>
      </c>
    </row>
    <row r="5553" spans="1:8" x14ac:dyDescent="0.25">
      <c r="A5553" t="str">
        <f>"&lt;min&gt;" &amp;$G$5549&amp;"&lt;/min&gt;"</f>
        <v>&lt;min&gt;10&lt;/min&gt;</v>
      </c>
      <c r="B5553" t="s">
        <v>3413</v>
      </c>
    </row>
    <row r="5554" spans="1:8" x14ac:dyDescent="0.25">
      <c r="A5554" t="s">
        <v>16</v>
      </c>
      <c r="B5554" t="s">
        <v>3413</v>
      </c>
    </row>
    <row r="5555" spans="1:8" x14ac:dyDescent="0.25">
      <c r="A5555" t="s">
        <v>17</v>
      </c>
      <c r="B5555" t="s">
        <v>3413</v>
      </c>
    </row>
    <row r="5556" spans="1:8" x14ac:dyDescent="0.25">
      <c r="A5556" t="s">
        <v>18</v>
      </c>
      <c r="B5556" t="s">
        <v>3413</v>
      </c>
    </row>
    <row r="5557" spans="1:8" x14ac:dyDescent="0.25">
      <c r="A5557" t="str">
        <f xml:space="preserve"> $H$5549</f>
        <v>&lt;flags count_in_cargo="0" count_in_hoarder="0" count_in_map="1" count_in_player="0" crafted="0" deloot="0"/&gt;</v>
      </c>
      <c r="B5557" t="s">
        <v>3413</v>
      </c>
    </row>
    <row r="5558" spans="1:8" x14ac:dyDescent="0.25">
      <c r="A5558" t="str">
        <f>"&lt;category name=" &amp;"""" &amp;$C$5549&amp;"""/&gt;"</f>
        <v>&lt;category name="containers"/&gt;</v>
      </c>
      <c r="B5558" t="s">
        <v>3413</v>
      </c>
    </row>
    <row r="5559" spans="1:8" x14ac:dyDescent="0.25">
      <c r="A5559" t="s">
        <v>20</v>
      </c>
      <c r="B5559" t="s">
        <v>3413</v>
      </c>
    </row>
    <row r="5560" spans="1:8" x14ac:dyDescent="0.25">
      <c r="A5560" t="s">
        <v>39</v>
      </c>
      <c r="B5560" t="s">
        <v>3413</v>
      </c>
    </row>
    <row r="5561" spans="1:8" x14ac:dyDescent="0.25">
      <c r="A5561" t="s">
        <v>40</v>
      </c>
      <c r="B5561" t="s">
        <v>3413</v>
      </c>
    </row>
    <row r="5562" spans="1:8" x14ac:dyDescent="0.25">
      <c r="A5562" t="s">
        <v>22</v>
      </c>
      <c r="B5562" t="s">
        <v>3413</v>
      </c>
    </row>
    <row r="5563" spans="1:8" x14ac:dyDescent="0.25">
      <c r="A5563" t="s">
        <v>1830</v>
      </c>
      <c r="B5563" t="s">
        <v>3414</v>
      </c>
      <c r="C5563" t="s">
        <v>363</v>
      </c>
      <c r="D5563">
        <v>0</v>
      </c>
      <c r="E5563">
        <v>1800</v>
      </c>
      <c r="F5563">
        <v>0</v>
      </c>
      <c r="G5563">
        <v>10</v>
      </c>
      <c r="H5563" t="s">
        <v>19</v>
      </c>
    </row>
    <row r="5564" spans="1:8" x14ac:dyDescent="0.25">
      <c r="A5564" t="str">
        <f>"&lt;nominal&gt;" &amp;$D$5563&amp;"&lt;/nominal&gt;"</f>
        <v>&lt;nominal&gt;0&lt;/nominal&gt;</v>
      </c>
      <c r="B5564" t="s">
        <v>3414</v>
      </c>
    </row>
    <row r="5565" spans="1:8" x14ac:dyDescent="0.25">
      <c r="A5565" t="str">
        <f>"&lt;lifetime&gt;" &amp;$E$5563&amp;"&lt;/lifetime&gt;"</f>
        <v>&lt;lifetime&gt;1800&lt;/lifetime&gt;</v>
      </c>
      <c r="B5565" t="s">
        <v>3414</v>
      </c>
    </row>
    <row r="5566" spans="1:8" x14ac:dyDescent="0.25">
      <c r="A5566" t="str">
        <f>"&lt;restock&gt;" &amp;$F$5563&amp;"&lt;/restock&gt;"</f>
        <v>&lt;restock&gt;0&lt;/restock&gt;</v>
      </c>
      <c r="B5566" t="s">
        <v>3414</v>
      </c>
    </row>
    <row r="5567" spans="1:8" x14ac:dyDescent="0.25">
      <c r="A5567" t="str">
        <f>"&lt;min&gt;" &amp;$G$5563&amp;"&lt;/min&gt;"</f>
        <v>&lt;min&gt;10&lt;/min&gt;</v>
      </c>
      <c r="B5567" t="s">
        <v>3414</v>
      </c>
    </row>
    <row r="5568" spans="1:8" x14ac:dyDescent="0.25">
      <c r="A5568" t="s">
        <v>16</v>
      </c>
      <c r="B5568" t="s">
        <v>3414</v>
      </c>
    </row>
    <row r="5569" spans="1:8" x14ac:dyDescent="0.25">
      <c r="A5569" t="s">
        <v>17</v>
      </c>
      <c r="B5569" t="s">
        <v>3414</v>
      </c>
    </row>
    <row r="5570" spans="1:8" x14ac:dyDescent="0.25">
      <c r="A5570" t="s">
        <v>18</v>
      </c>
      <c r="B5570" t="s">
        <v>3414</v>
      </c>
    </row>
    <row r="5571" spans="1:8" x14ac:dyDescent="0.25">
      <c r="A5571" t="str">
        <f xml:space="preserve"> $H$5563</f>
        <v>&lt;flags count_in_cargo="0" count_in_hoarder="0" count_in_map="1" count_in_player="0" crafted="0" deloot="0"/&gt;</v>
      </c>
      <c r="B5571" t="s">
        <v>3414</v>
      </c>
    </row>
    <row r="5572" spans="1:8" x14ac:dyDescent="0.25">
      <c r="A5572" t="str">
        <f>"&lt;category name=" &amp;"""" &amp;$C$5563&amp;"""/&gt;"</f>
        <v>&lt;category name="containers"/&gt;</v>
      </c>
      <c r="B5572" t="s">
        <v>3414</v>
      </c>
    </row>
    <row r="5573" spans="1:8" x14ac:dyDescent="0.25">
      <c r="A5573" t="s">
        <v>20</v>
      </c>
      <c r="B5573" t="s">
        <v>3414</v>
      </c>
    </row>
    <row r="5574" spans="1:8" x14ac:dyDescent="0.25">
      <c r="A5574" t="s">
        <v>39</v>
      </c>
      <c r="B5574" t="s">
        <v>3414</v>
      </c>
    </row>
    <row r="5575" spans="1:8" x14ac:dyDescent="0.25">
      <c r="A5575" t="s">
        <v>40</v>
      </c>
      <c r="B5575" t="s">
        <v>3414</v>
      </c>
    </row>
    <row r="5576" spans="1:8" x14ac:dyDescent="0.25">
      <c r="A5576" t="s">
        <v>22</v>
      </c>
      <c r="B5576" t="s">
        <v>3414</v>
      </c>
    </row>
    <row r="5577" spans="1:8" x14ac:dyDescent="0.25">
      <c r="A5577" t="s">
        <v>1831</v>
      </c>
      <c r="B5577" t="s">
        <v>3415</v>
      </c>
      <c r="C5577" t="s">
        <v>363</v>
      </c>
      <c r="D5577">
        <v>0</v>
      </c>
      <c r="E5577">
        <v>1800</v>
      </c>
      <c r="F5577">
        <v>0</v>
      </c>
      <c r="G5577">
        <v>10</v>
      </c>
      <c r="H5577" t="s">
        <v>19</v>
      </c>
    </row>
    <row r="5578" spans="1:8" x14ac:dyDescent="0.25">
      <c r="A5578" t="str">
        <f>"&lt;nominal&gt;" &amp;$D$5577&amp;"&lt;/nominal&gt;"</f>
        <v>&lt;nominal&gt;0&lt;/nominal&gt;</v>
      </c>
      <c r="B5578" t="s">
        <v>3415</v>
      </c>
    </row>
    <row r="5579" spans="1:8" x14ac:dyDescent="0.25">
      <c r="A5579" t="str">
        <f>"&lt;lifetime&gt;" &amp;$E$5577&amp;"&lt;/lifetime&gt;"</f>
        <v>&lt;lifetime&gt;1800&lt;/lifetime&gt;</v>
      </c>
      <c r="B5579" t="s">
        <v>3415</v>
      </c>
    </row>
    <row r="5580" spans="1:8" x14ac:dyDescent="0.25">
      <c r="A5580" t="str">
        <f>"&lt;restock&gt;" &amp;$F$5577&amp;"&lt;/restock&gt;"</f>
        <v>&lt;restock&gt;0&lt;/restock&gt;</v>
      </c>
      <c r="B5580" t="s">
        <v>3415</v>
      </c>
    </row>
    <row r="5581" spans="1:8" x14ac:dyDescent="0.25">
      <c r="A5581" t="str">
        <f>"&lt;min&gt;" &amp;$G$5577&amp;"&lt;/min&gt;"</f>
        <v>&lt;min&gt;10&lt;/min&gt;</v>
      </c>
      <c r="B5581" t="s">
        <v>3415</v>
      </c>
    </row>
    <row r="5582" spans="1:8" x14ac:dyDescent="0.25">
      <c r="A5582" t="s">
        <v>16</v>
      </c>
      <c r="B5582" t="s">
        <v>3415</v>
      </c>
    </row>
    <row r="5583" spans="1:8" x14ac:dyDescent="0.25">
      <c r="A5583" t="s">
        <v>17</v>
      </c>
      <c r="B5583" t="s">
        <v>3415</v>
      </c>
    </row>
    <row r="5584" spans="1:8" x14ac:dyDescent="0.25">
      <c r="A5584" t="s">
        <v>18</v>
      </c>
      <c r="B5584" t="s">
        <v>3415</v>
      </c>
    </row>
    <row r="5585" spans="1:8" x14ac:dyDescent="0.25">
      <c r="A5585" t="str">
        <f xml:space="preserve"> $H$5577</f>
        <v>&lt;flags count_in_cargo="0" count_in_hoarder="0" count_in_map="1" count_in_player="0" crafted="0" deloot="0"/&gt;</v>
      </c>
      <c r="B5585" t="s">
        <v>3415</v>
      </c>
    </row>
    <row r="5586" spans="1:8" x14ac:dyDescent="0.25">
      <c r="A5586" t="str">
        <f>"&lt;category name=" &amp;"""" &amp;$C$5577&amp;"""/&gt;"</f>
        <v>&lt;category name="containers"/&gt;</v>
      </c>
      <c r="B5586" t="s">
        <v>3415</v>
      </c>
    </row>
    <row r="5587" spans="1:8" x14ac:dyDescent="0.25">
      <c r="A5587" t="s">
        <v>20</v>
      </c>
      <c r="B5587" t="s">
        <v>3415</v>
      </c>
    </row>
    <row r="5588" spans="1:8" x14ac:dyDescent="0.25">
      <c r="A5588" t="s">
        <v>39</v>
      </c>
      <c r="B5588" t="s">
        <v>3415</v>
      </c>
    </row>
    <row r="5589" spans="1:8" x14ac:dyDescent="0.25">
      <c r="A5589" t="s">
        <v>40</v>
      </c>
      <c r="B5589" t="s">
        <v>3415</v>
      </c>
    </row>
    <row r="5590" spans="1:8" x14ac:dyDescent="0.25">
      <c r="A5590" t="s">
        <v>22</v>
      </c>
      <c r="B5590" t="s">
        <v>3415</v>
      </c>
    </row>
    <row r="5591" spans="1:8" x14ac:dyDescent="0.25">
      <c r="A5591" t="s">
        <v>1832</v>
      </c>
      <c r="B5591" t="s">
        <v>3416</v>
      </c>
      <c r="C5591" t="s">
        <v>363</v>
      </c>
      <c r="D5591">
        <v>0</v>
      </c>
      <c r="E5591">
        <v>1800</v>
      </c>
      <c r="F5591">
        <v>0</v>
      </c>
      <c r="G5591">
        <v>15</v>
      </c>
      <c r="H5591" t="s">
        <v>19</v>
      </c>
    </row>
    <row r="5592" spans="1:8" x14ac:dyDescent="0.25">
      <c r="A5592" t="str">
        <f>"&lt;nominal&gt;" &amp;$D$5591&amp;"&lt;/nominal&gt;"</f>
        <v>&lt;nominal&gt;0&lt;/nominal&gt;</v>
      </c>
      <c r="B5592" t="s">
        <v>3416</v>
      </c>
    </row>
    <row r="5593" spans="1:8" x14ac:dyDescent="0.25">
      <c r="A5593" t="str">
        <f>"&lt;lifetime&gt;" &amp;$E$5591&amp;"&lt;/lifetime&gt;"</f>
        <v>&lt;lifetime&gt;1800&lt;/lifetime&gt;</v>
      </c>
      <c r="B5593" t="s">
        <v>3416</v>
      </c>
    </row>
    <row r="5594" spans="1:8" x14ac:dyDescent="0.25">
      <c r="A5594" t="str">
        <f>"&lt;restock&gt;" &amp;$F$5591&amp;"&lt;/restock&gt;"</f>
        <v>&lt;restock&gt;0&lt;/restock&gt;</v>
      </c>
      <c r="B5594" t="s">
        <v>3416</v>
      </c>
    </row>
    <row r="5595" spans="1:8" x14ac:dyDescent="0.25">
      <c r="A5595" t="str">
        <f>"&lt;min&gt;" &amp;$G$5591&amp;"&lt;/min&gt;"</f>
        <v>&lt;min&gt;15&lt;/min&gt;</v>
      </c>
      <c r="B5595" t="s">
        <v>3416</v>
      </c>
    </row>
    <row r="5596" spans="1:8" x14ac:dyDescent="0.25">
      <c r="A5596" t="s">
        <v>16</v>
      </c>
      <c r="B5596" t="s">
        <v>3416</v>
      </c>
    </row>
    <row r="5597" spans="1:8" x14ac:dyDescent="0.25">
      <c r="A5597" t="s">
        <v>17</v>
      </c>
      <c r="B5597" t="s">
        <v>3416</v>
      </c>
    </row>
    <row r="5598" spans="1:8" x14ac:dyDescent="0.25">
      <c r="A5598" t="s">
        <v>18</v>
      </c>
      <c r="B5598" t="s">
        <v>3416</v>
      </c>
    </row>
    <row r="5599" spans="1:8" x14ac:dyDescent="0.25">
      <c r="A5599" t="str">
        <f xml:space="preserve"> $H$5591</f>
        <v>&lt;flags count_in_cargo="0" count_in_hoarder="0" count_in_map="1" count_in_player="0" crafted="0" deloot="0"/&gt;</v>
      </c>
      <c r="B5599" t="s">
        <v>3416</v>
      </c>
    </row>
    <row r="5600" spans="1:8" x14ac:dyDescent="0.25">
      <c r="A5600" t="str">
        <f>"&lt;category name=" &amp;"""" &amp;$C$5591&amp;"""/&gt;"</f>
        <v>&lt;category name="containers"/&gt;</v>
      </c>
      <c r="B5600" t="s">
        <v>3416</v>
      </c>
    </row>
    <row r="5601" spans="1:8" x14ac:dyDescent="0.25">
      <c r="A5601" t="s">
        <v>20</v>
      </c>
      <c r="B5601" t="s">
        <v>3416</v>
      </c>
    </row>
    <row r="5602" spans="1:8" x14ac:dyDescent="0.25">
      <c r="A5602" t="s">
        <v>39</v>
      </c>
      <c r="B5602" t="s">
        <v>3416</v>
      </c>
    </row>
    <row r="5603" spans="1:8" x14ac:dyDescent="0.25">
      <c r="A5603" t="s">
        <v>40</v>
      </c>
      <c r="B5603" t="s">
        <v>3416</v>
      </c>
    </row>
    <row r="5604" spans="1:8" x14ac:dyDescent="0.25">
      <c r="A5604" t="s">
        <v>22</v>
      </c>
      <c r="B5604" t="s">
        <v>3416</v>
      </c>
    </row>
    <row r="5605" spans="1:8" x14ac:dyDescent="0.25">
      <c r="A5605" t="s">
        <v>1833</v>
      </c>
      <c r="B5605" t="s">
        <v>3417</v>
      </c>
      <c r="C5605" t="s">
        <v>363</v>
      </c>
      <c r="D5605">
        <v>0</v>
      </c>
      <c r="E5605">
        <v>1800</v>
      </c>
      <c r="F5605">
        <v>0</v>
      </c>
      <c r="G5605">
        <v>15</v>
      </c>
      <c r="H5605" t="s">
        <v>19</v>
      </c>
    </row>
    <row r="5606" spans="1:8" x14ac:dyDescent="0.25">
      <c r="A5606" t="str">
        <f>"&lt;nominal&gt;" &amp;$D$5605&amp;"&lt;/nominal&gt;"</f>
        <v>&lt;nominal&gt;0&lt;/nominal&gt;</v>
      </c>
      <c r="B5606" t="s">
        <v>3417</v>
      </c>
    </row>
    <row r="5607" spans="1:8" x14ac:dyDescent="0.25">
      <c r="A5607" t="str">
        <f>"&lt;lifetime&gt;" &amp;$E$5605&amp;"&lt;/lifetime&gt;"</f>
        <v>&lt;lifetime&gt;1800&lt;/lifetime&gt;</v>
      </c>
      <c r="B5607" t="s">
        <v>3417</v>
      </c>
    </row>
    <row r="5608" spans="1:8" x14ac:dyDescent="0.25">
      <c r="A5608" t="str">
        <f>"&lt;restock&gt;" &amp;$F$5605&amp;"&lt;/restock&gt;"</f>
        <v>&lt;restock&gt;0&lt;/restock&gt;</v>
      </c>
      <c r="B5608" t="s">
        <v>3417</v>
      </c>
    </row>
    <row r="5609" spans="1:8" x14ac:dyDescent="0.25">
      <c r="A5609" t="str">
        <f>"&lt;min&gt;" &amp;$G$5605&amp;"&lt;/min&gt;"</f>
        <v>&lt;min&gt;15&lt;/min&gt;</v>
      </c>
      <c r="B5609" t="s">
        <v>3417</v>
      </c>
    </row>
    <row r="5610" spans="1:8" x14ac:dyDescent="0.25">
      <c r="A5610" t="s">
        <v>16</v>
      </c>
      <c r="B5610" t="s">
        <v>3417</v>
      </c>
    </row>
    <row r="5611" spans="1:8" x14ac:dyDescent="0.25">
      <c r="A5611" t="s">
        <v>17</v>
      </c>
      <c r="B5611" t="s">
        <v>3417</v>
      </c>
    </row>
    <row r="5612" spans="1:8" x14ac:dyDescent="0.25">
      <c r="A5612" t="s">
        <v>18</v>
      </c>
      <c r="B5612" t="s">
        <v>3417</v>
      </c>
    </row>
    <row r="5613" spans="1:8" x14ac:dyDescent="0.25">
      <c r="A5613" t="str">
        <f xml:space="preserve"> $H$5605</f>
        <v>&lt;flags count_in_cargo="0" count_in_hoarder="0" count_in_map="1" count_in_player="0" crafted="0" deloot="0"/&gt;</v>
      </c>
      <c r="B5613" t="s">
        <v>3417</v>
      </c>
    </row>
    <row r="5614" spans="1:8" x14ac:dyDescent="0.25">
      <c r="A5614" t="str">
        <f>"&lt;category name=" &amp;"""" &amp;$C$5605&amp;"""/&gt;"</f>
        <v>&lt;category name="containers"/&gt;</v>
      </c>
      <c r="B5614" t="s">
        <v>3417</v>
      </c>
    </row>
    <row r="5615" spans="1:8" x14ac:dyDescent="0.25">
      <c r="A5615" t="s">
        <v>20</v>
      </c>
      <c r="B5615" t="s">
        <v>3417</v>
      </c>
    </row>
    <row r="5616" spans="1:8" x14ac:dyDescent="0.25">
      <c r="A5616" t="s">
        <v>39</v>
      </c>
      <c r="B5616" t="s">
        <v>3417</v>
      </c>
    </row>
    <row r="5617" spans="1:8" x14ac:dyDescent="0.25">
      <c r="A5617" t="s">
        <v>40</v>
      </c>
      <c r="B5617" t="s">
        <v>3417</v>
      </c>
    </row>
    <row r="5618" spans="1:8" x14ac:dyDescent="0.25">
      <c r="A5618" t="s">
        <v>22</v>
      </c>
      <c r="B5618" t="s">
        <v>3417</v>
      </c>
    </row>
    <row r="5619" spans="1:8" x14ac:dyDescent="0.25">
      <c r="A5619" t="s">
        <v>1834</v>
      </c>
      <c r="B5619" t="s">
        <v>3418</v>
      </c>
      <c r="C5619" t="s">
        <v>363</v>
      </c>
      <c r="D5619">
        <v>0</v>
      </c>
      <c r="E5619">
        <v>1800</v>
      </c>
      <c r="F5619">
        <v>0</v>
      </c>
      <c r="G5619">
        <v>15</v>
      </c>
      <c r="H5619" t="s">
        <v>19</v>
      </c>
    </row>
    <row r="5620" spans="1:8" x14ac:dyDescent="0.25">
      <c r="A5620" t="str">
        <f>"&lt;nominal&gt;" &amp;$D$5619&amp;"&lt;/nominal&gt;"</f>
        <v>&lt;nominal&gt;0&lt;/nominal&gt;</v>
      </c>
      <c r="B5620" t="s">
        <v>3418</v>
      </c>
    </row>
    <row r="5621" spans="1:8" x14ac:dyDescent="0.25">
      <c r="A5621" t="str">
        <f>"&lt;lifetime&gt;" &amp;$E$5619&amp;"&lt;/lifetime&gt;"</f>
        <v>&lt;lifetime&gt;1800&lt;/lifetime&gt;</v>
      </c>
      <c r="B5621" t="s">
        <v>3418</v>
      </c>
    </row>
    <row r="5622" spans="1:8" x14ac:dyDescent="0.25">
      <c r="A5622" t="str">
        <f>"&lt;restock&gt;" &amp;$F$5619&amp;"&lt;/restock&gt;"</f>
        <v>&lt;restock&gt;0&lt;/restock&gt;</v>
      </c>
      <c r="B5622" t="s">
        <v>3418</v>
      </c>
    </row>
    <row r="5623" spans="1:8" x14ac:dyDescent="0.25">
      <c r="A5623" t="str">
        <f>"&lt;min&gt;" &amp;$G$5619&amp;"&lt;/min&gt;"</f>
        <v>&lt;min&gt;15&lt;/min&gt;</v>
      </c>
      <c r="B5623" t="s">
        <v>3418</v>
      </c>
    </row>
    <row r="5624" spans="1:8" x14ac:dyDescent="0.25">
      <c r="A5624" t="s">
        <v>16</v>
      </c>
      <c r="B5624" t="s">
        <v>3418</v>
      </c>
    </row>
    <row r="5625" spans="1:8" x14ac:dyDescent="0.25">
      <c r="A5625" t="s">
        <v>17</v>
      </c>
      <c r="B5625" t="s">
        <v>3418</v>
      </c>
    </row>
    <row r="5626" spans="1:8" x14ac:dyDescent="0.25">
      <c r="A5626" t="s">
        <v>18</v>
      </c>
      <c r="B5626" t="s">
        <v>3418</v>
      </c>
    </row>
    <row r="5627" spans="1:8" x14ac:dyDescent="0.25">
      <c r="A5627" t="str">
        <f xml:space="preserve"> $H$5619</f>
        <v>&lt;flags count_in_cargo="0" count_in_hoarder="0" count_in_map="1" count_in_player="0" crafted="0" deloot="0"/&gt;</v>
      </c>
      <c r="B5627" t="s">
        <v>3418</v>
      </c>
    </row>
    <row r="5628" spans="1:8" x14ac:dyDescent="0.25">
      <c r="A5628" t="str">
        <f>"&lt;category name=" &amp;"""" &amp;$C$5619&amp;"""/&gt;"</f>
        <v>&lt;category name="containers"/&gt;</v>
      </c>
      <c r="B5628" t="s">
        <v>3418</v>
      </c>
    </row>
    <row r="5629" spans="1:8" x14ac:dyDescent="0.25">
      <c r="A5629" t="s">
        <v>20</v>
      </c>
      <c r="B5629" t="s">
        <v>3418</v>
      </c>
    </row>
    <row r="5630" spans="1:8" x14ac:dyDescent="0.25">
      <c r="A5630" t="s">
        <v>39</v>
      </c>
      <c r="B5630" t="s">
        <v>3418</v>
      </c>
    </row>
    <row r="5631" spans="1:8" x14ac:dyDescent="0.25">
      <c r="A5631" t="s">
        <v>40</v>
      </c>
      <c r="B5631" t="s">
        <v>3418</v>
      </c>
    </row>
    <row r="5632" spans="1:8" x14ac:dyDescent="0.25">
      <c r="A5632" t="s">
        <v>22</v>
      </c>
      <c r="B5632" t="s">
        <v>3418</v>
      </c>
    </row>
    <row r="5633" spans="1:8" x14ac:dyDescent="0.25">
      <c r="A5633" t="s">
        <v>1835</v>
      </c>
      <c r="B5633" t="s">
        <v>3419</v>
      </c>
      <c r="C5633" t="s">
        <v>363</v>
      </c>
      <c r="D5633">
        <v>0</v>
      </c>
      <c r="E5633">
        <v>1800</v>
      </c>
      <c r="F5633">
        <v>0</v>
      </c>
      <c r="G5633">
        <v>15</v>
      </c>
      <c r="H5633" t="s">
        <v>19</v>
      </c>
    </row>
    <row r="5634" spans="1:8" x14ac:dyDescent="0.25">
      <c r="A5634" t="str">
        <f>"&lt;nominal&gt;" &amp;$D$5633&amp;"&lt;/nominal&gt;"</f>
        <v>&lt;nominal&gt;0&lt;/nominal&gt;</v>
      </c>
      <c r="B5634" t="s">
        <v>3419</v>
      </c>
    </row>
    <row r="5635" spans="1:8" x14ac:dyDescent="0.25">
      <c r="A5635" t="str">
        <f>"&lt;lifetime&gt;" &amp;$E$5633&amp;"&lt;/lifetime&gt;"</f>
        <v>&lt;lifetime&gt;1800&lt;/lifetime&gt;</v>
      </c>
      <c r="B5635" t="s">
        <v>3419</v>
      </c>
    </row>
    <row r="5636" spans="1:8" x14ac:dyDescent="0.25">
      <c r="A5636" t="str">
        <f>"&lt;restock&gt;" &amp;$F$5633&amp;"&lt;/restock&gt;"</f>
        <v>&lt;restock&gt;0&lt;/restock&gt;</v>
      </c>
      <c r="B5636" t="s">
        <v>3419</v>
      </c>
    </row>
    <row r="5637" spans="1:8" x14ac:dyDescent="0.25">
      <c r="A5637" t="str">
        <f>"&lt;min&gt;" &amp;$G$5633&amp;"&lt;/min&gt;"</f>
        <v>&lt;min&gt;15&lt;/min&gt;</v>
      </c>
      <c r="B5637" t="s">
        <v>3419</v>
      </c>
    </row>
    <row r="5638" spans="1:8" x14ac:dyDescent="0.25">
      <c r="A5638" t="s">
        <v>16</v>
      </c>
      <c r="B5638" t="s">
        <v>3419</v>
      </c>
    </row>
    <row r="5639" spans="1:8" x14ac:dyDescent="0.25">
      <c r="A5639" t="s">
        <v>17</v>
      </c>
      <c r="B5639" t="s">
        <v>3419</v>
      </c>
    </row>
    <row r="5640" spans="1:8" x14ac:dyDescent="0.25">
      <c r="A5640" t="s">
        <v>18</v>
      </c>
      <c r="B5640" t="s">
        <v>3419</v>
      </c>
    </row>
    <row r="5641" spans="1:8" x14ac:dyDescent="0.25">
      <c r="A5641" t="str">
        <f xml:space="preserve"> $H$5633</f>
        <v>&lt;flags count_in_cargo="0" count_in_hoarder="0" count_in_map="1" count_in_player="0" crafted="0" deloot="0"/&gt;</v>
      </c>
      <c r="B5641" t="s">
        <v>3419</v>
      </c>
    </row>
    <row r="5642" spans="1:8" x14ac:dyDescent="0.25">
      <c r="A5642" t="str">
        <f>"&lt;category name=" &amp;"""" &amp;$C$5633&amp;"""/&gt;"</f>
        <v>&lt;category name="containers"/&gt;</v>
      </c>
      <c r="B5642" t="s">
        <v>3419</v>
      </c>
    </row>
    <row r="5643" spans="1:8" x14ac:dyDescent="0.25">
      <c r="A5643" t="s">
        <v>20</v>
      </c>
      <c r="B5643" t="s">
        <v>3419</v>
      </c>
    </row>
    <row r="5644" spans="1:8" x14ac:dyDescent="0.25">
      <c r="A5644" t="s">
        <v>39</v>
      </c>
      <c r="B5644" t="s">
        <v>3419</v>
      </c>
    </row>
    <row r="5645" spans="1:8" x14ac:dyDescent="0.25">
      <c r="A5645" t="s">
        <v>40</v>
      </c>
      <c r="B5645" t="s">
        <v>3419</v>
      </c>
    </row>
    <row r="5646" spans="1:8" x14ac:dyDescent="0.25">
      <c r="A5646" t="s">
        <v>22</v>
      </c>
      <c r="B5646" t="s">
        <v>3419</v>
      </c>
    </row>
    <row r="5647" spans="1:8" x14ac:dyDescent="0.25">
      <c r="A5647" t="s">
        <v>1836</v>
      </c>
      <c r="B5647" t="s">
        <v>667</v>
      </c>
      <c r="C5647" t="s">
        <v>8</v>
      </c>
      <c r="D5647">
        <v>20</v>
      </c>
      <c r="E5647">
        <v>7200</v>
      </c>
      <c r="F5647">
        <v>0</v>
      </c>
      <c r="G5647">
        <v>10</v>
      </c>
      <c r="H5647" t="s">
        <v>19</v>
      </c>
    </row>
    <row r="5648" spans="1:8" x14ac:dyDescent="0.25">
      <c r="A5648" t="str">
        <f>"&lt;nominal&gt;" &amp;$D$5647&amp;"&lt;/nominal&gt;"</f>
        <v>&lt;nominal&gt;20&lt;/nominal&gt;</v>
      </c>
      <c r="B5648" t="s">
        <v>667</v>
      </c>
    </row>
    <row r="5649" spans="1:8" x14ac:dyDescent="0.25">
      <c r="A5649" t="str">
        <f>"&lt;lifetime&gt;" &amp;$E$5647&amp;"&lt;/lifetime&gt;"</f>
        <v>&lt;lifetime&gt;7200&lt;/lifetime&gt;</v>
      </c>
      <c r="B5649" t="s">
        <v>667</v>
      </c>
    </row>
    <row r="5650" spans="1:8" x14ac:dyDescent="0.25">
      <c r="A5650" t="str">
        <f>"&lt;restock&gt;" &amp;$F$5647&amp;"&lt;/restock&gt;"</f>
        <v>&lt;restock&gt;0&lt;/restock&gt;</v>
      </c>
      <c r="B5650" t="s">
        <v>667</v>
      </c>
    </row>
    <row r="5651" spans="1:8" x14ac:dyDescent="0.25">
      <c r="A5651" t="str">
        <f>"&lt;min&gt;" &amp;$G$5647&amp;"&lt;/min&gt;"</f>
        <v>&lt;min&gt;10&lt;/min&gt;</v>
      </c>
      <c r="B5651" t="s">
        <v>667</v>
      </c>
    </row>
    <row r="5652" spans="1:8" x14ac:dyDescent="0.25">
      <c r="A5652" t="s">
        <v>16</v>
      </c>
      <c r="B5652" t="s">
        <v>667</v>
      </c>
    </row>
    <row r="5653" spans="1:8" x14ac:dyDescent="0.25">
      <c r="A5653" t="s">
        <v>17</v>
      </c>
      <c r="B5653" t="s">
        <v>667</v>
      </c>
    </row>
    <row r="5654" spans="1:8" x14ac:dyDescent="0.25">
      <c r="A5654" t="s">
        <v>18</v>
      </c>
      <c r="B5654" t="s">
        <v>667</v>
      </c>
    </row>
    <row r="5655" spans="1:8" x14ac:dyDescent="0.25">
      <c r="A5655" t="str">
        <f xml:space="preserve"> $H$5647</f>
        <v>&lt;flags count_in_cargo="0" count_in_hoarder="0" count_in_map="1" count_in_player="0" crafted="0" deloot="0"/&gt;</v>
      </c>
      <c r="B5655" t="s">
        <v>667</v>
      </c>
    </row>
    <row r="5656" spans="1:8" x14ac:dyDescent="0.25">
      <c r="A5656" t="str">
        <f>"&lt;category name=" &amp;"""" &amp;$C$5647&amp;"""/&gt;"</f>
        <v>&lt;category name="weapons"/&gt;</v>
      </c>
      <c r="B5656" t="s">
        <v>667</v>
      </c>
    </row>
    <row r="5657" spans="1:8" x14ac:dyDescent="0.25">
      <c r="A5657" t="s">
        <v>20</v>
      </c>
      <c r="B5657" t="s">
        <v>667</v>
      </c>
    </row>
    <row r="5658" spans="1:8" x14ac:dyDescent="0.25">
      <c r="A5658" t="s">
        <v>173</v>
      </c>
      <c r="B5658" t="s">
        <v>667</v>
      </c>
    </row>
    <row r="5659" spans="1:8" x14ac:dyDescent="0.25">
      <c r="A5659" t="s">
        <v>22</v>
      </c>
      <c r="B5659" t="s">
        <v>667</v>
      </c>
    </row>
    <row r="5660" spans="1:8" x14ac:dyDescent="0.25">
      <c r="A5660" t="s">
        <v>1837</v>
      </c>
      <c r="B5660" t="s">
        <v>668</v>
      </c>
      <c r="C5660" t="s">
        <v>363</v>
      </c>
      <c r="D5660">
        <v>0</v>
      </c>
      <c r="E5660">
        <v>10800</v>
      </c>
      <c r="F5660">
        <v>0</v>
      </c>
      <c r="G5660">
        <v>0</v>
      </c>
      <c r="H5660" t="s">
        <v>62</v>
      </c>
    </row>
    <row r="5661" spans="1:8" x14ac:dyDescent="0.25">
      <c r="A5661" t="str">
        <f>"&lt;nominal&gt;" &amp;$D$5660&amp;"&lt;/nominal&gt;"</f>
        <v>&lt;nominal&gt;0&lt;/nominal&gt;</v>
      </c>
      <c r="B5661" t="s">
        <v>668</v>
      </c>
    </row>
    <row r="5662" spans="1:8" x14ac:dyDescent="0.25">
      <c r="A5662" t="str">
        <f>"&lt;lifetime&gt;" &amp;$E$5660&amp;"&lt;/lifetime&gt;"</f>
        <v>&lt;lifetime&gt;10800&lt;/lifetime&gt;</v>
      </c>
      <c r="B5662" t="s">
        <v>668</v>
      </c>
    </row>
    <row r="5663" spans="1:8" x14ac:dyDescent="0.25">
      <c r="A5663" t="str">
        <f>"&lt;restock&gt;" &amp;$F$5660&amp;"&lt;/restock&gt;"</f>
        <v>&lt;restock&gt;0&lt;/restock&gt;</v>
      </c>
      <c r="B5663" t="s">
        <v>668</v>
      </c>
    </row>
    <row r="5664" spans="1:8" x14ac:dyDescent="0.25">
      <c r="A5664" t="str">
        <f>"&lt;min&gt;" &amp;$G$5660&amp;"&lt;/min&gt;"</f>
        <v>&lt;min&gt;0&lt;/min&gt;</v>
      </c>
      <c r="B5664" t="s">
        <v>668</v>
      </c>
    </row>
    <row r="5665" spans="1:8" x14ac:dyDescent="0.25">
      <c r="A5665" t="s">
        <v>16</v>
      </c>
      <c r="B5665" t="s">
        <v>668</v>
      </c>
    </row>
    <row r="5666" spans="1:8" x14ac:dyDescent="0.25">
      <c r="A5666" t="s">
        <v>17</v>
      </c>
      <c r="B5666" t="s">
        <v>668</v>
      </c>
    </row>
    <row r="5667" spans="1:8" x14ac:dyDescent="0.25">
      <c r="A5667" t="s">
        <v>18</v>
      </c>
      <c r="B5667" t="s">
        <v>668</v>
      </c>
    </row>
    <row r="5668" spans="1:8" x14ac:dyDescent="0.25">
      <c r="A5668" t="str">
        <f xml:space="preserve"> $H$5660</f>
        <v>&lt;flags count_in_cargo="0" count_in_hoarder="0" count_in_map="1" count_in_player="0" crafted="1" deloot="0"/&gt;</v>
      </c>
      <c r="B5668" t="s">
        <v>668</v>
      </c>
    </row>
    <row r="5669" spans="1:8" x14ac:dyDescent="0.25">
      <c r="A5669" t="str">
        <f>"&lt;category name=" &amp;"""" &amp;$C$5660&amp;"""/&gt;"</f>
        <v>&lt;category name="containers"/&gt;</v>
      </c>
      <c r="B5669" t="s">
        <v>668</v>
      </c>
    </row>
    <row r="5670" spans="1:8" x14ac:dyDescent="0.25">
      <c r="A5670" t="s">
        <v>22</v>
      </c>
      <c r="B5670" t="s">
        <v>668</v>
      </c>
    </row>
    <row r="5671" spans="1:8" x14ac:dyDescent="0.25">
      <c r="A5671" t="s">
        <v>1838</v>
      </c>
      <c r="B5671" t="s">
        <v>669</v>
      </c>
      <c r="C5671" t="s">
        <v>399</v>
      </c>
      <c r="D5671">
        <v>0</v>
      </c>
      <c r="E5671">
        <v>7200</v>
      </c>
      <c r="F5671">
        <v>0</v>
      </c>
      <c r="G5671">
        <v>0</v>
      </c>
      <c r="H5671" t="s">
        <v>62</v>
      </c>
    </row>
    <row r="5672" spans="1:8" x14ac:dyDescent="0.25">
      <c r="A5672" t="str">
        <f>"&lt;nominal&gt;" &amp;$D$5671&amp;"&lt;/nominal&gt;"</f>
        <v>&lt;nominal&gt;0&lt;/nominal&gt;</v>
      </c>
      <c r="B5672" t="s">
        <v>669</v>
      </c>
    </row>
    <row r="5673" spans="1:8" x14ac:dyDescent="0.25">
      <c r="A5673" t="str">
        <f>"&lt;lifetime&gt;" &amp;$E$5671&amp;"&lt;/lifetime&gt;"</f>
        <v>&lt;lifetime&gt;7200&lt;/lifetime&gt;</v>
      </c>
      <c r="B5673" t="s">
        <v>669</v>
      </c>
    </row>
    <row r="5674" spans="1:8" x14ac:dyDescent="0.25">
      <c r="A5674" t="str">
        <f>"&lt;restock&gt;" &amp;$F$5671&amp;"&lt;/restock&gt;"</f>
        <v>&lt;restock&gt;0&lt;/restock&gt;</v>
      </c>
      <c r="B5674" t="s">
        <v>669</v>
      </c>
    </row>
    <row r="5675" spans="1:8" x14ac:dyDescent="0.25">
      <c r="A5675" t="str">
        <f>"&lt;min&gt;" &amp;$G$5671&amp;"&lt;/min&gt;"</f>
        <v>&lt;min&gt;0&lt;/min&gt;</v>
      </c>
      <c r="B5675" t="s">
        <v>669</v>
      </c>
    </row>
    <row r="5676" spans="1:8" x14ac:dyDescent="0.25">
      <c r="A5676" t="s">
        <v>16</v>
      </c>
      <c r="B5676" t="s">
        <v>669</v>
      </c>
    </row>
    <row r="5677" spans="1:8" x14ac:dyDescent="0.25">
      <c r="A5677" t="s">
        <v>17</v>
      </c>
      <c r="B5677" t="s">
        <v>669</v>
      </c>
    </row>
    <row r="5678" spans="1:8" x14ac:dyDescent="0.25">
      <c r="A5678" t="s">
        <v>18</v>
      </c>
      <c r="B5678" t="s">
        <v>669</v>
      </c>
    </row>
    <row r="5679" spans="1:8" x14ac:dyDescent="0.25">
      <c r="A5679" t="str">
        <f xml:space="preserve"> $H$5671</f>
        <v>&lt;flags count_in_cargo="0" count_in_hoarder="0" count_in_map="1" count_in_player="0" crafted="1" deloot="0"/&gt;</v>
      </c>
      <c r="B5679" t="s">
        <v>669</v>
      </c>
    </row>
    <row r="5680" spans="1:8" x14ac:dyDescent="0.25">
      <c r="A5680" t="str">
        <f>"&lt;category name=" &amp;"""" &amp;$C$5671&amp;"""/&gt;"</f>
        <v>&lt;category name="food"/&gt;</v>
      </c>
      <c r="B5680" t="s">
        <v>669</v>
      </c>
    </row>
    <row r="5681" spans="1:8" x14ac:dyDescent="0.25">
      <c r="A5681" t="s">
        <v>22</v>
      </c>
      <c r="B5681" t="s">
        <v>669</v>
      </c>
    </row>
    <row r="5682" spans="1:8" x14ac:dyDescent="0.25">
      <c r="A5682" t="s">
        <v>1839</v>
      </c>
      <c r="B5682" t="s">
        <v>670</v>
      </c>
      <c r="C5682" t="s">
        <v>403</v>
      </c>
      <c r="D5682">
        <v>5</v>
      </c>
      <c r="E5682">
        <v>5600</v>
      </c>
      <c r="F5682">
        <v>600</v>
      </c>
      <c r="G5682">
        <v>2</v>
      </c>
      <c r="H5682" t="s">
        <v>19</v>
      </c>
    </row>
    <row r="5683" spans="1:8" x14ac:dyDescent="0.25">
      <c r="A5683" t="str">
        <f>"&lt;nominal&gt;" &amp;$D$5682&amp;"&lt;/nominal&gt;"</f>
        <v>&lt;nominal&gt;5&lt;/nominal&gt;</v>
      </c>
      <c r="B5683" t="s">
        <v>670</v>
      </c>
    </row>
    <row r="5684" spans="1:8" x14ac:dyDescent="0.25">
      <c r="A5684" t="str">
        <f>"&lt;lifetime&gt;" &amp;$E$5682&amp;"&lt;/lifetime&gt;"</f>
        <v>&lt;lifetime&gt;5600&lt;/lifetime&gt;</v>
      </c>
      <c r="B5684" t="s">
        <v>670</v>
      </c>
    </row>
    <row r="5685" spans="1:8" x14ac:dyDescent="0.25">
      <c r="A5685" t="str">
        <f>"&lt;restock&gt;" &amp;$F$5682&amp;"&lt;/restock&gt;"</f>
        <v>&lt;restock&gt;600&lt;/restock&gt;</v>
      </c>
      <c r="B5685" t="s">
        <v>670</v>
      </c>
    </row>
    <row r="5686" spans="1:8" x14ac:dyDescent="0.25">
      <c r="A5686" t="str">
        <f>"&lt;min&gt;" &amp;$G$5682&amp;"&lt;/min&gt;"</f>
        <v>&lt;min&gt;2&lt;/min&gt;</v>
      </c>
      <c r="B5686" t="s">
        <v>670</v>
      </c>
    </row>
    <row r="5687" spans="1:8" x14ac:dyDescent="0.25">
      <c r="A5687" t="s">
        <v>16</v>
      </c>
      <c r="B5687" t="s">
        <v>670</v>
      </c>
    </row>
    <row r="5688" spans="1:8" x14ac:dyDescent="0.25">
      <c r="A5688" t="s">
        <v>17</v>
      </c>
      <c r="B5688" t="s">
        <v>670</v>
      </c>
    </row>
    <row r="5689" spans="1:8" x14ac:dyDescent="0.25">
      <c r="A5689" t="s">
        <v>18</v>
      </c>
      <c r="B5689" t="s">
        <v>670</v>
      </c>
    </row>
    <row r="5690" spans="1:8" x14ac:dyDescent="0.25">
      <c r="A5690" t="str">
        <f xml:space="preserve"> $H$5682</f>
        <v>&lt;flags count_in_cargo="0" count_in_hoarder="0" count_in_map="1" count_in_player="0" crafted="0" deloot="0"/&gt;</v>
      </c>
      <c r="B5690" t="s">
        <v>670</v>
      </c>
    </row>
    <row r="5691" spans="1:8" x14ac:dyDescent="0.25">
      <c r="A5691" t="str">
        <f>"&lt;category name=" &amp;"""" &amp;$C$5682&amp;"""/&gt;"</f>
        <v>&lt;category name="clothes"/&gt;</v>
      </c>
      <c r="B5691" t="s">
        <v>670</v>
      </c>
    </row>
    <row r="5692" spans="1:8" x14ac:dyDescent="0.25">
      <c r="A5692" t="s">
        <v>29</v>
      </c>
      <c r="B5692" t="s">
        <v>670</v>
      </c>
    </row>
    <row r="5693" spans="1:8" x14ac:dyDescent="0.25">
      <c r="A5693" t="s">
        <v>22</v>
      </c>
      <c r="B5693" t="s">
        <v>670</v>
      </c>
    </row>
    <row r="5694" spans="1:8" x14ac:dyDescent="0.25">
      <c r="A5694" t="s">
        <v>1840</v>
      </c>
      <c r="B5694" t="s">
        <v>671</v>
      </c>
      <c r="C5694" t="s">
        <v>403</v>
      </c>
      <c r="D5694">
        <v>5</v>
      </c>
      <c r="E5694">
        <v>5600</v>
      </c>
      <c r="F5694">
        <v>600</v>
      </c>
      <c r="G5694">
        <v>2</v>
      </c>
      <c r="H5694" t="s">
        <v>19</v>
      </c>
    </row>
    <row r="5695" spans="1:8" x14ac:dyDescent="0.25">
      <c r="A5695" t="str">
        <f>"&lt;nominal&gt;" &amp;$D$5694&amp;"&lt;/nominal&gt;"</f>
        <v>&lt;nominal&gt;5&lt;/nominal&gt;</v>
      </c>
      <c r="B5695" t="s">
        <v>671</v>
      </c>
    </row>
    <row r="5696" spans="1:8" x14ac:dyDescent="0.25">
      <c r="A5696" t="str">
        <f>"&lt;lifetime&gt;" &amp;$E$5694&amp;"&lt;/lifetime&gt;"</f>
        <v>&lt;lifetime&gt;5600&lt;/lifetime&gt;</v>
      </c>
      <c r="B5696" t="s">
        <v>671</v>
      </c>
    </row>
    <row r="5697" spans="1:8" x14ac:dyDescent="0.25">
      <c r="A5697" t="str">
        <f>"&lt;restock&gt;" &amp;$F$5694&amp;"&lt;/restock&gt;"</f>
        <v>&lt;restock&gt;600&lt;/restock&gt;</v>
      </c>
      <c r="B5697" t="s">
        <v>671</v>
      </c>
    </row>
    <row r="5698" spans="1:8" x14ac:dyDescent="0.25">
      <c r="A5698" t="str">
        <f>"&lt;min&gt;" &amp;$G$5694&amp;"&lt;/min&gt;"</f>
        <v>&lt;min&gt;2&lt;/min&gt;</v>
      </c>
      <c r="B5698" t="s">
        <v>671</v>
      </c>
    </row>
    <row r="5699" spans="1:8" x14ac:dyDescent="0.25">
      <c r="A5699" t="s">
        <v>16</v>
      </c>
      <c r="B5699" t="s">
        <v>671</v>
      </c>
    </row>
    <row r="5700" spans="1:8" x14ac:dyDescent="0.25">
      <c r="A5700" t="s">
        <v>17</v>
      </c>
      <c r="B5700" t="s">
        <v>671</v>
      </c>
    </row>
    <row r="5701" spans="1:8" x14ac:dyDescent="0.25">
      <c r="A5701" t="s">
        <v>18</v>
      </c>
      <c r="B5701" t="s">
        <v>671</v>
      </c>
    </row>
    <row r="5702" spans="1:8" x14ac:dyDescent="0.25">
      <c r="A5702" t="str">
        <f xml:space="preserve"> $H$5694</f>
        <v>&lt;flags count_in_cargo="0" count_in_hoarder="0" count_in_map="1" count_in_player="0" crafted="0" deloot="0"/&gt;</v>
      </c>
      <c r="B5702" t="s">
        <v>671</v>
      </c>
    </row>
    <row r="5703" spans="1:8" x14ac:dyDescent="0.25">
      <c r="A5703" t="str">
        <f>"&lt;category name=" &amp;"""" &amp;$C$5694&amp;"""/&gt;"</f>
        <v>&lt;category name="clothes"/&gt;</v>
      </c>
      <c r="B5703" t="s">
        <v>671</v>
      </c>
    </row>
    <row r="5704" spans="1:8" x14ac:dyDescent="0.25">
      <c r="A5704" t="s">
        <v>29</v>
      </c>
      <c r="B5704" t="s">
        <v>671</v>
      </c>
    </row>
    <row r="5705" spans="1:8" x14ac:dyDescent="0.25">
      <c r="A5705" t="s">
        <v>22</v>
      </c>
      <c r="B5705" t="s">
        <v>671</v>
      </c>
    </row>
    <row r="5706" spans="1:8" x14ac:dyDescent="0.25">
      <c r="A5706" t="s">
        <v>1841</v>
      </c>
      <c r="B5706" t="s">
        <v>672</v>
      </c>
      <c r="C5706" t="s">
        <v>403</v>
      </c>
      <c r="D5706">
        <v>5</v>
      </c>
      <c r="E5706">
        <v>5600</v>
      </c>
      <c r="F5706">
        <v>600</v>
      </c>
      <c r="G5706">
        <v>2</v>
      </c>
      <c r="H5706" t="s">
        <v>19</v>
      </c>
    </row>
    <row r="5707" spans="1:8" x14ac:dyDescent="0.25">
      <c r="A5707" t="str">
        <f>"&lt;nominal&gt;" &amp;$D$5706&amp;"&lt;/nominal&gt;"</f>
        <v>&lt;nominal&gt;5&lt;/nominal&gt;</v>
      </c>
      <c r="B5707" t="s">
        <v>672</v>
      </c>
    </row>
    <row r="5708" spans="1:8" x14ac:dyDescent="0.25">
      <c r="A5708" t="str">
        <f>"&lt;lifetime&gt;" &amp;$E$5706&amp;"&lt;/lifetime&gt;"</f>
        <v>&lt;lifetime&gt;5600&lt;/lifetime&gt;</v>
      </c>
      <c r="B5708" t="s">
        <v>672</v>
      </c>
    </row>
    <row r="5709" spans="1:8" x14ac:dyDescent="0.25">
      <c r="A5709" t="str">
        <f>"&lt;restock&gt;" &amp;$F$5706&amp;"&lt;/restock&gt;"</f>
        <v>&lt;restock&gt;600&lt;/restock&gt;</v>
      </c>
      <c r="B5709" t="s">
        <v>672</v>
      </c>
    </row>
    <row r="5710" spans="1:8" x14ac:dyDescent="0.25">
      <c r="A5710" t="str">
        <f>"&lt;min&gt;" &amp;$G$5706&amp;"&lt;/min&gt;"</f>
        <v>&lt;min&gt;2&lt;/min&gt;</v>
      </c>
      <c r="B5710" t="s">
        <v>672</v>
      </c>
    </row>
    <row r="5711" spans="1:8" x14ac:dyDescent="0.25">
      <c r="A5711" t="s">
        <v>16</v>
      </c>
      <c r="B5711" t="s">
        <v>672</v>
      </c>
    </row>
    <row r="5712" spans="1:8" x14ac:dyDescent="0.25">
      <c r="A5712" t="s">
        <v>17</v>
      </c>
      <c r="B5712" t="s">
        <v>672</v>
      </c>
    </row>
    <row r="5713" spans="1:8" x14ac:dyDescent="0.25">
      <c r="A5713" t="s">
        <v>18</v>
      </c>
      <c r="B5713" t="s">
        <v>672</v>
      </c>
    </row>
    <row r="5714" spans="1:8" x14ac:dyDescent="0.25">
      <c r="A5714" t="str">
        <f xml:space="preserve"> $H$5706</f>
        <v>&lt;flags count_in_cargo="0" count_in_hoarder="0" count_in_map="1" count_in_player="0" crafted="0" deloot="0"/&gt;</v>
      </c>
      <c r="B5714" t="s">
        <v>672</v>
      </c>
    </row>
    <row r="5715" spans="1:8" x14ac:dyDescent="0.25">
      <c r="A5715" t="str">
        <f>"&lt;category name=" &amp;"""" &amp;$C$5706&amp;"""/&gt;"</f>
        <v>&lt;category name="clothes"/&gt;</v>
      </c>
      <c r="B5715" t="s">
        <v>672</v>
      </c>
    </row>
    <row r="5716" spans="1:8" x14ac:dyDescent="0.25">
      <c r="A5716" t="s">
        <v>29</v>
      </c>
      <c r="B5716" t="s">
        <v>672</v>
      </c>
    </row>
    <row r="5717" spans="1:8" x14ac:dyDescent="0.25">
      <c r="A5717" t="s">
        <v>22</v>
      </c>
      <c r="B5717" t="s">
        <v>672</v>
      </c>
    </row>
    <row r="5718" spans="1:8" x14ac:dyDescent="0.25">
      <c r="A5718" t="s">
        <v>1842</v>
      </c>
      <c r="B5718" t="s">
        <v>673</v>
      </c>
      <c r="C5718" t="s">
        <v>403</v>
      </c>
      <c r="D5718">
        <v>8</v>
      </c>
      <c r="E5718">
        <v>5600</v>
      </c>
      <c r="F5718">
        <v>600</v>
      </c>
      <c r="G5718">
        <v>3</v>
      </c>
      <c r="H5718" t="s">
        <v>19</v>
      </c>
    </row>
    <row r="5719" spans="1:8" x14ac:dyDescent="0.25">
      <c r="A5719" t="str">
        <f>"&lt;nominal&gt;" &amp;$D$5718&amp;"&lt;/nominal&gt;"</f>
        <v>&lt;nominal&gt;8&lt;/nominal&gt;</v>
      </c>
      <c r="B5719" t="s">
        <v>673</v>
      </c>
    </row>
    <row r="5720" spans="1:8" x14ac:dyDescent="0.25">
      <c r="A5720" t="str">
        <f>"&lt;lifetime&gt;" &amp;$E$5718&amp;"&lt;/lifetime&gt;"</f>
        <v>&lt;lifetime&gt;5600&lt;/lifetime&gt;</v>
      </c>
      <c r="B5720" t="s">
        <v>673</v>
      </c>
    </row>
    <row r="5721" spans="1:8" x14ac:dyDescent="0.25">
      <c r="A5721" t="str">
        <f>"&lt;restock&gt;" &amp;$F$5718&amp;"&lt;/restock&gt;"</f>
        <v>&lt;restock&gt;600&lt;/restock&gt;</v>
      </c>
      <c r="B5721" t="s">
        <v>673</v>
      </c>
    </row>
    <row r="5722" spans="1:8" x14ac:dyDescent="0.25">
      <c r="A5722" t="str">
        <f>"&lt;min&gt;" &amp;$G$5718&amp;"&lt;/min&gt;"</f>
        <v>&lt;min&gt;3&lt;/min&gt;</v>
      </c>
      <c r="B5722" t="s">
        <v>673</v>
      </c>
    </row>
    <row r="5723" spans="1:8" x14ac:dyDescent="0.25">
      <c r="A5723" t="s">
        <v>16</v>
      </c>
      <c r="B5723" t="s">
        <v>673</v>
      </c>
    </row>
    <row r="5724" spans="1:8" x14ac:dyDescent="0.25">
      <c r="A5724" t="s">
        <v>17</v>
      </c>
      <c r="B5724" t="s">
        <v>673</v>
      </c>
    </row>
    <row r="5725" spans="1:8" x14ac:dyDescent="0.25">
      <c r="A5725" t="s">
        <v>18</v>
      </c>
      <c r="B5725" t="s">
        <v>673</v>
      </c>
    </row>
    <row r="5726" spans="1:8" x14ac:dyDescent="0.25">
      <c r="A5726" t="str">
        <f xml:space="preserve"> $H$5718</f>
        <v>&lt;flags count_in_cargo="0" count_in_hoarder="0" count_in_map="1" count_in_player="0" crafted="0" deloot="0"/&gt;</v>
      </c>
      <c r="B5726" t="s">
        <v>673</v>
      </c>
    </row>
    <row r="5727" spans="1:8" x14ac:dyDescent="0.25">
      <c r="A5727" t="str">
        <f>"&lt;category name=" &amp;"""" &amp;$C$5718&amp;"""/&gt;"</f>
        <v>&lt;category name="clothes"/&gt;</v>
      </c>
      <c r="B5727" t="s">
        <v>673</v>
      </c>
    </row>
    <row r="5728" spans="1:8" x14ac:dyDescent="0.25">
      <c r="A5728" t="s">
        <v>29</v>
      </c>
      <c r="B5728" t="s">
        <v>673</v>
      </c>
    </row>
    <row r="5729" spans="1:8" x14ac:dyDescent="0.25">
      <c r="A5729" t="s">
        <v>22</v>
      </c>
      <c r="B5729" t="s">
        <v>673</v>
      </c>
    </row>
    <row r="5730" spans="1:8" x14ac:dyDescent="0.25">
      <c r="A5730" t="s">
        <v>1843</v>
      </c>
      <c r="B5730" t="s">
        <v>674</v>
      </c>
      <c r="C5730" t="s">
        <v>403</v>
      </c>
      <c r="D5730">
        <v>8</v>
      </c>
      <c r="E5730">
        <v>5600</v>
      </c>
      <c r="F5730">
        <v>600</v>
      </c>
      <c r="G5730">
        <v>3</v>
      </c>
      <c r="H5730" t="s">
        <v>19</v>
      </c>
    </row>
    <row r="5731" spans="1:8" x14ac:dyDescent="0.25">
      <c r="A5731" t="str">
        <f>"&lt;nominal&gt;" &amp;$D$5730&amp;"&lt;/nominal&gt;"</f>
        <v>&lt;nominal&gt;8&lt;/nominal&gt;</v>
      </c>
      <c r="B5731" t="s">
        <v>674</v>
      </c>
    </row>
    <row r="5732" spans="1:8" x14ac:dyDescent="0.25">
      <c r="A5732" t="str">
        <f>"&lt;lifetime&gt;" &amp;$E$5730&amp;"&lt;/lifetime&gt;"</f>
        <v>&lt;lifetime&gt;5600&lt;/lifetime&gt;</v>
      </c>
      <c r="B5732" t="s">
        <v>674</v>
      </c>
    </row>
    <row r="5733" spans="1:8" x14ac:dyDescent="0.25">
      <c r="A5733" t="str">
        <f>"&lt;restock&gt;" &amp;$F$5730&amp;"&lt;/restock&gt;"</f>
        <v>&lt;restock&gt;600&lt;/restock&gt;</v>
      </c>
      <c r="B5733" t="s">
        <v>674</v>
      </c>
    </row>
    <row r="5734" spans="1:8" x14ac:dyDescent="0.25">
      <c r="A5734" t="str">
        <f>"&lt;min&gt;" &amp;$G$5730&amp;"&lt;/min&gt;"</f>
        <v>&lt;min&gt;3&lt;/min&gt;</v>
      </c>
      <c r="B5734" t="s">
        <v>674</v>
      </c>
    </row>
    <row r="5735" spans="1:8" x14ac:dyDescent="0.25">
      <c r="A5735" t="s">
        <v>16</v>
      </c>
      <c r="B5735" t="s">
        <v>674</v>
      </c>
    </row>
    <row r="5736" spans="1:8" x14ac:dyDescent="0.25">
      <c r="A5736" t="s">
        <v>17</v>
      </c>
      <c r="B5736" t="s">
        <v>674</v>
      </c>
    </row>
    <row r="5737" spans="1:8" x14ac:dyDescent="0.25">
      <c r="A5737" t="s">
        <v>18</v>
      </c>
      <c r="B5737" t="s">
        <v>674</v>
      </c>
    </row>
    <row r="5738" spans="1:8" x14ac:dyDescent="0.25">
      <c r="A5738" t="str">
        <f xml:space="preserve"> $H$5730</f>
        <v>&lt;flags count_in_cargo="0" count_in_hoarder="0" count_in_map="1" count_in_player="0" crafted="0" deloot="0"/&gt;</v>
      </c>
      <c r="B5738" t="s">
        <v>674</v>
      </c>
    </row>
    <row r="5739" spans="1:8" x14ac:dyDescent="0.25">
      <c r="A5739" t="str">
        <f>"&lt;category name=" &amp;"""" &amp;$C$5730&amp;"""/&gt;"</f>
        <v>&lt;category name="clothes"/&gt;</v>
      </c>
      <c r="B5739" t="s">
        <v>674</v>
      </c>
    </row>
    <row r="5740" spans="1:8" x14ac:dyDescent="0.25">
      <c r="A5740" t="s">
        <v>20</v>
      </c>
      <c r="B5740" t="s">
        <v>674</v>
      </c>
    </row>
    <row r="5741" spans="1:8" x14ac:dyDescent="0.25">
      <c r="A5741" t="s">
        <v>29</v>
      </c>
      <c r="B5741" t="s">
        <v>674</v>
      </c>
    </row>
    <row r="5742" spans="1:8" x14ac:dyDescent="0.25">
      <c r="A5742" t="s">
        <v>30</v>
      </c>
      <c r="B5742" t="s">
        <v>674</v>
      </c>
    </row>
    <row r="5743" spans="1:8" x14ac:dyDescent="0.25">
      <c r="A5743" t="s">
        <v>31</v>
      </c>
      <c r="B5743" t="s">
        <v>674</v>
      </c>
    </row>
    <row r="5744" spans="1:8" x14ac:dyDescent="0.25">
      <c r="A5744" t="s">
        <v>307</v>
      </c>
      <c r="B5744" t="s">
        <v>674</v>
      </c>
    </row>
    <row r="5745" spans="1:8" x14ac:dyDescent="0.25">
      <c r="A5745" t="s">
        <v>22</v>
      </c>
      <c r="B5745" t="s">
        <v>674</v>
      </c>
    </row>
    <row r="5746" spans="1:8" x14ac:dyDescent="0.25">
      <c r="A5746" t="s">
        <v>1844</v>
      </c>
      <c r="B5746" t="s">
        <v>675</v>
      </c>
      <c r="C5746" t="s">
        <v>403</v>
      </c>
      <c r="D5746">
        <v>8</v>
      </c>
      <c r="E5746">
        <v>5600</v>
      </c>
      <c r="F5746">
        <v>600</v>
      </c>
      <c r="G5746">
        <v>3</v>
      </c>
      <c r="H5746" t="s">
        <v>19</v>
      </c>
    </row>
    <row r="5747" spans="1:8" x14ac:dyDescent="0.25">
      <c r="A5747" t="str">
        <f>"&lt;nominal&gt;" &amp;$D$5746&amp;"&lt;/nominal&gt;"</f>
        <v>&lt;nominal&gt;8&lt;/nominal&gt;</v>
      </c>
      <c r="B5747" t="s">
        <v>675</v>
      </c>
    </row>
    <row r="5748" spans="1:8" x14ac:dyDescent="0.25">
      <c r="A5748" t="str">
        <f>"&lt;lifetime&gt;" &amp;$E$5746&amp;"&lt;/lifetime&gt;"</f>
        <v>&lt;lifetime&gt;5600&lt;/lifetime&gt;</v>
      </c>
      <c r="B5748" t="s">
        <v>675</v>
      </c>
    </row>
    <row r="5749" spans="1:8" x14ac:dyDescent="0.25">
      <c r="A5749" t="str">
        <f>"&lt;restock&gt;" &amp;$F$5746&amp;"&lt;/restock&gt;"</f>
        <v>&lt;restock&gt;600&lt;/restock&gt;</v>
      </c>
      <c r="B5749" t="s">
        <v>675</v>
      </c>
    </row>
    <row r="5750" spans="1:8" x14ac:dyDescent="0.25">
      <c r="A5750" t="str">
        <f>"&lt;min&gt;" &amp;$G$5746&amp;"&lt;/min&gt;"</f>
        <v>&lt;min&gt;3&lt;/min&gt;</v>
      </c>
      <c r="B5750" t="s">
        <v>675</v>
      </c>
    </row>
    <row r="5751" spans="1:8" x14ac:dyDescent="0.25">
      <c r="A5751" t="s">
        <v>16</v>
      </c>
      <c r="B5751" t="s">
        <v>675</v>
      </c>
    </row>
    <row r="5752" spans="1:8" x14ac:dyDescent="0.25">
      <c r="A5752" t="s">
        <v>17</v>
      </c>
      <c r="B5752" t="s">
        <v>675</v>
      </c>
    </row>
    <row r="5753" spans="1:8" x14ac:dyDescent="0.25">
      <c r="A5753" t="s">
        <v>18</v>
      </c>
      <c r="B5753" t="s">
        <v>675</v>
      </c>
    </row>
    <row r="5754" spans="1:8" x14ac:dyDescent="0.25">
      <c r="A5754" t="str">
        <f xml:space="preserve"> $H$5746</f>
        <v>&lt;flags count_in_cargo="0" count_in_hoarder="0" count_in_map="1" count_in_player="0" crafted="0" deloot="0"/&gt;</v>
      </c>
      <c r="B5754" t="s">
        <v>675</v>
      </c>
    </row>
    <row r="5755" spans="1:8" x14ac:dyDescent="0.25">
      <c r="A5755" t="str">
        <f>"&lt;category name=" &amp;"""" &amp;$C$5746&amp;"""/&gt;"</f>
        <v>&lt;category name="clothes"/&gt;</v>
      </c>
      <c r="B5755" t="s">
        <v>675</v>
      </c>
    </row>
    <row r="5756" spans="1:8" x14ac:dyDescent="0.25">
      <c r="A5756" t="s">
        <v>20</v>
      </c>
      <c r="B5756" t="s">
        <v>675</v>
      </c>
    </row>
    <row r="5757" spans="1:8" x14ac:dyDescent="0.25">
      <c r="A5757" t="s">
        <v>29</v>
      </c>
      <c r="B5757" t="s">
        <v>675</v>
      </c>
    </row>
    <row r="5758" spans="1:8" x14ac:dyDescent="0.25">
      <c r="A5758" t="s">
        <v>30</v>
      </c>
      <c r="B5758" t="s">
        <v>675</v>
      </c>
    </row>
    <row r="5759" spans="1:8" x14ac:dyDescent="0.25">
      <c r="A5759" t="s">
        <v>31</v>
      </c>
      <c r="B5759" t="s">
        <v>675</v>
      </c>
    </row>
    <row r="5760" spans="1:8" x14ac:dyDescent="0.25">
      <c r="A5760" t="s">
        <v>307</v>
      </c>
      <c r="B5760" t="s">
        <v>675</v>
      </c>
    </row>
    <row r="5761" spans="1:8" x14ac:dyDescent="0.25">
      <c r="A5761" t="s">
        <v>22</v>
      </c>
      <c r="B5761" t="s">
        <v>675</v>
      </c>
    </row>
    <row r="5762" spans="1:8" x14ac:dyDescent="0.25">
      <c r="A5762" t="s">
        <v>1845</v>
      </c>
      <c r="B5762" t="s">
        <v>676</v>
      </c>
      <c r="C5762" t="s">
        <v>403</v>
      </c>
      <c r="D5762">
        <v>5</v>
      </c>
      <c r="E5762">
        <v>5600</v>
      </c>
      <c r="F5762">
        <v>600</v>
      </c>
      <c r="G5762">
        <v>2</v>
      </c>
      <c r="H5762" t="s">
        <v>19</v>
      </c>
    </row>
    <row r="5763" spans="1:8" x14ac:dyDescent="0.25">
      <c r="A5763" t="str">
        <f>"&lt;nominal&gt;" &amp;$D$5762&amp;"&lt;/nominal&gt;"</f>
        <v>&lt;nominal&gt;5&lt;/nominal&gt;</v>
      </c>
      <c r="B5763" t="s">
        <v>676</v>
      </c>
    </row>
    <row r="5764" spans="1:8" x14ac:dyDescent="0.25">
      <c r="A5764" t="str">
        <f>"&lt;lifetime&gt;" &amp;$E$5762&amp;"&lt;/lifetime&gt;"</f>
        <v>&lt;lifetime&gt;5600&lt;/lifetime&gt;</v>
      </c>
      <c r="B5764" t="s">
        <v>676</v>
      </c>
    </row>
    <row r="5765" spans="1:8" x14ac:dyDescent="0.25">
      <c r="A5765" t="str">
        <f>"&lt;restock&gt;" &amp;$F$5762&amp;"&lt;/restock&gt;"</f>
        <v>&lt;restock&gt;600&lt;/restock&gt;</v>
      </c>
      <c r="B5765" t="s">
        <v>676</v>
      </c>
    </row>
    <row r="5766" spans="1:8" x14ac:dyDescent="0.25">
      <c r="A5766" t="str">
        <f>"&lt;min&gt;" &amp;$G$5762&amp;"&lt;/min&gt;"</f>
        <v>&lt;min&gt;2&lt;/min&gt;</v>
      </c>
      <c r="B5766" t="s">
        <v>676</v>
      </c>
    </row>
    <row r="5767" spans="1:8" x14ac:dyDescent="0.25">
      <c r="A5767" t="s">
        <v>16</v>
      </c>
      <c r="B5767" t="s">
        <v>676</v>
      </c>
    </row>
    <row r="5768" spans="1:8" x14ac:dyDescent="0.25">
      <c r="A5768" t="s">
        <v>17</v>
      </c>
      <c r="B5768" t="s">
        <v>676</v>
      </c>
    </row>
    <row r="5769" spans="1:8" x14ac:dyDescent="0.25">
      <c r="A5769" t="s">
        <v>18</v>
      </c>
      <c r="B5769" t="s">
        <v>676</v>
      </c>
    </row>
    <row r="5770" spans="1:8" x14ac:dyDescent="0.25">
      <c r="A5770" t="str">
        <f xml:space="preserve"> $H$5762</f>
        <v>&lt;flags count_in_cargo="0" count_in_hoarder="0" count_in_map="1" count_in_player="0" crafted="0" deloot="0"/&gt;</v>
      </c>
      <c r="B5770" t="s">
        <v>676</v>
      </c>
    </row>
    <row r="5771" spans="1:8" x14ac:dyDescent="0.25">
      <c r="A5771" t="str">
        <f>"&lt;category name=" &amp;"""" &amp;$C$5762&amp;"""/&gt;"</f>
        <v>&lt;category name="clothes"/&gt;</v>
      </c>
      <c r="B5771" t="s">
        <v>676</v>
      </c>
    </row>
    <row r="5772" spans="1:8" x14ac:dyDescent="0.25">
      <c r="A5772" t="s">
        <v>29</v>
      </c>
      <c r="B5772" t="s">
        <v>676</v>
      </c>
    </row>
    <row r="5773" spans="1:8" x14ac:dyDescent="0.25">
      <c r="A5773" t="s">
        <v>22</v>
      </c>
      <c r="B5773" t="s">
        <v>676</v>
      </c>
    </row>
    <row r="5774" spans="1:8" x14ac:dyDescent="0.25">
      <c r="A5774" t="s">
        <v>1846</v>
      </c>
      <c r="B5774" t="s">
        <v>677</v>
      </c>
      <c r="C5774" t="s">
        <v>403</v>
      </c>
      <c r="D5774">
        <v>5</v>
      </c>
      <c r="E5774">
        <v>5600</v>
      </c>
      <c r="F5774">
        <v>600</v>
      </c>
      <c r="G5774">
        <v>2</v>
      </c>
      <c r="H5774" t="s">
        <v>19</v>
      </c>
    </row>
    <row r="5775" spans="1:8" x14ac:dyDescent="0.25">
      <c r="A5775" t="str">
        <f>"&lt;nominal&gt;" &amp;$D$5774&amp;"&lt;/nominal&gt;"</f>
        <v>&lt;nominal&gt;5&lt;/nominal&gt;</v>
      </c>
      <c r="B5775" t="s">
        <v>677</v>
      </c>
    </row>
    <row r="5776" spans="1:8" x14ac:dyDescent="0.25">
      <c r="A5776" t="str">
        <f>"&lt;lifetime&gt;" &amp;$E$5774&amp;"&lt;/lifetime&gt;"</f>
        <v>&lt;lifetime&gt;5600&lt;/lifetime&gt;</v>
      </c>
      <c r="B5776" t="s">
        <v>677</v>
      </c>
    </row>
    <row r="5777" spans="1:8" x14ac:dyDescent="0.25">
      <c r="A5777" t="str">
        <f>"&lt;restock&gt;" &amp;$F$5774&amp;"&lt;/restock&gt;"</f>
        <v>&lt;restock&gt;600&lt;/restock&gt;</v>
      </c>
      <c r="B5777" t="s">
        <v>677</v>
      </c>
    </row>
    <row r="5778" spans="1:8" x14ac:dyDescent="0.25">
      <c r="A5778" t="str">
        <f>"&lt;min&gt;" &amp;$G$5774&amp;"&lt;/min&gt;"</f>
        <v>&lt;min&gt;2&lt;/min&gt;</v>
      </c>
      <c r="B5778" t="s">
        <v>677</v>
      </c>
    </row>
    <row r="5779" spans="1:8" x14ac:dyDescent="0.25">
      <c r="A5779" t="s">
        <v>16</v>
      </c>
      <c r="B5779" t="s">
        <v>677</v>
      </c>
    </row>
    <row r="5780" spans="1:8" x14ac:dyDescent="0.25">
      <c r="A5780" t="s">
        <v>17</v>
      </c>
      <c r="B5780" t="s">
        <v>677</v>
      </c>
    </row>
    <row r="5781" spans="1:8" x14ac:dyDescent="0.25">
      <c r="A5781" t="s">
        <v>18</v>
      </c>
      <c r="B5781" t="s">
        <v>677</v>
      </c>
    </row>
    <row r="5782" spans="1:8" x14ac:dyDescent="0.25">
      <c r="A5782" t="str">
        <f xml:space="preserve"> $H$5774</f>
        <v>&lt;flags count_in_cargo="0" count_in_hoarder="0" count_in_map="1" count_in_player="0" crafted="0" deloot="0"/&gt;</v>
      </c>
      <c r="B5782" t="s">
        <v>677</v>
      </c>
    </row>
    <row r="5783" spans="1:8" x14ac:dyDescent="0.25">
      <c r="A5783" t="str">
        <f>"&lt;category name=" &amp;"""" &amp;$C$5774&amp;"""/&gt;"</f>
        <v>&lt;category name="clothes"/&gt;</v>
      </c>
      <c r="B5783" t="s">
        <v>677</v>
      </c>
    </row>
    <row r="5784" spans="1:8" x14ac:dyDescent="0.25">
      <c r="A5784" t="s">
        <v>29</v>
      </c>
      <c r="B5784" t="s">
        <v>677</v>
      </c>
    </row>
    <row r="5785" spans="1:8" x14ac:dyDescent="0.25">
      <c r="A5785" t="s">
        <v>22</v>
      </c>
      <c r="B5785" t="s">
        <v>677</v>
      </c>
    </row>
    <row r="5786" spans="1:8" x14ac:dyDescent="0.25">
      <c r="A5786" t="s">
        <v>1847</v>
      </c>
      <c r="B5786" t="s">
        <v>678</v>
      </c>
      <c r="C5786" t="s">
        <v>403</v>
      </c>
      <c r="D5786">
        <v>5</v>
      </c>
      <c r="E5786">
        <v>5600</v>
      </c>
      <c r="F5786">
        <v>600</v>
      </c>
      <c r="G5786">
        <v>2</v>
      </c>
      <c r="H5786" t="s">
        <v>19</v>
      </c>
    </row>
    <row r="5787" spans="1:8" x14ac:dyDescent="0.25">
      <c r="A5787" t="str">
        <f>"&lt;nominal&gt;" &amp;$D$5786&amp;"&lt;/nominal&gt;"</f>
        <v>&lt;nominal&gt;5&lt;/nominal&gt;</v>
      </c>
      <c r="B5787" t="s">
        <v>678</v>
      </c>
    </row>
    <row r="5788" spans="1:8" x14ac:dyDescent="0.25">
      <c r="A5788" t="str">
        <f>"&lt;lifetime&gt;" &amp;$E$5786&amp;"&lt;/lifetime&gt;"</f>
        <v>&lt;lifetime&gt;5600&lt;/lifetime&gt;</v>
      </c>
      <c r="B5788" t="s">
        <v>678</v>
      </c>
    </row>
    <row r="5789" spans="1:8" x14ac:dyDescent="0.25">
      <c r="A5789" t="str">
        <f>"&lt;restock&gt;" &amp;$F$5786&amp;"&lt;/restock&gt;"</f>
        <v>&lt;restock&gt;600&lt;/restock&gt;</v>
      </c>
      <c r="B5789" t="s">
        <v>678</v>
      </c>
    </row>
    <row r="5790" spans="1:8" x14ac:dyDescent="0.25">
      <c r="A5790" t="str">
        <f>"&lt;min&gt;" &amp;$G$5786&amp;"&lt;/min&gt;"</f>
        <v>&lt;min&gt;2&lt;/min&gt;</v>
      </c>
      <c r="B5790" t="s">
        <v>678</v>
      </c>
    </row>
    <row r="5791" spans="1:8" x14ac:dyDescent="0.25">
      <c r="A5791" t="s">
        <v>16</v>
      </c>
      <c r="B5791" t="s">
        <v>678</v>
      </c>
    </row>
    <row r="5792" spans="1:8" x14ac:dyDescent="0.25">
      <c r="A5792" t="s">
        <v>17</v>
      </c>
      <c r="B5792" t="s">
        <v>678</v>
      </c>
    </row>
    <row r="5793" spans="1:8" x14ac:dyDescent="0.25">
      <c r="A5793" t="s">
        <v>18</v>
      </c>
      <c r="B5793" t="s">
        <v>678</v>
      </c>
    </row>
    <row r="5794" spans="1:8" x14ac:dyDescent="0.25">
      <c r="A5794" t="str">
        <f xml:space="preserve"> $H$5786</f>
        <v>&lt;flags count_in_cargo="0" count_in_hoarder="0" count_in_map="1" count_in_player="0" crafted="0" deloot="0"/&gt;</v>
      </c>
      <c r="B5794" t="s">
        <v>678</v>
      </c>
    </row>
    <row r="5795" spans="1:8" x14ac:dyDescent="0.25">
      <c r="A5795" t="str">
        <f>"&lt;category name=" &amp;"""" &amp;$C$5786&amp;"""/&gt;"</f>
        <v>&lt;category name="clothes"/&gt;</v>
      </c>
      <c r="B5795" t="s">
        <v>678</v>
      </c>
    </row>
    <row r="5796" spans="1:8" x14ac:dyDescent="0.25">
      <c r="A5796" t="s">
        <v>29</v>
      </c>
      <c r="B5796" t="s">
        <v>678</v>
      </c>
    </row>
    <row r="5797" spans="1:8" x14ac:dyDescent="0.25">
      <c r="A5797" t="s">
        <v>22</v>
      </c>
      <c r="B5797" t="s">
        <v>678</v>
      </c>
    </row>
    <row r="5798" spans="1:8" x14ac:dyDescent="0.25">
      <c r="A5798" t="s">
        <v>1848</v>
      </c>
      <c r="B5798" t="s">
        <v>679</v>
      </c>
      <c r="C5798" t="s">
        <v>403</v>
      </c>
      <c r="D5798">
        <v>8</v>
      </c>
      <c r="E5798">
        <v>5600</v>
      </c>
      <c r="F5798">
        <v>600</v>
      </c>
      <c r="G5798">
        <v>3</v>
      </c>
      <c r="H5798" t="s">
        <v>19</v>
      </c>
    </row>
    <row r="5799" spans="1:8" x14ac:dyDescent="0.25">
      <c r="A5799" t="str">
        <f>"&lt;nominal&gt;" &amp;$D$5798&amp;"&lt;/nominal&gt;"</f>
        <v>&lt;nominal&gt;8&lt;/nominal&gt;</v>
      </c>
      <c r="B5799" t="s">
        <v>679</v>
      </c>
    </row>
    <row r="5800" spans="1:8" x14ac:dyDescent="0.25">
      <c r="A5800" t="str">
        <f>"&lt;lifetime&gt;" &amp;$E$5798&amp;"&lt;/lifetime&gt;"</f>
        <v>&lt;lifetime&gt;5600&lt;/lifetime&gt;</v>
      </c>
      <c r="B5800" t="s">
        <v>679</v>
      </c>
    </row>
    <row r="5801" spans="1:8" x14ac:dyDescent="0.25">
      <c r="A5801" t="str">
        <f>"&lt;restock&gt;" &amp;$F$5798&amp;"&lt;/restock&gt;"</f>
        <v>&lt;restock&gt;600&lt;/restock&gt;</v>
      </c>
      <c r="B5801" t="s">
        <v>679</v>
      </c>
    </row>
    <row r="5802" spans="1:8" x14ac:dyDescent="0.25">
      <c r="A5802" t="str">
        <f>"&lt;min&gt;" &amp;$G$5798&amp;"&lt;/min&gt;"</f>
        <v>&lt;min&gt;3&lt;/min&gt;</v>
      </c>
      <c r="B5802" t="s">
        <v>679</v>
      </c>
    </row>
    <row r="5803" spans="1:8" x14ac:dyDescent="0.25">
      <c r="A5803" t="s">
        <v>16</v>
      </c>
      <c r="B5803" t="s">
        <v>679</v>
      </c>
    </row>
    <row r="5804" spans="1:8" x14ac:dyDescent="0.25">
      <c r="A5804" t="s">
        <v>17</v>
      </c>
      <c r="B5804" t="s">
        <v>679</v>
      </c>
    </row>
    <row r="5805" spans="1:8" x14ac:dyDescent="0.25">
      <c r="A5805" t="s">
        <v>18</v>
      </c>
      <c r="B5805" t="s">
        <v>679</v>
      </c>
    </row>
    <row r="5806" spans="1:8" x14ac:dyDescent="0.25">
      <c r="A5806" t="str">
        <f xml:space="preserve"> $H$5798</f>
        <v>&lt;flags count_in_cargo="0" count_in_hoarder="0" count_in_map="1" count_in_player="0" crafted="0" deloot="0"/&gt;</v>
      </c>
      <c r="B5806" t="s">
        <v>679</v>
      </c>
    </row>
    <row r="5807" spans="1:8" x14ac:dyDescent="0.25">
      <c r="A5807" t="str">
        <f>"&lt;category name=" &amp;"""" &amp;$C$5798&amp;"""/&gt;"</f>
        <v>&lt;category name="clothes"/&gt;</v>
      </c>
      <c r="B5807" t="s">
        <v>679</v>
      </c>
    </row>
    <row r="5808" spans="1:8" x14ac:dyDescent="0.25">
      <c r="A5808" t="s">
        <v>29</v>
      </c>
      <c r="B5808" t="s">
        <v>679</v>
      </c>
    </row>
    <row r="5809" spans="1:8" x14ac:dyDescent="0.25">
      <c r="A5809" t="s">
        <v>22</v>
      </c>
      <c r="B5809" t="s">
        <v>679</v>
      </c>
    </row>
    <row r="5810" spans="1:8" x14ac:dyDescent="0.25">
      <c r="A5810" t="s">
        <v>1849</v>
      </c>
      <c r="B5810" t="s">
        <v>680</v>
      </c>
      <c r="C5810" t="s">
        <v>403</v>
      </c>
      <c r="D5810">
        <v>8</v>
      </c>
      <c r="E5810">
        <v>5600</v>
      </c>
      <c r="F5810">
        <v>0</v>
      </c>
      <c r="G5810">
        <v>2</v>
      </c>
      <c r="H5810" t="s">
        <v>19</v>
      </c>
    </row>
    <row r="5811" spans="1:8" x14ac:dyDescent="0.25">
      <c r="A5811" t="str">
        <f>"&lt;nominal&gt;" &amp;$D$5810&amp;"&lt;/nominal&gt;"</f>
        <v>&lt;nominal&gt;8&lt;/nominal&gt;</v>
      </c>
      <c r="B5811" t="s">
        <v>680</v>
      </c>
    </row>
    <row r="5812" spans="1:8" x14ac:dyDescent="0.25">
      <c r="A5812" t="str">
        <f>"&lt;lifetime&gt;" &amp;$E$5810&amp;"&lt;/lifetime&gt;"</f>
        <v>&lt;lifetime&gt;5600&lt;/lifetime&gt;</v>
      </c>
      <c r="B5812" t="s">
        <v>680</v>
      </c>
    </row>
    <row r="5813" spans="1:8" x14ac:dyDescent="0.25">
      <c r="A5813" t="str">
        <f>"&lt;restock&gt;" &amp;$F$5810&amp;"&lt;/restock&gt;"</f>
        <v>&lt;restock&gt;0&lt;/restock&gt;</v>
      </c>
      <c r="B5813" t="s">
        <v>680</v>
      </c>
    </row>
    <row r="5814" spans="1:8" x14ac:dyDescent="0.25">
      <c r="A5814" t="str">
        <f>"&lt;min&gt;" &amp;$G$5810&amp;"&lt;/min&gt;"</f>
        <v>&lt;min&gt;2&lt;/min&gt;</v>
      </c>
      <c r="B5814" t="s">
        <v>680</v>
      </c>
    </row>
    <row r="5815" spans="1:8" x14ac:dyDescent="0.25">
      <c r="A5815" t="s">
        <v>16</v>
      </c>
      <c r="B5815" t="s">
        <v>680</v>
      </c>
    </row>
    <row r="5816" spans="1:8" x14ac:dyDescent="0.25">
      <c r="A5816" t="s">
        <v>17</v>
      </c>
      <c r="B5816" t="s">
        <v>680</v>
      </c>
    </row>
    <row r="5817" spans="1:8" x14ac:dyDescent="0.25">
      <c r="A5817" t="s">
        <v>18</v>
      </c>
      <c r="B5817" t="s">
        <v>680</v>
      </c>
    </row>
    <row r="5818" spans="1:8" x14ac:dyDescent="0.25">
      <c r="A5818" t="str">
        <f xml:space="preserve"> $H$5810</f>
        <v>&lt;flags count_in_cargo="0" count_in_hoarder="0" count_in_map="1" count_in_player="0" crafted="0" deloot="0"/&gt;</v>
      </c>
      <c r="B5818" t="s">
        <v>680</v>
      </c>
    </row>
    <row r="5819" spans="1:8" x14ac:dyDescent="0.25">
      <c r="A5819" t="str">
        <f>"&lt;category name=" &amp;"""" &amp;$C$5810&amp;"""/&gt;"</f>
        <v>&lt;category name="clothes"/&gt;</v>
      </c>
      <c r="B5819" t="s">
        <v>680</v>
      </c>
    </row>
    <row r="5820" spans="1:8" x14ac:dyDescent="0.25">
      <c r="A5820" t="s">
        <v>67</v>
      </c>
      <c r="B5820" t="s">
        <v>680</v>
      </c>
    </row>
    <row r="5821" spans="1:8" x14ac:dyDescent="0.25">
      <c r="A5821" t="s">
        <v>22</v>
      </c>
      <c r="B5821" t="s">
        <v>680</v>
      </c>
    </row>
    <row r="5822" spans="1:8" x14ac:dyDescent="0.25">
      <c r="A5822" t="s">
        <v>1850</v>
      </c>
      <c r="B5822" t="s">
        <v>681</v>
      </c>
      <c r="C5822" t="s">
        <v>399</v>
      </c>
      <c r="D5822">
        <v>2</v>
      </c>
      <c r="E5822">
        <v>3600</v>
      </c>
      <c r="F5822">
        <v>0</v>
      </c>
      <c r="G5822">
        <v>1</v>
      </c>
      <c r="H5822" t="s">
        <v>19</v>
      </c>
    </row>
    <row r="5823" spans="1:8" x14ac:dyDescent="0.25">
      <c r="A5823" t="str">
        <f>"&lt;nominal&gt;" &amp;$D$5822&amp;"&lt;/nominal&gt;"</f>
        <v>&lt;nominal&gt;2&lt;/nominal&gt;</v>
      </c>
      <c r="B5823" t="s">
        <v>681</v>
      </c>
    </row>
    <row r="5824" spans="1:8" x14ac:dyDescent="0.25">
      <c r="A5824" t="str">
        <f>"&lt;lifetime&gt;" &amp;$E$5822&amp;"&lt;/lifetime&gt;"</f>
        <v>&lt;lifetime&gt;3600&lt;/lifetime&gt;</v>
      </c>
      <c r="B5824" t="s">
        <v>681</v>
      </c>
    </row>
    <row r="5825" spans="1:8" x14ac:dyDescent="0.25">
      <c r="A5825" t="str">
        <f>"&lt;restock&gt;" &amp;$F$5822&amp;"&lt;/restock&gt;"</f>
        <v>&lt;restock&gt;0&lt;/restock&gt;</v>
      </c>
      <c r="B5825" t="s">
        <v>681</v>
      </c>
    </row>
    <row r="5826" spans="1:8" x14ac:dyDescent="0.25">
      <c r="A5826" t="str">
        <f>"&lt;min&gt;" &amp;$G$5822&amp;"&lt;/min&gt;"</f>
        <v>&lt;min&gt;1&lt;/min&gt;</v>
      </c>
      <c r="B5826" t="s">
        <v>681</v>
      </c>
    </row>
    <row r="5827" spans="1:8" x14ac:dyDescent="0.25">
      <c r="A5827" t="s">
        <v>16</v>
      </c>
      <c r="B5827" t="s">
        <v>681</v>
      </c>
    </row>
    <row r="5828" spans="1:8" x14ac:dyDescent="0.25">
      <c r="A5828" t="s">
        <v>17</v>
      </c>
      <c r="B5828" t="s">
        <v>681</v>
      </c>
    </row>
    <row r="5829" spans="1:8" x14ac:dyDescent="0.25">
      <c r="A5829" t="s">
        <v>18</v>
      </c>
      <c r="B5829" t="s">
        <v>681</v>
      </c>
    </row>
    <row r="5830" spans="1:8" x14ac:dyDescent="0.25">
      <c r="A5830" t="str">
        <f xml:space="preserve"> $H$5822</f>
        <v>&lt;flags count_in_cargo="0" count_in_hoarder="0" count_in_map="1" count_in_player="0" crafted="0" deloot="0"/&gt;</v>
      </c>
      <c r="B5830" t="s">
        <v>681</v>
      </c>
    </row>
    <row r="5831" spans="1:8" x14ac:dyDescent="0.25">
      <c r="A5831" t="str">
        <f>"&lt;category name=" &amp;"""" &amp;$C$5822&amp;"""/&gt;"</f>
        <v>&lt;category name="food"/&gt;</v>
      </c>
      <c r="B5831" t="s">
        <v>681</v>
      </c>
    </row>
    <row r="5832" spans="1:8" x14ac:dyDescent="0.25">
      <c r="A5832" t="s">
        <v>20</v>
      </c>
      <c r="B5832" t="s">
        <v>681</v>
      </c>
    </row>
    <row r="5833" spans="1:8" x14ac:dyDescent="0.25">
      <c r="A5833" t="s">
        <v>56</v>
      </c>
      <c r="B5833" t="s">
        <v>681</v>
      </c>
    </row>
    <row r="5834" spans="1:8" x14ac:dyDescent="0.25">
      <c r="A5834" t="s">
        <v>39</v>
      </c>
      <c r="B5834" t="s">
        <v>681</v>
      </c>
    </row>
    <row r="5835" spans="1:8" x14ac:dyDescent="0.25">
      <c r="A5835" t="s">
        <v>40</v>
      </c>
      <c r="B5835" t="s">
        <v>681</v>
      </c>
    </row>
    <row r="5836" spans="1:8" x14ac:dyDescent="0.25">
      <c r="A5836" t="s">
        <v>22</v>
      </c>
      <c r="B5836" t="s">
        <v>681</v>
      </c>
    </row>
    <row r="5837" spans="1:8" x14ac:dyDescent="0.25">
      <c r="A5837" t="s">
        <v>1851</v>
      </c>
      <c r="B5837" t="s">
        <v>3420</v>
      </c>
      <c r="C5837" t="s">
        <v>399</v>
      </c>
      <c r="D5837">
        <v>0</v>
      </c>
      <c r="E5837">
        <v>3600</v>
      </c>
      <c r="F5837">
        <v>0</v>
      </c>
      <c r="G5837">
        <v>0</v>
      </c>
      <c r="H5837" t="s">
        <v>62</v>
      </c>
    </row>
    <row r="5838" spans="1:8" x14ac:dyDescent="0.25">
      <c r="A5838" t="str">
        <f>"&lt;nominal&gt;" &amp;$D$5837&amp;"&lt;/nominal&gt;"</f>
        <v>&lt;nominal&gt;0&lt;/nominal&gt;</v>
      </c>
      <c r="B5838" t="s">
        <v>3420</v>
      </c>
    </row>
    <row r="5839" spans="1:8" x14ac:dyDescent="0.25">
      <c r="A5839" t="str">
        <f>"&lt;lifetime&gt;" &amp;$E$5837&amp;"&lt;/lifetime&gt;"</f>
        <v>&lt;lifetime&gt;3600&lt;/lifetime&gt;</v>
      </c>
      <c r="B5839" t="s">
        <v>3420</v>
      </c>
    </row>
    <row r="5840" spans="1:8" x14ac:dyDescent="0.25">
      <c r="A5840" t="str">
        <f>"&lt;restock&gt;" &amp;$F$5837&amp;"&lt;/restock&gt;"</f>
        <v>&lt;restock&gt;0&lt;/restock&gt;</v>
      </c>
      <c r="B5840" t="s">
        <v>3420</v>
      </c>
    </row>
    <row r="5841" spans="1:8" x14ac:dyDescent="0.25">
      <c r="A5841" t="str">
        <f>"&lt;min&gt;" &amp;$G$5837&amp;"&lt;/min&gt;"</f>
        <v>&lt;min&gt;0&lt;/min&gt;</v>
      </c>
      <c r="B5841" t="s">
        <v>3420</v>
      </c>
    </row>
    <row r="5842" spans="1:8" x14ac:dyDescent="0.25">
      <c r="A5842" t="s">
        <v>16</v>
      </c>
      <c r="B5842" t="s">
        <v>3420</v>
      </c>
    </row>
    <row r="5843" spans="1:8" x14ac:dyDescent="0.25">
      <c r="A5843" t="s">
        <v>17</v>
      </c>
      <c r="B5843" t="s">
        <v>3420</v>
      </c>
    </row>
    <row r="5844" spans="1:8" x14ac:dyDescent="0.25">
      <c r="A5844" t="s">
        <v>18</v>
      </c>
      <c r="B5844" t="s">
        <v>3420</v>
      </c>
    </row>
    <row r="5845" spans="1:8" x14ac:dyDescent="0.25">
      <c r="A5845" t="str">
        <f xml:space="preserve"> $H$5837</f>
        <v>&lt;flags count_in_cargo="0" count_in_hoarder="0" count_in_map="1" count_in_player="0" crafted="1" deloot="0"/&gt;</v>
      </c>
      <c r="B5845" t="s">
        <v>3420</v>
      </c>
    </row>
    <row r="5846" spans="1:8" x14ac:dyDescent="0.25">
      <c r="A5846" t="str">
        <f>"&lt;category name=" &amp;"""" &amp;$C$5837&amp;"""/&gt;"</f>
        <v>&lt;category name="food"/&gt;</v>
      </c>
      <c r="B5846" t="s">
        <v>3420</v>
      </c>
    </row>
    <row r="5847" spans="1:8" x14ac:dyDescent="0.25">
      <c r="A5847" t="s">
        <v>22</v>
      </c>
      <c r="B5847" t="s">
        <v>3420</v>
      </c>
    </row>
    <row r="5848" spans="1:8" x14ac:dyDescent="0.25">
      <c r="A5848" t="s">
        <v>1852</v>
      </c>
      <c r="B5848" t="s">
        <v>682</v>
      </c>
      <c r="C5848" t="s">
        <v>426</v>
      </c>
      <c r="D5848">
        <v>70</v>
      </c>
      <c r="E5848">
        <v>7200</v>
      </c>
      <c r="F5848">
        <v>0</v>
      </c>
      <c r="G5848">
        <v>50</v>
      </c>
      <c r="H5848" t="s">
        <v>19</v>
      </c>
    </row>
    <row r="5849" spans="1:8" x14ac:dyDescent="0.25">
      <c r="A5849" t="str">
        <f>"&lt;nominal&gt;" &amp;$D$5848&amp;"&lt;/nominal&gt;"</f>
        <v>&lt;nominal&gt;70&lt;/nominal&gt;</v>
      </c>
      <c r="B5849" t="s">
        <v>682</v>
      </c>
    </row>
    <row r="5850" spans="1:8" x14ac:dyDescent="0.25">
      <c r="A5850" t="str">
        <f>"&lt;lifetime&gt;" &amp;$E$5848&amp;"&lt;/lifetime&gt;"</f>
        <v>&lt;lifetime&gt;7200&lt;/lifetime&gt;</v>
      </c>
      <c r="B5850" t="s">
        <v>682</v>
      </c>
    </row>
    <row r="5851" spans="1:8" x14ac:dyDescent="0.25">
      <c r="A5851" t="str">
        <f>"&lt;restock&gt;" &amp;$F$5848&amp;"&lt;/restock&gt;"</f>
        <v>&lt;restock&gt;0&lt;/restock&gt;</v>
      </c>
      <c r="B5851" t="s">
        <v>682</v>
      </c>
    </row>
    <row r="5852" spans="1:8" x14ac:dyDescent="0.25">
      <c r="A5852" t="str">
        <f>"&lt;min&gt;" &amp;$G$5848&amp;"&lt;/min&gt;"</f>
        <v>&lt;min&gt;50&lt;/min&gt;</v>
      </c>
      <c r="B5852" t="s">
        <v>682</v>
      </c>
    </row>
    <row r="5853" spans="1:8" x14ac:dyDescent="0.25">
      <c r="A5853" t="s">
        <v>16</v>
      </c>
      <c r="B5853" t="s">
        <v>682</v>
      </c>
    </row>
    <row r="5854" spans="1:8" x14ac:dyDescent="0.25">
      <c r="A5854" t="s">
        <v>17</v>
      </c>
      <c r="B5854" t="s">
        <v>682</v>
      </c>
    </row>
    <row r="5855" spans="1:8" x14ac:dyDescent="0.25">
      <c r="A5855" t="s">
        <v>18</v>
      </c>
      <c r="B5855" t="s">
        <v>682</v>
      </c>
    </row>
    <row r="5856" spans="1:8" x14ac:dyDescent="0.25">
      <c r="A5856" t="str">
        <f xml:space="preserve"> $H$5848</f>
        <v>&lt;flags count_in_cargo="0" count_in_hoarder="0" count_in_map="1" count_in_player="0" crafted="0" deloot="0"/&gt;</v>
      </c>
      <c r="B5856" t="s">
        <v>682</v>
      </c>
    </row>
    <row r="5857" spans="1:8" x14ac:dyDescent="0.25">
      <c r="A5857" t="str">
        <f>"&lt;category name=" &amp;"""" &amp;$C$5848&amp;"""/&gt;"</f>
        <v>&lt;category name="tools"/&gt;</v>
      </c>
      <c r="B5857" t="s">
        <v>682</v>
      </c>
    </row>
    <row r="5858" spans="1:8" x14ac:dyDescent="0.25">
      <c r="A5858" t="s">
        <v>55</v>
      </c>
      <c r="B5858" t="s">
        <v>682</v>
      </c>
    </row>
    <row r="5859" spans="1:8" x14ac:dyDescent="0.25">
      <c r="A5859" t="s">
        <v>56</v>
      </c>
      <c r="B5859" t="s">
        <v>682</v>
      </c>
    </row>
    <row r="5860" spans="1:8" x14ac:dyDescent="0.25">
      <c r="A5860" t="s">
        <v>22</v>
      </c>
      <c r="B5860" t="s">
        <v>682</v>
      </c>
    </row>
    <row r="5861" spans="1:8" x14ac:dyDescent="0.25">
      <c r="A5861" t="s">
        <v>1853</v>
      </c>
      <c r="B5861" t="s">
        <v>683</v>
      </c>
      <c r="C5861" t="s">
        <v>426</v>
      </c>
      <c r="D5861">
        <v>70</v>
      </c>
      <c r="E5861">
        <v>7200</v>
      </c>
      <c r="F5861">
        <v>0</v>
      </c>
      <c r="G5861">
        <v>50</v>
      </c>
      <c r="H5861" t="s">
        <v>19</v>
      </c>
    </row>
    <row r="5862" spans="1:8" x14ac:dyDescent="0.25">
      <c r="A5862" t="str">
        <f>"&lt;nominal&gt;" &amp;$D$5861&amp;"&lt;/nominal&gt;"</f>
        <v>&lt;nominal&gt;70&lt;/nominal&gt;</v>
      </c>
      <c r="B5862" t="s">
        <v>683</v>
      </c>
    </row>
    <row r="5863" spans="1:8" x14ac:dyDescent="0.25">
      <c r="A5863" t="str">
        <f>"&lt;lifetime&gt;" &amp;$E$5861&amp;"&lt;/lifetime&gt;"</f>
        <v>&lt;lifetime&gt;7200&lt;/lifetime&gt;</v>
      </c>
      <c r="B5863" t="s">
        <v>683</v>
      </c>
    </row>
    <row r="5864" spans="1:8" x14ac:dyDescent="0.25">
      <c r="A5864" t="str">
        <f>"&lt;restock&gt;" &amp;$F$5861&amp;"&lt;/restock&gt;"</f>
        <v>&lt;restock&gt;0&lt;/restock&gt;</v>
      </c>
      <c r="B5864" t="s">
        <v>683</v>
      </c>
    </row>
    <row r="5865" spans="1:8" x14ac:dyDescent="0.25">
      <c r="A5865" t="str">
        <f>"&lt;min&gt;" &amp;$G$5861&amp;"&lt;/min&gt;"</f>
        <v>&lt;min&gt;50&lt;/min&gt;</v>
      </c>
      <c r="B5865" t="s">
        <v>683</v>
      </c>
    </row>
    <row r="5866" spans="1:8" x14ac:dyDescent="0.25">
      <c r="A5866" t="s">
        <v>16</v>
      </c>
      <c r="B5866" t="s">
        <v>683</v>
      </c>
    </row>
    <row r="5867" spans="1:8" x14ac:dyDescent="0.25">
      <c r="A5867" t="s">
        <v>17</v>
      </c>
      <c r="B5867" t="s">
        <v>683</v>
      </c>
    </row>
    <row r="5868" spans="1:8" x14ac:dyDescent="0.25">
      <c r="A5868" t="s">
        <v>18</v>
      </c>
      <c r="B5868" t="s">
        <v>683</v>
      </c>
    </row>
    <row r="5869" spans="1:8" x14ac:dyDescent="0.25">
      <c r="A5869" t="str">
        <f xml:space="preserve"> $H$5861</f>
        <v>&lt;flags count_in_cargo="0" count_in_hoarder="0" count_in_map="1" count_in_player="0" crafted="0" deloot="0"/&gt;</v>
      </c>
      <c r="B5869" t="s">
        <v>683</v>
      </c>
    </row>
    <row r="5870" spans="1:8" x14ac:dyDescent="0.25">
      <c r="A5870" t="str">
        <f>"&lt;category name=" &amp;"""" &amp;$C$5861&amp;"""/&gt;"</f>
        <v>&lt;category name="tools"/&gt;</v>
      </c>
      <c r="B5870" t="s">
        <v>683</v>
      </c>
    </row>
    <row r="5871" spans="1:8" x14ac:dyDescent="0.25">
      <c r="A5871" t="s">
        <v>55</v>
      </c>
      <c r="B5871" t="s">
        <v>683</v>
      </c>
    </row>
    <row r="5872" spans="1:8" x14ac:dyDescent="0.25">
      <c r="A5872" t="s">
        <v>56</v>
      </c>
      <c r="B5872" t="s">
        <v>683</v>
      </c>
    </row>
    <row r="5873" spans="1:8" x14ac:dyDescent="0.25">
      <c r="A5873" t="s">
        <v>40</v>
      </c>
      <c r="B5873" t="s">
        <v>683</v>
      </c>
    </row>
    <row r="5874" spans="1:8" x14ac:dyDescent="0.25">
      <c r="A5874" t="s">
        <v>22</v>
      </c>
      <c r="B5874" t="s">
        <v>683</v>
      </c>
    </row>
    <row r="5875" spans="1:8" x14ac:dyDescent="0.25">
      <c r="A5875" t="s">
        <v>1854</v>
      </c>
      <c r="B5875" t="s">
        <v>3421</v>
      </c>
      <c r="C5875" t="s">
        <v>426</v>
      </c>
      <c r="D5875">
        <v>0</v>
      </c>
      <c r="E5875">
        <v>7200</v>
      </c>
      <c r="F5875">
        <v>0</v>
      </c>
      <c r="G5875">
        <v>0</v>
      </c>
      <c r="H5875" t="s">
        <v>62</v>
      </c>
    </row>
    <row r="5876" spans="1:8" x14ac:dyDescent="0.25">
      <c r="A5876" t="str">
        <f>"&lt;nominal&gt;" &amp;$D$5875&amp;"&lt;/nominal&gt;"</f>
        <v>&lt;nominal&gt;0&lt;/nominal&gt;</v>
      </c>
      <c r="B5876" t="s">
        <v>3421</v>
      </c>
    </row>
    <row r="5877" spans="1:8" x14ac:dyDescent="0.25">
      <c r="A5877" t="str">
        <f>"&lt;lifetime&gt;" &amp;$E$5875&amp;"&lt;/lifetime&gt;"</f>
        <v>&lt;lifetime&gt;7200&lt;/lifetime&gt;</v>
      </c>
      <c r="B5877" t="s">
        <v>3421</v>
      </c>
    </row>
    <row r="5878" spans="1:8" x14ac:dyDescent="0.25">
      <c r="A5878" t="str">
        <f>"&lt;restock&gt;" &amp;$F$5875&amp;"&lt;/restock&gt;"</f>
        <v>&lt;restock&gt;0&lt;/restock&gt;</v>
      </c>
      <c r="B5878" t="s">
        <v>3421</v>
      </c>
    </row>
    <row r="5879" spans="1:8" x14ac:dyDescent="0.25">
      <c r="A5879" t="str">
        <f>"&lt;min&gt;" &amp;$G$5875&amp;"&lt;/min&gt;"</f>
        <v>&lt;min&gt;0&lt;/min&gt;</v>
      </c>
      <c r="B5879" t="s">
        <v>3421</v>
      </c>
    </row>
    <row r="5880" spans="1:8" x14ac:dyDescent="0.25">
      <c r="A5880" t="s">
        <v>16</v>
      </c>
      <c r="B5880" t="s">
        <v>3421</v>
      </c>
    </row>
    <row r="5881" spans="1:8" x14ac:dyDescent="0.25">
      <c r="A5881" t="s">
        <v>17</v>
      </c>
      <c r="B5881" t="s">
        <v>3421</v>
      </c>
    </row>
    <row r="5882" spans="1:8" x14ac:dyDescent="0.25">
      <c r="A5882" t="s">
        <v>18</v>
      </c>
      <c r="B5882" t="s">
        <v>3421</v>
      </c>
    </row>
    <row r="5883" spans="1:8" x14ac:dyDescent="0.25">
      <c r="A5883" t="str">
        <f xml:space="preserve"> $H$5875</f>
        <v>&lt;flags count_in_cargo="0" count_in_hoarder="0" count_in_map="1" count_in_player="0" crafted="1" deloot="0"/&gt;</v>
      </c>
      <c r="B5883" t="s">
        <v>3421</v>
      </c>
    </row>
    <row r="5884" spans="1:8" x14ac:dyDescent="0.25">
      <c r="A5884" t="str">
        <f>"&lt;category name=" &amp;"""" &amp;$C$5875&amp;"""/&gt;"</f>
        <v>&lt;category name="tools"/&gt;</v>
      </c>
      <c r="B5884" t="s">
        <v>3421</v>
      </c>
    </row>
    <row r="5885" spans="1:8" x14ac:dyDescent="0.25">
      <c r="A5885" t="s">
        <v>22</v>
      </c>
      <c r="B5885" t="s">
        <v>3421</v>
      </c>
    </row>
    <row r="5886" spans="1:8" x14ac:dyDescent="0.25">
      <c r="A5886" t="s">
        <v>1855</v>
      </c>
      <c r="B5886" t="s">
        <v>684</v>
      </c>
      <c r="C5886" t="s">
        <v>426</v>
      </c>
      <c r="D5886">
        <v>70</v>
      </c>
      <c r="E5886">
        <v>7200</v>
      </c>
      <c r="F5886">
        <v>0</v>
      </c>
      <c r="G5886">
        <v>50</v>
      </c>
      <c r="H5886" t="s">
        <v>19</v>
      </c>
    </row>
    <row r="5887" spans="1:8" x14ac:dyDescent="0.25">
      <c r="A5887" t="str">
        <f>"&lt;nominal&gt;" &amp;$D$5886&amp;"&lt;/nominal&gt;"</f>
        <v>&lt;nominal&gt;70&lt;/nominal&gt;</v>
      </c>
      <c r="B5887" t="s">
        <v>684</v>
      </c>
    </row>
    <row r="5888" spans="1:8" x14ac:dyDescent="0.25">
      <c r="A5888" t="str">
        <f>"&lt;lifetime&gt;" &amp;$E$5886&amp;"&lt;/lifetime&gt;"</f>
        <v>&lt;lifetime&gt;7200&lt;/lifetime&gt;</v>
      </c>
      <c r="B5888" t="s">
        <v>684</v>
      </c>
    </row>
    <row r="5889" spans="1:8" x14ac:dyDescent="0.25">
      <c r="A5889" t="str">
        <f>"&lt;restock&gt;" &amp;$F$5886&amp;"&lt;/restock&gt;"</f>
        <v>&lt;restock&gt;0&lt;/restock&gt;</v>
      </c>
      <c r="B5889" t="s">
        <v>684</v>
      </c>
    </row>
    <row r="5890" spans="1:8" x14ac:dyDescent="0.25">
      <c r="A5890" t="str">
        <f>"&lt;min&gt;" &amp;$G$5886&amp;"&lt;/min&gt;"</f>
        <v>&lt;min&gt;50&lt;/min&gt;</v>
      </c>
      <c r="B5890" t="s">
        <v>684</v>
      </c>
    </row>
    <row r="5891" spans="1:8" x14ac:dyDescent="0.25">
      <c r="A5891" t="s">
        <v>16</v>
      </c>
      <c r="B5891" t="s">
        <v>684</v>
      </c>
    </row>
    <row r="5892" spans="1:8" x14ac:dyDescent="0.25">
      <c r="A5892" t="s">
        <v>17</v>
      </c>
      <c r="B5892" t="s">
        <v>684</v>
      </c>
    </row>
    <row r="5893" spans="1:8" x14ac:dyDescent="0.25">
      <c r="A5893" t="s">
        <v>18</v>
      </c>
      <c r="B5893" t="s">
        <v>684</v>
      </c>
    </row>
    <row r="5894" spans="1:8" x14ac:dyDescent="0.25">
      <c r="A5894" t="str">
        <f xml:space="preserve"> $H$5886</f>
        <v>&lt;flags count_in_cargo="0" count_in_hoarder="0" count_in_map="1" count_in_player="0" crafted="0" deloot="0"/&gt;</v>
      </c>
      <c r="B5894" t="s">
        <v>684</v>
      </c>
    </row>
    <row r="5895" spans="1:8" x14ac:dyDescent="0.25">
      <c r="A5895" t="str">
        <f>"&lt;category name=" &amp;"""" &amp;$C$5886&amp;"""/&gt;"</f>
        <v>&lt;category name="tools"/&gt;</v>
      </c>
      <c r="B5895" t="s">
        <v>684</v>
      </c>
    </row>
    <row r="5896" spans="1:8" x14ac:dyDescent="0.25">
      <c r="A5896" t="s">
        <v>55</v>
      </c>
      <c r="B5896" t="s">
        <v>684</v>
      </c>
    </row>
    <row r="5897" spans="1:8" x14ac:dyDescent="0.25">
      <c r="A5897" t="s">
        <v>56</v>
      </c>
      <c r="B5897" t="s">
        <v>684</v>
      </c>
    </row>
    <row r="5898" spans="1:8" x14ac:dyDescent="0.25">
      <c r="A5898" t="s">
        <v>22</v>
      </c>
      <c r="B5898" t="s">
        <v>684</v>
      </c>
    </row>
    <row r="5899" spans="1:8" x14ac:dyDescent="0.25">
      <c r="A5899" t="s">
        <v>1856</v>
      </c>
      <c r="B5899" t="s">
        <v>685</v>
      </c>
      <c r="C5899" t="s">
        <v>426</v>
      </c>
      <c r="D5899">
        <v>10</v>
      </c>
      <c r="E5899">
        <v>7200</v>
      </c>
      <c r="F5899">
        <v>0</v>
      </c>
      <c r="G5899">
        <v>5</v>
      </c>
      <c r="H5899" t="s">
        <v>19</v>
      </c>
    </row>
    <row r="5900" spans="1:8" x14ac:dyDescent="0.25">
      <c r="A5900" t="str">
        <f>"&lt;nominal&gt;" &amp;$D$5899&amp;"&lt;/nominal&gt;"</f>
        <v>&lt;nominal&gt;10&lt;/nominal&gt;</v>
      </c>
      <c r="B5900" t="s">
        <v>685</v>
      </c>
    </row>
    <row r="5901" spans="1:8" x14ac:dyDescent="0.25">
      <c r="A5901" t="str">
        <f>"&lt;lifetime&gt;" &amp;$E$5899&amp;"&lt;/lifetime&gt;"</f>
        <v>&lt;lifetime&gt;7200&lt;/lifetime&gt;</v>
      </c>
      <c r="B5901" t="s">
        <v>685</v>
      </c>
    </row>
    <row r="5902" spans="1:8" x14ac:dyDescent="0.25">
      <c r="A5902" t="str">
        <f>"&lt;restock&gt;" &amp;$F$5899&amp;"&lt;/restock&gt;"</f>
        <v>&lt;restock&gt;0&lt;/restock&gt;</v>
      </c>
      <c r="B5902" t="s">
        <v>685</v>
      </c>
    </row>
    <row r="5903" spans="1:8" x14ac:dyDescent="0.25">
      <c r="A5903" t="str">
        <f>"&lt;min&gt;" &amp;$G$5899&amp;"&lt;/min&gt;"</f>
        <v>&lt;min&gt;5&lt;/min&gt;</v>
      </c>
      <c r="B5903" t="s">
        <v>685</v>
      </c>
    </row>
    <row r="5904" spans="1:8" x14ac:dyDescent="0.25">
      <c r="A5904" t="s">
        <v>16</v>
      </c>
      <c r="B5904" t="s">
        <v>685</v>
      </c>
    </row>
    <row r="5905" spans="1:8" x14ac:dyDescent="0.25">
      <c r="A5905" t="s">
        <v>17</v>
      </c>
      <c r="B5905" t="s">
        <v>685</v>
      </c>
    </row>
    <row r="5906" spans="1:8" x14ac:dyDescent="0.25">
      <c r="A5906" t="s">
        <v>18</v>
      </c>
      <c r="B5906" t="s">
        <v>685</v>
      </c>
    </row>
    <row r="5907" spans="1:8" x14ac:dyDescent="0.25">
      <c r="A5907" t="str">
        <f xml:space="preserve"> $H$5899</f>
        <v>&lt;flags count_in_cargo="0" count_in_hoarder="0" count_in_map="1" count_in_player="0" crafted="0" deloot="0"/&gt;</v>
      </c>
      <c r="B5907" t="s">
        <v>685</v>
      </c>
    </row>
    <row r="5908" spans="1:8" x14ac:dyDescent="0.25">
      <c r="A5908" t="str">
        <f>"&lt;category name=" &amp;"""" &amp;$C$5899&amp;"""/&gt;"</f>
        <v>&lt;category name="tools"/&gt;</v>
      </c>
      <c r="B5908" t="s">
        <v>685</v>
      </c>
    </row>
    <row r="5909" spans="1:8" x14ac:dyDescent="0.25">
      <c r="A5909" t="s">
        <v>20</v>
      </c>
      <c r="B5909" t="s">
        <v>685</v>
      </c>
    </row>
    <row r="5910" spans="1:8" x14ac:dyDescent="0.25">
      <c r="A5910" t="s">
        <v>173</v>
      </c>
      <c r="B5910" t="s">
        <v>685</v>
      </c>
    </row>
    <row r="5911" spans="1:8" x14ac:dyDescent="0.25">
      <c r="A5911" t="s">
        <v>1857</v>
      </c>
      <c r="B5911" t="s">
        <v>685</v>
      </c>
    </row>
    <row r="5912" spans="1:8" x14ac:dyDescent="0.25">
      <c r="A5912" t="s">
        <v>22</v>
      </c>
      <c r="B5912" t="s">
        <v>685</v>
      </c>
    </row>
    <row r="5913" spans="1:8" x14ac:dyDescent="0.25">
      <c r="A5913" t="s">
        <v>1858</v>
      </c>
      <c r="B5913" t="s">
        <v>686</v>
      </c>
      <c r="C5913" t="s">
        <v>426</v>
      </c>
      <c r="D5913">
        <v>20</v>
      </c>
      <c r="E5913">
        <v>7200</v>
      </c>
      <c r="F5913">
        <v>0</v>
      </c>
      <c r="G5913">
        <v>10</v>
      </c>
      <c r="H5913" t="s">
        <v>19</v>
      </c>
    </row>
    <row r="5914" spans="1:8" x14ac:dyDescent="0.25">
      <c r="A5914" t="str">
        <f>"&lt;nominal&gt;" &amp;$D$5913&amp;"&lt;/nominal&gt;"</f>
        <v>&lt;nominal&gt;20&lt;/nominal&gt;</v>
      </c>
      <c r="B5914" t="s">
        <v>686</v>
      </c>
    </row>
    <row r="5915" spans="1:8" x14ac:dyDescent="0.25">
      <c r="A5915" t="str">
        <f>"&lt;lifetime&gt;" &amp;$E$5913&amp;"&lt;/lifetime&gt;"</f>
        <v>&lt;lifetime&gt;7200&lt;/lifetime&gt;</v>
      </c>
      <c r="B5915" t="s">
        <v>686</v>
      </c>
    </row>
    <row r="5916" spans="1:8" x14ac:dyDescent="0.25">
      <c r="A5916" t="str">
        <f>"&lt;restock&gt;" &amp;$F$5913&amp;"&lt;/restock&gt;"</f>
        <v>&lt;restock&gt;0&lt;/restock&gt;</v>
      </c>
      <c r="B5916" t="s">
        <v>686</v>
      </c>
    </row>
    <row r="5917" spans="1:8" x14ac:dyDescent="0.25">
      <c r="A5917" t="str">
        <f>"&lt;min&gt;" &amp;$G$5913&amp;"&lt;/min&gt;"</f>
        <v>&lt;min&gt;10&lt;/min&gt;</v>
      </c>
      <c r="B5917" t="s">
        <v>686</v>
      </c>
    </row>
    <row r="5918" spans="1:8" x14ac:dyDescent="0.25">
      <c r="A5918" t="s">
        <v>16</v>
      </c>
      <c r="B5918" t="s">
        <v>686</v>
      </c>
    </row>
    <row r="5919" spans="1:8" x14ac:dyDescent="0.25">
      <c r="A5919" t="s">
        <v>17</v>
      </c>
      <c r="B5919" t="s">
        <v>686</v>
      </c>
    </row>
    <row r="5920" spans="1:8" x14ac:dyDescent="0.25">
      <c r="A5920" t="s">
        <v>18</v>
      </c>
      <c r="B5920" t="s">
        <v>686</v>
      </c>
    </row>
    <row r="5921" spans="1:8" x14ac:dyDescent="0.25">
      <c r="A5921" t="str">
        <f xml:space="preserve"> $H$5913</f>
        <v>&lt;flags count_in_cargo="0" count_in_hoarder="0" count_in_map="1" count_in_player="0" crafted="0" deloot="0"/&gt;</v>
      </c>
      <c r="B5921" t="s">
        <v>686</v>
      </c>
    </row>
    <row r="5922" spans="1:8" x14ac:dyDescent="0.25">
      <c r="A5922" t="str">
        <f>"&lt;category name=" &amp;"""" &amp;$C$5913&amp;"""/&gt;"</f>
        <v>&lt;category name="tools"/&gt;</v>
      </c>
      <c r="B5922" t="s">
        <v>686</v>
      </c>
    </row>
    <row r="5923" spans="1:8" x14ac:dyDescent="0.25">
      <c r="A5923" t="s">
        <v>20</v>
      </c>
      <c r="B5923" t="s">
        <v>686</v>
      </c>
    </row>
    <row r="5924" spans="1:8" x14ac:dyDescent="0.25">
      <c r="A5924" t="s">
        <v>173</v>
      </c>
      <c r="B5924" t="s">
        <v>686</v>
      </c>
    </row>
    <row r="5925" spans="1:8" x14ac:dyDescent="0.25">
      <c r="A5925" t="s">
        <v>1857</v>
      </c>
      <c r="B5925" t="s">
        <v>686</v>
      </c>
    </row>
    <row r="5926" spans="1:8" x14ac:dyDescent="0.25">
      <c r="A5926" t="s">
        <v>22</v>
      </c>
      <c r="B5926" t="s">
        <v>686</v>
      </c>
    </row>
    <row r="5927" spans="1:8" x14ac:dyDescent="0.25">
      <c r="A5927" t="s">
        <v>1859</v>
      </c>
      <c r="B5927" t="s">
        <v>3422</v>
      </c>
      <c r="C5927" t="s">
        <v>426</v>
      </c>
      <c r="D5927">
        <v>0</v>
      </c>
      <c r="E5927">
        <v>1800</v>
      </c>
      <c r="F5927">
        <v>0</v>
      </c>
      <c r="G5927">
        <v>0</v>
      </c>
      <c r="H5927" t="s">
        <v>62</v>
      </c>
    </row>
    <row r="5928" spans="1:8" x14ac:dyDescent="0.25">
      <c r="A5928" t="str">
        <f>"&lt;nominal&gt;" &amp;$D$5927&amp;"&lt;/nominal&gt;"</f>
        <v>&lt;nominal&gt;0&lt;/nominal&gt;</v>
      </c>
      <c r="B5928" t="s">
        <v>3422</v>
      </c>
    </row>
    <row r="5929" spans="1:8" x14ac:dyDescent="0.25">
      <c r="A5929" t="str">
        <f>"&lt;lifetime&gt;" &amp;$E$5927&amp;"&lt;/lifetime&gt;"</f>
        <v>&lt;lifetime&gt;1800&lt;/lifetime&gt;</v>
      </c>
      <c r="B5929" t="s">
        <v>3422</v>
      </c>
    </row>
    <row r="5930" spans="1:8" x14ac:dyDescent="0.25">
      <c r="A5930" t="str">
        <f>"&lt;restock&gt;" &amp;$F$5927&amp;"&lt;/restock&gt;"</f>
        <v>&lt;restock&gt;0&lt;/restock&gt;</v>
      </c>
      <c r="B5930" t="s">
        <v>3422</v>
      </c>
    </row>
    <row r="5931" spans="1:8" x14ac:dyDescent="0.25">
      <c r="A5931" t="str">
        <f>"&lt;min&gt;" &amp;$G$5927&amp;"&lt;/min&gt;"</f>
        <v>&lt;min&gt;0&lt;/min&gt;</v>
      </c>
      <c r="B5931" t="s">
        <v>3422</v>
      </c>
    </row>
    <row r="5932" spans="1:8" x14ac:dyDescent="0.25">
      <c r="A5932" t="s">
        <v>16</v>
      </c>
      <c r="B5932" t="s">
        <v>3422</v>
      </c>
    </row>
    <row r="5933" spans="1:8" x14ac:dyDescent="0.25">
      <c r="A5933" t="s">
        <v>17</v>
      </c>
      <c r="B5933" t="s">
        <v>3422</v>
      </c>
    </row>
    <row r="5934" spans="1:8" x14ac:dyDescent="0.25">
      <c r="A5934" t="s">
        <v>18</v>
      </c>
      <c r="B5934" t="s">
        <v>3422</v>
      </c>
    </row>
    <row r="5935" spans="1:8" x14ac:dyDescent="0.25">
      <c r="A5935" t="str">
        <f xml:space="preserve"> $H$5927</f>
        <v>&lt;flags count_in_cargo="0" count_in_hoarder="0" count_in_map="1" count_in_player="0" crafted="1" deloot="0"/&gt;</v>
      </c>
      <c r="B5935" t="s">
        <v>3422</v>
      </c>
    </row>
    <row r="5936" spans="1:8" x14ac:dyDescent="0.25">
      <c r="A5936" t="str">
        <f>"&lt;category name=" &amp;"""" &amp;$C$5927&amp;"""/&gt;"</f>
        <v>&lt;category name="tools"/&gt;</v>
      </c>
      <c r="B5936" t="s">
        <v>3422</v>
      </c>
    </row>
    <row r="5937" spans="1:8" x14ac:dyDescent="0.25">
      <c r="A5937" t="s">
        <v>22</v>
      </c>
      <c r="B5937" t="s">
        <v>3422</v>
      </c>
    </row>
    <row r="5938" spans="1:8" x14ac:dyDescent="0.25">
      <c r="A5938" t="s">
        <v>1860</v>
      </c>
      <c r="B5938" t="s">
        <v>687</v>
      </c>
      <c r="C5938" t="s">
        <v>426</v>
      </c>
      <c r="D5938">
        <v>2</v>
      </c>
      <c r="E5938">
        <v>2700</v>
      </c>
      <c r="F5938">
        <v>0</v>
      </c>
      <c r="G5938">
        <v>1</v>
      </c>
      <c r="H5938" t="s">
        <v>19</v>
      </c>
    </row>
    <row r="5939" spans="1:8" x14ac:dyDescent="0.25">
      <c r="A5939" t="str">
        <f>"&lt;nominal&gt;" &amp;$D$5938&amp;"&lt;/nominal&gt;"</f>
        <v>&lt;nominal&gt;2&lt;/nominal&gt;</v>
      </c>
      <c r="B5939" t="s">
        <v>687</v>
      </c>
    </row>
    <row r="5940" spans="1:8" x14ac:dyDescent="0.25">
      <c r="A5940" t="str">
        <f>"&lt;lifetime&gt;" &amp;$E$5938&amp;"&lt;/lifetime&gt;"</f>
        <v>&lt;lifetime&gt;2700&lt;/lifetime&gt;</v>
      </c>
      <c r="B5940" t="s">
        <v>687</v>
      </c>
    </row>
    <row r="5941" spans="1:8" x14ac:dyDescent="0.25">
      <c r="A5941" t="str">
        <f>"&lt;restock&gt;" &amp;$F$5938&amp;"&lt;/restock&gt;"</f>
        <v>&lt;restock&gt;0&lt;/restock&gt;</v>
      </c>
      <c r="B5941" t="s">
        <v>687</v>
      </c>
    </row>
    <row r="5942" spans="1:8" x14ac:dyDescent="0.25">
      <c r="A5942" t="str">
        <f>"&lt;min&gt;" &amp;$G$5938&amp;"&lt;/min&gt;"</f>
        <v>&lt;min&gt;1&lt;/min&gt;</v>
      </c>
      <c r="B5942" t="s">
        <v>687</v>
      </c>
    </row>
    <row r="5943" spans="1:8" x14ac:dyDescent="0.25">
      <c r="A5943" t="s">
        <v>16</v>
      </c>
      <c r="B5943" t="s">
        <v>687</v>
      </c>
    </row>
    <row r="5944" spans="1:8" x14ac:dyDescent="0.25">
      <c r="A5944" t="s">
        <v>17</v>
      </c>
      <c r="B5944" t="s">
        <v>687</v>
      </c>
    </row>
    <row r="5945" spans="1:8" x14ac:dyDescent="0.25">
      <c r="A5945" t="s">
        <v>18</v>
      </c>
      <c r="B5945" t="s">
        <v>687</v>
      </c>
    </row>
    <row r="5946" spans="1:8" x14ac:dyDescent="0.25">
      <c r="A5946" t="str">
        <f xml:space="preserve"> $H$5938</f>
        <v>&lt;flags count_in_cargo="0" count_in_hoarder="0" count_in_map="1" count_in_player="0" crafted="0" deloot="0"/&gt;</v>
      </c>
      <c r="B5946" t="s">
        <v>687</v>
      </c>
    </row>
    <row r="5947" spans="1:8" x14ac:dyDescent="0.25">
      <c r="A5947" t="str">
        <f>"&lt;category name=" &amp;"""" &amp;$C$5938&amp;"""/&gt;"</f>
        <v>&lt;category name="tools"/&gt;</v>
      </c>
      <c r="B5947" t="s">
        <v>687</v>
      </c>
    </row>
    <row r="5948" spans="1:8" x14ac:dyDescent="0.25">
      <c r="A5948" t="s">
        <v>25</v>
      </c>
      <c r="B5948" t="s">
        <v>687</v>
      </c>
    </row>
    <row r="5949" spans="1:8" x14ac:dyDescent="0.25">
      <c r="A5949" t="s">
        <v>55</v>
      </c>
      <c r="B5949" t="s">
        <v>687</v>
      </c>
    </row>
    <row r="5950" spans="1:8" x14ac:dyDescent="0.25">
      <c r="A5950" t="s">
        <v>22</v>
      </c>
      <c r="B5950" t="s">
        <v>687</v>
      </c>
    </row>
    <row r="5951" spans="1:8" x14ac:dyDescent="0.25">
      <c r="A5951" t="s">
        <v>1861</v>
      </c>
      <c r="B5951" t="s">
        <v>688</v>
      </c>
      <c r="C5951" t="s">
        <v>426</v>
      </c>
      <c r="D5951">
        <v>2</v>
      </c>
      <c r="E5951">
        <v>2700</v>
      </c>
      <c r="F5951">
        <v>0</v>
      </c>
      <c r="G5951">
        <v>1</v>
      </c>
      <c r="H5951" t="s">
        <v>1559</v>
      </c>
    </row>
    <row r="5952" spans="1:8" x14ac:dyDescent="0.25">
      <c r="A5952" t="str">
        <f>"&lt;nominal&gt;" &amp;$D$5951&amp;"&lt;/nominal&gt;"</f>
        <v>&lt;nominal&gt;2&lt;/nominal&gt;</v>
      </c>
      <c r="B5952" t="s">
        <v>688</v>
      </c>
    </row>
    <row r="5953" spans="1:8" x14ac:dyDescent="0.25">
      <c r="A5953" t="str">
        <f>"&lt;lifetime&gt;" &amp;$E$5951&amp;"&lt;/lifetime&gt;"</f>
        <v>&lt;lifetime&gt;2700&lt;/lifetime&gt;</v>
      </c>
      <c r="B5953" t="s">
        <v>688</v>
      </c>
    </row>
    <row r="5954" spans="1:8" x14ac:dyDescent="0.25">
      <c r="A5954" t="str">
        <f>"&lt;restock&gt;" &amp;$F$5951&amp;"&lt;/restock&gt;"</f>
        <v>&lt;restock&gt;0&lt;/restock&gt;</v>
      </c>
      <c r="B5954" t="s">
        <v>688</v>
      </c>
    </row>
    <row r="5955" spans="1:8" x14ac:dyDescent="0.25">
      <c r="A5955" t="str">
        <f>"&lt;min&gt;" &amp;$G$5951&amp;"&lt;/min&gt;"</f>
        <v>&lt;min&gt;1&lt;/min&gt;</v>
      </c>
      <c r="B5955" t="s">
        <v>688</v>
      </c>
    </row>
    <row r="5956" spans="1:8" x14ac:dyDescent="0.25">
      <c r="A5956" t="s">
        <v>16</v>
      </c>
      <c r="B5956" t="s">
        <v>688</v>
      </c>
    </row>
    <row r="5957" spans="1:8" x14ac:dyDescent="0.25">
      <c r="A5957" t="s">
        <v>17</v>
      </c>
      <c r="B5957" t="s">
        <v>688</v>
      </c>
    </row>
    <row r="5958" spans="1:8" x14ac:dyDescent="0.25">
      <c r="A5958" t="s">
        <v>18</v>
      </c>
      <c r="B5958" t="s">
        <v>688</v>
      </c>
    </row>
    <row r="5959" spans="1:8" x14ac:dyDescent="0.25">
      <c r="A5959" t="str">
        <f xml:space="preserve"> $H$5951</f>
        <v>&lt;flags count_in_cargo="1" count_in_hoarder="0" count_in_map="1" count_in_player="1" crafted="0" deloot="0"/&gt;</v>
      </c>
      <c r="B5959" t="s">
        <v>688</v>
      </c>
    </row>
    <row r="5960" spans="1:8" x14ac:dyDescent="0.25">
      <c r="A5960" t="str">
        <f>"&lt;category name=" &amp;"""" &amp;$C$5951&amp;"""/&gt;"</f>
        <v>&lt;category name="tools"/&gt;</v>
      </c>
      <c r="B5960" t="s">
        <v>688</v>
      </c>
    </row>
    <row r="5961" spans="1:8" x14ac:dyDescent="0.25">
      <c r="A5961" t="s">
        <v>22</v>
      </c>
      <c r="B5961" t="s">
        <v>688</v>
      </c>
    </row>
    <row r="5962" spans="1:8" x14ac:dyDescent="0.25">
      <c r="A5962" t="s">
        <v>1862</v>
      </c>
      <c r="B5962" t="s">
        <v>689</v>
      </c>
      <c r="C5962" t="s">
        <v>426</v>
      </c>
      <c r="D5962">
        <v>2</v>
      </c>
      <c r="E5962">
        <v>2700</v>
      </c>
      <c r="F5962">
        <v>0</v>
      </c>
      <c r="G5962">
        <v>1</v>
      </c>
      <c r="H5962" t="s">
        <v>19</v>
      </c>
    </row>
    <row r="5963" spans="1:8" x14ac:dyDescent="0.25">
      <c r="A5963" t="str">
        <f>"&lt;nominal&gt;" &amp;$D$5962&amp;"&lt;/nominal&gt;"</f>
        <v>&lt;nominal&gt;2&lt;/nominal&gt;</v>
      </c>
      <c r="B5963" t="s">
        <v>689</v>
      </c>
    </row>
    <row r="5964" spans="1:8" x14ac:dyDescent="0.25">
      <c r="A5964" t="str">
        <f>"&lt;lifetime&gt;" &amp;$E$5962&amp;"&lt;/lifetime&gt;"</f>
        <v>&lt;lifetime&gt;2700&lt;/lifetime&gt;</v>
      </c>
      <c r="B5964" t="s">
        <v>689</v>
      </c>
    </row>
    <row r="5965" spans="1:8" x14ac:dyDescent="0.25">
      <c r="A5965" t="str">
        <f>"&lt;restock&gt;" &amp;$F$5962&amp;"&lt;/restock&gt;"</f>
        <v>&lt;restock&gt;0&lt;/restock&gt;</v>
      </c>
      <c r="B5965" t="s">
        <v>689</v>
      </c>
    </row>
    <row r="5966" spans="1:8" x14ac:dyDescent="0.25">
      <c r="A5966" t="str">
        <f>"&lt;min&gt;" &amp;$G$5962&amp;"&lt;/min&gt;"</f>
        <v>&lt;min&gt;1&lt;/min&gt;</v>
      </c>
      <c r="B5966" t="s">
        <v>689</v>
      </c>
    </row>
    <row r="5967" spans="1:8" x14ac:dyDescent="0.25">
      <c r="A5967" t="s">
        <v>16</v>
      </c>
      <c r="B5967" t="s">
        <v>689</v>
      </c>
    </row>
    <row r="5968" spans="1:8" x14ac:dyDescent="0.25">
      <c r="A5968" t="s">
        <v>17</v>
      </c>
      <c r="B5968" t="s">
        <v>689</v>
      </c>
    </row>
    <row r="5969" spans="1:8" x14ac:dyDescent="0.25">
      <c r="A5969" t="s">
        <v>18</v>
      </c>
      <c r="B5969" t="s">
        <v>689</v>
      </c>
    </row>
    <row r="5970" spans="1:8" x14ac:dyDescent="0.25">
      <c r="A5970" t="str">
        <f xml:space="preserve"> $H$5962</f>
        <v>&lt;flags count_in_cargo="0" count_in_hoarder="0" count_in_map="1" count_in_player="0" crafted="0" deloot="0"/&gt;</v>
      </c>
      <c r="B5970" t="s">
        <v>689</v>
      </c>
    </row>
    <row r="5971" spans="1:8" x14ac:dyDescent="0.25">
      <c r="A5971" t="str">
        <f>"&lt;category name=" &amp;"""" &amp;$C$5962&amp;"""/&gt;"</f>
        <v>&lt;category name="tools"/&gt;</v>
      </c>
      <c r="B5971" t="s">
        <v>689</v>
      </c>
    </row>
    <row r="5972" spans="1:8" x14ac:dyDescent="0.25">
      <c r="A5972" t="s">
        <v>25</v>
      </c>
      <c r="B5972" t="s">
        <v>689</v>
      </c>
    </row>
    <row r="5973" spans="1:8" x14ac:dyDescent="0.25">
      <c r="A5973" t="s">
        <v>55</v>
      </c>
      <c r="B5973" t="s">
        <v>689</v>
      </c>
    </row>
    <row r="5974" spans="1:8" x14ac:dyDescent="0.25">
      <c r="A5974" t="s">
        <v>22</v>
      </c>
      <c r="B5974" t="s">
        <v>689</v>
      </c>
    </row>
    <row r="5975" spans="1:8" x14ac:dyDescent="0.25">
      <c r="A5975" t="s">
        <v>1863</v>
      </c>
      <c r="B5975" t="s">
        <v>690</v>
      </c>
      <c r="C5975" t="s">
        <v>426</v>
      </c>
      <c r="D5975">
        <v>2</v>
      </c>
      <c r="E5975">
        <v>2700</v>
      </c>
      <c r="F5975">
        <v>0</v>
      </c>
      <c r="G5975">
        <v>1</v>
      </c>
      <c r="H5975" t="s">
        <v>19</v>
      </c>
    </row>
    <row r="5976" spans="1:8" x14ac:dyDescent="0.25">
      <c r="A5976" t="str">
        <f>"&lt;nominal&gt;" &amp;$D$5975&amp;"&lt;/nominal&gt;"</f>
        <v>&lt;nominal&gt;2&lt;/nominal&gt;</v>
      </c>
      <c r="B5976" t="s">
        <v>690</v>
      </c>
    </row>
    <row r="5977" spans="1:8" x14ac:dyDescent="0.25">
      <c r="A5977" t="str">
        <f>"&lt;lifetime&gt;" &amp;$E$5975&amp;"&lt;/lifetime&gt;"</f>
        <v>&lt;lifetime&gt;2700&lt;/lifetime&gt;</v>
      </c>
      <c r="B5977" t="s">
        <v>690</v>
      </c>
    </row>
    <row r="5978" spans="1:8" x14ac:dyDescent="0.25">
      <c r="A5978" t="str">
        <f>"&lt;restock&gt;" &amp;$F$5975&amp;"&lt;/restock&gt;"</f>
        <v>&lt;restock&gt;0&lt;/restock&gt;</v>
      </c>
      <c r="B5978" t="s">
        <v>690</v>
      </c>
    </row>
    <row r="5979" spans="1:8" x14ac:dyDescent="0.25">
      <c r="A5979" t="str">
        <f>"&lt;min&gt;" &amp;$G$5975&amp;"&lt;/min&gt;"</f>
        <v>&lt;min&gt;1&lt;/min&gt;</v>
      </c>
      <c r="B5979" t="s">
        <v>690</v>
      </c>
    </row>
    <row r="5980" spans="1:8" x14ac:dyDescent="0.25">
      <c r="A5980" t="s">
        <v>16</v>
      </c>
      <c r="B5980" t="s">
        <v>690</v>
      </c>
    </row>
    <row r="5981" spans="1:8" x14ac:dyDescent="0.25">
      <c r="A5981" t="s">
        <v>17</v>
      </c>
      <c r="B5981" t="s">
        <v>690</v>
      </c>
    </row>
    <row r="5982" spans="1:8" x14ac:dyDescent="0.25">
      <c r="A5982" t="s">
        <v>18</v>
      </c>
      <c r="B5982" t="s">
        <v>690</v>
      </c>
    </row>
    <row r="5983" spans="1:8" x14ac:dyDescent="0.25">
      <c r="A5983" t="str">
        <f xml:space="preserve"> $H$5975</f>
        <v>&lt;flags count_in_cargo="0" count_in_hoarder="0" count_in_map="1" count_in_player="0" crafted="0" deloot="0"/&gt;</v>
      </c>
      <c r="B5983" t="s">
        <v>690</v>
      </c>
    </row>
    <row r="5984" spans="1:8" x14ac:dyDescent="0.25">
      <c r="A5984" t="str">
        <f>"&lt;category name=" &amp;"""" &amp;$C$5975&amp;"""/&gt;"</f>
        <v>&lt;category name="tools"/&gt;</v>
      </c>
      <c r="B5984" t="s">
        <v>690</v>
      </c>
    </row>
    <row r="5985" spans="1:8" x14ac:dyDescent="0.25">
      <c r="A5985" t="s">
        <v>25</v>
      </c>
      <c r="B5985" t="s">
        <v>690</v>
      </c>
    </row>
    <row r="5986" spans="1:8" x14ac:dyDescent="0.25">
      <c r="A5986" t="s">
        <v>55</v>
      </c>
      <c r="B5986" t="s">
        <v>690</v>
      </c>
    </row>
    <row r="5987" spans="1:8" x14ac:dyDescent="0.25">
      <c r="A5987" t="s">
        <v>22</v>
      </c>
      <c r="B5987" t="s">
        <v>690</v>
      </c>
    </row>
    <row r="5988" spans="1:8" x14ac:dyDescent="0.25">
      <c r="A5988" t="s">
        <v>1864</v>
      </c>
      <c r="B5988" t="s">
        <v>691</v>
      </c>
      <c r="C5988" t="s">
        <v>426</v>
      </c>
      <c r="D5988">
        <v>2</v>
      </c>
      <c r="E5988">
        <v>2700</v>
      </c>
      <c r="F5988">
        <v>0</v>
      </c>
      <c r="G5988">
        <v>1</v>
      </c>
      <c r="H5988" t="s">
        <v>19</v>
      </c>
    </row>
    <row r="5989" spans="1:8" x14ac:dyDescent="0.25">
      <c r="A5989" t="str">
        <f>"&lt;nominal&gt;" &amp;$D$5988&amp;"&lt;/nominal&gt;"</f>
        <v>&lt;nominal&gt;2&lt;/nominal&gt;</v>
      </c>
      <c r="B5989" t="s">
        <v>691</v>
      </c>
    </row>
    <row r="5990" spans="1:8" x14ac:dyDescent="0.25">
      <c r="A5990" t="str">
        <f>"&lt;lifetime&gt;" &amp;$E$5988&amp;"&lt;/lifetime&gt;"</f>
        <v>&lt;lifetime&gt;2700&lt;/lifetime&gt;</v>
      </c>
      <c r="B5990" t="s">
        <v>691</v>
      </c>
    </row>
    <row r="5991" spans="1:8" x14ac:dyDescent="0.25">
      <c r="A5991" t="str">
        <f>"&lt;restock&gt;" &amp;$F$5988&amp;"&lt;/restock&gt;"</f>
        <v>&lt;restock&gt;0&lt;/restock&gt;</v>
      </c>
      <c r="B5991" t="s">
        <v>691</v>
      </c>
    </row>
    <row r="5992" spans="1:8" x14ac:dyDescent="0.25">
      <c r="A5992" t="str">
        <f>"&lt;min&gt;" &amp;$G$5988&amp;"&lt;/min&gt;"</f>
        <v>&lt;min&gt;1&lt;/min&gt;</v>
      </c>
      <c r="B5992" t="s">
        <v>691</v>
      </c>
    </row>
    <row r="5993" spans="1:8" x14ac:dyDescent="0.25">
      <c r="A5993" t="s">
        <v>16</v>
      </c>
      <c r="B5993" t="s">
        <v>691</v>
      </c>
    </row>
    <row r="5994" spans="1:8" x14ac:dyDescent="0.25">
      <c r="A5994" t="s">
        <v>17</v>
      </c>
      <c r="B5994" t="s">
        <v>691</v>
      </c>
    </row>
    <row r="5995" spans="1:8" x14ac:dyDescent="0.25">
      <c r="A5995" t="s">
        <v>18</v>
      </c>
      <c r="B5995" t="s">
        <v>691</v>
      </c>
    </row>
    <row r="5996" spans="1:8" x14ac:dyDescent="0.25">
      <c r="A5996" t="str">
        <f xml:space="preserve"> $H$5988</f>
        <v>&lt;flags count_in_cargo="0" count_in_hoarder="0" count_in_map="1" count_in_player="0" crafted="0" deloot="0"/&gt;</v>
      </c>
      <c r="B5996" t="s">
        <v>691</v>
      </c>
    </row>
    <row r="5997" spans="1:8" x14ac:dyDescent="0.25">
      <c r="A5997" t="str">
        <f>"&lt;category name=" &amp;"""" &amp;$C$5988&amp;"""/&gt;"</f>
        <v>&lt;category name="tools"/&gt;</v>
      </c>
      <c r="B5997" t="s">
        <v>691</v>
      </c>
    </row>
    <row r="5998" spans="1:8" x14ac:dyDescent="0.25">
      <c r="A5998" t="s">
        <v>22</v>
      </c>
      <c r="B5998" t="s">
        <v>691</v>
      </c>
    </row>
    <row r="5999" spans="1:8" x14ac:dyDescent="0.25">
      <c r="A5999" t="s">
        <v>1865</v>
      </c>
      <c r="B5999" t="s">
        <v>692</v>
      </c>
      <c r="C5999" t="s">
        <v>426</v>
      </c>
      <c r="D5999">
        <v>2</v>
      </c>
      <c r="E5999">
        <v>2700</v>
      </c>
      <c r="F5999">
        <v>0</v>
      </c>
      <c r="G5999">
        <v>1</v>
      </c>
      <c r="H5999" t="s">
        <v>19</v>
      </c>
    </row>
    <row r="6000" spans="1:8" x14ac:dyDescent="0.25">
      <c r="A6000" t="str">
        <f>"&lt;nominal&gt;" &amp;$D$5999&amp;"&lt;/nominal&gt;"</f>
        <v>&lt;nominal&gt;2&lt;/nominal&gt;</v>
      </c>
      <c r="B6000" t="s">
        <v>692</v>
      </c>
    </row>
    <row r="6001" spans="1:8" x14ac:dyDescent="0.25">
      <c r="A6001" t="str">
        <f>"&lt;lifetime&gt;" &amp;$E$5999&amp;"&lt;/lifetime&gt;"</f>
        <v>&lt;lifetime&gt;2700&lt;/lifetime&gt;</v>
      </c>
      <c r="B6001" t="s">
        <v>692</v>
      </c>
    </row>
    <row r="6002" spans="1:8" x14ac:dyDescent="0.25">
      <c r="A6002" t="str">
        <f>"&lt;restock&gt;" &amp;$F$5999&amp;"&lt;/restock&gt;"</f>
        <v>&lt;restock&gt;0&lt;/restock&gt;</v>
      </c>
      <c r="B6002" t="s">
        <v>692</v>
      </c>
    </row>
    <row r="6003" spans="1:8" x14ac:dyDescent="0.25">
      <c r="A6003" t="str">
        <f>"&lt;min&gt;" &amp;$G$5999&amp;"&lt;/min&gt;"</f>
        <v>&lt;min&gt;1&lt;/min&gt;</v>
      </c>
      <c r="B6003" t="s">
        <v>692</v>
      </c>
    </row>
    <row r="6004" spans="1:8" x14ac:dyDescent="0.25">
      <c r="A6004" t="s">
        <v>16</v>
      </c>
      <c r="B6004" t="s">
        <v>692</v>
      </c>
    </row>
    <row r="6005" spans="1:8" x14ac:dyDescent="0.25">
      <c r="A6005" t="s">
        <v>17</v>
      </c>
      <c r="B6005" t="s">
        <v>692</v>
      </c>
    </row>
    <row r="6006" spans="1:8" x14ac:dyDescent="0.25">
      <c r="A6006" t="s">
        <v>18</v>
      </c>
      <c r="B6006" t="s">
        <v>692</v>
      </c>
    </row>
    <row r="6007" spans="1:8" x14ac:dyDescent="0.25">
      <c r="A6007" t="str">
        <f xml:space="preserve"> $H$5999</f>
        <v>&lt;flags count_in_cargo="0" count_in_hoarder="0" count_in_map="1" count_in_player="0" crafted="0" deloot="0"/&gt;</v>
      </c>
      <c r="B6007" t="s">
        <v>692</v>
      </c>
    </row>
    <row r="6008" spans="1:8" x14ac:dyDescent="0.25">
      <c r="A6008" t="str">
        <f>"&lt;category name=" &amp;"""" &amp;$C$5999&amp;"""/&gt;"</f>
        <v>&lt;category name="tools"/&gt;</v>
      </c>
      <c r="B6008" t="s">
        <v>692</v>
      </c>
    </row>
    <row r="6009" spans="1:8" x14ac:dyDescent="0.25">
      <c r="A6009" t="s">
        <v>25</v>
      </c>
      <c r="B6009" t="s">
        <v>692</v>
      </c>
    </row>
    <row r="6010" spans="1:8" x14ac:dyDescent="0.25">
      <c r="A6010" t="s">
        <v>55</v>
      </c>
      <c r="B6010" t="s">
        <v>692</v>
      </c>
    </row>
    <row r="6011" spans="1:8" x14ac:dyDescent="0.25">
      <c r="A6011" t="s">
        <v>22</v>
      </c>
      <c r="B6011" t="s">
        <v>692</v>
      </c>
    </row>
    <row r="6012" spans="1:8" x14ac:dyDescent="0.25">
      <c r="A6012" t="s">
        <v>1866</v>
      </c>
      <c r="B6012" t="s">
        <v>693</v>
      </c>
      <c r="C6012" t="s">
        <v>426</v>
      </c>
      <c r="D6012">
        <v>2</v>
      </c>
      <c r="E6012">
        <v>2700</v>
      </c>
      <c r="F6012">
        <v>0</v>
      </c>
      <c r="G6012">
        <v>1</v>
      </c>
      <c r="H6012" t="s">
        <v>19</v>
      </c>
    </row>
    <row r="6013" spans="1:8" x14ac:dyDescent="0.25">
      <c r="A6013" t="str">
        <f>"&lt;nominal&gt;" &amp;$D$6012&amp;"&lt;/nominal&gt;"</f>
        <v>&lt;nominal&gt;2&lt;/nominal&gt;</v>
      </c>
      <c r="B6013" t="s">
        <v>693</v>
      </c>
    </row>
    <row r="6014" spans="1:8" x14ac:dyDescent="0.25">
      <c r="A6014" t="str">
        <f>"&lt;lifetime&gt;" &amp;$E$6012&amp;"&lt;/lifetime&gt;"</f>
        <v>&lt;lifetime&gt;2700&lt;/lifetime&gt;</v>
      </c>
      <c r="B6014" t="s">
        <v>693</v>
      </c>
    </row>
    <row r="6015" spans="1:8" x14ac:dyDescent="0.25">
      <c r="A6015" t="str">
        <f>"&lt;restock&gt;" &amp;$F$6012&amp;"&lt;/restock&gt;"</f>
        <v>&lt;restock&gt;0&lt;/restock&gt;</v>
      </c>
      <c r="B6015" t="s">
        <v>693</v>
      </c>
    </row>
    <row r="6016" spans="1:8" x14ac:dyDescent="0.25">
      <c r="A6016" t="str">
        <f>"&lt;min&gt;" &amp;$G$6012&amp;"&lt;/min&gt;"</f>
        <v>&lt;min&gt;1&lt;/min&gt;</v>
      </c>
      <c r="B6016" t="s">
        <v>693</v>
      </c>
    </row>
    <row r="6017" spans="1:8" x14ac:dyDescent="0.25">
      <c r="A6017" t="s">
        <v>16</v>
      </c>
      <c r="B6017" t="s">
        <v>693</v>
      </c>
    </row>
    <row r="6018" spans="1:8" x14ac:dyDescent="0.25">
      <c r="A6018" t="s">
        <v>17</v>
      </c>
      <c r="B6018" t="s">
        <v>693</v>
      </c>
    </row>
    <row r="6019" spans="1:8" x14ac:dyDescent="0.25">
      <c r="A6019" t="s">
        <v>18</v>
      </c>
      <c r="B6019" t="s">
        <v>693</v>
      </c>
    </row>
    <row r="6020" spans="1:8" x14ac:dyDescent="0.25">
      <c r="A6020" t="str">
        <f xml:space="preserve"> $H$6012</f>
        <v>&lt;flags count_in_cargo="0" count_in_hoarder="0" count_in_map="1" count_in_player="0" crafted="0" deloot="0"/&gt;</v>
      </c>
      <c r="B6020" t="s">
        <v>693</v>
      </c>
    </row>
    <row r="6021" spans="1:8" x14ac:dyDescent="0.25">
      <c r="A6021" t="str">
        <f>"&lt;category name=" &amp;"""" &amp;$C$6012&amp;"""/&gt;"</f>
        <v>&lt;category name="tools"/&gt;</v>
      </c>
      <c r="B6021" t="s">
        <v>693</v>
      </c>
    </row>
    <row r="6022" spans="1:8" x14ac:dyDescent="0.25">
      <c r="A6022" t="s">
        <v>25</v>
      </c>
      <c r="B6022" t="s">
        <v>693</v>
      </c>
    </row>
    <row r="6023" spans="1:8" x14ac:dyDescent="0.25">
      <c r="A6023" t="s">
        <v>55</v>
      </c>
      <c r="B6023" t="s">
        <v>693</v>
      </c>
    </row>
    <row r="6024" spans="1:8" x14ac:dyDescent="0.25">
      <c r="A6024" t="s">
        <v>22</v>
      </c>
      <c r="B6024" t="s">
        <v>693</v>
      </c>
    </row>
    <row r="6025" spans="1:8" x14ac:dyDescent="0.25">
      <c r="A6025" t="s">
        <v>1867</v>
      </c>
      <c r="B6025" t="s">
        <v>694</v>
      </c>
      <c r="C6025" t="s">
        <v>426</v>
      </c>
      <c r="D6025">
        <v>2</v>
      </c>
      <c r="E6025">
        <v>2700</v>
      </c>
      <c r="F6025">
        <v>0</v>
      </c>
      <c r="G6025">
        <v>1</v>
      </c>
      <c r="H6025" t="s">
        <v>19</v>
      </c>
    </row>
    <row r="6026" spans="1:8" x14ac:dyDescent="0.25">
      <c r="A6026" t="str">
        <f>"&lt;nominal&gt;" &amp;$D$6025&amp;"&lt;/nominal&gt;"</f>
        <v>&lt;nominal&gt;2&lt;/nominal&gt;</v>
      </c>
      <c r="B6026" t="s">
        <v>694</v>
      </c>
    </row>
    <row r="6027" spans="1:8" x14ac:dyDescent="0.25">
      <c r="A6027" t="str">
        <f>"&lt;lifetime&gt;" &amp;$E$6025&amp;"&lt;/lifetime&gt;"</f>
        <v>&lt;lifetime&gt;2700&lt;/lifetime&gt;</v>
      </c>
      <c r="B6027" t="s">
        <v>694</v>
      </c>
    </row>
    <row r="6028" spans="1:8" x14ac:dyDescent="0.25">
      <c r="A6028" t="str">
        <f>"&lt;restock&gt;" &amp;$F$6025&amp;"&lt;/restock&gt;"</f>
        <v>&lt;restock&gt;0&lt;/restock&gt;</v>
      </c>
      <c r="B6028" t="s">
        <v>694</v>
      </c>
    </row>
    <row r="6029" spans="1:8" x14ac:dyDescent="0.25">
      <c r="A6029" t="str">
        <f>"&lt;min&gt;" &amp;$G$6025&amp;"&lt;/min&gt;"</f>
        <v>&lt;min&gt;1&lt;/min&gt;</v>
      </c>
      <c r="B6029" t="s">
        <v>694</v>
      </c>
    </row>
    <row r="6030" spans="1:8" x14ac:dyDescent="0.25">
      <c r="A6030" t="s">
        <v>16</v>
      </c>
      <c r="B6030" t="s">
        <v>694</v>
      </c>
    </row>
    <row r="6031" spans="1:8" x14ac:dyDescent="0.25">
      <c r="A6031" t="s">
        <v>17</v>
      </c>
      <c r="B6031" t="s">
        <v>694</v>
      </c>
    </row>
    <row r="6032" spans="1:8" x14ac:dyDescent="0.25">
      <c r="A6032" t="s">
        <v>18</v>
      </c>
      <c r="B6032" t="s">
        <v>694</v>
      </c>
    </row>
    <row r="6033" spans="1:8" x14ac:dyDescent="0.25">
      <c r="A6033" t="str">
        <f xml:space="preserve"> $H$6025</f>
        <v>&lt;flags count_in_cargo="0" count_in_hoarder="0" count_in_map="1" count_in_player="0" crafted="0" deloot="0"/&gt;</v>
      </c>
      <c r="B6033" t="s">
        <v>694</v>
      </c>
    </row>
    <row r="6034" spans="1:8" x14ac:dyDescent="0.25">
      <c r="A6034" t="str">
        <f>"&lt;category name=" &amp;"""" &amp;$C$6025&amp;"""/&gt;"</f>
        <v>&lt;category name="tools"/&gt;</v>
      </c>
      <c r="B6034" t="s">
        <v>694</v>
      </c>
    </row>
    <row r="6035" spans="1:8" x14ac:dyDescent="0.25">
      <c r="A6035" t="s">
        <v>25</v>
      </c>
      <c r="B6035" t="s">
        <v>694</v>
      </c>
    </row>
    <row r="6036" spans="1:8" x14ac:dyDescent="0.25">
      <c r="A6036" t="s">
        <v>55</v>
      </c>
      <c r="B6036" t="s">
        <v>694</v>
      </c>
    </row>
    <row r="6037" spans="1:8" x14ac:dyDescent="0.25">
      <c r="A6037" t="s">
        <v>22</v>
      </c>
      <c r="B6037" t="s">
        <v>694</v>
      </c>
    </row>
    <row r="6038" spans="1:8" x14ac:dyDescent="0.25">
      <c r="A6038" t="s">
        <v>1868</v>
      </c>
      <c r="B6038" t="s">
        <v>695</v>
      </c>
      <c r="C6038" t="s">
        <v>426</v>
      </c>
      <c r="D6038">
        <v>2</v>
      </c>
      <c r="E6038">
        <v>2700</v>
      </c>
      <c r="F6038">
        <v>0</v>
      </c>
      <c r="G6038">
        <v>1</v>
      </c>
      <c r="H6038" t="s">
        <v>19</v>
      </c>
    </row>
    <row r="6039" spans="1:8" x14ac:dyDescent="0.25">
      <c r="A6039" t="str">
        <f>"&lt;nominal&gt;" &amp;$D$6038&amp;"&lt;/nominal&gt;"</f>
        <v>&lt;nominal&gt;2&lt;/nominal&gt;</v>
      </c>
      <c r="B6039" t="s">
        <v>695</v>
      </c>
    </row>
    <row r="6040" spans="1:8" x14ac:dyDescent="0.25">
      <c r="A6040" t="str">
        <f>"&lt;lifetime&gt;" &amp;$E$6038&amp;"&lt;/lifetime&gt;"</f>
        <v>&lt;lifetime&gt;2700&lt;/lifetime&gt;</v>
      </c>
      <c r="B6040" t="s">
        <v>695</v>
      </c>
    </row>
    <row r="6041" spans="1:8" x14ac:dyDescent="0.25">
      <c r="A6041" t="str">
        <f>"&lt;restock&gt;" &amp;$F$6038&amp;"&lt;/restock&gt;"</f>
        <v>&lt;restock&gt;0&lt;/restock&gt;</v>
      </c>
      <c r="B6041" t="s">
        <v>695</v>
      </c>
    </row>
    <row r="6042" spans="1:8" x14ac:dyDescent="0.25">
      <c r="A6042" t="str">
        <f>"&lt;min&gt;" &amp;$G$6038&amp;"&lt;/min&gt;"</f>
        <v>&lt;min&gt;1&lt;/min&gt;</v>
      </c>
      <c r="B6042" t="s">
        <v>695</v>
      </c>
    </row>
    <row r="6043" spans="1:8" x14ac:dyDescent="0.25">
      <c r="A6043" t="s">
        <v>16</v>
      </c>
      <c r="B6043" t="s">
        <v>695</v>
      </c>
    </row>
    <row r="6044" spans="1:8" x14ac:dyDescent="0.25">
      <c r="A6044" t="s">
        <v>17</v>
      </c>
      <c r="B6044" t="s">
        <v>695</v>
      </c>
    </row>
    <row r="6045" spans="1:8" x14ac:dyDescent="0.25">
      <c r="A6045" t="s">
        <v>18</v>
      </c>
      <c r="B6045" t="s">
        <v>695</v>
      </c>
    </row>
    <row r="6046" spans="1:8" x14ac:dyDescent="0.25">
      <c r="A6046" t="str">
        <f xml:space="preserve"> $H$6038</f>
        <v>&lt;flags count_in_cargo="0" count_in_hoarder="0" count_in_map="1" count_in_player="0" crafted="0" deloot="0"/&gt;</v>
      </c>
      <c r="B6046" t="s">
        <v>695</v>
      </c>
    </row>
    <row r="6047" spans="1:8" x14ac:dyDescent="0.25">
      <c r="A6047" t="str">
        <f>"&lt;category name=" &amp;"""" &amp;$C$6038&amp;"""/&gt;"</f>
        <v>&lt;category name="tools"/&gt;</v>
      </c>
      <c r="B6047" t="s">
        <v>695</v>
      </c>
    </row>
    <row r="6048" spans="1:8" x14ac:dyDescent="0.25">
      <c r="A6048" t="s">
        <v>25</v>
      </c>
      <c r="B6048" t="s">
        <v>695</v>
      </c>
    </row>
    <row r="6049" spans="1:8" x14ac:dyDescent="0.25">
      <c r="A6049" t="s">
        <v>55</v>
      </c>
      <c r="B6049" t="s">
        <v>695</v>
      </c>
    </row>
    <row r="6050" spans="1:8" x14ac:dyDescent="0.25">
      <c r="A6050" t="s">
        <v>22</v>
      </c>
      <c r="B6050" t="s">
        <v>695</v>
      </c>
    </row>
    <row r="6051" spans="1:8" x14ac:dyDescent="0.25">
      <c r="A6051" t="s">
        <v>1869</v>
      </c>
      <c r="B6051" t="s">
        <v>696</v>
      </c>
      <c r="C6051" t="s">
        <v>426</v>
      </c>
      <c r="D6051">
        <v>2</v>
      </c>
      <c r="E6051">
        <v>2700</v>
      </c>
      <c r="F6051">
        <v>0</v>
      </c>
      <c r="G6051">
        <v>1</v>
      </c>
      <c r="H6051" t="s">
        <v>19</v>
      </c>
    </row>
    <row r="6052" spans="1:8" x14ac:dyDescent="0.25">
      <c r="A6052" t="str">
        <f>"&lt;nominal&gt;" &amp;$D$6051&amp;"&lt;/nominal&gt;"</f>
        <v>&lt;nominal&gt;2&lt;/nominal&gt;</v>
      </c>
      <c r="B6052" t="s">
        <v>696</v>
      </c>
    </row>
    <row r="6053" spans="1:8" x14ac:dyDescent="0.25">
      <c r="A6053" t="str">
        <f>"&lt;lifetime&gt;" &amp;$E$6051&amp;"&lt;/lifetime&gt;"</f>
        <v>&lt;lifetime&gt;2700&lt;/lifetime&gt;</v>
      </c>
      <c r="B6053" t="s">
        <v>696</v>
      </c>
    </row>
    <row r="6054" spans="1:8" x14ac:dyDescent="0.25">
      <c r="A6054" t="str">
        <f>"&lt;restock&gt;" &amp;$F$6051&amp;"&lt;/restock&gt;"</f>
        <v>&lt;restock&gt;0&lt;/restock&gt;</v>
      </c>
      <c r="B6054" t="s">
        <v>696</v>
      </c>
    </row>
    <row r="6055" spans="1:8" x14ac:dyDescent="0.25">
      <c r="A6055" t="str">
        <f>"&lt;min&gt;" &amp;$G$6051&amp;"&lt;/min&gt;"</f>
        <v>&lt;min&gt;1&lt;/min&gt;</v>
      </c>
      <c r="B6055" t="s">
        <v>696</v>
      </c>
    </row>
    <row r="6056" spans="1:8" x14ac:dyDescent="0.25">
      <c r="A6056" t="s">
        <v>16</v>
      </c>
      <c r="B6056" t="s">
        <v>696</v>
      </c>
    </row>
    <row r="6057" spans="1:8" x14ac:dyDescent="0.25">
      <c r="A6057" t="s">
        <v>17</v>
      </c>
      <c r="B6057" t="s">
        <v>696</v>
      </c>
    </row>
    <row r="6058" spans="1:8" x14ac:dyDescent="0.25">
      <c r="A6058" t="s">
        <v>18</v>
      </c>
      <c r="B6058" t="s">
        <v>696</v>
      </c>
    </row>
    <row r="6059" spans="1:8" x14ac:dyDescent="0.25">
      <c r="A6059" t="str">
        <f xml:space="preserve"> $H$6051</f>
        <v>&lt;flags count_in_cargo="0" count_in_hoarder="0" count_in_map="1" count_in_player="0" crafted="0" deloot="0"/&gt;</v>
      </c>
      <c r="B6059" t="s">
        <v>696</v>
      </c>
    </row>
    <row r="6060" spans="1:8" x14ac:dyDescent="0.25">
      <c r="A6060" t="str">
        <f>"&lt;category name=" &amp;"""" &amp;$C$6051&amp;"""/&gt;"</f>
        <v>&lt;category name="tools"/&gt;</v>
      </c>
      <c r="B6060" t="s">
        <v>696</v>
      </c>
    </row>
    <row r="6061" spans="1:8" x14ac:dyDescent="0.25">
      <c r="A6061" t="s">
        <v>25</v>
      </c>
      <c r="B6061" t="s">
        <v>696</v>
      </c>
    </row>
    <row r="6062" spans="1:8" x14ac:dyDescent="0.25">
      <c r="A6062" t="s">
        <v>55</v>
      </c>
      <c r="B6062" t="s">
        <v>696</v>
      </c>
    </row>
    <row r="6063" spans="1:8" x14ac:dyDescent="0.25">
      <c r="A6063" t="s">
        <v>22</v>
      </c>
      <c r="B6063" t="s">
        <v>696</v>
      </c>
    </row>
    <row r="6064" spans="1:8" x14ac:dyDescent="0.25">
      <c r="A6064" t="s">
        <v>1870</v>
      </c>
      <c r="B6064" t="s">
        <v>697</v>
      </c>
      <c r="C6064" t="s">
        <v>426</v>
      </c>
      <c r="D6064">
        <v>2</v>
      </c>
      <c r="E6064">
        <v>2700</v>
      </c>
      <c r="F6064">
        <v>0</v>
      </c>
      <c r="G6064">
        <v>1</v>
      </c>
      <c r="H6064" t="s">
        <v>19</v>
      </c>
    </row>
    <row r="6065" spans="1:8" x14ac:dyDescent="0.25">
      <c r="A6065" t="str">
        <f>"&lt;nominal&gt;" &amp;$D$6064&amp;"&lt;/nominal&gt;"</f>
        <v>&lt;nominal&gt;2&lt;/nominal&gt;</v>
      </c>
      <c r="B6065" t="s">
        <v>697</v>
      </c>
    </row>
    <row r="6066" spans="1:8" x14ac:dyDescent="0.25">
      <c r="A6066" t="str">
        <f>"&lt;lifetime&gt;" &amp;$E$6064&amp;"&lt;/lifetime&gt;"</f>
        <v>&lt;lifetime&gt;2700&lt;/lifetime&gt;</v>
      </c>
      <c r="B6066" t="s">
        <v>697</v>
      </c>
    </row>
    <row r="6067" spans="1:8" x14ac:dyDescent="0.25">
      <c r="A6067" t="str">
        <f>"&lt;restock&gt;" &amp;$F$6064&amp;"&lt;/restock&gt;"</f>
        <v>&lt;restock&gt;0&lt;/restock&gt;</v>
      </c>
      <c r="B6067" t="s">
        <v>697</v>
      </c>
    </row>
    <row r="6068" spans="1:8" x14ac:dyDescent="0.25">
      <c r="A6068" t="str">
        <f>"&lt;min&gt;" &amp;$G$6064&amp;"&lt;/min&gt;"</f>
        <v>&lt;min&gt;1&lt;/min&gt;</v>
      </c>
      <c r="B6068" t="s">
        <v>697</v>
      </c>
    </row>
    <row r="6069" spans="1:8" x14ac:dyDescent="0.25">
      <c r="A6069" t="s">
        <v>16</v>
      </c>
      <c r="B6069" t="s">
        <v>697</v>
      </c>
    </row>
    <row r="6070" spans="1:8" x14ac:dyDescent="0.25">
      <c r="A6070" t="s">
        <v>17</v>
      </c>
      <c r="B6070" t="s">
        <v>697</v>
      </c>
    </row>
    <row r="6071" spans="1:8" x14ac:dyDescent="0.25">
      <c r="A6071" t="s">
        <v>18</v>
      </c>
      <c r="B6071" t="s">
        <v>697</v>
      </c>
    </row>
    <row r="6072" spans="1:8" x14ac:dyDescent="0.25">
      <c r="A6072" t="str">
        <f xml:space="preserve"> $H$6064</f>
        <v>&lt;flags count_in_cargo="0" count_in_hoarder="0" count_in_map="1" count_in_player="0" crafted="0" deloot="0"/&gt;</v>
      </c>
      <c r="B6072" t="s">
        <v>697</v>
      </c>
    </row>
    <row r="6073" spans="1:8" x14ac:dyDescent="0.25">
      <c r="A6073" t="str">
        <f>"&lt;category name=" &amp;"""" &amp;$C$6064&amp;"""/&gt;"</f>
        <v>&lt;category name="tools"/&gt;</v>
      </c>
      <c r="B6073" t="s">
        <v>697</v>
      </c>
    </row>
    <row r="6074" spans="1:8" x14ac:dyDescent="0.25">
      <c r="A6074" t="s">
        <v>22</v>
      </c>
      <c r="B6074" t="s">
        <v>697</v>
      </c>
    </row>
    <row r="6075" spans="1:8" x14ac:dyDescent="0.25">
      <c r="A6075" t="s">
        <v>1871</v>
      </c>
      <c r="B6075" t="s">
        <v>698</v>
      </c>
      <c r="C6075" t="s">
        <v>426</v>
      </c>
      <c r="D6075">
        <v>2</v>
      </c>
      <c r="E6075">
        <v>2700</v>
      </c>
      <c r="F6075">
        <v>0</v>
      </c>
      <c r="G6075">
        <v>1</v>
      </c>
      <c r="H6075" t="s">
        <v>19</v>
      </c>
    </row>
    <row r="6076" spans="1:8" x14ac:dyDescent="0.25">
      <c r="A6076" t="str">
        <f>"&lt;nominal&gt;" &amp;$D$6075&amp;"&lt;/nominal&gt;"</f>
        <v>&lt;nominal&gt;2&lt;/nominal&gt;</v>
      </c>
      <c r="B6076" t="s">
        <v>698</v>
      </c>
    </row>
    <row r="6077" spans="1:8" x14ac:dyDescent="0.25">
      <c r="A6077" t="str">
        <f>"&lt;lifetime&gt;" &amp;$E$6075&amp;"&lt;/lifetime&gt;"</f>
        <v>&lt;lifetime&gt;2700&lt;/lifetime&gt;</v>
      </c>
      <c r="B6077" t="s">
        <v>698</v>
      </c>
    </row>
    <row r="6078" spans="1:8" x14ac:dyDescent="0.25">
      <c r="A6078" t="str">
        <f>"&lt;restock&gt;" &amp;$F$6075&amp;"&lt;/restock&gt;"</f>
        <v>&lt;restock&gt;0&lt;/restock&gt;</v>
      </c>
      <c r="B6078" t="s">
        <v>698</v>
      </c>
    </row>
    <row r="6079" spans="1:8" x14ac:dyDescent="0.25">
      <c r="A6079" t="str">
        <f>"&lt;min&gt;" &amp;$G$6075&amp;"&lt;/min&gt;"</f>
        <v>&lt;min&gt;1&lt;/min&gt;</v>
      </c>
      <c r="B6079" t="s">
        <v>698</v>
      </c>
    </row>
    <row r="6080" spans="1:8" x14ac:dyDescent="0.25">
      <c r="A6080" t="s">
        <v>16</v>
      </c>
      <c r="B6080" t="s">
        <v>698</v>
      </c>
    </row>
    <row r="6081" spans="1:8" x14ac:dyDescent="0.25">
      <c r="A6081" t="s">
        <v>17</v>
      </c>
      <c r="B6081" t="s">
        <v>698</v>
      </c>
    </row>
    <row r="6082" spans="1:8" x14ac:dyDescent="0.25">
      <c r="A6082" t="s">
        <v>18</v>
      </c>
      <c r="B6082" t="s">
        <v>698</v>
      </c>
    </row>
    <row r="6083" spans="1:8" x14ac:dyDescent="0.25">
      <c r="A6083" t="str">
        <f xml:space="preserve"> $H$6075</f>
        <v>&lt;flags count_in_cargo="0" count_in_hoarder="0" count_in_map="1" count_in_player="0" crafted="0" deloot="0"/&gt;</v>
      </c>
      <c r="B6083" t="s">
        <v>698</v>
      </c>
    </row>
    <row r="6084" spans="1:8" x14ac:dyDescent="0.25">
      <c r="A6084" t="str">
        <f>"&lt;category name=" &amp;"""" &amp;$C$6075&amp;"""/&gt;"</f>
        <v>&lt;category name="tools"/&gt;</v>
      </c>
      <c r="B6084" t="s">
        <v>698</v>
      </c>
    </row>
    <row r="6085" spans="1:8" x14ac:dyDescent="0.25">
      <c r="A6085" t="s">
        <v>25</v>
      </c>
      <c r="B6085" t="s">
        <v>698</v>
      </c>
    </row>
    <row r="6086" spans="1:8" x14ac:dyDescent="0.25">
      <c r="A6086" t="s">
        <v>55</v>
      </c>
      <c r="B6086" t="s">
        <v>698</v>
      </c>
    </row>
    <row r="6087" spans="1:8" x14ac:dyDescent="0.25">
      <c r="A6087" t="s">
        <v>22</v>
      </c>
      <c r="B6087" t="s">
        <v>698</v>
      </c>
    </row>
    <row r="6088" spans="1:8" x14ac:dyDescent="0.25">
      <c r="A6088" t="s">
        <v>1872</v>
      </c>
      <c r="B6088" t="s">
        <v>699</v>
      </c>
      <c r="C6088" t="s">
        <v>426</v>
      </c>
      <c r="D6088">
        <v>2</v>
      </c>
      <c r="E6088">
        <v>2700</v>
      </c>
      <c r="F6088">
        <v>0</v>
      </c>
      <c r="G6088">
        <v>1</v>
      </c>
      <c r="H6088" t="s">
        <v>19</v>
      </c>
    </row>
    <row r="6089" spans="1:8" x14ac:dyDescent="0.25">
      <c r="A6089" t="str">
        <f>"&lt;nominal&gt;" &amp;$D$6088&amp;"&lt;/nominal&gt;"</f>
        <v>&lt;nominal&gt;2&lt;/nominal&gt;</v>
      </c>
      <c r="B6089" t="s">
        <v>699</v>
      </c>
    </row>
    <row r="6090" spans="1:8" x14ac:dyDescent="0.25">
      <c r="A6090" t="str">
        <f>"&lt;lifetime&gt;" &amp;$E$6088&amp;"&lt;/lifetime&gt;"</f>
        <v>&lt;lifetime&gt;2700&lt;/lifetime&gt;</v>
      </c>
      <c r="B6090" t="s">
        <v>699</v>
      </c>
    </row>
    <row r="6091" spans="1:8" x14ac:dyDescent="0.25">
      <c r="A6091" t="str">
        <f>"&lt;restock&gt;" &amp;$F$6088&amp;"&lt;/restock&gt;"</f>
        <v>&lt;restock&gt;0&lt;/restock&gt;</v>
      </c>
      <c r="B6091" t="s">
        <v>699</v>
      </c>
    </row>
    <row r="6092" spans="1:8" x14ac:dyDescent="0.25">
      <c r="A6092" t="str">
        <f>"&lt;min&gt;" &amp;$G$6088&amp;"&lt;/min&gt;"</f>
        <v>&lt;min&gt;1&lt;/min&gt;</v>
      </c>
      <c r="B6092" t="s">
        <v>699</v>
      </c>
    </row>
    <row r="6093" spans="1:8" x14ac:dyDescent="0.25">
      <c r="A6093" t="s">
        <v>16</v>
      </c>
      <c r="B6093" t="s">
        <v>699</v>
      </c>
    </row>
    <row r="6094" spans="1:8" x14ac:dyDescent="0.25">
      <c r="A6094" t="s">
        <v>17</v>
      </c>
      <c r="B6094" t="s">
        <v>699</v>
      </c>
    </row>
    <row r="6095" spans="1:8" x14ac:dyDescent="0.25">
      <c r="A6095" t="s">
        <v>18</v>
      </c>
      <c r="B6095" t="s">
        <v>699</v>
      </c>
    </row>
    <row r="6096" spans="1:8" x14ac:dyDescent="0.25">
      <c r="A6096" t="str">
        <f xml:space="preserve"> $H$6088</f>
        <v>&lt;flags count_in_cargo="0" count_in_hoarder="0" count_in_map="1" count_in_player="0" crafted="0" deloot="0"/&gt;</v>
      </c>
      <c r="B6096" t="s">
        <v>699</v>
      </c>
    </row>
    <row r="6097" spans="1:8" x14ac:dyDescent="0.25">
      <c r="A6097" t="str">
        <f>"&lt;category name=" &amp;"""" &amp;$C$6088&amp;"""/&gt;"</f>
        <v>&lt;category name="tools"/&gt;</v>
      </c>
      <c r="B6097" t="s">
        <v>699</v>
      </c>
    </row>
    <row r="6098" spans="1:8" x14ac:dyDescent="0.25">
      <c r="A6098" t="s">
        <v>25</v>
      </c>
      <c r="B6098" t="s">
        <v>699</v>
      </c>
    </row>
    <row r="6099" spans="1:8" x14ac:dyDescent="0.25">
      <c r="A6099" t="s">
        <v>55</v>
      </c>
      <c r="B6099" t="s">
        <v>699</v>
      </c>
    </row>
    <row r="6100" spans="1:8" x14ac:dyDescent="0.25">
      <c r="A6100" t="s">
        <v>22</v>
      </c>
      <c r="B6100" t="s">
        <v>699</v>
      </c>
    </row>
    <row r="6101" spans="1:8" x14ac:dyDescent="0.25">
      <c r="A6101" t="s">
        <v>1873</v>
      </c>
      <c r="B6101" t="s">
        <v>3423</v>
      </c>
      <c r="C6101" t="s">
        <v>426</v>
      </c>
      <c r="D6101">
        <v>0</v>
      </c>
      <c r="E6101">
        <v>1800</v>
      </c>
      <c r="F6101">
        <v>0</v>
      </c>
      <c r="G6101">
        <v>0</v>
      </c>
      <c r="H6101" t="s">
        <v>62</v>
      </c>
    </row>
    <row r="6102" spans="1:8" x14ac:dyDescent="0.25">
      <c r="A6102" t="str">
        <f>"&lt;nominal&gt;" &amp;$D$6101&amp;"&lt;/nominal&gt;"</f>
        <v>&lt;nominal&gt;0&lt;/nominal&gt;</v>
      </c>
      <c r="B6102" t="s">
        <v>3423</v>
      </c>
    </row>
    <row r="6103" spans="1:8" x14ac:dyDescent="0.25">
      <c r="A6103" t="str">
        <f>"&lt;lifetime&gt;" &amp;$E$6101&amp;"&lt;/lifetime&gt;"</f>
        <v>&lt;lifetime&gt;1800&lt;/lifetime&gt;</v>
      </c>
      <c r="B6103" t="s">
        <v>3423</v>
      </c>
    </row>
    <row r="6104" spans="1:8" x14ac:dyDescent="0.25">
      <c r="A6104" t="str">
        <f>"&lt;restock&gt;" &amp;$F$6101&amp;"&lt;/restock&gt;"</f>
        <v>&lt;restock&gt;0&lt;/restock&gt;</v>
      </c>
      <c r="B6104" t="s">
        <v>3423</v>
      </c>
    </row>
    <row r="6105" spans="1:8" x14ac:dyDescent="0.25">
      <c r="A6105" t="str">
        <f>"&lt;min&gt;" &amp;$G$6101&amp;"&lt;/min&gt;"</f>
        <v>&lt;min&gt;0&lt;/min&gt;</v>
      </c>
      <c r="B6105" t="s">
        <v>3423</v>
      </c>
    </row>
    <row r="6106" spans="1:8" x14ac:dyDescent="0.25">
      <c r="A6106" t="s">
        <v>16</v>
      </c>
      <c r="B6106" t="s">
        <v>3423</v>
      </c>
    </row>
    <row r="6107" spans="1:8" x14ac:dyDescent="0.25">
      <c r="A6107" t="s">
        <v>17</v>
      </c>
      <c r="B6107" t="s">
        <v>3423</v>
      </c>
    </row>
    <row r="6108" spans="1:8" x14ac:dyDescent="0.25">
      <c r="A6108" t="s">
        <v>18</v>
      </c>
      <c r="B6108" t="s">
        <v>3423</v>
      </c>
    </row>
    <row r="6109" spans="1:8" x14ac:dyDescent="0.25">
      <c r="A6109" t="str">
        <f xml:space="preserve"> $H$6101</f>
        <v>&lt;flags count_in_cargo="0" count_in_hoarder="0" count_in_map="1" count_in_player="0" crafted="1" deloot="0"/&gt;</v>
      </c>
      <c r="B6109" t="s">
        <v>3423</v>
      </c>
    </row>
    <row r="6110" spans="1:8" x14ac:dyDescent="0.25">
      <c r="A6110" t="str">
        <f>"&lt;category name=" &amp;"""" &amp;$C$6101&amp;"""/&gt;"</f>
        <v>&lt;category name="tools"/&gt;</v>
      </c>
      <c r="B6110" t="s">
        <v>3423</v>
      </c>
    </row>
    <row r="6111" spans="1:8" x14ac:dyDescent="0.25">
      <c r="A6111" t="s">
        <v>22</v>
      </c>
      <c r="B6111" t="s">
        <v>3423</v>
      </c>
    </row>
    <row r="6112" spans="1:8" x14ac:dyDescent="0.25">
      <c r="A6112" t="s">
        <v>1874</v>
      </c>
      <c r="B6112" t="s">
        <v>700</v>
      </c>
      <c r="D6112">
        <v>0</v>
      </c>
      <c r="E6112">
        <v>3888000</v>
      </c>
      <c r="F6112">
        <v>1800</v>
      </c>
      <c r="G6112">
        <v>0</v>
      </c>
      <c r="H6112" t="s">
        <v>19</v>
      </c>
    </row>
    <row r="6113" spans="1:8" x14ac:dyDescent="0.25">
      <c r="A6113" t="str">
        <f>"&lt;nominal&gt;" &amp;$D$6112&amp;"&lt;/nominal&gt;"</f>
        <v>&lt;nominal&gt;0&lt;/nominal&gt;</v>
      </c>
      <c r="B6113" t="s">
        <v>700</v>
      </c>
    </row>
    <row r="6114" spans="1:8" x14ac:dyDescent="0.25">
      <c r="A6114" t="str">
        <f>"&lt;lifetime&gt;" &amp;$E$6112&amp;"&lt;/lifetime&gt;"</f>
        <v>&lt;lifetime&gt;3888000&lt;/lifetime&gt;</v>
      </c>
      <c r="B6114" t="s">
        <v>700</v>
      </c>
    </row>
    <row r="6115" spans="1:8" x14ac:dyDescent="0.25">
      <c r="A6115" t="str">
        <f>"&lt;restock&gt;" &amp;$F$6112&amp;"&lt;/restock&gt;"</f>
        <v>&lt;restock&gt;1800&lt;/restock&gt;</v>
      </c>
      <c r="B6115" t="s">
        <v>700</v>
      </c>
    </row>
    <row r="6116" spans="1:8" x14ac:dyDescent="0.25">
      <c r="A6116" t="str">
        <f>"&lt;min&gt;" &amp;$G$6112&amp;"&lt;/min&gt;"</f>
        <v>&lt;min&gt;0&lt;/min&gt;</v>
      </c>
      <c r="B6116" t="s">
        <v>700</v>
      </c>
    </row>
    <row r="6117" spans="1:8" x14ac:dyDescent="0.25">
      <c r="A6117" t="s">
        <v>16</v>
      </c>
      <c r="B6117" t="s">
        <v>700</v>
      </c>
    </row>
    <row r="6118" spans="1:8" x14ac:dyDescent="0.25">
      <c r="A6118" t="s">
        <v>17</v>
      </c>
      <c r="B6118" t="s">
        <v>700</v>
      </c>
    </row>
    <row r="6119" spans="1:8" x14ac:dyDescent="0.25">
      <c r="A6119" t="s">
        <v>18</v>
      </c>
      <c r="B6119" t="s">
        <v>700</v>
      </c>
    </row>
    <row r="6120" spans="1:8" x14ac:dyDescent="0.25">
      <c r="A6120" t="str">
        <f xml:space="preserve"> $H$6112</f>
        <v>&lt;flags count_in_cargo="0" count_in_hoarder="0" count_in_map="1" count_in_player="0" crafted="0" deloot="0"/&gt;</v>
      </c>
      <c r="B6120" t="s">
        <v>700</v>
      </c>
    </row>
    <row r="6121" spans="1:8" x14ac:dyDescent="0.25">
      <c r="A6121" t="s">
        <v>22</v>
      </c>
      <c r="B6121" t="s">
        <v>700</v>
      </c>
    </row>
    <row r="6122" spans="1:8" x14ac:dyDescent="0.25">
      <c r="A6122" t="s">
        <v>1875</v>
      </c>
      <c r="B6122" t="s">
        <v>701</v>
      </c>
      <c r="D6122">
        <v>0</v>
      </c>
      <c r="E6122">
        <v>3888000</v>
      </c>
      <c r="F6122">
        <v>1800</v>
      </c>
      <c r="G6122">
        <v>0</v>
      </c>
      <c r="H6122" t="s">
        <v>19</v>
      </c>
    </row>
    <row r="6123" spans="1:8" x14ac:dyDescent="0.25">
      <c r="A6123" t="str">
        <f>"&lt;nominal&gt;" &amp;$D$6122&amp;"&lt;/nominal&gt;"</f>
        <v>&lt;nominal&gt;0&lt;/nominal&gt;</v>
      </c>
      <c r="B6123" t="s">
        <v>701</v>
      </c>
    </row>
    <row r="6124" spans="1:8" x14ac:dyDescent="0.25">
      <c r="A6124" t="str">
        <f>"&lt;lifetime&gt;" &amp;$E$6122&amp;"&lt;/lifetime&gt;"</f>
        <v>&lt;lifetime&gt;3888000&lt;/lifetime&gt;</v>
      </c>
      <c r="B6124" t="s">
        <v>701</v>
      </c>
    </row>
    <row r="6125" spans="1:8" x14ac:dyDescent="0.25">
      <c r="A6125" t="str">
        <f>"&lt;restock&gt;" &amp;$F$6122&amp;"&lt;/restock&gt;"</f>
        <v>&lt;restock&gt;1800&lt;/restock&gt;</v>
      </c>
      <c r="B6125" t="s">
        <v>701</v>
      </c>
    </row>
    <row r="6126" spans="1:8" x14ac:dyDescent="0.25">
      <c r="A6126" t="str">
        <f>"&lt;min&gt;" &amp;$G$6122&amp;"&lt;/min&gt;"</f>
        <v>&lt;min&gt;0&lt;/min&gt;</v>
      </c>
      <c r="B6126" t="s">
        <v>701</v>
      </c>
    </row>
    <row r="6127" spans="1:8" x14ac:dyDescent="0.25">
      <c r="A6127" t="s">
        <v>16</v>
      </c>
      <c r="B6127" t="s">
        <v>701</v>
      </c>
    </row>
    <row r="6128" spans="1:8" x14ac:dyDescent="0.25">
      <c r="A6128" t="s">
        <v>17</v>
      </c>
      <c r="B6128" t="s">
        <v>701</v>
      </c>
    </row>
    <row r="6129" spans="1:8" x14ac:dyDescent="0.25">
      <c r="A6129" t="s">
        <v>18</v>
      </c>
      <c r="B6129" t="s">
        <v>701</v>
      </c>
    </row>
    <row r="6130" spans="1:8" x14ac:dyDescent="0.25">
      <c r="A6130" t="str">
        <f xml:space="preserve"> $H$6122</f>
        <v>&lt;flags count_in_cargo="0" count_in_hoarder="0" count_in_map="1" count_in_player="0" crafted="0" deloot="0"/&gt;</v>
      </c>
      <c r="B6130" t="s">
        <v>701</v>
      </c>
    </row>
    <row r="6131" spans="1:8" x14ac:dyDescent="0.25">
      <c r="A6131" t="s">
        <v>22</v>
      </c>
      <c r="B6131" t="s">
        <v>701</v>
      </c>
    </row>
    <row r="6132" spans="1:8" x14ac:dyDescent="0.25">
      <c r="A6132" t="s">
        <v>1876</v>
      </c>
      <c r="B6132" t="s">
        <v>702</v>
      </c>
      <c r="D6132">
        <v>0</v>
      </c>
      <c r="E6132">
        <v>3888000</v>
      </c>
      <c r="F6132">
        <v>1800</v>
      </c>
      <c r="G6132">
        <v>0</v>
      </c>
      <c r="H6132" t="s">
        <v>19</v>
      </c>
    </row>
    <row r="6133" spans="1:8" x14ac:dyDescent="0.25">
      <c r="A6133" t="str">
        <f>"&lt;nominal&gt;" &amp;$D$6132&amp;"&lt;/nominal&gt;"</f>
        <v>&lt;nominal&gt;0&lt;/nominal&gt;</v>
      </c>
      <c r="B6133" t="s">
        <v>702</v>
      </c>
    </row>
    <row r="6134" spans="1:8" x14ac:dyDescent="0.25">
      <c r="A6134" t="str">
        <f>"&lt;lifetime&gt;" &amp;$E$6132&amp;"&lt;/lifetime&gt;"</f>
        <v>&lt;lifetime&gt;3888000&lt;/lifetime&gt;</v>
      </c>
      <c r="B6134" t="s">
        <v>702</v>
      </c>
    </row>
    <row r="6135" spans="1:8" x14ac:dyDescent="0.25">
      <c r="A6135" t="str">
        <f>"&lt;restock&gt;" &amp;$F$6132&amp;"&lt;/restock&gt;"</f>
        <v>&lt;restock&gt;1800&lt;/restock&gt;</v>
      </c>
      <c r="B6135" t="s">
        <v>702</v>
      </c>
    </row>
    <row r="6136" spans="1:8" x14ac:dyDescent="0.25">
      <c r="A6136" t="str">
        <f>"&lt;min&gt;" &amp;$G$6132&amp;"&lt;/min&gt;"</f>
        <v>&lt;min&gt;0&lt;/min&gt;</v>
      </c>
      <c r="B6136" t="s">
        <v>702</v>
      </c>
    </row>
    <row r="6137" spans="1:8" x14ac:dyDescent="0.25">
      <c r="A6137" t="s">
        <v>16</v>
      </c>
      <c r="B6137" t="s">
        <v>702</v>
      </c>
    </row>
    <row r="6138" spans="1:8" x14ac:dyDescent="0.25">
      <c r="A6138" t="s">
        <v>17</v>
      </c>
      <c r="B6138" t="s">
        <v>702</v>
      </c>
    </row>
    <row r="6139" spans="1:8" x14ac:dyDescent="0.25">
      <c r="A6139" t="s">
        <v>18</v>
      </c>
      <c r="B6139" t="s">
        <v>702</v>
      </c>
    </row>
    <row r="6140" spans="1:8" x14ac:dyDescent="0.25">
      <c r="A6140" t="str">
        <f xml:space="preserve"> $H$6132</f>
        <v>&lt;flags count_in_cargo="0" count_in_hoarder="0" count_in_map="1" count_in_player="0" crafted="0" deloot="0"/&gt;</v>
      </c>
      <c r="B6140" t="s">
        <v>702</v>
      </c>
    </row>
    <row r="6141" spans="1:8" x14ac:dyDescent="0.25">
      <c r="A6141" t="s">
        <v>22</v>
      </c>
      <c r="B6141" t="s">
        <v>702</v>
      </c>
    </row>
    <row r="6142" spans="1:8" x14ac:dyDescent="0.25">
      <c r="A6142" t="s">
        <v>1877</v>
      </c>
      <c r="B6142" t="s">
        <v>703</v>
      </c>
      <c r="C6142" t="s">
        <v>426</v>
      </c>
      <c r="D6142">
        <v>2</v>
      </c>
      <c r="E6142">
        <v>2700</v>
      </c>
      <c r="F6142">
        <v>0</v>
      </c>
      <c r="G6142">
        <v>1</v>
      </c>
      <c r="H6142" t="s">
        <v>19</v>
      </c>
    </row>
    <row r="6143" spans="1:8" x14ac:dyDescent="0.25">
      <c r="A6143" t="str">
        <f>"&lt;nominal&gt;" &amp;$D$6142&amp;"&lt;/nominal&gt;"</f>
        <v>&lt;nominal&gt;2&lt;/nominal&gt;</v>
      </c>
      <c r="B6143" t="s">
        <v>703</v>
      </c>
    </row>
    <row r="6144" spans="1:8" x14ac:dyDescent="0.25">
      <c r="A6144" t="str">
        <f>"&lt;lifetime&gt;" &amp;$E$6142&amp;"&lt;/lifetime&gt;"</f>
        <v>&lt;lifetime&gt;2700&lt;/lifetime&gt;</v>
      </c>
      <c r="B6144" t="s">
        <v>703</v>
      </c>
    </row>
    <row r="6145" spans="1:8" x14ac:dyDescent="0.25">
      <c r="A6145" t="str">
        <f>"&lt;restock&gt;" &amp;$F$6142&amp;"&lt;/restock&gt;"</f>
        <v>&lt;restock&gt;0&lt;/restock&gt;</v>
      </c>
      <c r="B6145" t="s">
        <v>703</v>
      </c>
    </row>
    <row r="6146" spans="1:8" x14ac:dyDescent="0.25">
      <c r="A6146" t="str">
        <f>"&lt;min&gt;" &amp;$G$6142&amp;"&lt;/min&gt;"</f>
        <v>&lt;min&gt;1&lt;/min&gt;</v>
      </c>
      <c r="B6146" t="s">
        <v>703</v>
      </c>
    </row>
    <row r="6147" spans="1:8" x14ac:dyDescent="0.25">
      <c r="A6147" t="s">
        <v>16</v>
      </c>
      <c r="B6147" t="s">
        <v>703</v>
      </c>
    </row>
    <row r="6148" spans="1:8" x14ac:dyDescent="0.25">
      <c r="A6148" t="s">
        <v>17</v>
      </c>
      <c r="B6148" t="s">
        <v>703</v>
      </c>
    </row>
    <row r="6149" spans="1:8" x14ac:dyDescent="0.25">
      <c r="A6149" t="s">
        <v>18</v>
      </c>
      <c r="B6149" t="s">
        <v>703</v>
      </c>
    </row>
    <row r="6150" spans="1:8" x14ac:dyDescent="0.25">
      <c r="A6150" t="str">
        <f xml:space="preserve"> $H$6142</f>
        <v>&lt;flags count_in_cargo="0" count_in_hoarder="0" count_in_map="1" count_in_player="0" crafted="0" deloot="0"/&gt;</v>
      </c>
      <c r="B6150" t="s">
        <v>703</v>
      </c>
    </row>
    <row r="6151" spans="1:8" x14ac:dyDescent="0.25">
      <c r="A6151" t="str">
        <f>"&lt;category name=" &amp;"""" &amp;$C$6142&amp;"""/&gt;"</f>
        <v>&lt;category name="tools"/&gt;</v>
      </c>
      <c r="B6151" t="s">
        <v>703</v>
      </c>
    </row>
    <row r="6152" spans="1:8" x14ac:dyDescent="0.25">
      <c r="A6152" t="s">
        <v>25</v>
      </c>
      <c r="B6152" t="s">
        <v>703</v>
      </c>
    </row>
    <row r="6153" spans="1:8" x14ac:dyDescent="0.25">
      <c r="A6153" t="s">
        <v>55</v>
      </c>
      <c r="B6153" t="s">
        <v>703</v>
      </c>
    </row>
    <row r="6154" spans="1:8" x14ac:dyDescent="0.25">
      <c r="A6154" t="s">
        <v>22</v>
      </c>
      <c r="B6154" t="s">
        <v>703</v>
      </c>
    </row>
    <row r="6155" spans="1:8" x14ac:dyDescent="0.25">
      <c r="A6155" t="s">
        <v>1878</v>
      </c>
      <c r="B6155" t="s">
        <v>704</v>
      </c>
      <c r="C6155" t="s">
        <v>426</v>
      </c>
      <c r="D6155">
        <v>2</v>
      </c>
      <c r="E6155">
        <v>2700</v>
      </c>
      <c r="F6155">
        <v>0</v>
      </c>
      <c r="G6155">
        <v>1</v>
      </c>
      <c r="H6155" t="s">
        <v>19</v>
      </c>
    </row>
    <row r="6156" spans="1:8" x14ac:dyDescent="0.25">
      <c r="A6156" t="str">
        <f>"&lt;nominal&gt;" &amp;$D$6155&amp;"&lt;/nominal&gt;"</f>
        <v>&lt;nominal&gt;2&lt;/nominal&gt;</v>
      </c>
      <c r="B6156" t="s">
        <v>704</v>
      </c>
    </row>
    <row r="6157" spans="1:8" x14ac:dyDescent="0.25">
      <c r="A6157" t="str">
        <f>"&lt;lifetime&gt;" &amp;$E$6155&amp;"&lt;/lifetime&gt;"</f>
        <v>&lt;lifetime&gt;2700&lt;/lifetime&gt;</v>
      </c>
      <c r="B6157" t="s">
        <v>704</v>
      </c>
    </row>
    <row r="6158" spans="1:8" x14ac:dyDescent="0.25">
      <c r="A6158" t="str">
        <f>"&lt;restock&gt;" &amp;$F$6155&amp;"&lt;/restock&gt;"</f>
        <v>&lt;restock&gt;0&lt;/restock&gt;</v>
      </c>
      <c r="B6158" t="s">
        <v>704</v>
      </c>
    </row>
    <row r="6159" spans="1:8" x14ac:dyDescent="0.25">
      <c r="A6159" t="str">
        <f>"&lt;min&gt;" &amp;$G$6155&amp;"&lt;/min&gt;"</f>
        <v>&lt;min&gt;1&lt;/min&gt;</v>
      </c>
      <c r="B6159" t="s">
        <v>704</v>
      </c>
    </row>
    <row r="6160" spans="1:8" x14ac:dyDescent="0.25">
      <c r="A6160" t="s">
        <v>16</v>
      </c>
      <c r="B6160" t="s">
        <v>704</v>
      </c>
    </row>
    <row r="6161" spans="1:8" x14ac:dyDescent="0.25">
      <c r="A6161" t="s">
        <v>17</v>
      </c>
      <c r="B6161" t="s">
        <v>704</v>
      </c>
    </row>
    <row r="6162" spans="1:8" x14ac:dyDescent="0.25">
      <c r="A6162" t="s">
        <v>18</v>
      </c>
      <c r="B6162" t="s">
        <v>704</v>
      </c>
    </row>
    <row r="6163" spans="1:8" x14ac:dyDescent="0.25">
      <c r="A6163" t="str">
        <f xml:space="preserve"> $H$6155</f>
        <v>&lt;flags count_in_cargo="0" count_in_hoarder="0" count_in_map="1" count_in_player="0" crafted="0" deloot="0"/&gt;</v>
      </c>
      <c r="B6163" t="s">
        <v>704</v>
      </c>
    </row>
    <row r="6164" spans="1:8" x14ac:dyDescent="0.25">
      <c r="A6164" t="str">
        <f>"&lt;category name=" &amp;"""" &amp;$C$6155&amp;"""/&gt;"</f>
        <v>&lt;category name="tools"/&gt;</v>
      </c>
      <c r="B6164" t="s">
        <v>704</v>
      </c>
    </row>
    <row r="6165" spans="1:8" x14ac:dyDescent="0.25">
      <c r="A6165" t="s">
        <v>25</v>
      </c>
      <c r="B6165" t="s">
        <v>704</v>
      </c>
    </row>
    <row r="6166" spans="1:8" x14ac:dyDescent="0.25">
      <c r="A6166" t="s">
        <v>55</v>
      </c>
      <c r="B6166" t="s">
        <v>704</v>
      </c>
    </row>
    <row r="6167" spans="1:8" x14ac:dyDescent="0.25">
      <c r="A6167" t="s">
        <v>22</v>
      </c>
      <c r="B6167" t="s">
        <v>704</v>
      </c>
    </row>
    <row r="6168" spans="1:8" x14ac:dyDescent="0.25">
      <c r="A6168" t="s">
        <v>1879</v>
      </c>
      <c r="B6168" t="s">
        <v>705</v>
      </c>
      <c r="C6168" t="s">
        <v>426</v>
      </c>
      <c r="D6168">
        <v>2</v>
      </c>
      <c r="E6168">
        <v>2700</v>
      </c>
      <c r="F6168">
        <v>0</v>
      </c>
      <c r="G6168">
        <v>1</v>
      </c>
      <c r="H6168" t="s">
        <v>19</v>
      </c>
    </row>
    <row r="6169" spans="1:8" x14ac:dyDescent="0.25">
      <c r="A6169" t="str">
        <f>"&lt;nominal&gt;" &amp;$D$6168&amp;"&lt;/nominal&gt;"</f>
        <v>&lt;nominal&gt;2&lt;/nominal&gt;</v>
      </c>
      <c r="B6169" t="s">
        <v>705</v>
      </c>
    </row>
    <row r="6170" spans="1:8" x14ac:dyDescent="0.25">
      <c r="A6170" t="str">
        <f>"&lt;lifetime&gt;" &amp;$E$6168&amp;"&lt;/lifetime&gt;"</f>
        <v>&lt;lifetime&gt;2700&lt;/lifetime&gt;</v>
      </c>
      <c r="B6170" t="s">
        <v>705</v>
      </c>
    </row>
    <row r="6171" spans="1:8" x14ac:dyDescent="0.25">
      <c r="A6171" t="str">
        <f>"&lt;restock&gt;" &amp;$F$6168&amp;"&lt;/restock&gt;"</f>
        <v>&lt;restock&gt;0&lt;/restock&gt;</v>
      </c>
      <c r="B6171" t="s">
        <v>705</v>
      </c>
    </row>
    <row r="6172" spans="1:8" x14ac:dyDescent="0.25">
      <c r="A6172" t="str">
        <f>"&lt;min&gt;" &amp;$G$6168&amp;"&lt;/min&gt;"</f>
        <v>&lt;min&gt;1&lt;/min&gt;</v>
      </c>
      <c r="B6172" t="s">
        <v>705</v>
      </c>
    </row>
    <row r="6173" spans="1:8" x14ac:dyDescent="0.25">
      <c r="A6173" t="s">
        <v>16</v>
      </c>
      <c r="B6173" t="s">
        <v>705</v>
      </c>
    </row>
    <row r="6174" spans="1:8" x14ac:dyDescent="0.25">
      <c r="A6174" t="s">
        <v>17</v>
      </c>
      <c r="B6174" t="s">
        <v>705</v>
      </c>
    </row>
    <row r="6175" spans="1:8" x14ac:dyDescent="0.25">
      <c r="A6175" t="s">
        <v>18</v>
      </c>
      <c r="B6175" t="s">
        <v>705</v>
      </c>
    </row>
    <row r="6176" spans="1:8" x14ac:dyDescent="0.25">
      <c r="A6176" t="str">
        <f xml:space="preserve"> $H$6168</f>
        <v>&lt;flags count_in_cargo="0" count_in_hoarder="0" count_in_map="1" count_in_player="0" crafted="0" deloot="0"/&gt;</v>
      </c>
      <c r="B6176" t="s">
        <v>705</v>
      </c>
    </row>
    <row r="6177" spans="1:8" x14ac:dyDescent="0.25">
      <c r="A6177" t="str">
        <f>"&lt;category name=" &amp;"""" &amp;$C$6168&amp;"""/&gt;"</f>
        <v>&lt;category name="tools"/&gt;</v>
      </c>
      <c r="B6177" t="s">
        <v>705</v>
      </c>
    </row>
    <row r="6178" spans="1:8" x14ac:dyDescent="0.25">
      <c r="A6178" t="s">
        <v>25</v>
      </c>
      <c r="B6178" t="s">
        <v>705</v>
      </c>
    </row>
    <row r="6179" spans="1:8" x14ac:dyDescent="0.25">
      <c r="A6179" t="s">
        <v>55</v>
      </c>
      <c r="B6179" t="s">
        <v>705</v>
      </c>
    </row>
    <row r="6180" spans="1:8" x14ac:dyDescent="0.25">
      <c r="A6180" t="s">
        <v>22</v>
      </c>
      <c r="B6180" t="s">
        <v>705</v>
      </c>
    </row>
    <row r="6181" spans="1:8" x14ac:dyDescent="0.25">
      <c r="A6181" t="s">
        <v>1880</v>
      </c>
      <c r="B6181" t="s">
        <v>706</v>
      </c>
      <c r="C6181" t="s">
        <v>426</v>
      </c>
      <c r="D6181">
        <v>2</v>
      </c>
      <c r="E6181">
        <v>2700</v>
      </c>
      <c r="F6181">
        <v>0</v>
      </c>
      <c r="G6181">
        <v>1</v>
      </c>
      <c r="H6181" t="s">
        <v>19</v>
      </c>
    </row>
    <row r="6182" spans="1:8" x14ac:dyDescent="0.25">
      <c r="A6182" t="str">
        <f>"&lt;nominal&gt;" &amp;$D$6181&amp;"&lt;/nominal&gt;"</f>
        <v>&lt;nominal&gt;2&lt;/nominal&gt;</v>
      </c>
      <c r="B6182" t="s">
        <v>706</v>
      </c>
    </row>
    <row r="6183" spans="1:8" x14ac:dyDescent="0.25">
      <c r="A6183" t="str">
        <f>"&lt;lifetime&gt;" &amp;$E$6181&amp;"&lt;/lifetime&gt;"</f>
        <v>&lt;lifetime&gt;2700&lt;/lifetime&gt;</v>
      </c>
      <c r="B6183" t="s">
        <v>706</v>
      </c>
    </row>
    <row r="6184" spans="1:8" x14ac:dyDescent="0.25">
      <c r="A6184" t="str">
        <f>"&lt;restock&gt;" &amp;$F$6181&amp;"&lt;/restock&gt;"</f>
        <v>&lt;restock&gt;0&lt;/restock&gt;</v>
      </c>
      <c r="B6184" t="s">
        <v>706</v>
      </c>
    </row>
    <row r="6185" spans="1:8" x14ac:dyDescent="0.25">
      <c r="A6185" t="str">
        <f>"&lt;min&gt;" &amp;$G$6181&amp;"&lt;/min&gt;"</f>
        <v>&lt;min&gt;1&lt;/min&gt;</v>
      </c>
      <c r="B6185" t="s">
        <v>706</v>
      </c>
    </row>
    <row r="6186" spans="1:8" x14ac:dyDescent="0.25">
      <c r="A6186" t="s">
        <v>16</v>
      </c>
      <c r="B6186" t="s">
        <v>706</v>
      </c>
    </row>
    <row r="6187" spans="1:8" x14ac:dyDescent="0.25">
      <c r="A6187" t="s">
        <v>17</v>
      </c>
      <c r="B6187" t="s">
        <v>706</v>
      </c>
    </row>
    <row r="6188" spans="1:8" x14ac:dyDescent="0.25">
      <c r="A6188" t="s">
        <v>18</v>
      </c>
      <c r="B6188" t="s">
        <v>706</v>
      </c>
    </row>
    <row r="6189" spans="1:8" x14ac:dyDescent="0.25">
      <c r="A6189" t="str">
        <f xml:space="preserve"> $H$6181</f>
        <v>&lt;flags count_in_cargo="0" count_in_hoarder="0" count_in_map="1" count_in_player="0" crafted="0" deloot="0"/&gt;</v>
      </c>
      <c r="B6189" t="s">
        <v>706</v>
      </c>
    </row>
    <row r="6190" spans="1:8" x14ac:dyDescent="0.25">
      <c r="A6190" t="str">
        <f>"&lt;category name=" &amp;"""" &amp;$C$6181&amp;"""/&gt;"</f>
        <v>&lt;category name="tools"/&gt;</v>
      </c>
      <c r="B6190" t="s">
        <v>706</v>
      </c>
    </row>
    <row r="6191" spans="1:8" x14ac:dyDescent="0.25">
      <c r="A6191" t="s">
        <v>25</v>
      </c>
      <c r="B6191" t="s">
        <v>706</v>
      </c>
    </row>
    <row r="6192" spans="1:8" x14ac:dyDescent="0.25">
      <c r="A6192" t="s">
        <v>55</v>
      </c>
      <c r="B6192" t="s">
        <v>706</v>
      </c>
    </row>
    <row r="6193" spans="1:8" x14ac:dyDescent="0.25">
      <c r="A6193" t="s">
        <v>22</v>
      </c>
      <c r="B6193" t="s">
        <v>706</v>
      </c>
    </row>
    <row r="6194" spans="1:8" x14ac:dyDescent="0.25">
      <c r="A6194" t="s">
        <v>1881</v>
      </c>
      <c r="B6194" t="s">
        <v>707</v>
      </c>
      <c r="C6194" t="s">
        <v>426</v>
      </c>
      <c r="D6194">
        <v>2</v>
      </c>
      <c r="E6194">
        <v>2700</v>
      </c>
      <c r="F6194">
        <v>0</v>
      </c>
      <c r="G6194">
        <v>1</v>
      </c>
      <c r="H6194" t="s">
        <v>19</v>
      </c>
    </row>
    <row r="6195" spans="1:8" x14ac:dyDescent="0.25">
      <c r="A6195" t="str">
        <f>"&lt;nominal&gt;" &amp;$D$6194&amp;"&lt;/nominal&gt;"</f>
        <v>&lt;nominal&gt;2&lt;/nominal&gt;</v>
      </c>
      <c r="B6195" t="s">
        <v>707</v>
      </c>
    </row>
    <row r="6196" spans="1:8" x14ac:dyDescent="0.25">
      <c r="A6196" t="str">
        <f>"&lt;lifetime&gt;" &amp;$E$6194&amp;"&lt;/lifetime&gt;"</f>
        <v>&lt;lifetime&gt;2700&lt;/lifetime&gt;</v>
      </c>
      <c r="B6196" t="s">
        <v>707</v>
      </c>
    </row>
    <row r="6197" spans="1:8" x14ac:dyDescent="0.25">
      <c r="A6197" t="str">
        <f>"&lt;restock&gt;" &amp;$F$6194&amp;"&lt;/restock&gt;"</f>
        <v>&lt;restock&gt;0&lt;/restock&gt;</v>
      </c>
      <c r="B6197" t="s">
        <v>707</v>
      </c>
    </row>
    <row r="6198" spans="1:8" x14ac:dyDescent="0.25">
      <c r="A6198" t="str">
        <f>"&lt;min&gt;" &amp;$G$6194&amp;"&lt;/min&gt;"</f>
        <v>&lt;min&gt;1&lt;/min&gt;</v>
      </c>
      <c r="B6198" t="s">
        <v>707</v>
      </c>
    </row>
    <row r="6199" spans="1:8" x14ac:dyDescent="0.25">
      <c r="A6199" t="s">
        <v>16</v>
      </c>
      <c r="B6199" t="s">
        <v>707</v>
      </c>
    </row>
    <row r="6200" spans="1:8" x14ac:dyDescent="0.25">
      <c r="A6200" t="s">
        <v>17</v>
      </c>
      <c r="B6200" t="s">
        <v>707</v>
      </c>
    </row>
    <row r="6201" spans="1:8" x14ac:dyDescent="0.25">
      <c r="A6201" t="s">
        <v>18</v>
      </c>
      <c r="B6201" t="s">
        <v>707</v>
      </c>
    </row>
    <row r="6202" spans="1:8" x14ac:dyDescent="0.25">
      <c r="A6202" t="str">
        <f xml:space="preserve"> $H$6194</f>
        <v>&lt;flags count_in_cargo="0" count_in_hoarder="0" count_in_map="1" count_in_player="0" crafted="0" deloot="0"/&gt;</v>
      </c>
      <c r="B6202" t="s">
        <v>707</v>
      </c>
    </row>
    <row r="6203" spans="1:8" x14ac:dyDescent="0.25">
      <c r="A6203" t="str">
        <f>"&lt;category name=" &amp;"""" &amp;$C$6194&amp;"""/&gt;"</f>
        <v>&lt;category name="tools"/&gt;</v>
      </c>
      <c r="B6203" t="s">
        <v>707</v>
      </c>
    </row>
    <row r="6204" spans="1:8" x14ac:dyDescent="0.25">
      <c r="A6204" t="s">
        <v>25</v>
      </c>
      <c r="B6204" t="s">
        <v>707</v>
      </c>
    </row>
    <row r="6205" spans="1:8" x14ac:dyDescent="0.25">
      <c r="A6205" t="s">
        <v>55</v>
      </c>
      <c r="B6205" t="s">
        <v>707</v>
      </c>
    </row>
    <row r="6206" spans="1:8" x14ac:dyDescent="0.25">
      <c r="A6206" t="s">
        <v>22</v>
      </c>
      <c r="B6206" t="s">
        <v>707</v>
      </c>
    </row>
    <row r="6207" spans="1:8" x14ac:dyDescent="0.25">
      <c r="A6207" t="s">
        <v>1882</v>
      </c>
      <c r="B6207" t="s">
        <v>708</v>
      </c>
      <c r="C6207" t="s">
        <v>426</v>
      </c>
      <c r="D6207">
        <v>2</v>
      </c>
      <c r="E6207">
        <v>2700</v>
      </c>
      <c r="F6207">
        <v>0</v>
      </c>
      <c r="G6207">
        <v>1</v>
      </c>
      <c r="H6207" t="s">
        <v>19</v>
      </c>
    </row>
    <row r="6208" spans="1:8" x14ac:dyDescent="0.25">
      <c r="A6208" t="str">
        <f>"&lt;nominal&gt;" &amp;$D$6207&amp;"&lt;/nominal&gt;"</f>
        <v>&lt;nominal&gt;2&lt;/nominal&gt;</v>
      </c>
      <c r="B6208" t="s">
        <v>708</v>
      </c>
    </row>
    <row r="6209" spans="1:8" x14ac:dyDescent="0.25">
      <c r="A6209" t="str">
        <f>"&lt;lifetime&gt;" &amp;$E$6207&amp;"&lt;/lifetime&gt;"</f>
        <v>&lt;lifetime&gt;2700&lt;/lifetime&gt;</v>
      </c>
      <c r="B6209" t="s">
        <v>708</v>
      </c>
    </row>
    <row r="6210" spans="1:8" x14ac:dyDescent="0.25">
      <c r="A6210" t="str">
        <f>"&lt;restock&gt;" &amp;$F$6207&amp;"&lt;/restock&gt;"</f>
        <v>&lt;restock&gt;0&lt;/restock&gt;</v>
      </c>
      <c r="B6210" t="s">
        <v>708</v>
      </c>
    </row>
    <row r="6211" spans="1:8" x14ac:dyDescent="0.25">
      <c r="A6211" t="str">
        <f>"&lt;min&gt;" &amp;$G$6207&amp;"&lt;/min&gt;"</f>
        <v>&lt;min&gt;1&lt;/min&gt;</v>
      </c>
      <c r="B6211" t="s">
        <v>708</v>
      </c>
    </row>
    <row r="6212" spans="1:8" x14ac:dyDescent="0.25">
      <c r="A6212" t="s">
        <v>16</v>
      </c>
      <c r="B6212" t="s">
        <v>708</v>
      </c>
    </row>
    <row r="6213" spans="1:8" x14ac:dyDescent="0.25">
      <c r="A6213" t="s">
        <v>17</v>
      </c>
      <c r="B6213" t="s">
        <v>708</v>
      </c>
    </row>
    <row r="6214" spans="1:8" x14ac:dyDescent="0.25">
      <c r="A6214" t="s">
        <v>18</v>
      </c>
      <c r="B6214" t="s">
        <v>708</v>
      </c>
    </row>
    <row r="6215" spans="1:8" x14ac:dyDescent="0.25">
      <c r="A6215" t="str">
        <f xml:space="preserve"> $H$6207</f>
        <v>&lt;flags count_in_cargo="0" count_in_hoarder="0" count_in_map="1" count_in_player="0" crafted="0" deloot="0"/&gt;</v>
      </c>
      <c r="B6215" t="s">
        <v>708</v>
      </c>
    </row>
    <row r="6216" spans="1:8" x14ac:dyDescent="0.25">
      <c r="A6216" t="str">
        <f>"&lt;category name=" &amp;"""" &amp;$C$6207&amp;"""/&gt;"</f>
        <v>&lt;category name="tools"/&gt;</v>
      </c>
      <c r="B6216" t="s">
        <v>708</v>
      </c>
    </row>
    <row r="6217" spans="1:8" x14ac:dyDescent="0.25">
      <c r="A6217" t="s">
        <v>25</v>
      </c>
      <c r="B6217" t="s">
        <v>708</v>
      </c>
    </row>
    <row r="6218" spans="1:8" x14ac:dyDescent="0.25">
      <c r="A6218" t="s">
        <v>55</v>
      </c>
      <c r="B6218" t="s">
        <v>708</v>
      </c>
    </row>
    <row r="6219" spans="1:8" x14ac:dyDescent="0.25">
      <c r="A6219" t="s">
        <v>22</v>
      </c>
      <c r="B6219" t="s">
        <v>708</v>
      </c>
    </row>
    <row r="6220" spans="1:8" x14ac:dyDescent="0.25">
      <c r="A6220" t="s">
        <v>1883</v>
      </c>
      <c r="B6220" t="s">
        <v>709</v>
      </c>
      <c r="C6220" t="s">
        <v>426</v>
      </c>
      <c r="D6220">
        <v>2</v>
      </c>
      <c r="E6220">
        <v>2700</v>
      </c>
      <c r="F6220">
        <v>0</v>
      </c>
      <c r="G6220">
        <v>1</v>
      </c>
      <c r="H6220" t="s">
        <v>19</v>
      </c>
    </row>
    <row r="6221" spans="1:8" x14ac:dyDescent="0.25">
      <c r="A6221" t="str">
        <f>"&lt;nominal&gt;" &amp;$D$6220&amp;"&lt;/nominal&gt;"</f>
        <v>&lt;nominal&gt;2&lt;/nominal&gt;</v>
      </c>
      <c r="B6221" t="s">
        <v>709</v>
      </c>
    </row>
    <row r="6222" spans="1:8" x14ac:dyDescent="0.25">
      <c r="A6222" t="str">
        <f>"&lt;lifetime&gt;" &amp;$E$6220&amp;"&lt;/lifetime&gt;"</f>
        <v>&lt;lifetime&gt;2700&lt;/lifetime&gt;</v>
      </c>
      <c r="B6222" t="s">
        <v>709</v>
      </c>
    </row>
    <row r="6223" spans="1:8" x14ac:dyDescent="0.25">
      <c r="A6223" t="str">
        <f>"&lt;restock&gt;" &amp;$F$6220&amp;"&lt;/restock&gt;"</f>
        <v>&lt;restock&gt;0&lt;/restock&gt;</v>
      </c>
      <c r="B6223" t="s">
        <v>709</v>
      </c>
    </row>
    <row r="6224" spans="1:8" x14ac:dyDescent="0.25">
      <c r="A6224" t="str">
        <f>"&lt;min&gt;" &amp;$G$6220&amp;"&lt;/min&gt;"</f>
        <v>&lt;min&gt;1&lt;/min&gt;</v>
      </c>
      <c r="B6224" t="s">
        <v>709</v>
      </c>
    </row>
    <row r="6225" spans="1:8" x14ac:dyDescent="0.25">
      <c r="A6225" t="s">
        <v>16</v>
      </c>
      <c r="B6225" t="s">
        <v>709</v>
      </c>
    </row>
    <row r="6226" spans="1:8" x14ac:dyDescent="0.25">
      <c r="A6226" t="s">
        <v>17</v>
      </c>
      <c r="B6226" t="s">
        <v>709</v>
      </c>
    </row>
    <row r="6227" spans="1:8" x14ac:dyDescent="0.25">
      <c r="A6227" t="s">
        <v>18</v>
      </c>
      <c r="B6227" t="s">
        <v>709</v>
      </c>
    </row>
    <row r="6228" spans="1:8" x14ac:dyDescent="0.25">
      <c r="A6228" t="str">
        <f xml:space="preserve"> $H$6220</f>
        <v>&lt;flags count_in_cargo="0" count_in_hoarder="0" count_in_map="1" count_in_player="0" crafted="0" deloot="0"/&gt;</v>
      </c>
      <c r="B6228" t="s">
        <v>709</v>
      </c>
    </row>
    <row r="6229" spans="1:8" x14ac:dyDescent="0.25">
      <c r="A6229" t="str">
        <f>"&lt;category name=" &amp;"""" &amp;$C$6220&amp;"""/&gt;"</f>
        <v>&lt;category name="tools"/&gt;</v>
      </c>
      <c r="B6229" t="s">
        <v>709</v>
      </c>
    </row>
    <row r="6230" spans="1:8" x14ac:dyDescent="0.25">
      <c r="A6230" t="s">
        <v>25</v>
      </c>
      <c r="B6230" t="s">
        <v>709</v>
      </c>
    </row>
    <row r="6231" spans="1:8" x14ac:dyDescent="0.25">
      <c r="A6231" t="s">
        <v>55</v>
      </c>
      <c r="B6231" t="s">
        <v>709</v>
      </c>
    </row>
    <row r="6232" spans="1:8" x14ac:dyDescent="0.25">
      <c r="A6232" t="s">
        <v>22</v>
      </c>
      <c r="B6232" t="s">
        <v>709</v>
      </c>
    </row>
    <row r="6233" spans="1:8" x14ac:dyDescent="0.25">
      <c r="A6233" t="s">
        <v>1884</v>
      </c>
      <c r="B6233" t="s">
        <v>710</v>
      </c>
      <c r="C6233" t="s">
        <v>426</v>
      </c>
      <c r="D6233">
        <v>2</v>
      </c>
      <c r="E6233">
        <v>2700</v>
      </c>
      <c r="F6233">
        <v>0</v>
      </c>
      <c r="G6233">
        <v>1</v>
      </c>
      <c r="H6233" t="s">
        <v>19</v>
      </c>
    </row>
    <row r="6234" spans="1:8" x14ac:dyDescent="0.25">
      <c r="A6234" t="str">
        <f>"&lt;nominal&gt;" &amp;$D$6233&amp;"&lt;/nominal&gt;"</f>
        <v>&lt;nominal&gt;2&lt;/nominal&gt;</v>
      </c>
      <c r="B6234" t="s">
        <v>710</v>
      </c>
    </row>
    <row r="6235" spans="1:8" x14ac:dyDescent="0.25">
      <c r="A6235" t="str">
        <f>"&lt;lifetime&gt;" &amp;$E$6233&amp;"&lt;/lifetime&gt;"</f>
        <v>&lt;lifetime&gt;2700&lt;/lifetime&gt;</v>
      </c>
      <c r="B6235" t="s">
        <v>710</v>
      </c>
    </row>
    <row r="6236" spans="1:8" x14ac:dyDescent="0.25">
      <c r="A6236" t="str">
        <f>"&lt;restock&gt;" &amp;$F$6233&amp;"&lt;/restock&gt;"</f>
        <v>&lt;restock&gt;0&lt;/restock&gt;</v>
      </c>
      <c r="B6236" t="s">
        <v>710</v>
      </c>
    </row>
    <row r="6237" spans="1:8" x14ac:dyDescent="0.25">
      <c r="A6237" t="str">
        <f>"&lt;min&gt;" &amp;$G$6233&amp;"&lt;/min&gt;"</f>
        <v>&lt;min&gt;1&lt;/min&gt;</v>
      </c>
      <c r="B6237" t="s">
        <v>710</v>
      </c>
    </row>
    <row r="6238" spans="1:8" x14ac:dyDescent="0.25">
      <c r="A6238" t="s">
        <v>16</v>
      </c>
      <c r="B6238" t="s">
        <v>710</v>
      </c>
    </row>
    <row r="6239" spans="1:8" x14ac:dyDescent="0.25">
      <c r="A6239" t="s">
        <v>17</v>
      </c>
      <c r="B6239" t="s">
        <v>710</v>
      </c>
    </row>
    <row r="6240" spans="1:8" x14ac:dyDescent="0.25">
      <c r="A6240" t="s">
        <v>18</v>
      </c>
      <c r="B6240" t="s">
        <v>710</v>
      </c>
    </row>
    <row r="6241" spans="1:8" x14ac:dyDescent="0.25">
      <c r="A6241" t="str">
        <f xml:space="preserve"> $H$6233</f>
        <v>&lt;flags count_in_cargo="0" count_in_hoarder="0" count_in_map="1" count_in_player="0" crafted="0" deloot="0"/&gt;</v>
      </c>
      <c r="B6241" t="s">
        <v>710</v>
      </c>
    </row>
    <row r="6242" spans="1:8" x14ac:dyDescent="0.25">
      <c r="A6242" t="str">
        <f>"&lt;category name=" &amp;"""" &amp;$C$6233&amp;"""/&gt;"</f>
        <v>&lt;category name="tools"/&gt;</v>
      </c>
      <c r="B6242" t="s">
        <v>710</v>
      </c>
    </row>
    <row r="6243" spans="1:8" x14ac:dyDescent="0.25">
      <c r="A6243" t="s">
        <v>25</v>
      </c>
      <c r="B6243" t="s">
        <v>710</v>
      </c>
    </row>
    <row r="6244" spans="1:8" x14ac:dyDescent="0.25">
      <c r="A6244" t="s">
        <v>55</v>
      </c>
      <c r="B6244" t="s">
        <v>710</v>
      </c>
    </row>
    <row r="6245" spans="1:8" x14ac:dyDescent="0.25">
      <c r="A6245" t="s">
        <v>22</v>
      </c>
      <c r="B6245" t="s">
        <v>710</v>
      </c>
    </row>
    <row r="6246" spans="1:8" x14ac:dyDescent="0.25">
      <c r="A6246" t="s">
        <v>1885</v>
      </c>
      <c r="B6246" t="s">
        <v>711</v>
      </c>
      <c r="C6246" t="s">
        <v>426</v>
      </c>
      <c r="D6246">
        <v>2</v>
      </c>
      <c r="E6246">
        <v>2700</v>
      </c>
      <c r="F6246">
        <v>0</v>
      </c>
      <c r="G6246">
        <v>1</v>
      </c>
      <c r="H6246" t="s">
        <v>19</v>
      </c>
    </row>
    <row r="6247" spans="1:8" x14ac:dyDescent="0.25">
      <c r="A6247" t="str">
        <f>"&lt;nominal&gt;" &amp;$D$6246&amp;"&lt;/nominal&gt;"</f>
        <v>&lt;nominal&gt;2&lt;/nominal&gt;</v>
      </c>
      <c r="B6247" t="s">
        <v>711</v>
      </c>
    </row>
    <row r="6248" spans="1:8" x14ac:dyDescent="0.25">
      <c r="A6248" t="str">
        <f>"&lt;lifetime&gt;" &amp;$E$6246&amp;"&lt;/lifetime&gt;"</f>
        <v>&lt;lifetime&gt;2700&lt;/lifetime&gt;</v>
      </c>
      <c r="B6248" t="s">
        <v>711</v>
      </c>
    </row>
    <row r="6249" spans="1:8" x14ac:dyDescent="0.25">
      <c r="A6249" t="str">
        <f>"&lt;restock&gt;" &amp;$F$6246&amp;"&lt;/restock&gt;"</f>
        <v>&lt;restock&gt;0&lt;/restock&gt;</v>
      </c>
      <c r="B6249" t="s">
        <v>711</v>
      </c>
    </row>
    <row r="6250" spans="1:8" x14ac:dyDescent="0.25">
      <c r="A6250" t="str">
        <f>"&lt;min&gt;" &amp;$G$6246&amp;"&lt;/min&gt;"</f>
        <v>&lt;min&gt;1&lt;/min&gt;</v>
      </c>
      <c r="B6250" t="s">
        <v>711</v>
      </c>
    </row>
    <row r="6251" spans="1:8" x14ac:dyDescent="0.25">
      <c r="A6251" t="s">
        <v>16</v>
      </c>
      <c r="B6251" t="s">
        <v>711</v>
      </c>
    </row>
    <row r="6252" spans="1:8" x14ac:dyDescent="0.25">
      <c r="A6252" t="s">
        <v>17</v>
      </c>
      <c r="B6252" t="s">
        <v>711</v>
      </c>
    </row>
    <row r="6253" spans="1:8" x14ac:dyDescent="0.25">
      <c r="A6253" t="s">
        <v>18</v>
      </c>
      <c r="B6253" t="s">
        <v>711</v>
      </c>
    </row>
    <row r="6254" spans="1:8" x14ac:dyDescent="0.25">
      <c r="A6254" t="str">
        <f xml:space="preserve"> $H$6246</f>
        <v>&lt;flags count_in_cargo="0" count_in_hoarder="0" count_in_map="1" count_in_player="0" crafted="0" deloot="0"/&gt;</v>
      </c>
      <c r="B6254" t="s">
        <v>711</v>
      </c>
    </row>
    <row r="6255" spans="1:8" x14ac:dyDescent="0.25">
      <c r="A6255" t="str">
        <f>"&lt;category name=" &amp;"""" &amp;$C$6246&amp;"""/&gt;"</f>
        <v>&lt;category name="tools"/&gt;</v>
      </c>
      <c r="B6255" t="s">
        <v>711</v>
      </c>
    </row>
    <row r="6256" spans="1:8" x14ac:dyDescent="0.25">
      <c r="A6256" t="s">
        <v>25</v>
      </c>
      <c r="B6256" t="s">
        <v>711</v>
      </c>
    </row>
    <row r="6257" spans="1:8" x14ac:dyDescent="0.25">
      <c r="A6257" t="s">
        <v>55</v>
      </c>
      <c r="B6257" t="s">
        <v>711</v>
      </c>
    </row>
    <row r="6258" spans="1:8" x14ac:dyDescent="0.25">
      <c r="A6258" t="s">
        <v>22</v>
      </c>
      <c r="B6258" t="s">
        <v>711</v>
      </c>
    </row>
    <row r="6259" spans="1:8" x14ac:dyDescent="0.25">
      <c r="A6259" t="s">
        <v>1886</v>
      </c>
      <c r="B6259" t="s">
        <v>712</v>
      </c>
      <c r="C6259" t="s">
        <v>426</v>
      </c>
      <c r="D6259">
        <v>2</v>
      </c>
      <c r="E6259">
        <v>2700</v>
      </c>
      <c r="F6259">
        <v>0</v>
      </c>
      <c r="G6259">
        <v>1</v>
      </c>
      <c r="H6259" t="s">
        <v>19</v>
      </c>
    </row>
    <row r="6260" spans="1:8" x14ac:dyDescent="0.25">
      <c r="A6260" t="str">
        <f>"&lt;nominal&gt;" &amp;$D$6259&amp;"&lt;/nominal&gt;"</f>
        <v>&lt;nominal&gt;2&lt;/nominal&gt;</v>
      </c>
      <c r="B6260" t="s">
        <v>712</v>
      </c>
    </row>
    <row r="6261" spans="1:8" x14ac:dyDescent="0.25">
      <c r="A6261" t="str">
        <f>"&lt;lifetime&gt;" &amp;$E$6259&amp;"&lt;/lifetime&gt;"</f>
        <v>&lt;lifetime&gt;2700&lt;/lifetime&gt;</v>
      </c>
      <c r="B6261" t="s">
        <v>712</v>
      </c>
    </row>
    <row r="6262" spans="1:8" x14ac:dyDescent="0.25">
      <c r="A6262" t="str">
        <f>"&lt;restock&gt;" &amp;$F$6259&amp;"&lt;/restock&gt;"</f>
        <v>&lt;restock&gt;0&lt;/restock&gt;</v>
      </c>
      <c r="B6262" t="s">
        <v>712</v>
      </c>
    </row>
    <row r="6263" spans="1:8" x14ac:dyDescent="0.25">
      <c r="A6263" t="str">
        <f>"&lt;min&gt;" &amp;$G$6259&amp;"&lt;/min&gt;"</f>
        <v>&lt;min&gt;1&lt;/min&gt;</v>
      </c>
      <c r="B6263" t="s">
        <v>712</v>
      </c>
    </row>
    <row r="6264" spans="1:8" x14ac:dyDescent="0.25">
      <c r="A6264" t="s">
        <v>16</v>
      </c>
      <c r="B6264" t="s">
        <v>712</v>
      </c>
    </row>
    <row r="6265" spans="1:8" x14ac:dyDescent="0.25">
      <c r="A6265" t="s">
        <v>17</v>
      </c>
      <c r="B6265" t="s">
        <v>712</v>
      </c>
    </row>
    <row r="6266" spans="1:8" x14ac:dyDescent="0.25">
      <c r="A6266" t="s">
        <v>18</v>
      </c>
      <c r="B6266" t="s">
        <v>712</v>
      </c>
    </row>
    <row r="6267" spans="1:8" x14ac:dyDescent="0.25">
      <c r="A6267" t="str">
        <f xml:space="preserve"> $H$6259</f>
        <v>&lt;flags count_in_cargo="0" count_in_hoarder="0" count_in_map="1" count_in_player="0" crafted="0" deloot="0"/&gt;</v>
      </c>
      <c r="B6267" t="s">
        <v>712</v>
      </c>
    </row>
    <row r="6268" spans="1:8" x14ac:dyDescent="0.25">
      <c r="A6268" t="str">
        <f>"&lt;category name=" &amp;"""" &amp;$C$6259&amp;"""/&gt;"</f>
        <v>&lt;category name="tools"/&gt;</v>
      </c>
      <c r="B6268" t="s">
        <v>712</v>
      </c>
    </row>
    <row r="6269" spans="1:8" x14ac:dyDescent="0.25">
      <c r="A6269" t="s">
        <v>25</v>
      </c>
      <c r="B6269" t="s">
        <v>712</v>
      </c>
    </row>
    <row r="6270" spans="1:8" x14ac:dyDescent="0.25">
      <c r="A6270" t="s">
        <v>55</v>
      </c>
      <c r="B6270" t="s">
        <v>712</v>
      </c>
    </row>
    <row r="6271" spans="1:8" x14ac:dyDescent="0.25">
      <c r="A6271" t="s">
        <v>22</v>
      </c>
      <c r="B6271" t="s">
        <v>712</v>
      </c>
    </row>
    <row r="6272" spans="1:8" x14ac:dyDescent="0.25">
      <c r="A6272" t="s">
        <v>1887</v>
      </c>
      <c r="B6272" t="s">
        <v>713</v>
      </c>
      <c r="C6272" t="s">
        <v>426</v>
      </c>
      <c r="D6272">
        <v>2</v>
      </c>
      <c r="E6272">
        <v>2700</v>
      </c>
      <c r="F6272">
        <v>0</v>
      </c>
      <c r="G6272">
        <v>1</v>
      </c>
      <c r="H6272" t="s">
        <v>19</v>
      </c>
    </row>
    <row r="6273" spans="1:8" x14ac:dyDescent="0.25">
      <c r="A6273" t="str">
        <f>"&lt;nominal&gt;" &amp;$D$6272&amp;"&lt;/nominal&gt;"</f>
        <v>&lt;nominal&gt;2&lt;/nominal&gt;</v>
      </c>
      <c r="B6273" t="s">
        <v>713</v>
      </c>
    </row>
    <row r="6274" spans="1:8" x14ac:dyDescent="0.25">
      <c r="A6274" t="str">
        <f>"&lt;lifetime&gt;" &amp;$E$6272&amp;"&lt;/lifetime&gt;"</f>
        <v>&lt;lifetime&gt;2700&lt;/lifetime&gt;</v>
      </c>
      <c r="B6274" t="s">
        <v>713</v>
      </c>
    </row>
    <row r="6275" spans="1:8" x14ac:dyDescent="0.25">
      <c r="A6275" t="str">
        <f>"&lt;restock&gt;" &amp;$F$6272&amp;"&lt;/restock&gt;"</f>
        <v>&lt;restock&gt;0&lt;/restock&gt;</v>
      </c>
      <c r="B6275" t="s">
        <v>713</v>
      </c>
    </row>
    <row r="6276" spans="1:8" x14ac:dyDescent="0.25">
      <c r="A6276" t="str">
        <f>"&lt;min&gt;" &amp;$G$6272&amp;"&lt;/min&gt;"</f>
        <v>&lt;min&gt;1&lt;/min&gt;</v>
      </c>
      <c r="B6276" t="s">
        <v>713</v>
      </c>
    </row>
    <row r="6277" spans="1:8" x14ac:dyDescent="0.25">
      <c r="A6277" t="s">
        <v>16</v>
      </c>
      <c r="B6277" t="s">
        <v>713</v>
      </c>
    </row>
    <row r="6278" spans="1:8" x14ac:dyDescent="0.25">
      <c r="A6278" t="s">
        <v>17</v>
      </c>
      <c r="B6278" t="s">
        <v>713</v>
      </c>
    </row>
    <row r="6279" spans="1:8" x14ac:dyDescent="0.25">
      <c r="A6279" t="s">
        <v>18</v>
      </c>
      <c r="B6279" t="s">
        <v>713</v>
      </c>
    </row>
    <row r="6280" spans="1:8" x14ac:dyDescent="0.25">
      <c r="A6280" t="str">
        <f xml:space="preserve"> $H$6272</f>
        <v>&lt;flags count_in_cargo="0" count_in_hoarder="0" count_in_map="1" count_in_player="0" crafted="0" deloot="0"/&gt;</v>
      </c>
      <c r="B6280" t="s">
        <v>713</v>
      </c>
    </row>
    <row r="6281" spans="1:8" x14ac:dyDescent="0.25">
      <c r="A6281" t="str">
        <f>"&lt;category name=" &amp;"""" &amp;$C$6272&amp;"""/&gt;"</f>
        <v>&lt;category name="tools"/&gt;</v>
      </c>
      <c r="B6281" t="s">
        <v>713</v>
      </c>
    </row>
    <row r="6282" spans="1:8" x14ac:dyDescent="0.25">
      <c r="A6282" t="s">
        <v>25</v>
      </c>
      <c r="B6282" t="s">
        <v>713</v>
      </c>
    </row>
    <row r="6283" spans="1:8" x14ac:dyDescent="0.25">
      <c r="A6283" t="s">
        <v>55</v>
      </c>
      <c r="B6283" t="s">
        <v>713</v>
      </c>
    </row>
    <row r="6284" spans="1:8" x14ac:dyDescent="0.25">
      <c r="A6284" t="s">
        <v>22</v>
      </c>
      <c r="B6284" t="s">
        <v>713</v>
      </c>
    </row>
    <row r="6285" spans="1:8" x14ac:dyDescent="0.25">
      <c r="A6285" t="s">
        <v>1888</v>
      </c>
      <c r="B6285" t="s">
        <v>714</v>
      </c>
      <c r="C6285" t="s">
        <v>426</v>
      </c>
      <c r="D6285">
        <v>2</v>
      </c>
      <c r="E6285">
        <v>2700</v>
      </c>
      <c r="F6285">
        <v>0</v>
      </c>
      <c r="G6285">
        <v>1</v>
      </c>
      <c r="H6285" t="s">
        <v>19</v>
      </c>
    </row>
    <row r="6286" spans="1:8" x14ac:dyDescent="0.25">
      <c r="A6286" t="str">
        <f>"&lt;nominal&gt;" &amp;$D$6285&amp;"&lt;/nominal&gt;"</f>
        <v>&lt;nominal&gt;2&lt;/nominal&gt;</v>
      </c>
      <c r="B6286" t="s">
        <v>714</v>
      </c>
    </row>
    <row r="6287" spans="1:8" x14ac:dyDescent="0.25">
      <c r="A6287" t="str">
        <f>"&lt;lifetime&gt;" &amp;$E$6285&amp;"&lt;/lifetime&gt;"</f>
        <v>&lt;lifetime&gt;2700&lt;/lifetime&gt;</v>
      </c>
      <c r="B6287" t="s">
        <v>714</v>
      </c>
    </row>
    <row r="6288" spans="1:8" x14ac:dyDescent="0.25">
      <c r="A6288" t="str">
        <f>"&lt;restock&gt;" &amp;$F$6285&amp;"&lt;/restock&gt;"</f>
        <v>&lt;restock&gt;0&lt;/restock&gt;</v>
      </c>
      <c r="B6288" t="s">
        <v>714</v>
      </c>
    </row>
    <row r="6289" spans="1:8" x14ac:dyDescent="0.25">
      <c r="A6289" t="str">
        <f>"&lt;min&gt;" &amp;$G$6285&amp;"&lt;/min&gt;"</f>
        <v>&lt;min&gt;1&lt;/min&gt;</v>
      </c>
      <c r="B6289" t="s">
        <v>714</v>
      </c>
    </row>
    <row r="6290" spans="1:8" x14ac:dyDescent="0.25">
      <c r="A6290" t="s">
        <v>16</v>
      </c>
      <c r="B6290" t="s">
        <v>714</v>
      </c>
    </row>
    <row r="6291" spans="1:8" x14ac:dyDescent="0.25">
      <c r="A6291" t="s">
        <v>17</v>
      </c>
      <c r="B6291" t="s">
        <v>714</v>
      </c>
    </row>
    <row r="6292" spans="1:8" x14ac:dyDescent="0.25">
      <c r="A6292" t="s">
        <v>18</v>
      </c>
      <c r="B6292" t="s">
        <v>714</v>
      </c>
    </row>
    <row r="6293" spans="1:8" x14ac:dyDescent="0.25">
      <c r="A6293" t="str">
        <f xml:space="preserve"> $H$6285</f>
        <v>&lt;flags count_in_cargo="0" count_in_hoarder="0" count_in_map="1" count_in_player="0" crafted="0" deloot="0"/&gt;</v>
      </c>
      <c r="B6293" t="s">
        <v>714</v>
      </c>
    </row>
    <row r="6294" spans="1:8" x14ac:dyDescent="0.25">
      <c r="A6294" t="str">
        <f>"&lt;category name=" &amp;"""" &amp;$C$6285&amp;"""/&gt;"</f>
        <v>&lt;category name="tools"/&gt;</v>
      </c>
      <c r="B6294" t="s">
        <v>714</v>
      </c>
    </row>
    <row r="6295" spans="1:8" x14ac:dyDescent="0.25">
      <c r="A6295" t="s">
        <v>25</v>
      </c>
      <c r="B6295" t="s">
        <v>714</v>
      </c>
    </row>
    <row r="6296" spans="1:8" x14ac:dyDescent="0.25">
      <c r="A6296" t="s">
        <v>55</v>
      </c>
      <c r="B6296" t="s">
        <v>714</v>
      </c>
    </row>
    <row r="6297" spans="1:8" x14ac:dyDescent="0.25">
      <c r="A6297" t="s">
        <v>22</v>
      </c>
      <c r="B6297" t="s">
        <v>714</v>
      </c>
    </row>
    <row r="6298" spans="1:8" x14ac:dyDescent="0.25">
      <c r="A6298" t="s">
        <v>1889</v>
      </c>
      <c r="B6298" t="s">
        <v>715</v>
      </c>
      <c r="C6298" t="s">
        <v>426</v>
      </c>
      <c r="D6298">
        <v>2</v>
      </c>
      <c r="E6298">
        <v>2700</v>
      </c>
      <c r="F6298">
        <v>0</v>
      </c>
      <c r="G6298">
        <v>1</v>
      </c>
      <c r="H6298" t="s">
        <v>19</v>
      </c>
    </row>
    <row r="6299" spans="1:8" x14ac:dyDescent="0.25">
      <c r="A6299" t="str">
        <f>"&lt;nominal&gt;" &amp;$D$6298&amp;"&lt;/nominal&gt;"</f>
        <v>&lt;nominal&gt;2&lt;/nominal&gt;</v>
      </c>
      <c r="B6299" t="s">
        <v>715</v>
      </c>
    </row>
    <row r="6300" spans="1:8" x14ac:dyDescent="0.25">
      <c r="A6300" t="str">
        <f>"&lt;lifetime&gt;" &amp;$E$6298&amp;"&lt;/lifetime&gt;"</f>
        <v>&lt;lifetime&gt;2700&lt;/lifetime&gt;</v>
      </c>
      <c r="B6300" t="s">
        <v>715</v>
      </c>
    </row>
    <row r="6301" spans="1:8" x14ac:dyDescent="0.25">
      <c r="A6301" t="str">
        <f>"&lt;restock&gt;" &amp;$F$6298&amp;"&lt;/restock&gt;"</f>
        <v>&lt;restock&gt;0&lt;/restock&gt;</v>
      </c>
      <c r="B6301" t="s">
        <v>715</v>
      </c>
    </row>
    <row r="6302" spans="1:8" x14ac:dyDescent="0.25">
      <c r="A6302" t="str">
        <f>"&lt;min&gt;" &amp;$G$6298&amp;"&lt;/min&gt;"</f>
        <v>&lt;min&gt;1&lt;/min&gt;</v>
      </c>
      <c r="B6302" t="s">
        <v>715</v>
      </c>
    </row>
    <row r="6303" spans="1:8" x14ac:dyDescent="0.25">
      <c r="A6303" t="s">
        <v>16</v>
      </c>
      <c r="B6303" t="s">
        <v>715</v>
      </c>
    </row>
    <row r="6304" spans="1:8" x14ac:dyDescent="0.25">
      <c r="A6304" t="s">
        <v>17</v>
      </c>
      <c r="B6304" t="s">
        <v>715</v>
      </c>
    </row>
    <row r="6305" spans="1:8" x14ac:dyDescent="0.25">
      <c r="A6305" t="s">
        <v>18</v>
      </c>
      <c r="B6305" t="s">
        <v>715</v>
      </c>
    </row>
    <row r="6306" spans="1:8" x14ac:dyDescent="0.25">
      <c r="A6306" t="str">
        <f xml:space="preserve"> $H$6298</f>
        <v>&lt;flags count_in_cargo="0" count_in_hoarder="0" count_in_map="1" count_in_player="0" crafted="0" deloot="0"/&gt;</v>
      </c>
      <c r="B6306" t="s">
        <v>715</v>
      </c>
    </row>
    <row r="6307" spans="1:8" x14ac:dyDescent="0.25">
      <c r="A6307" t="str">
        <f>"&lt;category name=" &amp;"""" &amp;$C$6298&amp;"""/&gt;"</f>
        <v>&lt;category name="tools"/&gt;</v>
      </c>
      <c r="B6307" t="s">
        <v>715</v>
      </c>
    </row>
    <row r="6308" spans="1:8" x14ac:dyDescent="0.25">
      <c r="A6308" t="s">
        <v>25</v>
      </c>
      <c r="B6308" t="s">
        <v>715</v>
      </c>
    </row>
    <row r="6309" spans="1:8" x14ac:dyDescent="0.25">
      <c r="A6309" t="s">
        <v>55</v>
      </c>
      <c r="B6309" t="s">
        <v>715</v>
      </c>
    </row>
    <row r="6310" spans="1:8" x14ac:dyDescent="0.25">
      <c r="A6310" t="s">
        <v>22</v>
      </c>
      <c r="B6310" t="s">
        <v>715</v>
      </c>
    </row>
    <row r="6311" spans="1:8" x14ac:dyDescent="0.25">
      <c r="A6311" t="s">
        <v>1890</v>
      </c>
      <c r="B6311" t="s">
        <v>716</v>
      </c>
      <c r="C6311" t="s">
        <v>426</v>
      </c>
      <c r="D6311">
        <v>2</v>
      </c>
      <c r="E6311">
        <v>2700</v>
      </c>
      <c r="F6311">
        <v>0</v>
      </c>
      <c r="G6311">
        <v>1</v>
      </c>
      <c r="H6311" t="s">
        <v>19</v>
      </c>
    </row>
    <row r="6312" spans="1:8" x14ac:dyDescent="0.25">
      <c r="A6312" t="str">
        <f>"&lt;nominal&gt;" &amp;$D$6311&amp;"&lt;/nominal&gt;"</f>
        <v>&lt;nominal&gt;2&lt;/nominal&gt;</v>
      </c>
      <c r="B6312" t="s">
        <v>716</v>
      </c>
    </row>
    <row r="6313" spans="1:8" x14ac:dyDescent="0.25">
      <c r="A6313" t="str">
        <f>"&lt;lifetime&gt;" &amp;$E$6311&amp;"&lt;/lifetime&gt;"</f>
        <v>&lt;lifetime&gt;2700&lt;/lifetime&gt;</v>
      </c>
      <c r="B6313" t="s">
        <v>716</v>
      </c>
    </row>
    <row r="6314" spans="1:8" x14ac:dyDescent="0.25">
      <c r="A6314" t="str">
        <f>"&lt;restock&gt;" &amp;$F$6311&amp;"&lt;/restock&gt;"</f>
        <v>&lt;restock&gt;0&lt;/restock&gt;</v>
      </c>
      <c r="B6314" t="s">
        <v>716</v>
      </c>
    </row>
    <row r="6315" spans="1:8" x14ac:dyDescent="0.25">
      <c r="A6315" t="str">
        <f>"&lt;min&gt;" &amp;$G$6311&amp;"&lt;/min&gt;"</f>
        <v>&lt;min&gt;1&lt;/min&gt;</v>
      </c>
      <c r="B6315" t="s">
        <v>716</v>
      </c>
    </row>
    <row r="6316" spans="1:8" x14ac:dyDescent="0.25">
      <c r="A6316" t="s">
        <v>16</v>
      </c>
      <c r="B6316" t="s">
        <v>716</v>
      </c>
    </row>
    <row r="6317" spans="1:8" x14ac:dyDescent="0.25">
      <c r="A6317" t="s">
        <v>17</v>
      </c>
      <c r="B6317" t="s">
        <v>716</v>
      </c>
    </row>
    <row r="6318" spans="1:8" x14ac:dyDescent="0.25">
      <c r="A6318" t="s">
        <v>18</v>
      </c>
      <c r="B6318" t="s">
        <v>716</v>
      </c>
    </row>
    <row r="6319" spans="1:8" x14ac:dyDescent="0.25">
      <c r="A6319" t="str">
        <f xml:space="preserve"> $H$6311</f>
        <v>&lt;flags count_in_cargo="0" count_in_hoarder="0" count_in_map="1" count_in_player="0" crafted="0" deloot="0"/&gt;</v>
      </c>
      <c r="B6319" t="s">
        <v>716</v>
      </c>
    </row>
    <row r="6320" spans="1:8" x14ac:dyDescent="0.25">
      <c r="A6320" t="str">
        <f>"&lt;category name=" &amp;"""" &amp;$C$6311&amp;"""/&gt;"</f>
        <v>&lt;category name="tools"/&gt;</v>
      </c>
      <c r="B6320" t="s">
        <v>716</v>
      </c>
    </row>
    <row r="6321" spans="1:8" x14ac:dyDescent="0.25">
      <c r="A6321" t="s">
        <v>25</v>
      </c>
      <c r="B6321" t="s">
        <v>716</v>
      </c>
    </row>
    <row r="6322" spans="1:8" x14ac:dyDescent="0.25">
      <c r="A6322" t="s">
        <v>55</v>
      </c>
      <c r="B6322" t="s">
        <v>716</v>
      </c>
    </row>
    <row r="6323" spans="1:8" x14ac:dyDescent="0.25">
      <c r="A6323" t="s">
        <v>22</v>
      </c>
      <c r="B6323" t="s">
        <v>716</v>
      </c>
    </row>
    <row r="6324" spans="1:8" x14ac:dyDescent="0.25">
      <c r="A6324" t="s">
        <v>1891</v>
      </c>
      <c r="B6324" t="s">
        <v>717</v>
      </c>
      <c r="C6324" t="s">
        <v>426</v>
      </c>
      <c r="D6324">
        <v>2</v>
      </c>
      <c r="E6324">
        <v>2700</v>
      </c>
      <c r="F6324">
        <v>0</v>
      </c>
      <c r="G6324">
        <v>1</v>
      </c>
      <c r="H6324" t="s">
        <v>19</v>
      </c>
    </row>
    <row r="6325" spans="1:8" x14ac:dyDescent="0.25">
      <c r="A6325" t="str">
        <f>"&lt;nominal&gt;" &amp;$D$6324&amp;"&lt;/nominal&gt;"</f>
        <v>&lt;nominal&gt;2&lt;/nominal&gt;</v>
      </c>
      <c r="B6325" t="s">
        <v>717</v>
      </c>
    </row>
    <row r="6326" spans="1:8" x14ac:dyDescent="0.25">
      <c r="A6326" t="str">
        <f>"&lt;lifetime&gt;" &amp;$E$6324&amp;"&lt;/lifetime&gt;"</f>
        <v>&lt;lifetime&gt;2700&lt;/lifetime&gt;</v>
      </c>
      <c r="B6326" t="s">
        <v>717</v>
      </c>
    </row>
    <row r="6327" spans="1:8" x14ac:dyDescent="0.25">
      <c r="A6327" t="str">
        <f>"&lt;restock&gt;" &amp;$F$6324&amp;"&lt;/restock&gt;"</f>
        <v>&lt;restock&gt;0&lt;/restock&gt;</v>
      </c>
      <c r="B6327" t="s">
        <v>717</v>
      </c>
    </row>
    <row r="6328" spans="1:8" x14ac:dyDescent="0.25">
      <c r="A6328" t="str">
        <f>"&lt;min&gt;" &amp;$G$6324&amp;"&lt;/min&gt;"</f>
        <v>&lt;min&gt;1&lt;/min&gt;</v>
      </c>
      <c r="B6328" t="s">
        <v>717</v>
      </c>
    </row>
    <row r="6329" spans="1:8" x14ac:dyDescent="0.25">
      <c r="A6329" t="s">
        <v>16</v>
      </c>
      <c r="B6329" t="s">
        <v>717</v>
      </c>
    </row>
    <row r="6330" spans="1:8" x14ac:dyDescent="0.25">
      <c r="A6330" t="s">
        <v>17</v>
      </c>
      <c r="B6330" t="s">
        <v>717</v>
      </c>
    </row>
    <row r="6331" spans="1:8" x14ac:dyDescent="0.25">
      <c r="A6331" t="s">
        <v>18</v>
      </c>
      <c r="B6331" t="s">
        <v>717</v>
      </c>
    </row>
    <row r="6332" spans="1:8" x14ac:dyDescent="0.25">
      <c r="A6332" t="str">
        <f xml:space="preserve"> $H$6324</f>
        <v>&lt;flags count_in_cargo="0" count_in_hoarder="0" count_in_map="1" count_in_player="0" crafted="0" deloot="0"/&gt;</v>
      </c>
      <c r="B6332" t="s">
        <v>717</v>
      </c>
    </row>
    <row r="6333" spans="1:8" x14ac:dyDescent="0.25">
      <c r="A6333" t="str">
        <f>"&lt;category name=" &amp;"""" &amp;$C$6324&amp;"""/&gt;"</f>
        <v>&lt;category name="tools"/&gt;</v>
      </c>
      <c r="B6333" t="s">
        <v>717</v>
      </c>
    </row>
    <row r="6334" spans="1:8" x14ac:dyDescent="0.25">
      <c r="A6334" t="s">
        <v>25</v>
      </c>
      <c r="B6334" t="s">
        <v>717</v>
      </c>
    </row>
    <row r="6335" spans="1:8" x14ac:dyDescent="0.25">
      <c r="A6335" t="s">
        <v>55</v>
      </c>
      <c r="B6335" t="s">
        <v>717</v>
      </c>
    </row>
    <row r="6336" spans="1:8" x14ac:dyDescent="0.25">
      <c r="A6336" t="s">
        <v>22</v>
      </c>
      <c r="B6336" t="s">
        <v>717</v>
      </c>
    </row>
    <row r="6337" spans="1:8" x14ac:dyDescent="0.25">
      <c r="A6337" t="s">
        <v>1892</v>
      </c>
      <c r="B6337" t="s">
        <v>718</v>
      </c>
      <c r="C6337" t="s">
        <v>426</v>
      </c>
      <c r="D6337">
        <v>2</v>
      </c>
      <c r="E6337">
        <v>2700</v>
      </c>
      <c r="F6337">
        <v>0</v>
      </c>
      <c r="G6337">
        <v>1</v>
      </c>
      <c r="H6337" t="s">
        <v>19</v>
      </c>
    </row>
    <row r="6338" spans="1:8" x14ac:dyDescent="0.25">
      <c r="A6338" t="str">
        <f>"&lt;nominal&gt;" &amp;$D$6337&amp;"&lt;/nominal&gt;"</f>
        <v>&lt;nominal&gt;2&lt;/nominal&gt;</v>
      </c>
      <c r="B6338" t="s">
        <v>718</v>
      </c>
    </row>
    <row r="6339" spans="1:8" x14ac:dyDescent="0.25">
      <c r="A6339" t="str">
        <f>"&lt;lifetime&gt;" &amp;$E$6337&amp;"&lt;/lifetime&gt;"</f>
        <v>&lt;lifetime&gt;2700&lt;/lifetime&gt;</v>
      </c>
      <c r="B6339" t="s">
        <v>718</v>
      </c>
    </row>
    <row r="6340" spans="1:8" x14ac:dyDescent="0.25">
      <c r="A6340" t="str">
        <f>"&lt;restock&gt;" &amp;$F$6337&amp;"&lt;/restock&gt;"</f>
        <v>&lt;restock&gt;0&lt;/restock&gt;</v>
      </c>
      <c r="B6340" t="s">
        <v>718</v>
      </c>
    </row>
    <row r="6341" spans="1:8" x14ac:dyDescent="0.25">
      <c r="A6341" t="str">
        <f>"&lt;min&gt;" &amp;$G$6337&amp;"&lt;/min&gt;"</f>
        <v>&lt;min&gt;1&lt;/min&gt;</v>
      </c>
      <c r="B6341" t="s">
        <v>718</v>
      </c>
    </row>
    <row r="6342" spans="1:8" x14ac:dyDescent="0.25">
      <c r="A6342" t="s">
        <v>16</v>
      </c>
      <c r="B6342" t="s">
        <v>718</v>
      </c>
    </row>
    <row r="6343" spans="1:8" x14ac:dyDescent="0.25">
      <c r="A6343" t="s">
        <v>17</v>
      </c>
      <c r="B6343" t="s">
        <v>718</v>
      </c>
    </row>
    <row r="6344" spans="1:8" x14ac:dyDescent="0.25">
      <c r="A6344" t="s">
        <v>18</v>
      </c>
      <c r="B6344" t="s">
        <v>718</v>
      </c>
    </row>
    <row r="6345" spans="1:8" x14ac:dyDescent="0.25">
      <c r="A6345" t="str">
        <f xml:space="preserve"> $H$6337</f>
        <v>&lt;flags count_in_cargo="0" count_in_hoarder="0" count_in_map="1" count_in_player="0" crafted="0" deloot="0"/&gt;</v>
      </c>
      <c r="B6345" t="s">
        <v>718</v>
      </c>
    </row>
    <row r="6346" spans="1:8" x14ac:dyDescent="0.25">
      <c r="A6346" t="str">
        <f>"&lt;category name=" &amp;"""" &amp;$C$6337&amp;"""/&gt;"</f>
        <v>&lt;category name="tools"/&gt;</v>
      </c>
      <c r="B6346" t="s">
        <v>718</v>
      </c>
    </row>
    <row r="6347" spans="1:8" x14ac:dyDescent="0.25">
      <c r="A6347" t="s">
        <v>25</v>
      </c>
      <c r="B6347" t="s">
        <v>718</v>
      </c>
    </row>
    <row r="6348" spans="1:8" x14ac:dyDescent="0.25">
      <c r="A6348" t="s">
        <v>55</v>
      </c>
      <c r="B6348" t="s">
        <v>718</v>
      </c>
    </row>
    <row r="6349" spans="1:8" x14ac:dyDescent="0.25">
      <c r="A6349" t="s">
        <v>22</v>
      </c>
      <c r="B6349" t="s">
        <v>718</v>
      </c>
    </row>
    <row r="6350" spans="1:8" x14ac:dyDescent="0.25">
      <c r="A6350" t="s">
        <v>1893</v>
      </c>
      <c r="B6350" t="s">
        <v>719</v>
      </c>
      <c r="C6350" t="s">
        <v>426</v>
      </c>
      <c r="D6350">
        <v>2</v>
      </c>
      <c r="E6350">
        <v>2700</v>
      </c>
      <c r="F6350">
        <v>0</v>
      </c>
      <c r="G6350">
        <v>1</v>
      </c>
      <c r="H6350" t="s">
        <v>19</v>
      </c>
    </row>
    <row r="6351" spans="1:8" x14ac:dyDescent="0.25">
      <c r="A6351" t="str">
        <f>"&lt;nominal&gt;" &amp;$D$6350&amp;"&lt;/nominal&gt;"</f>
        <v>&lt;nominal&gt;2&lt;/nominal&gt;</v>
      </c>
      <c r="B6351" t="s">
        <v>719</v>
      </c>
    </row>
    <row r="6352" spans="1:8" x14ac:dyDescent="0.25">
      <c r="A6352" t="str">
        <f>"&lt;lifetime&gt;" &amp;$E$6350&amp;"&lt;/lifetime&gt;"</f>
        <v>&lt;lifetime&gt;2700&lt;/lifetime&gt;</v>
      </c>
      <c r="B6352" t="s">
        <v>719</v>
      </c>
    </row>
    <row r="6353" spans="1:8" x14ac:dyDescent="0.25">
      <c r="A6353" t="str">
        <f>"&lt;restock&gt;" &amp;$F$6350&amp;"&lt;/restock&gt;"</f>
        <v>&lt;restock&gt;0&lt;/restock&gt;</v>
      </c>
      <c r="B6353" t="s">
        <v>719</v>
      </c>
    </row>
    <row r="6354" spans="1:8" x14ac:dyDescent="0.25">
      <c r="A6354" t="str">
        <f>"&lt;min&gt;" &amp;$G$6350&amp;"&lt;/min&gt;"</f>
        <v>&lt;min&gt;1&lt;/min&gt;</v>
      </c>
      <c r="B6354" t="s">
        <v>719</v>
      </c>
    </row>
    <row r="6355" spans="1:8" x14ac:dyDescent="0.25">
      <c r="A6355" t="s">
        <v>16</v>
      </c>
      <c r="B6355" t="s">
        <v>719</v>
      </c>
    </row>
    <row r="6356" spans="1:8" x14ac:dyDescent="0.25">
      <c r="A6356" t="s">
        <v>17</v>
      </c>
      <c r="B6356" t="s">
        <v>719</v>
      </c>
    </row>
    <row r="6357" spans="1:8" x14ac:dyDescent="0.25">
      <c r="A6357" t="s">
        <v>18</v>
      </c>
      <c r="B6357" t="s">
        <v>719</v>
      </c>
    </row>
    <row r="6358" spans="1:8" x14ac:dyDescent="0.25">
      <c r="A6358" t="str">
        <f xml:space="preserve"> $H$6350</f>
        <v>&lt;flags count_in_cargo="0" count_in_hoarder="0" count_in_map="1" count_in_player="0" crafted="0" deloot="0"/&gt;</v>
      </c>
      <c r="B6358" t="s">
        <v>719</v>
      </c>
    </row>
    <row r="6359" spans="1:8" x14ac:dyDescent="0.25">
      <c r="A6359" t="str">
        <f>"&lt;category name=" &amp;"""" &amp;$C$6350&amp;"""/&gt;"</f>
        <v>&lt;category name="tools"/&gt;</v>
      </c>
      <c r="B6359" t="s">
        <v>719</v>
      </c>
    </row>
    <row r="6360" spans="1:8" x14ac:dyDescent="0.25">
      <c r="A6360" t="s">
        <v>25</v>
      </c>
      <c r="B6360" t="s">
        <v>719</v>
      </c>
    </row>
    <row r="6361" spans="1:8" x14ac:dyDescent="0.25">
      <c r="A6361" t="s">
        <v>55</v>
      </c>
      <c r="B6361" t="s">
        <v>719</v>
      </c>
    </row>
    <row r="6362" spans="1:8" x14ac:dyDescent="0.25">
      <c r="A6362" t="s">
        <v>22</v>
      </c>
      <c r="B6362" t="s">
        <v>719</v>
      </c>
    </row>
    <row r="6363" spans="1:8" x14ac:dyDescent="0.25">
      <c r="A6363" t="s">
        <v>1894</v>
      </c>
      <c r="B6363" t="s">
        <v>720</v>
      </c>
      <c r="C6363" t="s">
        <v>426</v>
      </c>
      <c r="D6363">
        <v>2</v>
      </c>
      <c r="E6363">
        <v>2700</v>
      </c>
      <c r="F6363">
        <v>0</v>
      </c>
      <c r="G6363">
        <v>1</v>
      </c>
      <c r="H6363" t="s">
        <v>19</v>
      </c>
    </row>
    <row r="6364" spans="1:8" x14ac:dyDescent="0.25">
      <c r="A6364" t="str">
        <f>"&lt;nominal&gt;" &amp;$D$6363&amp;"&lt;/nominal&gt;"</f>
        <v>&lt;nominal&gt;2&lt;/nominal&gt;</v>
      </c>
      <c r="B6364" t="s">
        <v>720</v>
      </c>
    </row>
    <row r="6365" spans="1:8" x14ac:dyDescent="0.25">
      <c r="A6365" t="str">
        <f>"&lt;lifetime&gt;" &amp;$E$6363&amp;"&lt;/lifetime&gt;"</f>
        <v>&lt;lifetime&gt;2700&lt;/lifetime&gt;</v>
      </c>
      <c r="B6365" t="s">
        <v>720</v>
      </c>
    </row>
    <row r="6366" spans="1:8" x14ac:dyDescent="0.25">
      <c r="A6366" t="str">
        <f>"&lt;restock&gt;" &amp;$F$6363&amp;"&lt;/restock&gt;"</f>
        <v>&lt;restock&gt;0&lt;/restock&gt;</v>
      </c>
      <c r="B6366" t="s">
        <v>720</v>
      </c>
    </row>
    <row r="6367" spans="1:8" x14ac:dyDescent="0.25">
      <c r="A6367" t="str">
        <f>"&lt;min&gt;" &amp;$G$6363&amp;"&lt;/min&gt;"</f>
        <v>&lt;min&gt;1&lt;/min&gt;</v>
      </c>
      <c r="B6367" t="s">
        <v>720</v>
      </c>
    </row>
    <row r="6368" spans="1:8" x14ac:dyDescent="0.25">
      <c r="A6368" t="s">
        <v>16</v>
      </c>
      <c r="B6368" t="s">
        <v>720</v>
      </c>
    </row>
    <row r="6369" spans="1:8" x14ac:dyDescent="0.25">
      <c r="A6369" t="s">
        <v>17</v>
      </c>
      <c r="B6369" t="s">
        <v>720</v>
      </c>
    </row>
    <row r="6370" spans="1:8" x14ac:dyDescent="0.25">
      <c r="A6370" t="s">
        <v>18</v>
      </c>
      <c r="B6370" t="s">
        <v>720</v>
      </c>
    </row>
    <row r="6371" spans="1:8" x14ac:dyDescent="0.25">
      <c r="A6371" t="str">
        <f xml:space="preserve"> $H$6363</f>
        <v>&lt;flags count_in_cargo="0" count_in_hoarder="0" count_in_map="1" count_in_player="0" crafted="0" deloot="0"/&gt;</v>
      </c>
      <c r="B6371" t="s">
        <v>720</v>
      </c>
    </row>
    <row r="6372" spans="1:8" x14ac:dyDescent="0.25">
      <c r="A6372" t="str">
        <f>"&lt;category name=" &amp;"""" &amp;$C$6363&amp;"""/&gt;"</f>
        <v>&lt;category name="tools"/&gt;</v>
      </c>
      <c r="B6372" t="s">
        <v>720</v>
      </c>
    </row>
    <row r="6373" spans="1:8" x14ac:dyDescent="0.25">
      <c r="A6373" t="s">
        <v>25</v>
      </c>
      <c r="B6373" t="s">
        <v>720</v>
      </c>
    </row>
    <row r="6374" spans="1:8" x14ac:dyDescent="0.25">
      <c r="A6374" t="s">
        <v>55</v>
      </c>
      <c r="B6374" t="s">
        <v>720</v>
      </c>
    </row>
    <row r="6375" spans="1:8" x14ac:dyDescent="0.25">
      <c r="A6375" t="s">
        <v>22</v>
      </c>
      <c r="B6375" t="s">
        <v>720</v>
      </c>
    </row>
    <row r="6376" spans="1:8" x14ac:dyDescent="0.25">
      <c r="A6376" t="s">
        <v>1895</v>
      </c>
      <c r="B6376" t="s">
        <v>721</v>
      </c>
      <c r="C6376" t="s">
        <v>426</v>
      </c>
      <c r="D6376">
        <v>2</v>
      </c>
      <c r="E6376">
        <v>2700</v>
      </c>
      <c r="F6376">
        <v>0</v>
      </c>
      <c r="G6376">
        <v>1</v>
      </c>
      <c r="H6376" t="s">
        <v>19</v>
      </c>
    </row>
    <row r="6377" spans="1:8" x14ac:dyDescent="0.25">
      <c r="A6377" t="str">
        <f>"&lt;nominal&gt;" &amp;$D$6376&amp;"&lt;/nominal&gt;"</f>
        <v>&lt;nominal&gt;2&lt;/nominal&gt;</v>
      </c>
      <c r="B6377" t="s">
        <v>721</v>
      </c>
    </row>
    <row r="6378" spans="1:8" x14ac:dyDescent="0.25">
      <c r="A6378" t="str">
        <f>"&lt;lifetime&gt;" &amp;$E$6376&amp;"&lt;/lifetime&gt;"</f>
        <v>&lt;lifetime&gt;2700&lt;/lifetime&gt;</v>
      </c>
      <c r="B6378" t="s">
        <v>721</v>
      </c>
    </row>
    <row r="6379" spans="1:8" x14ac:dyDescent="0.25">
      <c r="A6379" t="str">
        <f>"&lt;restock&gt;" &amp;$F$6376&amp;"&lt;/restock&gt;"</f>
        <v>&lt;restock&gt;0&lt;/restock&gt;</v>
      </c>
      <c r="B6379" t="s">
        <v>721</v>
      </c>
    </row>
    <row r="6380" spans="1:8" x14ac:dyDescent="0.25">
      <c r="A6380" t="str">
        <f>"&lt;min&gt;" &amp;$G$6376&amp;"&lt;/min&gt;"</f>
        <v>&lt;min&gt;1&lt;/min&gt;</v>
      </c>
      <c r="B6380" t="s">
        <v>721</v>
      </c>
    </row>
    <row r="6381" spans="1:8" x14ac:dyDescent="0.25">
      <c r="A6381" t="s">
        <v>16</v>
      </c>
      <c r="B6381" t="s">
        <v>721</v>
      </c>
    </row>
    <row r="6382" spans="1:8" x14ac:dyDescent="0.25">
      <c r="A6382" t="s">
        <v>17</v>
      </c>
      <c r="B6382" t="s">
        <v>721</v>
      </c>
    </row>
    <row r="6383" spans="1:8" x14ac:dyDescent="0.25">
      <c r="A6383" t="s">
        <v>18</v>
      </c>
      <c r="B6383" t="s">
        <v>721</v>
      </c>
    </row>
    <row r="6384" spans="1:8" x14ac:dyDescent="0.25">
      <c r="A6384" t="str">
        <f xml:space="preserve"> $H$6376</f>
        <v>&lt;flags count_in_cargo="0" count_in_hoarder="0" count_in_map="1" count_in_player="0" crafted="0" deloot="0"/&gt;</v>
      </c>
      <c r="B6384" t="s">
        <v>721</v>
      </c>
    </row>
    <row r="6385" spans="1:8" x14ac:dyDescent="0.25">
      <c r="A6385" t="str">
        <f>"&lt;category name=" &amp;"""" &amp;$C$6376&amp;"""/&gt;"</f>
        <v>&lt;category name="tools"/&gt;</v>
      </c>
      <c r="B6385" t="s">
        <v>721</v>
      </c>
    </row>
    <row r="6386" spans="1:8" x14ac:dyDescent="0.25">
      <c r="A6386" t="s">
        <v>25</v>
      </c>
      <c r="B6386" t="s">
        <v>721</v>
      </c>
    </row>
    <row r="6387" spans="1:8" x14ac:dyDescent="0.25">
      <c r="A6387" t="s">
        <v>55</v>
      </c>
      <c r="B6387" t="s">
        <v>721</v>
      </c>
    </row>
    <row r="6388" spans="1:8" x14ac:dyDescent="0.25">
      <c r="A6388" t="s">
        <v>22</v>
      </c>
      <c r="B6388" t="s">
        <v>721</v>
      </c>
    </row>
    <row r="6389" spans="1:8" x14ac:dyDescent="0.25">
      <c r="A6389" t="s">
        <v>1896</v>
      </c>
      <c r="B6389" t="s">
        <v>3424</v>
      </c>
      <c r="C6389" t="s">
        <v>426</v>
      </c>
      <c r="D6389">
        <v>0</v>
      </c>
      <c r="E6389">
        <v>1800</v>
      </c>
      <c r="F6389">
        <v>0</v>
      </c>
      <c r="G6389">
        <v>0</v>
      </c>
      <c r="H6389" t="s">
        <v>62</v>
      </c>
    </row>
    <row r="6390" spans="1:8" x14ac:dyDescent="0.25">
      <c r="A6390" t="str">
        <f>"&lt;nominal&gt;" &amp;$D$6389&amp;"&lt;/nominal&gt;"</f>
        <v>&lt;nominal&gt;0&lt;/nominal&gt;</v>
      </c>
      <c r="B6390" t="s">
        <v>3424</v>
      </c>
    </row>
    <row r="6391" spans="1:8" x14ac:dyDescent="0.25">
      <c r="A6391" t="str">
        <f>"&lt;lifetime&gt;" &amp;$E$6389&amp;"&lt;/lifetime&gt;"</f>
        <v>&lt;lifetime&gt;1800&lt;/lifetime&gt;</v>
      </c>
      <c r="B6391" t="s">
        <v>3424</v>
      </c>
    </row>
    <row r="6392" spans="1:8" x14ac:dyDescent="0.25">
      <c r="A6392" t="str">
        <f>"&lt;restock&gt;" &amp;$F$6389&amp;"&lt;/restock&gt;"</f>
        <v>&lt;restock&gt;0&lt;/restock&gt;</v>
      </c>
      <c r="B6392" t="s">
        <v>3424</v>
      </c>
    </row>
    <row r="6393" spans="1:8" x14ac:dyDescent="0.25">
      <c r="A6393" t="str">
        <f>"&lt;min&gt;" &amp;$G$6389&amp;"&lt;/min&gt;"</f>
        <v>&lt;min&gt;0&lt;/min&gt;</v>
      </c>
      <c r="B6393" t="s">
        <v>3424</v>
      </c>
    </row>
    <row r="6394" spans="1:8" x14ac:dyDescent="0.25">
      <c r="A6394" t="s">
        <v>16</v>
      </c>
      <c r="B6394" t="s">
        <v>3424</v>
      </c>
    </row>
    <row r="6395" spans="1:8" x14ac:dyDescent="0.25">
      <c r="A6395" t="s">
        <v>17</v>
      </c>
      <c r="B6395" t="s">
        <v>3424</v>
      </c>
    </row>
    <row r="6396" spans="1:8" x14ac:dyDescent="0.25">
      <c r="A6396" t="s">
        <v>18</v>
      </c>
      <c r="B6396" t="s">
        <v>3424</v>
      </c>
    </row>
    <row r="6397" spans="1:8" x14ac:dyDescent="0.25">
      <c r="A6397" t="str">
        <f xml:space="preserve"> $H$6389</f>
        <v>&lt;flags count_in_cargo="0" count_in_hoarder="0" count_in_map="1" count_in_player="0" crafted="1" deloot="0"/&gt;</v>
      </c>
      <c r="B6397" t="s">
        <v>3424</v>
      </c>
    </row>
    <row r="6398" spans="1:8" x14ac:dyDescent="0.25">
      <c r="A6398" t="str">
        <f>"&lt;category name=" &amp;"""" &amp;$C$6389&amp;"""/&gt;"</f>
        <v>&lt;category name="tools"/&gt;</v>
      </c>
      <c r="B6398" t="s">
        <v>3424</v>
      </c>
    </row>
    <row r="6399" spans="1:8" x14ac:dyDescent="0.25">
      <c r="A6399" t="s">
        <v>25</v>
      </c>
      <c r="B6399" t="s">
        <v>3424</v>
      </c>
    </row>
    <row r="6400" spans="1:8" x14ac:dyDescent="0.25">
      <c r="A6400" t="s">
        <v>55</v>
      </c>
      <c r="B6400" t="s">
        <v>3424</v>
      </c>
    </row>
    <row r="6401" spans="1:8" x14ac:dyDescent="0.25">
      <c r="A6401" t="s">
        <v>22</v>
      </c>
      <c r="B6401" t="s">
        <v>3424</v>
      </c>
    </row>
    <row r="6402" spans="1:8" x14ac:dyDescent="0.25">
      <c r="A6402" t="s">
        <v>1897</v>
      </c>
      <c r="B6402" t="s">
        <v>722</v>
      </c>
      <c r="C6402" t="s">
        <v>426</v>
      </c>
      <c r="D6402">
        <v>80</v>
      </c>
      <c r="E6402">
        <v>7200</v>
      </c>
      <c r="F6402">
        <v>0</v>
      </c>
      <c r="G6402">
        <v>60</v>
      </c>
      <c r="H6402" t="s">
        <v>19</v>
      </c>
    </row>
    <row r="6403" spans="1:8" x14ac:dyDescent="0.25">
      <c r="A6403" t="str">
        <f>"&lt;nominal&gt;" &amp;$D$6402&amp;"&lt;/nominal&gt;"</f>
        <v>&lt;nominal&gt;80&lt;/nominal&gt;</v>
      </c>
      <c r="B6403" t="s">
        <v>722</v>
      </c>
    </row>
    <row r="6404" spans="1:8" x14ac:dyDescent="0.25">
      <c r="A6404" t="str">
        <f>"&lt;lifetime&gt;" &amp;$E$6402&amp;"&lt;/lifetime&gt;"</f>
        <v>&lt;lifetime&gt;7200&lt;/lifetime&gt;</v>
      </c>
      <c r="B6404" t="s">
        <v>722</v>
      </c>
    </row>
    <row r="6405" spans="1:8" x14ac:dyDescent="0.25">
      <c r="A6405" t="str">
        <f>"&lt;restock&gt;" &amp;$F$6402&amp;"&lt;/restock&gt;"</f>
        <v>&lt;restock&gt;0&lt;/restock&gt;</v>
      </c>
      <c r="B6405" t="s">
        <v>722</v>
      </c>
    </row>
    <row r="6406" spans="1:8" x14ac:dyDescent="0.25">
      <c r="A6406" t="str">
        <f>"&lt;min&gt;" &amp;$G$6402&amp;"&lt;/min&gt;"</f>
        <v>&lt;min&gt;60&lt;/min&gt;</v>
      </c>
      <c r="B6406" t="s">
        <v>722</v>
      </c>
    </row>
    <row r="6407" spans="1:8" x14ac:dyDescent="0.25">
      <c r="A6407" t="s">
        <v>16</v>
      </c>
      <c r="B6407" t="s">
        <v>722</v>
      </c>
    </row>
    <row r="6408" spans="1:8" x14ac:dyDescent="0.25">
      <c r="A6408" t="s">
        <v>17</v>
      </c>
      <c r="B6408" t="s">
        <v>722</v>
      </c>
    </row>
    <row r="6409" spans="1:8" x14ac:dyDescent="0.25">
      <c r="A6409" t="s">
        <v>18</v>
      </c>
      <c r="B6409" t="s">
        <v>722</v>
      </c>
    </row>
    <row r="6410" spans="1:8" x14ac:dyDescent="0.25">
      <c r="A6410" t="str">
        <f xml:space="preserve"> $H$6402</f>
        <v>&lt;flags count_in_cargo="0" count_in_hoarder="0" count_in_map="1" count_in_player="0" crafted="0" deloot="0"/&gt;</v>
      </c>
      <c r="B6410" t="s">
        <v>722</v>
      </c>
    </row>
    <row r="6411" spans="1:8" x14ac:dyDescent="0.25">
      <c r="A6411" t="str">
        <f>"&lt;category name=" &amp;"""" &amp;$C$6402&amp;"""/&gt;"</f>
        <v>&lt;category name="tools"/&gt;</v>
      </c>
      <c r="B6411" t="s">
        <v>722</v>
      </c>
    </row>
    <row r="6412" spans="1:8" x14ac:dyDescent="0.25">
      <c r="A6412" t="s">
        <v>25</v>
      </c>
      <c r="B6412" t="s">
        <v>722</v>
      </c>
    </row>
    <row r="6413" spans="1:8" x14ac:dyDescent="0.25">
      <c r="A6413" t="s">
        <v>56</v>
      </c>
      <c r="B6413" t="s">
        <v>722</v>
      </c>
    </row>
    <row r="6414" spans="1:8" x14ac:dyDescent="0.25">
      <c r="A6414" t="s">
        <v>40</v>
      </c>
      <c r="B6414" t="s">
        <v>722</v>
      </c>
    </row>
    <row r="6415" spans="1:8" x14ac:dyDescent="0.25">
      <c r="A6415" t="s">
        <v>22</v>
      </c>
      <c r="B6415" t="s">
        <v>722</v>
      </c>
    </row>
    <row r="6416" spans="1:8" x14ac:dyDescent="0.25">
      <c r="A6416" t="s">
        <v>1898</v>
      </c>
      <c r="B6416" t="s">
        <v>3425</v>
      </c>
      <c r="C6416" t="s">
        <v>426</v>
      </c>
      <c r="D6416">
        <v>0</v>
      </c>
      <c r="E6416">
        <v>1800</v>
      </c>
      <c r="F6416">
        <v>0</v>
      </c>
      <c r="G6416">
        <v>0</v>
      </c>
      <c r="H6416" t="s">
        <v>62</v>
      </c>
    </row>
    <row r="6417" spans="1:8" x14ac:dyDescent="0.25">
      <c r="A6417" t="str">
        <f>"&lt;nominal&gt;" &amp;$D$6416&amp;"&lt;/nominal&gt;"</f>
        <v>&lt;nominal&gt;0&lt;/nominal&gt;</v>
      </c>
      <c r="B6417" t="s">
        <v>3425</v>
      </c>
    </row>
    <row r="6418" spans="1:8" x14ac:dyDescent="0.25">
      <c r="A6418" t="str">
        <f>"&lt;lifetime&gt;" &amp;$E$6416&amp;"&lt;/lifetime&gt;"</f>
        <v>&lt;lifetime&gt;1800&lt;/lifetime&gt;</v>
      </c>
      <c r="B6418" t="s">
        <v>3425</v>
      </c>
    </row>
    <row r="6419" spans="1:8" x14ac:dyDescent="0.25">
      <c r="A6419" t="str">
        <f>"&lt;restock&gt;" &amp;$F$6416&amp;"&lt;/restock&gt;"</f>
        <v>&lt;restock&gt;0&lt;/restock&gt;</v>
      </c>
      <c r="B6419" t="s">
        <v>3425</v>
      </c>
    </row>
    <row r="6420" spans="1:8" x14ac:dyDescent="0.25">
      <c r="A6420" t="str">
        <f>"&lt;min&gt;" &amp;$G$6416&amp;"&lt;/min&gt;"</f>
        <v>&lt;min&gt;0&lt;/min&gt;</v>
      </c>
      <c r="B6420" t="s">
        <v>3425</v>
      </c>
    </row>
    <row r="6421" spans="1:8" x14ac:dyDescent="0.25">
      <c r="A6421" t="s">
        <v>16</v>
      </c>
      <c r="B6421" t="s">
        <v>3425</v>
      </c>
    </row>
    <row r="6422" spans="1:8" x14ac:dyDescent="0.25">
      <c r="A6422" t="s">
        <v>17</v>
      </c>
      <c r="B6422" t="s">
        <v>3425</v>
      </c>
    </row>
    <row r="6423" spans="1:8" x14ac:dyDescent="0.25">
      <c r="A6423" t="s">
        <v>18</v>
      </c>
      <c r="B6423" t="s">
        <v>3425</v>
      </c>
    </row>
    <row r="6424" spans="1:8" x14ac:dyDescent="0.25">
      <c r="A6424" t="str">
        <f xml:space="preserve"> $H$6416</f>
        <v>&lt;flags count_in_cargo="0" count_in_hoarder="0" count_in_map="1" count_in_player="0" crafted="1" deloot="0"/&gt;</v>
      </c>
      <c r="B6424" t="s">
        <v>3425</v>
      </c>
    </row>
    <row r="6425" spans="1:8" x14ac:dyDescent="0.25">
      <c r="A6425" t="str">
        <f>"&lt;category name=" &amp;"""" &amp;$C$6416&amp;"""/&gt;"</f>
        <v>&lt;category name="tools"/&gt;</v>
      </c>
      <c r="B6425" t="s">
        <v>3425</v>
      </c>
    </row>
    <row r="6426" spans="1:8" x14ac:dyDescent="0.25">
      <c r="A6426" t="s">
        <v>22</v>
      </c>
      <c r="B6426" t="s">
        <v>3425</v>
      </c>
    </row>
    <row r="6427" spans="1:8" x14ac:dyDescent="0.25">
      <c r="A6427" t="s">
        <v>1899</v>
      </c>
      <c r="B6427" t="s">
        <v>723</v>
      </c>
      <c r="C6427" t="s">
        <v>426</v>
      </c>
      <c r="D6427">
        <v>60</v>
      </c>
      <c r="E6427">
        <v>2700</v>
      </c>
      <c r="F6427">
        <v>0</v>
      </c>
      <c r="G6427">
        <v>40</v>
      </c>
      <c r="H6427" t="s">
        <v>19</v>
      </c>
    </row>
    <row r="6428" spans="1:8" x14ac:dyDescent="0.25">
      <c r="A6428" t="str">
        <f>"&lt;nominal&gt;" &amp;$D$6427&amp;"&lt;/nominal&gt;"</f>
        <v>&lt;nominal&gt;60&lt;/nominal&gt;</v>
      </c>
      <c r="B6428" t="s">
        <v>723</v>
      </c>
    </row>
    <row r="6429" spans="1:8" x14ac:dyDescent="0.25">
      <c r="A6429" t="str">
        <f>"&lt;lifetime&gt;" &amp;$E$6427&amp;"&lt;/lifetime&gt;"</f>
        <v>&lt;lifetime&gt;2700&lt;/lifetime&gt;</v>
      </c>
      <c r="B6429" t="s">
        <v>723</v>
      </c>
    </row>
    <row r="6430" spans="1:8" x14ac:dyDescent="0.25">
      <c r="A6430" t="str">
        <f>"&lt;restock&gt;" &amp;$F$6427&amp;"&lt;/restock&gt;"</f>
        <v>&lt;restock&gt;0&lt;/restock&gt;</v>
      </c>
      <c r="B6430" t="s">
        <v>723</v>
      </c>
    </row>
    <row r="6431" spans="1:8" x14ac:dyDescent="0.25">
      <c r="A6431" t="str">
        <f>"&lt;min&gt;" &amp;$G$6427&amp;"&lt;/min&gt;"</f>
        <v>&lt;min&gt;40&lt;/min&gt;</v>
      </c>
      <c r="B6431" t="s">
        <v>723</v>
      </c>
    </row>
    <row r="6432" spans="1:8" x14ac:dyDescent="0.25">
      <c r="A6432" t="s">
        <v>16</v>
      </c>
      <c r="B6432" t="s">
        <v>723</v>
      </c>
    </row>
    <row r="6433" spans="1:8" x14ac:dyDescent="0.25">
      <c r="A6433" t="s">
        <v>17</v>
      </c>
      <c r="B6433" t="s">
        <v>723</v>
      </c>
    </row>
    <row r="6434" spans="1:8" x14ac:dyDescent="0.25">
      <c r="A6434" t="s">
        <v>18</v>
      </c>
      <c r="B6434" t="s">
        <v>723</v>
      </c>
    </row>
    <row r="6435" spans="1:8" x14ac:dyDescent="0.25">
      <c r="A6435" t="str">
        <f xml:space="preserve"> $H$6427</f>
        <v>&lt;flags count_in_cargo="0" count_in_hoarder="0" count_in_map="1" count_in_player="0" crafted="0" deloot="0"/&gt;</v>
      </c>
      <c r="B6435" t="s">
        <v>723</v>
      </c>
    </row>
    <row r="6436" spans="1:8" x14ac:dyDescent="0.25">
      <c r="A6436" t="str">
        <f>"&lt;category name=" &amp;"""" &amp;$C$6427&amp;"""/&gt;"</f>
        <v>&lt;category name="tools"/&gt;</v>
      </c>
      <c r="B6436" t="s">
        <v>723</v>
      </c>
    </row>
    <row r="6437" spans="1:8" x14ac:dyDescent="0.25">
      <c r="A6437" t="s">
        <v>20</v>
      </c>
      <c r="B6437" t="s">
        <v>723</v>
      </c>
    </row>
    <row r="6438" spans="1:8" x14ac:dyDescent="0.25">
      <c r="A6438" t="s">
        <v>55</v>
      </c>
      <c r="B6438" t="s">
        <v>723</v>
      </c>
    </row>
    <row r="6439" spans="1:8" x14ac:dyDescent="0.25">
      <c r="A6439" t="s">
        <v>22</v>
      </c>
      <c r="B6439" t="s">
        <v>723</v>
      </c>
    </row>
    <row r="6440" spans="1:8" x14ac:dyDescent="0.25">
      <c r="A6440" t="s">
        <v>1900</v>
      </c>
      <c r="B6440" t="s">
        <v>724</v>
      </c>
      <c r="C6440" t="s">
        <v>426</v>
      </c>
      <c r="D6440">
        <v>120</v>
      </c>
      <c r="E6440">
        <v>14400</v>
      </c>
      <c r="F6440">
        <v>0</v>
      </c>
      <c r="G6440">
        <v>90</v>
      </c>
      <c r="H6440" t="s">
        <v>19</v>
      </c>
    </row>
    <row r="6441" spans="1:8" x14ac:dyDescent="0.25">
      <c r="A6441" t="str">
        <f>"&lt;nominal&gt;" &amp;$D$6440&amp;"&lt;/nominal&gt;"</f>
        <v>&lt;nominal&gt;120&lt;/nominal&gt;</v>
      </c>
      <c r="B6441" t="s">
        <v>724</v>
      </c>
    </row>
    <row r="6442" spans="1:8" x14ac:dyDescent="0.25">
      <c r="A6442" t="str">
        <f>"&lt;lifetime&gt;" &amp;$E$6440&amp;"&lt;/lifetime&gt;"</f>
        <v>&lt;lifetime&gt;14400&lt;/lifetime&gt;</v>
      </c>
      <c r="B6442" t="s">
        <v>724</v>
      </c>
    </row>
    <row r="6443" spans="1:8" x14ac:dyDescent="0.25">
      <c r="A6443" t="str">
        <f>"&lt;restock&gt;" &amp;$F$6440&amp;"&lt;/restock&gt;"</f>
        <v>&lt;restock&gt;0&lt;/restock&gt;</v>
      </c>
      <c r="B6443" t="s">
        <v>724</v>
      </c>
    </row>
    <row r="6444" spans="1:8" x14ac:dyDescent="0.25">
      <c r="A6444" t="str">
        <f>"&lt;min&gt;" &amp;$G$6440&amp;"&lt;/min&gt;"</f>
        <v>&lt;min&gt;90&lt;/min&gt;</v>
      </c>
      <c r="B6444" t="s">
        <v>724</v>
      </c>
    </row>
    <row r="6445" spans="1:8" x14ac:dyDescent="0.25">
      <c r="A6445" t="s">
        <v>16</v>
      </c>
      <c r="B6445" t="s">
        <v>724</v>
      </c>
    </row>
    <row r="6446" spans="1:8" x14ac:dyDescent="0.25">
      <c r="A6446" t="s">
        <v>17</v>
      </c>
      <c r="B6446" t="s">
        <v>724</v>
      </c>
    </row>
    <row r="6447" spans="1:8" x14ac:dyDescent="0.25">
      <c r="A6447" t="s">
        <v>18</v>
      </c>
      <c r="B6447" t="s">
        <v>724</v>
      </c>
    </row>
    <row r="6448" spans="1:8" x14ac:dyDescent="0.25">
      <c r="A6448" t="str">
        <f xml:space="preserve"> $H$6440</f>
        <v>&lt;flags count_in_cargo="0" count_in_hoarder="0" count_in_map="1" count_in_player="0" crafted="0" deloot="0"/&gt;</v>
      </c>
      <c r="B6448" t="s">
        <v>724</v>
      </c>
    </row>
    <row r="6449" spans="1:8" x14ac:dyDescent="0.25">
      <c r="A6449" t="str">
        <f>"&lt;category name=" &amp;"""" &amp;$C$6440&amp;"""/&gt;"</f>
        <v>&lt;category name="tools"/&gt;</v>
      </c>
      <c r="B6449" t="s">
        <v>724</v>
      </c>
    </row>
    <row r="6450" spans="1:8" x14ac:dyDescent="0.25">
      <c r="A6450" t="s">
        <v>55</v>
      </c>
      <c r="B6450" t="s">
        <v>724</v>
      </c>
    </row>
    <row r="6451" spans="1:8" x14ac:dyDescent="0.25">
      <c r="A6451" t="s">
        <v>56</v>
      </c>
      <c r="B6451" t="s">
        <v>724</v>
      </c>
    </row>
    <row r="6452" spans="1:8" x14ac:dyDescent="0.25">
      <c r="A6452" t="s">
        <v>39</v>
      </c>
      <c r="B6452" t="s">
        <v>724</v>
      </c>
    </row>
    <row r="6453" spans="1:8" x14ac:dyDescent="0.25">
      <c r="A6453" t="s">
        <v>40</v>
      </c>
      <c r="B6453" t="s">
        <v>724</v>
      </c>
    </row>
    <row r="6454" spans="1:8" x14ac:dyDescent="0.25">
      <c r="A6454" t="s">
        <v>67</v>
      </c>
      <c r="B6454" t="s">
        <v>724</v>
      </c>
    </row>
    <row r="6455" spans="1:8" x14ac:dyDescent="0.25">
      <c r="A6455" t="s">
        <v>30</v>
      </c>
      <c r="B6455" t="s">
        <v>724</v>
      </c>
    </row>
    <row r="6456" spans="1:8" x14ac:dyDescent="0.25">
      <c r="A6456" t="s">
        <v>31</v>
      </c>
      <c r="B6456" t="s">
        <v>724</v>
      </c>
    </row>
    <row r="6457" spans="1:8" x14ac:dyDescent="0.25">
      <c r="A6457" t="s">
        <v>307</v>
      </c>
      <c r="B6457" t="s">
        <v>724</v>
      </c>
    </row>
    <row r="6458" spans="1:8" x14ac:dyDescent="0.25">
      <c r="A6458" t="s">
        <v>22</v>
      </c>
      <c r="B6458" t="s">
        <v>724</v>
      </c>
    </row>
    <row r="6459" spans="1:8" x14ac:dyDescent="0.25">
      <c r="A6459" t="s">
        <v>1901</v>
      </c>
      <c r="B6459" t="s">
        <v>725</v>
      </c>
      <c r="C6459" t="s">
        <v>426</v>
      </c>
      <c r="D6459">
        <v>120</v>
      </c>
      <c r="E6459">
        <v>14400</v>
      </c>
      <c r="F6459">
        <v>0</v>
      </c>
      <c r="G6459">
        <v>90</v>
      </c>
      <c r="H6459" t="s">
        <v>19</v>
      </c>
    </row>
    <row r="6460" spans="1:8" x14ac:dyDescent="0.25">
      <c r="A6460" t="str">
        <f>"&lt;nominal&gt;" &amp;$D$6459&amp;"&lt;/nominal&gt;"</f>
        <v>&lt;nominal&gt;120&lt;/nominal&gt;</v>
      </c>
      <c r="B6460" t="s">
        <v>725</v>
      </c>
    </row>
    <row r="6461" spans="1:8" x14ac:dyDescent="0.25">
      <c r="A6461" t="str">
        <f>"&lt;lifetime&gt;" &amp;$E$6459&amp;"&lt;/lifetime&gt;"</f>
        <v>&lt;lifetime&gt;14400&lt;/lifetime&gt;</v>
      </c>
      <c r="B6461" t="s">
        <v>725</v>
      </c>
    </row>
    <row r="6462" spans="1:8" x14ac:dyDescent="0.25">
      <c r="A6462" t="str">
        <f>"&lt;restock&gt;" &amp;$F$6459&amp;"&lt;/restock&gt;"</f>
        <v>&lt;restock&gt;0&lt;/restock&gt;</v>
      </c>
      <c r="B6462" t="s">
        <v>725</v>
      </c>
    </row>
    <row r="6463" spans="1:8" x14ac:dyDescent="0.25">
      <c r="A6463" t="str">
        <f>"&lt;min&gt;" &amp;$G$6459&amp;"&lt;/min&gt;"</f>
        <v>&lt;min&gt;90&lt;/min&gt;</v>
      </c>
      <c r="B6463" t="s">
        <v>725</v>
      </c>
    </row>
    <row r="6464" spans="1:8" x14ac:dyDescent="0.25">
      <c r="A6464" t="s">
        <v>16</v>
      </c>
      <c r="B6464" t="s">
        <v>725</v>
      </c>
    </row>
    <row r="6465" spans="1:8" x14ac:dyDescent="0.25">
      <c r="A6465" t="s">
        <v>17</v>
      </c>
      <c r="B6465" t="s">
        <v>725</v>
      </c>
    </row>
    <row r="6466" spans="1:8" x14ac:dyDescent="0.25">
      <c r="A6466" t="s">
        <v>18</v>
      </c>
      <c r="B6466" t="s">
        <v>725</v>
      </c>
    </row>
    <row r="6467" spans="1:8" x14ac:dyDescent="0.25">
      <c r="A6467" t="str">
        <f xml:space="preserve"> $H$6459</f>
        <v>&lt;flags count_in_cargo="0" count_in_hoarder="0" count_in_map="1" count_in_player="0" crafted="0" deloot="0"/&gt;</v>
      </c>
      <c r="B6467" t="s">
        <v>725</v>
      </c>
    </row>
    <row r="6468" spans="1:8" x14ac:dyDescent="0.25">
      <c r="A6468" t="str">
        <f>"&lt;category name=" &amp;"""" &amp;$C$6459&amp;"""/&gt;"</f>
        <v>&lt;category name="tools"/&gt;</v>
      </c>
      <c r="B6468" t="s">
        <v>725</v>
      </c>
    </row>
    <row r="6469" spans="1:8" x14ac:dyDescent="0.25">
      <c r="A6469" t="s">
        <v>55</v>
      </c>
      <c r="B6469" t="s">
        <v>725</v>
      </c>
    </row>
    <row r="6470" spans="1:8" x14ac:dyDescent="0.25">
      <c r="A6470" t="s">
        <v>56</v>
      </c>
      <c r="B6470" t="s">
        <v>725</v>
      </c>
    </row>
    <row r="6471" spans="1:8" x14ac:dyDescent="0.25">
      <c r="A6471" t="s">
        <v>39</v>
      </c>
      <c r="B6471" t="s">
        <v>725</v>
      </c>
    </row>
    <row r="6472" spans="1:8" x14ac:dyDescent="0.25">
      <c r="A6472" t="s">
        <v>40</v>
      </c>
      <c r="B6472" t="s">
        <v>725</v>
      </c>
    </row>
    <row r="6473" spans="1:8" x14ac:dyDescent="0.25">
      <c r="A6473" t="s">
        <v>67</v>
      </c>
      <c r="B6473" t="s">
        <v>725</v>
      </c>
    </row>
    <row r="6474" spans="1:8" x14ac:dyDescent="0.25">
      <c r="A6474" t="s">
        <v>30</v>
      </c>
      <c r="B6474" t="s">
        <v>725</v>
      </c>
    </row>
    <row r="6475" spans="1:8" x14ac:dyDescent="0.25">
      <c r="A6475" t="s">
        <v>31</v>
      </c>
      <c r="B6475" t="s">
        <v>725</v>
      </c>
    </row>
    <row r="6476" spans="1:8" x14ac:dyDescent="0.25">
      <c r="A6476" t="s">
        <v>307</v>
      </c>
      <c r="B6476" t="s">
        <v>725</v>
      </c>
    </row>
    <row r="6477" spans="1:8" x14ac:dyDescent="0.25">
      <c r="A6477" t="s">
        <v>22</v>
      </c>
      <c r="B6477" t="s">
        <v>725</v>
      </c>
    </row>
    <row r="6478" spans="1:8" x14ac:dyDescent="0.25">
      <c r="A6478" t="s">
        <v>1902</v>
      </c>
      <c r="B6478" t="s">
        <v>726</v>
      </c>
      <c r="C6478" t="s">
        <v>426</v>
      </c>
      <c r="D6478">
        <v>50</v>
      </c>
      <c r="E6478">
        <v>7200</v>
      </c>
      <c r="F6478">
        <v>0</v>
      </c>
      <c r="G6478">
        <v>30</v>
      </c>
      <c r="H6478" t="s">
        <v>19</v>
      </c>
    </row>
    <row r="6479" spans="1:8" x14ac:dyDescent="0.25">
      <c r="A6479" t="str">
        <f>"&lt;nominal&gt;" &amp;$D$6478&amp;"&lt;/nominal&gt;"</f>
        <v>&lt;nominal&gt;50&lt;/nominal&gt;</v>
      </c>
      <c r="B6479" t="s">
        <v>726</v>
      </c>
    </row>
    <row r="6480" spans="1:8" x14ac:dyDescent="0.25">
      <c r="A6480" t="str">
        <f>"&lt;lifetime&gt;" &amp;$E$6478&amp;"&lt;/lifetime&gt;"</f>
        <v>&lt;lifetime&gt;7200&lt;/lifetime&gt;</v>
      </c>
      <c r="B6480" t="s">
        <v>726</v>
      </c>
    </row>
    <row r="6481" spans="1:8" x14ac:dyDescent="0.25">
      <c r="A6481" t="str">
        <f>"&lt;restock&gt;" &amp;$F$6478&amp;"&lt;/restock&gt;"</f>
        <v>&lt;restock&gt;0&lt;/restock&gt;</v>
      </c>
      <c r="B6481" t="s">
        <v>726</v>
      </c>
    </row>
    <row r="6482" spans="1:8" x14ac:dyDescent="0.25">
      <c r="A6482" t="str">
        <f>"&lt;min&gt;" &amp;$G$6478&amp;"&lt;/min&gt;"</f>
        <v>&lt;min&gt;30&lt;/min&gt;</v>
      </c>
      <c r="B6482" t="s">
        <v>726</v>
      </c>
    </row>
    <row r="6483" spans="1:8" x14ac:dyDescent="0.25">
      <c r="A6483" t="s">
        <v>16</v>
      </c>
      <c r="B6483" t="s">
        <v>726</v>
      </c>
    </row>
    <row r="6484" spans="1:8" x14ac:dyDescent="0.25">
      <c r="A6484" t="s">
        <v>17</v>
      </c>
      <c r="B6484" t="s">
        <v>726</v>
      </c>
    </row>
    <row r="6485" spans="1:8" x14ac:dyDescent="0.25">
      <c r="A6485" t="s">
        <v>18</v>
      </c>
      <c r="B6485" t="s">
        <v>726</v>
      </c>
    </row>
    <row r="6486" spans="1:8" x14ac:dyDescent="0.25">
      <c r="A6486" t="str">
        <f xml:space="preserve"> $H$6478</f>
        <v>&lt;flags count_in_cargo="0" count_in_hoarder="0" count_in_map="1" count_in_player="0" crafted="0" deloot="0"/&gt;</v>
      </c>
      <c r="B6486" t="s">
        <v>726</v>
      </c>
    </row>
    <row r="6487" spans="1:8" x14ac:dyDescent="0.25">
      <c r="A6487" t="str">
        <f>"&lt;category name=" &amp;"""" &amp;$C$6478&amp;"""/&gt;"</f>
        <v>&lt;category name="tools"/&gt;</v>
      </c>
      <c r="B6487" t="s">
        <v>726</v>
      </c>
    </row>
    <row r="6488" spans="1:8" x14ac:dyDescent="0.25">
      <c r="A6488" t="s">
        <v>20</v>
      </c>
      <c r="B6488" t="s">
        <v>726</v>
      </c>
    </row>
    <row r="6489" spans="1:8" x14ac:dyDescent="0.25">
      <c r="A6489" t="s">
        <v>67</v>
      </c>
      <c r="B6489" t="s">
        <v>726</v>
      </c>
    </row>
    <row r="6490" spans="1:8" x14ac:dyDescent="0.25">
      <c r="A6490" t="s">
        <v>26</v>
      </c>
      <c r="B6490" t="s">
        <v>726</v>
      </c>
    </row>
    <row r="6491" spans="1:8" x14ac:dyDescent="0.25">
      <c r="A6491" t="s">
        <v>21</v>
      </c>
      <c r="B6491" t="s">
        <v>726</v>
      </c>
    </row>
    <row r="6492" spans="1:8" x14ac:dyDescent="0.25">
      <c r="A6492" t="s">
        <v>22</v>
      </c>
      <c r="B6492" t="s">
        <v>726</v>
      </c>
    </row>
    <row r="6493" spans="1:8" x14ac:dyDescent="0.25">
      <c r="A6493" t="s">
        <v>1903</v>
      </c>
      <c r="B6493" t="s">
        <v>727</v>
      </c>
      <c r="C6493" t="s">
        <v>426</v>
      </c>
      <c r="D6493">
        <v>50</v>
      </c>
      <c r="E6493">
        <v>3888000</v>
      </c>
      <c r="F6493">
        <v>0</v>
      </c>
      <c r="G6493">
        <v>100</v>
      </c>
      <c r="H6493" t="s">
        <v>24</v>
      </c>
    </row>
    <row r="6494" spans="1:8" x14ac:dyDescent="0.25">
      <c r="A6494" t="str">
        <f>"&lt;nominal&gt;" &amp;$D$6493&amp;"&lt;/nominal&gt;"</f>
        <v>&lt;nominal&gt;50&lt;/nominal&gt;</v>
      </c>
      <c r="B6494" t="s">
        <v>727</v>
      </c>
    </row>
    <row r="6495" spans="1:8" x14ac:dyDescent="0.25">
      <c r="A6495" t="str">
        <f>"&lt;lifetime&gt;" &amp;$E$6493&amp;"&lt;/lifetime&gt;"</f>
        <v>&lt;lifetime&gt;3888000&lt;/lifetime&gt;</v>
      </c>
      <c r="B6495" t="s">
        <v>727</v>
      </c>
    </row>
    <row r="6496" spans="1:8" x14ac:dyDescent="0.25">
      <c r="A6496" t="str">
        <f>"&lt;restock&gt;" &amp;$F$6493&amp;"&lt;/restock&gt;"</f>
        <v>&lt;restock&gt;0&lt;/restock&gt;</v>
      </c>
      <c r="B6496" t="s">
        <v>727</v>
      </c>
    </row>
    <row r="6497" spans="1:8" x14ac:dyDescent="0.25">
      <c r="A6497" t="str">
        <f>"&lt;min&gt;" &amp;$G$6493&amp;"&lt;/min&gt;"</f>
        <v>&lt;min&gt;100&lt;/min&gt;</v>
      </c>
      <c r="B6497" t="s">
        <v>727</v>
      </c>
    </row>
    <row r="6498" spans="1:8" x14ac:dyDescent="0.25">
      <c r="A6498" t="s">
        <v>16</v>
      </c>
      <c r="B6498" t="s">
        <v>727</v>
      </c>
    </row>
    <row r="6499" spans="1:8" x14ac:dyDescent="0.25">
      <c r="A6499" t="s">
        <v>17</v>
      </c>
      <c r="B6499" t="s">
        <v>727</v>
      </c>
    </row>
    <row r="6500" spans="1:8" x14ac:dyDescent="0.25">
      <c r="A6500" t="s">
        <v>18</v>
      </c>
      <c r="B6500" t="s">
        <v>727</v>
      </c>
    </row>
    <row r="6501" spans="1:8" x14ac:dyDescent="0.25">
      <c r="A6501" t="str">
        <f xml:space="preserve"> $H$6493</f>
        <v>&lt;flags count_in_cargo="1" count_in_hoarder="1" count_in_map="1" count_in_player="1" crafted="0" deloot="0"/&gt;</v>
      </c>
      <c r="B6501" t="s">
        <v>727</v>
      </c>
    </row>
    <row r="6502" spans="1:8" x14ac:dyDescent="0.25">
      <c r="A6502" t="str">
        <f>"&lt;category name=" &amp;"""" &amp;$C$6493&amp;"""/&gt;"</f>
        <v>&lt;category name="tools"/&gt;</v>
      </c>
      <c r="B6502" t="s">
        <v>727</v>
      </c>
    </row>
    <row r="6503" spans="1:8" x14ac:dyDescent="0.25">
      <c r="A6503" t="s">
        <v>55</v>
      </c>
      <c r="B6503" t="s">
        <v>727</v>
      </c>
    </row>
    <row r="6504" spans="1:8" x14ac:dyDescent="0.25">
      <c r="A6504" t="s">
        <v>22</v>
      </c>
      <c r="B6504" t="s">
        <v>727</v>
      </c>
    </row>
    <row r="6505" spans="1:8" x14ac:dyDescent="0.25">
      <c r="A6505" t="s">
        <v>1904</v>
      </c>
      <c r="B6505" t="s">
        <v>728</v>
      </c>
      <c r="C6505" t="s">
        <v>403</v>
      </c>
      <c r="D6505">
        <v>5</v>
      </c>
      <c r="E6505">
        <v>5600</v>
      </c>
      <c r="F6505">
        <v>1800</v>
      </c>
      <c r="G6505">
        <v>2</v>
      </c>
      <c r="H6505" t="s">
        <v>19</v>
      </c>
    </row>
    <row r="6506" spans="1:8" x14ac:dyDescent="0.25">
      <c r="A6506" t="str">
        <f>"&lt;nominal&gt;" &amp;$D$6505&amp;"&lt;/nominal&gt;"</f>
        <v>&lt;nominal&gt;5&lt;/nominal&gt;</v>
      </c>
      <c r="B6506" t="s">
        <v>728</v>
      </c>
    </row>
    <row r="6507" spans="1:8" x14ac:dyDescent="0.25">
      <c r="A6507" t="str">
        <f>"&lt;lifetime&gt;" &amp;$E$6505&amp;"&lt;/lifetime&gt;"</f>
        <v>&lt;lifetime&gt;5600&lt;/lifetime&gt;</v>
      </c>
      <c r="B6507" t="s">
        <v>728</v>
      </c>
    </row>
    <row r="6508" spans="1:8" x14ac:dyDescent="0.25">
      <c r="A6508" t="str">
        <f>"&lt;restock&gt;" &amp;$F$6505&amp;"&lt;/restock&gt;"</f>
        <v>&lt;restock&gt;1800&lt;/restock&gt;</v>
      </c>
      <c r="B6508" t="s">
        <v>728</v>
      </c>
    </row>
    <row r="6509" spans="1:8" x14ac:dyDescent="0.25">
      <c r="A6509" t="str">
        <f>"&lt;min&gt;" &amp;$G$6505&amp;"&lt;/min&gt;"</f>
        <v>&lt;min&gt;2&lt;/min&gt;</v>
      </c>
      <c r="B6509" t="s">
        <v>728</v>
      </c>
    </row>
    <row r="6510" spans="1:8" x14ac:dyDescent="0.25">
      <c r="A6510" t="s">
        <v>16</v>
      </c>
      <c r="B6510" t="s">
        <v>728</v>
      </c>
    </row>
    <row r="6511" spans="1:8" x14ac:dyDescent="0.25">
      <c r="A6511" t="s">
        <v>17</v>
      </c>
      <c r="B6511" t="s">
        <v>728</v>
      </c>
    </row>
    <row r="6512" spans="1:8" x14ac:dyDescent="0.25">
      <c r="A6512" t="s">
        <v>18</v>
      </c>
      <c r="B6512" t="s">
        <v>728</v>
      </c>
    </row>
    <row r="6513" spans="1:8" x14ac:dyDescent="0.25">
      <c r="A6513" t="str">
        <f xml:space="preserve"> $H$6505</f>
        <v>&lt;flags count_in_cargo="0" count_in_hoarder="0" count_in_map="1" count_in_player="0" crafted="0" deloot="0"/&gt;</v>
      </c>
      <c r="B6513" t="s">
        <v>728</v>
      </c>
    </row>
    <row r="6514" spans="1:8" x14ac:dyDescent="0.25">
      <c r="A6514" t="str">
        <f>"&lt;category name=" &amp;"""" &amp;$C$6505&amp;"""/&gt;"</f>
        <v>&lt;category name="clothes"/&gt;</v>
      </c>
      <c r="B6514" t="s">
        <v>728</v>
      </c>
    </row>
    <row r="6515" spans="1:8" x14ac:dyDescent="0.25">
      <c r="A6515" t="s">
        <v>29</v>
      </c>
      <c r="B6515" t="s">
        <v>728</v>
      </c>
    </row>
    <row r="6516" spans="1:8" x14ac:dyDescent="0.25">
      <c r="A6516" t="s">
        <v>307</v>
      </c>
      <c r="B6516" t="s">
        <v>728</v>
      </c>
    </row>
    <row r="6517" spans="1:8" x14ac:dyDescent="0.25">
      <c r="A6517" t="s">
        <v>22</v>
      </c>
      <c r="B6517" t="s">
        <v>728</v>
      </c>
    </row>
    <row r="6518" spans="1:8" x14ac:dyDescent="0.25">
      <c r="A6518" t="s">
        <v>1905</v>
      </c>
      <c r="B6518" t="s">
        <v>729</v>
      </c>
      <c r="C6518" t="s">
        <v>403</v>
      </c>
      <c r="D6518">
        <v>5</v>
      </c>
      <c r="E6518">
        <v>5600</v>
      </c>
      <c r="F6518">
        <v>1800</v>
      </c>
      <c r="G6518">
        <v>2</v>
      </c>
      <c r="H6518" t="s">
        <v>19</v>
      </c>
    </row>
    <row r="6519" spans="1:8" x14ac:dyDescent="0.25">
      <c r="A6519" t="str">
        <f>"&lt;nominal&gt;" &amp;$D$6518&amp;"&lt;/nominal&gt;"</f>
        <v>&lt;nominal&gt;5&lt;/nominal&gt;</v>
      </c>
      <c r="B6519" t="s">
        <v>729</v>
      </c>
    </row>
    <row r="6520" spans="1:8" x14ac:dyDescent="0.25">
      <c r="A6520" t="str">
        <f>"&lt;lifetime&gt;" &amp;$E$6518&amp;"&lt;/lifetime&gt;"</f>
        <v>&lt;lifetime&gt;5600&lt;/lifetime&gt;</v>
      </c>
      <c r="B6520" t="s">
        <v>729</v>
      </c>
    </row>
    <row r="6521" spans="1:8" x14ac:dyDescent="0.25">
      <c r="A6521" t="str">
        <f>"&lt;restock&gt;" &amp;$F$6518&amp;"&lt;/restock&gt;"</f>
        <v>&lt;restock&gt;1800&lt;/restock&gt;</v>
      </c>
      <c r="B6521" t="s">
        <v>729</v>
      </c>
    </row>
    <row r="6522" spans="1:8" x14ac:dyDescent="0.25">
      <c r="A6522" t="str">
        <f>"&lt;min&gt;" &amp;$G$6518&amp;"&lt;/min&gt;"</f>
        <v>&lt;min&gt;2&lt;/min&gt;</v>
      </c>
      <c r="B6522" t="s">
        <v>729</v>
      </c>
    </row>
    <row r="6523" spans="1:8" x14ac:dyDescent="0.25">
      <c r="A6523" t="s">
        <v>16</v>
      </c>
      <c r="B6523" t="s">
        <v>729</v>
      </c>
    </row>
    <row r="6524" spans="1:8" x14ac:dyDescent="0.25">
      <c r="A6524" t="s">
        <v>17</v>
      </c>
      <c r="B6524" t="s">
        <v>729</v>
      </c>
    </row>
    <row r="6525" spans="1:8" x14ac:dyDescent="0.25">
      <c r="A6525" t="s">
        <v>18</v>
      </c>
      <c r="B6525" t="s">
        <v>729</v>
      </c>
    </row>
    <row r="6526" spans="1:8" x14ac:dyDescent="0.25">
      <c r="A6526" t="str">
        <f xml:space="preserve"> $H$6518</f>
        <v>&lt;flags count_in_cargo="0" count_in_hoarder="0" count_in_map="1" count_in_player="0" crafted="0" deloot="0"/&gt;</v>
      </c>
      <c r="B6526" t="s">
        <v>729</v>
      </c>
    </row>
    <row r="6527" spans="1:8" x14ac:dyDescent="0.25">
      <c r="A6527" t="str">
        <f>"&lt;category name=" &amp;"""" &amp;$C$6518&amp;"""/&gt;"</f>
        <v>&lt;category name="clothes"/&gt;</v>
      </c>
      <c r="B6527" t="s">
        <v>729</v>
      </c>
    </row>
    <row r="6528" spans="1:8" x14ac:dyDescent="0.25">
      <c r="A6528" t="s">
        <v>29</v>
      </c>
      <c r="B6528" t="s">
        <v>729</v>
      </c>
    </row>
    <row r="6529" spans="1:8" x14ac:dyDescent="0.25">
      <c r="A6529" t="s">
        <v>307</v>
      </c>
      <c r="B6529" t="s">
        <v>729</v>
      </c>
    </row>
    <row r="6530" spans="1:8" x14ac:dyDescent="0.25">
      <c r="A6530" t="s">
        <v>22</v>
      </c>
      <c r="B6530" t="s">
        <v>729</v>
      </c>
    </row>
    <row r="6531" spans="1:8" x14ac:dyDescent="0.25">
      <c r="A6531" t="s">
        <v>1906</v>
      </c>
      <c r="B6531" t="s">
        <v>730</v>
      </c>
      <c r="C6531" t="s">
        <v>403</v>
      </c>
      <c r="D6531">
        <v>30</v>
      </c>
      <c r="E6531">
        <v>5600</v>
      </c>
      <c r="F6531">
        <v>0</v>
      </c>
      <c r="G6531">
        <v>20</v>
      </c>
      <c r="H6531" t="s">
        <v>19</v>
      </c>
    </row>
    <row r="6532" spans="1:8" x14ac:dyDescent="0.25">
      <c r="A6532" t="str">
        <f>"&lt;nominal&gt;" &amp;$D$6531&amp;"&lt;/nominal&gt;"</f>
        <v>&lt;nominal&gt;30&lt;/nominal&gt;</v>
      </c>
      <c r="B6532" t="s">
        <v>730</v>
      </c>
    </row>
    <row r="6533" spans="1:8" x14ac:dyDescent="0.25">
      <c r="A6533" t="str">
        <f>"&lt;lifetime&gt;" &amp;$E$6531&amp;"&lt;/lifetime&gt;"</f>
        <v>&lt;lifetime&gt;5600&lt;/lifetime&gt;</v>
      </c>
      <c r="B6533" t="s">
        <v>730</v>
      </c>
    </row>
    <row r="6534" spans="1:8" x14ac:dyDescent="0.25">
      <c r="A6534" t="str">
        <f>"&lt;restock&gt;" &amp;$F$6531&amp;"&lt;/restock&gt;"</f>
        <v>&lt;restock&gt;0&lt;/restock&gt;</v>
      </c>
      <c r="B6534" t="s">
        <v>730</v>
      </c>
    </row>
    <row r="6535" spans="1:8" x14ac:dyDescent="0.25">
      <c r="A6535" t="str">
        <f>"&lt;min&gt;" &amp;$G$6531&amp;"&lt;/min&gt;"</f>
        <v>&lt;min&gt;20&lt;/min&gt;</v>
      </c>
      <c r="B6535" t="s">
        <v>730</v>
      </c>
    </row>
    <row r="6536" spans="1:8" x14ac:dyDescent="0.25">
      <c r="A6536" t="s">
        <v>16</v>
      </c>
      <c r="B6536" t="s">
        <v>730</v>
      </c>
    </row>
    <row r="6537" spans="1:8" x14ac:dyDescent="0.25">
      <c r="A6537" t="s">
        <v>17</v>
      </c>
      <c r="B6537" t="s">
        <v>730</v>
      </c>
    </row>
    <row r="6538" spans="1:8" x14ac:dyDescent="0.25">
      <c r="A6538" t="s">
        <v>18</v>
      </c>
      <c r="B6538" t="s">
        <v>730</v>
      </c>
    </row>
    <row r="6539" spans="1:8" x14ac:dyDescent="0.25">
      <c r="A6539" t="str">
        <f xml:space="preserve"> $H$6531</f>
        <v>&lt;flags count_in_cargo="0" count_in_hoarder="0" count_in_map="1" count_in_player="0" crafted="0" deloot="0"/&gt;</v>
      </c>
      <c r="B6539" t="s">
        <v>730</v>
      </c>
    </row>
    <row r="6540" spans="1:8" x14ac:dyDescent="0.25">
      <c r="A6540" t="str">
        <f>"&lt;category name=" &amp;"""" &amp;$C$6531&amp;"""/&gt;"</f>
        <v>&lt;category name="clothes"/&gt;</v>
      </c>
      <c r="B6540" t="s">
        <v>730</v>
      </c>
    </row>
    <row r="6541" spans="1:8" x14ac:dyDescent="0.25">
      <c r="A6541" t="s">
        <v>25</v>
      </c>
      <c r="B6541" t="s">
        <v>730</v>
      </c>
    </row>
    <row r="6542" spans="1:8" x14ac:dyDescent="0.25">
      <c r="A6542" t="s">
        <v>39</v>
      </c>
      <c r="B6542" t="s">
        <v>730</v>
      </c>
    </row>
    <row r="6543" spans="1:8" x14ac:dyDescent="0.25">
      <c r="A6543" t="s">
        <v>40</v>
      </c>
      <c r="B6543" t="s">
        <v>730</v>
      </c>
    </row>
    <row r="6544" spans="1:8" x14ac:dyDescent="0.25">
      <c r="A6544" t="s">
        <v>22</v>
      </c>
      <c r="B6544" t="s">
        <v>730</v>
      </c>
    </row>
    <row r="6545" spans="1:8" x14ac:dyDescent="0.25">
      <c r="A6545" t="s">
        <v>1907</v>
      </c>
      <c r="B6545" t="s">
        <v>731</v>
      </c>
      <c r="C6545" t="s">
        <v>403</v>
      </c>
      <c r="D6545">
        <v>30</v>
      </c>
      <c r="E6545">
        <v>5600</v>
      </c>
      <c r="F6545">
        <v>0</v>
      </c>
      <c r="G6545">
        <v>20</v>
      </c>
      <c r="H6545" t="s">
        <v>19</v>
      </c>
    </row>
    <row r="6546" spans="1:8" x14ac:dyDescent="0.25">
      <c r="A6546" t="str">
        <f>"&lt;nominal&gt;" &amp;$D$6545&amp;"&lt;/nominal&gt;"</f>
        <v>&lt;nominal&gt;30&lt;/nominal&gt;</v>
      </c>
      <c r="B6546" t="s">
        <v>731</v>
      </c>
    </row>
    <row r="6547" spans="1:8" x14ac:dyDescent="0.25">
      <c r="A6547" t="str">
        <f>"&lt;lifetime&gt;" &amp;$E$6545&amp;"&lt;/lifetime&gt;"</f>
        <v>&lt;lifetime&gt;5600&lt;/lifetime&gt;</v>
      </c>
      <c r="B6547" t="s">
        <v>731</v>
      </c>
    </row>
    <row r="6548" spans="1:8" x14ac:dyDescent="0.25">
      <c r="A6548" t="str">
        <f>"&lt;restock&gt;" &amp;$F$6545&amp;"&lt;/restock&gt;"</f>
        <v>&lt;restock&gt;0&lt;/restock&gt;</v>
      </c>
      <c r="B6548" t="s">
        <v>731</v>
      </c>
    </row>
    <row r="6549" spans="1:8" x14ac:dyDescent="0.25">
      <c r="A6549" t="str">
        <f>"&lt;min&gt;" &amp;$G$6545&amp;"&lt;/min&gt;"</f>
        <v>&lt;min&gt;20&lt;/min&gt;</v>
      </c>
      <c r="B6549" t="s">
        <v>731</v>
      </c>
    </row>
    <row r="6550" spans="1:8" x14ac:dyDescent="0.25">
      <c r="A6550" t="s">
        <v>16</v>
      </c>
      <c r="B6550" t="s">
        <v>731</v>
      </c>
    </row>
    <row r="6551" spans="1:8" x14ac:dyDescent="0.25">
      <c r="A6551" t="s">
        <v>17</v>
      </c>
      <c r="B6551" t="s">
        <v>731</v>
      </c>
    </row>
    <row r="6552" spans="1:8" x14ac:dyDescent="0.25">
      <c r="A6552" t="s">
        <v>18</v>
      </c>
      <c r="B6552" t="s">
        <v>731</v>
      </c>
    </row>
    <row r="6553" spans="1:8" x14ac:dyDescent="0.25">
      <c r="A6553" t="str">
        <f xml:space="preserve"> $H$6545</f>
        <v>&lt;flags count_in_cargo="0" count_in_hoarder="0" count_in_map="1" count_in_player="0" crafted="0" deloot="0"/&gt;</v>
      </c>
      <c r="B6553" t="s">
        <v>731</v>
      </c>
    </row>
    <row r="6554" spans="1:8" x14ac:dyDescent="0.25">
      <c r="A6554" t="str">
        <f>"&lt;category name=" &amp;"""" &amp;$C$6545&amp;"""/&gt;"</f>
        <v>&lt;category name="clothes"/&gt;</v>
      </c>
      <c r="B6554" t="s">
        <v>731</v>
      </c>
    </row>
    <row r="6555" spans="1:8" x14ac:dyDescent="0.25">
      <c r="A6555" t="s">
        <v>25</v>
      </c>
      <c r="B6555" t="s">
        <v>731</v>
      </c>
    </row>
    <row r="6556" spans="1:8" x14ac:dyDescent="0.25">
      <c r="A6556" t="s">
        <v>39</v>
      </c>
      <c r="B6556" t="s">
        <v>731</v>
      </c>
    </row>
    <row r="6557" spans="1:8" x14ac:dyDescent="0.25">
      <c r="A6557" t="s">
        <v>40</v>
      </c>
      <c r="B6557" t="s">
        <v>731</v>
      </c>
    </row>
    <row r="6558" spans="1:8" x14ac:dyDescent="0.25">
      <c r="A6558" t="s">
        <v>22</v>
      </c>
      <c r="B6558" t="s">
        <v>731</v>
      </c>
    </row>
    <row r="6559" spans="1:8" x14ac:dyDescent="0.25">
      <c r="A6559" t="s">
        <v>1908</v>
      </c>
      <c r="B6559" t="s">
        <v>732</v>
      </c>
      <c r="C6559" t="s">
        <v>403</v>
      </c>
      <c r="D6559">
        <v>30</v>
      </c>
      <c r="E6559">
        <v>5600</v>
      </c>
      <c r="F6559">
        <v>0</v>
      </c>
      <c r="G6559">
        <v>20</v>
      </c>
      <c r="H6559" t="s">
        <v>19</v>
      </c>
    </row>
    <row r="6560" spans="1:8" x14ac:dyDescent="0.25">
      <c r="A6560" t="str">
        <f>"&lt;nominal&gt;" &amp;$D$6559&amp;"&lt;/nominal&gt;"</f>
        <v>&lt;nominal&gt;30&lt;/nominal&gt;</v>
      </c>
      <c r="B6560" t="s">
        <v>732</v>
      </c>
    </row>
    <row r="6561" spans="1:8" x14ac:dyDescent="0.25">
      <c r="A6561" t="str">
        <f>"&lt;lifetime&gt;" &amp;$E$6559&amp;"&lt;/lifetime&gt;"</f>
        <v>&lt;lifetime&gt;5600&lt;/lifetime&gt;</v>
      </c>
      <c r="B6561" t="s">
        <v>732</v>
      </c>
    </row>
    <row r="6562" spans="1:8" x14ac:dyDescent="0.25">
      <c r="A6562" t="str">
        <f>"&lt;restock&gt;" &amp;$F$6559&amp;"&lt;/restock&gt;"</f>
        <v>&lt;restock&gt;0&lt;/restock&gt;</v>
      </c>
      <c r="B6562" t="s">
        <v>732</v>
      </c>
    </row>
    <row r="6563" spans="1:8" x14ac:dyDescent="0.25">
      <c r="A6563" t="str">
        <f>"&lt;min&gt;" &amp;$G$6559&amp;"&lt;/min&gt;"</f>
        <v>&lt;min&gt;20&lt;/min&gt;</v>
      </c>
      <c r="B6563" t="s">
        <v>732</v>
      </c>
    </row>
    <row r="6564" spans="1:8" x14ac:dyDescent="0.25">
      <c r="A6564" t="s">
        <v>16</v>
      </c>
      <c r="B6564" t="s">
        <v>732</v>
      </c>
    </row>
    <row r="6565" spans="1:8" x14ac:dyDescent="0.25">
      <c r="A6565" t="s">
        <v>17</v>
      </c>
      <c r="B6565" t="s">
        <v>732</v>
      </c>
    </row>
    <row r="6566" spans="1:8" x14ac:dyDescent="0.25">
      <c r="A6566" t="s">
        <v>18</v>
      </c>
      <c r="B6566" t="s">
        <v>732</v>
      </c>
    </row>
    <row r="6567" spans="1:8" x14ac:dyDescent="0.25">
      <c r="A6567" t="str">
        <f xml:space="preserve"> $H$6559</f>
        <v>&lt;flags count_in_cargo="0" count_in_hoarder="0" count_in_map="1" count_in_player="0" crafted="0" deloot="0"/&gt;</v>
      </c>
      <c r="B6567" t="s">
        <v>732</v>
      </c>
    </row>
    <row r="6568" spans="1:8" x14ac:dyDescent="0.25">
      <c r="A6568" t="str">
        <f>"&lt;category name=" &amp;"""" &amp;$C$6559&amp;"""/&gt;"</f>
        <v>&lt;category name="clothes"/&gt;</v>
      </c>
      <c r="B6568" t="s">
        <v>732</v>
      </c>
    </row>
    <row r="6569" spans="1:8" x14ac:dyDescent="0.25">
      <c r="A6569" t="s">
        <v>25</v>
      </c>
      <c r="B6569" t="s">
        <v>732</v>
      </c>
    </row>
    <row r="6570" spans="1:8" x14ac:dyDescent="0.25">
      <c r="A6570" t="s">
        <v>39</v>
      </c>
      <c r="B6570" t="s">
        <v>732</v>
      </c>
    </row>
    <row r="6571" spans="1:8" x14ac:dyDescent="0.25">
      <c r="A6571" t="s">
        <v>40</v>
      </c>
      <c r="B6571" t="s">
        <v>732</v>
      </c>
    </row>
    <row r="6572" spans="1:8" x14ac:dyDescent="0.25">
      <c r="A6572" t="s">
        <v>22</v>
      </c>
      <c r="B6572" t="s">
        <v>732</v>
      </c>
    </row>
    <row r="6573" spans="1:8" x14ac:dyDescent="0.25">
      <c r="A6573" t="s">
        <v>1909</v>
      </c>
      <c r="B6573" t="s">
        <v>733</v>
      </c>
      <c r="C6573" t="s">
        <v>403</v>
      </c>
      <c r="D6573">
        <v>30</v>
      </c>
      <c r="E6573">
        <v>5600</v>
      </c>
      <c r="F6573">
        <v>0</v>
      </c>
      <c r="G6573">
        <v>20</v>
      </c>
      <c r="H6573" t="s">
        <v>19</v>
      </c>
    </row>
    <row r="6574" spans="1:8" x14ac:dyDescent="0.25">
      <c r="A6574" t="str">
        <f>"&lt;nominal&gt;" &amp;$D$6573&amp;"&lt;/nominal&gt;"</f>
        <v>&lt;nominal&gt;30&lt;/nominal&gt;</v>
      </c>
      <c r="B6574" t="s">
        <v>733</v>
      </c>
    </row>
    <row r="6575" spans="1:8" x14ac:dyDescent="0.25">
      <c r="A6575" t="str">
        <f>"&lt;lifetime&gt;" &amp;$E$6573&amp;"&lt;/lifetime&gt;"</f>
        <v>&lt;lifetime&gt;5600&lt;/lifetime&gt;</v>
      </c>
      <c r="B6575" t="s">
        <v>733</v>
      </c>
    </row>
    <row r="6576" spans="1:8" x14ac:dyDescent="0.25">
      <c r="A6576" t="str">
        <f>"&lt;restock&gt;" &amp;$F$6573&amp;"&lt;/restock&gt;"</f>
        <v>&lt;restock&gt;0&lt;/restock&gt;</v>
      </c>
      <c r="B6576" t="s">
        <v>733</v>
      </c>
    </row>
    <row r="6577" spans="1:8" x14ac:dyDescent="0.25">
      <c r="A6577" t="str">
        <f>"&lt;min&gt;" &amp;$G$6573&amp;"&lt;/min&gt;"</f>
        <v>&lt;min&gt;20&lt;/min&gt;</v>
      </c>
      <c r="B6577" t="s">
        <v>733</v>
      </c>
    </row>
    <row r="6578" spans="1:8" x14ac:dyDescent="0.25">
      <c r="A6578" t="s">
        <v>16</v>
      </c>
      <c r="B6578" t="s">
        <v>733</v>
      </c>
    </row>
    <row r="6579" spans="1:8" x14ac:dyDescent="0.25">
      <c r="A6579" t="s">
        <v>17</v>
      </c>
      <c r="B6579" t="s">
        <v>733</v>
      </c>
    </row>
    <row r="6580" spans="1:8" x14ac:dyDescent="0.25">
      <c r="A6580" t="s">
        <v>18</v>
      </c>
      <c r="B6580" t="s">
        <v>733</v>
      </c>
    </row>
    <row r="6581" spans="1:8" x14ac:dyDescent="0.25">
      <c r="A6581" t="str">
        <f xml:space="preserve"> $H$6573</f>
        <v>&lt;flags count_in_cargo="0" count_in_hoarder="0" count_in_map="1" count_in_player="0" crafted="0" deloot="0"/&gt;</v>
      </c>
      <c r="B6581" t="s">
        <v>733</v>
      </c>
    </row>
    <row r="6582" spans="1:8" x14ac:dyDescent="0.25">
      <c r="A6582" t="str">
        <f>"&lt;category name=" &amp;"""" &amp;$C$6573&amp;"""/&gt;"</f>
        <v>&lt;category name="clothes"/&gt;</v>
      </c>
      <c r="B6582" t="s">
        <v>733</v>
      </c>
    </row>
    <row r="6583" spans="1:8" x14ac:dyDescent="0.25">
      <c r="A6583" t="s">
        <v>25</v>
      </c>
      <c r="B6583" t="s">
        <v>733</v>
      </c>
    </row>
    <row r="6584" spans="1:8" x14ac:dyDescent="0.25">
      <c r="A6584" t="s">
        <v>39</v>
      </c>
      <c r="B6584" t="s">
        <v>733</v>
      </c>
    </row>
    <row r="6585" spans="1:8" x14ac:dyDescent="0.25">
      <c r="A6585" t="s">
        <v>40</v>
      </c>
      <c r="B6585" t="s">
        <v>733</v>
      </c>
    </row>
    <row r="6586" spans="1:8" x14ac:dyDescent="0.25">
      <c r="A6586" t="s">
        <v>22</v>
      </c>
      <c r="B6586" t="s">
        <v>733</v>
      </c>
    </row>
    <row r="6587" spans="1:8" x14ac:dyDescent="0.25">
      <c r="A6587" t="s">
        <v>1910</v>
      </c>
      <c r="B6587" t="s">
        <v>734</v>
      </c>
      <c r="C6587" t="s">
        <v>403</v>
      </c>
      <c r="D6587">
        <v>30</v>
      </c>
      <c r="E6587">
        <v>5600</v>
      </c>
      <c r="F6587">
        <v>0</v>
      </c>
      <c r="G6587">
        <v>20</v>
      </c>
      <c r="H6587" t="s">
        <v>19</v>
      </c>
    </row>
    <row r="6588" spans="1:8" x14ac:dyDescent="0.25">
      <c r="A6588" t="str">
        <f>"&lt;nominal&gt;" &amp;$D$6587&amp;"&lt;/nominal&gt;"</f>
        <v>&lt;nominal&gt;30&lt;/nominal&gt;</v>
      </c>
      <c r="B6588" t="s">
        <v>734</v>
      </c>
    </row>
    <row r="6589" spans="1:8" x14ac:dyDescent="0.25">
      <c r="A6589" t="str">
        <f>"&lt;lifetime&gt;" &amp;$E$6587&amp;"&lt;/lifetime&gt;"</f>
        <v>&lt;lifetime&gt;5600&lt;/lifetime&gt;</v>
      </c>
      <c r="B6589" t="s">
        <v>734</v>
      </c>
    </row>
    <row r="6590" spans="1:8" x14ac:dyDescent="0.25">
      <c r="A6590" t="str">
        <f>"&lt;restock&gt;" &amp;$F$6587&amp;"&lt;/restock&gt;"</f>
        <v>&lt;restock&gt;0&lt;/restock&gt;</v>
      </c>
      <c r="B6590" t="s">
        <v>734</v>
      </c>
    </row>
    <row r="6591" spans="1:8" x14ac:dyDescent="0.25">
      <c r="A6591" t="str">
        <f>"&lt;min&gt;" &amp;$G$6587&amp;"&lt;/min&gt;"</f>
        <v>&lt;min&gt;20&lt;/min&gt;</v>
      </c>
      <c r="B6591" t="s">
        <v>734</v>
      </c>
    </row>
    <row r="6592" spans="1:8" x14ac:dyDescent="0.25">
      <c r="A6592" t="s">
        <v>16</v>
      </c>
      <c r="B6592" t="s">
        <v>734</v>
      </c>
    </row>
    <row r="6593" spans="1:8" x14ac:dyDescent="0.25">
      <c r="A6593" t="s">
        <v>17</v>
      </c>
      <c r="B6593" t="s">
        <v>734</v>
      </c>
    </row>
    <row r="6594" spans="1:8" x14ac:dyDescent="0.25">
      <c r="A6594" t="s">
        <v>18</v>
      </c>
      <c r="B6594" t="s">
        <v>734</v>
      </c>
    </row>
    <row r="6595" spans="1:8" x14ac:dyDescent="0.25">
      <c r="A6595" t="str">
        <f xml:space="preserve"> $H$6587</f>
        <v>&lt;flags count_in_cargo="0" count_in_hoarder="0" count_in_map="1" count_in_player="0" crafted="0" deloot="0"/&gt;</v>
      </c>
      <c r="B6595" t="s">
        <v>734</v>
      </c>
    </row>
    <row r="6596" spans="1:8" x14ac:dyDescent="0.25">
      <c r="A6596" t="str">
        <f>"&lt;category name=" &amp;"""" &amp;$C$6587&amp;"""/&gt;"</f>
        <v>&lt;category name="clothes"/&gt;</v>
      </c>
      <c r="B6596" t="s">
        <v>734</v>
      </c>
    </row>
    <row r="6597" spans="1:8" x14ac:dyDescent="0.25">
      <c r="A6597" t="s">
        <v>25</v>
      </c>
      <c r="B6597" t="s">
        <v>734</v>
      </c>
    </row>
    <row r="6598" spans="1:8" x14ac:dyDescent="0.25">
      <c r="A6598" t="s">
        <v>39</v>
      </c>
      <c r="B6598" t="s">
        <v>734</v>
      </c>
    </row>
    <row r="6599" spans="1:8" x14ac:dyDescent="0.25">
      <c r="A6599" t="s">
        <v>40</v>
      </c>
      <c r="B6599" t="s">
        <v>734</v>
      </c>
    </row>
    <row r="6600" spans="1:8" x14ac:dyDescent="0.25">
      <c r="A6600" t="s">
        <v>22</v>
      </c>
      <c r="B6600" t="s">
        <v>734</v>
      </c>
    </row>
    <row r="6601" spans="1:8" x14ac:dyDescent="0.25">
      <c r="A6601" t="s">
        <v>1911</v>
      </c>
      <c r="B6601" t="s">
        <v>735</v>
      </c>
      <c r="C6601" t="s">
        <v>403</v>
      </c>
      <c r="D6601">
        <v>30</v>
      </c>
      <c r="E6601">
        <v>5600</v>
      </c>
      <c r="F6601">
        <v>0</v>
      </c>
      <c r="G6601">
        <v>20</v>
      </c>
      <c r="H6601" t="s">
        <v>19</v>
      </c>
    </row>
    <row r="6602" spans="1:8" x14ac:dyDescent="0.25">
      <c r="A6602" t="str">
        <f>"&lt;nominal&gt;" &amp;$D$6601&amp;"&lt;/nominal&gt;"</f>
        <v>&lt;nominal&gt;30&lt;/nominal&gt;</v>
      </c>
      <c r="B6602" t="s">
        <v>735</v>
      </c>
    </row>
    <row r="6603" spans="1:8" x14ac:dyDescent="0.25">
      <c r="A6603" t="str">
        <f>"&lt;lifetime&gt;" &amp;$E$6601&amp;"&lt;/lifetime&gt;"</f>
        <v>&lt;lifetime&gt;5600&lt;/lifetime&gt;</v>
      </c>
      <c r="B6603" t="s">
        <v>735</v>
      </c>
    </row>
    <row r="6604" spans="1:8" x14ac:dyDescent="0.25">
      <c r="A6604" t="str">
        <f>"&lt;restock&gt;" &amp;$F$6601&amp;"&lt;/restock&gt;"</f>
        <v>&lt;restock&gt;0&lt;/restock&gt;</v>
      </c>
      <c r="B6604" t="s">
        <v>735</v>
      </c>
    </row>
    <row r="6605" spans="1:8" x14ac:dyDescent="0.25">
      <c r="A6605" t="str">
        <f>"&lt;min&gt;" &amp;$G$6601&amp;"&lt;/min&gt;"</f>
        <v>&lt;min&gt;20&lt;/min&gt;</v>
      </c>
      <c r="B6605" t="s">
        <v>735</v>
      </c>
    </row>
    <row r="6606" spans="1:8" x14ac:dyDescent="0.25">
      <c r="A6606" t="s">
        <v>16</v>
      </c>
      <c r="B6606" t="s">
        <v>735</v>
      </c>
    </row>
    <row r="6607" spans="1:8" x14ac:dyDescent="0.25">
      <c r="A6607" t="s">
        <v>17</v>
      </c>
      <c r="B6607" t="s">
        <v>735</v>
      </c>
    </row>
    <row r="6608" spans="1:8" x14ac:dyDescent="0.25">
      <c r="A6608" t="s">
        <v>18</v>
      </c>
      <c r="B6608" t="s">
        <v>735</v>
      </c>
    </row>
    <row r="6609" spans="1:8" x14ac:dyDescent="0.25">
      <c r="A6609" t="str">
        <f xml:space="preserve"> $H$6601</f>
        <v>&lt;flags count_in_cargo="0" count_in_hoarder="0" count_in_map="1" count_in_player="0" crafted="0" deloot="0"/&gt;</v>
      </c>
      <c r="B6609" t="s">
        <v>735</v>
      </c>
    </row>
    <row r="6610" spans="1:8" x14ac:dyDescent="0.25">
      <c r="A6610" t="str">
        <f>"&lt;category name=" &amp;"""" &amp;$C$6601&amp;"""/&gt;"</f>
        <v>&lt;category name="clothes"/&gt;</v>
      </c>
      <c r="B6610" t="s">
        <v>735</v>
      </c>
    </row>
    <row r="6611" spans="1:8" x14ac:dyDescent="0.25">
      <c r="A6611" t="s">
        <v>25</v>
      </c>
      <c r="B6611" t="s">
        <v>735</v>
      </c>
    </row>
    <row r="6612" spans="1:8" x14ac:dyDescent="0.25">
      <c r="A6612" t="s">
        <v>39</v>
      </c>
      <c r="B6612" t="s">
        <v>735</v>
      </c>
    </row>
    <row r="6613" spans="1:8" x14ac:dyDescent="0.25">
      <c r="A6613" t="s">
        <v>40</v>
      </c>
      <c r="B6613" t="s">
        <v>735</v>
      </c>
    </row>
    <row r="6614" spans="1:8" x14ac:dyDescent="0.25">
      <c r="A6614" t="s">
        <v>22</v>
      </c>
      <c r="B6614" t="s">
        <v>735</v>
      </c>
    </row>
    <row r="6615" spans="1:8" x14ac:dyDescent="0.25">
      <c r="A6615" t="s">
        <v>1912</v>
      </c>
      <c r="B6615" t="s">
        <v>736</v>
      </c>
      <c r="C6615" t="s">
        <v>403</v>
      </c>
      <c r="D6615">
        <v>20</v>
      </c>
      <c r="E6615">
        <v>5600</v>
      </c>
      <c r="F6615">
        <v>0</v>
      </c>
      <c r="G6615">
        <v>10</v>
      </c>
      <c r="H6615" t="s">
        <v>19</v>
      </c>
    </row>
    <row r="6616" spans="1:8" x14ac:dyDescent="0.25">
      <c r="A6616" t="str">
        <f>"&lt;nominal&gt;" &amp;$D$6615&amp;"&lt;/nominal&gt;"</f>
        <v>&lt;nominal&gt;20&lt;/nominal&gt;</v>
      </c>
      <c r="B6616" t="s">
        <v>736</v>
      </c>
    </row>
    <row r="6617" spans="1:8" x14ac:dyDescent="0.25">
      <c r="A6617" t="str">
        <f>"&lt;lifetime&gt;" &amp;$E$6615&amp;"&lt;/lifetime&gt;"</f>
        <v>&lt;lifetime&gt;5600&lt;/lifetime&gt;</v>
      </c>
      <c r="B6617" t="s">
        <v>736</v>
      </c>
    </row>
    <row r="6618" spans="1:8" x14ac:dyDescent="0.25">
      <c r="A6618" t="str">
        <f>"&lt;restock&gt;" &amp;$F$6615&amp;"&lt;/restock&gt;"</f>
        <v>&lt;restock&gt;0&lt;/restock&gt;</v>
      </c>
      <c r="B6618" t="s">
        <v>736</v>
      </c>
    </row>
    <row r="6619" spans="1:8" x14ac:dyDescent="0.25">
      <c r="A6619" t="str">
        <f>"&lt;min&gt;" &amp;$G$6615&amp;"&lt;/min&gt;"</f>
        <v>&lt;min&gt;10&lt;/min&gt;</v>
      </c>
      <c r="B6619" t="s">
        <v>736</v>
      </c>
    </row>
    <row r="6620" spans="1:8" x14ac:dyDescent="0.25">
      <c r="A6620" t="s">
        <v>16</v>
      </c>
      <c r="B6620" t="s">
        <v>736</v>
      </c>
    </row>
    <row r="6621" spans="1:8" x14ac:dyDescent="0.25">
      <c r="A6621" t="s">
        <v>17</v>
      </c>
      <c r="B6621" t="s">
        <v>736</v>
      </c>
    </row>
    <row r="6622" spans="1:8" x14ac:dyDescent="0.25">
      <c r="A6622" t="s">
        <v>18</v>
      </c>
      <c r="B6622" t="s">
        <v>736</v>
      </c>
    </row>
    <row r="6623" spans="1:8" x14ac:dyDescent="0.25">
      <c r="A6623" t="str">
        <f xml:space="preserve"> $H$6615</f>
        <v>&lt;flags count_in_cargo="0" count_in_hoarder="0" count_in_map="1" count_in_player="0" crafted="0" deloot="0"/&gt;</v>
      </c>
      <c r="B6623" t="s">
        <v>736</v>
      </c>
    </row>
    <row r="6624" spans="1:8" x14ac:dyDescent="0.25">
      <c r="A6624" t="str">
        <f>"&lt;category name=" &amp;"""" &amp;$C$6615&amp;"""/&gt;"</f>
        <v>&lt;category name="clothes"/&gt;</v>
      </c>
      <c r="B6624" t="s">
        <v>736</v>
      </c>
    </row>
    <row r="6625" spans="1:8" x14ac:dyDescent="0.25">
      <c r="A6625" t="s">
        <v>39</v>
      </c>
      <c r="B6625" t="s">
        <v>736</v>
      </c>
    </row>
    <row r="6626" spans="1:8" x14ac:dyDescent="0.25">
      <c r="A6626" t="s">
        <v>40</v>
      </c>
      <c r="B6626" t="s">
        <v>736</v>
      </c>
    </row>
    <row r="6627" spans="1:8" x14ac:dyDescent="0.25">
      <c r="A6627" t="s">
        <v>31</v>
      </c>
      <c r="B6627" t="s">
        <v>736</v>
      </c>
    </row>
    <row r="6628" spans="1:8" x14ac:dyDescent="0.25">
      <c r="A6628" t="s">
        <v>307</v>
      </c>
      <c r="B6628" t="s">
        <v>736</v>
      </c>
    </row>
    <row r="6629" spans="1:8" x14ac:dyDescent="0.25">
      <c r="A6629" t="s">
        <v>22</v>
      </c>
      <c r="B6629" t="s">
        <v>736</v>
      </c>
    </row>
    <row r="6630" spans="1:8" x14ac:dyDescent="0.25">
      <c r="A6630" t="s">
        <v>1913</v>
      </c>
      <c r="B6630" t="s">
        <v>737</v>
      </c>
      <c r="C6630" t="s">
        <v>403</v>
      </c>
      <c r="D6630">
        <v>30</v>
      </c>
      <c r="E6630">
        <v>5600</v>
      </c>
      <c r="F6630">
        <v>0</v>
      </c>
      <c r="G6630">
        <v>20</v>
      </c>
      <c r="H6630" t="s">
        <v>19</v>
      </c>
    </row>
    <row r="6631" spans="1:8" x14ac:dyDescent="0.25">
      <c r="A6631" t="str">
        <f>"&lt;nominal&gt;" &amp;$D$6630&amp;"&lt;/nominal&gt;"</f>
        <v>&lt;nominal&gt;30&lt;/nominal&gt;</v>
      </c>
      <c r="B6631" t="s">
        <v>737</v>
      </c>
    </row>
    <row r="6632" spans="1:8" x14ac:dyDescent="0.25">
      <c r="A6632" t="str">
        <f>"&lt;lifetime&gt;" &amp;$E$6630&amp;"&lt;/lifetime&gt;"</f>
        <v>&lt;lifetime&gt;5600&lt;/lifetime&gt;</v>
      </c>
      <c r="B6632" t="s">
        <v>737</v>
      </c>
    </row>
    <row r="6633" spans="1:8" x14ac:dyDescent="0.25">
      <c r="A6633" t="str">
        <f>"&lt;restock&gt;" &amp;$F$6630&amp;"&lt;/restock&gt;"</f>
        <v>&lt;restock&gt;0&lt;/restock&gt;</v>
      </c>
      <c r="B6633" t="s">
        <v>737</v>
      </c>
    </row>
    <row r="6634" spans="1:8" x14ac:dyDescent="0.25">
      <c r="A6634" t="str">
        <f>"&lt;min&gt;" &amp;$G$6630&amp;"&lt;/min&gt;"</f>
        <v>&lt;min&gt;20&lt;/min&gt;</v>
      </c>
      <c r="B6634" t="s">
        <v>737</v>
      </c>
    </row>
    <row r="6635" spans="1:8" x14ac:dyDescent="0.25">
      <c r="A6635" t="s">
        <v>16</v>
      </c>
      <c r="B6635" t="s">
        <v>737</v>
      </c>
    </row>
    <row r="6636" spans="1:8" x14ac:dyDescent="0.25">
      <c r="A6636" t="s">
        <v>17</v>
      </c>
      <c r="B6636" t="s">
        <v>737</v>
      </c>
    </row>
    <row r="6637" spans="1:8" x14ac:dyDescent="0.25">
      <c r="A6637" t="s">
        <v>18</v>
      </c>
      <c r="B6637" t="s">
        <v>737</v>
      </c>
    </row>
    <row r="6638" spans="1:8" x14ac:dyDescent="0.25">
      <c r="A6638" t="str">
        <f xml:space="preserve"> $H$6630</f>
        <v>&lt;flags count_in_cargo="0" count_in_hoarder="0" count_in_map="1" count_in_player="0" crafted="0" deloot="0"/&gt;</v>
      </c>
      <c r="B6638" t="s">
        <v>737</v>
      </c>
    </row>
    <row r="6639" spans="1:8" x14ac:dyDescent="0.25">
      <c r="A6639" t="str">
        <f>"&lt;category name=" &amp;"""" &amp;$C$6630&amp;"""/&gt;"</f>
        <v>&lt;category name="clothes"/&gt;</v>
      </c>
      <c r="B6639" t="s">
        <v>737</v>
      </c>
    </row>
    <row r="6640" spans="1:8" x14ac:dyDescent="0.25">
      <c r="A6640" t="s">
        <v>39</v>
      </c>
      <c r="B6640" t="s">
        <v>737</v>
      </c>
    </row>
    <row r="6641" spans="1:8" x14ac:dyDescent="0.25">
      <c r="A6641" t="s">
        <v>40</v>
      </c>
      <c r="B6641" t="s">
        <v>737</v>
      </c>
    </row>
    <row r="6642" spans="1:8" x14ac:dyDescent="0.25">
      <c r="A6642" t="s">
        <v>31</v>
      </c>
      <c r="B6642" t="s">
        <v>737</v>
      </c>
    </row>
    <row r="6643" spans="1:8" x14ac:dyDescent="0.25">
      <c r="A6643" t="s">
        <v>307</v>
      </c>
      <c r="B6643" t="s">
        <v>737</v>
      </c>
    </row>
    <row r="6644" spans="1:8" x14ac:dyDescent="0.25">
      <c r="A6644" t="s">
        <v>22</v>
      </c>
      <c r="B6644" t="s">
        <v>737</v>
      </c>
    </row>
    <row r="6645" spans="1:8" x14ac:dyDescent="0.25">
      <c r="A6645" t="s">
        <v>1914</v>
      </c>
      <c r="B6645" t="s">
        <v>738</v>
      </c>
      <c r="C6645" t="s">
        <v>403</v>
      </c>
      <c r="D6645">
        <v>20</v>
      </c>
      <c r="E6645">
        <v>5600</v>
      </c>
      <c r="F6645">
        <v>0</v>
      </c>
      <c r="G6645">
        <v>10</v>
      </c>
      <c r="H6645" t="s">
        <v>19</v>
      </c>
    </row>
    <row r="6646" spans="1:8" x14ac:dyDescent="0.25">
      <c r="A6646" t="str">
        <f>"&lt;nominal&gt;" &amp;$D$6645&amp;"&lt;/nominal&gt;"</f>
        <v>&lt;nominal&gt;20&lt;/nominal&gt;</v>
      </c>
      <c r="B6646" t="s">
        <v>738</v>
      </c>
    </row>
    <row r="6647" spans="1:8" x14ac:dyDescent="0.25">
      <c r="A6647" t="str">
        <f>"&lt;lifetime&gt;" &amp;$E$6645&amp;"&lt;/lifetime&gt;"</f>
        <v>&lt;lifetime&gt;5600&lt;/lifetime&gt;</v>
      </c>
      <c r="B6647" t="s">
        <v>738</v>
      </c>
    </row>
    <row r="6648" spans="1:8" x14ac:dyDescent="0.25">
      <c r="A6648" t="str">
        <f>"&lt;restock&gt;" &amp;$F$6645&amp;"&lt;/restock&gt;"</f>
        <v>&lt;restock&gt;0&lt;/restock&gt;</v>
      </c>
      <c r="B6648" t="s">
        <v>738</v>
      </c>
    </row>
    <row r="6649" spans="1:8" x14ac:dyDescent="0.25">
      <c r="A6649" t="str">
        <f>"&lt;min&gt;" &amp;$G$6645&amp;"&lt;/min&gt;"</f>
        <v>&lt;min&gt;10&lt;/min&gt;</v>
      </c>
      <c r="B6649" t="s">
        <v>738</v>
      </c>
    </row>
    <row r="6650" spans="1:8" x14ac:dyDescent="0.25">
      <c r="A6650" t="s">
        <v>16</v>
      </c>
      <c r="B6650" t="s">
        <v>738</v>
      </c>
    </row>
    <row r="6651" spans="1:8" x14ac:dyDescent="0.25">
      <c r="A6651" t="s">
        <v>17</v>
      </c>
      <c r="B6651" t="s">
        <v>738</v>
      </c>
    </row>
    <row r="6652" spans="1:8" x14ac:dyDescent="0.25">
      <c r="A6652" t="s">
        <v>18</v>
      </c>
      <c r="B6652" t="s">
        <v>738</v>
      </c>
    </row>
    <row r="6653" spans="1:8" x14ac:dyDescent="0.25">
      <c r="A6653" t="str">
        <f xml:space="preserve"> $H$6645</f>
        <v>&lt;flags count_in_cargo="0" count_in_hoarder="0" count_in_map="1" count_in_player="0" crafted="0" deloot="0"/&gt;</v>
      </c>
      <c r="B6653" t="s">
        <v>738</v>
      </c>
    </row>
    <row r="6654" spans="1:8" x14ac:dyDescent="0.25">
      <c r="A6654" t="str">
        <f>"&lt;category name=" &amp;"""" &amp;$C$6645&amp;"""/&gt;"</f>
        <v>&lt;category name="clothes"/&gt;</v>
      </c>
      <c r="B6654" t="s">
        <v>738</v>
      </c>
    </row>
    <row r="6655" spans="1:8" x14ac:dyDescent="0.25">
      <c r="A6655" t="s">
        <v>39</v>
      </c>
      <c r="B6655" t="s">
        <v>738</v>
      </c>
    </row>
    <row r="6656" spans="1:8" x14ac:dyDescent="0.25">
      <c r="A6656" t="s">
        <v>40</v>
      </c>
      <c r="B6656" t="s">
        <v>738</v>
      </c>
    </row>
    <row r="6657" spans="1:8" x14ac:dyDescent="0.25">
      <c r="A6657" t="s">
        <v>31</v>
      </c>
      <c r="B6657" t="s">
        <v>738</v>
      </c>
    </row>
    <row r="6658" spans="1:8" x14ac:dyDescent="0.25">
      <c r="A6658" t="s">
        <v>307</v>
      </c>
      <c r="B6658" t="s">
        <v>738</v>
      </c>
    </row>
    <row r="6659" spans="1:8" x14ac:dyDescent="0.25">
      <c r="A6659" t="s">
        <v>22</v>
      </c>
      <c r="B6659" t="s">
        <v>738</v>
      </c>
    </row>
    <row r="6660" spans="1:8" x14ac:dyDescent="0.25">
      <c r="A6660" t="s">
        <v>1915</v>
      </c>
      <c r="B6660" t="s">
        <v>739</v>
      </c>
      <c r="C6660" t="s">
        <v>403</v>
      </c>
      <c r="D6660">
        <v>30</v>
      </c>
      <c r="E6660">
        <v>5600</v>
      </c>
      <c r="F6660">
        <v>0</v>
      </c>
      <c r="G6660">
        <v>20</v>
      </c>
      <c r="H6660" t="s">
        <v>19</v>
      </c>
    </row>
    <row r="6661" spans="1:8" x14ac:dyDescent="0.25">
      <c r="A6661" t="str">
        <f>"&lt;nominal&gt;" &amp;$D$6660&amp;"&lt;/nominal&gt;"</f>
        <v>&lt;nominal&gt;30&lt;/nominal&gt;</v>
      </c>
      <c r="B6661" t="s">
        <v>739</v>
      </c>
    </row>
    <row r="6662" spans="1:8" x14ac:dyDescent="0.25">
      <c r="A6662" t="str">
        <f>"&lt;lifetime&gt;" &amp;$E$6660&amp;"&lt;/lifetime&gt;"</f>
        <v>&lt;lifetime&gt;5600&lt;/lifetime&gt;</v>
      </c>
      <c r="B6662" t="s">
        <v>739</v>
      </c>
    </row>
    <row r="6663" spans="1:8" x14ac:dyDescent="0.25">
      <c r="A6663" t="str">
        <f>"&lt;restock&gt;" &amp;$F$6660&amp;"&lt;/restock&gt;"</f>
        <v>&lt;restock&gt;0&lt;/restock&gt;</v>
      </c>
      <c r="B6663" t="s">
        <v>739</v>
      </c>
    </row>
    <row r="6664" spans="1:8" x14ac:dyDescent="0.25">
      <c r="A6664" t="str">
        <f>"&lt;min&gt;" &amp;$G$6660&amp;"&lt;/min&gt;"</f>
        <v>&lt;min&gt;20&lt;/min&gt;</v>
      </c>
      <c r="B6664" t="s">
        <v>739</v>
      </c>
    </row>
    <row r="6665" spans="1:8" x14ac:dyDescent="0.25">
      <c r="A6665" t="s">
        <v>16</v>
      </c>
      <c r="B6665" t="s">
        <v>739</v>
      </c>
    </row>
    <row r="6666" spans="1:8" x14ac:dyDescent="0.25">
      <c r="A6666" t="s">
        <v>17</v>
      </c>
      <c r="B6666" t="s">
        <v>739</v>
      </c>
    </row>
    <row r="6667" spans="1:8" x14ac:dyDescent="0.25">
      <c r="A6667" t="s">
        <v>18</v>
      </c>
      <c r="B6667" t="s">
        <v>739</v>
      </c>
    </row>
    <row r="6668" spans="1:8" x14ac:dyDescent="0.25">
      <c r="A6668" t="str">
        <f xml:space="preserve"> $H$6660</f>
        <v>&lt;flags count_in_cargo="0" count_in_hoarder="0" count_in_map="1" count_in_player="0" crafted="0" deloot="0"/&gt;</v>
      </c>
      <c r="B6668" t="s">
        <v>739</v>
      </c>
    </row>
    <row r="6669" spans="1:8" x14ac:dyDescent="0.25">
      <c r="A6669" t="str">
        <f>"&lt;category name=" &amp;"""" &amp;$C$6660&amp;"""/&gt;"</f>
        <v>&lt;category name="clothes"/&gt;</v>
      </c>
      <c r="B6669" t="s">
        <v>739</v>
      </c>
    </row>
    <row r="6670" spans="1:8" x14ac:dyDescent="0.25">
      <c r="A6670" t="s">
        <v>39</v>
      </c>
      <c r="B6670" t="s">
        <v>739</v>
      </c>
    </row>
    <row r="6671" spans="1:8" x14ac:dyDescent="0.25">
      <c r="A6671" t="s">
        <v>40</v>
      </c>
      <c r="B6671" t="s">
        <v>739</v>
      </c>
    </row>
    <row r="6672" spans="1:8" x14ac:dyDescent="0.25">
      <c r="A6672" t="s">
        <v>31</v>
      </c>
      <c r="B6672" t="s">
        <v>739</v>
      </c>
    </row>
    <row r="6673" spans="1:8" x14ac:dyDescent="0.25">
      <c r="A6673" t="s">
        <v>307</v>
      </c>
      <c r="B6673" t="s">
        <v>739</v>
      </c>
    </row>
    <row r="6674" spans="1:8" x14ac:dyDescent="0.25">
      <c r="A6674" t="s">
        <v>22</v>
      </c>
      <c r="B6674" t="s">
        <v>739</v>
      </c>
    </row>
    <row r="6675" spans="1:8" x14ac:dyDescent="0.25">
      <c r="A6675" t="s">
        <v>1916</v>
      </c>
      <c r="B6675" t="s">
        <v>740</v>
      </c>
      <c r="C6675" t="s">
        <v>403</v>
      </c>
      <c r="D6675">
        <v>30</v>
      </c>
      <c r="E6675">
        <v>5600</v>
      </c>
      <c r="F6675">
        <v>0</v>
      </c>
      <c r="G6675">
        <v>20</v>
      </c>
      <c r="H6675" t="s">
        <v>19</v>
      </c>
    </row>
    <row r="6676" spans="1:8" x14ac:dyDescent="0.25">
      <c r="A6676" t="str">
        <f>"&lt;nominal&gt;" &amp;$D$6675&amp;"&lt;/nominal&gt;"</f>
        <v>&lt;nominal&gt;30&lt;/nominal&gt;</v>
      </c>
      <c r="B6676" t="s">
        <v>740</v>
      </c>
    </row>
    <row r="6677" spans="1:8" x14ac:dyDescent="0.25">
      <c r="A6677" t="str">
        <f>"&lt;lifetime&gt;" &amp;$E$6675&amp;"&lt;/lifetime&gt;"</f>
        <v>&lt;lifetime&gt;5600&lt;/lifetime&gt;</v>
      </c>
      <c r="B6677" t="s">
        <v>740</v>
      </c>
    </row>
    <row r="6678" spans="1:8" x14ac:dyDescent="0.25">
      <c r="A6678" t="str">
        <f>"&lt;restock&gt;" &amp;$F$6675&amp;"&lt;/restock&gt;"</f>
        <v>&lt;restock&gt;0&lt;/restock&gt;</v>
      </c>
      <c r="B6678" t="s">
        <v>740</v>
      </c>
    </row>
    <row r="6679" spans="1:8" x14ac:dyDescent="0.25">
      <c r="A6679" t="str">
        <f>"&lt;min&gt;" &amp;$G$6675&amp;"&lt;/min&gt;"</f>
        <v>&lt;min&gt;20&lt;/min&gt;</v>
      </c>
      <c r="B6679" t="s">
        <v>740</v>
      </c>
    </row>
    <row r="6680" spans="1:8" x14ac:dyDescent="0.25">
      <c r="A6680" t="s">
        <v>16</v>
      </c>
      <c r="B6680" t="s">
        <v>740</v>
      </c>
    </row>
    <row r="6681" spans="1:8" x14ac:dyDescent="0.25">
      <c r="A6681" t="s">
        <v>17</v>
      </c>
      <c r="B6681" t="s">
        <v>740</v>
      </c>
    </row>
    <row r="6682" spans="1:8" x14ac:dyDescent="0.25">
      <c r="A6682" t="s">
        <v>18</v>
      </c>
      <c r="B6682" t="s">
        <v>740</v>
      </c>
    </row>
    <row r="6683" spans="1:8" x14ac:dyDescent="0.25">
      <c r="A6683" t="str">
        <f xml:space="preserve"> $H$6675</f>
        <v>&lt;flags count_in_cargo="0" count_in_hoarder="0" count_in_map="1" count_in_player="0" crafted="0" deloot="0"/&gt;</v>
      </c>
      <c r="B6683" t="s">
        <v>740</v>
      </c>
    </row>
    <row r="6684" spans="1:8" x14ac:dyDescent="0.25">
      <c r="A6684" t="str">
        <f>"&lt;category name=" &amp;"""" &amp;$C$6675&amp;"""/&gt;"</f>
        <v>&lt;category name="clothes"/&gt;</v>
      </c>
      <c r="B6684" t="s">
        <v>740</v>
      </c>
    </row>
    <row r="6685" spans="1:8" x14ac:dyDescent="0.25">
      <c r="A6685" t="s">
        <v>39</v>
      </c>
      <c r="B6685" t="s">
        <v>740</v>
      </c>
    </row>
    <row r="6686" spans="1:8" x14ac:dyDescent="0.25">
      <c r="A6686" t="s">
        <v>40</v>
      </c>
      <c r="B6686" t="s">
        <v>740</v>
      </c>
    </row>
    <row r="6687" spans="1:8" x14ac:dyDescent="0.25">
      <c r="A6687" t="s">
        <v>22</v>
      </c>
      <c r="B6687" t="s">
        <v>740</v>
      </c>
    </row>
    <row r="6688" spans="1:8" x14ac:dyDescent="0.25">
      <c r="A6688" t="s">
        <v>1917</v>
      </c>
      <c r="B6688" t="s">
        <v>741</v>
      </c>
      <c r="C6688" t="s">
        <v>403</v>
      </c>
      <c r="D6688">
        <v>30</v>
      </c>
      <c r="E6688">
        <v>5600</v>
      </c>
      <c r="F6688">
        <v>0</v>
      </c>
      <c r="G6688">
        <v>20</v>
      </c>
      <c r="H6688" t="s">
        <v>19</v>
      </c>
    </row>
    <row r="6689" spans="1:8" x14ac:dyDescent="0.25">
      <c r="A6689" t="str">
        <f>"&lt;nominal&gt;" &amp;$D$6688&amp;"&lt;/nominal&gt;"</f>
        <v>&lt;nominal&gt;30&lt;/nominal&gt;</v>
      </c>
      <c r="B6689" t="s">
        <v>741</v>
      </c>
    </row>
    <row r="6690" spans="1:8" x14ac:dyDescent="0.25">
      <c r="A6690" t="str">
        <f>"&lt;lifetime&gt;" &amp;$E$6688&amp;"&lt;/lifetime&gt;"</f>
        <v>&lt;lifetime&gt;5600&lt;/lifetime&gt;</v>
      </c>
      <c r="B6690" t="s">
        <v>741</v>
      </c>
    </row>
    <row r="6691" spans="1:8" x14ac:dyDescent="0.25">
      <c r="A6691" t="str">
        <f>"&lt;restock&gt;" &amp;$F$6688&amp;"&lt;/restock&gt;"</f>
        <v>&lt;restock&gt;0&lt;/restock&gt;</v>
      </c>
      <c r="B6691" t="s">
        <v>741</v>
      </c>
    </row>
    <row r="6692" spans="1:8" x14ac:dyDescent="0.25">
      <c r="A6692" t="str">
        <f>"&lt;min&gt;" &amp;$G$6688&amp;"&lt;/min&gt;"</f>
        <v>&lt;min&gt;20&lt;/min&gt;</v>
      </c>
      <c r="B6692" t="s">
        <v>741</v>
      </c>
    </row>
    <row r="6693" spans="1:8" x14ac:dyDescent="0.25">
      <c r="A6693" t="s">
        <v>16</v>
      </c>
      <c r="B6693" t="s">
        <v>741</v>
      </c>
    </row>
    <row r="6694" spans="1:8" x14ac:dyDescent="0.25">
      <c r="A6694" t="s">
        <v>17</v>
      </c>
      <c r="B6694" t="s">
        <v>741</v>
      </c>
    </row>
    <row r="6695" spans="1:8" x14ac:dyDescent="0.25">
      <c r="A6695" t="s">
        <v>18</v>
      </c>
      <c r="B6695" t="s">
        <v>741</v>
      </c>
    </row>
    <row r="6696" spans="1:8" x14ac:dyDescent="0.25">
      <c r="A6696" t="str">
        <f xml:space="preserve"> $H$6688</f>
        <v>&lt;flags count_in_cargo="0" count_in_hoarder="0" count_in_map="1" count_in_player="0" crafted="0" deloot="0"/&gt;</v>
      </c>
      <c r="B6696" t="s">
        <v>741</v>
      </c>
    </row>
    <row r="6697" spans="1:8" x14ac:dyDescent="0.25">
      <c r="A6697" t="str">
        <f>"&lt;category name=" &amp;"""" &amp;$C$6688&amp;"""/&gt;"</f>
        <v>&lt;category name="clothes"/&gt;</v>
      </c>
      <c r="B6697" t="s">
        <v>741</v>
      </c>
    </row>
    <row r="6698" spans="1:8" x14ac:dyDescent="0.25">
      <c r="A6698" t="s">
        <v>39</v>
      </c>
      <c r="B6698" t="s">
        <v>741</v>
      </c>
    </row>
    <row r="6699" spans="1:8" x14ac:dyDescent="0.25">
      <c r="A6699" t="s">
        <v>40</v>
      </c>
      <c r="B6699" t="s">
        <v>741</v>
      </c>
    </row>
    <row r="6700" spans="1:8" x14ac:dyDescent="0.25">
      <c r="A6700" t="s">
        <v>22</v>
      </c>
      <c r="B6700" t="s">
        <v>741</v>
      </c>
    </row>
    <row r="6701" spans="1:8" x14ac:dyDescent="0.25">
      <c r="A6701" t="s">
        <v>1918</v>
      </c>
      <c r="B6701" t="s">
        <v>742</v>
      </c>
      <c r="C6701" t="s">
        <v>403</v>
      </c>
      <c r="D6701">
        <v>30</v>
      </c>
      <c r="E6701">
        <v>5600</v>
      </c>
      <c r="F6701">
        <v>0</v>
      </c>
      <c r="G6701">
        <v>20</v>
      </c>
      <c r="H6701" t="s">
        <v>19</v>
      </c>
    </row>
    <row r="6702" spans="1:8" x14ac:dyDescent="0.25">
      <c r="A6702" t="str">
        <f>"&lt;nominal&gt;" &amp;$D$6701&amp;"&lt;/nominal&gt;"</f>
        <v>&lt;nominal&gt;30&lt;/nominal&gt;</v>
      </c>
      <c r="B6702" t="s">
        <v>742</v>
      </c>
    </row>
    <row r="6703" spans="1:8" x14ac:dyDescent="0.25">
      <c r="A6703" t="str">
        <f>"&lt;lifetime&gt;" &amp;$E$6701&amp;"&lt;/lifetime&gt;"</f>
        <v>&lt;lifetime&gt;5600&lt;/lifetime&gt;</v>
      </c>
      <c r="B6703" t="s">
        <v>742</v>
      </c>
    </row>
    <row r="6704" spans="1:8" x14ac:dyDescent="0.25">
      <c r="A6704" t="str">
        <f>"&lt;restock&gt;" &amp;$F$6701&amp;"&lt;/restock&gt;"</f>
        <v>&lt;restock&gt;0&lt;/restock&gt;</v>
      </c>
      <c r="B6704" t="s">
        <v>742</v>
      </c>
    </row>
    <row r="6705" spans="1:8" x14ac:dyDescent="0.25">
      <c r="A6705" t="str">
        <f>"&lt;min&gt;" &amp;$G$6701&amp;"&lt;/min&gt;"</f>
        <v>&lt;min&gt;20&lt;/min&gt;</v>
      </c>
      <c r="B6705" t="s">
        <v>742</v>
      </c>
    </row>
    <row r="6706" spans="1:8" x14ac:dyDescent="0.25">
      <c r="A6706" t="s">
        <v>16</v>
      </c>
      <c r="B6706" t="s">
        <v>742</v>
      </c>
    </row>
    <row r="6707" spans="1:8" x14ac:dyDescent="0.25">
      <c r="A6707" t="s">
        <v>17</v>
      </c>
      <c r="B6707" t="s">
        <v>742</v>
      </c>
    </row>
    <row r="6708" spans="1:8" x14ac:dyDescent="0.25">
      <c r="A6708" t="s">
        <v>18</v>
      </c>
      <c r="B6708" t="s">
        <v>742</v>
      </c>
    </row>
    <row r="6709" spans="1:8" x14ac:dyDescent="0.25">
      <c r="A6709" t="str">
        <f xml:space="preserve"> $H$6701</f>
        <v>&lt;flags count_in_cargo="0" count_in_hoarder="0" count_in_map="1" count_in_player="0" crafted="0" deloot="0"/&gt;</v>
      </c>
      <c r="B6709" t="s">
        <v>742</v>
      </c>
    </row>
    <row r="6710" spans="1:8" x14ac:dyDescent="0.25">
      <c r="A6710" t="str">
        <f>"&lt;category name=" &amp;"""" &amp;$C$6701&amp;"""/&gt;"</f>
        <v>&lt;category name="clothes"/&gt;</v>
      </c>
      <c r="B6710" t="s">
        <v>742</v>
      </c>
    </row>
    <row r="6711" spans="1:8" x14ac:dyDescent="0.25">
      <c r="A6711" t="s">
        <v>39</v>
      </c>
      <c r="B6711" t="s">
        <v>742</v>
      </c>
    </row>
    <row r="6712" spans="1:8" x14ac:dyDescent="0.25">
      <c r="A6712" t="s">
        <v>40</v>
      </c>
      <c r="B6712" t="s">
        <v>742</v>
      </c>
    </row>
    <row r="6713" spans="1:8" x14ac:dyDescent="0.25">
      <c r="A6713" t="s">
        <v>22</v>
      </c>
      <c r="B6713" t="s">
        <v>742</v>
      </c>
    </row>
    <row r="6714" spans="1:8" x14ac:dyDescent="0.25">
      <c r="A6714" t="s">
        <v>1919</v>
      </c>
      <c r="B6714" t="s">
        <v>743</v>
      </c>
      <c r="C6714" t="s">
        <v>403</v>
      </c>
      <c r="D6714">
        <v>30</v>
      </c>
      <c r="E6714">
        <v>5600</v>
      </c>
      <c r="F6714">
        <v>0</v>
      </c>
      <c r="G6714">
        <v>20</v>
      </c>
      <c r="H6714" t="s">
        <v>19</v>
      </c>
    </row>
    <row r="6715" spans="1:8" x14ac:dyDescent="0.25">
      <c r="A6715" t="str">
        <f>"&lt;nominal&gt;" &amp;$D$6714&amp;"&lt;/nominal&gt;"</f>
        <v>&lt;nominal&gt;30&lt;/nominal&gt;</v>
      </c>
      <c r="B6715" t="s">
        <v>743</v>
      </c>
    </row>
    <row r="6716" spans="1:8" x14ac:dyDescent="0.25">
      <c r="A6716" t="str">
        <f>"&lt;lifetime&gt;" &amp;$E$6714&amp;"&lt;/lifetime&gt;"</f>
        <v>&lt;lifetime&gt;5600&lt;/lifetime&gt;</v>
      </c>
      <c r="B6716" t="s">
        <v>743</v>
      </c>
    </row>
    <row r="6717" spans="1:8" x14ac:dyDescent="0.25">
      <c r="A6717" t="str">
        <f>"&lt;restock&gt;" &amp;$F$6714&amp;"&lt;/restock&gt;"</f>
        <v>&lt;restock&gt;0&lt;/restock&gt;</v>
      </c>
      <c r="B6717" t="s">
        <v>743</v>
      </c>
    </row>
    <row r="6718" spans="1:8" x14ac:dyDescent="0.25">
      <c r="A6718" t="str">
        <f>"&lt;min&gt;" &amp;$G$6714&amp;"&lt;/min&gt;"</f>
        <v>&lt;min&gt;20&lt;/min&gt;</v>
      </c>
      <c r="B6718" t="s">
        <v>743</v>
      </c>
    </row>
    <row r="6719" spans="1:8" x14ac:dyDescent="0.25">
      <c r="A6719" t="s">
        <v>16</v>
      </c>
      <c r="B6719" t="s">
        <v>743</v>
      </c>
    </row>
    <row r="6720" spans="1:8" x14ac:dyDescent="0.25">
      <c r="A6720" t="s">
        <v>17</v>
      </c>
      <c r="B6720" t="s">
        <v>743</v>
      </c>
    </row>
    <row r="6721" spans="1:8" x14ac:dyDescent="0.25">
      <c r="A6721" t="s">
        <v>18</v>
      </c>
      <c r="B6721" t="s">
        <v>743</v>
      </c>
    </row>
    <row r="6722" spans="1:8" x14ac:dyDescent="0.25">
      <c r="A6722" t="str">
        <f xml:space="preserve"> $H$6714</f>
        <v>&lt;flags count_in_cargo="0" count_in_hoarder="0" count_in_map="1" count_in_player="0" crafted="0" deloot="0"/&gt;</v>
      </c>
      <c r="B6722" t="s">
        <v>743</v>
      </c>
    </row>
    <row r="6723" spans="1:8" x14ac:dyDescent="0.25">
      <c r="A6723" t="str">
        <f>"&lt;category name=" &amp;"""" &amp;$C$6714&amp;"""/&gt;"</f>
        <v>&lt;category name="clothes"/&gt;</v>
      </c>
      <c r="B6723" t="s">
        <v>743</v>
      </c>
    </row>
    <row r="6724" spans="1:8" x14ac:dyDescent="0.25">
      <c r="A6724" t="s">
        <v>39</v>
      </c>
      <c r="B6724" t="s">
        <v>743</v>
      </c>
    </row>
    <row r="6725" spans="1:8" x14ac:dyDescent="0.25">
      <c r="A6725" t="s">
        <v>40</v>
      </c>
      <c r="B6725" t="s">
        <v>743</v>
      </c>
    </row>
    <row r="6726" spans="1:8" x14ac:dyDescent="0.25">
      <c r="A6726" t="s">
        <v>22</v>
      </c>
      <c r="B6726" t="s">
        <v>743</v>
      </c>
    </row>
    <row r="6727" spans="1:8" x14ac:dyDescent="0.25">
      <c r="A6727" t="s">
        <v>1920</v>
      </c>
      <c r="B6727" t="s">
        <v>744</v>
      </c>
      <c r="C6727" t="s">
        <v>403</v>
      </c>
      <c r="D6727">
        <v>25</v>
      </c>
      <c r="E6727">
        <v>7200</v>
      </c>
      <c r="F6727">
        <v>0</v>
      </c>
      <c r="G6727">
        <v>15</v>
      </c>
      <c r="H6727" t="s">
        <v>19</v>
      </c>
    </row>
    <row r="6728" spans="1:8" x14ac:dyDescent="0.25">
      <c r="A6728" t="str">
        <f>"&lt;nominal&gt;" &amp;$D$6727&amp;"&lt;/nominal&gt;"</f>
        <v>&lt;nominal&gt;25&lt;/nominal&gt;</v>
      </c>
      <c r="B6728" t="s">
        <v>744</v>
      </c>
    </row>
    <row r="6729" spans="1:8" x14ac:dyDescent="0.25">
      <c r="A6729" t="str">
        <f>"&lt;lifetime&gt;" &amp;$E$6727&amp;"&lt;/lifetime&gt;"</f>
        <v>&lt;lifetime&gt;7200&lt;/lifetime&gt;</v>
      </c>
      <c r="B6729" t="s">
        <v>744</v>
      </c>
    </row>
    <row r="6730" spans="1:8" x14ac:dyDescent="0.25">
      <c r="A6730" t="str">
        <f>"&lt;restock&gt;" &amp;$F$6727&amp;"&lt;/restock&gt;"</f>
        <v>&lt;restock&gt;0&lt;/restock&gt;</v>
      </c>
      <c r="B6730" t="s">
        <v>744</v>
      </c>
    </row>
    <row r="6731" spans="1:8" x14ac:dyDescent="0.25">
      <c r="A6731" t="str">
        <f>"&lt;min&gt;" &amp;$G$6727&amp;"&lt;/min&gt;"</f>
        <v>&lt;min&gt;15&lt;/min&gt;</v>
      </c>
      <c r="B6731" t="s">
        <v>744</v>
      </c>
    </row>
    <row r="6732" spans="1:8" x14ac:dyDescent="0.25">
      <c r="A6732" t="s">
        <v>16</v>
      </c>
      <c r="B6732" t="s">
        <v>744</v>
      </c>
    </row>
    <row r="6733" spans="1:8" x14ac:dyDescent="0.25">
      <c r="A6733" t="s">
        <v>17</v>
      </c>
      <c r="B6733" t="s">
        <v>744</v>
      </c>
    </row>
    <row r="6734" spans="1:8" x14ac:dyDescent="0.25">
      <c r="A6734" t="s">
        <v>18</v>
      </c>
      <c r="B6734" t="s">
        <v>744</v>
      </c>
    </row>
    <row r="6735" spans="1:8" x14ac:dyDescent="0.25">
      <c r="A6735" t="str">
        <f xml:space="preserve"> $H$6727</f>
        <v>&lt;flags count_in_cargo="0" count_in_hoarder="0" count_in_map="1" count_in_player="0" crafted="0" deloot="0"/&gt;</v>
      </c>
      <c r="B6735" t="s">
        <v>744</v>
      </c>
    </row>
    <row r="6736" spans="1:8" x14ac:dyDescent="0.25">
      <c r="A6736" t="str">
        <f>"&lt;category name=" &amp;"""" &amp;$C$6727&amp;"""/&gt;"</f>
        <v>&lt;category name="clothes"/&gt;</v>
      </c>
      <c r="B6736" t="s">
        <v>744</v>
      </c>
    </row>
    <row r="6737" spans="1:8" x14ac:dyDescent="0.25">
      <c r="A6737" t="s">
        <v>39</v>
      </c>
      <c r="B6737" t="s">
        <v>744</v>
      </c>
    </row>
    <row r="6738" spans="1:8" x14ac:dyDescent="0.25">
      <c r="A6738" t="s">
        <v>40</v>
      </c>
      <c r="B6738" t="s">
        <v>744</v>
      </c>
    </row>
    <row r="6739" spans="1:8" x14ac:dyDescent="0.25">
      <c r="A6739" t="s">
        <v>22</v>
      </c>
      <c r="B6739" t="s">
        <v>744</v>
      </c>
    </row>
    <row r="6740" spans="1:8" x14ac:dyDescent="0.25">
      <c r="A6740" t="s">
        <v>1921</v>
      </c>
      <c r="B6740" t="s">
        <v>745</v>
      </c>
      <c r="C6740" t="s">
        <v>403</v>
      </c>
      <c r="D6740">
        <v>25</v>
      </c>
      <c r="E6740">
        <v>5600</v>
      </c>
      <c r="F6740">
        <v>0</v>
      </c>
      <c r="G6740">
        <v>15</v>
      </c>
      <c r="H6740" t="s">
        <v>19</v>
      </c>
    </row>
    <row r="6741" spans="1:8" x14ac:dyDescent="0.25">
      <c r="A6741" t="str">
        <f>"&lt;nominal&gt;" &amp;$D$6740&amp;"&lt;/nominal&gt;"</f>
        <v>&lt;nominal&gt;25&lt;/nominal&gt;</v>
      </c>
      <c r="B6741" t="s">
        <v>745</v>
      </c>
    </row>
    <row r="6742" spans="1:8" x14ac:dyDescent="0.25">
      <c r="A6742" t="str">
        <f>"&lt;lifetime&gt;" &amp;$E$6740&amp;"&lt;/lifetime&gt;"</f>
        <v>&lt;lifetime&gt;5600&lt;/lifetime&gt;</v>
      </c>
      <c r="B6742" t="s">
        <v>745</v>
      </c>
    </row>
    <row r="6743" spans="1:8" x14ac:dyDescent="0.25">
      <c r="A6743" t="str">
        <f>"&lt;restock&gt;" &amp;$F$6740&amp;"&lt;/restock&gt;"</f>
        <v>&lt;restock&gt;0&lt;/restock&gt;</v>
      </c>
      <c r="B6743" t="s">
        <v>745</v>
      </c>
    </row>
    <row r="6744" spans="1:8" x14ac:dyDescent="0.25">
      <c r="A6744" t="str">
        <f>"&lt;min&gt;" &amp;$G$6740&amp;"&lt;/min&gt;"</f>
        <v>&lt;min&gt;15&lt;/min&gt;</v>
      </c>
      <c r="B6744" t="s">
        <v>745</v>
      </c>
    </row>
    <row r="6745" spans="1:8" x14ac:dyDescent="0.25">
      <c r="A6745" t="s">
        <v>16</v>
      </c>
      <c r="B6745" t="s">
        <v>745</v>
      </c>
    </row>
    <row r="6746" spans="1:8" x14ac:dyDescent="0.25">
      <c r="A6746" t="s">
        <v>17</v>
      </c>
      <c r="B6746" t="s">
        <v>745</v>
      </c>
    </row>
    <row r="6747" spans="1:8" x14ac:dyDescent="0.25">
      <c r="A6747" t="s">
        <v>18</v>
      </c>
      <c r="B6747" t="s">
        <v>745</v>
      </c>
    </row>
    <row r="6748" spans="1:8" x14ac:dyDescent="0.25">
      <c r="A6748" t="str">
        <f xml:space="preserve"> $H$6740</f>
        <v>&lt;flags count_in_cargo="0" count_in_hoarder="0" count_in_map="1" count_in_player="0" crafted="0" deloot="0"/&gt;</v>
      </c>
      <c r="B6748" t="s">
        <v>745</v>
      </c>
    </row>
    <row r="6749" spans="1:8" x14ac:dyDescent="0.25">
      <c r="A6749" t="str">
        <f>"&lt;category name=" &amp;"""" &amp;$C$6740&amp;"""/&gt;"</f>
        <v>&lt;category name="clothes"/&gt;</v>
      </c>
      <c r="B6749" t="s">
        <v>745</v>
      </c>
    </row>
    <row r="6750" spans="1:8" x14ac:dyDescent="0.25">
      <c r="A6750" t="s">
        <v>39</v>
      </c>
      <c r="B6750" t="s">
        <v>745</v>
      </c>
    </row>
    <row r="6751" spans="1:8" x14ac:dyDescent="0.25">
      <c r="A6751" t="s">
        <v>40</v>
      </c>
      <c r="B6751" t="s">
        <v>745</v>
      </c>
    </row>
    <row r="6752" spans="1:8" x14ac:dyDescent="0.25">
      <c r="A6752" t="s">
        <v>22</v>
      </c>
      <c r="B6752" t="s">
        <v>745</v>
      </c>
    </row>
    <row r="6753" spans="1:8" x14ac:dyDescent="0.25">
      <c r="A6753" t="s">
        <v>1922</v>
      </c>
      <c r="B6753" t="s">
        <v>746</v>
      </c>
      <c r="C6753" t="s">
        <v>403</v>
      </c>
      <c r="D6753">
        <v>30</v>
      </c>
      <c r="E6753">
        <v>5600</v>
      </c>
      <c r="F6753">
        <v>0</v>
      </c>
      <c r="G6753">
        <v>20</v>
      </c>
      <c r="H6753" t="s">
        <v>19</v>
      </c>
    </row>
    <row r="6754" spans="1:8" x14ac:dyDescent="0.25">
      <c r="A6754" t="str">
        <f>"&lt;nominal&gt;" &amp;$D$6753&amp;"&lt;/nominal&gt;"</f>
        <v>&lt;nominal&gt;30&lt;/nominal&gt;</v>
      </c>
      <c r="B6754" t="s">
        <v>746</v>
      </c>
    </row>
    <row r="6755" spans="1:8" x14ac:dyDescent="0.25">
      <c r="A6755" t="str">
        <f>"&lt;lifetime&gt;" &amp;$E$6753&amp;"&lt;/lifetime&gt;"</f>
        <v>&lt;lifetime&gt;5600&lt;/lifetime&gt;</v>
      </c>
      <c r="B6755" t="s">
        <v>746</v>
      </c>
    </row>
    <row r="6756" spans="1:8" x14ac:dyDescent="0.25">
      <c r="A6756" t="str">
        <f>"&lt;restock&gt;" &amp;$F$6753&amp;"&lt;/restock&gt;"</f>
        <v>&lt;restock&gt;0&lt;/restock&gt;</v>
      </c>
      <c r="B6756" t="s">
        <v>746</v>
      </c>
    </row>
    <row r="6757" spans="1:8" x14ac:dyDescent="0.25">
      <c r="A6757" t="str">
        <f>"&lt;min&gt;" &amp;$G$6753&amp;"&lt;/min&gt;"</f>
        <v>&lt;min&gt;20&lt;/min&gt;</v>
      </c>
      <c r="B6757" t="s">
        <v>746</v>
      </c>
    </row>
    <row r="6758" spans="1:8" x14ac:dyDescent="0.25">
      <c r="A6758" t="s">
        <v>16</v>
      </c>
      <c r="B6758" t="s">
        <v>746</v>
      </c>
    </row>
    <row r="6759" spans="1:8" x14ac:dyDescent="0.25">
      <c r="A6759" t="s">
        <v>17</v>
      </c>
      <c r="B6759" t="s">
        <v>746</v>
      </c>
    </row>
    <row r="6760" spans="1:8" x14ac:dyDescent="0.25">
      <c r="A6760" t="s">
        <v>18</v>
      </c>
      <c r="B6760" t="s">
        <v>746</v>
      </c>
    </row>
    <row r="6761" spans="1:8" x14ac:dyDescent="0.25">
      <c r="A6761" t="str">
        <f xml:space="preserve"> $H$6753</f>
        <v>&lt;flags count_in_cargo="0" count_in_hoarder="0" count_in_map="1" count_in_player="0" crafted="0" deloot="0"/&gt;</v>
      </c>
      <c r="B6761" t="s">
        <v>746</v>
      </c>
    </row>
    <row r="6762" spans="1:8" x14ac:dyDescent="0.25">
      <c r="A6762" t="str">
        <f>"&lt;category name=" &amp;"""" &amp;$C$6753&amp;"""/&gt;"</f>
        <v>&lt;category name="clothes"/&gt;</v>
      </c>
      <c r="B6762" t="s">
        <v>746</v>
      </c>
    </row>
    <row r="6763" spans="1:8" x14ac:dyDescent="0.25">
      <c r="A6763" t="s">
        <v>39</v>
      </c>
      <c r="B6763" t="s">
        <v>746</v>
      </c>
    </row>
    <row r="6764" spans="1:8" x14ac:dyDescent="0.25">
      <c r="A6764" t="s">
        <v>40</v>
      </c>
      <c r="B6764" t="s">
        <v>746</v>
      </c>
    </row>
    <row r="6765" spans="1:8" x14ac:dyDescent="0.25">
      <c r="A6765" t="s">
        <v>22</v>
      </c>
      <c r="B6765" t="s">
        <v>746</v>
      </c>
    </row>
    <row r="6766" spans="1:8" x14ac:dyDescent="0.25">
      <c r="A6766" t="s">
        <v>1923</v>
      </c>
      <c r="B6766" t="s">
        <v>747</v>
      </c>
      <c r="C6766" t="s">
        <v>403</v>
      </c>
      <c r="D6766">
        <v>30</v>
      </c>
      <c r="E6766">
        <v>5600</v>
      </c>
      <c r="F6766">
        <v>0</v>
      </c>
      <c r="G6766">
        <v>20</v>
      </c>
      <c r="H6766" t="s">
        <v>19</v>
      </c>
    </row>
    <row r="6767" spans="1:8" x14ac:dyDescent="0.25">
      <c r="A6767" t="str">
        <f>"&lt;nominal&gt;" &amp;$D$6766&amp;"&lt;/nominal&gt;"</f>
        <v>&lt;nominal&gt;30&lt;/nominal&gt;</v>
      </c>
      <c r="B6767" t="s">
        <v>747</v>
      </c>
    </row>
    <row r="6768" spans="1:8" x14ac:dyDescent="0.25">
      <c r="A6768" t="str">
        <f>"&lt;lifetime&gt;" &amp;$E$6766&amp;"&lt;/lifetime&gt;"</f>
        <v>&lt;lifetime&gt;5600&lt;/lifetime&gt;</v>
      </c>
      <c r="B6768" t="s">
        <v>747</v>
      </c>
    </row>
    <row r="6769" spans="1:8" x14ac:dyDescent="0.25">
      <c r="A6769" t="str">
        <f>"&lt;restock&gt;" &amp;$F$6766&amp;"&lt;/restock&gt;"</f>
        <v>&lt;restock&gt;0&lt;/restock&gt;</v>
      </c>
      <c r="B6769" t="s">
        <v>747</v>
      </c>
    </row>
    <row r="6770" spans="1:8" x14ac:dyDescent="0.25">
      <c r="A6770" t="str">
        <f>"&lt;min&gt;" &amp;$G$6766&amp;"&lt;/min&gt;"</f>
        <v>&lt;min&gt;20&lt;/min&gt;</v>
      </c>
      <c r="B6770" t="s">
        <v>747</v>
      </c>
    </row>
    <row r="6771" spans="1:8" x14ac:dyDescent="0.25">
      <c r="A6771" t="s">
        <v>16</v>
      </c>
      <c r="B6771" t="s">
        <v>747</v>
      </c>
    </row>
    <row r="6772" spans="1:8" x14ac:dyDescent="0.25">
      <c r="A6772" t="s">
        <v>17</v>
      </c>
      <c r="B6772" t="s">
        <v>747</v>
      </c>
    </row>
    <row r="6773" spans="1:8" x14ac:dyDescent="0.25">
      <c r="A6773" t="s">
        <v>18</v>
      </c>
      <c r="B6773" t="s">
        <v>747</v>
      </c>
    </row>
    <row r="6774" spans="1:8" x14ac:dyDescent="0.25">
      <c r="A6774" t="str">
        <f xml:space="preserve"> $H$6766</f>
        <v>&lt;flags count_in_cargo="0" count_in_hoarder="0" count_in_map="1" count_in_player="0" crafted="0" deloot="0"/&gt;</v>
      </c>
      <c r="B6774" t="s">
        <v>747</v>
      </c>
    </row>
    <row r="6775" spans="1:8" x14ac:dyDescent="0.25">
      <c r="A6775" t="str">
        <f>"&lt;category name=" &amp;"""" &amp;$C$6766&amp;"""/&gt;"</f>
        <v>&lt;category name="clothes"/&gt;</v>
      </c>
      <c r="B6775" t="s">
        <v>747</v>
      </c>
    </row>
    <row r="6776" spans="1:8" x14ac:dyDescent="0.25">
      <c r="A6776" t="s">
        <v>39</v>
      </c>
      <c r="B6776" t="s">
        <v>747</v>
      </c>
    </row>
    <row r="6777" spans="1:8" x14ac:dyDescent="0.25">
      <c r="A6777" t="s">
        <v>40</v>
      </c>
      <c r="B6777" t="s">
        <v>747</v>
      </c>
    </row>
    <row r="6778" spans="1:8" x14ac:dyDescent="0.25">
      <c r="A6778" t="s">
        <v>22</v>
      </c>
      <c r="B6778" t="s">
        <v>747</v>
      </c>
    </row>
    <row r="6779" spans="1:8" x14ac:dyDescent="0.25">
      <c r="A6779" t="s">
        <v>1924</v>
      </c>
      <c r="B6779" t="s">
        <v>748</v>
      </c>
      <c r="C6779" t="s">
        <v>403</v>
      </c>
      <c r="D6779">
        <v>25</v>
      </c>
      <c r="E6779">
        <v>5600</v>
      </c>
      <c r="F6779">
        <v>0</v>
      </c>
      <c r="G6779">
        <v>15</v>
      </c>
      <c r="H6779" t="s">
        <v>19</v>
      </c>
    </row>
    <row r="6780" spans="1:8" x14ac:dyDescent="0.25">
      <c r="A6780" t="str">
        <f>"&lt;nominal&gt;" &amp;$D$6779&amp;"&lt;/nominal&gt;"</f>
        <v>&lt;nominal&gt;25&lt;/nominal&gt;</v>
      </c>
      <c r="B6780" t="s">
        <v>748</v>
      </c>
    </row>
    <row r="6781" spans="1:8" x14ac:dyDescent="0.25">
      <c r="A6781" t="str">
        <f>"&lt;lifetime&gt;" &amp;$E$6779&amp;"&lt;/lifetime&gt;"</f>
        <v>&lt;lifetime&gt;5600&lt;/lifetime&gt;</v>
      </c>
      <c r="B6781" t="s">
        <v>748</v>
      </c>
    </row>
    <row r="6782" spans="1:8" x14ac:dyDescent="0.25">
      <c r="A6782" t="str">
        <f>"&lt;restock&gt;" &amp;$F$6779&amp;"&lt;/restock&gt;"</f>
        <v>&lt;restock&gt;0&lt;/restock&gt;</v>
      </c>
      <c r="B6782" t="s">
        <v>748</v>
      </c>
    </row>
    <row r="6783" spans="1:8" x14ac:dyDescent="0.25">
      <c r="A6783" t="str">
        <f>"&lt;min&gt;" &amp;$G$6779&amp;"&lt;/min&gt;"</f>
        <v>&lt;min&gt;15&lt;/min&gt;</v>
      </c>
      <c r="B6783" t="s">
        <v>748</v>
      </c>
    </row>
    <row r="6784" spans="1:8" x14ac:dyDescent="0.25">
      <c r="A6784" t="s">
        <v>16</v>
      </c>
      <c r="B6784" t="s">
        <v>748</v>
      </c>
    </row>
    <row r="6785" spans="1:8" x14ac:dyDescent="0.25">
      <c r="A6785" t="s">
        <v>17</v>
      </c>
      <c r="B6785" t="s">
        <v>748</v>
      </c>
    </row>
    <row r="6786" spans="1:8" x14ac:dyDescent="0.25">
      <c r="A6786" t="s">
        <v>18</v>
      </c>
      <c r="B6786" t="s">
        <v>748</v>
      </c>
    </row>
    <row r="6787" spans="1:8" x14ac:dyDescent="0.25">
      <c r="A6787" t="str">
        <f xml:space="preserve"> $H$6779</f>
        <v>&lt;flags count_in_cargo="0" count_in_hoarder="0" count_in_map="1" count_in_player="0" crafted="0" deloot="0"/&gt;</v>
      </c>
      <c r="B6787" t="s">
        <v>748</v>
      </c>
    </row>
    <row r="6788" spans="1:8" x14ac:dyDescent="0.25">
      <c r="A6788" t="str">
        <f>"&lt;category name=" &amp;"""" &amp;$C$6779&amp;"""/&gt;"</f>
        <v>&lt;category name="clothes"/&gt;</v>
      </c>
      <c r="B6788" t="s">
        <v>748</v>
      </c>
    </row>
    <row r="6789" spans="1:8" x14ac:dyDescent="0.25">
      <c r="A6789" t="s">
        <v>39</v>
      </c>
      <c r="B6789" t="s">
        <v>748</v>
      </c>
    </row>
    <row r="6790" spans="1:8" x14ac:dyDescent="0.25">
      <c r="A6790" t="s">
        <v>40</v>
      </c>
      <c r="B6790" t="s">
        <v>748</v>
      </c>
    </row>
    <row r="6791" spans="1:8" x14ac:dyDescent="0.25">
      <c r="A6791" t="s">
        <v>30</v>
      </c>
      <c r="B6791" t="s">
        <v>748</v>
      </c>
    </row>
    <row r="6792" spans="1:8" x14ac:dyDescent="0.25">
      <c r="A6792" t="s">
        <v>31</v>
      </c>
      <c r="B6792" t="s">
        <v>748</v>
      </c>
    </row>
    <row r="6793" spans="1:8" x14ac:dyDescent="0.25">
      <c r="A6793" t="s">
        <v>22</v>
      </c>
      <c r="B6793" t="s">
        <v>748</v>
      </c>
    </row>
    <row r="6794" spans="1:8" x14ac:dyDescent="0.25">
      <c r="A6794" t="s">
        <v>1925</v>
      </c>
      <c r="B6794" t="s">
        <v>749</v>
      </c>
      <c r="C6794" t="s">
        <v>403</v>
      </c>
      <c r="D6794">
        <v>30</v>
      </c>
      <c r="E6794">
        <v>5600</v>
      </c>
      <c r="F6794">
        <v>0</v>
      </c>
      <c r="G6794">
        <v>20</v>
      </c>
      <c r="H6794" t="s">
        <v>19</v>
      </c>
    </row>
    <row r="6795" spans="1:8" x14ac:dyDescent="0.25">
      <c r="A6795" t="str">
        <f>"&lt;nominal&gt;" &amp;$D$6794&amp;"&lt;/nominal&gt;"</f>
        <v>&lt;nominal&gt;30&lt;/nominal&gt;</v>
      </c>
      <c r="B6795" t="s">
        <v>749</v>
      </c>
    </row>
    <row r="6796" spans="1:8" x14ac:dyDescent="0.25">
      <c r="A6796" t="str">
        <f>"&lt;lifetime&gt;" &amp;$E$6794&amp;"&lt;/lifetime&gt;"</f>
        <v>&lt;lifetime&gt;5600&lt;/lifetime&gt;</v>
      </c>
      <c r="B6796" t="s">
        <v>749</v>
      </c>
    </row>
    <row r="6797" spans="1:8" x14ac:dyDescent="0.25">
      <c r="A6797" t="str">
        <f>"&lt;restock&gt;" &amp;$F$6794&amp;"&lt;/restock&gt;"</f>
        <v>&lt;restock&gt;0&lt;/restock&gt;</v>
      </c>
      <c r="B6797" t="s">
        <v>749</v>
      </c>
    </row>
    <row r="6798" spans="1:8" x14ac:dyDescent="0.25">
      <c r="A6798" t="str">
        <f>"&lt;min&gt;" &amp;$G$6794&amp;"&lt;/min&gt;"</f>
        <v>&lt;min&gt;20&lt;/min&gt;</v>
      </c>
      <c r="B6798" t="s">
        <v>749</v>
      </c>
    </row>
    <row r="6799" spans="1:8" x14ac:dyDescent="0.25">
      <c r="A6799" t="s">
        <v>16</v>
      </c>
      <c r="B6799" t="s">
        <v>749</v>
      </c>
    </row>
    <row r="6800" spans="1:8" x14ac:dyDescent="0.25">
      <c r="A6800" t="s">
        <v>17</v>
      </c>
      <c r="B6800" t="s">
        <v>749</v>
      </c>
    </row>
    <row r="6801" spans="1:8" x14ac:dyDescent="0.25">
      <c r="A6801" t="s">
        <v>18</v>
      </c>
      <c r="B6801" t="s">
        <v>749</v>
      </c>
    </row>
    <row r="6802" spans="1:8" x14ac:dyDescent="0.25">
      <c r="A6802" t="str">
        <f xml:space="preserve"> $H$6794</f>
        <v>&lt;flags count_in_cargo="0" count_in_hoarder="0" count_in_map="1" count_in_player="0" crafted="0" deloot="0"/&gt;</v>
      </c>
      <c r="B6802" t="s">
        <v>749</v>
      </c>
    </row>
    <row r="6803" spans="1:8" x14ac:dyDescent="0.25">
      <c r="A6803" t="str">
        <f>"&lt;category name=" &amp;"""" &amp;$C$6794&amp;"""/&gt;"</f>
        <v>&lt;category name="clothes"/&gt;</v>
      </c>
      <c r="B6803" t="s">
        <v>749</v>
      </c>
    </row>
    <row r="6804" spans="1:8" x14ac:dyDescent="0.25">
      <c r="A6804" t="s">
        <v>39</v>
      </c>
      <c r="B6804" t="s">
        <v>749</v>
      </c>
    </row>
    <row r="6805" spans="1:8" x14ac:dyDescent="0.25">
      <c r="A6805" t="s">
        <v>40</v>
      </c>
      <c r="B6805" t="s">
        <v>749</v>
      </c>
    </row>
    <row r="6806" spans="1:8" x14ac:dyDescent="0.25">
      <c r="A6806" t="s">
        <v>82</v>
      </c>
      <c r="B6806" t="s">
        <v>749</v>
      </c>
    </row>
    <row r="6807" spans="1:8" x14ac:dyDescent="0.25">
      <c r="A6807" t="s">
        <v>22</v>
      </c>
      <c r="B6807" t="s">
        <v>749</v>
      </c>
    </row>
    <row r="6808" spans="1:8" x14ac:dyDescent="0.25">
      <c r="A6808" t="s">
        <v>1926</v>
      </c>
      <c r="B6808" t="s">
        <v>750</v>
      </c>
      <c r="C6808" t="s">
        <v>403</v>
      </c>
      <c r="D6808">
        <v>30</v>
      </c>
      <c r="E6808">
        <v>5600</v>
      </c>
      <c r="F6808">
        <v>0</v>
      </c>
      <c r="G6808">
        <v>20</v>
      </c>
      <c r="H6808" t="s">
        <v>19</v>
      </c>
    </row>
    <row r="6809" spans="1:8" x14ac:dyDescent="0.25">
      <c r="A6809" t="str">
        <f>"&lt;nominal&gt;" &amp;$D$6808&amp;"&lt;/nominal&gt;"</f>
        <v>&lt;nominal&gt;30&lt;/nominal&gt;</v>
      </c>
      <c r="B6809" t="s">
        <v>750</v>
      </c>
    </row>
    <row r="6810" spans="1:8" x14ac:dyDescent="0.25">
      <c r="A6810" t="str">
        <f>"&lt;lifetime&gt;" &amp;$E$6808&amp;"&lt;/lifetime&gt;"</f>
        <v>&lt;lifetime&gt;5600&lt;/lifetime&gt;</v>
      </c>
      <c r="B6810" t="s">
        <v>750</v>
      </c>
    </row>
    <row r="6811" spans="1:8" x14ac:dyDescent="0.25">
      <c r="A6811" t="str">
        <f>"&lt;restock&gt;" &amp;$F$6808&amp;"&lt;/restock&gt;"</f>
        <v>&lt;restock&gt;0&lt;/restock&gt;</v>
      </c>
      <c r="B6811" t="s">
        <v>750</v>
      </c>
    </row>
    <row r="6812" spans="1:8" x14ac:dyDescent="0.25">
      <c r="A6812" t="str">
        <f>"&lt;min&gt;" &amp;$G$6808&amp;"&lt;/min&gt;"</f>
        <v>&lt;min&gt;20&lt;/min&gt;</v>
      </c>
      <c r="B6812" t="s">
        <v>750</v>
      </c>
    </row>
    <row r="6813" spans="1:8" x14ac:dyDescent="0.25">
      <c r="A6813" t="s">
        <v>16</v>
      </c>
      <c r="B6813" t="s">
        <v>750</v>
      </c>
    </row>
    <row r="6814" spans="1:8" x14ac:dyDescent="0.25">
      <c r="A6814" t="s">
        <v>17</v>
      </c>
      <c r="B6814" t="s">
        <v>750</v>
      </c>
    </row>
    <row r="6815" spans="1:8" x14ac:dyDescent="0.25">
      <c r="A6815" t="s">
        <v>18</v>
      </c>
      <c r="B6815" t="s">
        <v>750</v>
      </c>
    </row>
    <row r="6816" spans="1:8" x14ac:dyDescent="0.25">
      <c r="A6816" t="str">
        <f xml:space="preserve"> $H$6808</f>
        <v>&lt;flags count_in_cargo="0" count_in_hoarder="0" count_in_map="1" count_in_player="0" crafted="0" deloot="0"/&gt;</v>
      </c>
      <c r="B6816" t="s">
        <v>750</v>
      </c>
    </row>
    <row r="6817" spans="1:8" x14ac:dyDescent="0.25">
      <c r="A6817" t="str">
        <f>"&lt;category name=" &amp;"""" &amp;$C$6808&amp;"""/&gt;"</f>
        <v>&lt;category name="clothes"/&gt;</v>
      </c>
      <c r="B6817" t="s">
        <v>750</v>
      </c>
    </row>
    <row r="6818" spans="1:8" x14ac:dyDescent="0.25">
      <c r="A6818" t="s">
        <v>39</v>
      </c>
      <c r="B6818" t="s">
        <v>750</v>
      </c>
    </row>
    <row r="6819" spans="1:8" x14ac:dyDescent="0.25">
      <c r="A6819" t="s">
        <v>40</v>
      </c>
      <c r="B6819" t="s">
        <v>750</v>
      </c>
    </row>
    <row r="6820" spans="1:8" x14ac:dyDescent="0.25">
      <c r="A6820" t="s">
        <v>22</v>
      </c>
      <c r="B6820" t="s">
        <v>750</v>
      </c>
    </row>
    <row r="6821" spans="1:8" x14ac:dyDescent="0.25">
      <c r="A6821" t="s">
        <v>1927</v>
      </c>
      <c r="B6821" t="s">
        <v>751</v>
      </c>
      <c r="C6821" t="s">
        <v>426</v>
      </c>
      <c r="D6821">
        <v>50</v>
      </c>
      <c r="E6821">
        <v>7200</v>
      </c>
      <c r="F6821">
        <v>0</v>
      </c>
      <c r="G6821">
        <v>40</v>
      </c>
      <c r="H6821" t="s">
        <v>19</v>
      </c>
    </row>
    <row r="6822" spans="1:8" x14ac:dyDescent="0.25">
      <c r="A6822" t="str">
        <f>"&lt;nominal&gt;" &amp;$D$6821&amp;"&lt;/nominal&gt;"</f>
        <v>&lt;nominal&gt;50&lt;/nominal&gt;</v>
      </c>
      <c r="B6822" t="s">
        <v>751</v>
      </c>
    </row>
    <row r="6823" spans="1:8" x14ac:dyDescent="0.25">
      <c r="A6823" t="str">
        <f>"&lt;lifetime&gt;" &amp;$E$6821&amp;"&lt;/lifetime&gt;"</f>
        <v>&lt;lifetime&gt;7200&lt;/lifetime&gt;</v>
      </c>
      <c r="B6823" t="s">
        <v>751</v>
      </c>
    </row>
    <row r="6824" spans="1:8" x14ac:dyDescent="0.25">
      <c r="A6824" t="str">
        <f>"&lt;restock&gt;" &amp;$F$6821&amp;"&lt;/restock&gt;"</f>
        <v>&lt;restock&gt;0&lt;/restock&gt;</v>
      </c>
      <c r="B6824" t="s">
        <v>751</v>
      </c>
    </row>
    <row r="6825" spans="1:8" x14ac:dyDescent="0.25">
      <c r="A6825" t="str">
        <f>"&lt;min&gt;" &amp;$G$6821&amp;"&lt;/min&gt;"</f>
        <v>&lt;min&gt;40&lt;/min&gt;</v>
      </c>
      <c r="B6825" t="s">
        <v>751</v>
      </c>
    </row>
    <row r="6826" spans="1:8" x14ac:dyDescent="0.25">
      <c r="A6826" t="s">
        <v>16</v>
      </c>
      <c r="B6826" t="s">
        <v>751</v>
      </c>
    </row>
    <row r="6827" spans="1:8" x14ac:dyDescent="0.25">
      <c r="A6827" t="s">
        <v>17</v>
      </c>
      <c r="B6827" t="s">
        <v>751</v>
      </c>
    </row>
    <row r="6828" spans="1:8" x14ac:dyDescent="0.25">
      <c r="A6828" t="s">
        <v>18</v>
      </c>
      <c r="B6828" t="s">
        <v>751</v>
      </c>
    </row>
    <row r="6829" spans="1:8" x14ac:dyDescent="0.25">
      <c r="A6829" t="str">
        <f xml:space="preserve"> $H$6821</f>
        <v>&lt;flags count_in_cargo="0" count_in_hoarder="0" count_in_map="1" count_in_player="0" crafted="0" deloot="0"/&gt;</v>
      </c>
      <c r="B6829" t="s">
        <v>751</v>
      </c>
    </row>
    <row r="6830" spans="1:8" x14ac:dyDescent="0.25">
      <c r="A6830" t="str">
        <f>"&lt;category name=" &amp;"""" &amp;$C$6821&amp;"""/&gt;"</f>
        <v>&lt;category name="tools"/&gt;</v>
      </c>
      <c r="B6830" t="s">
        <v>751</v>
      </c>
    </row>
    <row r="6831" spans="1:8" x14ac:dyDescent="0.25">
      <c r="A6831" t="s">
        <v>20</v>
      </c>
      <c r="B6831" t="s">
        <v>751</v>
      </c>
    </row>
    <row r="6832" spans="1:8" x14ac:dyDescent="0.25">
      <c r="A6832" t="s">
        <v>1616</v>
      </c>
      <c r="B6832" t="s">
        <v>751</v>
      </c>
    </row>
    <row r="6833" spans="1:8" x14ac:dyDescent="0.25">
      <c r="A6833" t="s">
        <v>22</v>
      </c>
      <c r="B6833" t="s">
        <v>751</v>
      </c>
    </row>
    <row r="6834" spans="1:8" x14ac:dyDescent="0.25">
      <c r="A6834" t="s">
        <v>1928</v>
      </c>
      <c r="B6834" t="s">
        <v>3651</v>
      </c>
      <c r="C6834" t="s">
        <v>403</v>
      </c>
      <c r="D6834">
        <v>0</v>
      </c>
      <c r="E6834">
        <v>5600</v>
      </c>
      <c r="F6834">
        <v>0</v>
      </c>
      <c r="G6834">
        <v>7</v>
      </c>
      <c r="H6834" t="s">
        <v>19</v>
      </c>
    </row>
    <row r="6835" spans="1:8" x14ac:dyDescent="0.25">
      <c r="A6835" t="str">
        <f>"&lt;nominal&gt;" &amp;$D$6834&amp;"&lt;/nominal&gt;"</f>
        <v>&lt;nominal&gt;0&lt;/nominal&gt;</v>
      </c>
      <c r="B6835" t="s">
        <v>3651</v>
      </c>
    </row>
    <row r="6836" spans="1:8" x14ac:dyDescent="0.25">
      <c r="A6836" t="str">
        <f>"&lt;lifetime&gt;" &amp;$E$6834&amp;"&lt;/lifetime&gt;"</f>
        <v>&lt;lifetime&gt;5600&lt;/lifetime&gt;</v>
      </c>
      <c r="B6836" t="s">
        <v>3651</v>
      </c>
    </row>
    <row r="6837" spans="1:8" x14ac:dyDescent="0.25">
      <c r="A6837" t="str">
        <f>"&lt;restock&gt;" &amp;$F$6834&amp;"&lt;/restock&gt;"</f>
        <v>&lt;restock&gt;0&lt;/restock&gt;</v>
      </c>
      <c r="B6837" t="s">
        <v>3651</v>
      </c>
    </row>
    <row r="6838" spans="1:8" x14ac:dyDescent="0.25">
      <c r="A6838" t="str">
        <f>"&lt;min&gt;" &amp;$G$6834&amp;"&lt;/min&gt;"</f>
        <v>&lt;min&gt;7&lt;/min&gt;</v>
      </c>
      <c r="B6838" t="s">
        <v>3651</v>
      </c>
    </row>
    <row r="6839" spans="1:8" x14ac:dyDescent="0.25">
      <c r="A6839" t="s">
        <v>16</v>
      </c>
      <c r="B6839" t="s">
        <v>3651</v>
      </c>
    </row>
    <row r="6840" spans="1:8" x14ac:dyDescent="0.25">
      <c r="A6840" t="s">
        <v>17</v>
      </c>
      <c r="B6840" t="s">
        <v>3651</v>
      </c>
    </row>
    <row r="6841" spans="1:8" x14ac:dyDescent="0.25">
      <c r="A6841" t="s">
        <v>18</v>
      </c>
      <c r="B6841" t="s">
        <v>3651</v>
      </c>
    </row>
    <row r="6842" spans="1:8" x14ac:dyDescent="0.25">
      <c r="A6842" t="str">
        <f xml:space="preserve"> $H$6834</f>
        <v>&lt;flags count_in_cargo="0" count_in_hoarder="0" count_in_map="1" count_in_player="0" crafted="0" deloot="0"/&gt;</v>
      </c>
      <c r="B6842" t="s">
        <v>3651</v>
      </c>
    </row>
    <row r="6843" spans="1:8" x14ac:dyDescent="0.25">
      <c r="A6843" t="str">
        <f>"&lt;category name=" &amp;"""" &amp;$C$6834&amp;"""/&gt;"</f>
        <v>&lt;category name="clothes"/&gt;</v>
      </c>
      <c r="B6843" t="s">
        <v>3651</v>
      </c>
    </row>
    <row r="6844" spans="1:8" x14ac:dyDescent="0.25">
      <c r="A6844" t="s">
        <v>39</v>
      </c>
      <c r="B6844" t="s">
        <v>3651</v>
      </c>
    </row>
    <row r="6845" spans="1:8" x14ac:dyDescent="0.25">
      <c r="A6845" t="s">
        <v>40</v>
      </c>
      <c r="B6845" t="s">
        <v>3651</v>
      </c>
    </row>
    <row r="6846" spans="1:8" x14ac:dyDescent="0.25">
      <c r="A6846" t="s">
        <v>22</v>
      </c>
      <c r="B6846" t="s">
        <v>3651</v>
      </c>
    </row>
    <row r="6847" spans="1:8" x14ac:dyDescent="0.25">
      <c r="A6847" t="s">
        <v>1929</v>
      </c>
      <c r="B6847" t="s">
        <v>752</v>
      </c>
      <c r="C6847" t="s">
        <v>399</v>
      </c>
      <c r="D6847">
        <v>0</v>
      </c>
      <c r="E6847">
        <v>7200</v>
      </c>
      <c r="F6847">
        <v>0</v>
      </c>
      <c r="G6847">
        <v>0</v>
      </c>
      <c r="H6847" t="s">
        <v>62</v>
      </c>
    </row>
    <row r="6848" spans="1:8" x14ac:dyDescent="0.25">
      <c r="A6848" t="str">
        <f>"&lt;nominal&gt;" &amp;$D$6847&amp;"&lt;/nominal&gt;"</f>
        <v>&lt;nominal&gt;0&lt;/nominal&gt;</v>
      </c>
      <c r="B6848" t="s">
        <v>752</v>
      </c>
    </row>
    <row r="6849" spans="1:8" x14ac:dyDescent="0.25">
      <c r="A6849" t="str">
        <f>"&lt;lifetime&gt;" &amp;$E$6847&amp;"&lt;/lifetime&gt;"</f>
        <v>&lt;lifetime&gt;7200&lt;/lifetime&gt;</v>
      </c>
      <c r="B6849" t="s">
        <v>752</v>
      </c>
    </row>
    <row r="6850" spans="1:8" x14ac:dyDescent="0.25">
      <c r="A6850" t="str">
        <f>"&lt;restock&gt;" &amp;$F$6847&amp;"&lt;/restock&gt;"</f>
        <v>&lt;restock&gt;0&lt;/restock&gt;</v>
      </c>
      <c r="B6850" t="s">
        <v>752</v>
      </c>
    </row>
    <row r="6851" spans="1:8" x14ac:dyDescent="0.25">
      <c r="A6851" t="str">
        <f>"&lt;min&gt;" &amp;$G$6847&amp;"&lt;/min&gt;"</f>
        <v>&lt;min&gt;0&lt;/min&gt;</v>
      </c>
      <c r="B6851" t="s">
        <v>752</v>
      </c>
    </row>
    <row r="6852" spans="1:8" x14ac:dyDescent="0.25">
      <c r="A6852" t="s">
        <v>16</v>
      </c>
      <c r="B6852" t="s">
        <v>752</v>
      </c>
    </row>
    <row r="6853" spans="1:8" x14ac:dyDescent="0.25">
      <c r="A6853" t="s">
        <v>17</v>
      </c>
      <c r="B6853" t="s">
        <v>752</v>
      </c>
    </row>
    <row r="6854" spans="1:8" x14ac:dyDescent="0.25">
      <c r="A6854" t="s">
        <v>18</v>
      </c>
      <c r="B6854" t="s">
        <v>752</v>
      </c>
    </row>
    <row r="6855" spans="1:8" x14ac:dyDescent="0.25">
      <c r="A6855" t="str">
        <f xml:space="preserve"> $H$6847</f>
        <v>&lt;flags count_in_cargo="0" count_in_hoarder="0" count_in_map="1" count_in_player="0" crafted="1" deloot="0"/&gt;</v>
      </c>
      <c r="B6855" t="s">
        <v>752</v>
      </c>
    </row>
    <row r="6856" spans="1:8" x14ac:dyDescent="0.25">
      <c r="A6856" t="str">
        <f>"&lt;category name=" &amp;"""" &amp;$C$6847&amp;"""/&gt;"</f>
        <v>&lt;category name="food"/&gt;</v>
      </c>
      <c r="B6856" t="s">
        <v>752</v>
      </c>
    </row>
    <row r="6857" spans="1:8" x14ac:dyDescent="0.25">
      <c r="A6857" t="s">
        <v>22</v>
      </c>
      <c r="B6857" t="s">
        <v>752</v>
      </c>
    </row>
    <row r="6858" spans="1:8" x14ac:dyDescent="0.25">
      <c r="A6858" t="s">
        <v>1930</v>
      </c>
      <c r="B6858" t="s">
        <v>753</v>
      </c>
      <c r="C6858" t="s">
        <v>403</v>
      </c>
      <c r="D6858">
        <v>10</v>
      </c>
      <c r="E6858">
        <v>5600</v>
      </c>
      <c r="F6858">
        <v>0</v>
      </c>
      <c r="G6858">
        <v>6</v>
      </c>
      <c r="H6858" t="s">
        <v>19</v>
      </c>
    </row>
    <row r="6859" spans="1:8" x14ac:dyDescent="0.25">
      <c r="A6859" t="str">
        <f>"&lt;nominal&gt;" &amp;$D$6858&amp;"&lt;/nominal&gt;"</f>
        <v>&lt;nominal&gt;10&lt;/nominal&gt;</v>
      </c>
      <c r="B6859" t="s">
        <v>753</v>
      </c>
    </row>
    <row r="6860" spans="1:8" x14ac:dyDescent="0.25">
      <c r="A6860" t="str">
        <f>"&lt;lifetime&gt;" &amp;$E$6858&amp;"&lt;/lifetime&gt;"</f>
        <v>&lt;lifetime&gt;5600&lt;/lifetime&gt;</v>
      </c>
      <c r="B6860" t="s">
        <v>753</v>
      </c>
    </row>
    <row r="6861" spans="1:8" x14ac:dyDescent="0.25">
      <c r="A6861" t="str">
        <f>"&lt;restock&gt;" &amp;$F$6858&amp;"&lt;/restock&gt;"</f>
        <v>&lt;restock&gt;0&lt;/restock&gt;</v>
      </c>
      <c r="B6861" t="s">
        <v>753</v>
      </c>
    </row>
    <row r="6862" spans="1:8" x14ac:dyDescent="0.25">
      <c r="A6862" t="str">
        <f>"&lt;min&gt;" &amp;$G$6858&amp;"&lt;/min&gt;"</f>
        <v>&lt;min&gt;6&lt;/min&gt;</v>
      </c>
      <c r="B6862" t="s">
        <v>753</v>
      </c>
    </row>
    <row r="6863" spans="1:8" x14ac:dyDescent="0.25">
      <c r="A6863" t="s">
        <v>16</v>
      </c>
      <c r="B6863" t="s">
        <v>753</v>
      </c>
    </row>
    <row r="6864" spans="1:8" x14ac:dyDescent="0.25">
      <c r="A6864" t="s">
        <v>17</v>
      </c>
      <c r="B6864" t="s">
        <v>753</v>
      </c>
    </row>
    <row r="6865" spans="1:8" x14ac:dyDescent="0.25">
      <c r="A6865" t="s">
        <v>18</v>
      </c>
      <c r="B6865" t="s">
        <v>753</v>
      </c>
    </row>
    <row r="6866" spans="1:8" x14ac:dyDescent="0.25">
      <c r="A6866" t="str">
        <f xml:space="preserve"> $H$6858</f>
        <v>&lt;flags count_in_cargo="0" count_in_hoarder="0" count_in_map="1" count_in_player="0" crafted="0" deloot="0"/&gt;</v>
      </c>
      <c r="B6866" t="s">
        <v>753</v>
      </c>
    </row>
    <row r="6867" spans="1:8" x14ac:dyDescent="0.25">
      <c r="A6867" t="str">
        <f>"&lt;category name=" &amp;"""" &amp;$C$6858&amp;"""/&gt;"</f>
        <v>&lt;category name="clothes"/&gt;</v>
      </c>
      <c r="B6867" t="s">
        <v>753</v>
      </c>
    </row>
    <row r="6868" spans="1:8" x14ac:dyDescent="0.25">
      <c r="A6868" t="s">
        <v>67</v>
      </c>
      <c r="B6868" t="s">
        <v>753</v>
      </c>
    </row>
    <row r="6869" spans="1:8" x14ac:dyDescent="0.25">
      <c r="A6869" t="s">
        <v>31</v>
      </c>
      <c r="B6869" t="s">
        <v>753</v>
      </c>
    </row>
    <row r="6870" spans="1:8" x14ac:dyDescent="0.25">
      <c r="A6870" t="s">
        <v>307</v>
      </c>
      <c r="B6870" t="s">
        <v>753</v>
      </c>
    </row>
    <row r="6871" spans="1:8" x14ac:dyDescent="0.25">
      <c r="A6871" t="s">
        <v>22</v>
      </c>
      <c r="B6871" t="s">
        <v>753</v>
      </c>
    </row>
    <row r="6872" spans="1:8" x14ac:dyDescent="0.25">
      <c r="A6872" t="s">
        <v>1931</v>
      </c>
      <c r="B6872" t="s">
        <v>754</v>
      </c>
      <c r="C6872" t="s">
        <v>403</v>
      </c>
      <c r="D6872">
        <v>20</v>
      </c>
      <c r="E6872">
        <v>5600</v>
      </c>
      <c r="F6872">
        <v>0</v>
      </c>
      <c r="G6872">
        <v>10</v>
      </c>
      <c r="H6872" t="s">
        <v>19</v>
      </c>
    </row>
    <row r="6873" spans="1:8" x14ac:dyDescent="0.25">
      <c r="A6873" t="str">
        <f>"&lt;nominal&gt;" &amp;$D$6872&amp;"&lt;/nominal&gt;"</f>
        <v>&lt;nominal&gt;20&lt;/nominal&gt;</v>
      </c>
      <c r="B6873" t="s">
        <v>754</v>
      </c>
    </row>
    <row r="6874" spans="1:8" x14ac:dyDescent="0.25">
      <c r="A6874" t="str">
        <f>"&lt;lifetime&gt;" &amp;$E$6872&amp;"&lt;/lifetime&gt;"</f>
        <v>&lt;lifetime&gt;5600&lt;/lifetime&gt;</v>
      </c>
      <c r="B6874" t="s">
        <v>754</v>
      </c>
    </row>
    <row r="6875" spans="1:8" x14ac:dyDescent="0.25">
      <c r="A6875" t="str">
        <f>"&lt;restock&gt;" &amp;$F$6872&amp;"&lt;/restock&gt;"</f>
        <v>&lt;restock&gt;0&lt;/restock&gt;</v>
      </c>
      <c r="B6875" t="s">
        <v>754</v>
      </c>
    </row>
    <row r="6876" spans="1:8" x14ac:dyDescent="0.25">
      <c r="A6876" t="str">
        <f>"&lt;min&gt;" &amp;$G$6872&amp;"&lt;/min&gt;"</f>
        <v>&lt;min&gt;10&lt;/min&gt;</v>
      </c>
      <c r="B6876" t="s">
        <v>754</v>
      </c>
    </row>
    <row r="6877" spans="1:8" x14ac:dyDescent="0.25">
      <c r="A6877" t="s">
        <v>16</v>
      </c>
      <c r="B6877" t="s">
        <v>754</v>
      </c>
    </row>
    <row r="6878" spans="1:8" x14ac:dyDescent="0.25">
      <c r="A6878" t="s">
        <v>17</v>
      </c>
      <c r="B6878" t="s">
        <v>754</v>
      </c>
    </row>
    <row r="6879" spans="1:8" x14ac:dyDescent="0.25">
      <c r="A6879" t="s">
        <v>18</v>
      </c>
      <c r="B6879" t="s">
        <v>754</v>
      </c>
    </row>
    <row r="6880" spans="1:8" x14ac:dyDescent="0.25">
      <c r="A6880" t="str">
        <f xml:space="preserve"> $H$6872</f>
        <v>&lt;flags count_in_cargo="0" count_in_hoarder="0" count_in_map="1" count_in_player="0" crafted="0" deloot="0"/&gt;</v>
      </c>
      <c r="B6880" t="s">
        <v>754</v>
      </c>
    </row>
    <row r="6881" spans="1:8" x14ac:dyDescent="0.25">
      <c r="A6881" t="str">
        <f>"&lt;category name=" &amp;"""" &amp;$C$6872&amp;"""/&gt;"</f>
        <v>&lt;category name="clothes"/&gt;</v>
      </c>
      <c r="B6881" t="s">
        <v>754</v>
      </c>
    </row>
    <row r="6882" spans="1:8" x14ac:dyDescent="0.25">
      <c r="A6882" t="s">
        <v>67</v>
      </c>
      <c r="B6882" t="s">
        <v>754</v>
      </c>
    </row>
    <row r="6883" spans="1:8" x14ac:dyDescent="0.25">
      <c r="A6883" t="s">
        <v>31</v>
      </c>
      <c r="B6883" t="s">
        <v>754</v>
      </c>
    </row>
    <row r="6884" spans="1:8" x14ac:dyDescent="0.25">
      <c r="A6884" t="s">
        <v>307</v>
      </c>
      <c r="B6884" t="s">
        <v>754</v>
      </c>
    </row>
    <row r="6885" spans="1:8" x14ac:dyDescent="0.25">
      <c r="A6885" t="s">
        <v>22</v>
      </c>
      <c r="B6885" t="s">
        <v>754</v>
      </c>
    </row>
    <row r="6886" spans="1:8" x14ac:dyDescent="0.25">
      <c r="A6886" t="s">
        <v>1932</v>
      </c>
      <c r="B6886" t="s">
        <v>755</v>
      </c>
      <c r="C6886" t="s">
        <v>403</v>
      </c>
      <c r="D6886">
        <v>20</v>
      </c>
      <c r="E6886">
        <v>5600</v>
      </c>
      <c r="F6886">
        <v>0</v>
      </c>
      <c r="G6886">
        <v>10</v>
      </c>
      <c r="H6886" t="s">
        <v>19</v>
      </c>
    </row>
    <row r="6887" spans="1:8" x14ac:dyDescent="0.25">
      <c r="A6887" t="str">
        <f>"&lt;nominal&gt;" &amp;$D$6886&amp;"&lt;/nominal&gt;"</f>
        <v>&lt;nominal&gt;20&lt;/nominal&gt;</v>
      </c>
      <c r="B6887" t="s">
        <v>755</v>
      </c>
    </row>
    <row r="6888" spans="1:8" x14ac:dyDescent="0.25">
      <c r="A6888" t="str">
        <f>"&lt;lifetime&gt;" &amp;$E$6886&amp;"&lt;/lifetime&gt;"</f>
        <v>&lt;lifetime&gt;5600&lt;/lifetime&gt;</v>
      </c>
      <c r="B6888" t="s">
        <v>755</v>
      </c>
    </row>
    <row r="6889" spans="1:8" x14ac:dyDescent="0.25">
      <c r="A6889" t="str">
        <f>"&lt;restock&gt;" &amp;$F$6886&amp;"&lt;/restock&gt;"</f>
        <v>&lt;restock&gt;0&lt;/restock&gt;</v>
      </c>
      <c r="B6889" t="s">
        <v>755</v>
      </c>
    </row>
    <row r="6890" spans="1:8" x14ac:dyDescent="0.25">
      <c r="A6890" t="str">
        <f>"&lt;min&gt;" &amp;$G$6886&amp;"&lt;/min&gt;"</f>
        <v>&lt;min&gt;10&lt;/min&gt;</v>
      </c>
      <c r="B6890" t="s">
        <v>755</v>
      </c>
    </row>
    <row r="6891" spans="1:8" x14ac:dyDescent="0.25">
      <c r="A6891" t="s">
        <v>16</v>
      </c>
      <c r="B6891" t="s">
        <v>755</v>
      </c>
    </row>
    <row r="6892" spans="1:8" x14ac:dyDescent="0.25">
      <c r="A6892" t="s">
        <v>17</v>
      </c>
      <c r="B6892" t="s">
        <v>755</v>
      </c>
    </row>
    <row r="6893" spans="1:8" x14ac:dyDescent="0.25">
      <c r="A6893" t="s">
        <v>18</v>
      </c>
      <c r="B6893" t="s">
        <v>755</v>
      </c>
    </row>
    <row r="6894" spans="1:8" x14ac:dyDescent="0.25">
      <c r="A6894" t="str">
        <f xml:space="preserve"> $H$6886</f>
        <v>&lt;flags count_in_cargo="0" count_in_hoarder="0" count_in_map="1" count_in_player="0" crafted="0" deloot="0"/&gt;</v>
      </c>
      <c r="B6894" t="s">
        <v>755</v>
      </c>
    </row>
    <row r="6895" spans="1:8" x14ac:dyDescent="0.25">
      <c r="A6895" t="str">
        <f>"&lt;category name=" &amp;"""" &amp;$C$6886&amp;"""/&gt;"</f>
        <v>&lt;category name="clothes"/&gt;</v>
      </c>
      <c r="B6895" t="s">
        <v>755</v>
      </c>
    </row>
    <row r="6896" spans="1:8" x14ac:dyDescent="0.25">
      <c r="A6896" t="s">
        <v>67</v>
      </c>
      <c r="B6896" t="s">
        <v>755</v>
      </c>
    </row>
    <row r="6897" spans="1:8" x14ac:dyDescent="0.25">
      <c r="A6897" t="s">
        <v>31</v>
      </c>
      <c r="B6897" t="s">
        <v>755</v>
      </c>
    </row>
    <row r="6898" spans="1:8" x14ac:dyDescent="0.25">
      <c r="A6898" t="s">
        <v>307</v>
      </c>
      <c r="B6898" t="s">
        <v>755</v>
      </c>
    </row>
    <row r="6899" spans="1:8" x14ac:dyDescent="0.25">
      <c r="A6899" t="s">
        <v>22</v>
      </c>
      <c r="B6899" t="s">
        <v>755</v>
      </c>
    </row>
    <row r="6900" spans="1:8" x14ac:dyDescent="0.25">
      <c r="A6900" t="s">
        <v>1933</v>
      </c>
      <c r="B6900" t="s">
        <v>756</v>
      </c>
      <c r="C6900" t="s">
        <v>403</v>
      </c>
      <c r="D6900">
        <v>25</v>
      </c>
      <c r="E6900">
        <v>5600</v>
      </c>
      <c r="F6900">
        <v>0</v>
      </c>
      <c r="G6900">
        <v>10</v>
      </c>
      <c r="H6900" t="s">
        <v>19</v>
      </c>
    </row>
    <row r="6901" spans="1:8" x14ac:dyDescent="0.25">
      <c r="A6901" t="str">
        <f>"&lt;nominal&gt;" &amp;$D$6900&amp;"&lt;/nominal&gt;"</f>
        <v>&lt;nominal&gt;25&lt;/nominal&gt;</v>
      </c>
      <c r="B6901" t="s">
        <v>756</v>
      </c>
    </row>
    <row r="6902" spans="1:8" x14ac:dyDescent="0.25">
      <c r="A6902" t="str">
        <f>"&lt;lifetime&gt;" &amp;$E$6900&amp;"&lt;/lifetime&gt;"</f>
        <v>&lt;lifetime&gt;5600&lt;/lifetime&gt;</v>
      </c>
      <c r="B6902" t="s">
        <v>756</v>
      </c>
    </row>
    <row r="6903" spans="1:8" x14ac:dyDescent="0.25">
      <c r="A6903" t="str">
        <f>"&lt;restock&gt;" &amp;$F$6900&amp;"&lt;/restock&gt;"</f>
        <v>&lt;restock&gt;0&lt;/restock&gt;</v>
      </c>
      <c r="B6903" t="s">
        <v>756</v>
      </c>
    </row>
    <row r="6904" spans="1:8" x14ac:dyDescent="0.25">
      <c r="A6904" t="str">
        <f>"&lt;min&gt;" &amp;$G$6900&amp;"&lt;/min&gt;"</f>
        <v>&lt;min&gt;10&lt;/min&gt;</v>
      </c>
      <c r="B6904" t="s">
        <v>756</v>
      </c>
    </row>
    <row r="6905" spans="1:8" x14ac:dyDescent="0.25">
      <c r="A6905" t="s">
        <v>16</v>
      </c>
      <c r="B6905" t="s">
        <v>756</v>
      </c>
    </row>
    <row r="6906" spans="1:8" x14ac:dyDescent="0.25">
      <c r="A6906" t="s">
        <v>17</v>
      </c>
      <c r="B6906" t="s">
        <v>756</v>
      </c>
    </row>
    <row r="6907" spans="1:8" x14ac:dyDescent="0.25">
      <c r="A6907" t="s">
        <v>18</v>
      </c>
      <c r="B6907" t="s">
        <v>756</v>
      </c>
    </row>
    <row r="6908" spans="1:8" x14ac:dyDescent="0.25">
      <c r="A6908" t="str">
        <f xml:space="preserve"> $H$6900</f>
        <v>&lt;flags count_in_cargo="0" count_in_hoarder="0" count_in_map="1" count_in_player="0" crafted="0" deloot="0"/&gt;</v>
      </c>
      <c r="B6908" t="s">
        <v>756</v>
      </c>
    </row>
    <row r="6909" spans="1:8" x14ac:dyDescent="0.25">
      <c r="A6909" t="str">
        <f>"&lt;category name=" &amp;"""" &amp;$C$6900&amp;"""/&gt;"</f>
        <v>&lt;category name="clothes"/&gt;</v>
      </c>
      <c r="B6909" t="s">
        <v>756</v>
      </c>
    </row>
    <row r="6910" spans="1:8" x14ac:dyDescent="0.25">
      <c r="A6910" t="s">
        <v>67</v>
      </c>
      <c r="B6910" t="s">
        <v>756</v>
      </c>
    </row>
    <row r="6911" spans="1:8" x14ac:dyDescent="0.25">
      <c r="A6911" t="s">
        <v>30</v>
      </c>
      <c r="B6911" t="s">
        <v>756</v>
      </c>
    </row>
    <row r="6912" spans="1:8" x14ac:dyDescent="0.25">
      <c r="A6912" t="s">
        <v>31</v>
      </c>
      <c r="B6912" t="s">
        <v>756</v>
      </c>
    </row>
    <row r="6913" spans="1:8" x14ac:dyDescent="0.25">
      <c r="A6913" t="s">
        <v>307</v>
      </c>
      <c r="B6913" t="s">
        <v>756</v>
      </c>
    </row>
    <row r="6914" spans="1:8" x14ac:dyDescent="0.25">
      <c r="A6914" t="s">
        <v>22</v>
      </c>
      <c r="B6914" t="s">
        <v>756</v>
      </c>
    </row>
    <row r="6915" spans="1:8" x14ac:dyDescent="0.25">
      <c r="A6915" t="s">
        <v>1934</v>
      </c>
      <c r="B6915" t="s">
        <v>757</v>
      </c>
      <c r="C6915" t="s">
        <v>403</v>
      </c>
      <c r="D6915">
        <v>15</v>
      </c>
      <c r="E6915">
        <v>5600</v>
      </c>
      <c r="F6915">
        <v>0</v>
      </c>
      <c r="G6915">
        <v>10</v>
      </c>
      <c r="H6915" t="s">
        <v>19</v>
      </c>
    </row>
    <row r="6916" spans="1:8" x14ac:dyDescent="0.25">
      <c r="A6916" t="str">
        <f>"&lt;nominal&gt;" &amp;$D$6915&amp;"&lt;/nominal&gt;"</f>
        <v>&lt;nominal&gt;15&lt;/nominal&gt;</v>
      </c>
      <c r="B6916" t="s">
        <v>757</v>
      </c>
    </row>
    <row r="6917" spans="1:8" x14ac:dyDescent="0.25">
      <c r="A6917" t="str">
        <f>"&lt;lifetime&gt;" &amp;$E$6915&amp;"&lt;/lifetime&gt;"</f>
        <v>&lt;lifetime&gt;5600&lt;/lifetime&gt;</v>
      </c>
      <c r="B6917" t="s">
        <v>757</v>
      </c>
    </row>
    <row r="6918" spans="1:8" x14ac:dyDescent="0.25">
      <c r="A6918" t="str">
        <f>"&lt;restock&gt;" &amp;$F$6915&amp;"&lt;/restock&gt;"</f>
        <v>&lt;restock&gt;0&lt;/restock&gt;</v>
      </c>
      <c r="B6918" t="s">
        <v>757</v>
      </c>
    </row>
    <row r="6919" spans="1:8" x14ac:dyDescent="0.25">
      <c r="A6919" t="str">
        <f>"&lt;min&gt;" &amp;$G$6915&amp;"&lt;/min&gt;"</f>
        <v>&lt;min&gt;10&lt;/min&gt;</v>
      </c>
      <c r="B6919" t="s">
        <v>757</v>
      </c>
    </row>
    <row r="6920" spans="1:8" x14ac:dyDescent="0.25">
      <c r="A6920" t="s">
        <v>16</v>
      </c>
      <c r="B6920" t="s">
        <v>757</v>
      </c>
    </row>
    <row r="6921" spans="1:8" x14ac:dyDescent="0.25">
      <c r="A6921" t="s">
        <v>17</v>
      </c>
      <c r="B6921" t="s">
        <v>757</v>
      </c>
    </row>
    <row r="6922" spans="1:8" x14ac:dyDescent="0.25">
      <c r="A6922" t="s">
        <v>18</v>
      </c>
      <c r="B6922" t="s">
        <v>757</v>
      </c>
    </row>
    <row r="6923" spans="1:8" x14ac:dyDescent="0.25">
      <c r="A6923" t="str">
        <f xml:space="preserve"> $H$6915</f>
        <v>&lt;flags count_in_cargo="0" count_in_hoarder="0" count_in_map="1" count_in_player="0" crafted="0" deloot="0"/&gt;</v>
      </c>
      <c r="B6923" t="s">
        <v>757</v>
      </c>
    </row>
    <row r="6924" spans="1:8" x14ac:dyDescent="0.25">
      <c r="A6924" t="str">
        <f>"&lt;category name=" &amp;"""" &amp;$C$6915&amp;"""/&gt;"</f>
        <v>&lt;category name="clothes"/&gt;</v>
      </c>
      <c r="B6924" t="s">
        <v>757</v>
      </c>
    </row>
    <row r="6925" spans="1:8" x14ac:dyDescent="0.25">
      <c r="A6925" t="s">
        <v>67</v>
      </c>
      <c r="B6925" t="s">
        <v>757</v>
      </c>
    </row>
    <row r="6926" spans="1:8" x14ac:dyDescent="0.25">
      <c r="A6926" t="s">
        <v>30</v>
      </c>
      <c r="B6926" t="s">
        <v>757</v>
      </c>
    </row>
    <row r="6927" spans="1:8" x14ac:dyDescent="0.25">
      <c r="A6927" t="s">
        <v>31</v>
      </c>
      <c r="B6927" t="s">
        <v>757</v>
      </c>
    </row>
    <row r="6928" spans="1:8" x14ac:dyDescent="0.25">
      <c r="A6928" t="s">
        <v>307</v>
      </c>
      <c r="B6928" t="s">
        <v>757</v>
      </c>
    </row>
    <row r="6929" spans="1:8" x14ac:dyDescent="0.25">
      <c r="A6929" t="s">
        <v>22</v>
      </c>
      <c r="B6929" t="s">
        <v>757</v>
      </c>
    </row>
    <row r="6930" spans="1:8" x14ac:dyDescent="0.25">
      <c r="A6930" t="s">
        <v>1935</v>
      </c>
      <c r="B6930" t="s">
        <v>758</v>
      </c>
      <c r="C6930" t="s">
        <v>363</v>
      </c>
      <c r="D6930">
        <v>15</v>
      </c>
      <c r="E6930">
        <v>21600</v>
      </c>
      <c r="F6930">
        <v>0</v>
      </c>
      <c r="G6930">
        <v>5</v>
      </c>
      <c r="H6930" t="s">
        <v>19</v>
      </c>
    </row>
    <row r="6931" spans="1:8" x14ac:dyDescent="0.25">
      <c r="A6931" t="str">
        <f>"&lt;nominal&gt;" &amp;$D$6930&amp;"&lt;/nominal&gt;"</f>
        <v>&lt;nominal&gt;15&lt;/nominal&gt;</v>
      </c>
      <c r="B6931" t="s">
        <v>758</v>
      </c>
    </row>
    <row r="6932" spans="1:8" x14ac:dyDescent="0.25">
      <c r="A6932" t="str">
        <f>"&lt;lifetime&gt;" &amp;$E$6930&amp;"&lt;/lifetime&gt;"</f>
        <v>&lt;lifetime&gt;21600&lt;/lifetime&gt;</v>
      </c>
      <c r="B6932" t="s">
        <v>758</v>
      </c>
    </row>
    <row r="6933" spans="1:8" x14ac:dyDescent="0.25">
      <c r="A6933" t="str">
        <f>"&lt;restock&gt;" &amp;$F$6930&amp;"&lt;/restock&gt;"</f>
        <v>&lt;restock&gt;0&lt;/restock&gt;</v>
      </c>
      <c r="B6933" t="s">
        <v>758</v>
      </c>
    </row>
    <row r="6934" spans="1:8" x14ac:dyDescent="0.25">
      <c r="A6934" t="str">
        <f>"&lt;min&gt;" &amp;$G$6930&amp;"&lt;/min&gt;"</f>
        <v>&lt;min&gt;5&lt;/min&gt;</v>
      </c>
      <c r="B6934" t="s">
        <v>758</v>
      </c>
    </row>
    <row r="6935" spans="1:8" x14ac:dyDescent="0.25">
      <c r="A6935" t="s">
        <v>16</v>
      </c>
      <c r="B6935" t="s">
        <v>758</v>
      </c>
    </row>
    <row r="6936" spans="1:8" x14ac:dyDescent="0.25">
      <c r="A6936" t="s">
        <v>17</v>
      </c>
      <c r="B6936" t="s">
        <v>758</v>
      </c>
    </row>
    <row r="6937" spans="1:8" x14ac:dyDescent="0.25">
      <c r="A6937" t="s">
        <v>18</v>
      </c>
      <c r="B6937" t="s">
        <v>758</v>
      </c>
    </row>
    <row r="6938" spans="1:8" x14ac:dyDescent="0.25">
      <c r="A6938" t="str">
        <f xml:space="preserve"> $H$6930</f>
        <v>&lt;flags count_in_cargo="0" count_in_hoarder="0" count_in_map="1" count_in_player="0" crafted="0" deloot="0"/&gt;</v>
      </c>
      <c r="B6938" t="s">
        <v>758</v>
      </c>
    </row>
    <row r="6939" spans="1:8" x14ac:dyDescent="0.25">
      <c r="A6939" t="str">
        <f>"&lt;category name=" &amp;"""" &amp;$C$6930&amp;"""/&gt;"</f>
        <v>&lt;category name="containers"/&gt;</v>
      </c>
      <c r="B6939" t="s">
        <v>758</v>
      </c>
    </row>
    <row r="6940" spans="1:8" x14ac:dyDescent="0.25">
      <c r="A6940" t="s">
        <v>67</v>
      </c>
      <c r="B6940" t="s">
        <v>758</v>
      </c>
    </row>
    <row r="6941" spans="1:8" x14ac:dyDescent="0.25">
      <c r="A6941" t="s">
        <v>22</v>
      </c>
      <c r="B6941" t="s">
        <v>758</v>
      </c>
    </row>
    <row r="6942" spans="1:8" x14ac:dyDescent="0.25">
      <c r="A6942" t="s">
        <v>1936</v>
      </c>
      <c r="B6942" t="s">
        <v>759</v>
      </c>
      <c r="C6942" t="s">
        <v>403</v>
      </c>
      <c r="D6942">
        <v>25</v>
      </c>
      <c r="E6942">
        <v>5600</v>
      </c>
      <c r="F6942">
        <v>0</v>
      </c>
      <c r="G6942">
        <v>10</v>
      </c>
      <c r="H6942" t="s">
        <v>19</v>
      </c>
    </row>
    <row r="6943" spans="1:8" x14ac:dyDescent="0.25">
      <c r="A6943" t="str">
        <f>"&lt;nominal&gt;" &amp;$D$6942&amp;"&lt;/nominal&gt;"</f>
        <v>&lt;nominal&gt;25&lt;/nominal&gt;</v>
      </c>
      <c r="B6943" t="s">
        <v>759</v>
      </c>
    </row>
    <row r="6944" spans="1:8" x14ac:dyDescent="0.25">
      <c r="A6944" t="str">
        <f>"&lt;lifetime&gt;" &amp;$E$6942&amp;"&lt;/lifetime&gt;"</f>
        <v>&lt;lifetime&gt;5600&lt;/lifetime&gt;</v>
      </c>
      <c r="B6944" t="s">
        <v>759</v>
      </c>
    </row>
    <row r="6945" spans="1:8" x14ac:dyDescent="0.25">
      <c r="A6945" t="str">
        <f>"&lt;restock&gt;" &amp;$F$6942&amp;"&lt;/restock&gt;"</f>
        <v>&lt;restock&gt;0&lt;/restock&gt;</v>
      </c>
      <c r="B6945" t="s">
        <v>759</v>
      </c>
    </row>
    <row r="6946" spans="1:8" x14ac:dyDescent="0.25">
      <c r="A6946" t="str">
        <f>"&lt;min&gt;" &amp;$G$6942&amp;"&lt;/min&gt;"</f>
        <v>&lt;min&gt;10&lt;/min&gt;</v>
      </c>
      <c r="B6946" t="s">
        <v>759</v>
      </c>
    </row>
    <row r="6947" spans="1:8" x14ac:dyDescent="0.25">
      <c r="A6947" t="s">
        <v>16</v>
      </c>
      <c r="B6947" t="s">
        <v>759</v>
      </c>
    </row>
    <row r="6948" spans="1:8" x14ac:dyDescent="0.25">
      <c r="A6948" t="s">
        <v>17</v>
      </c>
      <c r="B6948" t="s">
        <v>759</v>
      </c>
    </row>
    <row r="6949" spans="1:8" x14ac:dyDescent="0.25">
      <c r="A6949" t="s">
        <v>18</v>
      </c>
      <c r="B6949" t="s">
        <v>759</v>
      </c>
    </row>
    <row r="6950" spans="1:8" x14ac:dyDescent="0.25">
      <c r="A6950" t="str">
        <f xml:space="preserve"> $H$6942</f>
        <v>&lt;flags count_in_cargo="0" count_in_hoarder="0" count_in_map="1" count_in_player="0" crafted="0" deloot="0"/&gt;</v>
      </c>
      <c r="B6950" t="s">
        <v>759</v>
      </c>
    </row>
    <row r="6951" spans="1:8" x14ac:dyDescent="0.25">
      <c r="A6951" t="str">
        <f>"&lt;category name=" &amp;"""" &amp;$C$6942&amp;"""/&gt;"</f>
        <v>&lt;category name="clothes"/&gt;</v>
      </c>
      <c r="B6951" t="s">
        <v>759</v>
      </c>
    </row>
    <row r="6952" spans="1:8" x14ac:dyDescent="0.25">
      <c r="A6952" t="s">
        <v>67</v>
      </c>
      <c r="B6952" t="s">
        <v>759</v>
      </c>
    </row>
    <row r="6953" spans="1:8" x14ac:dyDescent="0.25">
      <c r="A6953" t="s">
        <v>31</v>
      </c>
      <c r="B6953" t="s">
        <v>759</v>
      </c>
    </row>
    <row r="6954" spans="1:8" x14ac:dyDescent="0.25">
      <c r="A6954" t="s">
        <v>307</v>
      </c>
      <c r="B6954" t="s">
        <v>759</v>
      </c>
    </row>
    <row r="6955" spans="1:8" x14ac:dyDescent="0.25">
      <c r="A6955" t="s">
        <v>22</v>
      </c>
      <c r="B6955" t="s">
        <v>759</v>
      </c>
    </row>
    <row r="6956" spans="1:8" x14ac:dyDescent="0.25">
      <c r="A6956" t="s">
        <v>1937</v>
      </c>
      <c r="B6956" t="s">
        <v>760</v>
      </c>
      <c r="C6956" t="s">
        <v>403</v>
      </c>
      <c r="D6956">
        <v>20</v>
      </c>
      <c r="E6956">
        <v>5600</v>
      </c>
      <c r="F6956">
        <v>0</v>
      </c>
      <c r="G6956">
        <v>10</v>
      </c>
      <c r="H6956" t="s">
        <v>19</v>
      </c>
    </row>
    <row r="6957" spans="1:8" x14ac:dyDescent="0.25">
      <c r="A6957" t="str">
        <f>"&lt;nominal&gt;" &amp;$D$6956&amp;"&lt;/nominal&gt;"</f>
        <v>&lt;nominal&gt;20&lt;/nominal&gt;</v>
      </c>
      <c r="B6957" t="s">
        <v>760</v>
      </c>
    </row>
    <row r="6958" spans="1:8" x14ac:dyDescent="0.25">
      <c r="A6958" t="str">
        <f>"&lt;lifetime&gt;" &amp;$E$6956&amp;"&lt;/lifetime&gt;"</f>
        <v>&lt;lifetime&gt;5600&lt;/lifetime&gt;</v>
      </c>
      <c r="B6958" t="s">
        <v>760</v>
      </c>
    </row>
    <row r="6959" spans="1:8" x14ac:dyDescent="0.25">
      <c r="A6959" t="str">
        <f>"&lt;restock&gt;" &amp;$F$6956&amp;"&lt;/restock&gt;"</f>
        <v>&lt;restock&gt;0&lt;/restock&gt;</v>
      </c>
      <c r="B6959" t="s">
        <v>760</v>
      </c>
    </row>
    <row r="6960" spans="1:8" x14ac:dyDescent="0.25">
      <c r="A6960" t="str">
        <f>"&lt;min&gt;" &amp;$G$6956&amp;"&lt;/min&gt;"</f>
        <v>&lt;min&gt;10&lt;/min&gt;</v>
      </c>
      <c r="B6960" t="s">
        <v>760</v>
      </c>
    </row>
    <row r="6961" spans="1:8" x14ac:dyDescent="0.25">
      <c r="A6961" t="s">
        <v>16</v>
      </c>
      <c r="B6961" t="s">
        <v>760</v>
      </c>
    </row>
    <row r="6962" spans="1:8" x14ac:dyDescent="0.25">
      <c r="A6962" t="s">
        <v>17</v>
      </c>
      <c r="B6962" t="s">
        <v>760</v>
      </c>
    </row>
    <row r="6963" spans="1:8" x14ac:dyDescent="0.25">
      <c r="A6963" t="s">
        <v>18</v>
      </c>
      <c r="B6963" t="s">
        <v>760</v>
      </c>
    </row>
    <row r="6964" spans="1:8" x14ac:dyDescent="0.25">
      <c r="A6964" t="str">
        <f xml:space="preserve"> $H$6956</f>
        <v>&lt;flags count_in_cargo="0" count_in_hoarder="0" count_in_map="1" count_in_player="0" crafted="0" deloot="0"/&gt;</v>
      </c>
      <c r="B6964" t="s">
        <v>760</v>
      </c>
    </row>
    <row r="6965" spans="1:8" x14ac:dyDescent="0.25">
      <c r="A6965" t="str">
        <f>"&lt;category name=" &amp;"""" &amp;$C$6956&amp;"""/&gt;"</f>
        <v>&lt;category name="clothes"/&gt;</v>
      </c>
      <c r="B6965" t="s">
        <v>760</v>
      </c>
    </row>
    <row r="6966" spans="1:8" x14ac:dyDescent="0.25">
      <c r="A6966" t="s">
        <v>67</v>
      </c>
      <c r="B6966" t="s">
        <v>760</v>
      </c>
    </row>
    <row r="6967" spans="1:8" x14ac:dyDescent="0.25">
      <c r="A6967" t="s">
        <v>31</v>
      </c>
      <c r="B6967" t="s">
        <v>760</v>
      </c>
    </row>
    <row r="6968" spans="1:8" x14ac:dyDescent="0.25">
      <c r="A6968" t="s">
        <v>307</v>
      </c>
      <c r="B6968" t="s">
        <v>760</v>
      </c>
    </row>
    <row r="6969" spans="1:8" x14ac:dyDescent="0.25">
      <c r="A6969" t="s">
        <v>22</v>
      </c>
      <c r="B6969" t="s">
        <v>760</v>
      </c>
    </row>
    <row r="6970" spans="1:8" x14ac:dyDescent="0.25">
      <c r="A6970" t="s">
        <v>1938</v>
      </c>
      <c r="B6970" t="s">
        <v>761</v>
      </c>
      <c r="C6970" t="s">
        <v>403</v>
      </c>
      <c r="D6970">
        <v>20</v>
      </c>
      <c r="E6970">
        <v>5600</v>
      </c>
      <c r="F6970">
        <v>0</v>
      </c>
      <c r="G6970">
        <v>10</v>
      </c>
      <c r="H6970" t="s">
        <v>19</v>
      </c>
    </row>
    <row r="6971" spans="1:8" x14ac:dyDescent="0.25">
      <c r="A6971" t="str">
        <f>"&lt;nominal&gt;" &amp;$D$6970&amp;"&lt;/nominal&gt;"</f>
        <v>&lt;nominal&gt;20&lt;/nominal&gt;</v>
      </c>
      <c r="B6971" t="s">
        <v>761</v>
      </c>
    </row>
    <row r="6972" spans="1:8" x14ac:dyDescent="0.25">
      <c r="A6972" t="str">
        <f>"&lt;lifetime&gt;" &amp;$E$6970&amp;"&lt;/lifetime&gt;"</f>
        <v>&lt;lifetime&gt;5600&lt;/lifetime&gt;</v>
      </c>
      <c r="B6972" t="s">
        <v>761</v>
      </c>
    </row>
    <row r="6973" spans="1:8" x14ac:dyDescent="0.25">
      <c r="A6973" t="str">
        <f>"&lt;restock&gt;" &amp;$F$6970&amp;"&lt;/restock&gt;"</f>
        <v>&lt;restock&gt;0&lt;/restock&gt;</v>
      </c>
      <c r="B6973" t="s">
        <v>761</v>
      </c>
    </row>
    <row r="6974" spans="1:8" x14ac:dyDescent="0.25">
      <c r="A6974" t="str">
        <f>"&lt;min&gt;" &amp;$G$6970&amp;"&lt;/min&gt;"</f>
        <v>&lt;min&gt;10&lt;/min&gt;</v>
      </c>
      <c r="B6974" t="s">
        <v>761</v>
      </c>
    </row>
    <row r="6975" spans="1:8" x14ac:dyDescent="0.25">
      <c r="A6975" t="s">
        <v>16</v>
      </c>
      <c r="B6975" t="s">
        <v>761</v>
      </c>
    </row>
    <row r="6976" spans="1:8" x14ac:dyDescent="0.25">
      <c r="A6976" t="s">
        <v>17</v>
      </c>
      <c r="B6976" t="s">
        <v>761</v>
      </c>
    </row>
    <row r="6977" spans="1:8" x14ac:dyDescent="0.25">
      <c r="A6977" t="s">
        <v>18</v>
      </c>
      <c r="B6977" t="s">
        <v>761</v>
      </c>
    </row>
    <row r="6978" spans="1:8" x14ac:dyDescent="0.25">
      <c r="A6978" t="str">
        <f xml:space="preserve"> $H$6970</f>
        <v>&lt;flags count_in_cargo="0" count_in_hoarder="0" count_in_map="1" count_in_player="0" crafted="0" deloot="0"/&gt;</v>
      </c>
      <c r="B6978" t="s">
        <v>761</v>
      </c>
    </row>
    <row r="6979" spans="1:8" x14ac:dyDescent="0.25">
      <c r="A6979" t="str">
        <f>"&lt;category name=" &amp;"""" &amp;$C$6970&amp;"""/&gt;"</f>
        <v>&lt;category name="clothes"/&gt;</v>
      </c>
      <c r="B6979" t="s">
        <v>761</v>
      </c>
    </row>
    <row r="6980" spans="1:8" x14ac:dyDescent="0.25">
      <c r="A6980" t="s">
        <v>67</v>
      </c>
      <c r="B6980" t="s">
        <v>761</v>
      </c>
    </row>
    <row r="6981" spans="1:8" x14ac:dyDescent="0.25">
      <c r="A6981" t="s">
        <v>31</v>
      </c>
      <c r="B6981" t="s">
        <v>761</v>
      </c>
    </row>
    <row r="6982" spans="1:8" x14ac:dyDescent="0.25">
      <c r="A6982" t="s">
        <v>307</v>
      </c>
      <c r="B6982" t="s">
        <v>761</v>
      </c>
    </row>
    <row r="6983" spans="1:8" x14ac:dyDescent="0.25">
      <c r="A6983" t="s">
        <v>22</v>
      </c>
      <c r="B6983" t="s">
        <v>761</v>
      </c>
    </row>
    <row r="6984" spans="1:8" x14ac:dyDescent="0.25">
      <c r="A6984" t="s">
        <v>1939</v>
      </c>
      <c r="B6984" t="s">
        <v>762</v>
      </c>
      <c r="C6984" t="s">
        <v>403</v>
      </c>
      <c r="D6984">
        <v>25</v>
      </c>
      <c r="E6984">
        <v>5600</v>
      </c>
      <c r="F6984">
        <v>0</v>
      </c>
      <c r="G6984">
        <v>10</v>
      </c>
      <c r="H6984" t="s">
        <v>19</v>
      </c>
    </row>
    <row r="6985" spans="1:8" x14ac:dyDescent="0.25">
      <c r="A6985" t="str">
        <f>"&lt;nominal&gt;" &amp;$D$6984&amp;"&lt;/nominal&gt;"</f>
        <v>&lt;nominal&gt;25&lt;/nominal&gt;</v>
      </c>
      <c r="B6985" t="s">
        <v>762</v>
      </c>
    </row>
    <row r="6986" spans="1:8" x14ac:dyDescent="0.25">
      <c r="A6986" t="str">
        <f>"&lt;lifetime&gt;" &amp;$E$6984&amp;"&lt;/lifetime&gt;"</f>
        <v>&lt;lifetime&gt;5600&lt;/lifetime&gt;</v>
      </c>
      <c r="B6986" t="s">
        <v>762</v>
      </c>
    </row>
    <row r="6987" spans="1:8" x14ac:dyDescent="0.25">
      <c r="A6987" t="str">
        <f>"&lt;restock&gt;" &amp;$F$6984&amp;"&lt;/restock&gt;"</f>
        <v>&lt;restock&gt;0&lt;/restock&gt;</v>
      </c>
      <c r="B6987" t="s">
        <v>762</v>
      </c>
    </row>
    <row r="6988" spans="1:8" x14ac:dyDescent="0.25">
      <c r="A6988" t="str">
        <f>"&lt;min&gt;" &amp;$G$6984&amp;"&lt;/min&gt;"</f>
        <v>&lt;min&gt;10&lt;/min&gt;</v>
      </c>
      <c r="B6988" t="s">
        <v>762</v>
      </c>
    </row>
    <row r="6989" spans="1:8" x14ac:dyDescent="0.25">
      <c r="A6989" t="s">
        <v>16</v>
      </c>
      <c r="B6989" t="s">
        <v>762</v>
      </c>
    </row>
    <row r="6990" spans="1:8" x14ac:dyDescent="0.25">
      <c r="A6990" t="s">
        <v>17</v>
      </c>
      <c r="B6990" t="s">
        <v>762</v>
      </c>
    </row>
    <row r="6991" spans="1:8" x14ac:dyDescent="0.25">
      <c r="A6991" t="s">
        <v>18</v>
      </c>
      <c r="B6991" t="s">
        <v>762</v>
      </c>
    </row>
    <row r="6992" spans="1:8" x14ac:dyDescent="0.25">
      <c r="A6992" t="str">
        <f xml:space="preserve"> $H$6984</f>
        <v>&lt;flags count_in_cargo="0" count_in_hoarder="0" count_in_map="1" count_in_player="0" crafted="0" deloot="0"/&gt;</v>
      </c>
      <c r="B6992" t="s">
        <v>762</v>
      </c>
    </row>
    <row r="6993" spans="1:8" x14ac:dyDescent="0.25">
      <c r="A6993" t="str">
        <f>"&lt;category name=" &amp;"""" &amp;$C$6984&amp;"""/&gt;"</f>
        <v>&lt;category name="clothes"/&gt;</v>
      </c>
      <c r="B6993" t="s">
        <v>762</v>
      </c>
    </row>
    <row r="6994" spans="1:8" x14ac:dyDescent="0.25">
      <c r="A6994" t="s">
        <v>67</v>
      </c>
      <c r="B6994" t="s">
        <v>762</v>
      </c>
    </row>
    <row r="6995" spans="1:8" x14ac:dyDescent="0.25">
      <c r="A6995" t="s">
        <v>30</v>
      </c>
      <c r="B6995" t="s">
        <v>762</v>
      </c>
    </row>
    <row r="6996" spans="1:8" x14ac:dyDescent="0.25">
      <c r="A6996" t="s">
        <v>31</v>
      </c>
      <c r="B6996" t="s">
        <v>762</v>
      </c>
    </row>
    <row r="6997" spans="1:8" x14ac:dyDescent="0.25">
      <c r="A6997" t="s">
        <v>307</v>
      </c>
      <c r="B6997" t="s">
        <v>762</v>
      </c>
    </row>
    <row r="6998" spans="1:8" x14ac:dyDescent="0.25">
      <c r="A6998" t="s">
        <v>22</v>
      </c>
      <c r="B6998" t="s">
        <v>762</v>
      </c>
    </row>
    <row r="6999" spans="1:8" x14ac:dyDescent="0.25">
      <c r="A6999" t="s">
        <v>1940</v>
      </c>
      <c r="B6999" t="s">
        <v>763</v>
      </c>
      <c r="C6999" t="s">
        <v>403</v>
      </c>
      <c r="D6999">
        <v>25</v>
      </c>
      <c r="E6999">
        <v>5600</v>
      </c>
      <c r="F6999">
        <v>0</v>
      </c>
      <c r="G6999">
        <v>10</v>
      </c>
      <c r="H6999" t="s">
        <v>19</v>
      </c>
    </row>
    <row r="7000" spans="1:8" x14ac:dyDescent="0.25">
      <c r="A7000" t="str">
        <f>"&lt;nominal&gt;" &amp;$D$6999&amp;"&lt;/nominal&gt;"</f>
        <v>&lt;nominal&gt;25&lt;/nominal&gt;</v>
      </c>
      <c r="B7000" t="s">
        <v>763</v>
      </c>
    </row>
    <row r="7001" spans="1:8" x14ac:dyDescent="0.25">
      <c r="A7001" t="str">
        <f>"&lt;lifetime&gt;" &amp;$E$6999&amp;"&lt;/lifetime&gt;"</f>
        <v>&lt;lifetime&gt;5600&lt;/lifetime&gt;</v>
      </c>
      <c r="B7001" t="s">
        <v>763</v>
      </c>
    </row>
    <row r="7002" spans="1:8" x14ac:dyDescent="0.25">
      <c r="A7002" t="str">
        <f>"&lt;restock&gt;" &amp;$F$6999&amp;"&lt;/restock&gt;"</f>
        <v>&lt;restock&gt;0&lt;/restock&gt;</v>
      </c>
      <c r="B7002" t="s">
        <v>763</v>
      </c>
    </row>
    <row r="7003" spans="1:8" x14ac:dyDescent="0.25">
      <c r="A7003" t="str">
        <f>"&lt;min&gt;" &amp;$G$6999&amp;"&lt;/min&gt;"</f>
        <v>&lt;min&gt;10&lt;/min&gt;</v>
      </c>
      <c r="B7003" t="s">
        <v>763</v>
      </c>
    </row>
    <row r="7004" spans="1:8" x14ac:dyDescent="0.25">
      <c r="A7004" t="s">
        <v>16</v>
      </c>
      <c r="B7004" t="s">
        <v>763</v>
      </c>
    </row>
    <row r="7005" spans="1:8" x14ac:dyDescent="0.25">
      <c r="A7005" t="s">
        <v>17</v>
      </c>
      <c r="B7005" t="s">
        <v>763</v>
      </c>
    </row>
    <row r="7006" spans="1:8" x14ac:dyDescent="0.25">
      <c r="A7006" t="s">
        <v>18</v>
      </c>
      <c r="B7006" t="s">
        <v>763</v>
      </c>
    </row>
    <row r="7007" spans="1:8" x14ac:dyDescent="0.25">
      <c r="A7007" t="str">
        <f xml:space="preserve"> $H$6999</f>
        <v>&lt;flags count_in_cargo="0" count_in_hoarder="0" count_in_map="1" count_in_player="0" crafted="0" deloot="0"/&gt;</v>
      </c>
      <c r="B7007" t="s">
        <v>763</v>
      </c>
    </row>
    <row r="7008" spans="1:8" x14ac:dyDescent="0.25">
      <c r="A7008" t="str">
        <f>"&lt;category name=" &amp;"""" &amp;$C$6999&amp;"""/&gt;"</f>
        <v>&lt;category name="clothes"/&gt;</v>
      </c>
      <c r="B7008" t="s">
        <v>763</v>
      </c>
    </row>
    <row r="7009" spans="1:8" x14ac:dyDescent="0.25">
      <c r="A7009" t="s">
        <v>67</v>
      </c>
      <c r="B7009" t="s">
        <v>763</v>
      </c>
    </row>
    <row r="7010" spans="1:8" x14ac:dyDescent="0.25">
      <c r="A7010" t="s">
        <v>30</v>
      </c>
      <c r="B7010" t="s">
        <v>763</v>
      </c>
    </row>
    <row r="7011" spans="1:8" x14ac:dyDescent="0.25">
      <c r="A7011" t="s">
        <v>31</v>
      </c>
      <c r="B7011" t="s">
        <v>763</v>
      </c>
    </row>
    <row r="7012" spans="1:8" x14ac:dyDescent="0.25">
      <c r="A7012" t="s">
        <v>307</v>
      </c>
      <c r="B7012" t="s">
        <v>763</v>
      </c>
    </row>
    <row r="7013" spans="1:8" x14ac:dyDescent="0.25">
      <c r="A7013" t="s">
        <v>22</v>
      </c>
      <c r="B7013" t="s">
        <v>763</v>
      </c>
    </row>
    <row r="7014" spans="1:8" x14ac:dyDescent="0.25">
      <c r="A7014" t="s">
        <v>1941</v>
      </c>
      <c r="B7014" t="s">
        <v>764</v>
      </c>
      <c r="C7014" t="s">
        <v>426</v>
      </c>
      <c r="D7014">
        <v>80</v>
      </c>
      <c r="E7014">
        <v>7200</v>
      </c>
      <c r="F7014">
        <v>0</v>
      </c>
      <c r="G7014">
        <v>50</v>
      </c>
      <c r="H7014" t="s">
        <v>19</v>
      </c>
    </row>
    <row r="7015" spans="1:8" x14ac:dyDescent="0.25">
      <c r="A7015" t="str">
        <f>"&lt;nominal&gt;" &amp;$D$7014&amp;"&lt;/nominal&gt;"</f>
        <v>&lt;nominal&gt;80&lt;/nominal&gt;</v>
      </c>
      <c r="B7015" t="s">
        <v>764</v>
      </c>
    </row>
    <row r="7016" spans="1:8" x14ac:dyDescent="0.25">
      <c r="A7016" t="str">
        <f>"&lt;lifetime&gt;" &amp;$E$7014&amp;"&lt;/lifetime&gt;"</f>
        <v>&lt;lifetime&gt;7200&lt;/lifetime&gt;</v>
      </c>
      <c r="B7016" t="s">
        <v>764</v>
      </c>
    </row>
    <row r="7017" spans="1:8" x14ac:dyDescent="0.25">
      <c r="A7017" t="str">
        <f>"&lt;restock&gt;" &amp;$F$7014&amp;"&lt;/restock&gt;"</f>
        <v>&lt;restock&gt;0&lt;/restock&gt;</v>
      </c>
      <c r="B7017" t="s">
        <v>764</v>
      </c>
    </row>
    <row r="7018" spans="1:8" x14ac:dyDescent="0.25">
      <c r="A7018" t="str">
        <f>"&lt;min&gt;" &amp;$G$7014&amp;"&lt;/min&gt;"</f>
        <v>&lt;min&gt;50&lt;/min&gt;</v>
      </c>
      <c r="B7018" t="s">
        <v>764</v>
      </c>
    </row>
    <row r="7019" spans="1:8" x14ac:dyDescent="0.25">
      <c r="A7019" t="s">
        <v>16</v>
      </c>
      <c r="B7019" t="s">
        <v>764</v>
      </c>
    </row>
    <row r="7020" spans="1:8" x14ac:dyDescent="0.25">
      <c r="A7020" t="s">
        <v>17</v>
      </c>
      <c r="B7020" t="s">
        <v>764</v>
      </c>
    </row>
    <row r="7021" spans="1:8" x14ac:dyDescent="0.25">
      <c r="A7021" t="s">
        <v>18</v>
      </c>
      <c r="B7021" t="s">
        <v>764</v>
      </c>
    </row>
    <row r="7022" spans="1:8" x14ac:dyDescent="0.25">
      <c r="A7022" t="str">
        <f xml:space="preserve"> $H$7014</f>
        <v>&lt;flags count_in_cargo="0" count_in_hoarder="0" count_in_map="1" count_in_player="0" crafted="0" deloot="0"/&gt;</v>
      </c>
      <c r="B7022" t="s">
        <v>764</v>
      </c>
    </row>
    <row r="7023" spans="1:8" x14ac:dyDescent="0.25">
      <c r="A7023" t="str">
        <f>"&lt;category name=" &amp;"""" &amp;$C$7014&amp;"""/&gt;"</f>
        <v>&lt;category name="tools"/&gt;</v>
      </c>
      <c r="B7023" t="s">
        <v>764</v>
      </c>
    </row>
    <row r="7024" spans="1:8" x14ac:dyDescent="0.25">
      <c r="A7024" t="s">
        <v>20</v>
      </c>
      <c r="B7024" t="s">
        <v>764</v>
      </c>
    </row>
    <row r="7025" spans="1:8" x14ac:dyDescent="0.25">
      <c r="A7025" t="s">
        <v>67</v>
      </c>
      <c r="B7025" t="s">
        <v>764</v>
      </c>
    </row>
    <row r="7026" spans="1:8" x14ac:dyDescent="0.25">
      <c r="A7026" t="s">
        <v>22</v>
      </c>
      <c r="B7026" t="s">
        <v>764</v>
      </c>
    </row>
    <row r="7027" spans="1:8" x14ac:dyDescent="0.25">
      <c r="A7027" t="s">
        <v>1942</v>
      </c>
      <c r="B7027" t="s">
        <v>765</v>
      </c>
      <c r="C7027" t="s">
        <v>8</v>
      </c>
      <c r="D7027">
        <v>5</v>
      </c>
      <c r="E7027">
        <v>7200</v>
      </c>
      <c r="F7027">
        <v>0</v>
      </c>
      <c r="G7027">
        <v>2</v>
      </c>
      <c r="H7027" t="s">
        <v>19</v>
      </c>
    </row>
    <row r="7028" spans="1:8" x14ac:dyDescent="0.25">
      <c r="A7028" t="str">
        <f>"&lt;nominal&gt;" &amp;$D$7027&amp;"&lt;/nominal&gt;"</f>
        <v>&lt;nominal&gt;5&lt;/nominal&gt;</v>
      </c>
      <c r="B7028" t="s">
        <v>765</v>
      </c>
    </row>
    <row r="7029" spans="1:8" x14ac:dyDescent="0.25">
      <c r="A7029" t="str">
        <f>"&lt;lifetime&gt;" &amp;$E$7027&amp;"&lt;/lifetime&gt;"</f>
        <v>&lt;lifetime&gt;7200&lt;/lifetime&gt;</v>
      </c>
      <c r="B7029" t="s">
        <v>765</v>
      </c>
    </row>
    <row r="7030" spans="1:8" x14ac:dyDescent="0.25">
      <c r="A7030" t="str">
        <f>"&lt;restock&gt;" &amp;$F$7027&amp;"&lt;/restock&gt;"</f>
        <v>&lt;restock&gt;0&lt;/restock&gt;</v>
      </c>
      <c r="B7030" t="s">
        <v>765</v>
      </c>
    </row>
    <row r="7031" spans="1:8" x14ac:dyDescent="0.25">
      <c r="A7031" t="str">
        <f>"&lt;min&gt;" &amp;$G$7027&amp;"&lt;/min&gt;"</f>
        <v>&lt;min&gt;2&lt;/min&gt;</v>
      </c>
      <c r="B7031" t="s">
        <v>765</v>
      </c>
    </row>
    <row r="7032" spans="1:8" x14ac:dyDescent="0.25">
      <c r="A7032" t="s">
        <v>16</v>
      </c>
      <c r="B7032" t="s">
        <v>765</v>
      </c>
    </row>
    <row r="7033" spans="1:8" x14ac:dyDescent="0.25">
      <c r="A7033" t="s">
        <v>17</v>
      </c>
      <c r="B7033" t="s">
        <v>765</v>
      </c>
    </row>
    <row r="7034" spans="1:8" x14ac:dyDescent="0.25">
      <c r="A7034" t="s">
        <v>18</v>
      </c>
      <c r="B7034" t="s">
        <v>765</v>
      </c>
    </row>
    <row r="7035" spans="1:8" x14ac:dyDescent="0.25">
      <c r="A7035" t="str">
        <f xml:space="preserve"> $H$7027</f>
        <v>&lt;flags count_in_cargo="0" count_in_hoarder="0" count_in_map="1" count_in_player="0" crafted="0" deloot="0"/&gt;</v>
      </c>
      <c r="B7035" t="s">
        <v>765</v>
      </c>
    </row>
    <row r="7036" spans="1:8" x14ac:dyDescent="0.25">
      <c r="A7036" t="str">
        <f>"&lt;category name=" &amp;"""" &amp;$C$7027&amp;"""/&gt;"</f>
        <v>&lt;category name="weapons"/&gt;</v>
      </c>
      <c r="B7036" t="s">
        <v>765</v>
      </c>
    </row>
    <row r="7037" spans="1:8" x14ac:dyDescent="0.25">
      <c r="A7037" t="s">
        <v>25</v>
      </c>
      <c r="B7037" t="s">
        <v>765</v>
      </c>
    </row>
    <row r="7038" spans="1:8" x14ac:dyDescent="0.25">
      <c r="A7038" t="s">
        <v>67</v>
      </c>
      <c r="B7038" t="s">
        <v>765</v>
      </c>
    </row>
    <row r="7039" spans="1:8" x14ac:dyDescent="0.25">
      <c r="A7039" t="s">
        <v>30</v>
      </c>
      <c r="B7039" t="s">
        <v>765</v>
      </c>
    </row>
    <row r="7040" spans="1:8" x14ac:dyDescent="0.25">
      <c r="A7040" t="s">
        <v>31</v>
      </c>
      <c r="B7040" t="s">
        <v>765</v>
      </c>
    </row>
    <row r="7041" spans="1:8" x14ac:dyDescent="0.25">
      <c r="A7041" t="s">
        <v>307</v>
      </c>
      <c r="B7041" t="s">
        <v>765</v>
      </c>
    </row>
    <row r="7042" spans="1:8" x14ac:dyDescent="0.25">
      <c r="A7042" t="s">
        <v>22</v>
      </c>
      <c r="B7042" t="s">
        <v>765</v>
      </c>
    </row>
    <row r="7043" spans="1:8" x14ac:dyDescent="0.25">
      <c r="A7043" t="s">
        <v>1943</v>
      </c>
      <c r="B7043" t="s">
        <v>3426</v>
      </c>
      <c r="C7043" t="s">
        <v>403</v>
      </c>
      <c r="D7043">
        <v>0</v>
      </c>
      <c r="E7043">
        <v>7200</v>
      </c>
      <c r="F7043">
        <v>0</v>
      </c>
      <c r="G7043">
        <v>0</v>
      </c>
      <c r="H7043" t="s">
        <v>19</v>
      </c>
    </row>
    <row r="7044" spans="1:8" x14ac:dyDescent="0.25">
      <c r="A7044" t="str">
        <f>"&lt;nominal&gt;" &amp;$D$7043&amp;"&lt;/nominal&gt;"</f>
        <v>&lt;nominal&gt;0&lt;/nominal&gt;</v>
      </c>
      <c r="B7044" t="s">
        <v>3426</v>
      </c>
    </row>
    <row r="7045" spans="1:8" x14ac:dyDescent="0.25">
      <c r="A7045" t="str">
        <f>"&lt;lifetime&gt;" &amp;$E$7043&amp;"&lt;/lifetime&gt;"</f>
        <v>&lt;lifetime&gt;7200&lt;/lifetime&gt;</v>
      </c>
      <c r="B7045" t="s">
        <v>3426</v>
      </c>
    </row>
    <row r="7046" spans="1:8" x14ac:dyDescent="0.25">
      <c r="A7046" t="str">
        <f>"&lt;restock&gt;" &amp;$F$7043&amp;"&lt;/restock&gt;"</f>
        <v>&lt;restock&gt;0&lt;/restock&gt;</v>
      </c>
      <c r="B7046" t="s">
        <v>3426</v>
      </c>
    </row>
    <row r="7047" spans="1:8" x14ac:dyDescent="0.25">
      <c r="A7047" t="str">
        <f>"&lt;min&gt;" &amp;$G$7043&amp;"&lt;/min&gt;"</f>
        <v>&lt;min&gt;0&lt;/min&gt;</v>
      </c>
      <c r="B7047" t="s">
        <v>3426</v>
      </c>
    </row>
    <row r="7048" spans="1:8" x14ac:dyDescent="0.25">
      <c r="A7048" t="s">
        <v>16</v>
      </c>
      <c r="B7048" t="s">
        <v>3426</v>
      </c>
    </row>
    <row r="7049" spans="1:8" x14ac:dyDescent="0.25">
      <c r="A7049" t="s">
        <v>17</v>
      </c>
      <c r="B7049" t="s">
        <v>3426</v>
      </c>
    </row>
    <row r="7050" spans="1:8" x14ac:dyDescent="0.25">
      <c r="A7050" t="s">
        <v>18</v>
      </c>
      <c r="B7050" t="s">
        <v>3426</v>
      </c>
    </row>
    <row r="7051" spans="1:8" x14ac:dyDescent="0.25">
      <c r="A7051" t="str">
        <f xml:space="preserve"> $H$7043</f>
        <v>&lt;flags count_in_cargo="0" count_in_hoarder="0" count_in_map="1" count_in_player="0" crafted="0" deloot="0"/&gt;</v>
      </c>
      <c r="B7051" t="s">
        <v>3426</v>
      </c>
    </row>
    <row r="7052" spans="1:8" x14ac:dyDescent="0.25">
      <c r="A7052" t="str">
        <f>"&lt;category name=" &amp;"""" &amp;$C$7043&amp;"""/&gt;"</f>
        <v>&lt;category name="clothes"/&gt;</v>
      </c>
      <c r="B7052" t="s">
        <v>3426</v>
      </c>
    </row>
    <row r="7053" spans="1:8" x14ac:dyDescent="0.25">
      <c r="A7053" t="s">
        <v>56</v>
      </c>
      <c r="B7053" t="s">
        <v>3426</v>
      </c>
    </row>
    <row r="7054" spans="1:8" x14ac:dyDescent="0.25">
      <c r="A7054" t="s">
        <v>67</v>
      </c>
      <c r="B7054" t="s">
        <v>3426</v>
      </c>
    </row>
    <row r="7055" spans="1:8" x14ac:dyDescent="0.25">
      <c r="A7055" t="s">
        <v>22</v>
      </c>
      <c r="B7055" t="s">
        <v>3426</v>
      </c>
    </row>
    <row r="7056" spans="1:8" x14ac:dyDescent="0.25">
      <c r="A7056" t="s">
        <v>1944</v>
      </c>
      <c r="B7056" t="s">
        <v>3427</v>
      </c>
      <c r="C7056" t="s">
        <v>403</v>
      </c>
      <c r="D7056">
        <v>0</v>
      </c>
      <c r="E7056">
        <v>21600</v>
      </c>
      <c r="F7056">
        <v>0</v>
      </c>
      <c r="G7056">
        <v>0</v>
      </c>
      <c r="H7056" t="s">
        <v>62</v>
      </c>
    </row>
    <row r="7057" spans="1:8" x14ac:dyDescent="0.25">
      <c r="A7057" t="str">
        <f>"&lt;nominal&gt;" &amp;$D$7056&amp;"&lt;/nominal&gt;"</f>
        <v>&lt;nominal&gt;0&lt;/nominal&gt;</v>
      </c>
      <c r="B7057" t="s">
        <v>3427</v>
      </c>
    </row>
    <row r="7058" spans="1:8" x14ac:dyDescent="0.25">
      <c r="A7058" t="str">
        <f>"&lt;lifetime&gt;" &amp;$E$7056&amp;"&lt;/lifetime&gt;"</f>
        <v>&lt;lifetime&gt;21600&lt;/lifetime&gt;</v>
      </c>
      <c r="B7058" t="s">
        <v>3427</v>
      </c>
    </row>
    <row r="7059" spans="1:8" x14ac:dyDescent="0.25">
      <c r="A7059" t="str">
        <f>"&lt;restock&gt;" &amp;$F$7056&amp;"&lt;/restock&gt;"</f>
        <v>&lt;restock&gt;0&lt;/restock&gt;</v>
      </c>
      <c r="B7059" t="s">
        <v>3427</v>
      </c>
    </row>
    <row r="7060" spans="1:8" x14ac:dyDescent="0.25">
      <c r="A7060" t="str">
        <f>"&lt;min&gt;" &amp;$G$7056&amp;"&lt;/min&gt;"</f>
        <v>&lt;min&gt;0&lt;/min&gt;</v>
      </c>
      <c r="B7060" t="s">
        <v>3427</v>
      </c>
    </row>
    <row r="7061" spans="1:8" x14ac:dyDescent="0.25">
      <c r="A7061" t="s">
        <v>16</v>
      </c>
      <c r="B7061" t="s">
        <v>3427</v>
      </c>
    </row>
    <row r="7062" spans="1:8" x14ac:dyDescent="0.25">
      <c r="A7062" t="s">
        <v>17</v>
      </c>
      <c r="B7062" t="s">
        <v>3427</v>
      </c>
    </row>
    <row r="7063" spans="1:8" x14ac:dyDescent="0.25">
      <c r="A7063" t="s">
        <v>18</v>
      </c>
      <c r="B7063" t="s">
        <v>3427</v>
      </c>
    </row>
    <row r="7064" spans="1:8" x14ac:dyDescent="0.25">
      <c r="A7064" t="str">
        <f xml:space="preserve"> $H$7056</f>
        <v>&lt;flags count_in_cargo="0" count_in_hoarder="0" count_in_map="1" count_in_player="0" crafted="1" deloot="0"/&gt;</v>
      </c>
      <c r="B7064" t="s">
        <v>3427</v>
      </c>
    </row>
    <row r="7065" spans="1:8" x14ac:dyDescent="0.25">
      <c r="A7065" t="str">
        <f>"&lt;category name=" &amp;"""" &amp;$C$7056&amp;"""/&gt;"</f>
        <v>&lt;category name="clothes"/&gt;</v>
      </c>
      <c r="B7065" t="s">
        <v>3427</v>
      </c>
    </row>
    <row r="7066" spans="1:8" x14ac:dyDescent="0.25">
      <c r="A7066" t="s">
        <v>22</v>
      </c>
      <c r="B7066" t="s">
        <v>3427</v>
      </c>
    </row>
    <row r="7067" spans="1:8" x14ac:dyDescent="0.25">
      <c r="A7067" t="s">
        <v>1945</v>
      </c>
      <c r="B7067" t="s">
        <v>3428</v>
      </c>
      <c r="D7067">
        <v>0</v>
      </c>
      <c r="E7067">
        <v>7200</v>
      </c>
      <c r="F7067">
        <v>0</v>
      </c>
      <c r="G7067">
        <v>0</v>
      </c>
      <c r="H7067" t="s">
        <v>62</v>
      </c>
    </row>
    <row r="7068" spans="1:8" x14ac:dyDescent="0.25">
      <c r="A7068" t="str">
        <f>"&lt;nominal&gt;" &amp;$D$7067&amp;"&lt;/nominal&gt;"</f>
        <v>&lt;nominal&gt;0&lt;/nominal&gt;</v>
      </c>
      <c r="B7068" t="s">
        <v>3428</v>
      </c>
    </row>
    <row r="7069" spans="1:8" x14ac:dyDescent="0.25">
      <c r="A7069" t="str">
        <f>"&lt;lifetime&gt;" &amp;$E$7067&amp;"&lt;/lifetime&gt;"</f>
        <v>&lt;lifetime&gt;7200&lt;/lifetime&gt;</v>
      </c>
      <c r="B7069" t="s">
        <v>3428</v>
      </c>
    </row>
    <row r="7070" spans="1:8" x14ac:dyDescent="0.25">
      <c r="A7070" t="str">
        <f>"&lt;restock&gt;" &amp;$F$7067&amp;"&lt;/restock&gt;"</f>
        <v>&lt;restock&gt;0&lt;/restock&gt;</v>
      </c>
      <c r="B7070" t="s">
        <v>3428</v>
      </c>
    </row>
    <row r="7071" spans="1:8" x14ac:dyDescent="0.25">
      <c r="A7071" t="str">
        <f>"&lt;min&gt;" &amp;$G$7067&amp;"&lt;/min&gt;"</f>
        <v>&lt;min&gt;0&lt;/min&gt;</v>
      </c>
      <c r="B7071" t="s">
        <v>3428</v>
      </c>
    </row>
    <row r="7072" spans="1:8" x14ac:dyDescent="0.25">
      <c r="A7072" t="s">
        <v>16</v>
      </c>
      <c r="B7072" t="s">
        <v>3428</v>
      </c>
    </row>
    <row r="7073" spans="1:8" x14ac:dyDescent="0.25">
      <c r="A7073" t="s">
        <v>17</v>
      </c>
      <c r="B7073" t="s">
        <v>3428</v>
      </c>
    </row>
    <row r="7074" spans="1:8" x14ac:dyDescent="0.25">
      <c r="A7074" t="s">
        <v>18</v>
      </c>
      <c r="B7074" t="s">
        <v>3428</v>
      </c>
    </row>
    <row r="7075" spans="1:8" x14ac:dyDescent="0.25">
      <c r="A7075" t="str">
        <f xml:space="preserve"> $H$7067</f>
        <v>&lt;flags count_in_cargo="0" count_in_hoarder="0" count_in_map="1" count_in_player="0" crafted="1" deloot="0"/&gt;</v>
      </c>
      <c r="B7075" t="s">
        <v>3428</v>
      </c>
    </row>
    <row r="7076" spans="1:8" x14ac:dyDescent="0.25">
      <c r="A7076" t="s">
        <v>22</v>
      </c>
      <c r="B7076" t="s">
        <v>3428</v>
      </c>
    </row>
    <row r="7077" spans="1:8" x14ac:dyDescent="0.25">
      <c r="A7077" t="s">
        <v>1946</v>
      </c>
      <c r="B7077" t="s">
        <v>3429</v>
      </c>
      <c r="C7077" t="s">
        <v>403</v>
      </c>
      <c r="D7077">
        <v>0</v>
      </c>
      <c r="E7077">
        <v>7200</v>
      </c>
      <c r="F7077">
        <v>0</v>
      </c>
      <c r="G7077">
        <v>0</v>
      </c>
      <c r="H7077" t="s">
        <v>62</v>
      </c>
    </row>
    <row r="7078" spans="1:8" x14ac:dyDescent="0.25">
      <c r="A7078" t="str">
        <f>"&lt;nominal&gt;" &amp;$D$7077&amp;"&lt;/nominal&gt;"</f>
        <v>&lt;nominal&gt;0&lt;/nominal&gt;</v>
      </c>
      <c r="B7078" t="s">
        <v>3429</v>
      </c>
    </row>
    <row r="7079" spans="1:8" x14ac:dyDescent="0.25">
      <c r="A7079" t="str">
        <f>"&lt;lifetime&gt;" &amp;$E$7077&amp;"&lt;/lifetime&gt;"</f>
        <v>&lt;lifetime&gt;7200&lt;/lifetime&gt;</v>
      </c>
      <c r="B7079" t="s">
        <v>3429</v>
      </c>
    </row>
    <row r="7080" spans="1:8" x14ac:dyDescent="0.25">
      <c r="A7080" t="str">
        <f>"&lt;restock&gt;" &amp;$F$7077&amp;"&lt;/restock&gt;"</f>
        <v>&lt;restock&gt;0&lt;/restock&gt;</v>
      </c>
      <c r="B7080" t="s">
        <v>3429</v>
      </c>
    </row>
    <row r="7081" spans="1:8" x14ac:dyDescent="0.25">
      <c r="A7081" t="str">
        <f>"&lt;min&gt;" &amp;$G$7077&amp;"&lt;/min&gt;"</f>
        <v>&lt;min&gt;0&lt;/min&gt;</v>
      </c>
      <c r="B7081" t="s">
        <v>3429</v>
      </c>
    </row>
    <row r="7082" spans="1:8" x14ac:dyDescent="0.25">
      <c r="A7082" t="s">
        <v>16</v>
      </c>
      <c r="B7082" t="s">
        <v>3429</v>
      </c>
    </row>
    <row r="7083" spans="1:8" x14ac:dyDescent="0.25">
      <c r="A7083" t="s">
        <v>17</v>
      </c>
      <c r="B7083" t="s">
        <v>3429</v>
      </c>
    </row>
    <row r="7084" spans="1:8" x14ac:dyDescent="0.25">
      <c r="A7084" t="s">
        <v>18</v>
      </c>
      <c r="B7084" t="s">
        <v>3429</v>
      </c>
    </row>
    <row r="7085" spans="1:8" x14ac:dyDescent="0.25">
      <c r="A7085" t="str">
        <f xml:space="preserve"> $H$7077</f>
        <v>&lt;flags count_in_cargo="0" count_in_hoarder="0" count_in_map="1" count_in_player="0" crafted="1" deloot="0"/&gt;</v>
      </c>
      <c r="B7085" t="s">
        <v>3429</v>
      </c>
    </row>
    <row r="7086" spans="1:8" x14ac:dyDescent="0.25">
      <c r="A7086" t="str">
        <f>"&lt;category name=" &amp;"""" &amp;$C$7077&amp;"""/&gt;"</f>
        <v>&lt;category name="clothes"/&gt;</v>
      </c>
      <c r="B7086" t="s">
        <v>3429</v>
      </c>
    </row>
    <row r="7087" spans="1:8" x14ac:dyDescent="0.25">
      <c r="A7087" t="s">
        <v>22</v>
      </c>
      <c r="B7087" t="s">
        <v>3429</v>
      </c>
    </row>
    <row r="7088" spans="1:8" x14ac:dyDescent="0.25">
      <c r="A7088" t="s">
        <v>1947</v>
      </c>
      <c r="B7088" t="s">
        <v>766</v>
      </c>
      <c r="C7088" t="s">
        <v>8</v>
      </c>
      <c r="D7088">
        <v>20</v>
      </c>
      <c r="E7088">
        <v>7200</v>
      </c>
      <c r="F7088">
        <v>0</v>
      </c>
      <c r="G7088">
        <v>10</v>
      </c>
      <c r="H7088" t="s">
        <v>19</v>
      </c>
    </row>
    <row r="7089" spans="1:2" x14ac:dyDescent="0.25">
      <c r="A7089" t="str">
        <f>"&lt;nominal&gt;" &amp;$D$7088&amp;"&lt;/nominal&gt;"</f>
        <v>&lt;nominal&gt;20&lt;/nominal&gt;</v>
      </c>
      <c r="B7089" t="s">
        <v>766</v>
      </c>
    </row>
    <row r="7090" spans="1:2" x14ac:dyDescent="0.25">
      <c r="A7090" t="str">
        <f>"&lt;lifetime&gt;" &amp;$E$7088&amp;"&lt;/lifetime&gt;"</f>
        <v>&lt;lifetime&gt;7200&lt;/lifetime&gt;</v>
      </c>
      <c r="B7090" t="s">
        <v>766</v>
      </c>
    </row>
    <row r="7091" spans="1:2" x14ac:dyDescent="0.25">
      <c r="A7091" t="str">
        <f>"&lt;restock&gt;" &amp;$F$7088&amp;"&lt;/restock&gt;"</f>
        <v>&lt;restock&gt;0&lt;/restock&gt;</v>
      </c>
      <c r="B7091" t="s">
        <v>766</v>
      </c>
    </row>
    <row r="7092" spans="1:2" x14ac:dyDescent="0.25">
      <c r="A7092" t="str">
        <f>"&lt;min&gt;" &amp;$G$7088&amp;"&lt;/min&gt;"</f>
        <v>&lt;min&gt;10&lt;/min&gt;</v>
      </c>
      <c r="B7092" t="s">
        <v>766</v>
      </c>
    </row>
    <row r="7093" spans="1:2" x14ac:dyDescent="0.25">
      <c r="A7093" t="s">
        <v>16</v>
      </c>
      <c r="B7093" t="s">
        <v>766</v>
      </c>
    </row>
    <row r="7094" spans="1:2" x14ac:dyDescent="0.25">
      <c r="A7094" t="s">
        <v>17</v>
      </c>
      <c r="B7094" t="s">
        <v>766</v>
      </c>
    </row>
    <row r="7095" spans="1:2" x14ac:dyDescent="0.25">
      <c r="A7095" t="s">
        <v>18</v>
      </c>
      <c r="B7095" t="s">
        <v>766</v>
      </c>
    </row>
    <row r="7096" spans="1:2" x14ac:dyDescent="0.25">
      <c r="A7096" t="str">
        <f xml:space="preserve"> $H$7088</f>
        <v>&lt;flags count_in_cargo="0" count_in_hoarder="0" count_in_map="1" count_in_player="0" crafted="0" deloot="0"/&gt;</v>
      </c>
      <c r="B7096" t="s">
        <v>766</v>
      </c>
    </row>
    <row r="7097" spans="1:2" x14ac:dyDescent="0.25">
      <c r="A7097" t="str">
        <f>"&lt;category name=" &amp;"""" &amp;$C$7088&amp;"""/&gt;"</f>
        <v>&lt;category name="weapons"/&gt;</v>
      </c>
      <c r="B7097" t="s">
        <v>766</v>
      </c>
    </row>
    <row r="7098" spans="1:2" x14ac:dyDescent="0.25">
      <c r="A7098" t="s">
        <v>56</v>
      </c>
      <c r="B7098" t="s">
        <v>766</v>
      </c>
    </row>
    <row r="7099" spans="1:2" x14ac:dyDescent="0.25">
      <c r="A7099" t="s">
        <v>39</v>
      </c>
      <c r="B7099" t="s">
        <v>766</v>
      </c>
    </row>
    <row r="7100" spans="1:2" x14ac:dyDescent="0.25">
      <c r="A7100" t="s">
        <v>40</v>
      </c>
      <c r="B7100" t="s">
        <v>766</v>
      </c>
    </row>
    <row r="7101" spans="1:2" x14ac:dyDescent="0.25">
      <c r="A7101" t="s">
        <v>67</v>
      </c>
      <c r="B7101" t="s">
        <v>766</v>
      </c>
    </row>
    <row r="7102" spans="1:2" x14ac:dyDescent="0.25">
      <c r="A7102" t="s">
        <v>82</v>
      </c>
      <c r="B7102" t="s">
        <v>766</v>
      </c>
    </row>
    <row r="7103" spans="1:2" x14ac:dyDescent="0.25">
      <c r="A7103" t="s">
        <v>30</v>
      </c>
      <c r="B7103" t="s">
        <v>766</v>
      </c>
    </row>
    <row r="7104" spans="1:2" x14ac:dyDescent="0.25">
      <c r="A7104" t="s">
        <v>22</v>
      </c>
      <c r="B7104" t="s">
        <v>766</v>
      </c>
    </row>
    <row r="7105" spans="1:8" x14ac:dyDescent="0.25">
      <c r="A7105" t="s">
        <v>1948</v>
      </c>
      <c r="B7105" t="s">
        <v>767</v>
      </c>
      <c r="C7105" t="s">
        <v>8</v>
      </c>
      <c r="D7105">
        <v>20</v>
      </c>
      <c r="E7105">
        <v>7200</v>
      </c>
      <c r="F7105">
        <v>0</v>
      </c>
      <c r="G7105">
        <v>10</v>
      </c>
      <c r="H7105" t="s">
        <v>19</v>
      </c>
    </row>
    <row r="7106" spans="1:8" x14ac:dyDescent="0.25">
      <c r="A7106" t="str">
        <f>"&lt;nominal&gt;" &amp;$D$7105&amp;"&lt;/nominal&gt;"</f>
        <v>&lt;nominal&gt;20&lt;/nominal&gt;</v>
      </c>
      <c r="B7106" t="s">
        <v>767</v>
      </c>
    </row>
    <row r="7107" spans="1:8" x14ac:dyDescent="0.25">
      <c r="A7107" t="str">
        <f>"&lt;lifetime&gt;" &amp;$E$7105&amp;"&lt;/lifetime&gt;"</f>
        <v>&lt;lifetime&gt;7200&lt;/lifetime&gt;</v>
      </c>
      <c r="B7107" t="s">
        <v>767</v>
      </c>
    </row>
    <row r="7108" spans="1:8" x14ac:dyDescent="0.25">
      <c r="A7108" t="str">
        <f>"&lt;restock&gt;" &amp;$F$7105&amp;"&lt;/restock&gt;"</f>
        <v>&lt;restock&gt;0&lt;/restock&gt;</v>
      </c>
      <c r="B7108" t="s">
        <v>767</v>
      </c>
    </row>
    <row r="7109" spans="1:8" x14ac:dyDescent="0.25">
      <c r="A7109" t="str">
        <f>"&lt;min&gt;" &amp;$G$7105&amp;"&lt;/min&gt;"</f>
        <v>&lt;min&gt;10&lt;/min&gt;</v>
      </c>
      <c r="B7109" t="s">
        <v>767</v>
      </c>
    </row>
    <row r="7110" spans="1:8" x14ac:dyDescent="0.25">
      <c r="A7110" t="s">
        <v>16</v>
      </c>
      <c r="B7110" t="s">
        <v>767</v>
      </c>
    </row>
    <row r="7111" spans="1:8" x14ac:dyDescent="0.25">
      <c r="A7111" t="s">
        <v>17</v>
      </c>
      <c r="B7111" t="s">
        <v>767</v>
      </c>
    </row>
    <row r="7112" spans="1:8" x14ac:dyDescent="0.25">
      <c r="A7112" t="s">
        <v>18</v>
      </c>
      <c r="B7112" t="s">
        <v>767</v>
      </c>
    </row>
    <row r="7113" spans="1:8" x14ac:dyDescent="0.25">
      <c r="A7113" t="str">
        <f xml:space="preserve"> $H$7105</f>
        <v>&lt;flags count_in_cargo="0" count_in_hoarder="0" count_in_map="1" count_in_player="0" crafted="0" deloot="0"/&gt;</v>
      </c>
      <c r="B7113" t="s">
        <v>767</v>
      </c>
    </row>
    <row r="7114" spans="1:8" x14ac:dyDescent="0.25">
      <c r="A7114" t="str">
        <f>"&lt;category name=" &amp;"""" &amp;$C$7105&amp;"""/&gt;"</f>
        <v>&lt;category name="weapons"/&gt;</v>
      </c>
      <c r="B7114" t="s">
        <v>767</v>
      </c>
    </row>
    <row r="7115" spans="1:8" x14ac:dyDescent="0.25">
      <c r="A7115" t="s">
        <v>56</v>
      </c>
      <c r="B7115" t="s">
        <v>767</v>
      </c>
    </row>
    <row r="7116" spans="1:8" x14ac:dyDescent="0.25">
      <c r="A7116" t="s">
        <v>40</v>
      </c>
      <c r="B7116" t="s">
        <v>767</v>
      </c>
    </row>
    <row r="7117" spans="1:8" x14ac:dyDescent="0.25">
      <c r="A7117" t="s">
        <v>82</v>
      </c>
      <c r="B7117" t="s">
        <v>767</v>
      </c>
    </row>
    <row r="7118" spans="1:8" x14ac:dyDescent="0.25">
      <c r="A7118" t="s">
        <v>30</v>
      </c>
      <c r="B7118" t="s">
        <v>767</v>
      </c>
    </row>
    <row r="7119" spans="1:8" x14ac:dyDescent="0.25">
      <c r="A7119" t="s">
        <v>22</v>
      </c>
      <c r="B7119" t="s">
        <v>767</v>
      </c>
    </row>
    <row r="7120" spans="1:8" x14ac:dyDescent="0.25">
      <c r="A7120" t="s">
        <v>1949</v>
      </c>
      <c r="B7120" t="s">
        <v>3430</v>
      </c>
      <c r="C7120" t="s">
        <v>403</v>
      </c>
      <c r="D7120">
        <v>0</v>
      </c>
      <c r="E7120">
        <v>300</v>
      </c>
      <c r="F7120">
        <v>0</v>
      </c>
      <c r="G7120">
        <v>0</v>
      </c>
      <c r="H7120" t="s">
        <v>19</v>
      </c>
    </row>
    <row r="7121" spans="1:2" x14ac:dyDescent="0.25">
      <c r="A7121" t="str">
        <f>"&lt;nominal&gt;" &amp;$D$7120&amp;"&lt;/nominal&gt;"</f>
        <v>&lt;nominal&gt;0&lt;/nominal&gt;</v>
      </c>
      <c r="B7121" t="s">
        <v>3430</v>
      </c>
    </row>
    <row r="7122" spans="1:2" x14ac:dyDescent="0.25">
      <c r="A7122" t="str">
        <f>"&lt;lifetime&gt;" &amp;$E$7120&amp;"&lt;/lifetime&gt;"</f>
        <v>&lt;lifetime&gt;300&lt;/lifetime&gt;</v>
      </c>
      <c r="B7122" t="s">
        <v>3430</v>
      </c>
    </row>
    <row r="7123" spans="1:2" x14ac:dyDescent="0.25">
      <c r="A7123" t="str">
        <f>"&lt;restock&gt;" &amp;$F$7120&amp;"&lt;/restock&gt;"</f>
        <v>&lt;restock&gt;0&lt;/restock&gt;</v>
      </c>
      <c r="B7123" t="s">
        <v>3430</v>
      </c>
    </row>
    <row r="7124" spans="1:2" x14ac:dyDescent="0.25">
      <c r="A7124" t="str">
        <f>"&lt;min&gt;" &amp;$G$7120&amp;"&lt;/min&gt;"</f>
        <v>&lt;min&gt;0&lt;/min&gt;</v>
      </c>
      <c r="B7124" t="s">
        <v>3430</v>
      </c>
    </row>
    <row r="7125" spans="1:2" x14ac:dyDescent="0.25">
      <c r="A7125" t="s">
        <v>16</v>
      </c>
      <c r="B7125" t="s">
        <v>3430</v>
      </c>
    </row>
    <row r="7126" spans="1:2" x14ac:dyDescent="0.25">
      <c r="A7126" t="s">
        <v>17</v>
      </c>
      <c r="B7126" t="s">
        <v>3430</v>
      </c>
    </row>
    <row r="7127" spans="1:2" x14ac:dyDescent="0.25">
      <c r="A7127" t="s">
        <v>18</v>
      </c>
      <c r="B7127" t="s">
        <v>3430</v>
      </c>
    </row>
    <row r="7128" spans="1:2" x14ac:dyDescent="0.25">
      <c r="A7128" t="str">
        <f xml:space="preserve"> $H$7120</f>
        <v>&lt;flags count_in_cargo="0" count_in_hoarder="0" count_in_map="1" count_in_player="0" crafted="0" deloot="0"/&gt;</v>
      </c>
      <c r="B7128" t="s">
        <v>3430</v>
      </c>
    </row>
    <row r="7129" spans="1:2" x14ac:dyDescent="0.25">
      <c r="A7129" t="str">
        <f>"&lt;category name=" &amp;"""" &amp;$C$7120&amp;"""/&gt;"</f>
        <v>&lt;category name="clothes"/&gt;</v>
      </c>
      <c r="B7129" t="s">
        <v>3430</v>
      </c>
    </row>
    <row r="7130" spans="1:2" x14ac:dyDescent="0.25">
      <c r="A7130" t="s">
        <v>39</v>
      </c>
      <c r="B7130" t="s">
        <v>3430</v>
      </c>
    </row>
    <row r="7131" spans="1:2" x14ac:dyDescent="0.25">
      <c r="A7131" t="s">
        <v>40</v>
      </c>
      <c r="B7131" t="s">
        <v>3430</v>
      </c>
    </row>
    <row r="7132" spans="1:2" x14ac:dyDescent="0.25">
      <c r="A7132" t="s">
        <v>82</v>
      </c>
      <c r="B7132" t="s">
        <v>3430</v>
      </c>
    </row>
    <row r="7133" spans="1:2" x14ac:dyDescent="0.25">
      <c r="A7133" t="s">
        <v>30</v>
      </c>
      <c r="B7133" t="s">
        <v>3430</v>
      </c>
    </row>
    <row r="7134" spans="1:2" x14ac:dyDescent="0.25">
      <c r="A7134" t="s">
        <v>31</v>
      </c>
      <c r="B7134" t="s">
        <v>3430</v>
      </c>
    </row>
    <row r="7135" spans="1:2" x14ac:dyDescent="0.25">
      <c r="A7135" t="s">
        <v>307</v>
      </c>
      <c r="B7135" t="s">
        <v>3430</v>
      </c>
    </row>
    <row r="7136" spans="1:2" x14ac:dyDescent="0.25">
      <c r="A7136" t="s">
        <v>22</v>
      </c>
      <c r="B7136" t="s">
        <v>3430</v>
      </c>
    </row>
    <row r="7137" spans="1:8" x14ac:dyDescent="0.25">
      <c r="A7137" t="s">
        <v>1950</v>
      </c>
      <c r="B7137" t="s">
        <v>3431</v>
      </c>
      <c r="C7137" t="s">
        <v>403</v>
      </c>
      <c r="D7137">
        <v>0</v>
      </c>
      <c r="E7137">
        <v>300</v>
      </c>
      <c r="F7137">
        <v>0</v>
      </c>
      <c r="G7137">
        <v>0</v>
      </c>
      <c r="H7137" t="s">
        <v>19</v>
      </c>
    </row>
    <row r="7138" spans="1:8" x14ac:dyDescent="0.25">
      <c r="A7138" t="str">
        <f>"&lt;nominal&gt;" &amp;$D$7137&amp;"&lt;/nominal&gt;"</f>
        <v>&lt;nominal&gt;0&lt;/nominal&gt;</v>
      </c>
      <c r="B7138" t="s">
        <v>3431</v>
      </c>
    </row>
    <row r="7139" spans="1:8" x14ac:dyDescent="0.25">
      <c r="A7139" t="str">
        <f>"&lt;lifetime&gt;" &amp;$E$7137&amp;"&lt;/lifetime&gt;"</f>
        <v>&lt;lifetime&gt;300&lt;/lifetime&gt;</v>
      </c>
      <c r="B7139" t="s">
        <v>3431</v>
      </c>
    </row>
    <row r="7140" spans="1:8" x14ac:dyDescent="0.25">
      <c r="A7140" t="str">
        <f>"&lt;restock&gt;" &amp;$F$7137&amp;"&lt;/restock&gt;"</f>
        <v>&lt;restock&gt;0&lt;/restock&gt;</v>
      </c>
      <c r="B7140" t="s">
        <v>3431</v>
      </c>
    </row>
    <row r="7141" spans="1:8" x14ac:dyDescent="0.25">
      <c r="A7141" t="str">
        <f>"&lt;min&gt;" &amp;$G$7137&amp;"&lt;/min&gt;"</f>
        <v>&lt;min&gt;0&lt;/min&gt;</v>
      </c>
      <c r="B7141" t="s">
        <v>3431</v>
      </c>
    </row>
    <row r="7142" spans="1:8" x14ac:dyDescent="0.25">
      <c r="A7142" t="s">
        <v>16</v>
      </c>
      <c r="B7142" t="s">
        <v>3431</v>
      </c>
    </row>
    <row r="7143" spans="1:8" x14ac:dyDescent="0.25">
      <c r="A7143" t="s">
        <v>17</v>
      </c>
      <c r="B7143" t="s">
        <v>3431</v>
      </c>
    </row>
    <row r="7144" spans="1:8" x14ac:dyDescent="0.25">
      <c r="A7144" t="s">
        <v>18</v>
      </c>
      <c r="B7144" t="s">
        <v>3431</v>
      </c>
    </row>
    <row r="7145" spans="1:8" x14ac:dyDescent="0.25">
      <c r="A7145" t="str">
        <f xml:space="preserve"> $H$7137</f>
        <v>&lt;flags count_in_cargo="0" count_in_hoarder="0" count_in_map="1" count_in_player="0" crafted="0" deloot="0"/&gt;</v>
      </c>
      <c r="B7145" t="s">
        <v>3431</v>
      </c>
    </row>
    <row r="7146" spans="1:8" x14ac:dyDescent="0.25">
      <c r="A7146" t="str">
        <f>"&lt;category name=" &amp;"""" &amp;$C$7137&amp;"""/&gt;"</f>
        <v>&lt;category name="clothes"/&gt;</v>
      </c>
      <c r="B7146" t="s">
        <v>3431</v>
      </c>
    </row>
    <row r="7147" spans="1:8" x14ac:dyDescent="0.25">
      <c r="A7147" t="s">
        <v>39</v>
      </c>
      <c r="B7147" t="s">
        <v>3431</v>
      </c>
    </row>
    <row r="7148" spans="1:8" x14ac:dyDescent="0.25">
      <c r="A7148" t="s">
        <v>40</v>
      </c>
      <c r="B7148" t="s">
        <v>3431</v>
      </c>
    </row>
    <row r="7149" spans="1:8" x14ac:dyDescent="0.25">
      <c r="A7149" t="s">
        <v>82</v>
      </c>
      <c r="B7149" t="s">
        <v>3431</v>
      </c>
    </row>
    <row r="7150" spans="1:8" x14ac:dyDescent="0.25">
      <c r="A7150" t="s">
        <v>30</v>
      </c>
      <c r="B7150" t="s">
        <v>3431</v>
      </c>
    </row>
    <row r="7151" spans="1:8" x14ac:dyDescent="0.25">
      <c r="A7151" t="s">
        <v>31</v>
      </c>
      <c r="B7151" t="s">
        <v>3431</v>
      </c>
    </row>
    <row r="7152" spans="1:8" x14ac:dyDescent="0.25">
      <c r="A7152" t="s">
        <v>307</v>
      </c>
      <c r="B7152" t="s">
        <v>3431</v>
      </c>
    </row>
    <row r="7153" spans="1:8" x14ac:dyDescent="0.25">
      <c r="A7153" t="s">
        <v>22</v>
      </c>
      <c r="B7153" t="s">
        <v>3431</v>
      </c>
    </row>
    <row r="7154" spans="1:8" x14ac:dyDescent="0.25">
      <c r="A7154" t="s">
        <v>1951</v>
      </c>
      <c r="B7154" t="s">
        <v>3432</v>
      </c>
      <c r="C7154" t="s">
        <v>403</v>
      </c>
      <c r="D7154">
        <v>0</v>
      </c>
      <c r="E7154">
        <v>300</v>
      </c>
      <c r="F7154">
        <v>0</v>
      </c>
      <c r="G7154">
        <v>0</v>
      </c>
      <c r="H7154" t="s">
        <v>19</v>
      </c>
    </row>
    <row r="7155" spans="1:8" x14ac:dyDescent="0.25">
      <c r="A7155" t="str">
        <f>"&lt;nominal&gt;" &amp;$D$7154&amp;"&lt;/nominal&gt;"</f>
        <v>&lt;nominal&gt;0&lt;/nominal&gt;</v>
      </c>
      <c r="B7155" t="s">
        <v>3432</v>
      </c>
    </row>
    <row r="7156" spans="1:8" x14ac:dyDescent="0.25">
      <c r="A7156" t="str">
        <f>"&lt;lifetime&gt;" &amp;$E$7154&amp;"&lt;/lifetime&gt;"</f>
        <v>&lt;lifetime&gt;300&lt;/lifetime&gt;</v>
      </c>
      <c r="B7156" t="s">
        <v>3432</v>
      </c>
    </row>
    <row r="7157" spans="1:8" x14ac:dyDescent="0.25">
      <c r="A7157" t="str">
        <f>"&lt;restock&gt;" &amp;$F$7154&amp;"&lt;/restock&gt;"</f>
        <v>&lt;restock&gt;0&lt;/restock&gt;</v>
      </c>
      <c r="B7157" t="s">
        <v>3432</v>
      </c>
    </row>
    <row r="7158" spans="1:8" x14ac:dyDescent="0.25">
      <c r="A7158" t="str">
        <f>"&lt;min&gt;" &amp;$G$7154&amp;"&lt;/min&gt;"</f>
        <v>&lt;min&gt;0&lt;/min&gt;</v>
      </c>
      <c r="B7158" t="s">
        <v>3432</v>
      </c>
    </row>
    <row r="7159" spans="1:8" x14ac:dyDescent="0.25">
      <c r="A7159" t="s">
        <v>16</v>
      </c>
      <c r="B7159" t="s">
        <v>3432</v>
      </c>
    </row>
    <row r="7160" spans="1:8" x14ac:dyDescent="0.25">
      <c r="A7160" t="s">
        <v>17</v>
      </c>
      <c r="B7160" t="s">
        <v>3432</v>
      </c>
    </row>
    <row r="7161" spans="1:8" x14ac:dyDescent="0.25">
      <c r="A7161" t="s">
        <v>18</v>
      </c>
      <c r="B7161" t="s">
        <v>3432</v>
      </c>
    </row>
    <row r="7162" spans="1:8" x14ac:dyDescent="0.25">
      <c r="A7162" t="str">
        <f xml:space="preserve"> $H$7154</f>
        <v>&lt;flags count_in_cargo="0" count_in_hoarder="0" count_in_map="1" count_in_player="0" crafted="0" deloot="0"/&gt;</v>
      </c>
      <c r="B7162" t="s">
        <v>3432</v>
      </c>
    </row>
    <row r="7163" spans="1:8" x14ac:dyDescent="0.25">
      <c r="A7163" t="str">
        <f>"&lt;category name=" &amp;"""" &amp;$C$7154&amp;"""/&gt;"</f>
        <v>&lt;category name="clothes"/&gt;</v>
      </c>
      <c r="B7163" t="s">
        <v>3432</v>
      </c>
    </row>
    <row r="7164" spans="1:8" x14ac:dyDescent="0.25">
      <c r="A7164" t="s">
        <v>39</v>
      </c>
      <c r="B7164" t="s">
        <v>3432</v>
      </c>
    </row>
    <row r="7165" spans="1:8" x14ac:dyDescent="0.25">
      <c r="A7165" t="s">
        <v>40</v>
      </c>
      <c r="B7165" t="s">
        <v>3432</v>
      </c>
    </row>
    <row r="7166" spans="1:8" x14ac:dyDescent="0.25">
      <c r="A7166" t="s">
        <v>82</v>
      </c>
      <c r="B7166" t="s">
        <v>3432</v>
      </c>
    </row>
    <row r="7167" spans="1:8" x14ac:dyDescent="0.25">
      <c r="A7167" t="s">
        <v>30</v>
      </c>
      <c r="B7167" t="s">
        <v>3432</v>
      </c>
    </row>
    <row r="7168" spans="1:8" x14ac:dyDescent="0.25">
      <c r="A7168" t="s">
        <v>31</v>
      </c>
      <c r="B7168" t="s">
        <v>3432</v>
      </c>
    </row>
    <row r="7169" spans="1:8" x14ac:dyDescent="0.25">
      <c r="A7169" t="s">
        <v>307</v>
      </c>
      <c r="B7169" t="s">
        <v>3432</v>
      </c>
    </row>
    <row r="7170" spans="1:8" x14ac:dyDescent="0.25">
      <c r="A7170" t="s">
        <v>22</v>
      </c>
      <c r="B7170" t="s">
        <v>3432</v>
      </c>
    </row>
    <row r="7171" spans="1:8" x14ac:dyDescent="0.25">
      <c r="A7171" t="s">
        <v>1952</v>
      </c>
      <c r="B7171" t="s">
        <v>3433</v>
      </c>
      <c r="C7171" t="s">
        <v>403</v>
      </c>
      <c r="D7171">
        <v>0</v>
      </c>
      <c r="E7171">
        <v>300</v>
      </c>
      <c r="F7171">
        <v>0</v>
      </c>
      <c r="G7171">
        <v>0</v>
      </c>
      <c r="H7171" t="s">
        <v>19</v>
      </c>
    </row>
    <row r="7172" spans="1:8" x14ac:dyDescent="0.25">
      <c r="A7172" t="str">
        <f>"&lt;nominal&gt;" &amp;$D$7171&amp;"&lt;/nominal&gt;"</f>
        <v>&lt;nominal&gt;0&lt;/nominal&gt;</v>
      </c>
      <c r="B7172" t="s">
        <v>3433</v>
      </c>
    </row>
    <row r="7173" spans="1:8" x14ac:dyDescent="0.25">
      <c r="A7173" t="str">
        <f>"&lt;lifetime&gt;" &amp;$E$7171&amp;"&lt;/lifetime&gt;"</f>
        <v>&lt;lifetime&gt;300&lt;/lifetime&gt;</v>
      </c>
      <c r="B7173" t="s">
        <v>3433</v>
      </c>
    </row>
    <row r="7174" spans="1:8" x14ac:dyDescent="0.25">
      <c r="A7174" t="str">
        <f>"&lt;restock&gt;" &amp;$F$7171&amp;"&lt;/restock&gt;"</f>
        <v>&lt;restock&gt;0&lt;/restock&gt;</v>
      </c>
      <c r="B7174" t="s">
        <v>3433</v>
      </c>
    </row>
    <row r="7175" spans="1:8" x14ac:dyDescent="0.25">
      <c r="A7175" t="str">
        <f>"&lt;min&gt;" &amp;$G$7171&amp;"&lt;/min&gt;"</f>
        <v>&lt;min&gt;0&lt;/min&gt;</v>
      </c>
      <c r="B7175" t="s">
        <v>3433</v>
      </c>
    </row>
    <row r="7176" spans="1:8" x14ac:dyDescent="0.25">
      <c r="A7176" t="s">
        <v>16</v>
      </c>
      <c r="B7176" t="s">
        <v>3433</v>
      </c>
    </row>
    <row r="7177" spans="1:8" x14ac:dyDescent="0.25">
      <c r="A7177" t="s">
        <v>17</v>
      </c>
      <c r="B7177" t="s">
        <v>3433</v>
      </c>
    </row>
    <row r="7178" spans="1:8" x14ac:dyDescent="0.25">
      <c r="A7178" t="s">
        <v>18</v>
      </c>
      <c r="B7178" t="s">
        <v>3433</v>
      </c>
    </row>
    <row r="7179" spans="1:8" x14ac:dyDescent="0.25">
      <c r="A7179" t="str">
        <f xml:space="preserve"> $H$7171</f>
        <v>&lt;flags count_in_cargo="0" count_in_hoarder="0" count_in_map="1" count_in_player="0" crafted="0" deloot="0"/&gt;</v>
      </c>
      <c r="B7179" t="s">
        <v>3433</v>
      </c>
    </row>
    <row r="7180" spans="1:8" x14ac:dyDescent="0.25">
      <c r="A7180" t="str">
        <f>"&lt;category name=" &amp;"""" &amp;$C$7171&amp;"""/&gt;"</f>
        <v>&lt;category name="clothes"/&gt;</v>
      </c>
      <c r="B7180" t="s">
        <v>3433</v>
      </c>
    </row>
    <row r="7181" spans="1:8" x14ac:dyDescent="0.25">
      <c r="A7181" t="s">
        <v>39</v>
      </c>
      <c r="B7181" t="s">
        <v>3433</v>
      </c>
    </row>
    <row r="7182" spans="1:8" x14ac:dyDescent="0.25">
      <c r="A7182" t="s">
        <v>40</v>
      </c>
      <c r="B7182" t="s">
        <v>3433</v>
      </c>
    </row>
    <row r="7183" spans="1:8" x14ac:dyDescent="0.25">
      <c r="A7183" t="s">
        <v>82</v>
      </c>
      <c r="B7183" t="s">
        <v>3433</v>
      </c>
    </row>
    <row r="7184" spans="1:8" x14ac:dyDescent="0.25">
      <c r="A7184" t="s">
        <v>30</v>
      </c>
      <c r="B7184" t="s">
        <v>3433</v>
      </c>
    </row>
    <row r="7185" spans="1:8" x14ac:dyDescent="0.25">
      <c r="A7185" t="s">
        <v>31</v>
      </c>
      <c r="B7185" t="s">
        <v>3433</v>
      </c>
    </row>
    <row r="7186" spans="1:8" x14ac:dyDescent="0.25">
      <c r="A7186" t="s">
        <v>307</v>
      </c>
      <c r="B7186" t="s">
        <v>3433</v>
      </c>
    </row>
    <row r="7187" spans="1:8" x14ac:dyDescent="0.25">
      <c r="A7187" t="s">
        <v>22</v>
      </c>
      <c r="B7187" t="s">
        <v>3433</v>
      </c>
    </row>
    <row r="7188" spans="1:8" x14ac:dyDescent="0.25">
      <c r="A7188" t="s">
        <v>1953</v>
      </c>
      <c r="B7188" t="s">
        <v>3434</v>
      </c>
      <c r="C7188" t="s">
        <v>403</v>
      </c>
      <c r="D7188">
        <v>0</v>
      </c>
      <c r="E7188">
        <v>300</v>
      </c>
      <c r="F7188">
        <v>0</v>
      </c>
      <c r="G7188">
        <v>0</v>
      </c>
      <c r="H7188" t="s">
        <v>19</v>
      </c>
    </row>
    <row r="7189" spans="1:8" x14ac:dyDescent="0.25">
      <c r="A7189" t="str">
        <f>"&lt;nominal&gt;" &amp;$D$7188&amp;"&lt;/nominal&gt;"</f>
        <v>&lt;nominal&gt;0&lt;/nominal&gt;</v>
      </c>
      <c r="B7189" t="s">
        <v>3434</v>
      </c>
    </row>
    <row r="7190" spans="1:8" x14ac:dyDescent="0.25">
      <c r="A7190" t="str">
        <f>"&lt;lifetime&gt;" &amp;$E$7188&amp;"&lt;/lifetime&gt;"</f>
        <v>&lt;lifetime&gt;300&lt;/lifetime&gt;</v>
      </c>
      <c r="B7190" t="s">
        <v>3434</v>
      </c>
    </row>
    <row r="7191" spans="1:8" x14ac:dyDescent="0.25">
      <c r="A7191" t="str">
        <f>"&lt;restock&gt;" &amp;$F$7188&amp;"&lt;/restock&gt;"</f>
        <v>&lt;restock&gt;0&lt;/restock&gt;</v>
      </c>
      <c r="B7191" t="s">
        <v>3434</v>
      </c>
    </row>
    <row r="7192" spans="1:8" x14ac:dyDescent="0.25">
      <c r="A7192" t="str">
        <f>"&lt;min&gt;" &amp;$G$7188&amp;"&lt;/min&gt;"</f>
        <v>&lt;min&gt;0&lt;/min&gt;</v>
      </c>
      <c r="B7192" t="s">
        <v>3434</v>
      </c>
    </row>
    <row r="7193" spans="1:8" x14ac:dyDescent="0.25">
      <c r="A7193" t="s">
        <v>16</v>
      </c>
      <c r="B7193" t="s">
        <v>3434</v>
      </c>
    </row>
    <row r="7194" spans="1:8" x14ac:dyDescent="0.25">
      <c r="A7194" t="s">
        <v>17</v>
      </c>
      <c r="B7194" t="s">
        <v>3434</v>
      </c>
    </row>
    <row r="7195" spans="1:8" x14ac:dyDescent="0.25">
      <c r="A7195" t="s">
        <v>18</v>
      </c>
      <c r="B7195" t="s">
        <v>3434</v>
      </c>
    </row>
    <row r="7196" spans="1:8" x14ac:dyDescent="0.25">
      <c r="A7196" t="str">
        <f xml:space="preserve"> $H$7188</f>
        <v>&lt;flags count_in_cargo="0" count_in_hoarder="0" count_in_map="1" count_in_player="0" crafted="0" deloot="0"/&gt;</v>
      </c>
      <c r="B7196" t="s">
        <v>3434</v>
      </c>
    </row>
    <row r="7197" spans="1:8" x14ac:dyDescent="0.25">
      <c r="A7197" t="str">
        <f>"&lt;category name=" &amp;"""" &amp;$C$7188&amp;"""/&gt;"</f>
        <v>&lt;category name="clothes"/&gt;</v>
      </c>
      <c r="B7197" t="s">
        <v>3434</v>
      </c>
    </row>
    <row r="7198" spans="1:8" x14ac:dyDescent="0.25">
      <c r="A7198" t="s">
        <v>39</v>
      </c>
      <c r="B7198" t="s">
        <v>3434</v>
      </c>
    </row>
    <row r="7199" spans="1:8" x14ac:dyDescent="0.25">
      <c r="A7199" t="s">
        <v>40</v>
      </c>
      <c r="B7199" t="s">
        <v>3434</v>
      </c>
    </row>
    <row r="7200" spans="1:8" x14ac:dyDescent="0.25">
      <c r="A7200" t="s">
        <v>82</v>
      </c>
      <c r="B7200" t="s">
        <v>3434</v>
      </c>
    </row>
    <row r="7201" spans="1:8" x14ac:dyDescent="0.25">
      <c r="A7201" t="s">
        <v>30</v>
      </c>
      <c r="B7201" t="s">
        <v>3434</v>
      </c>
    </row>
    <row r="7202" spans="1:8" x14ac:dyDescent="0.25">
      <c r="A7202" t="s">
        <v>31</v>
      </c>
      <c r="B7202" t="s">
        <v>3434</v>
      </c>
    </row>
    <row r="7203" spans="1:8" x14ac:dyDescent="0.25">
      <c r="A7203" t="s">
        <v>307</v>
      </c>
      <c r="B7203" t="s">
        <v>3434</v>
      </c>
    </row>
    <row r="7204" spans="1:8" x14ac:dyDescent="0.25">
      <c r="A7204" t="s">
        <v>22</v>
      </c>
      <c r="B7204" t="s">
        <v>3434</v>
      </c>
    </row>
    <row r="7205" spans="1:8" x14ac:dyDescent="0.25">
      <c r="A7205" t="s">
        <v>1954</v>
      </c>
      <c r="B7205" t="s">
        <v>3435</v>
      </c>
      <c r="C7205" t="s">
        <v>403</v>
      </c>
      <c r="D7205">
        <v>0</v>
      </c>
      <c r="E7205">
        <v>300</v>
      </c>
      <c r="F7205">
        <v>0</v>
      </c>
      <c r="G7205">
        <v>0</v>
      </c>
      <c r="H7205" t="s">
        <v>19</v>
      </c>
    </row>
    <row r="7206" spans="1:8" x14ac:dyDescent="0.25">
      <c r="A7206" t="str">
        <f>"&lt;nominal&gt;" &amp;$D$7205&amp;"&lt;/nominal&gt;"</f>
        <v>&lt;nominal&gt;0&lt;/nominal&gt;</v>
      </c>
      <c r="B7206" t="s">
        <v>3435</v>
      </c>
    </row>
    <row r="7207" spans="1:8" x14ac:dyDescent="0.25">
      <c r="A7207" t="str">
        <f>"&lt;lifetime&gt;" &amp;$E$7205&amp;"&lt;/lifetime&gt;"</f>
        <v>&lt;lifetime&gt;300&lt;/lifetime&gt;</v>
      </c>
      <c r="B7207" t="s">
        <v>3435</v>
      </c>
    </row>
    <row r="7208" spans="1:8" x14ac:dyDescent="0.25">
      <c r="A7208" t="str">
        <f>"&lt;restock&gt;" &amp;$F$7205&amp;"&lt;/restock&gt;"</f>
        <v>&lt;restock&gt;0&lt;/restock&gt;</v>
      </c>
      <c r="B7208" t="s">
        <v>3435</v>
      </c>
    </row>
    <row r="7209" spans="1:8" x14ac:dyDescent="0.25">
      <c r="A7209" t="str">
        <f>"&lt;min&gt;" &amp;$G$7205&amp;"&lt;/min&gt;"</f>
        <v>&lt;min&gt;0&lt;/min&gt;</v>
      </c>
      <c r="B7209" t="s">
        <v>3435</v>
      </c>
    </row>
    <row r="7210" spans="1:8" x14ac:dyDescent="0.25">
      <c r="A7210" t="s">
        <v>16</v>
      </c>
      <c r="B7210" t="s">
        <v>3435</v>
      </c>
    </row>
    <row r="7211" spans="1:8" x14ac:dyDescent="0.25">
      <c r="A7211" t="s">
        <v>17</v>
      </c>
      <c r="B7211" t="s">
        <v>3435</v>
      </c>
    </row>
    <row r="7212" spans="1:8" x14ac:dyDescent="0.25">
      <c r="A7212" t="s">
        <v>18</v>
      </c>
      <c r="B7212" t="s">
        <v>3435</v>
      </c>
    </row>
    <row r="7213" spans="1:8" x14ac:dyDescent="0.25">
      <c r="A7213" t="str">
        <f xml:space="preserve"> $H$7205</f>
        <v>&lt;flags count_in_cargo="0" count_in_hoarder="0" count_in_map="1" count_in_player="0" crafted="0" deloot="0"/&gt;</v>
      </c>
      <c r="B7213" t="s">
        <v>3435</v>
      </c>
    </row>
    <row r="7214" spans="1:8" x14ac:dyDescent="0.25">
      <c r="A7214" t="str">
        <f>"&lt;category name=" &amp;"""" &amp;$C$7205&amp;"""/&gt;"</f>
        <v>&lt;category name="clothes"/&gt;</v>
      </c>
      <c r="B7214" t="s">
        <v>3435</v>
      </c>
    </row>
    <row r="7215" spans="1:8" x14ac:dyDescent="0.25">
      <c r="A7215" t="s">
        <v>39</v>
      </c>
      <c r="B7215" t="s">
        <v>3435</v>
      </c>
    </row>
    <row r="7216" spans="1:8" x14ac:dyDescent="0.25">
      <c r="A7216" t="s">
        <v>40</v>
      </c>
      <c r="B7216" t="s">
        <v>3435</v>
      </c>
    </row>
    <row r="7217" spans="1:8" x14ac:dyDescent="0.25">
      <c r="A7217" t="s">
        <v>82</v>
      </c>
      <c r="B7217" t="s">
        <v>3435</v>
      </c>
    </row>
    <row r="7218" spans="1:8" x14ac:dyDescent="0.25">
      <c r="A7218" t="s">
        <v>30</v>
      </c>
      <c r="B7218" t="s">
        <v>3435</v>
      </c>
    </row>
    <row r="7219" spans="1:8" x14ac:dyDescent="0.25">
      <c r="A7219" t="s">
        <v>31</v>
      </c>
      <c r="B7219" t="s">
        <v>3435</v>
      </c>
    </row>
    <row r="7220" spans="1:8" x14ac:dyDescent="0.25">
      <c r="A7220" t="s">
        <v>307</v>
      </c>
      <c r="B7220" t="s">
        <v>3435</v>
      </c>
    </row>
    <row r="7221" spans="1:8" x14ac:dyDescent="0.25">
      <c r="A7221" t="s">
        <v>22</v>
      </c>
      <c r="B7221" t="s">
        <v>3435</v>
      </c>
    </row>
    <row r="7222" spans="1:8" x14ac:dyDescent="0.25">
      <c r="A7222" t="s">
        <v>1955</v>
      </c>
      <c r="B7222" t="s">
        <v>3436</v>
      </c>
      <c r="C7222" t="s">
        <v>403</v>
      </c>
      <c r="D7222">
        <v>0</v>
      </c>
      <c r="E7222">
        <v>300</v>
      </c>
      <c r="F7222">
        <v>0</v>
      </c>
      <c r="G7222">
        <v>0</v>
      </c>
      <c r="H7222" t="s">
        <v>19</v>
      </c>
    </row>
    <row r="7223" spans="1:8" x14ac:dyDescent="0.25">
      <c r="A7223" t="str">
        <f>"&lt;nominal&gt;" &amp;$D$7222&amp;"&lt;/nominal&gt;"</f>
        <v>&lt;nominal&gt;0&lt;/nominal&gt;</v>
      </c>
      <c r="B7223" t="s">
        <v>3436</v>
      </c>
    </row>
    <row r="7224" spans="1:8" x14ac:dyDescent="0.25">
      <c r="A7224" t="str">
        <f>"&lt;lifetime&gt;" &amp;$E$7222&amp;"&lt;/lifetime&gt;"</f>
        <v>&lt;lifetime&gt;300&lt;/lifetime&gt;</v>
      </c>
      <c r="B7224" t="s">
        <v>3436</v>
      </c>
    </row>
    <row r="7225" spans="1:8" x14ac:dyDescent="0.25">
      <c r="A7225" t="str">
        <f>"&lt;restock&gt;" &amp;$F$7222&amp;"&lt;/restock&gt;"</f>
        <v>&lt;restock&gt;0&lt;/restock&gt;</v>
      </c>
      <c r="B7225" t="s">
        <v>3436</v>
      </c>
    </row>
    <row r="7226" spans="1:8" x14ac:dyDescent="0.25">
      <c r="A7226" t="str">
        <f>"&lt;min&gt;" &amp;$G$7222&amp;"&lt;/min&gt;"</f>
        <v>&lt;min&gt;0&lt;/min&gt;</v>
      </c>
      <c r="B7226" t="s">
        <v>3436</v>
      </c>
    </row>
    <row r="7227" spans="1:8" x14ac:dyDescent="0.25">
      <c r="A7227" t="s">
        <v>16</v>
      </c>
      <c r="B7227" t="s">
        <v>3436</v>
      </c>
    </row>
    <row r="7228" spans="1:8" x14ac:dyDescent="0.25">
      <c r="A7228" t="s">
        <v>17</v>
      </c>
      <c r="B7228" t="s">
        <v>3436</v>
      </c>
    </row>
    <row r="7229" spans="1:8" x14ac:dyDescent="0.25">
      <c r="A7229" t="s">
        <v>18</v>
      </c>
      <c r="B7229" t="s">
        <v>3436</v>
      </c>
    </row>
    <row r="7230" spans="1:8" x14ac:dyDescent="0.25">
      <c r="A7230" t="str">
        <f xml:space="preserve"> $H$7222</f>
        <v>&lt;flags count_in_cargo="0" count_in_hoarder="0" count_in_map="1" count_in_player="0" crafted="0" deloot="0"/&gt;</v>
      </c>
      <c r="B7230" t="s">
        <v>3436</v>
      </c>
    </row>
    <row r="7231" spans="1:8" x14ac:dyDescent="0.25">
      <c r="A7231" t="str">
        <f>"&lt;category name=" &amp;"""" &amp;$C$7222&amp;"""/&gt;"</f>
        <v>&lt;category name="clothes"/&gt;</v>
      </c>
      <c r="B7231" t="s">
        <v>3436</v>
      </c>
    </row>
    <row r="7232" spans="1:8" x14ac:dyDescent="0.25">
      <c r="A7232" t="s">
        <v>25</v>
      </c>
      <c r="B7232" t="s">
        <v>3436</v>
      </c>
    </row>
    <row r="7233" spans="1:8" x14ac:dyDescent="0.25">
      <c r="A7233" t="s">
        <v>39</v>
      </c>
      <c r="B7233" t="s">
        <v>3436</v>
      </c>
    </row>
    <row r="7234" spans="1:8" x14ac:dyDescent="0.25">
      <c r="A7234" t="s">
        <v>40</v>
      </c>
      <c r="B7234" t="s">
        <v>3436</v>
      </c>
    </row>
    <row r="7235" spans="1:8" x14ac:dyDescent="0.25">
      <c r="A7235" t="s">
        <v>22</v>
      </c>
      <c r="B7235" t="s">
        <v>3436</v>
      </c>
    </row>
    <row r="7236" spans="1:8" x14ac:dyDescent="0.25">
      <c r="A7236" t="s">
        <v>1956</v>
      </c>
      <c r="B7236" t="s">
        <v>3437</v>
      </c>
      <c r="C7236" t="s">
        <v>403</v>
      </c>
      <c r="D7236">
        <v>0</v>
      </c>
      <c r="E7236">
        <v>300</v>
      </c>
      <c r="F7236">
        <v>0</v>
      </c>
      <c r="G7236">
        <v>0</v>
      </c>
      <c r="H7236" t="s">
        <v>19</v>
      </c>
    </row>
    <row r="7237" spans="1:8" x14ac:dyDescent="0.25">
      <c r="A7237" t="str">
        <f>"&lt;nominal&gt;" &amp;$D$7236&amp;"&lt;/nominal&gt;"</f>
        <v>&lt;nominal&gt;0&lt;/nominal&gt;</v>
      </c>
      <c r="B7237" t="s">
        <v>3437</v>
      </c>
    </row>
    <row r="7238" spans="1:8" x14ac:dyDescent="0.25">
      <c r="A7238" t="str">
        <f>"&lt;lifetime&gt;" &amp;$E$7236&amp;"&lt;/lifetime&gt;"</f>
        <v>&lt;lifetime&gt;300&lt;/lifetime&gt;</v>
      </c>
      <c r="B7238" t="s">
        <v>3437</v>
      </c>
    </row>
    <row r="7239" spans="1:8" x14ac:dyDescent="0.25">
      <c r="A7239" t="str">
        <f>"&lt;restock&gt;" &amp;$F$7236&amp;"&lt;/restock&gt;"</f>
        <v>&lt;restock&gt;0&lt;/restock&gt;</v>
      </c>
      <c r="B7239" t="s">
        <v>3437</v>
      </c>
    </row>
    <row r="7240" spans="1:8" x14ac:dyDescent="0.25">
      <c r="A7240" t="str">
        <f>"&lt;min&gt;" &amp;$G$7236&amp;"&lt;/min&gt;"</f>
        <v>&lt;min&gt;0&lt;/min&gt;</v>
      </c>
      <c r="B7240" t="s">
        <v>3437</v>
      </c>
    </row>
    <row r="7241" spans="1:8" x14ac:dyDescent="0.25">
      <c r="A7241" t="s">
        <v>16</v>
      </c>
      <c r="B7241" t="s">
        <v>3437</v>
      </c>
    </row>
    <row r="7242" spans="1:8" x14ac:dyDescent="0.25">
      <c r="A7242" t="s">
        <v>17</v>
      </c>
      <c r="B7242" t="s">
        <v>3437</v>
      </c>
    </row>
    <row r="7243" spans="1:8" x14ac:dyDescent="0.25">
      <c r="A7243" t="s">
        <v>18</v>
      </c>
      <c r="B7243" t="s">
        <v>3437</v>
      </c>
    </row>
    <row r="7244" spans="1:8" x14ac:dyDescent="0.25">
      <c r="A7244" t="str">
        <f xml:space="preserve"> $H$7236</f>
        <v>&lt;flags count_in_cargo="0" count_in_hoarder="0" count_in_map="1" count_in_player="0" crafted="0" deloot="0"/&gt;</v>
      </c>
      <c r="B7244" t="s">
        <v>3437</v>
      </c>
    </row>
    <row r="7245" spans="1:8" x14ac:dyDescent="0.25">
      <c r="A7245" t="str">
        <f>"&lt;category name=" &amp;"""" &amp;$C$7236&amp;"""/&gt;"</f>
        <v>&lt;category name="clothes"/&gt;</v>
      </c>
      <c r="B7245" t="s">
        <v>3437</v>
      </c>
    </row>
    <row r="7246" spans="1:8" x14ac:dyDescent="0.25">
      <c r="A7246" t="s">
        <v>25</v>
      </c>
      <c r="B7246" t="s">
        <v>3437</v>
      </c>
    </row>
    <row r="7247" spans="1:8" x14ac:dyDescent="0.25">
      <c r="A7247" t="s">
        <v>39</v>
      </c>
      <c r="B7247" t="s">
        <v>3437</v>
      </c>
    </row>
    <row r="7248" spans="1:8" x14ac:dyDescent="0.25">
      <c r="A7248" t="s">
        <v>40</v>
      </c>
      <c r="B7248" t="s">
        <v>3437</v>
      </c>
    </row>
    <row r="7249" spans="1:8" x14ac:dyDescent="0.25">
      <c r="A7249" t="s">
        <v>22</v>
      </c>
      <c r="B7249" t="s">
        <v>3437</v>
      </c>
    </row>
    <row r="7250" spans="1:8" x14ac:dyDescent="0.25">
      <c r="A7250" t="s">
        <v>1957</v>
      </c>
      <c r="B7250" t="s">
        <v>3438</v>
      </c>
      <c r="C7250" t="s">
        <v>403</v>
      </c>
      <c r="D7250">
        <v>0</v>
      </c>
      <c r="E7250">
        <v>300</v>
      </c>
      <c r="F7250">
        <v>0</v>
      </c>
      <c r="G7250">
        <v>0</v>
      </c>
      <c r="H7250" t="s">
        <v>19</v>
      </c>
    </row>
    <row r="7251" spans="1:8" x14ac:dyDescent="0.25">
      <c r="A7251" t="str">
        <f>"&lt;nominal&gt;" &amp;$D$7250&amp;"&lt;/nominal&gt;"</f>
        <v>&lt;nominal&gt;0&lt;/nominal&gt;</v>
      </c>
      <c r="B7251" t="s">
        <v>3438</v>
      </c>
    </row>
    <row r="7252" spans="1:8" x14ac:dyDescent="0.25">
      <c r="A7252" t="str">
        <f>"&lt;lifetime&gt;" &amp;$E$7250&amp;"&lt;/lifetime&gt;"</f>
        <v>&lt;lifetime&gt;300&lt;/lifetime&gt;</v>
      </c>
      <c r="B7252" t="s">
        <v>3438</v>
      </c>
    </row>
    <row r="7253" spans="1:8" x14ac:dyDescent="0.25">
      <c r="A7253" t="str">
        <f>"&lt;restock&gt;" &amp;$F$7250&amp;"&lt;/restock&gt;"</f>
        <v>&lt;restock&gt;0&lt;/restock&gt;</v>
      </c>
      <c r="B7253" t="s">
        <v>3438</v>
      </c>
    </row>
    <row r="7254" spans="1:8" x14ac:dyDescent="0.25">
      <c r="A7254" t="str">
        <f>"&lt;min&gt;" &amp;$G$7250&amp;"&lt;/min&gt;"</f>
        <v>&lt;min&gt;0&lt;/min&gt;</v>
      </c>
      <c r="B7254" t="s">
        <v>3438</v>
      </c>
    </row>
    <row r="7255" spans="1:8" x14ac:dyDescent="0.25">
      <c r="A7255" t="s">
        <v>16</v>
      </c>
      <c r="B7255" t="s">
        <v>3438</v>
      </c>
    </row>
    <row r="7256" spans="1:8" x14ac:dyDescent="0.25">
      <c r="A7256" t="s">
        <v>17</v>
      </c>
      <c r="B7256" t="s">
        <v>3438</v>
      </c>
    </row>
    <row r="7257" spans="1:8" x14ac:dyDescent="0.25">
      <c r="A7257" t="s">
        <v>18</v>
      </c>
      <c r="B7257" t="s">
        <v>3438</v>
      </c>
    </row>
    <row r="7258" spans="1:8" x14ac:dyDescent="0.25">
      <c r="A7258" t="str">
        <f xml:space="preserve"> $H$7250</f>
        <v>&lt;flags count_in_cargo="0" count_in_hoarder="0" count_in_map="1" count_in_player="0" crafted="0" deloot="0"/&gt;</v>
      </c>
      <c r="B7258" t="s">
        <v>3438</v>
      </c>
    </row>
    <row r="7259" spans="1:8" x14ac:dyDescent="0.25">
      <c r="A7259" t="str">
        <f>"&lt;category name=" &amp;"""" &amp;$C$7250&amp;"""/&gt;"</f>
        <v>&lt;category name="clothes"/&gt;</v>
      </c>
      <c r="B7259" t="s">
        <v>3438</v>
      </c>
    </row>
    <row r="7260" spans="1:8" x14ac:dyDescent="0.25">
      <c r="A7260" t="s">
        <v>25</v>
      </c>
      <c r="B7260" t="s">
        <v>3438</v>
      </c>
    </row>
    <row r="7261" spans="1:8" x14ac:dyDescent="0.25">
      <c r="A7261" t="s">
        <v>39</v>
      </c>
      <c r="B7261" t="s">
        <v>3438</v>
      </c>
    </row>
    <row r="7262" spans="1:8" x14ac:dyDescent="0.25">
      <c r="A7262" t="s">
        <v>40</v>
      </c>
      <c r="B7262" t="s">
        <v>3438</v>
      </c>
    </row>
    <row r="7263" spans="1:8" x14ac:dyDescent="0.25">
      <c r="A7263" t="s">
        <v>22</v>
      </c>
      <c r="B7263" t="s">
        <v>3438</v>
      </c>
    </row>
    <row r="7264" spans="1:8" x14ac:dyDescent="0.25">
      <c r="A7264" t="s">
        <v>1958</v>
      </c>
      <c r="B7264" t="s">
        <v>3439</v>
      </c>
      <c r="C7264" t="s">
        <v>403</v>
      </c>
      <c r="D7264">
        <v>0</v>
      </c>
      <c r="E7264">
        <v>300</v>
      </c>
      <c r="F7264">
        <v>0</v>
      </c>
      <c r="G7264">
        <v>0</v>
      </c>
      <c r="H7264" t="s">
        <v>19</v>
      </c>
    </row>
    <row r="7265" spans="1:8" x14ac:dyDescent="0.25">
      <c r="A7265" t="str">
        <f>"&lt;nominal&gt;" &amp;$D$7264&amp;"&lt;/nominal&gt;"</f>
        <v>&lt;nominal&gt;0&lt;/nominal&gt;</v>
      </c>
      <c r="B7265" t="s">
        <v>3439</v>
      </c>
    </row>
    <row r="7266" spans="1:8" x14ac:dyDescent="0.25">
      <c r="A7266" t="str">
        <f>"&lt;lifetime&gt;" &amp;$E$7264&amp;"&lt;/lifetime&gt;"</f>
        <v>&lt;lifetime&gt;300&lt;/lifetime&gt;</v>
      </c>
      <c r="B7266" t="s">
        <v>3439</v>
      </c>
    </row>
    <row r="7267" spans="1:8" x14ac:dyDescent="0.25">
      <c r="A7267" t="str">
        <f>"&lt;restock&gt;" &amp;$F$7264&amp;"&lt;/restock&gt;"</f>
        <v>&lt;restock&gt;0&lt;/restock&gt;</v>
      </c>
      <c r="B7267" t="s">
        <v>3439</v>
      </c>
    </row>
    <row r="7268" spans="1:8" x14ac:dyDescent="0.25">
      <c r="A7268" t="str">
        <f>"&lt;min&gt;" &amp;$G$7264&amp;"&lt;/min&gt;"</f>
        <v>&lt;min&gt;0&lt;/min&gt;</v>
      </c>
      <c r="B7268" t="s">
        <v>3439</v>
      </c>
    </row>
    <row r="7269" spans="1:8" x14ac:dyDescent="0.25">
      <c r="A7269" t="s">
        <v>16</v>
      </c>
      <c r="B7269" t="s">
        <v>3439</v>
      </c>
    </row>
    <row r="7270" spans="1:8" x14ac:dyDescent="0.25">
      <c r="A7270" t="s">
        <v>17</v>
      </c>
      <c r="B7270" t="s">
        <v>3439</v>
      </c>
    </row>
    <row r="7271" spans="1:8" x14ac:dyDescent="0.25">
      <c r="A7271" t="s">
        <v>18</v>
      </c>
      <c r="B7271" t="s">
        <v>3439</v>
      </c>
    </row>
    <row r="7272" spans="1:8" x14ac:dyDescent="0.25">
      <c r="A7272" t="str">
        <f xml:space="preserve"> $H$7264</f>
        <v>&lt;flags count_in_cargo="0" count_in_hoarder="0" count_in_map="1" count_in_player="0" crafted="0" deloot="0"/&gt;</v>
      </c>
      <c r="B7272" t="s">
        <v>3439</v>
      </c>
    </row>
    <row r="7273" spans="1:8" x14ac:dyDescent="0.25">
      <c r="A7273" t="str">
        <f>"&lt;category name=" &amp;"""" &amp;$C$7264&amp;"""/&gt;"</f>
        <v>&lt;category name="clothes"/&gt;</v>
      </c>
      <c r="B7273" t="s">
        <v>3439</v>
      </c>
    </row>
    <row r="7274" spans="1:8" x14ac:dyDescent="0.25">
      <c r="A7274" t="s">
        <v>25</v>
      </c>
      <c r="B7274" t="s">
        <v>3439</v>
      </c>
    </row>
    <row r="7275" spans="1:8" x14ac:dyDescent="0.25">
      <c r="A7275" t="s">
        <v>39</v>
      </c>
      <c r="B7275" t="s">
        <v>3439</v>
      </c>
    </row>
    <row r="7276" spans="1:8" x14ac:dyDescent="0.25">
      <c r="A7276" t="s">
        <v>40</v>
      </c>
      <c r="B7276" t="s">
        <v>3439</v>
      </c>
    </row>
    <row r="7277" spans="1:8" x14ac:dyDescent="0.25">
      <c r="A7277" t="s">
        <v>22</v>
      </c>
      <c r="B7277" t="s">
        <v>3439</v>
      </c>
    </row>
    <row r="7278" spans="1:8" x14ac:dyDescent="0.25">
      <c r="A7278" t="s">
        <v>1959</v>
      </c>
      <c r="B7278" t="s">
        <v>3440</v>
      </c>
      <c r="C7278" t="s">
        <v>403</v>
      </c>
      <c r="D7278">
        <v>0</v>
      </c>
      <c r="E7278">
        <v>300</v>
      </c>
      <c r="F7278">
        <v>0</v>
      </c>
      <c r="G7278">
        <v>0</v>
      </c>
      <c r="H7278" t="s">
        <v>19</v>
      </c>
    </row>
    <row r="7279" spans="1:8" x14ac:dyDescent="0.25">
      <c r="A7279" t="str">
        <f>"&lt;nominal&gt;" &amp;$D$7278&amp;"&lt;/nominal&gt;"</f>
        <v>&lt;nominal&gt;0&lt;/nominal&gt;</v>
      </c>
      <c r="B7279" t="s">
        <v>3440</v>
      </c>
    </row>
    <row r="7280" spans="1:8" x14ac:dyDescent="0.25">
      <c r="A7280" t="str">
        <f>"&lt;lifetime&gt;" &amp;$E$7278&amp;"&lt;/lifetime&gt;"</f>
        <v>&lt;lifetime&gt;300&lt;/lifetime&gt;</v>
      </c>
      <c r="B7280" t="s">
        <v>3440</v>
      </c>
    </row>
    <row r="7281" spans="1:8" x14ac:dyDescent="0.25">
      <c r="A7281" t="str">
        <f>"&lt;restock&gt;" &amp;$F$7278&amp;"&lt;/restock&gt;"</f>
        <v>&lt;restock&gt;0&lt;/restock&gt;</v>
      </c>
      <c r="B7281" t="s">
        <v>3440</v>
      </c>
    </row>
    <row r="7282" spans="1:8" x14ac:dyDescent="0.25">
      <c r="A7282" t="str">
        <f>"&lt;min&gt;" &amp;$G$7278&amp;"&lt;/min&gt;"</f>
        <v>&lt;min&gt;0&lt;/min&gt;</v>
      </c>
      <c r="B7282" t="s">
        <v>3440</v>
      </c>
    </row>
    <row r="7283" spans="1:8" x14ac:dyDescent="0.25">
      <c r="A7283" t="s">
        <v>16</v>
      </c>
      <c r="B7283" t="s">
        <v>3440</v>
      </c>
    </row>
    <row r="7284" spans="1:8" x14ac:dyDescent="0.25">
      <c r="A7284" t="s">
        <v>17</v>
      </c>
      <c r="B7284" t="s">
        <v>3440</v>
      </c>
    </row>
    <row r="7285" spans="1:8" x14ac:dyDescent="0.25">
      <c r="A7285" t="s">
        <v>18</v>
      </c>
      <c r="B7285" t="s">
        <v>3440</v>
      </c>
    </row>
    <row r="7286" spans="1:8" x14ac:dyDescent="0.25">
      <c r="A7286" t="str">
        <f xml:space="preserve"> $H$7278</f>
        <v>&lt;flags count_in_cargo="0" count_in_hoarder="0" count_in_map="1" count_in_player="0" crafted="0" deloot="0"/&gt;</v>
      </c>
      <c r="B7286" t="s">
        <v>3440</v>
      </c>
    </row>
    <row r="7287" spans="1:8" x14ac:dyDescent="0.25">
      <c r="A7287" t="str">
        <f>"&lt;category name=" &amp;"""" &amp;$C$7278&amp;"""/&gt;"</f>
        <v>&lt;category name="clothes"/&gt;</v>
      </c>
      <c r="B7287" t="s">
        <v>3440</v>
      </c>
    </row>
    <row r="7288" spans="1:8" x14ac:dyDescent="0.25">
      <c r="A7288" t="s">
        <v>25</v>
      </c>
      <c r="B7288" t="s">
        <v>3440</v>
      </c>
    </row>
    <row r="7289" spans="1:8" x14ac:dyDescent="0.25">
      <c r="A7289" t="s">
        <v>39</v>
      </c>
      <c r="B7289" t="s">
        <v>3440</v>
      </c>
    </row>
    <row r="7290" spans="1:8" x14ac:dyDescent="0.25">
      <c r="A7290" t="s">
        <v>40</v>
      </c>
      <c r="B7290" t="s">
        <v>3440</v>
      </c>
    </row>
    <row r="7291" spans="1:8" x14ac:dyDescent="0.25">
      <c r="A7291" t="s">
        <v>22</v>
      </c>
      <c r="B7291" t="s">
        <v>3440</v>
      </c>
    </row>
    <row r="7292" spans="1:8" x14ac:dyDescent="0.25">
      <c r="A7292" t="s">
        <v>1960</v>
      </c>
      <c r="B7292" t="s">
        <v>768</v>
      </c>
      <c r="C7292" t="s">
        <v>403</v>
      </c>
      <c r="D7292">
        <v>20</v>
      </c>
      <c r="E7292">
        <v>2700</v>
      </c>
      <c r="F7292">
        <v>0</v>
      </c>
      <c r="G7292">
        <v>10</v>
      </c>
      <c r="H7292" t="s">
        <v>19</v>
      </c>
    </row>
    <row r="7293" spans="1:8" x14ac:dyDescent="0.25">
      <c r="A7293" t="str">
        <f>"&lt;nominal&gt;" &amp;$D$7292&amp;"&lt;/nominal&gt;"</f>
        <v>&lt;nominal&gt;20&lt;/nominal&gt;</v>
      </c>
      <c r="B7293" t="s">
        <v>768</v>
      </c>
    </row>
    <row r="7294" spans="1:8" x14ac:dyDescent="0.25">
      <c r="A7294" t="str">
        <f>"&lt;lifetime&gt;" &amp;$E$7292&amp;"&lt;/lifetime&gt;"</f>
        <v>&lt;lifetime&gt;2700&lt;/lifetime&gt;</v>
      </c>
      <c r="B7294" t="s">
        <v>768</v>
      </c>
    </row>
    <row r="7295" spans="1:8" x14ac:dyDescent="0.25">
      <c r="A7295" t="str">
        <f>"&lt;restock&gt;" &amp;$F$7292&amp;"&lt;/restock&gt;"</f>
        <v>&lt;restock&gt;0&lt;/restock&gt;</v>
      </c>
      <c r="B7295" t="s">
        <v>768</v>
      </c>
    </row>
    <row r="7296" spans="1:8" x14ac:dyDescent="0.25">
      <c r="A7296" t="str">
        <f>"&lt;min&gt;" &amp;$G$7292&amp;"&lt;/min&gt;"</f>
        <v>&lt;min&gt;10&lt;/min&gt;</v>
      </c>
      <c r="B7296" t="s">
        <v>768</v>
      </c>
    </row>
    <row r="7297" spans="1:8" x14ac:dyDescent="0.25">
      <c r="A7297" t="s">
        <v>16</v>
      </c>
      <c r="B7297" t="s">
        <v>768</v>
      </c>
    </row>
    <row r="7298" spans="1:8" x14ac:dyDescent="0.25">
      <c r="A7298" t="s">
        <v>17</v>
      </c>
      <c r="B7298" t="s">
        <v>768</v>
      </c>
    </row>
    <row r="7299" spans="1:8" x14ac:dyDescent="0.25">
      <c r="A7299" t="s">
        <v>18</v>
      </c>
      <c r="B7299" t="s">
        <v>768</v>
      </c>
    </row>
    <row r="7300" spans="1:8" x14ac:dyDescent="0.25">
      <c r="A7300" t="str">
        <f xml:space="preserve"> $H$7292</f>
        <v>&lt;flags count_in_cargo="0" count_in_hoarder="0" count_in_map="1" count_in_player="0" crafted="0" deloot="0"/&gt;</v>
      </c>
      <c r="B7300" t="s">
        <v>768</v>
      </c>
    </row>
    <row r="7301" spans="1:8" x14ac:dyDescent="0.25">
      <c r="A7301" t="str">
        <f>"&lt;category name=" &amp;"""" &amp;$C$7292&amp;"""/&gt;"</f>
        <v>&lt;category name="clothes"/&gt;</v>
      </c>
      <c r="B7301" t="s">
        <v>768</v>
      </c>
    </row>
    <row r="7302" spans="1:8" x14ac:dyDescent="0.25">
      <c r="A7302" t="s">
        <v>55</v>
      </c>
      <c r="B7302" t="s">
        <v>768</v>
      </c>
    </row>
    <row r="7303" spans="1:8" x14ac:dyDescent="0.25">
      <c r="A7303" t="s">
        <v>1616</v>
      </c>
      <c r="B7303" t="s">
        <v>768</v>
      </c>
    </row>
    <row r="7304" spans="1:8" x14ac:dyDescent="0.25">
      <c r="A7304" t="s">
        <v>22</v>
      </c>
      <c r="B7304" t="s">
        <v>768</v>
      </c>
    </row>
    <row r="7305" spans="1:8" x14ac:dyDescent="0.25">
      <c r="A7305" t="s">
        <v>1961</v>
      </c>
      <c r="B7305" t="s">
        <v>769</v>
      </c>
      <c r="C7305" t="s">
        <v>403</v>
      </c>
      <c r="D7305">
        <v>20</v>
      </c>
      <c r="E7305">
        <v>2700</v>
      </c>
      <c r="F7305">
        <v>0</v>
      </c>
      <c r="G7305">
        <v>10</v>
      </c>
      <c r="H7305" t="s">
        <v>19</v>
      </c>
    </row>
    <row r="7306" spans="1:8" x14ac:dyDescent="0.25">
      <c r="A7306" t="str">
        <f>"&lt;nominal&gt;" &amp;$D$7305&amp;"&lt;/nominal&gt;"</f>
        <v>&lt;nominal&gt;20&lt;/nominal&gt;</v>
      </c>
      <c r="B7306" t="s">
        <v>769</v>
      </c>
    </row>
    <row r="7307" spans="1:8" x14ac:dyDescent="0.25">
      <c r="A7307" t="str">
        <f>"&lt;lifetime&gt;" &amp;$E$7305&amp;"&lt;/lifetime&gt;"</f>
        <v>&lt;lifetime&gt;2700&lt;/lifetime&gt;</v>
      </c>
      <c r="B7307" t="s">
        <v>769</v>
      </c>
    </row>
    <row r="7308" spans="1:8" x14ac:dyDescent="0.25">
      <c r="A7308" t="str">
        <f>"&lt;restock&gt;" &amp;$F$7305&amp;"&lt;/restock&gt;"</f>
        <v>&lt;restock&gt;0&lt;/restock&gt;</v>
      </c>
      <c r="B7308" t="s">
        <v>769</v>
      </c>
    </row>
    <row r="7309" spans="1:8" x14ac:dyDescent="0.25">
      <c r="A7309" t="str">
        <f>"&lt;min&gt;" &amp;$G$7305&amp;"&lt;/min&gt;"</f>
        <v>&lt;min&gt;10&lt;/min&gt;</v>
      </c>
      <c r="B7309" t="s">
        <v>769</v>
      </c>
    </row>
    <row r="7310" spans="1:8" x14ac:dyDescent="0.25">
      <c r="A7310" t="s">
        <v>16</v>
      </c>
      <c r="B7310" t="s">
        <v>769</v>
      </c>
    </row>
    <row r="7311" spans="1:8" x14ac:dyDescent="0.25">
      <c r="A7311" t="s">
        <v>17</v>
      </c>
      <c r="B7311" t="s">
        <v>769</v>
      </c>
    </row>
    <row r="7312" spans="1:8" x14ac:dyDescent="0.25">
      <c r="A7312" t="s">
        <v>18</v>
      </c>
      <c r="B7312" t="s">
        <v>769</v>
      </c>
    </row>
    <row r="7313" spans="1:8" x14ac:dyDescent="0.25">
      <c r="A7313" t="str">
        <f xml:space="preserve"> $H$7305</f>
        <v>&lt;flags count_in_cargo="0" count_in_hoarder="0" count_in_map="1" count_in_player="0" crafted="0" deloot="0"/&gt;</v>
      </c>
      <c r="B7313" t="s">
        <v>769</v>
      </c>
    </row>
    <row r="7314" spans="1:8" x14ac:dyDescent="0.25">
      <c r="A7314" t="str">
        <f>"&lt;category name=" &amp;"""" &amp;$C$7305&amp;"""/&gt;"</f>
        <v>&lt;category name="clothes"/&gt;</v>
      </c>
      <c r="B7314" t="s">
        <v>769</v>
      </c>
    </row>
    <row r="7315" spans="1:8" x14ac:dyDescent="0.25">
      <c r="A7315" t="s">
        <v>55</v>
      </c>
      <c r="B7315" t="s">
        <v>769</v>
      </c>
    </row>
    <row r="7316" spans="1:8" x14ac:dyDescent="0.25">
      <c r="A7316" t="s">
        <v>1616</v>
      </c>
      <c r="B7316" t="s">
        <v>769</v>
      </c>
    </row>
    <row r="7317" spans="1:8" x14ac:dyDescent="0.25">
      <c r="A7317" t="s">
        <v>22</v>
      </c>
      <c r="B7317" t="s">
        <v>769</v>
      </c>
    </row>
    <row r="7318" spans="1:8" x14ac:dyDescent="0.25">
      <c r="A7318" t="s">
        <v>1962</v>
      </c>
      <c r="B7318" t="s">
        <v>770</v>
      </c>
      <c r="C7318" t="s">
        <v>403</v>
      </c>
      <c r="D7318">
        <v>20</v>
      </c>
      <c r="E7318">
        <v>2700</v>
      </c>
      <c r="F7318">
        <v>0</v>
      </c>
      <c r="G7318">
        <v>10</v>
      </c>
      <c r="H7318" t="s">
        <v>19</v>
      </c>
    </row>
    <row r="7319" spans="1:8" x14ac:dyDescent="0.25">
      <c r="A7319" t="str">
        <f>"&lt;nominal&gt;" &amp;$D$7318&amp;"&lt;/nominal&gt;"</f>
        <v>&lt;nominal&gt;20&lt;/nominal&gt;</v>
      </c>
      <c r="B7319" t="s">
        <v>770</v>
      </c>
    </row>
    <row r="7320" spans="1:8" x14ac:dyDescent="0.25">
      <c r="A7320" t="str">
        <f>"&lt;lifetime&gt;" &amp;$E$7318&amp;"&lt;/lifetime&gt;"</f>
        <v>&lt;lifetime&gt;2700&lt;/lifetime&gt;</v>
      </c>
      <c r="B7320" t="s">
        <v>770</v>
      </c>
    </row>
    <row r="7321" spans="1:8" x14ac:dyDescent="0.25">
      <c r="A7321" t="str">
        <f>"&lt;restock&gt;" &amp;$F$7318&amp;"&lt;/restock&gt;"</f>
        <v>&lt;restock&gt;0&lt;/restock&gt;</v>
      </c>
      <c r="B7321" t="s">
        <v>770</v>
      </c>
    </row>
    <row r="7322" spans="1:8" x14ac:dyDescent="0.25">
      <c r="A7322" t="str">
        <f>"&lt;min&gt;" &amp;$G$7318&amp;"&lt;/min&gt;"</f>
        <v>&lt;min&gt;10&lt;/min&gt;</v>
      </c>
      <c r="B7322" t="s">
        <v>770</v>
      </c>
    </row>
    <row r="7323" spans="1:8" x14ac:dyDescent="0.25">
      <c r="A7323" t="s">
        <v>16</v>
      </c>
      <c r="B7323" t="s">
        <v>770</v>
      </c>
    </row>
    <row r="7324" spans="1:8" x14ac:dyDescent="0.25">
      <c r="A7324" t="s">
        <v>17</v>
      </c>
      <c r="B7324" t="s">
        <v>770</v>
      </c>
    </row>
    <row r="7325" spans="1:8" x14ac:dyDescent="0.25">
      <c r="A7325" t="s">
        <v>18</v>
      </c>
      <c r="B7325" t="s">
        <v>770</v>
      </c>
    </row>
    <row r="7326" spans="1:8" x14ac:dyDescent="0.25">
      <c r="A7326" t="str">
        <f xml:space="preserve"> $H$7318</f>
        <v>&lt;flags count_in_cargo="0" count_in_hoarder="0" count_in_map="1" count_in_player="0" crafted="0" deloot="0"/&gt;</v>
      </c>
      <c r="B7326" t="s">
        <v>770</v>
      </c>
    </row>
    <row r="7327" spans="1:8" x14ac:dyDescent="0.25">
      <c r="A7327" t="str">
        <f>"&lt;category name=" &amp;"""" &amp;$C$7318&amp;"""/&gt;"</f>
        <v>&lt;category name="clothes"/&gt;</v>
      </c>
      <c r="B7327" t="s">
        <v>770</v>
      </c>
    </row>
    <row r="7328" spans="1:8" x14ac:dyDescent="0.25">
      <c r="A7328" t="s">
        <v>55</v>
      </c>
      <c r="B7328" t="s">
        <v>770</v>
      </c>
    </row>
    <row r="7329" spans="1:8" x14ac:dyDescent="0.25">
      <c r="A7329" t="s">
        <v>1616</v>
      </c>
      <c r="B7329" t="s">
        <v>770</v>
      </c>
    </row>
    <row r="7330" spans="1:8" x14ac:dyDescent="0.25">
      <c r="A7330" t="s">
        <v>22</v>
      </c>
      <c r="B7330" t="s">
        <v>770</v>
      </c>
    </row>
    <row r="7331" spans="1:8" x14ac:dyDescent="0.25">
      <c r="A7331" t="s">
        <v>1963</v>
      </c>
      <c r="B7331" t="s">
        <v>771</v>
      </c>
      <c r="C7331" t="s">
        <v>403</v>
      </c>
      <c r="D7331">
        <v>20</v>
      </c>
      <c r="E7331">
        <v>2700</v>
      </c>
      <c r="F7331">
        <v>0</v>
      </c>
      <c r="G7331">
        <v>10</v>
      </c>
      <c r="H7331" t="s">
        <v>19</v>
      </c>
    </row>
    <row r="7332" spans="1:8" x14ac:dyDescent="0.25">
      <c r="A7332" t="str">
        <f>"&lt;nominal&gt;" &amp;$D$7331&amp;"&lt;/nominal&gt;"</f>
        <v>&lt;nominal&gt;20&lt;/nominal&gt;</v>
      </c>
      <c r="B7332" t="s">
        <v>771</v>
      </c>
    </row>
    <row r="7333" spans="1:8" x14ac:dyDescent="0.25">
      <c r="A7333" t="str">
        <f>"&lt;lifetime&gt;" &amp;$E$7331&amp;"&lt;/lifetime&gt;"</f>
        <v>&lt;lifetime&gt;2700&lt;/lifetime&gt;</v>
      </c>
      <c r="B7333" t="s">
        <v>771</v>
      </c>
    </row>
    <row r="7334" spans="1:8" x14ac:dyDescent="0.25">
      <c r="A7334" t="str">
        <f>"&lt;restock&gt;" &amp;$F$7331&amp;"&lt;/restock&gt;"</f>
        <v>&lt;restock&gt;0&lt;/restock&gt;</v>
      </c>
      <c r="B7334" t="s">
        <v>771</v>
      </c>
    </row>
    <row r="7335" spans="1:8" x14ac:dyDescent="0.25">
      <c r="A7335" t="str">
        <f>"&lt;min&gt;" &amp;$G$7331&amp;"&lt;/min&gt;"</f>
        <v>&lt;min&gt;10&lt;/min&gt;</v>
      </c>
      <c r="B7335" t="s">
        <v>771</v>
      </c>
    </row>
    <row r="7336" spans="1:8" x14ac:dyDescent="0.25">
      <c r="A7336" t="s">
        <v>16</v>
      </c>
      <c r="B7336" t="s">
        <v>771</v>
      </c>
    </row>
    <row r="7337" spans="1:8" x14ac:dyDescent="0.25">
      <c r="A7337" t="s">
        <v>17</v>
      </c>
      <c r="B7337" t="s">
        <v>771</v>
      </c>
    </row>
    <row r="7338" spans="1:8" x14ac:dyDescent="0.25">
      <c r="A7338" t="s">
        <v>18</v>
      </c>
      <c r="B7338" t="s">
        <v>771</v>
      </c>
    </row>
    <row r="7339" spans="1:8" x14ac:dyDescent="0.25">
      <c r="A7339" t="str">
        <f xml:space="preserve"> $H$7331</f>
        <v>&lt;flags count_in_cargo="0" count_in_hoarder="0" count_in_map="1" count_in_player="0" crafted="0" deloot="0"/&gt;</v>
      </c>
      <c r="B7339" t="s">
        <v>771</v>
      </c>
    </row>
    <row r="7340" spans="1:8" x14ac:dyDescent="0.25">
      <c r="A7340" t="str">
        <f>"&lt;category name=" &amp;"""" &amp;$C$7331&amp;"""/&gt;"</f>
        <v>&lt;category name="clothes"/&gt;</v>
      </c>
      <c r="B7340" t="s">
        <v>771</v>
      </c>
    </row>
    <row r="7341" spans="1:8" x14ac:dyDescent="0.25">
      <c r="A7341" t="s">
        <v>55</v>
      </c>
      <c r="B7341" t="s">
        <v>771</v>
      </c>
    </row>
    <row r="7342" spans="1:8" x14ac:dyDescent="0.25">
      <c r="A7342" t="s">
        <v>1616</v>
      </c>
      <c r="B7342" t="s">
        <v>771</v>
      </c>
    </row>
    <row r="7343" spans="1:8" x14ac:dyDescent="0.25">
      <c r="A7343" t="s">
        <v>22</v>
      </c>
      <c r="B7343" t="s">
        <v>771</v>
      </c>
    </row>
    <row r="7344" spans="1:8" x14ac:dyDescent="0.25">
      <c r="A7344" t="s">
        <v>1964</v>
      </c>
      <c r="B7344" t="s">
        <v>772</v>
      </c>
      <c r="C7344" t="s">
        <v>403</v>
      </c>
      <c r="D7344">
        <v>25</v>
      </c>
      <c r="E7344">
        <v>2700</v>
      </c>
      <c r="F7344">
        <v>0</v>
      </c>
      <c r="G7344">
        <v>15</v>
      </c>
      <c r="H7344" t="s">
        <v>19</v>
      </c>
    </row>
    <row r="7345" spans="1:8" x14ac:dyDescent="0.25">
      <c r="A7345" t="str">
        <f>"&lt;nominal&gt;" &amp;$D$7344&amp;"&lt;/nominal&gt;"</f>
        <v>&lt;nominal&gt;25&lt;/nominal&gt;</v>
      </c>
      <c r="B7345" t="s">
        <v>772</v>
      </c>
    </row>
    <row r="7346" spans="1:8" x14ac:dyDescent="0.25">
      <c r="A7346" t="str">
        <f>"&lt;lifetime&gt;" &amp;$E$7344&amp;"&lt;/lifetime&gt;"</f>
        <v>&lt;lifetime&gt;2700&lt;/lifetime&gt;</v>
      </c>
      <c r="B7346" t="s">
        <v>772</v>
      </c>
    </row>
    <row r="7347" spans="1:8" x14ac:dyDescent="0.25">
      <c r="A7347" t="str">
        <f>"&lt;restock&gt;" &amp;$F$7344&amp;"&lt;/restock&gt;"</f>
        <v>&lt;restock&gt;0&lt;/restock&gt;</v>
      </c>
      <c r="B7347" t="s">
        <v>772</v>
      </c>
    </row>
    <row r="7348" spans="1:8" x14ac:dyDescent="0.25">
      <c r="A7348" t="str">
        <f>"&lt;min&gt;" &amp;$G$7344&amp;"&lt;/min&gt;"</f>
        <v>&lt;min&gt;15&lt;/min&gt;</v>
      </c>
      <c r="B7348" t="s">
        <v>772</v>
      </c>
    </row>
    <row r="7349" spans="1:8" x14ac:dyDescent="0.25">
      <c r="A7349" t="s">
        <v>16</v>
      </c>
      <c r="B7349" t="s">
        <v>772</v>
      </c>
    </row>
    <row r="7350" spans="1:8" x14ac:dyDescent="0.25">
      <c r="A7350" t="s">
        <v>17</v>
      </c>
      <c r="B7350" t="s">
        <v>772</v>
      </c>
    </row>
    <row r="7351" spans="1:8" x14ac:dyDescent="0.25">
      <c r="A7351" t="s">
        <v>18</v>
      </c>
      <c r="B7351" t="s">
        <v>772</v>
      </c>
    </row>
    <row r="7352" spans="1:8" x14ac:dyDescent="0.25">
      <c r="A7352" t="str">
        <f xml:space="preserve"> $H$7344</f>
        <v>&lt;flags count_in_cargo="0" count_in_hoarder="0" count_in_map="1" count_in_player="0" crafted="0" deloot="0"/&gt;</v>
      </c>
      <c r="B7352" t="s">
        <v>772</v>
      </c>
    </row>
    <row r="7353" spans="1:8" x14ac:dyDescent="0.25">
      <c r="A7353" t="str">
        <f>"&lt;category name=" &amp;"""" &amp;$C$7344&amp;"""/&gt;"</f>
        <v>&lt;category name="clothes"/&gt;</v>
      </c>
      <c r="B7353" t="s">
        <v>772</v>
      </c>
    </row>
    <row r="7354" spans="1:8" x14ac:dyDescent="0.25">
      <c r="A7354" t="s">
        <v>55</v>
      </c>
      <c r="B7354" t="s">
        <v>772</v>
      </c>
    </row>
    <row r="7355" spans="1:8" x14ac:dyDescent="0.25">
      <c r="A7355" t="s">
        <v>56</v>
      </c>
      <c r="B7355" t="s">
        <v>772</v>
      </c>
    </row>
    <row r="7356" spans="1:8" x14ac:dyDescent="0.25">
      <c r="A7356" t="s">
        <v>22</v>
      </c>
      <c r="B7356" t="s">
        <v>772</v>
      </c>
    </row>
    <row r="7357" spans="1:8" x14ac:dyDescent="0.25">
      <c r="A7357" t="s">
        <v>1965</v>
      </c>
      <c r="B7357" t="s">
        <v>773</v>
      </c>
      <c r="C7357" t="s">
        <v>403</v>
      </c>
      <c r="D7357">
        <v>25</v>
      </c>
      <c r="E7357">
        <v>2700</v>
      </c>
      <c r="F7357">
        <v>0</v>
      </c>
      <c r="G7357">
        <v>15</v>
      </c>
      <c r="H7357" t="s">
        <v>19</v>
      </c>
    </row>
    <row r="7358" spans="1:8" x14ac:dyDescent="0.25">
      <c r="A7358" t="str">
        <f>"&lt;nominal&gt;" &amp;$D$7357&amp;"&lt;/nominal&gt;"</f>
        <v>&lt;nominal&gt;25&lt;/nominal&gt;</v>
      </c>
      <c r="B7358" t="s">
        <v>773</v>
      </c>
    </row>
    <row r="7359" spans="1:8" x14ac:dyDescent="0.25">
      <c r="A7359" t="str">
        <f>"&lt;lifetime&gt;" &amp;$E$7357&amp;"&lt;/lifetime&gt;"</f>
        <v>&lt;lifetime&gt;2700&lt;/lifetime&gt;</v>
      </c>
      <c r="B7359" t="s">
        <v>773</v>
      </c>
    </row>
    <row r="7360" spans="1:8" x14ac:dyDescent="0.25">
      <c r="A7360" t="str">
        <f>"&lt;restock&gt;" &amp;$F$7357&amp;"&lt;/restock&gt;"</f>
        <v>&lt;restock&gt;0&lt;/restock&gt;</v>
      </c>
      <c r="B7360" t="s">
        <v>773</v>
      </c>
    </row>
    <row r="7361" spans="1:8" x14ac:dyDescent="0.25">
      <c r="A7361" t="str">
        <f>"&lt;min&gt;" &amp;$G$7357&amp;"&lt;/min&gt;"</f>
        <v>&lt;min&gt;15&lt;/min&gt;</v>
      </c>
      <c r="B7361" t="s">
        <v>773</v>
      </c>
    </row>
    <row r="7362" spans="1:8" x14ac:dyDescent="0.25">
      <c r="A7362" t="s">
        <v>16</v>
      </c>
      <c r="B7362" t="s">
        <v>773</v>
      </c>
    </row>
    <row r="7363" spans="1:8" x14ac:dyDescent="0.25">
      <c r="A7363" t="s">
        <v>17</v>
      </c>
      <c r="B7363" t="s">
        <v>773</v>
      </c>
    </row>
    <row r="7364" spans="1:8" x14ac:dyDescent="0.25">
      <c r="A7364" t="s">
        <v>18</v>
      </c>
      <c r="B7364" t="s">
        <v>773</v>
      </c>
    </row>
    <row r="7365" spans="1:8" x14ac:dyDescent="0.25">
      <c r="A7365" t="str">
        <f xml:space="preserve"> $H$7357</f>
        <v>&lt;flags count_in_cargo="0" count_in_hoarder="0" count_in_map="1" count_in_player="0" crafted="0" deloot="0"/&gt;</v>
      </c>
      <c r="B7365" t="s">
        <v>773</v>
      </c>
    </row>
    <row r="7366" spans="1:8" x14ac:dyDescent="0.25">
      <c r="A7366" t="str">
        <f>"&lt;category name=" &amp;"""" &amp;$C$7357&amp;"""/&gt;"</f>
        <v>&lt;category name="clothes"/&gt;</v>
      </c>
      <c r="B7366" t="s">
        <v>773</v>
      </c>
    </row>
    <row r="7367" spans="1:8" x14ac:dyDescent="0.25">
      <c r="A7367" t="s">
        <v>55</v>
      </c>
      <c r="B7367" t="s">
        <v>773</v>
      </c>
    </row>
    <row r="7368" spans="1:8" x14ac:dyDescent="0.25">
      <c r="A7368" t="s">
        <v>56</v>
      </c>
      <c r="B7368" t="s">
        <v>773</v>
      </c>
    </row>
    <row r="7369" spans="1:8" x14ac:dyDescent="0.25">
      <c r="A7369" t="s">
        <v>22</v>
      </c>
      <c r="B7369" t="s">
        <v>773</v>
      </c>
    </row>
    <row r="7370" spans="1:8" x14ac:dyDescent="0.25">
      <c r="A7370" t="s">
        <v>1966</v>
      </c>
      <c r="B7370" t="s">
        <v>774</v>
      </c>
      <c r="C7370" t="s">
        <v>403</v>
      </c>
      <c r="D7370">
        <v>25</v>
      </c>
      <c r="E7370">
        <v>2700</v>
      </c>
      <c r="F7370">
        <v>0</v>
      </c>
      <c r="G7370">
        <v>15</v>
      </c>
      <c r="H7370" t="s">
        <v>19</v>
      </c>
    </row>
    <row r="7371" spans="1:8" x14ac:dyDescent="0.25">
      <c r="A7371" t="str">
        <f>"&lt;nominal&gt;" &amp;$D$7370&amp;"&lt;/nominal&gt;"</f>
        <v>&lt;nominal&gt;25&lt;/nominal&gt;</v>
      </c>
      <c r="B7371" t="s">
        <v>774</v>
      </c>
    </row>
    <row r="7372" spans="1:8" x14ac:dyDescent="0.25">
      <c r="A7372" t="str">
        <f>"&lt;lifetime&gt;" &amp;$E$7370&amp;"&lt;/lifetime&gt;"</f>
        <v>&lt;lifetime&gt;2700&lt;/lifetime&gt;</v>
      </c>
      <c r="B7372" t="s">
        <v>774</v>
      </c>
    </row>
    <row r="7373" spans="1:8" x14ac:dyDescent="0.25">
      <c r="A7373" t="str">
        <f>"&lt;restock&gt;" &amp;$F$7370&amp;"&lt;/restock&gt;"</f>
        <v>&lt;restock&gt;0&lt;/restock&gt;</v>
      </c>
      <c r="B7373" t="s">
        <v>774</v>
      </c>
    </row>
    <row r="7374" spans="1:8" x14ac:dyDescent="0.25">
      <c r="A7374" t="str">
        <f>"&lt;min&gt;" &amp;$G$7370&amp;"&lt;/min&gt;"</f>
        <v>&lt;min&gt;15&lt;/min&gt;</v>
      </c>
      <c r="B7374" t="s">
        <v>774</v>
      </c>
    </row>
    <row r="7375" spans="1:8" x14ac:dyDescent="0.25">
      <c r="A7375" t="s">
        <v>16</v>
      </c>
      <c r="B7375" t="s">
        <v>774</v>
      </c>
    </row>
    <row r="7376" spans="1:8" x14ac:dyDescent="0.25">
      <c r="A7376" t="s">
        <v>17</v>
      </c>
      <c r="B7376" t="s">
        <v>774</v>
      </c>
    </row>
    <row r="7377" spans="1:8" x14ac:dyDescent="0.25">
      <c r="A7377" t="s">
        <v>18</v>
      </c>
      <c r="B7377" t="s">
        <v>774</v>
      </c>
    </row>
    <row r="7378" spans="1:8" x14ac:dyDescent="0.25">
      <c r="A7378" t="str">
        <f xml:space="preserve"> $H$7370</f>
        <v>&lt;flags count_in_cargo="0" count_in_hoarder="0" count_in_map="1" count_in_player="0" crafted="0" deloot="0"/&gt;</v>
      </c>
      <c r="B7378" t="s">
        <v>774</v>
      </c>
    </row>
    <row r="7379" spans="1:8" x14ac:dyDescent="0.25">
      <c r="A7379" t="str">
        <f>"&lt;category name=" &amp;"""" &amp;$C$7370&amp;"""/&gt;"</f>
        <v>&lt;category name="clothes"/&gt;</v>
      </c>
      <c r="B7379" t="s">
        <v>774</v>
      </c>
    </row>
    <row r="7380" spans="1:8" x14ac:dyDescent="0.25">
      <c r="A7380" t="s">
        <v>55</v>
      </c>
      <c r="B7380" t="s">
        <v>774</v>
      </c>
    </row>
    <row r="7381" spans="1:8" x14ac:dyDescent="0.25">
      <c r="A7381" t="s">
        <v>56</v>
      </c>
      <c r="B7381" t="s">
        <v>774</v>
      </c>
    </row>
    <row r="7382" spans="1:8" x14ac:dyDescent="0.25">
      <c r="A7382" t="s">
        <v>22</v>
      </c>
      <c r="B7382" t="s">
        <v>774</v>
      </c>
    </row>
    <row r="7383" spans="1:8" x14ac:dyDescent="0.25">
      <c r="A7383" t="s">
        <v>1967</v>
      </c>
      <c r="B7383" t="s">
        <v>775</v>
      </c>
      <c r="C7383" t="s">
        <v>403</v>
      </c>
      <c r="D7383">
        <v>25</v>
      </c>
      <c r="E7383">
        <v>2700</v>
      </c>
      <c r="F7383">
        <v>0</v>
      </c>
      <c r="G7383">
        <v>15</v>
      </c>
      <c r="H7383" t="s">
        <v>19</v>
      </c>
    </row>
    <row r="7384" spans="1:8" x14ac:dyDescent="0.25">
      <c r="A7384" t="str">
        <f>"&lt;nominal&gt;" &amp;$D$7383&amp;"&lt;/nominal&gt;"</f>
        <v>&lt;nominal&gt;25&lt;/nominal&gt;</v>
      </c>
      <c r="B7384" t="s">
        <v>775</v>
      </c>
    </row>
    <row r="7385" spans="1:8" x14ac:dyDescent="0.25">
      <c r="A7385" t="str">
        <f>"&lt;lifetime&gt;" &amp;$E$7383&amp;"&lt;/lifetime&gt;"</f>
        <v>&lt;lifetime&gt;2700&lt;/lifetime&gt;</v>
      </c>
      <c r="B7385" t="s">
        <v>775</v>
      </c>
    </row>
    <row r="7386" spans="1:8" x14ac:dyDescent="0.25">
      <c r="A7386" t="str">
        <f>"&lt;restock&gt;" &amp;$F$7383&amp;"&lt;/restock&gt;"</f>
        <v>&lt;restock&gt;0&lt;/restock&gt;</v>
      </c>
      <c r="B7386" t="s">
        <v>775</v>
      </c>
    </row>
    <row r="7387" spans="1:8" x14ac:dyDescent="0.25">
      <c r="A7387" t="str">
        <f>"&lt;min&gt;" &amp;$G$7383&amp;"&lt;/min&gt;"</f>
        <v>&lt;min&gt;15&lt;/min&gt;</v>
      </c>
      <c r="B7387" t="s">
        <v>775</v>
      </c>
    </row>
    <row r="7388" spans="1:8" x14ac:dyDescent="0.25">
      <c r="A7388" t="s">
        <v>16</v>
      </c>
      <c r="B7388" t="s">
        <v>775</v>
      </c>
    </row>
    <row r="7389" spans="1:8" x14ac:dyDescent="0.25">
      <c r="A7389" t="s">
        <v>17</v>
      </c>
      <c r="B7389" t="s">
        <v>775</v>
      </c>
    </row>
    <row r="7390" spans="1:8" x14ac:dyDescent="0.25">
      <c r="A7390" t="s">
        <v>18</v>
      </c>
      <c r="B7390" t="s">
        <v>775</v>
      </c>
    </row>
    <row r="7391" spans="1:8" x14ac:dyDescent="0.25">
      <c r="A7391" t="str">
        <f xml:space="preserve"> $H$7383</f>
        <v>&lt;flags count_in_cargo="0" count_in_hoarder="0" count_in_map="1" count_in_player="0" crafted="0" deloot="0"/&gt;</v>
      </c>
      <c r="B7391" t="s">
        <v>775</v>
      </c>
    </row>
    <row r="7392" spans="1:8" x14ac:dyDescent="0.25">
      <c r="A7392" t="str">
        <f>"&lt;category name=" &amp;"""" &amp;$C$7383&amp;"""/&gt;"</f>
        <v>&lt;category name="clothes"/&gt;</v>
      </c>
      <c r="B7392" t="s">
        <v>775</v>
      </c>
    </row>
    <row r="7393" spans="1:8" x14ac:dyDescent="0.25">
      <c r="A7393" t="s">
        <v>55</v>
      </c>
      <c r="B7393" t="s">
        <v>775</v>
      </c>
    </row>
    <row r="7394" spans="1:8" x14ac:dyDescent="0.25">
      <c r="A7394" t="s">
        <v>56</v>
      </c>
      <c r="B7394" t="s">
        <v>775</v>
      </c>
    </row>
    <row r="7395" spans="1:8" x14ac:dyDescent="0.25">
      <c r="A7395" t="s">
        <v>22</v>
      </c>
      <c r="B7395" t="s">
        <v>775</v>
      </c>
    </row>
    <row r="7396" spans="1:8" x14ac:dyDescent="0.25">
      <c r="A7396" t="s">
        <v>1968</v>
      </c>
      <c r="B7396" t="s">
        <v>776</v>
      </c>
      <c r="C7396" t="s">
        <v>403</v>
      </c>
      <c r="D7396">
        <v>5</v>
      </c>
      <c r="E7396">
        <v>5600</v>
      </c>
      <c r="F7396">
        <v>1800</v>
      </c>
      <c r="G7396">
        <v>2</v>
      </c>
      <c r="H7396" t="s">
        <v>19</v>
      </c>
    </row>
    <row r="7397" spans="1:8" x14ac:dyDescent="0.25">
      <c r="A7397" t="str">
        <f>"&lt;nominal&gt;" &amp;$D$7396&amp;"&lt;/nominal&gt;"</f>
        <v>&lt;nominal&gt;5&lt;/nominal&gt;</v>
      </c>
      <c r="B7397" t="s">
        <v>776</v>
      </c>
    </row>
    <row r="7398" spans="1:8" x14ac:dyDescent="0.25">
      <c r="A7398" t="str">
        <f>"&lt;lifetime&gt;" &amp;$E$7396&amp;"&lt;/lifetime&gt;"</f>
        <v>&lt;lifetime&gt;5600&lt;/lifetime&gt;</v>
      </c>
      <c r="B7398" t="s">
        <v>776</v>
      </c>
    </row>
    <row r="7399" spans="1:8" x14ac:dyDescent="0.25">
      <c r="A7399" t="str">
        <f>"&lt;restock&gt;" &amp;$F$7396&amp;"&lt;/restock&gt;"</f>
        <v>&lt;restock&gt;1800&lt;/restock&gt;</v>
      </c>
      <c r="B7399" t="s">
        <v>776</v>
      </c>
    </row>
    <row r="7400" spans="1:8" x14ac:dyDescent="0.25">
      <c r="A7400" t="str">
        <f>"&lt;min&gt;" &amp;$G$7396&amp;"&lt;/min&gt;"</f>
        <v>&lt;min&gt;2&lt;/min&gt;</v>
      </c>
      <c r="B7400" t="s">
        <v>776</v>
      </c>
    </row>
    <row r="7401" spans="1:8" x14ac:dyDescent="0.25">
      <c r="A7401" t="s">
        <v>16</v>
      </c>
      <c r="B7401" t="s">
        <v>776</v>
      </c>
    </row>
    <row r="7402" spans="1:8" x14ac:dyDescent="0.25">
      <c r="A7402" t="s">
        <v>17</v>
      </c>
      <c r="B7402" t="s">
        <v>776</v>
      </c>
    </row>
    <row r="7403" spans="1:8" x14ac:dyDescent="0.25">
      <c r="A7403" t="s">
        <v>18</v>
      </c>
      <c r="B7403" t="s">
        <v>776</v>
      </c>
    </row>
    <row r="7404" spans="1:8" x14ac:dyDescent="0.25">
      <c r="A7404" t="str">
        <f xml:space="preserve"> $H$7396</f>
        <v>&lt;flags count_in_cargo="0" count_in_hoarder="0" count_in_map="1" count_in_player="0" crafted="0" deloot="0"/&gt;</v>
      </c>
      <c r="B7404" t="s">
        <v>776</v>
      </c>
    </row>
    <row r="7405" spans="1:8" x14ac:dyDescent="0.25">
      <c r="A7405" t="str">
        <f>"&lt;category name=" &amp;"""" &amp;$C$7396&amp;"""/&gt;"</f>
        <v>&lt;category name="clothes"/&gt;</v>
      </c>
      <c r="B7405" t="s">
        <v>776</v>
      </c>
    </row>
    <row r="7406" spans="1:8" x14ac:dyDescent="0.25">
      <c r="A7406" t="s">
        <v>25</v>
      </c>
      <c r="B7406" t="s">
        <v>776</v>
      </c>
    </row>
    <row r="7407" spans="1:8" x14ac:dyDescent="0.25">
      <c r="A7407" t="s">
        <v>29</v>
      </c>
      <c r="B7407" t="s">
        <v>776</v>
      </c>
    </row>
    <row r="7408" spans="1:8" x14ac:dyDescent="0.25">
      <c r="A7408" t="s">
        <v>22</v>
      </c>
      <c r="B7408" t="s">
        <v>776</v>
      </c>
    </row>
    <row r="7409" spans="1:8" x14ac:dyDescent="0.25">
      <c r="A7409" t="s">
        <v>1969</v>
      </c>
      <c r="B7409" t="s">
        <v>777</v>
      </c>
      <c r="C7409" t="s">
        <v>403</v>
      </c>
      <c r="D7409">
        <v>5</v>
      </c>
      <c r="E7409">
        <v>5600</v>
      </c>
      <c r="F7409">
        <v>1800</v>
      </c>
      <c r="G7409">
        <v>2</v>
      </c>
      <c r="H7409" t="s">
        <v>19</v>
      </c>
    </row>
    <row r="7410" spans="1:8" x14ac:dyDescent="0.25">
      <c r="A7410" t="str">
        <f>"&lt;nominal&gt;" &amp;$D$7409&amp;"&lt;/nominal&gt;"</f>
        <v>&lt;nominal&gt;5&lt;/nominal&gt;</v>
      </c>
      <c r="B7410" t="s">
        <v>777</v>
      </c>
    </row>
    <row r="7411" spans="1:8" x14ac:dyDescent="0.25">
      <c r="A7411" t="str">
        <f>"&lt;lifetime&gt;" &amp;$E$7409&amp;"&lt;/lifetime&gt;"</f>
        <v>&lt;lifetime&gt;5600&lt;/lifetime&gt;</v>
      </c>
      <c r="B7411" t="s">
        <v>777</v>
      </c>
    </row>
    <row r="7412" spans="1:8" x14ac:dyDescent="0.25">
      <c r="A7412" t="str">
        <f>"&lt;restock&gt;" &amp;$F$7409&amp;"&lt;/restock&gt;"</f>
        <v>&lt;restock&gt;1800&lt;/restock&gt;</v>
      </c>
      <c r="B7412" t="s">
        <v>777</v>
      </c>
    </row>
    <row r="7413" spans="1:8" x14ac:dyDescent="0.25">
      <c r="A7413" t="str">
        <f>"&lt;min&gt;" &amp;$G$7409&amp;"&lt;/min&gt;"</f>
        <v>&lt;min&gt;2&lt;/min&gt;</v>
      </c>
      <c r="B7413" t="s">
        <v>777</v>
      </c>
    </row>
    <row r="7414" spans="1:8" x14ac:dyDescent="0.25">
      <c r="A7414" t="s">
        <v>16</v>
      </c>
      <c r="B7414" t="s">
        <v>777</v>
      </c>
    </row>
    <row r="7415" spans="1:8" x14ac:dyDescent="0.25">
      <c r="A7415" t="s">
        <v>17</v>
      </c>
      <c r="B7415" t="s">
        <v>777</v>
      </c>
    </row>
    <row r="7416" spans="1:8" x14ac:dyDescent="0.25">
      <c r="A7416" t="s">
        <v>18</v>
      </c>
      <c r="B7416" t="s">
        <v>777</v>
      </c>
    </row>
    <row r="7417" spans="1:8" x14ac:dyDescent="0.25">
      <c r="A7417" t="str">
        <f xml:space="preserve"> $H$7409</f>
        <v>&lt;flags count_in_cargo="0" count_in_hoarder="0" count_in_map="1" count_in_player="0" crafted="0" deloot="0"/&gt;</v>
      </c>
      <c r="B7417" t="s">
        <v>777</v>
      </c>
    </row>
    <row r="7418" spans="1:8" x14ac:dyDescent="0.25">
      <c r="A7418" t="str">
        <f>"&lt;category name=" &amp;"""" &amp;$C$7409&amp;"""/&gt;"</f>
        <v>&lt;category name="clothes"/&gt;</v>
      </c>
      <c r="B7418" t="s">
        <v>777</v>
      </c>
    </row>
    <row r="7419" spans="1:8" x14ac:dyDescent="0.25">
      <c r="A7419" t="s">
        <v>25</v>
      </c>
      <c r="B7419" t="s">
        <v>777</v>
      </c>
    </row>
    <row r="7420" spans="1:8" x14ac:dyDescent="0.25">
      <c r="A7420" t="s">
        <v>29</v>
      </c>
      <c r="B7420" t="s">
        <v>777</v>
      </c>
    </row>
    <row r="7421" spans="1:8" x14ac:dyDescent="0.25">
      <c r="A7421" t="s">
        <v>22</v>
      </c>
      <c r="B7421" t="s">
        <v>777</v>
      </c>
    </row>
    <row r="7422" spans="1:8" x14ac:dyDescent="0.25">
      <c r="A7422" t="s">
        <v>1970</v>
      </c>
      <c r="B7422" t="s">
        <v>778</v>
      </c>
      <c r="C7422" t="s">
        <v>403</v>
      </c>
      <c r="D7422">
        <v>5</v>
      </c>
      <c r="E7422">
        <v>5600</v>
      </c>
      <c r="F7422">
        <v>1800</v>
      </c>
      <c r="G7422">
        <v>2</v>
      </c>
      <c r="H7422" t="s">
        <v>19</v>
      </c>
    </row>
    <row r="7423" spans="1:8" x14ac:dyDescent="0.25">
      <c r="A7423" t="str">
        <f>"&lt;nominal&gt;" &amp;$D$7422&amp;"&lt;/nominal&gt;"</f>
        <v>&lt;nominal&gt;5&lt;/nominal&gt;</v>
      </c>
      <c r="B7423" t="s">
        <v>778</v>
      </c>
    </row>
    <row r="7424" spans="1:8" x14ac:dyDescent="0.25">
      <c r="A7424" t="str">
        <f>"&lt;lifetime&gt;" &amp;$E$7422&amp;"&lt;/lifetime&gt;"</f>
        <v>&lt;lifetime&gt;5600&lt;/lifetime&gt;</v>
      </c>
      <c r="B7424" t="s">
        <v>778</v>
      </c>
    </row>
    <row r="7425" spans="1:8" x14ac:dyDescent="0.25">
      <c r="A7425" t="str">
        <f>"&lt;restock&gt;" &amp;$F$7422&amp;"&lt;/restock&gt;"</f>
        <v>&lt;restock&gt;1800&lt;/restock&gt;</v>
      </c>
      <c r="B7425" t="s">
        <v>778</v>
      </c>
    </row>
    <row r="7426" spans="1:8" x14ac:dyDescent="0.25">
      <c r="A7426" t="str">
        <f>"&lt;min&gt;" &amp;$G$7422&amp;"&lt;/min&gt;"</f>
        <v>&lt;min&gt;2&lt;/min&gt;</v>
      </c>
      <c r="B7426" t="s">
        <v>778</v>
      </c>
    </row>
    <row r="7427" spans="1:8" x14ac:dyDescent="0.25">
      <c r="A7427" t="s">
        <v>16</v>
      </c>
      <c r="B7427" t="s">
        <v>778</v>
      </c>
    </row>
    <row r="7428" spans="1:8" x14ac:dyDescent="0.25">
      <c r="A7428" t="s">
        <v>17</v>
      </c>
      <c r="B7428" t="s">
        <v>778</v>
      </c>
    </row>
    <row r="7429" spans="1:8" x14ac:dyDescent="0.25">
      <c r="A7429" t="s">
        <v>18</v>
      </c>
      <c r="B7429" t="s">
        <v>778</v>
      </c>
    </row>
    <row r="7430" spans="1:8" x14ac:dyDescent="0.25">
      <c r="A7430" t="str">
        <f xml:space="preserve"> $H$7422</f>
        <v>&lt;flags count_in_cargo="0" count_in_hoarder="0" count_in_map="1" count_in_player="0" crafted="0" deloot="0"/&gt;</v>
      </c>
      <c r="B7430" t="s">
        <v>778</v>
      </c>
    </row>
    <row r="7431" spans="1:8" x14ac:dyDescent="0.25">
      <c r="A7431" t="str">
        <f>"&lt;category name=" &amp;"""" &amp;$C$7422&amp;"""/&gt;"</f>
        <v>&lt;category name="clothes"/&gt;</v>
      </c>
      <c r="B7431" t="s">
        <v>778</v>
      </c>
    </row>
    <row r="7432" spans="1:8" x14ac:dyDescent="0.25">
      <c r="A7432" t="s">
        <v>25</v>
      </c>
      <c r="B7432" t="s">
        <v>778</v>
      </c>
    </row>
    <row r="7433" spans="1:8" x14ac:dyDescent="0.25">
      <c r="A7433" t="s">
        <v>29</v>
      </c>
      <c r="B7433" t="s">
        <v>778</v>
      </c>
    </row>
    <row r="7434" spans="1:8" x14ac:dyDescent="0.25">
      <c r="A7434" t="s">
        <v>22</v>
      </c>
      <c r="B7434" t="s">
        <v>778</v>
      </c>
    </row>
    <row r="7435" spans="1:8" x14ac:dyDescent="0.25">
      <c r="A7435" t="s">
        <v>1971</v>
      </c>
      <c r="B7435" t="s">
        <v>779</v>
      </c>
      <c r="C7435" t="s">
        <v>403</v>
      </c>
      <c r="D7435">
        <v>5</v>
      </c>
      <c r="E7435">
        <v>5600</v>
      </c>
      <c r="F7435">
        <v>1800</v>
      </c>
      <c r="G7435">
        <v>2</v>
      </c>
      <c r="H7435" t="s">
        <v>19</v>
      </c>
    </row>
    <row r="7436" spans="1:8" x14ac:dyDescent="0.25">
      <c r="A7436" t="str">
        <f>"&lt;nominal&gt;" &amp;$D$7435&amp;"&lt;/nominal&gt;"</f>
        <v>&lt;nominal&gt;5&lt;/nominal&gt;</v>
      </c>
      <c r="B7436" t="s">
        <v>779</v>
      </c>
    </row>
    <row r="7437" spans="1:8" x14ac:dyDescent="0.25">
      <c r="A7437" t="str">
        <f>"&lt;lifetime&gt;" &amp;$E$7435&amp;"&lt;/lifetime&gt;"</f>
        <v>&lt;lifetime&gt;5600&lt;/lifetime&gt;</v>
      </c>
      <c r="B7437" t="s">
        <v>779</v>
      </c>
    </row>
    <row r="7438" spans="1:8" x14ac:dyDescent="0.25">
      <c r="A7438" t="str">
        <f>"&lt;restock&gt;" &amp;$F$7435&amp;"&lt;/restock&gt;"</f>
        <v>&lt;restock&gt;1800&lt;/restock&gt;</v>
      </c>
      <c r="B7438" t="s">
        <v>779</v>
      </c>
    </row>
    <row r="7439" spans="1:8" x14ac:dyDescent="0.25">
      <c r="A7439" t="str">
        <f>"&lt;min&gt;" &amp;$G$7435&amp;"&lt;/min&gt;"</f>
        <v>&lt;min&gt;2&lt;/min&gt;</v>
      </c>
      <c r="B7439" t="s">
        <v>779</v>
      </c>
    </row>
    <row r="7440" spans="1:8" x14ac:dyDescent="0.25">
      <c r="A7440" t="s">
        <v>16</v>
      </c>
      <c r="B7440" t="s">
        <v>779</v>
      </c>
    </row>
    <row r="7441" spans="1:8" x14ac:dyDescent="0.25">
      <c r="A7441" t="s">
        <v>17</v>
      </c>
      <c r="B7441" t="s">
        <v>779</v>
      </c>
    </row>
    <row r="7442" spans="1:8" x14ac:dyDescent="0.25">
      <c r="A7442" t="s">
        <v>18</v>
      </c>
      <c r="B7442" t="s">
        <v>779</v>
      </c>
    </row>
    <row r="7443" spans="1:8" x14ac:dyDescent="0.25">
      <c r="A7443" t="str">
        <f xml:space="preserve"> $H$7435</f>
        <v>&lt;flags count_in_cargo="0" count_in_hoarder="0" count_in_map="1" count_in_player="0" crafted="0" deloot="0"/&gt;</v>
      </c>
      <c r="B7443" t="s">
        <v>779</v>
      </c>
    </row>
    <row r="7444" spans="1:8" x14ac:dyDescent="0.25">
      <c r="A7444" t="str">
        <f>"&lt;category name=" &amp;"""" &amp;$C$7435&amp;"""/&gt;"</f>
        <v>&lt;category name="clothes"/&gt;</v>
      </c>
      <c r="B7444" t="s">
        <v>779</v>
      </c>
    </row>
    <row r="7445" spans="1:8" x14ac:dyDescent="0.25">
      <c r="A7445" t="s">
        <v>25</v>
      </c>
      <c r="B7445" t="s">
        <v>779</v>
      </c>
    </row>
    <row r="7446" spans="1:8" x14ac:dyDescent="0.25">
      <c r="A7446" t="s">
        <v>29</v>
      </c>
      <c r="B7446" t="s">
        <v>779</v>
      </c>
    </row>
    <row r="7447" spans="1:8" x14ac:dyDescent="0.25">
      <c r="A7447" t="s">
        <v>22</v>
      </c>
      <c r="B7447" t="s">
        <v>779</v>
      </c>
    </row>
    <row r="7448" spans="1:8" x14ac:dyDescent="0.25">
      <c r="A7448" t="s">
        <v>1972</v>
      </c>
      <c r="B7448" t="s">
        <v>780</v>
      </c>
      <c r="C7448" t="s">
        <v>403</v>
      </c>
      <c r="D7448">
        <v>5</v>
      </c>
      <c r="E7448">
        <v>5600</v>
      </c>
      <c r="F7448">
        <v>1800</v>
      </c>
      <c r="G7448">
        <v>2</v>
      </c>
      <c r="H7448" t="s">
        <v>19</v>
      </c>
    </row>
    <row r="7449" spans="1:8" x14ac:dyDescent="0.25">
      <c r="A7449" t="str">
        <f>"&lt;nominal&gt;" &amp;$D$7448&amp;"&lt;/nominal&gt;"</f>
        <v>&lt;nominal&gt;5&lt;/nominal&gt;</v>
      </c>
      <c r="B7449" t="s">
        <v>780</v>
      </c>
    </row>
    <row r="7450" spans="1:8" x14ac:dyDescent="0.25">
      <c r="A7450" t="str">
        <f>"&lt;lifetime&gt;" &amp;$E$7448&amp;"&lt;/lifetime&gt;"</f>
        <v>&lt;lifetime&gt;5600&lt;/lifetime&gt;</v>
      </c>
      <c r="B7450" t="s">
        <v>780</v>
      </c>
    </row>
    <row r="7451" spans="1:8" x14ac:dyDescent="0.25">
      <c r="A7451" t="str">
        <f>"&lt;restock&gt;" &amp;$F$7448&amp;"&lt;/restock&gt;"</f>
        <v>&lt;restock&gt;1800&lt;/restock&gt;</v>
      </c>
      <c r="B7451" t="s">
        <v>780</v>
      </c>
    </row>
    <row r="7452" spans="1:8" x14ac:dyDescent="0.25">
      <c r="A7452" t="str">
        <f>"&lt;min&gt;" &amp;$G$7448&amp;"&lt;/min&gt;"</f>
        <v>&lt;min&gt;2&lt;/min&gt;</v>
      </c>
      <c r="B7452" t="s">
        <v>780</v>
      </c>
    </row>
    <row r="7453" spans="1:8" x14ac:dyDescent="0.25">
      <c r="A7453" t="s">
        <v>16</v>
      </c>
      <c r="B7453" t="s">
        <v>780</v>
      </c>
    </row>
    <row r="7454" spans="1:8" x14ac:dyDescent="0.25">
      <c r="A7454" t="s">
        <v>17</v>
      </c>
      <c r="B7454" t="s">
        <v>780</v>
      </c>
    </row>
    <row r="7455" spans="1:8" x14ac:dyDescent="0.25">
      <c r="A7455" t="s">
        <v>18</v>
      </c>
      <c r="B7455" t="s">
        <v>780</v>
      </c>
    </row>
    <row r="7456" spans="1:8" x14ac:dyDescent="0.25">
      <c r="A7456" t="str">
        <f xml:space="preserve"> $H$7448</f>
        <v>&lt;flags count_in_cargo="0" count_in_hoarder="0" count_in_map="1" count_in_player="0" crafted="0" deloot="0"/&gt;</v>
      </c>
      <c r="B7456" t="s">
        <v>780</v>
      </c>
    </row>
    <row r="7457" spans="1:8" x14ac:dyDescent="0.25">
      <c r="A7457" t="str">
        <f>"&lt;category name=" &amp;"""" &amp;$C$7448&amp;"""/&gt;"</f>
        <v>&lt;category name="clothes"/&gt;</v>
      </c>
      <c r="B7457" t="s">
        <v>780</v>
      </c>
    </row>
    <row r="7458" spans="1:8" x14ac:dyDescent="0.25">
      <c r="A7458" t="s">
        <v>25</v>
      </c>
      <c r="B7458" t="s">
        <v>780</v>
      </c>
    </row>
    <row r="7459" spans="1:8" x14ac:dyDescent="0.25">
      <c r="A7459" t="s">
        <v>29</v>
      </c>
      <c r="B7459" t="s">
        <v>780</v>
      </c>
    </row>
    <row r="7460" spans="1:8" x14ac:dyDescent="0.25">
      <c r="A7460" t="s">
        <v>22</v>
      </c>
      <c r="B7460" t="s">
        <v>780</v>
      </c>
    </row>
    <row r="7461" spans="1:8" x14ac:dyDescent="0.25">
      <c r="A7461" t="s">
        <v>1973</v>
      </c>
      <c r="B7461" t="s">
        <v>781</v>
      </c>
      <c r="C7461" t="s">
        <v>8</v>
      </c>
      <c r="D7461">
        <v>10</v>
      </c>
      <c r="E7461">
        <v>10800</v>
      </c>
      <c r="F7461">
        <v>1800</v>
      </c>
      <c r="G7461">
        <v>5</v>
      </c>
      <c r="H7461" t="s">
        <v>19</v>
      </c>
    </row>
    <row r="7462" spans="1:8" x14ac:dyDescent="0.25">
      <c r="A7462" t="str">
        <f>"&lt;nominal&gt;" &amp;$D$7461&amp;"&lt;/nominal&gt;"</f>
        <v>&lt;nominal&gt;10&lt;/nominal&gt;</v>
      </c>
      <c r="B7462" t="s">
        <v>781</v>
      </c>
    </row>
    <row r="7463" spans="1:8" x14ac:dyDescent="0.25">
      <c r="A7463" t="str">
        <f>"&lt;lifetime&gt;" &amp;$E$7461&amp;"&lt;/lifetime&gt;"</f>
        <v>&lt;lifetime&gt;10800&lt;/lifetime&gt;</v>
      </c>
      <c r="B7463" t="s">
        <v>781</v>
      </c>
    </row>
    <row r="7464" spans="1:8" x14ac:dyDescent="0.25">
      <c r="A7464" t="str">
        <f>"&lt;restock&gt;" &amp;$F$7461&amp;"&lt;/restock&gt;"</f>
        <v>&lt;restock&gt;1800&lt;/restock&gt;</v>
      </c>
      <c r="B7464" t="s">
        <v>781</v>
      </c>
    </row>
    <row r="7465" spans="1:8" x14ac:dyDescent="0.25">
      <c r="A7465" t="str">
        <f>"&lt;min&gt;" &amp;$G$7461&amp;"&lt;/min&gt;"</f>
        <v>&lt;min&gt;5&lt;/min&gt;</v>
      </c>
      <c r="B7465" t="s">
        <v>781</v>
      </c>
    </row>
    <row r="7466" spans="1:8" x14ac:dyDescent="0.25">
      <c r="A7466" t="s">
        <v>16</v>
      </c>
      <c r="B7466" t="s">
        <v>781</v>
      </c>
    </row>
    <row r="7467" spans="1:8" x14ac:dyDescent="0.25">
      <c r="A7467" t="s">
        <v>17</v>
      </c>
      <c r="B7467" t="s">
        <v>781</v>
      </c>
    </row>
    <row r="7468" spans="1:8" x14ac:dyDescent="0.25">
      <c r="A7468" t="s">
        <v>18</v>
      </c>
      <c r="B7468" t="s">
        <v>781</v>
      </c>
    </row>
    <row r="7469" spans="1:8" x14ac:dyDescent="0.25">
      <c r="A7469" t="str">
        <f xml:space="preserve"> $H$7461</f>
        <v>&lt;flags count_in_cargo="0" count_in_hoarder="0" count_in_map="1" count_in_player="0" crafted="0" deloot="0"/&gt;</v>
      </c>
      <c r="B7469" t="s">
        <v>781</v>
      </c>
    </row>
    <row r="7470" spans="1:8" x14ac:dyDescent="0.25">
      <c r="A7470" t="str">
        <f>"&lt;category name=" &amp;"""" &amp;$C$7461&amp;"""/&gt;"</f>
        <v>&lt;category name="weapons"/&gt;</v>
      </c>
      <c r="B7470" t="s">
        <v>781</v>
      </c>
    </row>
    <row r="7471" spans="1:8" x14ac:dyDescent="0.25">
      <c r="A7471" t="s">
        <v>29</v>
      </c>
      <c r="B7471" t="s">
        <v>781</v>
      </c>
    </row>
    <row r="7472" spans="1:8" x14ac:dyDescent="0.25">
      <c r="A7472" t="s">
        <v>22</v>
      </c>
      <c r="B7472" t="s">
        <v>781</v>
      </c>
    </row>
    <row r="7473" spans="1:8" x14ac:dyDescent="0.25">
      <c r="A7473" t="s">
        <v>1974</v>
      </c>
      <c r="B7473" t="s">
        <v>782</v>
      </c>
      <c r="C7473" t="s">
        <v>8</v>
      </c>
      <c r="D7473">
        <v>5</v>
      </c>
      <c r="E7473">
        <v>14400</v>
      </c>
      <c r="F7473">
        <v>3600</v>
      </c>
      <c r="G7473">
        <v>2</v>
      </c>
      <c r="H7473" t="s">
        <v>19</v>
      </c>
    </row>
    <row r="7474" spans="1:8" x14ac:dyDescent="0.25">
      <c r="A7474" t="str">
        <f>"&lt;nominal&gt;" &amp;$D$7473&amp;"&lt;/nominal&gt;"</f>
        <v>&lt;nominal&gt;5&lt;/nominal&gt;</v>
      </c>
      <c r="B7474" t="s">
        <v>782</v>
      </c>
    </row>
    <row r="7475" spans="1:8" x14ac:dyDescent="0.25">
      <c r="A7475" t="str">
        <f>"&lt;lifetime&gt;" &amp;$E$7473&amp;"&lt;/lifetime&gt;"</f>
        <v>&lt;lifetime&gt;14400&lt;/lifetime&gt;</v>
      </c>
      <c r="B7475" t="s">
        <v>782</v>
      </c>
    </row>
    <row r="7476" spans="1:8" x14ac:dyDescent="0.25">
      <c r="A7476" t="str">
        <f>"&lt;restock&gt;" &amp;$F$7473&amp;"&lt;/restock&gt;"</f>
        <v>&lt;restock&gt;3600&lt;/restock&gt;</v>
      </c>
      <c r="B7476" t="s">
        <v>782</v>
      </c>
    </row>
    <row r="7477" spans="1:8" x14ac:dyDescent="0.25">
      <c r="A7477" t="str">
        <f>"&lt;min&gt;" &amp;$G$7473&amp;"&lt;/min&gt;"</f>
        <v>&lt;min&gt;2&lt;/min&gt;</v>
      </c>
      <c r="B7477" t="s">
        <v>782</v>
      </c>
    </row>
    <row r="7478" spans="1:8" x14ac:dyDescent="0.25">
      <c r="A7478" t="s">
        <v>16</v>
      </c>
      <c r="B7478" t="s">
        <v>782</v>
      </c>
    </row>
    <row r="7479" spans="1:8" x14ac:dyDescent="0.25">
      <c r="A7479" t="s">
        <v>17</v>
      </c>
      <c r="B7479" t="s">
        <v>782</v>
      </c>
    </row>
    <row r="7480" spans="1:8" x14ac:dyDescent="0.25">
      <c r="A7480" t="s">
        <v>18</v>
      </c>
      <c r="B7480" t="s">
        <v>782</v>
      </c>
    </row>
    <row r="7481" spans="1:8" x14ac:dyDescent="0.25">
      <c r="A7481" t="str">
        <f xml:space="preserve"> $H$7473</f>
        <v>&lt;flags count_in_cargo="0" count_in_hoarder="0" count_in_map="1" count_in_player="0" crafted="0" deloot="0"/&gt;</v>
      </c>
      <c r="B7481" t="s">
        <v>782</v>
      </c>
    </row>
    <row r="7482" spans="1:8" x14ac:dyDescent="0.25">
      <c r="A7482" t="str">
        <f>"&lt;category name=" &amp;"""" &amp;$C$7473&amp;"""/&gt;"</f>
        <v>&lt;category name="weapons"/&gt;</v>
      </c>
      <c r="B7482" t="s">
        <v>782</v>
      </c>
    </row>
    <row r="7483" spans="1:8" x14ac:dyDescent="0.25">
      <c r="A7483" t="s">
        <v>20</v>
      </c>
      <c r="B7483" t="s">
        <v>782</v>
      </c>
    </row>
    <row r="7484" spans="1:8" x14ac:dyDescent="0.25">
      <c r="A7484" t="s">
        <v>29</v>
      </c>
      <c r="B7484" t="s">
        <v>782</v>
      </c>
    </row>
    <row r="7485" spans="1:8" x14ac:dyDescent="0.25">
      <c r="A7485" t="s">
        <v>30</v>
      </c>
      <c r="B7485" t="s">
        <v>782</v>
      </c>
    </row>
    <row r="7486" spans="1:8" x14ac:dyDescent="0.25">
      <c r="A7486" t="s">
        <v>307</v>
      </c>
      <c r="B7486" t="s">
        <v>782</v>
      </c>
    </row>
    <row r="7487" spans="1:8" x14ac:dyDescent="0.25">
      <c r="A7487" t="s">
        <v>22</v>
      </c>
      <c r="B7487" t="s">
        <v>782</v>
      </c>
    </row>
    <row r="7488" spans="1:8" x14ac:dyDescent="0.25">
      <c r="A7488" t="s">
        <v>1975</v>
      </c>
      <c r="B7488" t="s">
        <v>783</v>
      </c>
      <c r="C7488" t="s">
        <v>426</v>
      </c>
      <c r="D7488">
        <v>90</v>
      </c>
      <c r="E7488">
        <v>7200</v>
      </c>
      <c r="F7488">
        <v>0</v>
      </c>
      <c r="G7488">
        <v>70</v>
      </c>
      <c r="H7488" t="s">
        <v>19</v>
      </c>
    </row>
    <row r="7489" spans="1:8" x14ac:dyDescent="0.25">
      <c r="A7489" t="str">
        <f>"&lt;nominal&gt;" &amp;$D$7488&amp;"&lt;/nominal&gt;"</f>
        <v>&lt;nominal&gt;90&lt;/nominal&gt;</v>
      </c>
      <c r="B7489" t="s">
        <v>783</v>
      </c>
    </row>
    <row r="7490" spans="1:8" x14ac:dyDescent="0.25">
      <c r="A7490" t="str">
        <f>"&lt;lifetime&gt;" &amp;$E$7488&amp;"&lt;/lifetime&gt;"</f>
        <v>&lt;lifetime&gt;7200&lt;/lifetime&gt;</v>
      </c>
      <c r="B7490" t="s">
        <v>783</v>
      </c>
    </row>
    <row r="7491" spans="1:8" x14ac:dyDescent="0.25">
      <c r="A7491" t="str">
        <f>"&lt;restock&gt;" &amp;$F$7488&amp;"&lt;/restock&gt;"</f>
        <v>&lt;restock&gt;0&lt;/restock&gt;</v>
      </c>
      <c r="B7491" t="s">
        <v>783</v>
      </c>
    </row>
    <row r="7492" spans="1:8" x14ac:dyDescent="0.25">
      <c r="A7492" t="str">
        <f>"&lt;min&gt;" &amp;$G$7488&amp;"&lt;/min&gt;"</f>
        <v>&lt;min&gt;70&lt;/min&gt;</v>
      </c>
      <c r="B7492" t="s">
        <v>783</v>
      </c>
    </row>
    <row r="7493" spans="1:8" x14ac:dyDescent="0.25">
      <c r="A7493" t="s">
        <v>16</v>
      </c>
      <c r="B7493" t="s">
        <v>783</v>
      </c>
    </row>
    <row r="7494" spans="1:8" x14ac:dyDescent="0.25">
      <c r="A7494" t="s">
        <v>17</v>
      </c>
      <c r="B7494" t="s">
        <v>783</v>
      </c>
    </row>
    <row r="7495" spans="1:8" x14ac:dyDescent="0.25">
      <c r="A7495" t="s">
        <v>18</v>
      </c>
      <c r="B7495" t="s">
        <v>783</v>
      </c>
    </row>
    <row r="7496" spans="1:8" x14ac:dyDescent="0.25">
      <c r="A7496" t="str">
        <f xml:space="preserve"> $H$7488</f>
        <v>&lt;flags count_in_cargo="0" count_in_hoarder="0" count_in_map="1" count_in_player="0" crafted="0" deloot="0"/&gt;</v>
      </c>
      <c r="B7496" t="s">
        <v>783</v>
      </c>
    </row>
    <row r="7497" spans="1:8" x14ac:dyDescent="0.25">
      <c r="A7497" t="str">
        <f>"&lt;category name=" &amp;"""" &amp;$C$7488&amp;"""/&gt;"</f>
        <v>&lt;category name="tools"/&gt;</v>
      </c>
      <c r="B7497" t="s">
        <v>783</v>
      </c>
    </row>
    <row r="7498" spans="1:8" x14ac:dyDescent="0.25">
      <c r="A7498" t="s">
        <v>20</v>
      </c>
      <c r="B7498" t="s">
        <v>783</v>
      </c>
    </row>
    <row r="7499" spans="1:8" x14ac:dyDescent="0.25">
      <c r="A7499" t="s">
        <v>39</v>
      </c>
      <c r="B7499" t="s">
        <v>783</v>
      </c>
    </row>
    <row r="7500" spans="1:8" x14ac:dyDescent="0.25">
      <c r="A7500" t="s">
        <v>40</v>
      </c>
      <c r="B7500" t="s">
        <v>783</v>
      </c>
    </row>
    <row r="7501" spans="1:8" x14ac:dyDescent="0.25">
      <c r="A7501" t="s">
        <v>22</v>
      </c>
      <c r="B7501" t="s">
        <v>783</v>
      </c>
    </row>
    <row r="7502" spans="1:8" x14ac:dyDescent="0.25">
      <c r="A7502" t="s">
        <v>1976</v>
      </c>
      <c r="B7502" t="s">
        <v>784</v>
      </c>
      <c r="C7502" t="s">
        <v>8</v>
      </c>
      <c r="D7502">
        <v>10</v>
      </c>
      <c r="E7502">
        <v>7200</v>
      </c>
      <c r="F7502">
        <v>1800</v>
      </c>
      <c r="G7502">
        <v>5</v>
      </c>
      <c r="H7502" t="s">
        <v>19</v>
      </c>
    </row>
    <row r="7503" spans="1:8" x14ac:dyDescent="0.25">
      <c r="A7503" t="str">
        <f>"&lt;nominal&gt;" &amp;$D$7502&amp;"&lt;/nominal&gt;"</f>
        <v>&lt;nominal&gt;10&lt;/nominal&gt;</v>
      </c>
      <c r="B7503" t="s">
        <v>784</v>
      </c>
    </row>
    <row r="7504" spans="1:8" x14ac:dyDescent="0.25">
      <c r="A7504" t="str">
        <f>"&lt;lifetime&gt;" &amp;$E$7502&amp;"&lt;/lifetime&gt;"</f>
        <v>&lt;lifetime&gt;7200&lt;/lifetime&gt;</v>
      </c>
      <c r="B7504" t="s">
        <v>784</v>
      </c>
    </row>
    <row r="7505" spans="1:8" x14ac:dyDescent="0.25">
      <c r="A7505" t="str">
        <f>"&lt;restock&gt;" &amp;$F$7502&amp;"&lt;/restock&gt;"</f>
        <v>&lt;restock&gt;1800&lt;/restock&gt;</v>
      </c>
      <c r="B7505" t="s">
        <v>784</v>
      </c>
    </row>
    <row r="7506" spans="1:8" x14ac:dyDescent="0.25">
      <c r="A7506" t="str">
        <f>"&lt;min&gt;" &amp;$G$7502&amp;"&lt;/min&gt;"</f>
        <v>&lt;min&gt;5&lt;/min&gt;</v>
      </c>
      <c r="B7506" t="s">
        <v>784</v>
      </c>
    </row>
    <row r="7507" spans="1:8" x14ac:dyDescent="0.25">
      <c r="A7507" t="s">
        <v>16</v>
      </c>
      <c r="B7507" t="s">
        <v>784</v>
      </c>
    </row>
    <row r="7508" spans="1:8" x14ac:dyDescent="0.25">
      <c r="A7508" t="s">
        <v>17</v>
      </c>
      <c r="B7508" t="s">
        <v>784</v>
      </c>
    </row>
    <row r="7509" spans="1:8" x14ac:dyDescent="0.25">
      <c r="A7509" t="s">
        <v>18</v>
      </c>
      <c r="B7509" t="s">
        <v>784</v>
      </c>
    </row>
    <row r="7510" spans="1:8" x14ac:dyDescent="0.25">
      <c r="A7510" t="str">
        <f xml:space="preserve"> $H$7502</f>
        <v>&lt;flags count_in_cargo="0" count_in_hoarder="0" count_in_map="1" count_in_player="0" crafted="0" deloot="0"/&gt;</v>
      </c>
      <c r="B7510" t="s">
        <v>784</v>
      </c>
    </row>
    <row r="7511" spans="1:8" x14ac:dyDescent="0.25">
      <c r="A7511" t="str">
        <f>"&lt;category name=" &amp;"""" &amp;$C$7502&amp;"""/&gt;"</f>
        <v>&lt;category name="weapons"/&gt;</v>
      </c>
      <c r="B7511" t="s">
        <v>784</v>
      </c>
    </row>
    <row r="7512" spans="1:8" x14ac:dyDescent="0.25">
      <c r="A7512" t="s">
        <v>29</v>
      </c>
      <c r="B7512" t="s">
        <v>784</v>
      </c>
    </row>
    <row r="7513" spans="1:8" x14ac:dyDescent="0.25">
      <c r="A7513" t="s">
        <v>22</v>
      </c>
      <c r="B7513" t="s">
        <v>784</v>
      </c>
    </row>
    <row r="7514" spans="1:8" x14ac:dyDescent="0.25">
      <c r="A7514" t="s">
        <v>1977</v>
      </c>
      <c r="B7514" t="s">
        <v>785</v>
      </c>
      <c r="C7514" t="s">
        <v>403</v>
      </c>
      <c r="D7514">
        <v>20</v>
      </c>
      <c r="E7514">
        <v>5600</v>
      </c>
      <c r="F7514">
        <v>0</v>
      </c>
      <c r="G7514">
        <v>10</v>
      </c>
      <c r="H7514" t="s">
        <v>19</v>
      </c>
    </row>
    <row r="7515" spans="1:8" x14ac:dyDescent="0.25">
      <c r="A7515" t="str">
        <f>"&lt;nominal&gt;" &amp;$D$7514&amp;"&lt;/nominal&gt;"</f>
        <v>&lt;nominal&gt;20&lt;/nominal&gt;</v>
      </c>
      <c r="B7515" t="s">
        <v>785</v>
      </c>
    </row>
    <row r="7516" spans="1:8" x14ac:dyDescent="0.25">
      <c r="A7516" t="str">
        <f>"&lt;lifetime&gt;" &amp;$E$7514&amp;"&lt;/lifetime&gt;"</f>
        <v>&lt;lifetime&gt;5600&lt;/lifetime&gt;</v>
      </c>
      <c r="B7516" t="s">
        <v>785</v>
      </c>
    </row>
    <row r="7517" spans="1:8" x14ac:dyDescent="0.25">
      <c r="A7517" t="str">
        <f>"&lt;restock&gt;" &amp;$F$7514&amp;"&lt;/restock&gt;"</f>
        <v>&lt;restock&gt;0&lt;/restock&gt;</v>
      </c>
      <c r="B7517" t="s">
        <v>785</v>
      </c>
    </row>
    <row r="7518" spans="1:8" x14ac:dyDescent="0.25">
      <c r="A7518" t="str">
        <f>"&lt;min&gt;" &amp;$G$7514&amp;"&lt;/min&gt;"</f>
        <v>&lt;min&gt;10&lt;/min&gt;</v>
      </c>
      <c r="B7518" t="s">
        <v>785</v>
      </c>
    </row>
    <row r="7519" spans="1:8" x14ac:dyDescent="0.25">
      <c r="A7519" t="s">
        <v>16</v>
      </c>
      <c r="B7519" t="s">
        <v>785</v>
      </c>
    </row>
    <row r="7520" spans="1:8" x14ac:dyDescent="0.25">
      <c r="A7520" t="s">
        <v>17</v>
      </c>
      <c r="B7520" t="s">
        <v>785</v>
      </c>
    </row>
    <row r="7521" spans="1:8" x14ac:dyDescent="0.25">
      <c r="A7521" t="s">
        <v>18</v>
      </c>
      <c r="B7521" t="s">
        <v>785</v>
      </c>
    </row>
    <row r="7522" spans="1:8" x14ac:dyDescent="0.25">
      <c r="A7522" t="str">
        <f xml:space="preserve"> $H$7514</f>
        <v>&lt;flags count_in_cargo="0" count_in_hoarder="0" count_in_map="1" count_in_player="0" crafted="0" deloot="0"/&gt;</v>
      </c>
      <c r="B7522" t="s">
        <v>785</v>
      </c>
    </row>
    <row r="7523" spans="1:8" x14ac:dyDescent="0.25">
      <c r="A7523" t="str">
        <f>"&lt;category name=" &amp;"""" &amp;$C$7514&amp;"""/&gt;"</f>
        <v>&lt;category name="clothes"/&gt;</v>
      </c>
      <c r="B7523" t="s">
        <v>785</v>
      </c>
    </row>
    <row r="7524" spans="1:8" x14ac:dyDescent="0.25">
      <c r="A7524" t="s">
        <v>21</v>
      </c>
      <c r="B7524" t="s">
        <v>785</v>
      </c>
    </row>
    <row r="7525" spans="1:8" x14ac:dyDescent="0.25">
      <c r="A7525" t="s">
        <v>22</v>
      </c>
      <c r="B7525" t="s">
        <v>785</v>
      </c>
    </row>
    <row r="7526" spans="1:8" x14ac:dyDescent="0.25">
      <c r="A7526" t="s">
        <v>1978</v>
      </c>
      <c r="B7526" t="s">
        <v>2960</v>
      </c>
      <c r="C7526" t="s">
        <v>399</v>
      </c>
      <c r="D7526">
        <v>0</v>
      </c>
      <c r="E7526">
        <v>900</v>
      </c>
      <c r="F7526">
        <v>0</v>
      </c>
      <c r="G7526">
        <v>0</v>
      </c>
      <c r="H7526" t="s">
        <v>62</v>
      </c>
    </row>
    <row r="7527" spans="1:8" x14ac:dyDescent="0.25">
      <c r="A7527" t="str">
        <f>"&lt;nominal&gt;" &amp;$D$7526&amp;"&lt;/nominal&gt;"</f>
        <v>&lt;nominal&gt;0&lt;/nominal&gt;</v>
      </c>
      <c r="B7527" t="s">
        <v>2960</v>
      </c>
    </row>
    <row r="7528" spans="1:8" x14ac:dyDescent="0.25">
      <c r="A7528" t="str">
        <f>"&lt;lifetime&gt;" &amp;$E$7526&amp;"&lt;/lifetime&gt;"</f>
        <v>&lt;lifetime&gt;900&lt;/lifetime&gt;</v>
      </c>
      <c r="B7528" t="s">
        <v>2960</v>
      </c>
    </row>
    <row r="7529" spans="1:8" x14ac:dyDescent="0.25">
      <c r="A7529" t="str">
        <f>"&lt;restock&gt;" &amp;$F$7526&amp;"&lt;/restock&gt;"</f>
        <v>&lt;restock&gt;0&lt;/restock&gt;</v>
      </c>
      <c r="B7529" t="s">
        <v>2960</v>
      </c>
    </row>
    <row r="7530" spans="1:8" x14ac:dyDescent="0.25">
      <c r="A7530" t="str">
        <f>"&lt;min&gt;" &amp;$G$7526&amp;"&lt;/min&gt;"</f>
        <v>&lt;min&gt;0&lt;/min&gt;</v>
      </c>
      <c r="B7530" t="s">
        <v>2960</v>
      </c>
    </row>
    <row r="7531" spans="1:8" x14ac:dyDescent="0.25">
      <c r="A7531" t="s">
        <v>16</v>
      </c>
      <c r="B7531" t="s">
        <v>2960</v>
      </c>
    </row>
    <row r="7532" spans="1:8" x14ac:dyDescent="0.25">
      <c r="A7532" t="s">
        <v>17</v>
      </c>
      <c r="B7532" t="s">
        <v>2960</v>
      </c>
    </row>
    <row r="7533" spans="1:8" x14ac:dyDescent="0.25">
      <c r="A7533" t="s">
        <v>18</v>
      </c>
      <c r="B7533" t="s">
        <v>2960</v>
      </c>
    </row>
    <row r="7534" spans="1:8" x14ac:dyDescent="0.25">
      <c r="A7534" t="str">
        <f xml:space="preserve"> $H$7526</f>
        <v>&lt;flags count_in_cargo="0" count_in_hoarder="0" count_in_map="1" count_in_player="0" crafted="1" deloot="0"/&gt;</v>
      </c>
      <c r="B7534" t="s">
        <v>2960</v>
      </c>
    </row>
    <row r="7535" spans="1:8" x14ac:dyDescent="0.25">
      <c r="A7535" t="str">
        <f>"&lt;category name=" &amp;"""" &amp;$C$7526&amp;"""/&gt;"</f>
        <v>&lt;category name="food"/&gt;</v>
      </c>
      <c r="B7535" t="s">
        <v>2960</v>
      </c>
    </row>
    <row r="7536" spans="1:8" x14ac:dyDescent="0.25">
      <c r="A7536" t="s">
        <v>22</v>
      </c>
      <c r="B7536" t="s">
        <v>2960</v>
      </c>
    </row>
    <row r="7537" spans="1:8" x14ac:dyDescent="0.25">
      <c r="A7537" t="s">
        <v>1979</v>
      </c>
      <c r="B7537" t="s">
        <v>786</v>
      </c>
      <c r="C7537" t="s">
        <v>426</v>
      </c>
      <c r="D7537">
        <v>10</v>
      </c>
      <c r="E7537">
        <v>7200</v>
      </c>
      <c r="F7537">
        <v>0</v>
      </c>
      <c r="G7537">
        <v>5</v>
      </c>
      <c r="H7537" t="s">
        <v>24</v>
      </c>
    </row>
    <row r="7538" spans="1:8" x14ac:dyDescent="0.25">
      <c r="A7538" t="str">
        <f>"&lt;nominal&gt;" &amp;$D$7537&amp;"&lt;/nominal&gt;"</f>
        <v>&lt;nominal&gt;10&lt;/nominal&gt;</v>
      </c>
      <c r="B7538" t="s">
        <v>786</v>
      </c>
    </row>
    <row r="7539" spans="1:8" x14ac:dyDescent="0.25">
      <c r="A7539" t="str">
        <f>"&lt;lifetime&gt;" &amp;$E$7537&amp;"&lt;/lifetime&gt;"</f>
        <v>&lt;lifetime&gt;7200&lt;/lifetime&gt;</v>
      </c>
      <c r="B7539" t="s">
        <v>786</v>
      </c>
    </row>
    <row r="7540" spans="1:8" x14ac:dyDescent="0.25">
      <c r="A7540" t="str">
        <f>"&lt;restock&gt;" &amp;$F$7537&amp;"&lt;/restock&gt;"</f>
        <v>&lt;restock&gt;0&lt;/restock&gt;</v>
      </c>
      <c r="B7540" t="s">
        <v>786</v>
      </c>
    </row>
    <row r="7541" spans="1:8" x14ac:dyDescent="0.25">
      <c r="A7541" t="str">
        <f>"&lt;min&gt;" &amp;$G$7537&amp;"&lt;/min&gt;"</f>
        <v>&lt;min&gt;5&lt;/min&gt;</v>
      </c>
      <c r="B7541" t="s">
        <v>786</v>
      </c>
    </row>
    <row r="7542" spans="1:8" x14ac:dyDescent="0.25">
      <c r="A7542" t="s">
        <v>16</v>
      </c>
      <c r="B7542" t="s">
        <v>786</v>
      </c>
    </row>
    <row r="7543" spans="1:8" x14ac:dyDescent="0.25">
      <c r="A7543" t="s">
        <v>17</v>
      </c>
      <c r="B7543" t="s">
        <v>786</v>
      </c>
    </row>
    <row r="7544" spans="1:8" x14ac:dyDescent="0.25">
      <c r="A7544" t="s">
        <v>18</v>
      </c>
      <c r="B7544" t="s">
        <v>786</v>
      </c>
    </row>
    <row r="7545" spans="1:8" x14ac:dyDescent="0.25">
      <c r="A7545" t="str">
        <f xml:space="preserve"> $H$7537</f>
        <v>&lt;flags count_in_cargo="1" count_in_hoarder="1" count_in_map="1" count_in_player="1" crafted="0" deloot="0"/&gt;</v>
      </c>
      <c r="B7545" t="s">
        <v>786</v>
      </c>
    </row>
    <row r="7546" spans="1:8" x14ac:dyDescent="0.25">
      <c r="A7546" t="str">
        <f>"&lt;category name=" &amp;"""" &amp;$C$7537&amp;"""/&gt;"</f>
        <v>&lt;category name="tools"/&gt;</v>
      </c>
      <c r="B7546" t="s">
        <v>786</v>
      </c>
    </row>
    <row r="7547" spans="1:8" x14ac:dyDescent="0.25">
      <c r="A7547" t="s">
        <v>29</v>
      </c>
      <c r="B7547" t="s">
        <v>786</v>
      </c>
    </row>
    <row r="7548" spans="1:8" x14ac:dyDescent="0.25">
      <c r="A7548" t="s">
        <v>22</v>
      </c>
      <c r="B7548" t="s">
        <v>786</v>
      </c>
    </row>
    <row r="7549" spans="1:8" x14ac:dyDescent="0.25">
      <c r="A7549" t="s">
        <v>1980</v>
      </c>
      <c r="B7549" t="s">
        <v>3441</v>
      </c>
      <c r="D7549">
        <v>0</v>
      </c>
      <c r="E7549">
        <v>5600</v>
      </c>
      <c r="F7549">
        <v>0</v>
      </c>
      <c r="G7549">
        <v>0</v>
      </c>
      <c r="H7549" t="s">
        <v>19</v>
      </c>
    </row>
    <row r="7550" spans="1:8" x14ac:dyDescent="0.25">
      <c r="A7550" t="str">
        <f>"&lt;nominal&gt;" &amp;$D$7549&amp;"&lt;/nominal&gt;"</f>
        <v>&lt;nominal&gt;0&lt;/nominal&gt;</v>
      </c>
      <c r="B7550" t="s">
        <v>3441</v>
      </c>
    </row>
    <row r="7551" spans="1:8" x14ac:dyDescent="0.25">
      <c r="A7551" t="str">
        <f>"&lt;lifetime&gt;" &amp;$E$7549&amp;"&lt;/lifetime&gt;"</f>
        <v>&lt;lifetime&gt;5600&lt;/lifetime&gt;</v>
      </c>
      <c r="B7551" t="s">
        <v>3441</v>
      </c>
    </row>
    <row r="7552" spans="1:8" x14ac:dyDescent="0.25">
      <c r="A7552" t="str">
        <f>"&lt;restock&gt;" &amp;$F$7549&amp;"&lt;/restock&gt;"</f>
        <v>&lt;restock&gt;0&lt;/restock&gt;</v>
      </c>
      <c r="B7552" t="s">
        <v>3441</v>
      </c>
    </row>
    <row r="7553" spans="1:8" x14ac:dyDescent="0.25">
      <c r="A7553" t="str">
        <f>"&lt;min&gt;" &amp;$G$7549&amp;"&lt;/min&gt;"</f>
        <v>&lt;min&gt;0&lt;/min&gt;</v>
      </c>
      <c r="B7553" t="s">
        <v>3441</v>
      </c>
    </row>
    <row r="7554" spans="1:8" x14ac:dyDescent="0.25">
      <c r="A7554" t="s">
        <v>16</v>
      </c>
      <c r="B7554" t="s">
        <v>3441</v>
      </c>
    </row>
    <row r="7555" spans="1:8" x14ac:dyDescent="0.25">
      <c r="A7555" t="s">
        <v>17</v>
      </c>
      <c r="B7555" t="s">
        <v>3441</v>
      </c>
    </row>
    <row r="7556" spans="1:8" x14ac:dyDescent="0.25">
      <c r="A7556" t="s">
        <v>18</v>
      </c>
      <c r="B7556" t="s">
        <v>3441</v>
      </c>
    </row>
    <row r="7557" spans="1:8" x14ac:dyDescent="0.25">
      <c r="A7557" t="str">
        <f xml:space="preserve"> $H$7549</f>
        <v>&lt;flags count_in_cargo="0" count_in_hoarder="0" count_in_map="1" count_in_player="0" crafted="0" deloot="0"/&gt;</v>
      </c>
      <c r="B7557" t="s">
        <v>3441</v>
      </c>
    </row>
    <row r="7558" spans="1:8" x14ac:dyDescent="0.25">
      <c r="A7558" t="s">
        <v>173</v>
      </c>
      <c r="B7558" t="s">
        <v>3441</v>
      </c>
    </row>
    <row r="7559" spans="1:8" x14ac:dyDescent="0.25">
      <c r="A7559" t="s">
        <v>22</v>
      </c>
      <c r="B7559" t="s">
        <v>3441</v>
      </c>
    </row>
    <row r="7560" spans="1:8" x14ac:dyDescent="0.25">
      <c r="A7560" t="s">
        <v>1981</v>
      </c>
      <c r="B7560" t="s">
        <v>3442</v>
      </c>
      <c r="D7560">
        <v>0</v>
      </c>
      <c r="E7560">
        <v>3600</v>
      </c>
      <c r="F7560">
        <v>0</v>
      </c>
      <c r="G7560">
        <v>0</v>
      </c>
      <c r="H7560" t="s">
        <v>62</v>
      </c>
    </row>
    <row r="7561" spans="1:8" x14ac:dyDescent="0.25">
      <c r="A7561" t="str">
        <f>"&lt;nominal&gt;" &amp;$D$7560&amp;"&lt;/nominal&gt;"</f>
        <v>&lt;nominal&gt;0&lt;/nominal&gt;</v>
      </c>
      <c r="B7561" t="s">
        <v>3442</v>
      </c>
    </row>
    <row r="7562" spans="1:8" x14ac:dyDescent="0.25">
      <c r="A7562" t="str">
        <f>"&lt;lifetime&gt;" &amp;$E$7560&amp;"&lt;/lifetime&gt;"</f>
        <v>&lt;lifetime&gt;3600&lt;/lifetime&gt;</v>
      </c>
      <c r="B7562" t="s">
        <v>3442</v>
      </c>
    </row>
    <row r="7563" spans="1:8" x14ac:dyDescent="0.25">
      <c r="A7563" t="str">
        <f>"&lt;restock&gt;" &amp;$F$7560&amp;"&lt;/restock&gt;"</f>
        <v>&lt;restock&gt;0&lt;/restock&gt;</v>
      </c>
      <c r="B7563" t="s">
        <v>3442</v>
      </c>
    </row>
    <row r="7564" spans="1:8" x14ac:dyDescent="0.25">
      <c r="A7564" t="str">
        <f>"&lt;min&gt;" &amp;$G$7560&amp;"&lt;/min&gt;"</f>
        <v>&lt;min&gt;0&lt;/min&gt;</v>
      </c>
      <c r="B7564" t="s">
        <v>3442</v>
      </c>
    </row>
    <row r="7565" spans="1:8" x14ac:dyDescent="0.25">
      <c r="A7565" t="s">
        <v>16</v>
      </c>
      <c r="B7565" t="s">
        <v>3442</v>
      </c>
    </row>
    <row r="7566" spans="1:8" x14ac:dyDescent="0.25">
      <c r="A7566" t="s">
        <v>17</v>
      </c>
      <c r="B7566" t="s">
        <v>3442</v>
      </c>
    </row>
    <row r="7567" spans="1:8" x14ac:dyDescent="0.25">
      <c r="A7567" t="s">
        <v>18</v>
      </c>
      <c r="B7567" t="s">
        <v>3442</v>
      </c>
    </row>
    <row r="7568" spans="1:8" x14ac:dyDescent="0.25">
      <c r="A7568" t="str">
        <f xml:space="preserve"> $H$7560</f>
        <v>&lt;flags count_in_cargo="0" count_in_hoarder="0" count_in_map="1" count_in_player="0" crafted="1" deloot="0"/&gt;</v>
      </c>
      <c r="B7568" t="s">
        <v>3442</v>
      </c>
    </row>
    <row r="7569" spans="1:8" x14ac:dyDescent="0.25">
      <c r="A7569" t="s">
        <v>22</v>
      </c>
      <c r="B7569" t="s">
        <v>3442</v>
      </c>
    </row>
    <row r="7570" spans="1:8" x14ac:dyDescent="0.25">
      <c r="A7570" t="s">
        <v>1982</v>
      </c>
      <c r="B7570" t="s">
        <v>787</v>
      </c>
      <c r="C7570" t="s">
        <v>426</v>
      </c>
      <c r="D7570">
        <v>40</v>
      </c>
      <c r="E7570">
        <v>7200</v>
      </c>
      <c r="F7570">
        <v>0</v>
      </c>
      <c r="G7570">
        <v>30</v>
      </c>
      <c r="H7570" t="s">
        <v>19</v>
      </c>
    </row>
    <row r="7571" spans="1:8" x14ac:dyDescent="0.25">
      <c r="A7571" t="str">
        <f>"&lt;nominal&gt;" &amp;$D$7570&amp;"&lt;/nominal&gt;"</f>
        <v>&lt;nominal&gt;40&lt;/nominal&gt;</v>
      </c>
      <c r="B7571" t="s">
        <v>787</v>
      </c>
    </row>
    <row r="7572" spans="1:8" x14ac:dyDescent="0.25">
      <c r="A7572" t="str">
        <f>"&lt;lifetime&gt;" &amp;$E$7570&amp;"&lt;/lifetime&gt;"</f>
        <v>&lt;lifetime&gt;7200&lt;/lifetime&gt;</v>
      </c>
      <c r="B7572" t="s">
        <v>787</v>
      </c>
    </row>
    <row r="7573" spans="1:8" x14ac:dyDescent="0.25">
      <c r="A7573" t="str">
        <f>"&lt;restock&gt;" &amp;$F$7570&amp;"&lt;/restock&gt;"</f>
        <v>&lt;restock&gt;0&lt;/restock&gt;</v>
      </c>
      <c r="B7573" t="s">
        <v>787</v>
      </c>
    </row>
    <row r="7574" spans="1:8" x14ac:dyDescent="0.25">
      <c r="A7574" t="str">
        <f>"&lt;min&gt;" &amp;$G$7570&amp;"&lt;/min&gt;"</f>
        <v>&lt;min&gt;30&lt;/min&gt;</v>
      </c>
      <c r="B7574" t="s">
        <v>787</v>
      </c>
    </row>
    <row r="7575" spans="1:8" x14ac:dyDescent="0.25">
      <c r="A7575" t="s">
        <v>16</v>
      </c>
      <c r="B7575" t="s">
        <v>787</v>
      </c>
    </row>
    <row r="7576" spans="1:8" x14ac:dyDescent="0.25">
      <c r="A7576" t="s">
        <v>17</v>
      </c>
      <c r="B7576" t="s">
        <v>787</v>
      </c>
    </row>
    <row r="7577" spans="1:8" x14ac:dyDescent="0.25">
      <c r="A7577" t="s">
        <v>18</v>
      </c>
      <c r="B7577" t="s">
        <v>787</v>
      </c>
    </row>
    <row r="7578" spans="1:8" x14ac:dyDescent="0.25">
      <c r="A7578" t="str">
        <f xml:space="preserve"> $H$7570</f>
        <v>&lt;flags count_in_cargo="0" count_in_hoarder="0" count_in_map="1" count_in_player="0" crafted="0" deloot="0"/&gt;</v>
      </c>
      <c r="B7578" t="s">
        <v>787</v>
      </c>
    </row>
    <row r="7579" spans="1:8" x14ac:dyDescent="0.25">
      <c r="A7579" t="str">
        <f>"&lt;category name=" &amp;"""" &amp;$C$7570&amp;"""/&gt;"</f>
        <v>&lt;category name="tools"/&gt;</v>
      </c>
      <c r="B7579" t="s">
        <v>787</v>
      </c>
    </row>
    <row r="7580" spans="1:8" x14ac:dyDescent="0.25">
      <c r="A7580" t="s">
        <v>40</v>
      </c>
      <c r="B7580" t="s">
        <v>787</v>
      </c>
    </row>
    <row r="7581" spans="1:8" x14ac:dyDescent="0.25">
      <c r="A7581" t="s">
        <v>67</v>
      </c>
      <c r="B7581" t="s">
        <v>787</v>
      </c>
    </row>
    <row r="7582" spans="1:8" x14ac:dyDescent="0.25">
      <c r="A7582" t="s">
        <v>22</v>
      </c>
      <c r="B7582" t="s">
        <v>787</v>
      </c>
    </row>
    <row r="7583" spans="1:8" x14ac:dyDescent="0.25">
      <c r="A7583" t="s">
        <v>1983</v>
      </c>
      <c r="B7583" t="s">
        <v>788</v>
      </c>
      <c r="C7583" t="s">
        <v>426</v>
      </c>
      <c r="D7583">
        <v>10</v>
      </c>
      <c r="E7583">
        <v>3888000</v>
      </c>
      <c r="F7583">
        <v>0</v>
      </c>
      <c r="G7583">
        <v>5</v>
      </c>
      <c r="H7583" t="s">
        <v>1559</v>
      </c>
    </row>
    <row r="7584" spans="1:8" x14ac:dyDescent="0.25">
      <c r="A7584" t="str">
        <f>"&lt;nominal&gt;" &amp;$D$7583&amp;"&lt;/nominal&gt;"</f>
        <v>&lt;nominal&gt;10&lt;/nominal&gt;</v>
      </c>
      <c r="B7584" t="s">
        <v>788</v>
      </c>
    </row>
    <row r="7585" spans="1:8" x14ac:dyDescent="0.25">
      <c r="A7585" t="str">
        <f>"&lt;lifetime&gt;" &amp;$E$7583&amp;"&lt;/lifetime&gt;"</f>
        <v>&lt;lifetime&gt;3888000&lt;/lifetime&gt;</v>
      </c>
      <c r="B7585" t="s">
        <v>788</v>
      </c>
    </row>
    <row r="7586" spans="1:8" x14ac:dyDescent="0.25">
      <c r="A7586" t="str">
        <f>"&lt;restock&gt;" &amp;$F$7583&amp;"&lt;/restock&gt;"</f>
        <v>&lt;restock&gt;0&lt;/restock&gt;</v>
      </c>
      <c r="B7586" t="s">
        <v>788</v>
      </c>
    </row>
    <row r="7587" spans="1:8" x14ac:dyDescent="0.25">
      <c r="A7587" t="str">
        <f>"&lt;min&gt;" &amp;$G$7583&amp;"&lt;/min&gt;"</f>
        <v>&lt;min&gt;5&lt;/min&gt;</v>
      </c>
      <c r="B7587" t="s">
        <v>788</v>
      </c>
    </row>
    <row r="7588" spans="1:8" x14ac:dyDescent="0.25">
      <c r="A7588" t="s">
        <v>16</v>
      </c>
      <c r="B7588" t="s">
        <v>788</v>
      </c>
    </row>
    <row r="7589" spans="1:8" x14ac:dyDescent="0.25">
      <c r="A7589" t="s">
        <v>17</v>
      </c>
      <c r="B7589" t="s">
        <v>788</v>
      </c>
    </row>
    <row r="7590" spans="1:8" x14ac:dyDescent="0.25">
      <c r="A7590" t="s">
        <v>18</v>
      </c>
      <c r="B7590" t="s">
        <v>788</v>
      </c>
    </row>
    <row r="7591" spans="1:8" x14ac:dyDescent="0.25">
      <c r="A7591" t="str">
        <f xml:space="preserve"> $H$7583</f>
        <v>&lt;flags count_in_cargo="1" count_in_hoarder="0" count_in_map="1" count_in_player="1" crafted="0" deloot="0"/&gt;</v>
      </c>
      <c r="B7591" t="s">
        <v>788</v>
      </c>
    </row>
    <row r="7592" spans="1:8" x14ac:dyDescent="0.25">
      <c r="A7592" t="str">
        <f>"&lt;category name=" &amp;"""" &amp;$C$7583&amp;"""/&gt;"</f>
        <v>&lt;category name="tools"/&gt;</v>
      </c>
      <c r="B7592" t="s">
        <v>788</v>
      </c>
    </row>
    <row r="7593" spans="1:8" x14ac:dyDescent="0.25">
      <c r="A7593" t="s">
        <v>29</v>
      </c>
      <c r="B7593" t="s">
        <v>788</v>
      </c>
    </row>
    <row r="7594" spans="1:8" x14ac:dyDescent="0.25">
      <c r="A7594" t="s">
        <v>22</v>
      </c>
      <c r="B7594" t="s">
        <v>788</v>
      </c>
    </row>
    <row r="7595" spans="1:8" x14ac:dyDescent="0.25">
      <c r="A7595" t="s">
        <v>1984</v>
      </c>
      <c r="B7595" t="s">
        <v>2961</v>
      </c>
      <c r="C7595" t="s">
        <v>403</v>
      </c>
      <c r="D7595">
        <v>0</v>
      </c>
      <c r="E7595">
        <v>7200</v>
      </c>
      <c r="F7595">
        <v>0</v>
      </c>
      <c r="G7595">
        <v>0</v>
      </c>
      <c r="H7595" t="s">
        <v>62</v>
      </c>
    </row>
    <row r="7596" spans="1:8" x14ac:dyDescent="0.25">
      <c r="A7596" t="str">
        <f>"&lt;nominal&gt;" &amp;$D$7595&amp;"&lt;/nominal&gt;"</f>
        <v>&lt;nominal&gt;0&lt;/nominal&gt;</v>
      </c>
      <c r="B7596" t="s">
        <v>2961</v>
      </c>
    </row>
    <row r="7597" spans="1:8" x14ac:dyDescent="0.25">
      <c r="A7597" t="str">
        <f>"&lt;lifetime&gt;" &amp;$E$7595&amp;"&lt;/lifetime&gt;"</f>
        <v>&lt;lifetime&gt;7200&lt;/lifetime&gt;</v>
      </c>
      <c r="B7597" t="s">
        <v>2961</v>
      </c>
    </row>
    <row r="7598" spans="1:8" x14ac:dyDescent="0.25">
      <c r="A7598" t="str">
        <f>"&lt;restock&gt;" &amp;$F$7595&amp;"&lt;/restock&gt;"</f>
        <v>&lt;restock&gt;0&lt;/restock&gt;</v>
      </c>
      <c r="B7598" t="s">
        <v>2961</v>
      </c>
    </row>
    <row r="7599" spans="1:8" x14ac:dyDescent="0.25">
      <c r="A7599" t="str">
        <f>"&lt;min&gt;" &amp;$G$7595&amp;"&lt;/min&gt;"</f>
        <v>&lt;min&gt;0&lt;/min&gt;</v>
      </c>
      <c r="B7599" t="s">
        <v>2961</v>
      </c>
    </row>
    <row r="7600" spans="1:8" x14ac:dyDescent="0.25">
      <c r="A7600" t="s">
        <v>16</v>
      </c>
      <c r="B7600" t="s">
        <v>2961</v>
      </c>
    </row>
    <row r="7601" spans="1:8" x14ac:dyDescent="0.25">
      <c r="A7601" t="s">
        <v>17</v>
      </c>
      <c r="B7601" t="s">
        <v>2961</v>
      </c>
    </row>
    <row r="7602" spans="1:8" x14ac:dyDescent="0.25">
      <c r="A7602" t="s">
        <v>18</v>
      </c>
      <c r="B7602" t="s">
        <v>2961</v>
      </c>
    </row>
    <row r="7603" spans="1:8" x14ac:dyDescent="0.25">
      <c r="A7603" t="str">
        <f xml:space="preserve"> $H$7595</f>
        <v>&lt;flags count_in_cargo="0" count_in_hoarder="0" count_in_map="1" count_in_player="0" crafted="1" deloot="0"/&gt;</v>
      </c>
      <c r="B7603" t="s">
        <v>2961</v>
      </c>
    </row>
    <row r="7604" spans="1:8" x14ac:dyDescent="0.25">
      <c r="A7604" t="str">
        <f>"&lt;category name=" &amp;"""" &amp;$C$7595&amp;"""/&gt;"</f>
        <v>&lt;category name="clothes"/&gt;</v>
      </c>
      <c r="B7604" t="s">
        <v>2961</v>
      </c>
    </row>
    <row r="7605" spans="1:8" x14ac:dyDescent="0.25">
      <c r="A7605" t="s">
        <v>22</v>
      </c>
      <c r="B7605" t="s">
        <v>2961</v>
      </c>
    </row>
    <row r="7606" spans="1:8" x14ac:dyDescent="0.25">
      <c r="A7606" t="s">
        <v>1985</v>
      </c>
      <c r="B7606" t="s">
        <v>2962</v>
      </c>
      <c r="C7606" t="s">
        <v>403</v>
      </c>
      <c r="D7606">
        <v>0</v>
      </c>
      <c r="E7606">
        <v>7200</v>
      </c>
      <c r="F7606">
        <v>0</v>
      </c>
      <c r="G7606">
        <v>0</v>
      </c>
      <c r="H7606" t="s">
        <v>62</v>
      </c>
    </row>
    <row r="7607" spans="1:8" x14ac:dyDescent="0.25">
      <c r="A7607" t="str">
        <f>"&lt;nominal&gt;" &amp;$D$7606&amp;"&lt;/nominal&gt;"</f>
        <v>&lt;nominal&gt;0&lt;/nominal&gt;</v>
      </c>
      <c r="B7607" t="s">
        <v>2962</v>
      </c>
    </row>
    <row r="7608" spans="1:8" x14ac:dyDescent="0.25">
      <c r="A7608" t="str">
        <f>"&lt;lifetime&gt;" &amp;$E$7606&amp;"&lt;/lifetime&gt;"</f>
        <v>&lt;lifetime&gt;7200&lt;/lifetime&gt;</v>
      </c>
      <c r="B7608" t="s">
        <v>2962</v>
      </c>
    </row>
    <row r="7609" spans="1:8" x14ac:dyDescent="0.25">
      <c r="A7609" t="str">
        <f>"&lt;restock&gt;" &amp;$F$7606&amp;"&lt;/restock&gt;"</f>
        <v>&lt;restock&gt;0&lt;/restock&gt;</v>
      </c>
      <c r="B7609" t="s">
        <v>2962</v>
      </c>
    </row>
    <row r="7610" spans="1:8" x14ac:dyDescent="0.25">
      <c r="A7610" t="str">
        <f>"&lt;min&gt;" &amp;$G$7606&amp;"&lt;/min&gt;"</f>
        <v>&lt;min&gt;0&lt;/min&gt;</v>
      </c>
      <c r="B7610" t="s">
        <v>2962</v>
      </c>
    </row>
    <row r="7611" spans="1:8" x14ac:dyDescent="0.25">
      <c r="A7611" t="s">
        <v>16</v>
      </c>
      <c r="B7611" t="s">
        <v>2962</v>
      </c>
    </row>
    <row r="7612" spans="1:8" x14ac:dyDescent="0.25">
      <c r="A7612" t="s">
        <v>17</v>
      </c>
      <c r="B7612" t="s">
        <v>2962</v>
      </c>
    </row>
    <row r="7613" spans="1:8" x14ac:dyDescent="0.25">
      <c r="A7613" t="s">
        <v>18</v>
      </c>
      <c r="B7613" t="s">
        <v>2962</v>
      </c>
    </row>
    <row r="7614" spans="1:8" x14ac:dyDescent="0.25">
      <c r="A7614" t="str">
        <f xml:space="preserve"> $H$7606</f>
        <v>&lt;flags count_in_cargo="0" count_in_hoarder="0" count_in_map="1" count_in_player="0" crafted="1" deloot="0"/&gt;</v>
      </c>
      <c r="B7614" t="s">
        <v>2962</v>
      </c>
    </row>
    <row r="7615" spans="1:8" x14ac:dyDescent="0.25">
      <c r="A7615" t="str">
        <f>"&lt;category name=" &amp;"""" &amp;$C$7606&amp;"""/&gt;"</f>
        <v>&lt;category name="clothes"/&gt;</v>
      </c>
      <c r="B7615" t="s">
        <v>2962</v>
      </c>
    </row>
    <row r="7616" spans="1:8" x14ac:dyDescent="0.25">
      <c r="A7616" t="s">
        <v>22</v>
      </c>
      <c r="B7616" t="s">
        <v>2962</v>
      </c>
    </row>
    <row r="7617" spans="1:8" x14ac:dyDescent="0.25">
      <c r="A7617" t="s">
        <v>1986</v>
      </c>
      <c r="B7617" t="s">
        <v>2963</v>
      </c>
      <c r="C7617" t="s">
        <v>403</v>
      </c>
      <c r="D7617">
        <v>0</v>
      </c>
      <c r="E7617">
        <v>7200</v>
      </c>
      <c r="F7617">
        <v>0</v>
      </c>
      <c r="G7617">
        <v>0</v>
      </c>
      <c r="H7617" t="s">
        <v>62</v>
      </c>
    </row>
    <row r="7618" spans="1:8" x14ac:dyDescent="0.25">
      <c r="A7618" t="str">
        <f>"&lt;nominal&gt;" &amp;$D$7617&amp;"&lt;/nominal&gt;"</f>
        <v>&lt;nominal&gt;0&lt;/nominal&gt;</v>
      </c>
      <c r="B7618" t="s">
        <v>2963</v>
      </c>
    </row>
    <row r="7619" spans="1:8" x14ac:dyDescent="0.25">
      <c r="A7619" t="str">
        <f>"&lt;lifetime&gt;" &amp;$E$7617&amp;"&lt;/lifetime&gt;"</f>
        <v>&lt;lifetime&gt;7200&lt;/lifetime&gt;</v>
      </c>
      <c r="B7619" t="s">
        <v>2963</v>
      </c>
    </row>
    <row r="7620" spans="1:8" x14ac:dyDescent="0.25">
      <c r="A7620" t="str">
        <f>"&lt;restock&gt;" &amp;$F$7617&amp;"&lt;/restock&gt;"</f>
        <v>&lt;restock&gt;0&lt;/restock&gt;</v>
      </c>
      <c r="B7620" t="s">
        <v>2963</v>
      </c>
    </row>
    <row r="7621" spans="1:8" x14ac:dyDescent="0.25">
      <c r="A7621" t="str">
        <f>"&lt;min&gt;" &amp;$G$7617&amp;"&lt;/min&gt;"</f>
        <v>&lt;min&gt;0&lt;/min&gt;</v>
      </c>
      <c r="B7621" t="s">
        <v>2963</v>
      </c>
    </row>
    <row r="7622" spans="1:8" x14ac:dyDescent="0.25">
      <c r="A7622" t="s">
        <v>16</v>
      </c>
      <c r="B7622" t="s">
        <v>2963</v>
      </c>
    </row>
    <row r="7623" spans="1:8" x14ac:dyDescent="0.25">
      <c r="A7623" t="s">
        <v>17</v>
      </c>
      <c r="B7623" t="s">
        <v>2963</v>
      </c>
    </row>
    <row r="7624" spans="1:8" x14ac:dyDescent="0.25">
      <c r="A7624" t="s">
        <v>18</v>
      </c>
      <c r="B7624" t="s">
        <v>2963</v>
      </c>
    </row>
    <row r="7625" spans="1:8" x14ac:dyDescent="0.25">
      <c r="A7625" t="str">
        <f xml:space="preserve"> $H$7617</f>
        <v>&lt;flags count_in_cargo="0" count_in_hoarder="0" count_in_map="1" count_in_player="0" crafted="1" deloot="0"/&gt;</v>
      </c>
      <c r="B7625" t="s">
        <v>2963</v>
      </c>
    </row>
    <row r="7626" spans="1:8" x14ac:dyDescent="0.25">
      <c r="A7626" t="str">
        <f>"&lt;category name=" &amp;"""" &amp;$C$7617&amp;"""/&gt;"</f>
        <v>&lt;category name="clothes"/&gt;</v>
      </c>
      <c r="B7626" t="s">
        <v>2963</v>
      </c>
    </row>
    <row r="7627" spans="1:8" x14ac:dyDescent="0.25">
      <c r="A7627" t="s">
        <v>22</v>
      </c>
      <c r="B7627" t="s">
        <v>2963</v>
      </c>
    </row>
    <row r="7628" spans="1:8" x14ac:dyDescent="0.25">
      <c r="A7628" t="s">
        <v>1987</v>
      </c>
      <c r="B7628" t="s">
        <v>2964</v>
      </c>
      <c r="C7628" t="s">
        <v>403</v>
      </c>
      <c r="D7628">
        <v>0</v>
      </c>
      <c r="E7628">
        <v>7200</v>
      </c>
      <c r="F7628">
        <v>0</v>
      </c>
      <c r="G7628">
        <v>0</v>
      </c>
      <c r="H7628" t="s">
        <v>62</v>
      </c>
    </row>
    <row r="7629" spans="1:8" x14ac:dyDescent="0.25">
      <c r="A7629" t="str">
        <f>"&lt;nominal&gt;" &amp;$D$7628&amp;"&lt;/nominal&gt;"</f>
        <v>&lt;nominal&gt;0&lt;/nominal&gt;</v>
      </c>
      <c r="B7629" t="s">
        <v>2964</v>
      </c>
    </row>
    <row r="7630" spans="1:8" x14ac:dyDescent="0.25">
      <c r="A7630" t="str">
        <f>"&lt;lifetime&gt;" &amp;$E$7628&amp;"&lt;/lifetime&gt;"</f>
        <v>&lt;lifetime&gt;7200&lt;/lifetime&gt;</v>
      </c>
      <c r="B7630" t="s">
        <v>2964</v>
      </c>
    </row>
    <row r="7631" spans="1:8" x14ac:dyDescent="0.25">
      <c r="A7631" t="str">
        <f>"&lt;restock&gt;" &amp;$F$7628&amp;"&lt;/restock&gt;"</f>
        <v>&lt;restock&gt;0&lt;/restock&gt;</v>
      </c>
      <c r="B7631" t="s">
        <v>2964</v>
      </c>
    </row>
    <row r="7632" spans="1:8" x14ac:dyDescent="0.25">
      <c r="A7632" t="str">
        <f>"&lt;min&gt;" &amp;$G$7628&amp;"&lt;/min&gt;"</f>
        <v>&lt;min&gt;0&lt;/min&gt;</v>
      </c>
      <c r="B7632" t="s">
        <v>2964</v>
      </c>
    </row>
    <row r="7633" spans="1:8" x14ac:dyDescent="0.25">
      <c r="A7633" t="s">
        <v>16</v>
      </c>
      <c r="B7633" t="s">
        <v>2964</v>
      </c>
    </row>
    <row r="7634" spans="1:8" x14ac:dyDescent="0.25">
      <c r="A7634" t="s">
        <v>17</v>
      </c>
      <c r="B7634" t="s">
        <v>2964</v>
      </c>
    </row>
    <row r="7635" spans="1:8" x14ac:dyDescent="0.25">
      <c r="A7635" t="s">
        <v>18</v>
      </c>
      <c r="B7635" t="s">
        <v>2964</v>
      </c>
    </row>
    <row r="7636" spans="1:8" x14ac:dyDescent="0.25">
      <c r="A7636" t="str">
        <f xml:space="preserve"> $H$7628</f>
        <v>&lt;flags count_in_cargo="0" count_in_hoarder="0" count_in_map="1" count_in_player="0" crafted="1" deloot="0"/&gt;</v>
      </c>
      <c r="B7636" t="s">
        <v>2964</v>
      </c>
    </row>
    <row r="7637" spans="1:8" x14ac:dyDescent="0.25">
      <c r="A7637" t="str">
        <f>"&lt;category name=" &amp;"""" &amp;$C$7628&amp;"""/&gt;"</f>
        <v>&lt;category name="clothes"/&gt;</v>
      </c>
      <c r="B7637" t="s">
        <v>2964</v>
      </c>
    </row>
    <row r="7638" spans="1:8" x14ac:dyDescent="0.25">
      <c r="A7638" t="s">
        <v>22</v>
      </c>
      <c r="B7638" t="s">
        <v>2964</v>
      </c>
    </row>
    <row r="7639" spans="1:8" x14ac:dyDescent="0.25">
      <c r="A7639" t="s">
        <v>1988</v>
      </c>
      <c r="B7639" t="s">
        <v>2965</v>
      </c>
      <c r="C7639" t="s">
        <v>426</v>
      </c>
      <c r="D7639">
        <v>0</v>
      </c>
      <c r="E7639">
        <v>7200</v>
      </c>
      <c r="F7639">
        <v>0</v>
      </c>
      <c r="G7639">
        <v>0</v>
      </c>
      <c r="H7639" t="s">
        <v>62</v>
      </c>
    </row>
    <row r="7640" spans="1:8" x14ac:dyDescent="0.25">
      <c r="A7640" t="str">
        <f>"&lt;nominal&gt;" &amp;$D$7639&amp;"&lt;/nominal&gt;"</f>
        <v>&lt;nominal&gt;0&lt;/nominal&gt;</v>
      </c>
      <c r="B7640" t="s">
        <v>2965</v>
      </c>
    </row>
    <row r="7641" spans="1:8" x14ac:dyDescent="0.25">
      <c r="A7641" t="str">
        <f>"&lt;lifetime&gt;" &amp;$E$7639&amp;"&lt;/lifetime&gt;"</f>
        <v>&lt;lifetime&gt;7200&lt;/lifetime&gt;</v>
      </c>
      <c r="B7641" t="s">
        <v>2965</v>
      </c>
    </row>
    <row r="7642" spans="1:8" x14ac:dyDescent="0.25">
      <c r="A7642" t="str">
        <f>"&lt;restock&gt;" &amp;$F$7639&amp;"&lt;/restock&gt;"</f>
        <v>&lt;restock&gt;0&lt;/restock&gt;</v>
      </c>
      <c r="B7642" t="s">
        <v>2965</v>
      </c>
    </row>
    <row r="7643" spans="1:8" x14ac:dyDescent="0.25">
      <c r="A7643" t="str">
        <f>"&lt;min&gt;" &amp;$G$7639&amp;"&lt;/min&gt;"</f>
        <v>&lt;min&gt;0&lt;/min&gt;</v>
      </c>
      <c r="B7643" t="s">
        <v>2965</v>
      </c>
    </row>
    <row r="7644" spans="1:8" x14ac:dyDescent="0.25">
      <c r="A7644" t="s">
        <v>16</v>
      </c>
      <c r="B7644" t="s">
        <v>2965</v>
      </c>
    </row>
    <row r="7645" spans="1:8" x14ac:dyDescent="0.25">
      <c r="A7645" t="s">
        <v>17</v>
      </c>
      <c r="B7645" t="s">
        <v>2965</v>
      </c>
    </row>
    <row r="7646" spans="1:8" x14ac:dyDescent="0.25">
      <c r="A7646" t="s">
        <v>18</v>
      </c>
      <c r="B7646" t="s">
        <v>2965</v>
      </c>
    </row>
    <row r="7647" spans="1:8" x14ac:dyDescent="0.25">
      <c r="A7647" t="str">
        <f xml:space="preserve"> $H$7639</f>
        <v>&lt;flags count_in_cargo="0" count_in_hoarder="0" count_in_map="1" count_in_player="0" crafted="1" deloot="0"/&gt;</v>
      </c>
      <c r="B7647" t="s">
        <v>2965</v>
      </c>
    </row>
    <row r="7648" spans="1:8" x14ac:dyDescent="0.25">
      <c r="A7648" t="str">
        <f>"&lt;category name=" &amp;"""" &amp;$C$7639&amp;"""/&gt;"</f>
        <v>&lt;category name="tools"/&gt;</v>
      </c>
      <c r="B7648" t="s">
        <v>2965</v>
      </c>
    </row>
    <row r="7649" spans="1:8" x14ac:dyDescent="0.25">
      <c r="A7649" t="s">
        <v>22</v>
      </c>
      <c r="B7649" t="s">
        <v>2965</v>
      </c>
    </row>
    <row r="7650" spans="1:8" x14ac:dyDescent="0.25">
      <c r="A7650" t="s">
        <v>1989</v>
      </c>
      <c r="B7650" t="s">
        <v>2966</v>
      </c>
      <c r="C7650" t="s">
        <v>426</v>
      </c>
      <c r="D7650">
        <v>0</v>
      </c>
      <c r="E7650">
        <v>7200</v>
      </c>
      <c r="F7650">
        <v>0</v>
      </c>
      <c r="G7650">
        <v>0</v>
      </c>
      <c r="H7650" t="s">
        <v>62</v>
      </c>
    </row>
    <row r="7651" spans="1:8" x14ac:dyDescent="0.25">
      <c r="A7651" t="str">
        <f>"&lt;nominal&gt;" &amp;$D$7650&amp;"&lt;/nominal&gt;"</f>
        <v>&lt;nominal&gt;0&lt;/nominal&gt;</v>
      </c>
      <c r="B7651" t="s">
        <v>2966</v>
      </c>
    </row>
    <row r="7652" spans="1:8" x14ac:dyDescent="0.25">
      <c r="A7652" t="str">
        <f>"&lt;lifetime&gt;" &amp;$E$7650&amp;"&lt;/lifetime&gt;"</f>
        <v>&lt;lifetime&gt;7200&lt;/lifetime&gt;</v>
      </c>
      <c r="B7652" t="s">
        <v>2966</v>
      </c>
    </row>
    <row r="7653" spans="1:8" x14ac:dyDescent="0.25">
      <c r="A7653" t="str">
        <f>"&lt;restock&gt;" &amp;$F$7650&amp;"&lt;/restock&gt;"</f>
        <v>&lt;restock&gt;0&lt;/restock&gt;</v>
      </c>
      <c r="B7653" t="s">
        <v>2966</v>
      </c>
    </row>
    <row r="7654" spans="1:8" x14ac:dyDescent="0.25">
      <c r="A7654" t="str">
        <f>"&lt;min&gt;" &amp;$G$7650&amp;"&lt;/min&gt;"</f>
        <v>&lt;min&gt;0&lt;/min&gt;</v>
      </c>
      <c r="B7654" t="s">
        <v>2966</v>
      </c>
    </row>
    <row r="7655" spans="1:8" x14ac:dyDescent="0.25">
      <c r="A7655" t="s">
        <v>16</v>
      </c>
      <c r="B7655" t="s">
        <v>2966</v>
      </c>
    </row>
    <row r="7656" spans="1:8" x14ac:dyDescent="0.25">
      <c r="A7656" t="s">
        <v>17</v>
      </c>
      <c r="B7656" t="s">
        <v>2966</v>
      </c>
    </row>
    <row r="7657" spans="1:8" x14ac:dyDescent="0.25">
      <c r="A7657" t="s">
        <v>18</v>
      </c>
      <c r="B7657" t="s">
        <v>2966</v>
      </c>
    </row>
    <row r="7658" spans="1:8" x14ac:dyDescent="0.25">
      <c r="A7658" t="str">
        <f xml:space="preserve"> $H$7650</f>
        <v>&lt;flags count_in_cargo="0" count_in_hoarder="0" count_in_map="1" count_in_player="0" crafted="1" deloot="0"/&gt;</v>
      </c>
      <c r="B7658" t="s">
        <v>2966</v>
      </c>
    </row>
    <row r="7659" spans="1:8" x14ac:dyDescent="0.25">
      <c r="A7659" t="str">
        <f>"&lt;category name=" &amp;"""" &amp;$C$7650&amp;"""/&gt;"</f>
        <v>&lt;category name="tools"/&gt;</v>
      </c>
      <c r="B7659" t="s">
        <v>2966</v>
      </c>
    </row>
    <row r="7660" spans="1:8" x14ac:dyDescent="0.25">
      <c r="A7660" t="s">
        <v>22</v>
      </c>
      <c r="B7660" t="s">
        <v>2966</v>
      </c>
    </row>
    <row r="7661" spans="1:8" x14ac:dyDescent="0.25">
      <c r="A7661" t="s">
        <v>1990</v>
      </c>
      <c r="B7661" t="s">
        <v>2967</v>
      </c>
      <c r="C7661" t="s">
        <v>426</v>
      </c>
      <c r="D7661">
        <v>0</v>
      </c>
      <c r="E7661">
        <v>7200</v>
      </c>
      <c r="F7661">
        <v>0</v>
      </c>
      <c r="G7661">
        <v>0</v>
      </c>
      <c r="H7661" t="s">
        <v>62</v>
      </c>
    </row>
    <row r="7662" spans="1:8" x14ac:dyDescent="0.25">
      <c r="A7662" t="str">
        <f>"&lt;nominal&gt;" &amp;$D$7661&amp;"&lt;/nominal&gt;"</f>
        <v>&lt;nominal&gt;0&lt;/nominal&gt;</v>
      </c>
      <c r="B7662" t="s">
        <v>2967</v>
      </c>
    </row>
    <row r="7663" spans="1:8" x14ac:dyDescent="0.25">
      <c r="A7663" t="str">
        <f>"&lt;lifetime&gt;" &amp;$E$7661&amp;"&lt;/lifetime&gt;"</f>
        <v>&lt;lifetime&gt;7200&lt;/lifetime&gt;</v>
      </c>
      <c r="B7663" t="s">
        <v>2967</v>
      </c>
    </row>
    <row r="7664" spans="1:8" x14ac:dyDescent="0.25">
      <c r="A7664" t="str">
        <f>"&lt;restock&gt;" &amp;$F$7661&amp;"&lt;/restock&gt;"</f>
        <v>&lt;restock&gt;0&lt;/restock&gt;</v>
      </c>
      <c r="B7664" t="s">
        <v>2967</v>
      </c>
    </row>
    <row r="7665" spans="1:8" x14ac:dyDescent="0.25">
      <c r="A7665" t="str">
        <f>"&lt;min&gt;" &amp;$G$7661&amp;"&lt;/min&gt;"</f>
        <v>&lt;min&gt;0&lt;/min&gt;</v>
      </c>
      <c r="B7665" t="s">
        <v>2967</v>
      </c>
    </row>
    <row r="7666" spans="1:8" x14ac:dyDescent="0.25">
      <c r="A7666" t="s">
        <v>16</v>
      </c>
      <c r="B7666" t="s">
        <v>2967</v>
      </c>
    </row>
    <row r="7667" spans="1:8" x14ac:dyDescent="0.25">
      <c r="A7667" t="s">
        <v>17</v>
      </c>
      <c r="B7667" t="s">
        <v>2967</v>
      </c>
    </row>
    <row r="7668" spans="1:8" x14ac:dyDescent="0.25">
      <c r="A7668" t="s">
        <v>18</v>
      </c>
      <c r="B7668" t="s">
        <v>2967</v>
      </c>
    </row>
    <row r="7669" spans="1:8" x14ac:dyDescent="0.25">
      <c r="A7669" t="str">
        <f xml:space="preserve"> $H$7661</f>
        <v>&lt;flags count_in_cargo="0" count_in_hoarder="0" count_in_map="1" count_in_player="0" crafted="1" deloot="0"/&gt;</v>
      </c>
      <c r="B7669" t="s">
        <v>2967</v>
      </c>
    </row>
    <row r="7670" spans="1:8" x14ac:dyDescent="0.25">
      <c r="A7670" t="str">
        <f>"&lt;category name=" &amp;"""" &amp;$C$7661&amp;"""/&gt;"</f>
        <v>&lt;category name="tools"/&gt;</v>
      </c>
      <c r="B7670" t="s">
        <v>2967</v>
      </c>
    </row>
    <row r="7671" spans="1:8" x14ac:dyDescent="0.25">
      <c r="A7671" t="s">
        <v>22</v>
      </c>
      <c r="B7671" t="s">
        <v>2967</v>
      </c>
    </row>
    <row r="7672" spans="1:8" x14ac:dyDescent="0.25">
      <c r="A7672" t="s">
        <v>1991</v>
      </c>
      <c r="B7672" t="s">
        <v>2968</v>
      </c>
      <c r="C7672" t="s">
        <v>426</v>
      </c>
      <c r="D7672">
        <v>0</v>
      </c>
      <c r="E7672">
        <v>7200</v>
      </c>
      <c r="F7672">
        <v>0</v>
      </c>
      <c r="G7672">
        <v>0</v>
      </c>
      <c r="H7672" t="s">
        <v>62</v>
      </c>
    </row>
    <row r="7673" spans="1:8" x14ac:dyDescent="0.25">
      <c r="A7673" t="str">
        <f>"&lt;nominal&gt;" &amp;$D$7672&amp;"&lt;/nominal&gt;"</f>
        <v>&lt;nominal&gt;0&lt;/nominal&gt;</v>
      </c>
      <c r="B7673" t="s">
        <v>2968</v>
      </c>
    </row>
    <row r="7674" spans="1:8" x14ac:dyDescent="0.25">
      <c r="A7674" t="str">
        <f>"&lt;lifetime&gt;" &amp;$E$7672&amp;"&lt;/lifetime&gt;"</f>
        <v>&lt;lifetime&gt;7200&lt;/lifetime&gt;</v>
      </c>
      <c r="B7674" t="s">
        <v>2968</v>
      </c>
    </row>
    <row r="7675" spans="1:8" x14ac:dyDescent="0.25">
      <c r="A7675" t="str">
        <f>"&lt;restock&gt;" &amp;$F$7672&amp;"&lt;/restock&gt;"</f>
        <v>&lt;restock&gt;0&lt;/restock&gt;</v>
      </c>
      <c r="B7675" t="s">
        <v>2968</v>
      </c>
    </row>
    <row r="7676" spans="1:8" x14ac:dyDescent="0.25">
      <c r="A7676" t="str">
        <f>"&lt;min&gt;" &amp;$G$7672&amp;"&lt;/min&gt;"</f>
        <v>&lt;min&gt;0&lt;/min&gt;</v>
      </c>
      <c r="B7676" t="s">
        <v>2968</v>
      </c>
    </row>
    <row r="7677" spans="1:8" x14ac:dyDescent="0.25">
      <c r="A7677" t="s">
        <v>16</v>
      </c>
      <c r="B7677" t="s">
        <v>2968</v>
      </c>
    </row>
    <row r="7678" spans="1:8" x14ac:dyDescent="0.25">
      <c r="A7678" t="s">
        <v>17</v>
      </c>
      <c r="B7678" t="s">
        <v>2968</v>
      </c>
    </row>
    <row r="7679" spans="1:8" x14ac:dyDescent="0.25">
      <c r="A7679" t="s">
        <v>18</v>
      </c>
      <c r="B7679" t="s">
        <v>2968</v>
      </c>
    </row>
    <row r="7680" spans="1:8" x14ac:dyDescent="0.25">
      <c r="A7680" t="str">
        <f xml:space="preserve"> $H$7672</f>
        <v>&lt;flags count_in_cargo="0" count_in_hoarder="0" count_in_map="1" count_in_player="0" crafted="1" deloot="0"/&gt;</v>
      </c>
      <c r="B7680" t="s">
        <v>2968</v>
      </c>
    </row>
    <row r="7681" spans="1:8" x14ac:dyDescent="0.25">
      <c r="A7681" t="str">
        <f>"&lt;category name=" &amp;"""" &amp;$C$7672&amp;"""/&gt;"</f>
        <v>&lt;category name="tools"/&gt;</v>
      </c>
      <c r="B7681" t="s">
        <v>2968</v>
      </c>
    </row>
    <row r="7682" spans="1:8" x14ac:dyDescent="0.25">
      <c r="A7682" t="s">
        <v>22</v>
      </c>
      <c r="B7682" t="s">
        <v>2968</v>
      </c>
    </row>
    <row r="7683" spans="1:8" x14ac:dyDescent="0.25">
      <c r="A7683" t="s">
        <v>1992</v>
      </c>
      <c r="B7683" t="s">
        <v>2969</v>
      </c>
      <c r="C7683" t="s">
        <v>426</v>
      </c>
      <c r="D7683">
        <v>0</v>
      </c>
      <c r="E7683">
        <v>7200</v>
      </c>
      <c r="F7683">
        <v>0</v>
      </c>
      <c r="G7683">
        <v>0</v>
      </c>
      <c r="H7683" t="s">
        <v>62</v>
      </c>
    </row>
    <row r="7684" spans="1:8" x14ac:dyDescent="0.25">
      <c r="A7684" t="str">
        <f>"&lt;nominal&gt;" &amp;$D$7683&amp;"&lt;/nominal&gt;"</f>
        <v>&lt;nominal&gt;0&lt;/nominal&gt;</v>
      </c>
      <c r="B7684" t="s">
        <v>2969</v>
      </c>
    </row>
    <row r="7685" spans="1:8" x14ac:dyDescent="0.25">
      <c r="A7685" t="str">
        <f>"&lt;lifetime&gt;" &amp;$E$7683&amp;"&lt;/lifetime&gt;"</f>
        <v>&lt;lifetime&gt;7200&lt;/lifetime&gt;</v>
      </c>
      <c r="B7685" t="s">
        <v>2969</v>
      </c>
    </row>
    <row r="7686" spans="1:8" x14ac:dyDescent="0.25">
      <c r="A7686" t="str">
        <f>"&lt;restock&gt;" &amp;$F$7683&amp;"&lt;/restock&gt;"</f>
        <v>&lt;restock&gt;0&lt;/restock&gt;</v>
      </c>
      <c r="B7686" t="s">
        <v>2969</v>
      </c>
    </row>
    <row r="7687" spans="1:8" x14ac:dyDescent="0.25">
      <c r="A7687" t="str">
        <f>"&lt;min&gt;" &amp;$G$7683&amp;"&lt;/min&gt;"</f>
        <v>&lt;min&gt;0&lt;/min&gt;</v>
      </c>
      <c r="B7687" t="s">
        <v>2969</v>
      </c>
    </row>
    <row r="7688" spans="1:8" x14ac:dyDescent="0.25">
      <c r="A7688" t="s">
        <v>16</v>
      </c>
      <c r="B7688" t="s">
        <v>2969</v>
      </c>
    </row>
    <row r="7689" spans="1:8" x14ac:dyDescent="0.25">
      <c r="A7689" t="s">
        <v>17</v>
      </c>
      <c r="B7689" t="s">
        <v>2969</v>
      </c>
    </row>
    <row r="7690" spans="1:8" x14ac:dyDescent="0.25">
      <c r="A7690" t="s">
        <v>18</v>
      </c>
      <c r="B7690" t="s">
        <v>2969</v>
      </c>
    </row>
    <row r="7691" spans="1:8" x14ac:dyDescent="0.25">
      <c r="A7691" t="str">
        <f xml:space="preserve"> $H$7683</f>
        <v>&lt;flags count_in_cargo="0" count_in_hoarder="0" count_in_map="1" count_in_player="0" crafted="1" deloot="0"/&gt;</v>
      </c>
      <c r="B7691" t="s">
        <v>2969</v>
      </c>
    </row>
    <row r="7692" spans="1:8" x14ac:dyDescent="0.25">
      <c r="A7692" t="str">
        <f>"&lt;category name=" &amp;"""" &amp;$C$7683&amp;"""/&gt;"</f>
        <v>&lt;category name="tools"/&gt;</v>
      </c>
      <c r="B7692" t="s">
        <v>2969</v>
      </c>
    </row>
    <row r="7693" spans="1:8" x14ac:dyDescent="0.25">
      <c r="A7693" t="s">
        <v>22</v>
      </c>
      <c r="B7693" t="s">
        <v>2969</v>
      </c>
    </row>
    <row r="7694" spans="1:8" x14ac:dyDescent="0.25">
      <c r="A7694" t="s">
        <v>1993</v>
      </c>
      <c r="B7694" t="s">
        <v>2970</v>
      </c>
      <c r="C7694" t="s">
        <v>426</v>
      </c>
      <c r="D7694">
        <v>0</v>
      </c>
      <c r="E7694">
        <v>7200</v>
      </c>
      <c r="F7694">
        <v>0</v>
      </c>
      <c r="G7694">
        <v>0</v>
      </c>
      <c r="H7694" t="s">
        <v>62</v>
      </c>
    </row>
    <row r="7695" spans="1:8" x14ac:dyDescent="0.25">
      <c r="A7695" t="str">
        <f>"&lt;nominal&gt;" &amp;$D$7694&amp;"&lt;/nominal&gt;"</f>
        <v>&lt;nominal&gt;0&lt;/nominal&gt;</v>
      </c>
      <c r="B7695" t="s">
        <v>2970</v>
      </c>
    </row>
    <row r="7696" spans="1:8" x14ac:dyDescent="0.25">
      <c r="A7696" t="str">
        <f>"&lt;lifetime&gt;" &amp;$E$7694&amp;"&lt;/lifetime&gt;"</f>
        <v>&lt;lifetime&gt;7200&lt;/lifetime&gt;</v>
      </c>
      <c r="B7696" t="s">
        <v>2970</v>
      </c>
    </row>
    <row r="7697" spans="1:8" x14ac:dyDescent="0.25">
      <c r="A7697" t="str">
        <f>"&lt;restock&gt;" &amp;$F$7694&amp;"&lt;/restock&gt;"</f>
        <v>&lt;restock&gt;0&lt;/restock&gt;</v>
      </c>
      <c r="B7697" t="s">
        <v>2970</v>
      </c>
    </row>
    <row r="7698" spans="1:8" x14ac:dyDescent="0.25">
      <c r="A7698" t="str">
        <f>"&lt;min&gt;" &amp;$G$7694&amp;"&lt;/min&gt;"</f>
        <v>&lt;min&gt;0&lt;/min&gt;</v>
      </c>
      <c r="B7698" t="s">
        <v>2970</v>
      </c>
    </row>
    <row r="7699" spans="1:8" x14ac:dyDescent="0.25">
      <c r="A7699" t="s">
        <v>16</v>
      </c>
      <c r="B7699" t="s">
        <v>2970</v>
      </c>
    </row>
    <row r="7700" spans="1:8" x14ac:dyDescent="0.25">
      <c r="A7700" t="s">
        <v>17</v>
      </c>
      <c r="B7700" t="s">
        <v>2970</v>
      </c>
    </row>
    <row r="7701" spans="1:8" x14ac:dyDescent="0.25">
      <c r="A7701" t="s">
        <v>18</v>
      </c>
      <c r="B7701" t="s">
        <v>2970</v>
      </c>
    </row>
    <row r="7702" spans="1:8" x14ac:dyDescent="0.25">
      <c r="A7702" t="str">
        <f xml:space="preserve"> $H$7694</f>
        <v>&lt;flags count_in_cargo="0" count_in_hoarder="0" count_in_map="1" count_in_player="0" crafted="1" deloot="0"/&gt;</v>
      </c>
      <c r="B7702" t="s">
        <v>2970</v>
      </c>
    </row>
    <row r="7703" spans="1:8" x14ac:dyDescent="0.25">
      <c r="A7703" t="str">
        <f>"&lt;category name=" &amp;"""" &amp;$C$7694&amp;"""/&gt;"</f>
        <v>&lt;category name="tools"/&gt;</v>
      </c>
      <c r="B7703" t="s">
        <v>2970</v>
      </c>
    </row>
    <row r="7704" spans="1:8" x14ac:dyDescent="0.25">
      <c r="A7704" t="s">
        <v>22</v>
      </c>
      <c r="B7704" t="s">
        <v>2970</v>
      </c>
    </row>
    <row r="7705" spans="1:8" x14ac:dyDescent="0.25">
      <c r="A7705" t="s">
        <v>1994</v>
      </c>
      <c r="B7705" t="s">
        <v>2971</v>
      </c>
      <c r="C7705" t="s">
        <v>426</v>
      </c>
      <c r="D7705">
        <v>0</v>
      </c>
      <c r="E7705">
        <v>7200</v>
      </c>
      <c r="F7705">
        <v>0</v>
      </c>
      <c r="G7705">
        <v>0</v>
      </c>
      <c r="H7705" t="s">
        <v>62</v>
      </c>
    </row>
    <row r="7706" spans="1:8" x14ac:dyDescent="0.25">
      <c r="A7706" t="str">
        <f>"&lt;nominal&gt;" &amp;$D$7705&amp;"&lt;/nominal&gt;"</f>
        <v>&lt;nominal&gt;0&lt;/nominal&gt;</v>
      </c>
      <c r="B7706" t="s">
        <v>2971</v>
      </c>
    </row>
    <row r="7707" spans="1:8" x14ac:dyDescent="0.25">
      <c r="A7707" t="str">
        <f>"&lt;lifetime&gt;" &amp;$E$7705&amp;"&lt;/lifetime&gt;"</f>
        <v>&lt;lifetime&gt;7200&lt;/lifetime&gt;</v>
      </c>
      <c r="B7707" t="s">
        <v>2971</v>
      </c>
    </row>
    <row r="7708" spans="1:8" x14ac:dyDescent="0.25">
      <c r="A7708" t="str">
        <f>"&lt;restock&gt;" &amp;$F$7705&amp;"&lt;/restock&gt;"</f>
        <v>&lt;restock&gt;0&lt;/restock&gt;</v>
      </c>
      <c r="B7708" t="s">
        <v>2971</v>
      </c>
    </row>
    <row r="7709" spans="1:8" x14ac:dyDescent="0.25">
      <c r="A7709" t="str">
        <f>"&lt;min&gt;" &amp;$G$7705&amp;"&lt;/min&gt;"</f>
        <v>&lt;min&gt;0&lt;/min&gt;</v>
      </c>
      <c r="B7709" t="s">
        <v>2971</v>
      </c>
    </row>
    <row r="7710" spans="1:8" x14ac:dyDescent="0.25">
      <c r="A7710" t="s">
        <v>16</v>
      </c>
      <c r="B7710" t="s">
        <v>2971</v>
      </c>
    </row>
    <row r="7711" spans="1:8" x14ac:dyDescent="0.25">
      <c r="A7711" t="s">
        <v>17</v>
      </c>
      <c r="B7711" t="s">
        <v>2971</v>
      </c>
    </row>
    <row r="7712" spans="1:8" x14ac:dyDescent="0.25">
      <c r="A7712" t="s">
        <v>18</v>
      </c>
      <c r="B7712" t="s">
        <v>2971</v>
      </c>
    </row>
    <row r="7713" spans="1:8" x14ac:dyDescent="0.25">
      <c r="A7713" t="str">
        <f xml:space="preserve"> $H$7705</f>
        <v>&lt;flags count_in_cargo="0" count_in_hoarder="0" count_in_map="1" count_in_player="0" crafted="1" deloot="0"/&gt;</v>
      </c>
      <c r="B7713" t="s">
        <v>2971</v>
      </c>
    </row>
    <row r="7714" spans="1:8" x14ac:dyDescent="0.25">
      <c r="A7714" t="str">
        <f>"&lt;category name=" &amp;"""" &amp;$C$7705&amp;"""/&gt;"</f>
        <v>&lt;category name="tools"/&gt;</v>
      </c>
      <c r="B7714" t="s">
        <v>2971</v>
      </c>
    </row>
    <row r="7715" spans="1:8" x14ac:dyDescent="0.25">
      <c r="A7715" t="s">
        <v>22</v>
      </c>
      <c r="B7715" t="s">
        <v>2971</v>
      </c>
    </row>
    <row r="7716" spans="1:8" x14ac:dyDescent="0.25">
      <c r="A7716" t="s">
        <v>1995</v>
      </c>
      <c r="B7716" t="s">
        <v>2972</v>
      </c>
      <c r="C7716" t="s">
        <v>426</v>
      </c>
      <c r="D7716">
        <v>0</v>
      </c>
      <c r="E7716">
        <v>7200</v>
      </c>
      <c r="F7716">
        <v>0</v>
      </c>
      <c r="G7716">
        <v>0</v>
      </c>
      <c r="H7716" t="s">
        <v>62</v>
      </c>
    </row>
    <row r="7717" spans="1:8" x14ac:dyDescent="0.25">
      <c r="A7717" t="str">
        <f>"&lt;nominal&gt;" &amp;$D$7716&amp;"&lt;/nominal&gt;"</f>
        <v>&lt;nominal&gt;0&lt;/nominal&gt;</v>
      </c>
      <c r="B7717" t="s">
        <v>2972</v>
      </c>
    </row>
    <row r="7718" spans="1:8" x14ac:dyDescent="0.25">
      <c r="A7718" t="str">
        <f>"&lt;lifetime&gt;" &amp;$E$7716&amp;"&lt;/lifetime&gt;"</f>
        <v>&lt;lifetime&gt;7200&lt;/lifetime&gt;</v>
      </c>
      <c r="B7718" t="s">
        <v>2972</v>
      </c>
    </row>
    <row r="7719" spans="1:8" x14ac:dyDescent="0.25">
      <c r="A7719" t="str">
        <f>"&lt;restock&gt;" &amp;$F$7716&amp;"&lt;/restock&gt;"</f>
        <v>&lt;restock&gt;0&lt;/restock&gt;</v>
      </c>
      <c r="B7719" t="s">
        <v>2972</v>
      </c>
    </row>
    <row r="7720" spans="1:8" x14ac:dyDescent="0.25">
      <c r="A7720" t="str">
        <f>"&lt;min&gt;" &amp;$G$7716&amp;"&lt;/min&gt;"</f>
        <v>&lt;min&gt;0&lt;/min&gt;</v>
      </c>
      <c r="B7720" t="s">
        <v>2972</v>
      </c>
    </row>
    <row r="7721" spans="1:8" x14ac:dyDescent="0.25">
      <c r="A7721" t="s">
        <v>16</v>
      </c>
      <c r="B7721" t="s">
        <v>2972</v>
      </c>
    </row>
    <row r="7722" spans="1:8" x14ac:dyDescent="0.25">
      <c r="A7722" t="s">
        <v>17</v>
      </c>
      <c r="B7722" t="s">
        <v>2972</v>
      </c>
    </row>
    <row r="7723" spans="1:8" x14ac:dyDescent="0.25">
      <c r="A7723" t="s">
        <v>18</v>
      </c>
      <c r="B7723" t="s">
        <v>2972</v>
      </c>
    </row>
    <row r="7724" spans="1:8" x14ac:dyDescent="0.25">
      <c r="A7724" t="str">
        <f xml:space="preserve"> $H$7716</f>
        <v>&lt;flags count_in_cargo="0" count_in_hoarder="0" count_in_map="1" count_in_player="0" crafted="1" deloot="0"/&gt;</v>
      </c>
      <c r="B7724" t="s">
        <v>2972</v>
      </c>
    </row>
    <row r="7725" spans="1:8" x14ac:dyDescent="0.25">
      <c r="A7725" t="str">
        <f>"&lt;category name=" &amp;"""" &amp;$C$7716&amp;"""/&gt;"</f>
        <v>&lt;category name="tools"/&gt;</v>
      </c>
      <c r="B7725" t="s">
        <v>2972</v>
      </c>
    </row>
    <row r="7726" spans="1:8" x14ac:dyDescent="0.25">
      <c r="A7726" t="s">
        <v>22</v>
      </c>
      <c r="B7726" t="s">
        <v>2972</v>
      </c>
    </row>
    <row r="7727" spans="1:8" x14ac:dyDescent="0.25">
      <c r="A7727" t="s">
        <v>1996</v>
      </c>
      <c r="B7727" t="s">
        <v>2973</v>
      </c>
      <c r="C7727" t="s">
        <v>426</v>
      </c>
      <c r="D7727">
        <v>0</v>
      </c>
      <c r="E7727">
        <v>7200</v>
      </c>
      <c r="F7727">
        <v>0</v>
      </c>
      <c r="G7727">
        <v>0</v>
      </c>
      <c r="H7727" t="s">
        <v>62</v>
      </c>
    </row>
    <row r="7728" spans="1:8" x14ac:dyDescent="0.25">
      <c r="A7728" t="str">
        <f>"&lt;nominal&gt;" &amp;$D$7727&amp;"&lt;/nominal&gt;"</f>
        <v>&lt;nominal&gt;0&lt;/nominal&gt;</v>
      </c>
      <c r="B7728" t="s">
        <v>2973</v>
      </c>
    </row>
    <row r="7729" spans="1:8" x14ac:dyDescent="0.25">
      <c r="A7729" t="str">
        <f>"&lt;lifetime&gt;" &amp;$E$7727&amp;"&lt;/lifetime&gt;"</f>
        <v>&lt;lifetime&gt;7200&lt;/lifetime&gt;</v>
      </c>
      <c r="B7729" t="s">
        <v>2973</v>
      </c>
    </row>
    <row r="7730" spans="1:8" x14ac:dyDescent="0.25">
      <c r="A7730" t="str">
        <f>"&lt;restock&gt;" &amp;$F$7727&amp;"&lt;/restock&gt;"</f>
        <v>&lt;restock&gt;0&lt;/restock&gt;</v>
      </c>
      <c r="B7730" t="s">
        <v>2973</v>
      </c>
    </row>
    <row r="7731" spans="1:8" x14ac:dyDescent="0.25">
      <c r="A7731" t="str">
        <f>"&lt;min&gt;" &amp;$G$7727&amp;"&lt;/min&gt;"</f>
        <v>&lt;min&gt;0&lt;/min&gt;</v>
      </c>
      <c r="B7731" t="s">
        <v>2973</v>
      </c>
    </row>
    <row r="7732" spans="1:8" x14ac:dyDescent="0.25">
      <c r="A7732" t="s">
        <v>16</v>
      </c>
      <c r="B7732" t="s">
        <v>2973</v>
      </c>
    </row>
    <row r="7733" spans="1:8" x14ac:dyDescent="0.25">
      <c r="A7733" t="s">
        <v>17</v>
      </c>
      <c r="B7733" t="s">
        <v>2973</v>
      </c>
    </row>
    <row r="7734" spans="1:8" x14ac:dyDescent="0.25">
      <c r="A7734" t="s">
        <v>18</v>
      </c>
      <c r="B7734" t="s">
        <v>2973</v>
      </c>
    </row>
    <row r="7735" spans="1:8" x14ac:dyDescent="0.25">
      <c r="A7735" t="str">
        <f xml:space="preserve"> $H$7727</f>
        <v>&lt;flags count_in_cargo="0" count_in_hoarder="0" count_in_map="1" count_in_player="0" crafted="1" deloot="0"/&gt;</v>
      </c>
      <c r="B7735" t="s">
        <v>2973</v>
      </c>
    </row>
    <row r="7736" spans="1:8" x14ac:dyDescent="0.25">
      <c r="A7736" t="str">
        <f>"&lt;category name=" &amp;"""" &amp;$C$7727&amp;"""/&gt;"</f>
        <v>&lt;category name="tools"/&gt;</v>
      </c>
      <c r="B7736" t="s">
        <v>2973</v>
      </c>
    </row>
    <row r="7737" spans="1:8" x14ac:dyDescent="0.25">
      <c r="A7737" t="s">
        <v>22</v>
      </c>
      <c r="B7737" t="s">
        <v>2973</v>
      </c>
    </row>
    <row r="7738" spans="1:8" x14ac:dyDescent="0.25">
      <c r="A7738" t="s">
        <v>1997</v>
      </c>
      <c r="B7738" t="s">
        <v>2974</v>
      </c>
      <c r="C7738" t="s">
        <v>426</v>
      </c>
      <c r="D7738">
        <v>0</v>
      </c>
      <c r="E7738">
        <v>7200</v>
      </c>
      <c r="F7738">
        <v>0</v>
      </c>
      <c r="G7738">
        <v>0</v>
      </c>
      <c r="H7738" t="s">
        <v>62</v>
      </c>
    </row>
    <row r="7739" spans="1:8" x14ac:dyDescent="0.25">
      <c r="A7739" t="str">
        <f>"&lt;nominal&gt;" &amp;$D$7738&amp;"&lt;/nominal&gt;"</f>
        <v>&lt;nominal&gt;0&lt;/nominal&gt;</v>
      </c>
      <c r="B7739" t="s">
        <v>2974</v>
      </c>
    </row>
    <row r="7740" spans="1:8" x14ac:dyDescent="0.25">
      <c r="A7740" t="str">
        <f>"&lt;lifetime&gt;" &amp;$E$7738&amp;"&lt;/lifetime&gt;"</f>
        <v>&lt;lifetime&gt;7200&lt;/lifetime&gt;</v>
      </c>
      <c r="B7740" t="s">
        <v>2974</v>
      </c>
    </row>
    <row r="7741" spans="1:8" x14ac:dyDescent="0.25">
      <c r="A7741" t="str">
        <f>"&lt;restock&gt;" &amp;$F$7738&amp;"&lt;/restock&gt;"</f>
        <v>&lt;restock&gt;0&lt;/restock&gt;</v>
      </c>
      <c r="B7741" t="s">
        <v>2974</v>
      </c>
    </row>
    <row r="7742" spans="1:8" x14ac:dyDescent="0.25">
      <c r="A7742" t="str">
        <f>"&lt;min&gt;" &amp;$G$7738&amp;"&lt;/min&gt;"</f>
        <v>&lt;min&gt;0&lt;/min&gt;</v>
      </c>
      <c r="B7742" t="s">
        <v>2974</v>
      </c>
    </row>
    <row r="7743" spans="1:8" x14ac:dyDescent="0.25">
      <c r="A7743" t="s">
        <v>16</v>
      </c>
      <c r="B7743" t="s">
        <v>2974</v>
      </c>
    </row>
    <row r="7744" spans="1:8" x14ac:dyDescent="0.25">
      <c r="A7744" t="s">
        <v>17</v>
      </c>
      <c r="B7744" t="s">
        <v>2974</v>
      </c>
    </row>
    <row r="7745" spans="1:8" x14ac:dyDescent="0.25">
      <c r="A7745" t="s">
        <v>18</v>
      </c>
      <c r="B7745" t="s">
        <v>2974</v>
      </c>
    </row>
    <row r="7746" spans="1:8" x14ac:dyDescent="0.25">
      <c r="A7746" t="str">
        <f xml:space="preserve"> $H$7738</f>
        <v>&lt;flags count_in_cargo="0" count_in_hoarder="0" count_in_map="1" count_in_player="0" crafted="1" deloot="0"/&gt;</v>
      </c>
      <c r="B7746" t="s">
        <v>2974</v>
      </c>
    </row>
    <row r="7747" spans="1:8" x14ac:dyDescent="0.25">
      <c r="A7747" t="str">
        <f>"&lt;category name=" &amp;"""" &amp;$C$7738&amp;"""/&gt;"</f>
        <v>&lt;category name="tools"/&gt;</v>
      </c>
      <c r="B7747" t="s">
        <v>2974</v>
      </c>
    </row>
    <row r="7748" spans="1:8" x14ac:dyDescent="0.25">
      <c r="A7748" t="s">
        <v>22</v>
      </c>
      <c r="B7748" t="s">
        <v>2974</v>
      </c>
    </row>
    <row r="7749" spans="1:8" x14ac:dyDescent="0.25">
      <c r="A7749" t="s">
        <v>1998</v>
      </c>
      <c r="B7749" t="s">
        <v>2975</v>
      </c>
      <c r="C7749" t="s">
        <v>426</v>
      </c>
      <c r="D7749">
        <v>0</v>
      </c>
      <c r="E7749">
        <v>7200</v>
      </c>
      <c r="F7749">
        <v>0</v>
      </c>
      <c r="G7749">
        <v>0</v>
      </c>
      <c r="H7749" t="s">
        <v>62</v>
      </c>
    </row>
    <row r="7750" spans="1:8" x14ac:dyDescent="0.25">
      <c r="A7750" t="str">
        <f>"&lt;nominal&gt;" &amp;$D$7749&amp;"&lt;/nominal&gt;"</f>
        <v>&lt;nominal&gt;0&lt;/nominal&gt;</v>
      </c>
      <c r="B7750" t="s">
        <v>2975</v>
      </c>
    </row>
    <row r="7751" spans="1:8" x14ac:dyDescent="0.25">
      <c r="A7751" t="str">
        <f>"&lt;lifetime&gt;" &amp;$E$7749&amp;"&lt;/lifetime&gt;"</f>
        <v>&lt;lifetime&gt;7200&lt;/lifetime&gt;</v>
      </c>
      <c r="B7751" t="s">
        <v>2975</v>
      </c>
    </row>
    <row r="7752" spans="1:8" x14ac:dyDescent="0.25">
      <c r="A7752" t="str">
        <f>"&lt;restock&gt;" &amp;$F$7749&amp;"&lt;/restock&gt;"</f>
        <v>&lt;restock&gt;0&lt;/restock&gt;</v>
      </c>
      <c r="B7752" t="s">
        <v>2975</v>
      </c>
    </row>
    <row r="7753" spans="1:8" x14ac:dyDescent="0.25">
      <c r="A7753" t="str">
        <f>"&lt;min&gt;" &amp;$G$7749&amp;"&lt;/min&gt;"</f>
        <v>&lt;min&gt;0&lt;/min&gt;</v>
      </c>
      <c r="B7753" t="s">
        <v>2975</v>
      </c>
    </row>
    <row r="7754" spans="1:8" x14ac:dyDescent="0.25">
      <c r="A7754" t="s">
        <v>16</v>
      </c>
      <c r="B7754" t="s">
        <v>2975</v>
      </c>
    </row>
    <row r="7755" spans="1:8" x14ac:dyDescent="0.25">
      <c r="A7755" t="s">
        <v>17</v>
      </c>
      <c r="B7755" t="s">
        <v>2975</v>
      </c>
    </row>
    <row r="7756" spans="1:8" x14ac:dyDescent="0.25">
      <c r="A7756" t="s">
        <v>18</v>
      </c>
      <c r="B7756" t="s">
        <v>2975</v>
      </c>
    </row>
    <row r="7757" spans="1:8" x14ac:dyDescent="0.25">
      <c r="A7757" t="str">
        <f xml:space="preserve"> $H$7749</f>
        <v>&lt;flags count_in_cargo="0" count_in_hoarder="0" count_in_map="1" count_in_player="0" crafted="1" deloot="0"/&gt;</v>
      </c>
      <c r="B7757" t="s">
        <v>2975</v>
      </c>
    </row>
    <row r="7758" spans="1:8" x14ac:dyDescent="0.25">
      <c r="A7758" t="str">
        <f>"&lt;category name=" &amp;"""" &amp;$C$7749&amp;"""/&gt;"</f>
        <v>&lt;category name="tools"/&gt;</v>
      </c>
      <c r="B7758" t="s">
        <v>2975</v>
      </c>
    </row>
    <row r="7759" spans="1:8" x14ac:dyDescent="0.25">
      <c r="A7759" t="s">
        <v>22</v>
      </c>
      <c r="B7759" t="s">
        <v>2975</v>
      </c>
    </row>
    <row r="7760" spans="1:8" x14ac:dyDescent="0.25">
      <c r="A7760" t="s">
        <v>1999</v>
      </c>
      <c r="B7760" t="s">
        <v>2976</v>
      </c>
      <c r="C7760" t="s">
        <v>426</v>
      </c>
      <c r="D7760">
        <v>0</v>
      </c>
      <c r="E7760">
        <v>7200</v>
      </c>
      <c r="F7760">
        <v>0</v>
      </c>
      <c r="G7760">
        <v>0</v>
      </c>
      <c r="H7760" t="s">
        <v>62</v>
      </c>
    </row>
    <row r="7761" spans="1:8" x14ac:dyDescent="0.25">
      <c r="A7761" t="str">
        <f>"&lt;nominal&gt;" &amp;$D$7760&amp;"&lt;/nominal&gt;"</f>
        <v>&lt;nominal&gt;0&lt;/nominal&gt;</v>
      </c>
      <c r="B7761" t="s">
        <v>2976</v>
      </c>
    </row>
    <row r="7762" spans="1:8" x14ac:dyDescent="0.25">
      <c r="A7762" t="str">
        <f>"&lt;lifetime&gt;" &amp;$E$7760&amp;"&lt;/lifetime&gt;"</f>
        <v>&lt;lifetime&gt;7200&lt;/lifetime&gt;</v>
      </c>
      <c r="B7762" t="s">
        <v>2976</v>
      </c>
    </row>
    <row r="7763" spans="1:8" x14ac:dyDescent="0.25">
      <c r="A7763" t="str">
        <f>"&lt;restock&gt;" &amp;$F$7760&amp;"&lt;/restock&gt;"</f>
        <v>&lt;restock&gt;0&lt;/restock&gt;</v>
      </c>
      <c r="B7763" t="s">
        <v>2976</v>
      </c>
    </row>
    <row r="7764" spans="1:8" x14ac:dyDescent="0.25">
      <c r="A7764" t="str">
        <f>"&lt;min&gt;" &amp;$G$7760&amp;"&lt;/min&gt;"</f>
        <v>&lt;min&gt;0&lt;/min&gt;</v>
      </c>
      <c r="B7764" t="s">
        <v>2976</v>
      </c>
    </row>
    <row r="7765" spans="1:8" x14ac:dyDescent="0.25">
      <c r="A7765" t="s">
        <v>16</v>
      </c>
      <c r="B7765" t="s">
        <v>2976</v>
      </c>
    </row>
    <row r="7766" spans="1:8" x14ac:dyDescent="0.25">
      <c r="A7766" t="s">
        <v>17</v>
      </c>
      <c r="B7766" t="s">
        <v>2976</v>
      </c>
    </row>
    <row r="7767" spans="1:8" x14ac:dyDescent="0.25">
      <c r="A7767" t="s">
        <v>18</v>
      </c>
      <c r="B7767" t="s">
        <v>2976</v>
      </c>
    </row>
    <row r="7768" spans="1:8" x14ac:dyDescent="0.25">
      <c r="A7768" t="str">
        <f xml:space="preserve"> $H$7760</f>
        <v>&lt;flags count_in_cargo="0" count_in_hoarder="0" count_in_map="1" count_in_player="0" crafted="1" deloot="0"/&gt;</v>
      </c>
      <c r="B7768" t="s">
        <v>2976</v>
      </c>
    </row>
    <row r="7769" spans="1:8" x14ac:dyDescent="0.25">
      <c r="A7769" t="str">
        <f>"&lt;category name=" &amp;"""" &amp;$C$7760&amp;"""/&gt;"</f>
        <v>&lt;category name="tools"/&gt;</v>
      </c>
      <c r="B7769" t="s">
        <v>2976</v>
      </c>
    </row>
    <row r="7770" spans="1:8" x14ac:dyDescent="0.25">
      <c r="A7770" t="s">
        <v>22</v>
      </c>
      <c r="B7770" t="s">
        <v>2976</v>
      </c>
    </row>
    <row r="7771" spans="1:8" x14ac:dyDescent="0.25">
      <c r="A7771" t="s">
        <v>2000</v>
      </c>
      <c r="B7771" t="s">
        <v>2977</v>
      </c>
      <c r="C7771" t="s">
        <v>403</v>
      </c>
      <c r="D7771">
        <v>0</v>
      </c>
      <c r="E7771">
        <v>7200</v>
      </c>
      <c r="F7771">
        <v>0</v>
      </c>
      <c r="G7771">
        <v>0</v>
      </c>
      <c r="H7771" t="s">
        <v>62</v>
      </c>
    </row>
    <row r="7772" spans="1:8" x14ac:dyDescent="0.25">
      <c r="A7772" t="str">
        <f>"&lt;nominal&gt;" &amp;$D$7771&amp;"&lt;/nominal&gt;"</f>
        <v>&lt;nominal&gt;0&lt;/nominal&gt;</v>
      </c>
      <c r="B7772" t="s">
        <v>2977</v>
      </c>
    </row>
    <row r="7773" spans="1:8" x14ac:dyDescent="0.25">
      <c r="A7773" t="str">
        <f>"&lt;lifetime&gt;" &amp;$E$7771&amp;"&lt;/lifetime&gt;"</f>
        <v>&lt;lifetime&gt;7200&lt;/lifetime&gt;</v>
      </c>
      <c r="B7773" t="s">
        <v>2977</v>
      </c>
    </row>
    <row r="7774" spans="1:8" x14ac:dyDescent="0.25">
      <c r="A7774" t="str">
        <f>"&lt;restock&gt;" &amp;$F$7771&amp;"&lt;/restock&gt;"</f>
        <v>&lt;restock&gt;0&lt;/restock&gt;</v>
      </c>
      <c r="B7774" t="s">
        <v>2977</v>
      </c>
    </row>
    <row r="7775" spans="1:8" x14ac:dyDescent="0.25">
      <c r="A7775" t="str">
        <f>"&lt;min&gt;" &amp;$G$7771&amp;"&lt;/min&gt;"</f>
        <v>&lt;min&gt;0&lt;/min&gt;</v>
      </c>
      <c r="B7775" t="s">
        <v>2977</v>
      </c>
    </row>
    <row r="7776" spans="1:8" x14ac:dyDescent="0.25">
      <c r="A7776" t="s">
        <v>16</v>
      </c>
      <c r="B7776" t="s">
        <v>2977</v>
      </c>
    </row>
    <row r="7777" spans="1:8" x14ac:dyDescent="0.25">
      <c r="A7777" t="s">
        <v>17</v>
      </c>
      <c r="B7777" t="s">
        <v>2977</v>
      </c>
    </row>
    <row r="7778" spans="1:8" x14ac:dyDescent="0.25">
      <c r="A7778" t="s">
        <v>18</v>
      </c>
      <c r="B7778" t="s">
        <v>2977</v>
      </c>
    </row>
    <row r="7779" spans="1:8" x14ac:dyDescent="0.25">
      <c r="A7779" t="str">
        <f xml:space="preserve"> $H$7771</f>
        <v>&lt;flags count_in_cargo="0" count_in_hoarder="0" count_in_map="1" count_in_player="0" crafted="1" deloot="0"/&gt;</v>
      </c>
      <c r="B7779" t="s">
        <v>2977</v>
      </c>
    </row>
    <row r="7780" spans="1:8" x14ac:dyDescent="0.25">
      <c r="A7780" t="str">
        <f>"&lt;category name=" &amp;"""" &amp;$C$7771&amp;"""/&gt;"</f>
        <v>&lt;category name="clothes"/&gt;</v>
      </c>
      <c r="B7780" t="s">
        <v>2977</v>
      </c>
    </row>
    <row r="7781" spans="1:8" x14ac:dyDescent="0.25">
      <c r="A7781" t="s">
        <v>22</v>
      </c>
      <c r="B7781" t="s">
        <v>2977</v>
      </c>
    </row>
    <row r="7782" spans="1:8" x14ac:dyDescent="0.25">
      <c r="A7782" t="s">
        <v>2001</v>
      </c>
      <c r="B7782" t="s">
        <v>2978</v>
      </c>
      <c r="C7782" t="s">
        <v>426</v>
      </c>
      <c r="D7782">
        <v>0</v>
      </c>
      <c r="E7782">
        <v>7200</v>
      </c>
      <c r="F7782">
        <v>0</v>
      </c>
      <c r="G7782">
        <v>0</v>
      </c>
      <c r="H7782" t="s">
        <v>62</v>
      </c>
    </row>
    <row r="7783" spans="1:8" x14ac:dyDescent="0.25">
      <c r="A7783" t="str">
        <f>"&lt;nominal&gt;" &amp;$D$7782&amp;"&lt;/nominal&gt;"</f>
        <v>&lt;nominal&gt;0&lt;/nominal&gt;</v>
      </c>
      <c r="B7783" t="s">
        <v>2978</v>
      </c>
    </row>
    <row r="7784" spans="1:8" x14ac:dyDescent="0.25">
      <c r="A7784" t="str">
        <f>"&lt;lifetime&gt;" &amp;$E$7782&amp;"&lt;/lifetime&gt;"</f>
        <v>&lt;lifetime&gt;7200&lt;/lifetime&gt;</v>
      </c>
      <c r="B7784" t="s">
        <v>2978</v>
      </c>
    </row>
    <row r="7785" spans="1:8" x14ac:dyDescent="0.25">
      <c r="A7785" t="str">
        <f>"&lt;restock&gt;" &amp;$F$7782&amp;"&lt;/restock&gt;"</f>
        <v>&lt;restock&gt;0&lt;/restock&gt;</v>
      </c>
      <c r="B7785" t="s">
        <v>2978</v>
      </c>
    </row>
    <row r="7786" spans="1:8" x14ac:dyDescent="0.25">
      <c r="A7786" t="str">
        <f>"&lt;min&gt;" &amp;$G$7782&amp;"&lt;/min&gt;"</f>
        <v>&lt;min&gt;0&lt;/min&gt;</v>
      </c>
      <c r="B7786" t="s">
        <v>2978</v>
      </c>
    </row>
    <row r="7787" spans="1:8" x14ac:dyDescent="0.25">
      <c r="A7787" t="s">
        <v>16</v>
      </c>
      <c r="B7787" t="s">
        <v>2978</v>
      </c>
    </row>
    <row r="7788" spans="1:8" x14ac:dyDescent="0.25">
      <c r="A7788" t="s">
        <v>17</v>
      </c>
      <c r="B7788" t="s">
        <v>2978</v>
      </c>
    </row>
    <row r="7789" spans="1:8" x14ac:dyDescent="0.25">
      <c r="A7789" t="s">
        <v>18</v>
      </c>
      <c r="B7789" t="s">
        <v>2978</v>
      </c>
    </row>
    <row r="7790" spans="1:8" x14ac:dyDescent="0.25">
      <c r="A7790" t="str">
        <f xml:space="preserve"> $H$7782</f>
        <v>&lt;flags count_in_cargo="0" count_in_hoarder="0" count_in_map="1" count_in_player="0" crafted="1" deloot="0"/&gt;</v>
      </c>
      <c r="B7790" t="s">
        <v>2978</v>
      </c>
    </row>
    <row r="7791" spans="1:8" x14ac:dyDescent="0.25">
      <c r="A7791" t="str">
        <f>"&lt;category name=" &amp;"""" &amp;$C$7782&amp;"""/&gt;"</f>
        <v>&lt;category name="tools"/&gt;</v>
      </c>
      <c r="B7791" t="s">
        <v>2978</v>
      </c>
    </row>
    <row r="7792" spans="1:8" x14ac:dyDescent="0.25">
      <c r="A7792" t="s">
        <v>22</v>
      </c>
      <c r="B7792" t="s">
        <v>2978</v>
      </c>
    </row>
    <row r="7793" spans="1:8" x14ac:dyDescent="0.25">
      <c r="A7793" t="s">
        <v>2002</v>
      </c>
      <c r="B7793" t="s">
        <v>2979</v>
      </c>
      <c r="C7793" t="s">
        <v>426</v>
      </c>
      <c r="D7793">
        <v>0</v>
      </c>
      <c r="E7793">
        <v>7200</v>
      </c>
      <c r="F7793">
        <v>0</v>
      </c>
      <c r="G7793">
        <v>0</v>
      </c>
      <c r="H7793" t="s">
        <v>62</v>
      </c>
    </row>
    <row r="7794" spans="1:8" x14ac:dyDescent="0.25">
      <c r="A7794" t="str">
        <f>"&lt;nominal&gt;" &amp;$D$7793&amp;"&lt;/nominal&gt;"</f>
        <v>&lt;nominal&gt;0&lt;/nominal&gt;</v>
      </c>
      <c r="B7794" t="s">
        <v>2979</v>
      </c>
    </row>
    <row r="7795" spans="1:8" x14ac:dyDescent="0.25">
      <c r="A7795" t="str">
        <f>"&lt;lifetime&gt;" &amp;$E$7793&amp;"&lt;/lifetime&gt;"</f>
        <v>&lt;lifetime&gt;7200&lt;/lifetime&gt;</v>
      </c>
      <c r="B7795" t="s">
        <v>2979</v>
      </c>
    </row>
    <row r="7796" spans="1:8" x14ac:dyDescent="0.25">
      <c r="A7796" t="str">
        <f>"&lt;restock&gt;" &amp;$F$7793&amp;"&lt;/restock&gt;"</f>
        <v>&lt;restock&gt;0&lt;/restock&gt;</v>
      </c>
      <c r="B7796" t="s">
        <v>2979</v>
      </c>
    </row>
    <row r="7797" spans="1:8" x14ac:dyDescent="0.25">
      <c r="A7797" t="str">
        <f>"&lt;min&gt;" &amp;$G$7793&amp;"&lt;/min&gt;"</f>
        <v>&lt;min&gt;0&lt;/min&gt;</v>
      </c>
      <c r="B7797" t="s">
        <v>2979</v>
      </c>
    </row>
    <row r="7798" spans="1:8" x14ac:dyDescent="0.25">
      <c r="A7798" t="s">
        <v>16</v>
      </c>
      <c r="B7798" t="s">
        <v>2979</v>
      </c>
    </row>
    <row r="7799" spans="1:8" x14ac:dyDescent="0.25">
      <c r="A7799" t="s">
        <v>17</v>
      </c>
      <c r="B7799" t="s">
        <v>2979</v>
      </c>
    </row>
    <row r="7800" spans="1:8" x14ac:dyDescent="0.25">
      <c r="A7800" t="s">
        <v>18</v>
      </c>
      <c r="B7800" t="s">
        <v>2979</v>
      </c>
    </row>
    <row r="7801" spans="1:8" x14ac:dyDescent="0.25">
      <c r="A7801" t="str">
        <f xml:space="preserve"> $H$7793</f>
        <v>&lt;flags count_in_cargo="0" count_in_hoarder="0" count_in_map="1" count_in_player="0" crafted="1" deloot="0"/&gt;</v>
      </c>
      <c r="B7801" t="s">
        <v>2979</v>
      </c>
    </row>
    <row r="7802" spans="1:8" x14ac:dyDescent="0.25">
      <c r="A7802" t="str">
        <f>"&lt;category name=" &amp;"""" &amp;$C$7793&amp;"""/&gt;"</f>
        <v>&lt;category name="tools"/&gt;</v>
      </c>
      <c r="B7802" t="s">
        <v>2979</v>
      </c>
    </row>
    <row r="7803" spans="1:8" x14ac:dyDescent="0.25">
      <c r="A7803" t="s">
        <v>22</v>
      </c>
      <c r="B7803" t="s">
        <v>2979</v>
      </c>
    </row>
    <row r="7804" spans="1:8" x14ac:dyDescent="0.25">
      <c r="A7804" t="s">
        <v>2003</v>
      </c>
      <c r="B7804" t="s">
        <v>2980</v>
      </c>
      <c r="C7804" t="s">
        <v>426</v>
      </c>
      <c r="D7804">
        <v>0</v>
      </c>
      <c r="E7804">
        <v>7200</v>
      </c>
      <c r="F7804">
        <v>0</v>
      </c>
      <c r="G7804">
        <v>0</v>
      </c>
      <c r="H7804" t="s">
        <v>62</v>
      </c>
    </row>
    <row r="7805" spans="1:8" x14ac:dyDescent="0.25">
      <c r="A7805" t="str">
        <f>"&lt;nominal&gt;" &amp;$D$7804&amp;"&lt;/nominal&gt;"</f>
        <v>&lt;nominal&gt;0&lt;/nominal&gt;</v>
      </c>
      <c r="B7805" t="s">
        <v>2980</v>
      </c>
    </row>
    <row r="7806" spans="1:8" x14ac:dyDescent="0.25">
      <c r="A7806" t="str">
        <f>"&lt;lifetime&gt;" &amp;$E$7804&amp;"&lt;/lifetime&gt;"</f>
        <v>&lt;lifetime&gt;7200&lt;/lifetime&gt;</v>
      </c>
      <c r="B7806" t="s">
        <v>2980</v>
      </c>
    </row>
    <row r="7807" spans="1:8" x14ac:dyDescent="0.25">
      <c r="A7807" t="str">
        <f>"&lt;restock&gt;" &amp;$F$7804&amp;"&lt;/restock&gt;"</f>
        <v>&lt;restock&gt;0&lt;/restock&gt;</v>
      </c>
      <c r="B7807" t="s">
        <v>2980</v>
      </c>
    </row>
    <row r="7808" spans="1:8" x14ac:dyDescent="0.25">
      <c r="A7808" t="str">
        <f>"&lt;min&gt;" &amp;$G$7804&amp;"&lt;/min&gt;"</f>
        <v>&lt;min&gt;0&lt;/min&gt;</v>
      </c>
      <c r="B7808" t="s">
        <v>2980</v>
      </c>
    </row>
    <row r="7809" spans="1:8" x14ac:dyDescent="0.25">
      <c r="A7809" t="s">
        <v>16</v>
      </c>
      <c r="B7809" t="s">
        <v>2980</v>
      </c>
    </row>
    <row r="7810" spans="1:8" x14ac:dyDescent="0.25">
      <c r="A7810" t="s">
        <v>17</v>
      </c>
      <c r="B7810" t="s">
        <v>2980</v>
      </c>
    </row>
    <row r="7811" spans="1:8" x14ac:dyDescent="0.25">
      <c r="A7811" t="s">
        <v>18</v>
      </c>
      <c r="B7811" t="s">
        <v>2980</v>
      </c>
    </row>
    <row r="7812" spans="1:8" x14ac:dyDescent="0.25">
      <c r="A7812" t="str">
        <f xml:space="preserve"> $H$7804</f>
        <v>&lt;flags count_in_cargo="0" count_in_hoarder="0" count_in_map="1" count_in_player="0" crafted="1" deloot="0"/&gt;</v>
      </c>
      <c r="B7812" t="s">
        <v>2980</v>
      </c>
    </row>
    <row r="7813" spans="1:8" x14ac:dyDescent="0.25">
      <c r="A7813" t="str">
        <f>"&lt;category name=" &amp;"""" &amp;$C$7804&amp;"""/&gt;"</f>
        <v>&lt;category name="tools"/&gt;</v>
      </c>
      <c r="B7813" t="s">
        <v>2980</v>
      </c>
    </row>
    <row r="7814" spans="1:8" x14ac:dyDescent="0.25">
      <c r="A7814" t="s">
        <v>22</v>
      </c>
      <c r="B7814" t="s">
        <v>2980</v>
      </c>
    </row>
    <row r="7815" spans="1:8" x14ac:dyDescent="0.25">
      <c r="A7815" t="s">
        <v>2004</v>
      </c>
      <c r="B7815" t="s">
        <v>2981</v>
      </c>
      <c r="C7815" t="s">
        <v>426</v>
      </c>
      <c r="D7815">
        <v>0</v>
      </c>
      <c r="E7815">
        <v>7200</v>
      </c>
      <c r="F7815">
        <v>0</v>
      </c>
      <c r="G7815">
        <v>0</v>
      </c>
      <c r="H7815" t="s">
        <v>62</v>
      </c>
    </row>
    <row r="7816" spans="1:8" x14ac:dyDescent="0.25">
      <c r="A7816" t="str">
        <f>"&lt;nominal&gt;" &amp;$D$7815&amp;"&lt;/nominal&gt;"</f>
        <v>&lt;nominal&gt;0&lt;/nominal&gt;</v>
      </c>
      <c r="B7816" t="s">
        <v>2981</v>
      </c>
    </row>
    <row r="7817" spans="1:8" x14ac:dyDescent="0.25">
      <c r="A7817" t="str">
        <f>"&lt;lifetime&gt;" &amp;$E$7815&amp;"&lt;/lifetime&gt;"</f>
        <v>&lt;lifetime&gt;7200&lt;/lifetime&gt;</v>
      </c>
      <c r="B7817" t="s">
        <v>2981</v>
      </c>
    </row>
    <row r="7818" spans="1:8" x14ac:dyDescent="0.25">
      <c r="A7818" t="str">
        <f>"&lt;restock&gt;" &amp;$F$7815&amp;"&lt;/restock&gt;"</f>
        <v>&lt;restock&gt;0&lt;/restock&gt;</v>
      </c>
      <c r="B7818" t="s">
        <v>2981</v>
      </c>
    </row>
    <row r="7819" spans="1:8" x14ac:dyDescent="0.25">
      <c r="A7819" t="str">
        <f>"&lt;min&gt;" &amp;$G$7815&amp;"&lt;/min&gt;"</f>
        <v>&lt;min&gt;0&lt;/min&gt;</v>
      </c>
      <c r="B7819" t="s">
        <v>2981</v>
      </c>
    </row>
    <row r="7820" spans="1:8" x14ac:dyDescent="0.25">
      <c r="A7820" t="s">
        <v>16</v>
      </c>
      <c r="B7820" t="s">
        <v>2981</v>
      </c>
    </row>
    <row r="7821" spans="1:8" x14ac:dyDescent="0.25">
      <c r="A7821" t="s">
        <v>17</v>
      </c>
      <c r="B7821" t="s">
        <v>2981</v>
      </c>
    </row>
    <row r="7822" spans="1:8" x14ac:dyDescent="0.25">
      <c r="A7822" t="s">
        <v>18</v>
      </c>
      <c r="B7822" t="s">
        <v>2981</v>
      </c>
    </row>
    <row r="7823" spans="1:8" x14ac:dyDescent="0.25">
      <c r="A7823" t="str">
        <f xml:space="preserve"> $H$7815</f>
        <v>&lt;flags count_in_cargo="0" count_in_hoarder="0" count_in_map="1" count_in_player="0" crafted="1" deloot="0"/&gt;</v>
      </c>
      <c r="B7823" t="s">
        <v>2981</v>
      </c>
    </row>
    <row r="7824" spans="1:8" x14ac:dyDescent="0.25">
      <c r="A7824" t="str">
        <f>"&lt;category name=" &amp;"""" &amp;$C$7815&amp;"""/&gt;"</f>
        <v>&lt;category name="tools"/&gt;</v>
      </c>
      <c r="B7824" t="s">
        <v>2981</v>
      </c>
    </row>
    <row r="7825" spans="1:8" x14ac:dyDescent="0.25">
      <c r="A7825" t="s">
        <v>22</v>
      </c>
      <c r="B7825" t="s">
        <v>2981</v>
      </c>
    </row>
    <row r="7826" spans="1:8" x14ac:dyDescent="0.25">
      <c r="A7826" t="s">
        <v>2005</v>
      </c>
      <c r="B7826" t="s">
        <v>2982</v>
      </c>
      <c r="C7826" t="s">
        <v>426</v>
      </c>
      <c r="D7826">
        <v>0</v>
      </c>
      <c r="E7826">
        <v>7200</v>
      </c>
      <c r="F7826">
        <v>0</v>
      </c>
      <c r="G7826">
        <v>0</v>
      </c>
      <c r="H7826" t="s">
        <v>62</v>
      </c>
    </row>
    <row r="7827" spans="1:8" x14ac:dyDescent="0.25">
      <c r="A7827" t="str">
        <f>"&lt;nominal&gt;" &amp;$D$7826&amp;"&lt;/nominal&gt;"</f>
        <v>&lt;nominal&gt;0&lt;/nominal&gt;</v>
      </c>
      <c r="B7827" t="s">
        <v>2982</v>
      </c>
    </row>
    <row r="7828" spans="1:8" x14ac:dyDescent="0.25">
      <c r="A7828" t="str">
        <f>"&lt;lifetime&gt;" &amp;$E$7826&amp;"&lt;/lifetime&gt;"</f>
        <v>&lt;lifetime&gt;7200&lt;/lifetime&gt;</v>
      </c>
      <c r="B7828" t="s">
        <v>2982</v>
      </c>
    </row>
    <row r="7829" spans="1:8" x14ac:dyDescent="0.25">
      <c r="A7829" t="str">
        <f>"&lt;restock&gt;" &amp;$F$7826&amp;"&lt;/restock&gt;"</f>
        <v>&lt;restock&gt;0&lt;/restock&gt;</v>
      </c>
      <c r="B7829" t="s">
        <v>2982</v>
      </c>
    </row>
    <row r="7830" spans="1:8" x14ac:dyDescent="0.25">
      <c r="A7830" t="str">
        <f>"&lt;min&gt;" &amp;$G$7826&amp;"&lt;/min&gt;"</f>
        <v>&lt;min&gt;0&lt;/min&gt;</v>
      </c>
      <c r="B7830" t="s">
        <v>2982</v>
      </c>
    </row>
    <row r="7831" spans="1:8" x14ac:dyDescent="0.25">
      <c r="A7831" t="s">
        <v>16</v>
      </c>
      <c r="B7831" t="s">
        <v>2982</v>
      </c>
    </row>
    <row r="7832" spans="1:8" x14ac:dyDescent="0.25">
      <c r="A7832" t="s">
        <v>17</v>
      </c>
      <c r="B7832" t="s">
        <v>2982</v>
      </c>
    </row>
    <row r="7833" spans="1:8" x14ac:dyDescent="0.25">
      <c r="A7833" t="s">
        <v>18</v>
      </c>
      <c r="B7833" t="s">
        <v>2982</v>
      </c>
    </row>
    <row r="7834" spans="1:8" x14ac:dyDescent="0.25">
      <c r="A7834" t="str">
        <f xml:space="preserve"> $H$7826</f>
        <v>&lt;flags count_in_cargo="0" count_in_hoarder="0" count_in_map="1" count_in_player="0" crafted="1" deloot="0"/&gt;</v>
      </c>
      <c r="B7834" t="s">
        <v>2982</v>
      </c>
    </row>
    <row r="7835" spans="1:8" x14ac:dyDescent="0.25">
      <c r="A7835" t="str">
        <f>"&lt;category name=" &amp;"""" &amp;$C$7826&amp;"""/&gt;"</f>
        <v>&lt;category name="tools"/&gt;</v>
      </c>
      <c r="B7835" t="s">
        <v>2982</v>
      </c>
    </row>
    <row r="7836" spans="1:8" x14ac:dyDescent="0.25">
      <c r="A7836" t="s">
        <v>22</v>
      </c>
      <c r="B7836" t="s">
        <v>2982</v>
      </c>
    </row>
    <row r="7837" spans="1:8" x14ac:dyDescent="0.25">
      <c r="A7837" t="s">
        <v>2006</v>
      </c>
      <c r="B7837" t="s">
        <v>2983</v>
      </c>
      <c r="C7837" t="s">
        <v>426</v>
      </c>
      <c r="D7837">
        <v>0</v>
      </c>
      <c r="E7837">
        <v>7200</v>
      </c>
      <c r="F7837">
        <v>0</v>
      </c>
      <c r="G7837">
        <v>0</v>
      </c>
      <c r="H7837" t="s">
        <v>62</v>
      </c>
    </row>
    <row r="7838" spans="1:8" x14ac:dyDescent="0.25">
      <c r="A7838" t="str">
        <f>"&lt;nominal&gt;" &amp;$D$7837&amp;"&lt;/nominal&gt;"</f>
        <v>&lt;nominal&gt;0&lt;/nominal&gt;</v>
      </c>
      <c r="B7838" t="s">
        <v>2983</v>
      </c>
    </row>
    <row r="7839" spans="1:8" x14ac:dyDescent="0.25">
      <c r="A7839" t="str">
        <f>"&lt;lifetime&gt;" &amp;$E$7837&amp;"&lt;/lifetime&gt;"</f>
        <v>&lt;lifetime&gt;7200&lt;/lifetime&gt;</v>
      </c>
      <c r="B7839" t="s">
        <v>2983</v>
      </c>
    </row>
    <row r="7840" spans="1:8" x14ac:dyDescent="0.25">
      <c r="A7840" t="str">
        <f>"&lt;restock&gt;" &amp;$F$7837&amp;"&lt;/restock&gt;"</f>
        <v>&lt;restock&gt;0&lt;/restock&gt;</v>
      </c>
      <c r="B7840" t="s">
        <v>2983</v>
      </c>
    </row>
    <row r="7841" spans="1:8" x14ac:dyDescent="0.25">
      <c r="A7841" t="str">
        <f>"&lt;min&gt;" &amp;$G$7837&amp;"&lt;/min&gt;"</f>
        <v>&lt;min&gt;0&lt;/min&gt;</v>
      </c>
      <c r="B7841" t="s">
        <v>2983</v>
      </c>
    </row>
    <row r="7842" spans="1:8" x14ac:dyDescent="0.25">
      <c r="A7842" t="s">
        <v>16</v>
      </c>
      <c r="B7842" t="s">
        <v>2983</v>
      </c>
    </row>
    <row r="7843" spans="1:8" x14ac:dyDescent="0.25">
      <c r="A7843" t="s">
        <v>17</v>
      </c>
      <c r="B7843" t="s">
        <v>2983</v>
      </c>
    </row>
    <row r="7844" spans="1:8" x14ac:dyDescent="0.25">
      <c r="A7844" t="s">
        <v>18</v>
      </c>
      <c r="B7844" t="s">
        <v>2983</v>
      </c>
    </row>
    <row r="7845" spans="1:8" x14ac:dyDescent="0.25">
      <c r="A7845" t="str">
        <f xml:space="preserve"> $H$7837</f>
        <v>&lt;flags count_in_cargo="0" count_in_hoarder="0" count_in_map="1" count_in_player="0" crafted="1" deloot="0"/&gt;</v>
      </c>
      <c r="B7845" t="s">
        <v>2983</v>
      </c>
    </row>
    <row r="7846" spans="1:8" x14ac:dyDescent="0.25">
      <c r="A7846" t="str">
        <f>"&lt;category name=" &amp;"""" &amp;$C$7837&amp;"""/&gt;"</f>
        <v>&lt;category name="tools"/&gt;</v>
      </c>
      <c r="B7846" t="s">
        <v>2983</v>
      </c>
    </row>
    <row r="7847" spans="1:8" x14ac:dyDescent="0.25">
      <c r="A7847" t="s">
        <v>22</v>
      </c>
      <c r="B7847" t="s">
        <v>2983</v>
      </c>
    </row>
    <row r="7848" spans="1:8" x14ac:dyDescent="0.25">
      <c r="A7848" t="s">
        <v>2007</v>
      </c>
      <c r="B7848" t="s">
        <v>2984</v>
      </c>
      <c r="C7848" t="s">
        <v>426</v>
      </c>
      <c r="D7848">
        <v>0</v>
      </c>
      <c r="E7848">
        <v>7200</v>
      </c>
      <c r="F7848">
        <v>0</v>
      </c>
      <c r="G7848">
        <v>0</v>
      </c>
      <c r="H7848" t="s">
        <v>62</v>
      </c>
    </row>
    <row r="7849" spans="1:8" x14ac:dyDescent="0.25">
      <c r="A7849" t="str">
        <f>"&lt;nominal&gt;" &amp;$D$7848&amp;"&lt;/nominal&gt;"</f>
        <v>&lt;nominal&gt;0&lt;/nominal&gt;</v>
      </c>
      <c r="B7849" t="s">
        <v>2984</v>
      </c>
    </row>
    <row r="7850" spans="1:8" x14ac:dyDescent="0.25">
      <c r="A7850" t="str">
        <f>"&lt;lifetime&gt;" &amp;$E$7848&amp;"&lt;/lifetime&gt;"</f>
        <v>&lt;lifetime&gt;7200&lt;/lifetime&gt;</v>
      </c>
      <c r="B7850" t="s">
        <v>2984</v>
      </c>
    </row>
    <row r="7851" spans="1:8" x14ac:dyDescent="0.25">
      <c r="A7851" t="str">
        <f>"&lt;restock&gt;" &amp;$F$7848&amp;"&lt;/restock&gt;"</f>
        <v>&lt;restock&gt;0&lt;/restock&gt;</v>
      </c>
      <c r="B7851" t="s">
        <v>2984</v>
      </c>
    </row>
    <row r="7852" spans="1:8" x14ac:dyDescent="0.25">
      <c r="A7852" t="str">
        <f>"&lt;min&gt;" &amp;$G$7848&amp;"&lt;/min&gt;"</f>
        <v>&lt;min&gt;0&lt;/min&gt;</v>
      </c>
      <c r="B7852" t="s">
        <v>2984</v>
      </c>
    </row>
    <row r="7853" spans="1:8" x14ac:dyDescent="0.25">
      <c r="A7853" t="s">
        <v>16</v>
      </c>
      <c r="B7853" t="s">
        <v>2984</v>
      </c>
    </row>
    <row r="7854" spans="1:8" x14ac:dyDescent="0.25">
      <c r="A7854" t="s">
        <v>17</v>
      </c>
      <c r="B7854" t="s">
        <v>2984</v>
      </c>
    </row>
    <row r="7855" spans="1:8" x14ac:dyDescent="0.25">
      <c r="A7855" t="s">
        <v>18</v>
      </c>
      <c r="B7855" t="s">
        <v>2984</v>
      </c>
    </row>
    <row r="7856" spans="1:8" x14ac:dyDescent="0.25">
      <c r="A7856" t="str">
        <f xml:space="preserve"> $H$7848</f>
        <v>&lt;flags count_in_cargo="0" count_in_hoarder="0" count_in_map="1" count_in_player="0" crafted="1" deloot="0"/&gt;</v>
      </c>
      <c r="B7856" t="s">
        <v>2984</v>
      </c>
    </row>
    <row r="7857" spans="1:8" x14ac:dyDescent="0.25">
      <c r="A7857" t="str">
        <f>"&lt;category name=" &amp;"""" &amp;$C$7848&amp;"""/&gt;"</f>
        <v>&lt;category name="tools"/&gt;</v>
      </c>
      <c r="B7857" t="s">
        <v>2984</v>
      </c>
    </row>
    <row r="7858" spans="1:8" x14ac:dyDescent="0.25">
      <c r="A7858" t="s">
        <v>22</v>
      </c>
      <c r="B7858" t="s">
        <v>2984</v>
      </c>
    </row>
    <row r="7859" spans="1:8" x14ac:dyDescent="0.25">
      <c r="A7859" t="s">
        <v>2008</v>
      </c>
      <c r="B7859" t="s">
        <v>2985</v>
      </c>
      <c r="C7859" t="s">
        <v>426</v>
      </c>
      <c r="D7859">
        <v>0</v>
      </c>
      <c r="E7859">
        <v>7200</v>
      </c>
      <c r="F7859">
        <v>0</v>
      </c>
      <c r="G7859">
        <v>0</v>
      </c>
      <c r="H7859" t="s">
        <v>62</v>
      </c>
    </row>
    <row r="7860" spans="1:8" x14ac:dyDescent="0.25">
      <c r="A7860" t="str">
        <f>"&lt;nominal&gt;" &amp;$D$7859&amp;"&lt;/nominal&gt;"</f>
        <v>&lt;nominal&gt;0&lt;/nominal&gt;</v>
      </c>
      <c r="B7860" t="s">
        <v>2985</v>
      </c>
    </row>
    <row r="7861" spans="1:8" x14ac:dyDescent="0.25">
      <c r="A7861" t="str">
        <f>"&lt;lifetime&gt;" &amp;$E$7859&amp;"&lt;/lifetime&gt;"</f>
        <v>&lt;lifetime&gt;7200&lt;/lifetime&gt;</v>
      </c>
      <c r="B7861" t="s">
        <v>2985</v>
      </c>
    </row>
    <row r="7862" spans="1:8" x14ac:dyDescent="0.25">
      <c r="A7862" t="str">
        <f>"&lt;restock&gt;" &amp;$F$7859&amp;"&lt;/restock&gt;"</f>
        <v>&lt;restock&gt;0&lt;/restock&gt;</v>
      </c>
      <c r="B7862" t="s">
        <v>2985</v>
      </c>
    </row>
    <row r="7863" spans="1:8" x14ac:dyDescent="0.25">
      <c r="A7863" t="str">
        <f>"&lt;min&gt;" &amp;$G$7859&amp;"&lt;/min&gt;"</f>
        <v>&lt;min&gt;0&lt;/min&gt;</v>
      </c>
      <c r="B7863" t="s">
        <v>2985</v>
      </c>
    </row>
    <row r="7864" spans="1:8" x14ac:dyDescent="0.25">
      <c r="A7864" t="s">
        <v>16</v>
      </c>
      <c r="B7864" t="s">
        <v>2985</v>
      </c>
    </row>
    <row r="7865" spans="1:8" x14ac:dyDescent="0.25">
      <c r="A7865" t="s">
        <v>17</v>
      </c>
      <c r="B7865" t="s">
        <v>2985</v>
      </c>
    </row>
    <row r="7866" spans="1:8" x14ac:dyDescent="0.25">
      <c r="A7866" t="s">
        <v>18</v>
      </c>
      <c r="B7866" t="s">
        <v>2985</v>
      </c>
    </row>
    <row r="7867" spans="1:8" x14ac:dyDescent="0.25">
      <c r="A7867" t="str">
        <f xml:space="preserve"> $H$7859</f>
        <v>&lt;flags count_in_cargo="0" count_in_hoarder="0" count_in_map="1" count_in_player="0" crafted="1" deloot="0"/&gt;</v>
      </c>
      <c r="B7867" t="s">
        <v>2985</v>
      </c>
    </row>
    <row r="7868" spans="1:8" x14ac:dyDescent="0.25">
      <c r="A7868" t="str">
        <f>"&lt;category name=" &amp;"""" &amp;$C$7859&amp;"""/&gt;"</f>
        <v>&lt;category name="tools"/&gt;</v>
      </c>
      <c r="B7868" t="s">
        <v>2985</v>
      </c>
    </row>
    <row r="7869" spans="1:8" x14ac:dyDescent="0.25">
      <c r="A7869" t="s">
        <v>22</v>
      </c>
      <c r="B7869" t="s">
        <v>2985</v>
      </c>
    </row>
    <row r="7870" spans="1:8" x14ac:dyDescent="0.25">
      <c r="A7870" t="s">
        <v>2009</v>
      </c>
      <c r="B7870" t="s">
        <v>789</v>
      </c>
      <c r="C7870" t="s">
        <v>426</v>
      </c>
      <c r="D7870">
        <v>80</v>
      </c>
      <c r="E7870">
        <v>7200</v>
      </c>
      <c r="F7870">
        <v>0</v>
      </c>
      <c r="G7870">
        <v>60</v>
      </c>
      <c r="H7870" t="s">
        <v>19</v>
      </c>
    </row>
    <row r="7871" spans="1:8" x14ac:dyDescent="0.25">
      <c r="A7871" t="str">
        <f>"&lt;nominal&gt;" &amp;$D$7870&amp;"&lt;/nominal&gt;"</f>
        <v>&lt;nominal&gt;80&lt;/nominal&gt;</v>
      </c>
      <c r="B7871" t="s">
        <v>789</v>
      </c>
    </row>
    <row r="7872" spans="1:8" x14ac:dyDescent="0.25">
      <c r="A7872" t="str">
        <f>"&lt;lifetime&gt;" &amp;$E$7870&amp;"&lt;/lifetime&gt;"</f>
        <v>&lt;lifetime&gt;7200&lt;/lifetime&gt;</v>
      </c>
      <c r="B7872" t="s">
        <v>789</v>
      </c>
    </row>
    <row r="7873" spans="1:8" x14ac:dyDescent="0.25">
      <c r="A7873" t="str">
        <f>"&lt;restock&gt;" &amp;$F$7870&amp;"&lt;/restock&gt;"</f>
        <v>&lt;restock&gt;0&lt;/restock&gt;</v>
      </c>
      <c r="B7873" t="s">
        <v>789</v>
      </c>
    </row>
    <row r="7874" spans="1:8" x14ac:dyDescent="0.25">
      <c r="A7874" t="str">
        <f>"&lt;min&gt;" &amp;$G$7870&amp;"&lt;/min&gt;"</f>
        <v>&lt;min&gt;60&lt;/min&gt;</v>
      </c>
      <c r="B7874" t="s">
        <v>789</v>
      </c>
    </row>
    <row r="7875" spans="1:8" x14ac:dyDescent="0.25">
      <c r="A7875" t="s">
        <v>16</v>
      </c>
      <c r="B7875" t="s">
        <v>789</v>
      </c>
    </row>
    <row r="7876" spans="1:8" x14ac:dyDescent="0.25">
      <c r="A7876" t="s">
        <v>17</v>
      </c>
      <c r="B7876" t="s">
        <v>789</v>
      </c>
    </row>
    <row r="7877" spans="1:8" x14ac:dyDescent="0.25">
      <c r="A7877" t="s">
        <v>18</v>
      </c>
      <c r="B7877" t="s">
        <v>789</v>
      </c>
    </row>
    <row r="7878" spans="1:8" x14ac:dyDescent="0.25">
      <c r="A7878" t="str">
        <f xml:space="preserve"> $H$7870</f>
        <v>&lt;flags count_in_cargo="0" count_in_hoarder="0" count_in_map="1" count_in_player="0" crafted="0" deloot="0"/&gt;</v>
      </c>
      <c r="B7878" t="s">
        <v>789</v>
      </c>
    </row>
    <row r="7879" spans="1:8" x14ac:dyDescent="0.25">
      <c r="A7879" t="str">
        <f>"&lt;category name=" &amp;"""" &amp;$C$7870&amp;"""/&gt;"</f>
        <v>&lt;category name="tools"/&gt;</v>
      </c>
      <c r="B7879" t="s">
        <v>789</v>
      </c>
    </row>
    <row r="7880" spans="1:8" x14ac:dyDescent="0.25">
      <c r="A7880" t="s">
        <v>20</v>
      </c>
      <c r="B7880" t="s">
        <v>789</v>
      </c>
    </row>
    <row r="7881" spans="1:8" x14ac:dyDescent="0.25">
      <c r="A7881" t="s">
        <v>55</v>
      </c>
      <c r="B7881" t="s">
        <v>789</v>
      </c>
    </row>
    <row r="7882" spans="1:8" x14ac:dyDescent="0.25">
      <c r="A7882" t="s">
        <v>40</v>
      </c>
      <c r="B7882" t="s">
        <v>789</v>
      </c>
    </row>
    <row r="7883" spans="1:8" x14ac:dyDescent="0.25">
      <c r="A7883" t="s">
        <v>22</v>
      </c>
      <c r="B7883" t="s">
        <v>789</v>
      </c>
    </row>
    <row r="7884" spans="1:8" x14ac:dyDescent="0.25">
      <c r="A7884" t="s">
        <v>2010</v>
      </c>
      <c r="B7884" t="s">
        <v>2986</v>
      </c>
      <c r="C7884" t="s">
        <v>426</v>
      </c>
      <c r="D7884">
        <v>0</v>
      </c>
      <c r="E7884">
        <v>7200</v>
      </c>
      <c r="F7884">
        <v>0</v>
      </c>
      <c r="G7884">
        <v>0</v>
      </c>
      <c r="H7884" t="s">
        <v>62</v>
      </c>
    </row>
    <row r="7885" spans="1:8" x14ac:dyDescent="0.25">
      <c r="A7885" t="str">
        <f>"&lt;nominal&gt;" &amp;$D$7884&amp;"&lt;/nominal&gt;"</f>
        <v>&lt;nominal&gt;0&lt;/nominal&gt;</v>
      </c>
      <c r="B7885" t="s">
        <v>2986</v>
      </c>
    </row>
    <row r="7886" spans="1:8" x14ac:dyDescent="0.25">
      <c r="A7886" t="str">
        <f>"&lt;lifetime&gt;" &amp;$E$7884&amp;"&lt;/lifetime&gt;"</f>
        <v>&lt;lifetime&gt;7200&lt;/lifetime&gt;</v>
      </c>
      <c r="B7886" t="s">
        <v>2986</v>
      </c>
    </row>
    <row r="7887" spans="1:8" x14ac:dyDescent="0.25">
      <c r="A7887" t="str">
        <f>"&lt;restock&gt;" &amp;$F$7884&amp;"&lt;/restock&gt;"</f>
        <v>&lt;restock&gt;0&lt;/restock&gt;</v>
      </c>
      <c r="B7887" t="s">
        <v>2986</v>
      </c>
    </row>
    <row r="7888" spans="1:8" x14ac:dyDescent="0.25">
      <c r="A7888" t="str">
        <f>"&lt;min&gt;" &amp;$G$7884&amp;"&lt;/min&gt;"</f>
        <v>&lt;min&gt;0&lt;/min&gt;</v>
      </c>
      <c r="B7888" t="s">
        <v>2986</v>
      </c>
    </row>
    <row r="7889" spans="1:8" x14ac:dyDescent="0.25">
      <c r="A7889" t="s">
        <v>16</v>
      </c>
      <c r="B7889" t="s">
        <v>2986</v>
      </c>
    </row>
    <row r="7890" spans="1:8" x14ac:dyDescent="0.25">
      <c r="A7890" t="s">
        <v>17</v>
      </c>
      <c r="B7890" t="s">
        <v>2986</v>
      </c>
    </row>
    <row r="7891" spans="1:8" x14ac:dyDescent="0.25">
      <c r="A7891" t="s">
        <v>18</v>
      </c>
      <c r="B7891" t="s">
        <v>2986</v>
      </c>
    </row>
    <row r="7892" spans="1:8" x14ac:dyDescent="0.25">
      <c r="A7892" t="str">
        <f xml:space="preserve"> $H$7884</f>
        <v>&lt;flags count_in_cargo="0" count_in_hoarder="0" count_in_map="1" count_in_player="0" crafted="1" deloot="0"/&gt;</v>
      </c>
      <c r="B7892" t="s">
        <v>2986</v>
      </c>
    </row>
    <row r="7893" spans="1:8" x14ac:dyDescent="0.25">
      <c r="A7893" t="str">
        <f>"&lt;category name=" &amp;"""" &amp;$C$7884&amp;"""/&gt;"</f>
        <v>&lt;category name="tools"/&gt;</v>
      </c>
      <c r="B7893" t="s">
        <v>2986</v>
      </c>
    </row>
    <row r="7894" spans="1:8" x14ac:dyDescent="0.25">
      <c r="A7894" t="s">
        <v>22</v>
      </c>
      <c r="B7894" t="s">
        <v>2986</v>
      </c>
    </row>
    <row r="7895" spans="1:8" x14ac:dyDescent="0.25">
      <c r="A7895" t="s">
        <v>2011</v>
      </c>
      <c r="B7895" t="s">
        <v>2987</v>
      </c>
      <c r="C7895" t="s">
        <v>426</v>
      </c>
      <c r="D7895">
        <v>0</v>
      </c>
      <c r="E7895">
        <v>7200</v>
      </c>
      <c r="F7895">
        <v>0</v>
      </c>
      <c r="G7895">
        <v>0</v>
      </c>
      <c r="H7895" t="s">
        <v>62</v>
      </c>
    </row>
    <row r="7896" spans="1:8" x14ac:dyDescent="0.25">
      <c r="A7896" t="str">
        <f>"&lt;nominal&gt;" &amp;$D$7895&amp;"&lt;/nominal&gt;"</f>
        <v>&lt;nominal&gt;0&lt;/nominal&gt;</v>
      </c>
      <c r="B7896" t="s">
        <v>2987</v>
      </c>
    </row>
    <row r="7897" spans="1:8" x14ac:dyDescent="0.25">
      <c r="A7897" t="str">
        <f>"&lt;lifetime&gt;" &amp;$E$7895&amp;"&lt;/lifetime&gt;"</f>
        <v>&lt;lifetime&gt;7200&lt;/lifetime&gt;</v>
      </c>
      <c r="B7897" t="s">
        <v>2987</v>
      </c>
    </row>
    <row r="7898" spans="1:8" x14ac:dyDescent="0.25">
      <c r="A7898" t="str">
        <f>"&lt;restock&gt;" &amp;$F$7895&amp;"&lt;/restock&gt;"</f>
        <v>&lt;restock&gt;0&lt;/restock&gt;</v>
      </c>
      <c r="B7898" t="s">
        <v>2987</v>
      </c>
    </row>
    <row r="7899" spans="1:8" x14ac:dyDescent="0.25">
      <c r="A7899" t="str">
        <f>"&lt;min&gt;" &amp;$G$7895&amp;"&lt;/min&gt;"</f>
        <v>&lt;min&gt;0&lt;/min&gt;</v>
      </c>
      <c r="B7899" t="s">
        <v>2987</v>
      </c>
    </row>
    <row r="7900" spans="1:8" x14ac:dyDescent="0.25">
      <c r="A7900" t="s">
        <v>16</v>
      </c>
      <c r="B7900" t="s">
        <v>2987</v>
      </c>
    </row>
    <row r="7901" spans="1:8" x14ac:dyDescent="0.25">
      <c r="A7901" t="s">
        <v>17</v>
      </c>
      <c r="B7901" t="s">
        <v>2987</v>
      </c>
    </row>
    <row r="7902" spans="1:8" x14ac:dyDescent="0.25">
      <c r="A7902" t="s">
        <v>18</v>
      </c>
      <c r="B7902" t="s">
        <v>2987</v>
      </c>
    </row>
    <row r="7903" spans="1:8" x14ac:dyDescent="0.25">
      <c r="A7903" t="str">
        <f xml:space="preserve"> $H$7895</f>
        <v>&lt;flags count_in_cargo="0" count_in_hoarder="0" count_in_map="1" count_in_player="0" crafted="1" deloot="0"/&gt;</v>
      </c>
      <c r="B7903" t="s">
        <v>2987</v>
      </c>
    </row>
    <row r="7904" spans="1:8" x14ac:dyDescent="0.25">
      <c r="A7904" t="str">
        <f>"&lt;category name=" &amp;"""" &amp;$C$7895&amp;"""/&gt;"</f>
        <v>&lt;category name="tools"/&gt;</v>
      </c>
      <c r="B7904" t="s">
        <v>2987</v>
      </c>
    </row>
    <row r="7905" spans="1:8" x14ac:dyDescent="0.25">
      <c r="A7905" t="s">
        <v>22</v>
      </c>
      <c r="B7905" t="s">
        <v>2987</v>
      </c>
    </row>
    <row r="7906" spans="1:8" x14ac:dyDescent="0.25">
      <c r="A7906" t="s">
        <v>2012</v>
      </c>
      <c r="B7906" t="s">
        <v>2988</v>
      </c>
      <c r="C7906" t="s">
        <v>426</v>
      </c>
      <c r="D7906">
        <v>0</v>
      </c>
      <c r="E7906">
        <v>7200</v>
      </c>
      <c r="F7906">
        <v>0</v>
      </c>
      <c r="G7906">
        <v>0</v>
      </c>
      <c r="H7906" t="s">
        <v>62</v>
      </c>
    </row>
    <row r="7907" spans="1:8" x14ac:dyDescent="0.25">
      <c r="A7907" t="str">
        <f>"&lt;nominal&gt;" &amp;$D$7906&amp;"&lt;/nominal&gt;"</f>
        <v>&lt;nominal&gt;0&lt;/nominal&gt;</v>
      </c>
      <c r="B7907" t="s">
        <v>2988</v>
      </c>
    </row>
    <row r="7908" spans="1:8" x14ac:dyDescent="0.25">
      <c r="A7908" t="str">
        <f>"&lt;lifetime&gt;" &amp;$E$7906&amp;"&lt;/lifetime&gt;"</f>
        <v>&lt;lifetime&gt;7200&lt;/lifetime&gt;</v>
      </c>
      <c r="B7908" t="s">
        <v>2988</v>
      </c>
    </row>
    <row r="7909" spans="1:8" x14ac:dyDescent="0.25">
      <c r="A7909" t="str">
        <f>"&lt;restock&gt;" &amp;$F$7906&amp;"&lt;/restock&gt;"</f>
        <v>&lt;restock&gt;0&lt;/restock&gt;</v>
      </c>
      <c r="B7909" t="s">
        <v>2988</v>
      </c>
    </row>
    <row r="7910" spans="1:8" x14ac:dyDescent="0.25">
      <c r="A7910" t="str">
        <f>"&lt;min&gt;" &amp;$G$7906&amp;"&lt;/min&gt;"</f>
        <v>&lt;min&gt;0&lt;/min&gt;</v>
      </c>
      <c r="B7910" t="s">
        <v>2988</v>
      </c>
    </row>
    <row r="7911" spans="1:8" x14ac:dyDescent="0.25">
      <c r="A7911" t="s">
        <v>16</v>
      </c>
      <c r="B7911" t="s">
        <v>2988</v>
      </c>
    </row>
    <row r="7912" spans="1:8" x14ac:dyDescent="0.25">
      <c r="A7912" t="s">
        <v>17</v>
      </c>
      <c r="B7912" t="s">
        <v>2988</v>
      </c>
    </row>
    <row r="7913" spans="1:8" x14ac:dyDescent="0.25">
      <c r="A7913" t="s">
        <v>18</v>
      </c>
      <c r="B7913" t="s">
        <v>2988</v>
      </c>
    </row>
    <row r="7914" spans="1:8" x14ac:dyDescent="0.25">
      <c r="A7914" t="str">
        <f xml:space="preserve"> $H$7906</f>
        <v>&lt;flags count_in_cargo="0" count_in_hoarder="0" count_in_map="1" count_in_player="0" crafted="1" deloot="0"/&gt;</v>
      </c>
      <c r="B7914" t="s">
        <v>2988</v>
      </c>
    </row>
    <row r="7915" spans="1:8" x14ac:dyDescent="0.25">
      <c r="A7915" t="str">
        <f>"&lt;category name=" &amp;"""" &amp;$C$7906&amp;"""/&gt;"</f>
        <v>&lt;category name="tools"/&gt;</v>
      </c>
      <c r="B7915" t="s">
        <v>2988</v>
      </c>
    </row>
    <row r="7916" spans="1:8" x14ac:dyDescent="0.25">
      <c r="A7916" t="s">
        <v>22</v>
      </c>
      <c r="B7916" t="s">
        <v>2988</v>
      </c>
    </row>
    <row r="7917" spans="1:8" x14ac:dyDescent="0.25">
      <c r="A7917" t="s">
        <v>2013</v>
      </c>
      <c r="B7917" t="s">
        <v>2989</v>
      </c>
      <c r="C7917" t="s">
        <v>426</v>
      </c>
      <c r="D7917">
        <v>0</v>
      </c>
      <c r="E7917">
        <v>7200</v>
      </c>
      <c r="F7917">
        <v>0</v>
      </c>
      <c r="G7917">
        <v>0</v>
      </c>
      <c r="H7917" t="s">
        <v>62</v>
      </c>
    </row>
    <row r="7918" spans="1:8" x14ac:dyDescent="0.25">
      <c r="A7918" t="str">
        <f>"&lt;nominal&gt;" &amp;$D$7917&amp;"&lt;/nominal&gt;"</f>
        <v>&lt;nominal&gt;0&lt;/nominal&gt;</v>
      </c>
      <c r="B7918" t="s">
        <v>2989</v>
      </c>
    </row>
    <row r="7919" spans="1:8" x14ac:dyDescent="0.25">
      <c r="A7919" t="str">
        <f>"&lt;lifetime&gt;" &amp;$E$7917&amp;"&lt;/lifetime&gt;"</f>
        <v>&lt;lifetime&gt;7200&lt;/lifetime&gt;</v>
      </c>
      <c r="B7919" t="s">
        <v>2989</v>
      </c>
    </row>
    <row r="7920" spans="1:8" x14ac:dyDescent="0.25">
      <c r="A7920" t="str">
        <f>"&lt;restock&gt;" &amp;$F$7917&amp;"&lt;/restock&gt;"</f>
        <v>&lt;restock&gt;0&lt;/restock&gt;</v>
      </c>
      <c r="B7920" t="s">
        <v>2989</v>
      </c>
    </row>
    <row r="7921" spans="1:8" x14ac:dyDescent="0.25">
      <c r="A7921" t="str">
        <f>"&lt;min&gt;" &amp;$G$7917&amp;"&lt;/min&gt;"</f>
        <v>&lt;min&gt;0&lt;/min&gt;</v>
      </c>
      <c r="B7921" t="s">
        <v>2989</v>
      </c>
    </row>
    <row r="7922" spans="1:8" x14ac:dyDescent="0.25">
      <c r="A7922" t="s">
        <v>16</v>
      </c>
      <c r="B7922" t="s">
        <v>2989</v>
      </c>
    </row>
    <row r="7923" spans="1:8" x14ac:dyDescent="0.25">
      <c r="A7923" t="s">
        <v>17</v>
      </c>
      <c r="B7923" t="s">
        <v>2989</v>
      </c>
    </row>
    <row r="7924" spans="1:8" x14ac:dyDescent="0.25">
      <c r="A7924" t="s">
        <v>18</v>
      </c>
      <c r="B7924" t="s">
        <v>2989</v>
      </c>
    </row>
    <row r="7925" spans="1:8" x14ac:dyDescent="0.25">
      <c r="A7925" t="str">
        <f xml:space="preserve"> $H$7917</f>
        <v>&lt;flags count_in_cargo="0" count_in_hoarder="0" count_in_map="1" count_in_player="0" crafted="1" deloot="0"/&gt;</v>
      </c>
      <c r="B7925" t="s">
        <v>2989</v>
      </c>
    </row>
    <row r="7926" spans="1:8" x14ac:dyDescent="0.25">
      <c r="A7926" t="str">
        <f>"&lt;category name=" &amp;"""" &amp;$C$7917&amp;"""/&gt;"</f>
        <v>&lt;category name="tools"/&gt;</v>
      </c>
      <c r="B7926" t="s">
        <v>2989</v>
      </c>
    </row>
    <row r="7927" spans="1:8" x14ac:dyDescent="0.25">
      <c r="A7927" t="s">
        <v>22</v>
      </c>
      <c r="B7927" t="s">
        <v>2989</v>
      </c>
    </row>
    <row r="7928" spans="1:8" x14ac:dyDescent="0.25">
      <c r="A7928" t="s">
        <v>2014</v>
      </c>
      <c r="B7928" t="s">
        <v>2990</v>
      </c>
      <c r="C7928" t="s">
        <v>426</v>
      </c>
      <c r="D7928">
        <v>0</v>
      </c>
      <c r="E7928">
        <v>7200</v>
      </c>
      <c r="F7928">
        <v>0</v>
      </c>
      <c r="G7928">
        <v>0</v>
      </c>
      <c r="H7928" t="s">
        <v>62</v>
      </c>
    </row>
    <row r="7929" spans="1:8" x14ac:dyDescent="0.25">
      <c r="A7929" t="str">
        <f>"&lt;nominal&gt;" &amp;$D$7928&amp;"&lt;/nominal&gt;"</f>
        <v>&lt;nominal&gt;0&lt;/nominal&gt;</v>
      </c>
      <c r="B7929" t="s">
        <v>2990</v>
      </c>
    </row>
    <row r="7930" spans="1:8" x14ac:dyDescent="0.25">
      <c r="A7930" t="str">
        <f>"&lt;lifetime&gt;" &amp;$E$7928&amp;"&lt;/lifetime&gt;"</f>
        <v>&lt;lifetime&gt;7200&lt;/lifetime&gt;</v>
      </c>
      <c r="B7930" t="s">
        <v>2990</v>
      </c>
    </row>
    <row r="7931" spans="1:8" x14ac:dyDescent="0.25">
      <c r="A7931" t="str">
        <f>"&lt;restock&gt;" &amp;$F$7928&amp;"&lt;/restock&gt;"</f>
        <v>&lt;restock&gt;0&lt;/restock&gt;</v>
      </c>
      <c r="B7931" t="s">
        <v>2990</v>
      </c>
    </row>
    <row r="7932" spans="1:8" x14ac:dyDescent="0.25">
      <c r="A7932" t="str">
        <f>"&lt;min&gt;" &amp;$G$7928&amp;"&lt;/min&gt;"</f>
        <v>&lt;min&gt;0&lt;/min&gt;</v>
      </c>
      <c r="B7932" t="s">
        <v>2990</v>
      </c>
    </row>
    <row r="7933" spans="1:8" x14ac:dyDescent="0.25">
      <c r="A7933" t="s">
        <v>16</v>
      </c>
      <c r="B7933" t="s">
        <v>2990</v>
      </c>
    </row>
    <row r="7934" spans="1:8" x14ac:dyDescent="0.25">
      <c r="A7934" t="s">
        <v>17</v>
      </c>
      <c r="B7934" t="s">
        <v>2990</v>
      </c>
    </row>
    <row r="7935" spans="1:8" x14ac:dyDescent="0.25">
      <c r="A7935" t="s">
        <v>18</v>
      </c>
      <c r="B7935" t="s">
        <v>2990</v>
      </c>
    </row>
    <row r="7936" spans="1:8" x14ac:dyDescent="0.25">
      <c r="A7936" t="str">
        <f xml:space="preserve"> $H$7928</f>
        <v>&lt;flags count_in_cargo="0" count_in_hoarder="0" count_in_map="1" count_in_player="0" crafted="1" deloot="0"/&gt;</v>
      </c>
      <c r="B7936" t="s">
        <v>2990</v>
      </c>
    </row>
    <row r="7937" spans="1:8" x14ac:dyDescent="0.25">
      <c r="A7937" t="str">
        <f>"&lt;category name=" &amp;"""" &amp;$C$7928&amp;"""/&gt;"</f>
        <v>&lt;category name="tools"/&gt;</v>
      </c>
      <c r="B7937" t="s">
        <v>2990</v>
      </c>
    </row>
    <row r="7938" spans="1:8" x14ac:dyDescent="0.25">
      <c r="A7938" t="s">
        <v>22</v>
      </c>
      <c r="B7938" t="s">
        <v>2990</v>
      </c>
    </row>
    <row r="7939" spans="1:8" x14ac:dyDescent="0.25">
      <c r="A7939" t="s">
        <v>2015</v>
      </c>
      <c r="B7939" t="s">
        <v>2991</v>
      </c>
      <c r="C7939" t="s">
        <v>426</v>
      </c>
      <c r="D7939">
        <v>0</v>
      </c>
      <c r="E7939">
        <v>7200</v>
      </c>
      <c r="F7939">
        <v>0</v>
      </c>
      <c r="G7939">
        <v>0</v>
      </c>
      <c r="H7939" t="s">
        <v>62</v>
      </c>
    </row>
    <row r="7940" spans="1:8" x14ac:dyDescent="0.25">
      <c r="A7940" t="str">
        <f>"&lt;nominal&gt;" &amp;$D$7939&amp;"&lt;/nominal&gt;"</f>
        <v>&lt;nominal&gt;0&lt;/nominal&gt;</v>
      </c>
      <c r="B7940" t="s">
        <v>2991</v>
      </c>
    </row>
    <row r="7941" spans="1:8" x14ac:dyDescent="0.25">
      <c r="A7941" t="str">
        <f>"&lt;lifetime&gt;" &amp;$E$7939&amp;"&lt;/lifetime&gt;"</f>
        <v>&lt;lifetime&gt;7200&lt;/lifetime&gt;</v>
      </c>
      <c r="B7941" t="s">
        <v>2991</v>
      </c>
    </row>
    <row r="7942" spans="1:8" x14ac:dyDescent="0.25">
      <c r="A7942" t="str">
        <f>"&lt;restock&gt;" &amp;$F$7939&amp;"&lt;/restock&gt;"</f>
        <v>&lt;restock&gt;0&lt;/restock&gt;</v>
      </c>
      <c r="B7942" t="s">
        <v>2991</v>
      </c>
    </row>
    <row r="7943" spans="1:8" x14ac:dyDescent="0.25">
      <c r="A7943" t="str">
        <f>"&lt;min&gt;" &amp;$G$7939&amp;"&lt;/min&gt;"</f>
        <v>&lt;min&gt;0&lt;/min&gt;</v>
      </c>
      <c r="B7943" t="s">
        <v>2991</v>
      </c>
    </row>
    <row r="7944" spans="1:8" x14ac:dyDescent="0.25">
      <c r="A7944" t="s">
        <v>16</v>
      </c>
      <c r="B7944" t="s">
        <v>2991</v>
      </c>
    </row>
    <row r="7945" spans="1:8" x14ac:dyDescent="0.25">
      <c r="A7945" t="s">
        <v>17</v>
      </c>
      <c r="B7945" t="s">
        <v>2991</v>
      </c>
    </row>
    <row r="7946" spans="1:8" x14ac:dyDescent="0.25">
      <c r="A7946" t="s">
        <v>18</v>
      </c>
      <c r="B7946" t="s">
        <v>2991</v>
      </c>
    </row>
    <row r="7947" spans="1:8" x14ac:dyDescent="0.25">
      <c r="A7947" t="str">
        <f xml:space="preserve"> $H$7939</f>
        <v>&lt;flags count_in_cargo="0" count_in_hoarder="0" count_in_map="1" count_in_player="0" crafted="1" deloot="0"/&gt;</v>
      </c>
      <c r="B7947" t="s">
        <v>2991</v>
      </c>
    </row>
    <row r="7948" spans="1:8" x14ac:dyDescent="0.25">
      <c r="A7948" t="str">
        <f>"&lt;category name=" &amp;"""" &amp;$C$7939&amp;"""/&gt;"</f>
        <v>&lt;category name="tools"/&gt;</v>
      </c>
      <c r="B7948" t="s">
        <v>2991</v>
      </c>
    </row>
    <row r="7949" spans="1:8" x14ac:dyDescent="0.25">
      <c r="A7949" t="s">
        <v>22</v>
      </c>
      <c r="B7949" t="s">
        <v>2991</v>
      </c>
    </row>
    <row r="7950" spans="1:8" x14ac:dyDescent="0.25">
      <c r="A7950" t="s">
        <v>2016</v>
      </c>
      <c r="B7950" t="s">
        <v>2992</v>
      </c>
      <c r="C7950" t="s">
        <v>426</v>
      </c>
      <c r="D7950">
        <v>0</v>
      </c>
      <c r="E7950">
        <v>7200</v>
      </c>
      <c r="F7950">
        <v>0</v>
      </c>
      <c r="G7950">
        <v>0</v>
      </c>
      <c r="H7950" t="s">
        <v>62</v>
      </c>
    </row>
    <row r="7951" spans="1:8" x14ac:dyDescent="0.25">
      <c r="A7951" t="str">
        <f>"&lt;nominal&gt;" &amp;$D$7950&amp;"&lt;/nominal&gt;"</f>
        <v>&lt;nominal&gt;0&lt;/nominal&gt;</v>
      </c>
      <c r="B7951" t="s">
        <v>2992</v>
      </c>
    </row>
    <row r="7952" spans="1:8" x14ac:dyDescent="0.25">
      <c r="A7952" t="str">
        <f>"&lt;lifetime&gt;" &amp;$E$7950&amp;"&lt;/lifetime&gt;"</f>
        <v>&lt;lifetime&gt;7200&lt;/lifetime&gt;</v>
      </c>
      <c r="B7952" t="s">
        <v>2992</v>
      </c>
    </row>
    <row r="7953" spans="1:8" x14ac:dyDescent="0.25">
      <c r="A7953" t="str">
        <f>"&lt;restock&gt;" &amp;$F$7950&amp;"&lt;/restock&gt;"</f>
        <v>&lt;restock&gt;0&lt;/restock&gt;</v>
      </c>
      <c r="B7953" t="s">
        <v>2992</v>
      </c>
    </row>
    <row r="7954" spans="1:8" x14ac:dyDescent="0.25">
      <c r="A7954" t="str">
        <f>"&lt;min&gt;" &amp;$G$7950&amp;"&lt;/min&gt;"</f>
        <v>&lt;min&gt;0&lt;/min&gt;</v>
      </c>
      <c r="B7954" t="s">
        <v>2992</v>
      </c>
    </row>
    <row r="7955" spans="1:8" x14ac:dyDescent="0.25">
      <c r="A7955" t="s">
        <v>16</v>
      </c>
      <c r="B7955" t="s">
        <v>2992</v>
      </c>
    </row>
    <row r="7956" spans="1:8" x14ac:dyDescent="0.25">
      <c r="A7956" t="s">
        <v>17</v>
      </c>
      <c r="B7956" t="s">
        <v>2992</v>
      </c>
    </row>
    <row r="7957" spans="1:8" x14ac:dyDescent="0.25">
      <c r="A7957" t="s">
        <v>18</v>
      </c>
      <c r="B7957" t="s">
        <v>2992</v>
      </c>
    </row>
    <row r="7958" spans="1:8" x14ac:dyDescent="0.25">
      <c r="A7958" t="str">
        <f xml:space="preserve"> $H$7950</f>
        <v>&lt;flags count_in_cargo="0" count_in_hoarder="0" count_in_map="1" count_in_player="0" crafted="1" deloot="0"/&gt;</v>
      </c>
      <c r="B7958" t="s">
        <v>2992</v>
      </c>
    </row>
    <row r="7959" spans="1:8" x14ac:dyDescent="0.25">
      <c r="A7959" t="str">
        <f>"&lt;category name=" &amp;"""" &amp;$C$7950&amp;"""/&gt;"</f>
        <v>&lt;category name="tools"/&gt;</v>
      </c>
      <c r="B7959" t="s">
        <v>2992</v>
      </c>
    </row>
    <row r="7960" spans="1:8" x14ac:dyDescent="0.25">
      <c r="A7960" t="s">
        <v>22</v>
      </c>
      <c r="B7960" t="s">
        <v>2992</v>
      </c>
    </row>
    <row r="7961" spans="1:8" x14ac:dyDescent="0.25">
      <c r="A7961" t="s">
        <v>2017</v>
      </c>
      <c r="B7961" t="s">
        <v>2993</v>
      </c>
      <c r="C7961" t="s">
        <v>426</v>
      </c>
      <c r="D7961">
        <v>0</v>
      </c>
      <c r="E7961">
        <v>7200</v>
      </c>
      <c r="F7961">
        <v>0</v>
      </c>
      <c r="G7961">
        <v>0</v>
      </c>
      <c r="H7961" t="s">
        <v>62</v>
      </c>
    </row>
    <row r="7962" spans="1:8" x14ac:dyDescent="0.25">
      <c r="A7962" t="str">
        <f>"&lt;nominal&gt;" &amp;$D$7961&amp;"&lt;/nominal&gt;"</f>
        <v>&lt;nominal&gt;0&lt;/nominal&gt;</v>
      </c>
      <c r="B7962" t="s">
        <v>2993</v>
      </c>
    </row>
    <row r="7963" spans="1:8" x14ac:dyDescent="0.25">
      <c r="A7963" t="str">
        <f>"&lt;lifetime&gt;" &amp;$E$7961&amp;"&lt;/lifetime&gt;"</f>
        <v>&lt;lifetime&gt;7200&lt;/lifetime&gt;</v>
      </c>
      <c r="B7963" t="s">
        <v>2993</v>
      </c>
    </row>
    <row r="7964" spans="1:8" x14ac:dyDescent="0.25">
      <c r="A7964" t="str">
        <f>"&lt;restock&gt;" &amp;$F$7961&amp;"&lt;/restock&gt;"</f>
        <v>&lt;restock&gt;0&lt;/restock&gt;</v>
      </c>
      <c r="B7964" t="s">
        <v>2993</v>
      </c>
    </row>
    <row r="7965" spans="1:8" x14ac:dyDescent="0.25">
      <c r="A7965" t="str">
        <f>"&lt;min&gt;" &amp;$G$7961&amp;"&lt;/min&gt;"</f>
        <v>&lt;min&gt;0&lt;/min&gt;</v>
      </c>
      <c r="B7965" t="s">
        <v>2993</v>
      </c>
    </row>
    <row r="7966" spans="1:8" x14ac:dyDescent="0.25">
      <c r="A7966" t="s">
        <v>16</v>
      </c>
      <c r="B7966" t="s">
        <v>2993</v>
      </c>
    </row>
    <row r="7967" spans="1:8" x14ac:dyDescent="0.25">
      <c r="A7967" t="s">
        <v>17</v>
      </c>
      <c r="B7967" t="s">
        <v>2993</v>
      </c>
    </row>
    <row r="7968" spans="1:8" x14ac:dyDescent="0.25">
      <c r="A7968" t="s">
        <v>18</v>
      </c>
      <c r="B7968" t="s">
        <v>2993</v>
      </c>
    </row>
    <row r="7969" spans="1:8" x14ac:dyDescent="0.25">
      <c r="A7969" t="str">
        <f xml:space="preserve"> $H$7961</f>
        <v>&lt;flags count_in_cargo="0" count_in_hoarder="0" count_in_map="1" count_in_player="0" crafted="1" deloot="0"/&gt;</v>
      </c>
      <c r="B7969" t="s">
        <v>2993</v>
      </c>
    </row>
    <row r="7970" spans="1:8" x14ac:dyDescent="0.25">
      <c r="A7970" t="str">
        <f>"&lt;category name=" &amp;"""" &amp;$C$7961&amp;"""/&gt;"</f>
        <v>&lt;category name="tools"/&gt;</v>
      </c>
      <c r="B7970" t="s">
        <v>2993</v>
      </c>
    </row>
    <row r="7971" spans="1:8" x14ac:dyDescent="0.25">
      <c r="A7971" t="s">
        <v>22</v>
      </c>
      <c r="B7971" t="s">
        <v>2993</v>
      </c>
    </row>
    <row r="7972" spans="1:8" x14ac:dyDescent="0.25">
      <c r="A7972" t="s">
        <v>2018</v>
      </c>
      <c r="B7972" t="s">
        <v>2994</v>
      </c>
      <c r="C7972" t="s">
        <v>426</v>
      </c>
      <c r="D7972">
        <v>0</v>
      </c>
      <c r="E7972">
        <v>7200</v>
      </c>
      <c r="F7972">
        <v>0</v>
      </c>
      <c r="G7972">
        <v>0</v>
      </c>
      <c r="H7972" t="s">
        <v>62</v>
      </c>
    </row>
    <row r="7973" spans="1:8" x14ac:dyDescent="0.25">
      <c r="A7973" t="str">
        <f>"&lt;nominal&gt;" &amp;$D$7972&amp;"&lt;/nominal&gt;"</f>
        <v>&lt;nominal&gt;0&lt;/nominal&gt;</v>
      </c>
      <c r="B7973" t="s">
        <v>2994</v>
      </c>
    </row>
    <row r="7974" spans="1:8" x14ac:dyDescent="0.25">
      <c r="A7974" t="str">
        <f>"&lt;lifetime&gt;" &amp;$E$7972&amp;"&lt;/lifetime&gt;"</f>
        <v>&lt;lifetime&gt;7200&lt;/lifetime&gt;</v>
      </c>
      <c r="B7974" t="s">
        <v>2994</v>
      </c>
    </row>
    <row r="7975" spans="1:8" x14ac:dyDescent="0.25">
      <c r="A7975" t="str">
        <f>"&lt;restock&gt;" &amp;$F$7972&amp;"&lt;/restock&gt;"</f>
        <v>&lt;restock&gt;0&lt;/restock&gt;</v>
      </c>
      <c r="B7975" t="s">
        <v>2994</v>
      </c>
    </row>
    <row r="7976" spans="1:8" x14ac:dyDescent="0.25">
      <c r="A7976" t="str">
        <f>"&lt;min&gt;" &amp;$G$7972&amp;"&lt;/min&gt;"</f>
        <v>&lt;min&gt;0&lt;/min&gt;</v>
      </c>
      <c r="B7976" t="s">
        <v>2994</v>
      </c>
    </row>
    <row r="7977" spans="1:8" x14ac:dyDescent="0.25">
      <c r="A7977" t="s">
        <v>16</v>
      </c>
      <c r="B7977" t="s">
        <v>2994</v>
      </c>
    </row>
    <row r="7978" spans="1:8" x14ac:dyDescent="0.25">
      <c r="A7978" t="s">
        <v>17</v>
      </c>
      <c r="B7978" t="s">
        <v>2994</v>
      </c>
    </row>
    <row r="7979" spans="1:8" x14ac:dyDescent="0.25">
      <c r="A7979" t="s">
        <v>18</v>
      </c>
      <c r="B7979" t="s">
        <v>2994</v>
      </c>
    </row>
    <row r="7980" spans="1:8" x14ac:dyDescent="0.25">
      <c r="A7980" t="str">
        <f xml:space="preserve"> $H$7972</f>
        <v>&lt;flags count_in_cargo="0" count_in_hoarder="0" count_in_map="1" count_in_player="0" crafted="1" deloot="0"/&gt;</v>
      </c>
      <c r="B7980" t="s">
        <v>2994</v>
      </c>
    </row>
    <row r="7981" spans="1:8" x14ac:dyDescent="0.25">
      <c r="A7981" t="str">
        <f>"&lt;category name=" &amp;"""" &amp;$C$7972&amp;"""/&gt;"</f>
        <v>&lt;category name="tools"/&gt;</v>
      </c>
      <c r="B7981" t="s">
        <v>2994</v>
      </c>
    </row>
    <row r="7982" spans="1:8" x14ac:dyDescent="0.25">
      <c r="A7982" t="s">
        <v>22</v>
      </c>
      <c r="B7982" t="s">
        <v>2994</v>
      </c>
    </row>
    <row r="7983" spans="1:8" x14ac:dyDescent="0.25">
      <c r="A7983" t="s">
        <v>2019</v>
      </c>
      <c r="B7983" t="s">
        <v>790</v>
      </c>
      <c r="C7983" t="s">
        <v>426</v>
      </c>
      <c r="D7983">
        <v>60</v>
      </c>
      <c r="E7983">
        <v>1800</v>
      </c>
      <c r="F7983">
        <v>0</v>
      </c>
      <c r="G7983">
        <v>40</v>
      </c>
      <c r="H7983" t="s">
        <v>19</v>
      </c>
    </row>
    <row r="7984" spans="1:8" x14ac:dyDescent="0.25">
      <c r="A7984" t="str">
        <f>"&lt;nominal&gt;" &amp;$D$7983&amp;"&lt;/nominal&gt;"</f>
        <v>&lt;nominal&gt;60&lt;/nominal&gt;</v>
      </c>
      <c r="B7984" t="s">
        <v>790</v>
      </c>
    </row>
    <row r="7985" spans="1:8" x14ac:dyDescent="0.25">
      <c r="A7985" t="str">
        <f>"&lt;lifetime&gt;" &amp;$E$7983&amp;"&lt;/lifetime&gt;"</f>
        <v>&lt;lifetime&gt;1800&lt;/lifetime&gt;</v>
      </c>
      <c r="B7985" t="s">
        <v>790</v>
      </c>
    </row>
    <row r="7986" spans="1:8" x14ac:dyDescent="0.25">
      <c r="A7986" t="str">
        <f>"&lt;restock&gt;" &amp;$F$7983&amp;"&lt;/restock&gt;"</f>
        <v>&lt;restock&gt;0&lt;/restock&gt;</v>
      </c>
      <c r="B7986" t="s">
        <v>790</v>
      </c>
    </row>
    <row r="7987" spans="1:8" x14ac:dyDescent="0.25">
      <c r="A7987" t="str">
        <f>"&lt;min&gt;" &amp;$G$7983&amp;"&lt;/min&gt;"</f>
        <v>&lt;min&gt;40&lt;/min&gt;</v>
      </c>
      <c r="B7987" t="s">
        <v>790</v>
      </c>
    </row>
    <row r="7988" spans="1:8" x14ac:dyDescent="0.25">
      <c r="A7988" t="s">
        <v>16</v>
      </c>
      <c r="B7988" t="s">
        <v>790</v>
      </c>
    </row>
    <row r="7989" spans="1:8" x14ac:dyDescent="0.25">
      <c r="A7989" t="s">
        <v>17</v>
      </c>
      <c r="B7989" t="s">
        <v>790</v>
      </c>
    </row>
    <row r="7990" spans="1:8" x14ac:dyDescent="0.25">
      <c r="A7990" t="s">
        <v>18</v>
      </c>
      <c r="B7990" t="s">
        <v>790</v>
      </c>
    </row>
    <row r="7991" spans="1:8" x14ac:dyDescent="0.25">
      <c r="A7991" t="str">
        <f xml:space="preserve"> $H$7983</f>
        <v>&lt;flags count_in_cargo="0" count_in_hoarder="0" count_in_map="1" count_in_player="0" crafted="0" deloot="0"/&gt;</v>
      </c>
      <c r="B7991" t="s">
        <v>790</v>
      </c>
    </row>
    <row r="7992" spans="1:8" x14ac:dyDescent="0.25">
      <c r="A7992" t="str">
        <f>"&lt;category name=" &amp;"""" &amp;$C$7983&amp;"""/&gt;"</f>
        <v>&lt;category name="tools"/&gt;</v>
      </c>
      <c r="B7992" t="s">
        <v>790</v>
      </c>
    </row>
    <row r="7993" spans="1:8" x14ac:dyDescent="0.25">
      <c r="A7993" t="s">
        <v>22</v>
      </c>
      <c r="B7993" t="s">
        <v>790</v>
      </c>
    </row>
    <row r="7994" spans="1:8" x14ac:dyDescent="0.25">
      <c r="A7994" t="s">
        <v>2020</v>
      </c>
      <c r="B7994" t="s">
        <v>3443</v>
      </c>
      <c r="C7994" t="s">
        <v>426</v>
      </c>
      <c r="D7994">
        <v>0</v>
      </c>
      <c r="E7994">
        <v>1800</v>
      </c>
      <c r="F7994">
        <v>0</v>
      </c>
      <c r="G7994">
        <v>0</v>
      </c>
      <c r="H7994" t="s">
        <v>62</v>
      </c>
    </row>
    <row r="7995" spans="1:8" x14ac:dyDescent="0.25">
      <c r="A7995" t="str">
        <f>"&lt;nominal&gt;" &amp;$D$7994&amp;"&lt;/nominal&gt;"</f>
        <v>&lt;nominal&gt;0&lt;/nominal&gt;</v>
      </c>
      <c r="B7995" t="s">
        <v>3443</v>
      </c>
    </row>
    <row r="7996" spans="1:8" x14ac:dyDescent="0.25">
      <c r="A7996" t="str">
        <f>"&lt;lifetime&gt;" &amp;$E$7994&amp;"&lt;/lifetime&gt;"</f>
        <v>&lt;lifetime&gt;1800&lt;/lifetime&gt;</v>
      </c>
      <c r="B7996" t="s">
        <v>3443</v>
      </c>
    </row>
    <row r="7997" spans="1:8" x14ac:dyDescent="0.25">
      <c r="A7997" t="str">
        <f>"&lt;restock&gt;" &amp;$F$7994&amp;"&lt;/restock&gt;"</f>
        <v>&lt;restock&gt;0&lt;/restock&gt;</v>
      </c>
      <c r="B7997" t="s">
        <v>3443</v>
      </c>
    </row>
    <row r="7998" spans="1:8" x14ac:dyDescent="0.25">
      <c r="A7998" t="str">
        <f>"&lt;min&gt;" &amp;$G$7994&amp;"&lt;/min&gt;"</f>
        <v>&lt;min&gt;0&lt;/min&gt;</v>
      </c>
      <c r="B7998" t="s">
        <v>3443</v>
      </c>
    </row>
    <row r="7999" spans="1:8" x14ac:dyDescent="0.25">
      <c r="A7999" t="s">
        <v>16</v>
      </c>
      <c r="B7999" t="s">
        <v>3443</v>
      </c>
    </row>
    <row r="8000" spans="1:8" x14ac:dyDescent="0.25">
      <c r="A8000" t="s">
        <v>17</v>
      </c>
      <c r="B8000" t="s">
        <v>3443</v>
      </c>
    </row>
    <row r="8001" spans="1:8" x14ac:dyDescent="0.25">
      <c r="A8001" t="s">
        <v>18</v>
      </c>
      <c r="B8001" t="s">
        <v>3443</v>
      </c>
    </row>
    <row r="8002" spans="1:8" x14ac:dyDescent="0.25">
      <c r="A8002" t="str">
        <f xml:space="preserve"> $H$7994</f>
        <v>&lt;flags count_in_cargo="0" count_in_hoarder="0" count_in_map="1" count_in_player="0" crafted="1" deloot="0"/&gt;</v>
      </c>
      <c r="B8002" t="s">
        <v>3443</v>
      </c>
    </row>
    <row r="8003" spans="1:8" x14ac:dyDescent="0.25">
      <c r="A8003" t="str">
        <f>"&lt;category name=" &amp;"""" &amp;$C$7994&amp;"""/&gt;"</f>
        <v>&lt;category name="tools"/&gt;</v>
      </c>
      <c r="B8003" t="s">
        <v>3443</v>
      </c>
    </row>
    <row r="8004" spans="1:8" x14ac:dyDescent="0.25">
      <c r="A8004" t="s">
        <v>22</v>
      </c>
      <c r="B8004" t="s">
        <v>3443</v>
      </c>
    </row>
    <row r="8005" spans="1:8" x14ac:dyDescent="0.25">
      <c r="A8005" t="s">
        <v>2021</v>
      </c>
      <c r="B8005" t="s">
        <v>791</v>
      </c>
      <c r="C8005" t="s">
        <v>426</v>
      </c>
      <c r="D8005">
        <v>60</v>
      </c>
      <c r="E8005">
        <v>7200</v>
      </c>
      <c r="F8005">
        <v>0</v>
      </c>
      <c r="G8005">
        <v>40</v>
      </c>
      <c r="H8005" t="s">
        <v>19</v>
      </c>
    </row>
    <row r="8006" spans="1:8" x14ac:dyDescent="0.25">
      <c r="A8006" t="str">
        <f>"&lt;nominal&gt;" &amp;$D$8005&amp;"&lt;/nominal&gt;"</f>
        <v>&lt;nominal&gt;60&lt;/nominal&gt;</v>
      </c>
      <c r="B8006" t="s">
        <v>791</v>
      </c>
    </row>
    <row r="8007" spans="1:8" x14ac:dyDescent="0.25">
      <c r="A8007" t="str">
        <f>"&lt;lifetime&gt;" &amp;$E$8005&amp;"&lt;/lifetime&gt;"</f>
        <v>&lt;lifetime&gt;7200&lt;/lifetime&gt;</v>
      </c>
      <c r="B8007" t="s">
        <v>791</v>
      </c>
    </row>
    <row r="8008" spans="1:8" x14ac:dyDescent="0.25">
      <c r="A8008" t="str">
        <f>"&lt;restock&gt;" &amp;$F$8005&amp;"&lt;/restock&gt;"</f>
        <v>&lt;restock&gt;0&lt;/restock&gt;</v>
      </c>
      <c r="B8008" t="s">
        <v>791</v>
      </c>
    </row>
    <row r="8009" spans="1:8" x14ac:dyDescent="0.25">
      <c r="A8009" t="str">
        <f>"&lt;min&gt;" &amp;$G$8005&amp;"&lt;/min&gt;"</f>
        <v>&lt;min&gt;40&lt;/min&gt;</v>
      </c>
      <c r="B8009" t="s">
        <v>791</v>
      </c>
    </row>
    <row r="8010" spans="1:8" x14ac:dyDescent="0.25">
      <c r="A8010" t="s">
        <v>16</v>
      </c>
      <c r="B8010" t="s">
        <v>791</v>
      </c>
    </row>
    <row r="8011" spans="1:8" x14ac:dyDescent="0.25">
      <c r="A8011" t="s">
        <v>17</v>
      </c>
      <c r="B8011" t="s">
        <v>791</v>
      </c>
    </row>
    <row r="8012" spans="1:8" x14ac:dyDescent="0.25">
      <c r="A8012" t="s">
        <v>18</v>
      </c>
      <c r="B8012" t="s">
        <v>791</v>
      </c>
    </row>
    <row r="8013" spans="1:8" x14ac:dyDescent="0.25">
      <c r="A8013" t="str">
        <f xml:space="preserve"> $H$8005</f>
        <v>&lt;flags count_in_cargo="0" count_in_hoarder="0" count_in_map="1" count_in_player="0" crafted="0" deloot="0"/&gt;</v>
      </c>
      <c r="B8013" t="s">
        <v>791</v>
      </c>
    </row>
    <row r="8014" spans="1:8" x14ac:dyDescent="0.25">
      <c r="A8014" t="str">
        <f>"&lt;category name=" &amp;"""" &amp;$C$8005&amp;"""/&gt;"</f>
        <v>&lt;category name="tools"/&gt;</v>
      </c>
      <c r="B8014" t="s">
        <v>791</v>
      </c>
    </row>
    <row r="8015" spans="1:8" x14ac:dyDescent="0.25">
      <c r="A8015" t="s">
        <v>55</v>
      </c>
      <c r="B8015" t="s">
        <v>791</v>
      </c>
    </row>
    <row r="8016" spans="1:8" x14ac:dyDescent="0.25">
      <c r="A8016" t="s">
        <v>22</v>
      </c>
      <c r="B8016" t="s">
        <v>791</v>
      </c>
    </row>
    <row r="8017" spans="1:8" x14ac:dyDescent="0.25">
      <c r="A8017" t="s">
        <v>2022</v>
      </c>
      <c r="B8017" t="s">
        <v>792</v>
      </c>
      <c r="C8017" t="s">
        <v>644</v>
      </c>
      <c r="D8017">
        <v>10</v>
      </c>
      <c r="E8017">
        <v>7200</v>
      </c>
      <c r="F8017">
        <v>0</v>
      </c>
      <c r="G8017">
        <v>5</v>
      </c>
      <c r="H8017" t="s">
        <v>19</v>
      </c>
    </row>
    <row r="8018" spans="1:8" x14ac:dyDescent="0.25">
      <c r="A8018" t="str">
        <f>"&lt;nominal&gt;" &amp;$D$8017&amp;"&lt;/nominal&gt;"</f>
        <v>&lt;nominal&gt;10&lt;/nominal&gt;</v>
      </c>
      <c r="B8018" t="s">
        <v>792</v>
      </c>
    </row>
    <row r="8019" spans="1:8" x14ac:dyDescent="0.25">
      <c r="A8019" t="str">
        <f>"&lt;lifetime&gt;" &amp;$E$8017&amp;"&lt;/lifetime&gt;"</f>
        <v>&lt;lifetime&gt;7200&lt;/lifetime&gt;</v>
      </c>
      <c r="B8019" t="s">
        <v>792</v>
      </c>
    </row>
    <row r="8020" spans="1:8" x14ac:dyDescent="0.25">
      <c r="A8020" t="str">
        <f>"&lt;restock&gt;" &amp;$F$8017&amp;"&lt;/restock&gt;"</f>
        <v>&lt;restock&gt;0&lt;/restock&gt;</v>
      </c>
      <c r="B8020" t="s">
        <v>792</v>
      </c>
    </row>
    <row r="8021" spans="1:8" x14ac:dyDescent="0.25">
      <c r="A8021" t="str">
        <f>"&lt;min&gt;" &amp;$G$8017&amp;"&lt;/min&gt;"</f>
        <v>&lt;min&gt;5&lt;/min&gt;</v>
      </c>
      <c r="B8021" t="s">
        <v>792</v>
      </c>
    </row>
    <row r="8022" spans="1:8" x14ac:dyDescent="0.25">
      <c r="A8022" t="s">
        <v>16</v>
      </c>
      <c r="B8022" t="s">
        <v>792</v>
      </c>
    </row>
    <row r="8023" spans="1:8" x14ac:dyDescent="0.25">
      <c r="A8023" t="s">
        <v>17</v>
      </c>
      <c r="B8023" t="s">
        <v>792</v>
      </c>
    </row>
    <row r="8024" spans="1:8" x14ac:dyDescent="0.25">
      <c r="A8024" t="s">
        <v>18</v>
      </c>
      <c r="B8024" t="s">
        <v>792</v>
      </c>
    </row>
    <row r="8025" spans="1:8" x14ac:dyDescent="0.25">
      <c r="A8025" t="str">
        <f xml:space="preserve"> $H$8017</f>
        <v>&lt;flags count_in_cargo="0" count_in_hoarder="0" count_in_map="1" count_in_player="0" crafted="0" deloot="0"/&gt;</v>
      </c>
      <c r="B8025" t="s">
        <v>792</v>
      </c>
    </row>
    <row r="8026" spans="1:8" x14ac:dyDescent="0.25">
      <c r="A8026" t="str">
        <f>"&lt;category name=" &amp;"""" &amp;$C$8017&amp;"""/&gt;"</f>
        <v>&lt;category name="explosives"/&gt;</v>
      </c>
      <c r="B8026" t="s">
        <v>792</v>
      </c>
    </row>
    <row r="8027" spans="1:8" x14ac:dyDescent="0.25">
      <c r="A8027" t="s">
        <v>29</v>
      </c>
      <c r="B8027" t="s">
        <v>792</v>
      </c>
    </row>
    <row r="8028" spans="1:8" x14ac:dyDescent="0.25">
      <c r="A8028" t="s">
        <v>22</v>
      </c>
      <c r="B8028" t="s">
        <v>792</v>
      </c>
    </row>
    <row r="8029" spans="1:8" x14ac:dyDescent="0.25">
      <c r="A8029" t="s">
        <v>2023</v>
      </c>
      <c r="B8029" t="s">
        <v>793</v>
      </c>
      <c r="C8029" t="s">
        <v>644</v>
      </c>
      <c r="D8029">
        <v>10</v>
      </c>
      <c r="E8029">
        <v>7200</v>
      </c>
      <c r="F8029">
        <v>0</v>
      </c>
      <c r="G8029">
        <v>5</v>
      </c>
      <c r="H8029" t="s">
        <v>19</v>
      </c>
    </row>
    <row r="8030" spans="1:8" x14ac:dyDescent="0.25">
      <c r="A8030" t="str">
        <f>"&lt;nominal&gt;" &amp;$D$8029&amp;"&lt;/nominal&gt;"</f>
        <v>&lt;nominal&gt;10&lt;/nominal&gt;</v>
      </c>
      <c r="B8030" t="s">
        <v>793</v>
      </c>
    </row>
    <row r="8031" spans="1:8" x14ac:dyDescent="0.25">
      <c r="A8031" t="str">
        <f>"&lt;lifetime&gt;" &amp;$E$8029&amp;"&lt;/lifetime&gt;"</f>
        <v>&lt;lifetime&gt;7200&lt;/lifetime&gt;</v>
      </c>
      <c r="B8031" t="s">
        <v>793</v>
      </c>
    </row>
    <row r="8032" spans="1:8" x14ac:dyDescent="0.25">
      <c r="A8032" t="str">
        <f>"&lt;restock&gt;" &amp;$F$8029&amp;"&lt;/restock&gt;"</f>
        <v>&lt;restock&gt;0&lt;/restock&gt;</v>
      </c>
      <c r="B8032" t="s">
        <v>793</v>
      </c>
    </row>
    <row r="8033" spans="1:8" x14ac:dyDescent="0.25">
      <c r="A8033" t="str">
        <f>"&lt;min&gt;" &amp;$G$8029&amp;"&lt;/min&gt;"</f>
        <v>&lt;min&gt;5&lt;/min&gt;</v>
      </c>
      <c r="B8033" t="s">
        <v>793</v>
      </c>
    </row>
    <row r="8034" spans="1:8" x14ac:dyDescent="0.25">
      <c r="A8034" t="s">
        <v>16</v>
      </c>
      <c r="B8034" t="s">
        <v>793</v>
      </c>
    </row>
    <row r="8035" spans="1:8" x14ac:dyDescent="0.25">
      <c r="A8035" t="s">
        <v>17</v>
      </c>
      <c r="B8035" t="s">
        <v>793</v>
      </c>
    </row>
    <row r="8036" spans="1:8" x14ac:dyDescent="0.25">
      <c r="A8036" t="s">
        <v>18</v>
      </c>
      <c r="B8036" t="s">
        <v>793</v>
      </c>
    </row>
    <row r="8037" spans="1:8" x14ac:dyDescent="0.25">
      <c r="A8037" t="str">
        <f xml:space="preserve"> $H$8029</f>
        <v>&lt;flags count_in_cargo="0" count_in_hoarder="0" count_in_map="1" count_in_player="0" crafted="0" deloot="0"/&gt;</v>
      </c>
      <c r="B8037" t="s">
        <v>793</v>
      </c>
    </row>
    <row r="8038" spans="1:8" x14ac:dyDescent="0.25">
      <c r="A8038" t="str">
        <f>"&lt;category name=" &amp;"""" &amp;$C$8029&amp;"""/&gt;"</f>
        <v>&lt;category name="explosives"/&gt;</v>
      </c>
      <c r="B8038" t="s">
        <v>793</v>
      </c>
    </row>
    <row r="8039" spans="1:8" x14ac:dyDescent="0.25">
      <c r="A8039" t="s">
        <v>29</v>
      </c>
      <c r="B8039" t="s">
        <v>793</v>
      </c>
    </row>
    <row r="8040" spans="1:8" x14ac:dyDescent="0.25">
      <c r="A8040" t="s">
        <v>22</v>
      </c>
      <c r="B8040" t="s">
        <v>793</v>
      </c>
    </row>
    <row r="8041" spans="1:8" x14ac:dyDescent="0.25">
      <c r="A8041" t="s">
        <v>2024</v>
      </c>
      <c r="B8041" t="s">
        <v>794</v>
      </c>
      <c r="C8041" t="s">
        <v>644</v>
      </c>
      <c r="D8041">
        <v>10</v>
      </c>
      <c r="E8041">
        <v>7200</v>
      </c>
      <c r="F8041">
        <v>0</v>
      </c>
      <c r="G8041">
        <v>5</v>
      </c>
      <c r="H8041" t="s">
        <v>19</v>
      </c>
    </row>
    <row r="8042" spans="1:8" x14ac:dyDescent="0.25">
      <c r="A8042" t="str">
        <f>"&lt;nominal&gt;" &amp;$D$8041&amp;"&lt;/nominal&gt;"</f>
        <v>&lt;nominal&gt;10&lt;/nominal&gt;</v>
      </c>
      <c r="B8042" t="s">
        <v>794</v>
      </c>
    </row>
    <row r="8043" spans="1:8" x14ac:dyDescent="0.25">
      <c r="A8043" t="str">
        <f>"&lt;lifetime&gt;" &amp;$E$8041&amp;"&lt;/lifetime&gt;"</f>
        <v>&lt;lifetime&gt;7200&lt;/lifetime&gt;</v>
      </c>
      <c r="B8043" t="s">
        <v>794</v>
      </c>
    </row>
    <row r="8044" spans="1:8" x14ac:dyDescent="0.25">
      <c r="A8044" t="str">
        <f>"&lt;restock&gt;" &amp;$F$8041&amp;"&lt;/restock&gt;"</f>
        <v>&lt;restock&gt;0&lt;/restock&gt;</v>
      </c>
      <c r="B8044" t="s">
        <v>794</v>
      </c>
    </row>
    <row r="8045" spans="1:8" x14ac:dyDescent="0.25">
      <c r="A8045" t="str">
        <f>"&lt;min&gt;" &amp;$G$8041&amp;"&lt;/min&gt;"</f>
        <v>&lt;min&gt;5&lt;/min&gt;</v>
      </c>
      <c r="B8045" t="s">
        <v>794</v>
      </c>
    </row>
    <row r="8046" spans="1:8" x14ac:dyDescent="0.25">
      <c r="A8046" t="s">
        <v>16</v>
      </c>
      <c r="B8046" t="s">
        <v>794</v>
      </c>
    </row>
    <row r="8047" spans="1:8" x14ac:dyDescent="0.25">
      <c r="A8047" t="s">
        <v>17</v>
      </c>
      <c r="B8047" t="s">
        <v>794</v>
      </c>
    </row>
    <row r="8048" spans="1:8" x14ac:dyDescent="0.25">
      <c r="A8048" t="s">
        <v>18</v>
      </c>
      <c r="B8048" t="s">
        <v>794</v>
      </c>
    </row>
    <row r="8049" spans="1:8" x14ac:dyDescent="0.25">
      <c r="A8049" t="str">
        <f xml:space="preserve"> $H$8041</f>
        <v>&lt;flags count_in_cargo="0" count_in_hoarder="0" count_in_map="1" count_in_player="0" crafted="0" deloot="0"/&gt;</v>
      </c>
      <c r="B8049" t="s">
        <v>794</v>
      </c>
    </row>
    <row r="8050" spans="1:8" x14ac:dyDescent="0.25">
      <c r="A8050" t="str">
        <f>"&lt;category name=" &amp;"""" &amp;$C$8041&amp;"""/&gt;"</f>
        <v>&lt;category name="explosives"/&gt;</v>
      </c>
      <c r="B8050" t="s">
        <v>794</v>
      </c>
    </row>
    <row r="8051" spans="1:8" x14ac:dyDescent="0.25">
      <c r="A8051" t="s">
        <v>29</v>
      </c>
      <c r="B8051" t="s">
        <v>794</v>
      </c>
    </row>
    <row r="8052" spans="1:8" x14ac:dyDescent="0.25">
      <c r="A8052" t="s">
        <v>22</v>
      </c>
      <c r="B8052" t="s">
        <v>794</v>
      </c>
    </row>
    <row r="8053" spans="1:8" x14ac:dyDescent="0.25">
      <c r="A8053" t="s">
        <v>2025</v>
      </c>
      <c r="B8053" t="s">
        <v>795</v>
      </c>
      <c r="C8053" t="s">
        <v>644</v>
      </c>
      <c r="D8053">
        <v>10</v>
      </c>
      <c r="E8053">
        <v>7200</v>
      </c>
      <c r="F8053">
        <v>0</v>
      </c>
      <c r="G8053">
        <v>5</v>
      </c>
      <c r="H8053" t="s">
        <v>19</v>
      </c>
    </row>
    <row r="8054" spans="1:8" x14ac:dyDescent="0.25">
      <c r="A8054" t="str">
        <f>"&lt;nominal&gt;" &amp;$D$8053&amp;"&lt;/nominal&gt;"</f>
        <v>&lt;nominal&gt;10&lt;/nominal&gt;</v>
      </c>
      <c r="B8054" t="s">
        <v>795</v>
      </c>
    </row>
    <row r="8055" spans="1:8" x14ac:dyDescent="0.25">
      <c r="A8055" t="str">
        <f>"&lt;lifetime&gt;" &amp;$E$8053&amp;"&lt;/lifetime&gt;"</f>
        <v>&lt;lifetime&gt;7200&lt;/lifetime&gt;</v>
      </c>
      <c r="B8055" t="s">
        <v>795</v>
      </c>
    </row>
    <row r="8056" spans="1:8" x14ac:dyDescent="0.25">
      <c r="A8056" t="str">
        <f>"&lt;restock&gt;" &amp;$F$8053&amp;"&lt;/restock&gt;"</f>
        <v>&lt;restock&gt;0&lt;/restock&gt;</v>
      </c>
      <c r="B8056" t="s">
        <v>795</v>
      </c>
    </row>
    <row r="8057" spans="1:8" x14ac:dyDescent="0.25">
      <c r="A8057" t="str">
        <f>"&lt;min&gt;" &amp;$G$8053&amp;"&lt;/min&gt;"</f>
        <v>&lt;min&gt;5&lt;/min&gt;</v>
      </c>
      <c r="B8057" t="s">
        <v>795</v>
      </c>
    </row>
    <row r="8058" spans="1:8" x14ac:dyDescent="0.25">
      <c r="A8058" t="s">
        <v>16</v>
      </c>
      <c r="B8058" t="s">
        <v>795</v>
      </c>
    </row>
    <row r="8059" spans="1:8" x14ac:dyDescent="0.25">
      <c r="A8059" t="s">
        <v>17</v>
      </c>
      <c r="B8059" t="s">
        <v>795</v>
      </c>
    </row>
    <row r="8060" spans="1:8" x14ac:dyDescent="0.25">
      <c r="A8060" t="s">
        <v>18</v>
      </c>
      <c r="B8060" t="s">
        <v>795</v>
      </c>
    </row>
    <row r="8061" spans="1:8" x14ac:dyDescent="0.25">
      <c r="A8061" t="str">
        <f xml:space="preserve"> $H$8053</f>
        <v>&lt;flags count_in_cargo="0" count_in_hoarder="0" count_in_map="1" count_in_player="0" crafted="0" deloot="0"/&gt;</v>
      </c>
      <c r="B8061" t="s">
        <v>795</v>
      </c>
    </row>
    <row r="8062" spans="1:8" x14ac:dyDescent="0.25">
      <c r="A8062" t="str">
        <f>"&lt;category name=" &amp;"""" &amp;$C$8053&amp;"""/&gt;"</f>
        <v>&lt;category name="explosives"/&gt;</v>
      </c>
      <c r="B8062" t="s">
        <v>795</v>
      </c>
    </row>
    <row r="8063" spans="1:8" x14ac:dyDescent="0.25">
      <c r="A8063" t="s">
        <v>29</v>
      </c>
      <c r="B8063" t="s">
        <v>795</v>
      </c>
    </row>
    <row r="8064" spans="1:8" x14ac:dyDescent="0.25">
      <c r="A8064" t="s">
        <v>22</v>
      </c>
      <c r="B8064" t="s">
        <v>795</v>
      </c>
    </row>
    <row r="8065" spans="1:8" x14ac:dyDescent="0.25">
      <c r="A8065" t="s">
        <v>2026</v>
      </c>
      <c r="B8065" t="s">
        <v>796</v>
      </c>
      <c r="C8065" t="s">
        <v>644</v>
      </c>
      <c r="D8065">
        <v>10</v>
      </c>
      <c r="E8065">
        <v>7200</v>
      </c>
      <c r="F8065">
        <v>0</v>
      </c>
      <c r="G8065">
        <v>5</v>
      </c>
      <c r="H8065" t="s">
        <v>19</v>
      </c>
    </row>
    <row r="8066" spans="1:8" x14ac:dyDescent="0.25">
      <c r="A8066" t="str">
        <f>"&lt;nominal&gt;" &amp;$D$8065&amp;"&lt;/nominal&gt;"</f>
        <v>&lt;nominal&gt;10&lt;/nominal&gt;</v>
      </c>
      <c r="B8066" t="s">
        <v>796</v>
      </c>
    </row>
    <row r="8067" spans="1:8" x14ac:dyDescent="0.25">
      <c r="A8067" t="str">
        <f>"&lt;lifetime&gt;" &amp;$E$8065&amp;"&lt;/lifetime&gt;"</f>
        <v>&lt;lifetime&gt;7200&lt;/lifetime&gt;</v>
      </c>
      <c r="B8067" t="s">
        <v>796</v>
      </c>
    </row>
    <row r="8068" spans="1:8" x14ac:dyDescent="0.25">
      <c r="A8068" t="str">
        <f>"&lt;restock&gt;" &amp;$F$8065&amp;"&lt;/restock&gt;"</f>
        <v>&lt;restock&gt;0&lt;/restock&gt;</v>
      </c>
      <c r="B8068" t="s">
        <v>796</v>
      </c>
    </row>
    <row r="8069" spans="1:8" x14ac:dyDescent="0.25">
      <c r="A8069" t="str">
        <f>"&lt;min&gt;" &amp;$G$8065&amp;"&lt;/min&gt;"</f>
        <v>&lt;min&gt;5&lt;/min&gt;</v>
      </c>
      <c r="B8069" t="s">
        <v>796</v>
      </c>
    </row>
    <row r="8070" spans="1:8" x14ac:dyDescent="0.25">
      <c r="A8070" t="s">
        <v>16</v>
      </c>
      <c r="B8070" t="s">
        <v>796</v>
      </c>
    </row>
    <row r="8071" spans="1:8" x14ac:dyDescent="0.25">
      <c r="A8071" t="s">
        <v>17</v>
      </c>
      <c r="B8071" t="s">
        <v>796</v>
      </c>
    </row>
    <row r="8072" spans="1:8" x14ac:dyDescent="0.25">
      <c r="A8072" t="s">
        <v>18</v>
      </c>
      <c r="B8072" t="s">
        <v>796</v>
      </c>
    </row>
    <row r="8073" spans="1:8" x14ac:dyDescent="0.25">
      <c r="A8073" t="str">
        <f xml:space="preserve"> $H$8065</f>
        <v>&lt;flags count_in_cargo="0" count_in_hoarder="0" count_in_map="1" count_in_player="0" crafted="0" deloot="0"/&gt;</v>
      </c>
      <c r="B8073" t="s">
        <v>796</v>
      </c>
    </row>
    <row r="8074" spans="1:8" x14ac:dyDescent="0.25">
      <c r="A8074" t="str">
        <f>"&lt;category name=" &amp;"""" &amp;$C$8065&amp;"""/&gt;"</f>
        <v>&lt;category name="explosives"/&gt;</v>
      </c>
      <c r="B8074" t="s">
        <v>796</v>
      </c>
    </row>
    <row r="8075" spans="1:8" x14ac:dyDescent="0.25">
      <c r="A8075" t="s">
        <v>29</v>
      </c>
      <c r="B8075" t="s">
        <v>796</v>
      </c>
    </row>
    <row r="8076" spans="1:8" x14ac:dyDescent="0.25">
      <c r="A8076" t="s">
        <v>22</v>
      </c>
      <c r="B8076" t="s">
        <v>796</v>
      </c>
    </row>
    <row r="8077" spans="1:8" x14ac:dyDescent="0.25">
      <c r="A8077" t="s">
        <v>2027</v>
      </c>
      <c r="B8077" t="s">
        <v>797</v>
      </c>
      <c r="C8077" t="s">
        <v>8</v>
      </c>
      <c r="D8077">
        <v>10</v>
      </c>
      <c r="E8077">
        <v>10800</v>
      </c>
      <c r="F8077">
        <v>1800</v>
      </c>
      <c r="G8077">
        <v>5</v>
      </c>
      <c r="H8077" t="s">
        <v>19</v>
      </c>
    </row>
    <row r="8078" spans="1:8" x14ac:dyDescent="0.25">
      <c r="A8078" t="str">
        <f>"&lt;nominal&gt;" &amp;$D$8077&amp;"&lt;/nominal&gt;"</f>
        <v>&lt;nominal&gt;10&lt;/nominal&gt;</v>
      </c>
      <c r="B8078" t="s">
        <v>797</v>
      </c>
    </row>
    <row r="8079" spans="1:8" x14ac:dyDescent="0.25">
      <c r="A8079" t="str">
        <f>"&lt;lifetime&gt;" &amp;$E$8077&amp;"&lt;/lifetime&gt;"</f>
        <v>&lt;lifetime&gt;10800&lt;/lifetime&gt;</v>
      </c>
      <c r="B8079" t="s">
        <v>797</v>
      </c>
    </row>
    <row r="8080" spans="1:8" x14ac:dyDescent="0.25">
      <c r="A8080" t="str">
        <f>"&lt;restock&gt;" &amp;$F$8077&amp;"&lt;/restock&gt;"</f>
        <v>&lt;restock&gt;1800&lt;/restock&gt;</v>
      </c>
      <c r="B8080" t="s">
        <v>797</v>
      </c>
    </row>
    <row r="8081" spans="1:8" x14ac:dyDescent="0.25">
      <c r="A8081" t="str">
        <f>"&lt;min&gt;" &amp;$G$8077&amp;"&lt;/min&gt;"</f>
        <v>&lt;min&gt;5&lt;/min&gt;</v>
      </c>
      <c r="B8081" t="s">
        <v>797</v>
      </c>
    </row>
    <row r="8082" spans="1:8" x14ac:dyDescent="0.25">
      <c r="A8082" t="s">
        <v>16</v>
      </c>
      <c r="B8082" t="s">
        <v>797</v>
      </c>
    </row>
    <row r="8083" spans="1:8" x14ac:dyDescent="0.25">
      <c r="A8083" t="s">
        <v>17</v>
      </c>
      <c r="B8083" t="s">
        <v>797</v>
      </c>
    </row>
    <row r="8084" spans="1:8" x14ac:dyDescent="0.25">
      <c r="A8084" t="s">
        <v>18</v>
      </c>
      <c r="B8084" t="s">
        <v>797</v>
      </c>
    </row>
    <row r="8085" spans="1:8" x14ac:dyDescent="0.25">
      <c r="A8085" t="str">
        <f xml:space="preserve"> $H$8077</f>
        <v>&lt;flags count_in_cargo="0" count_in_hoarder="0" count_in_map="1" count_in_player="0" crafted="0" deloot="0"/&gt;</v>
      </c>
      <c r="B8085" t="s">
        <v>797</v>
      </c>
    </row>
    <row r="8086" spans="1:8" x14ac:dyDescent="0.25">
      <c r="A8086" t="str">
        <f>"&lt;category name=" &amp;"""" &amp;$C$8077&amp;"""/&gt;"</f>
        <v>&lt;category name="weapons"/&gt;</v>
      </c>
      <c r="B8086" t="s">
        <v>797</v>
      </c>
    </row>
    <row r="8087" spans="1:8" x14ac:dyDescent="0.25">
      <c r="A8087" t="s">
        <v>29</v>
      </c>
      <c r="B8087" t="s">
        <v>797</v>
      </c>
    </row>
    <row r="8088" spans="1:8" x14ac:dyDescent="0.25">
      <c r="A8088" t="s">
        <v>31</v>
      </c>
      <c r="B8088" t="s">
        <v>797</v>
      </c>
    </row>
    <row r="8089" spans="1:8" x14ac:dyDescent="0.25">
      <c r="A8089" t="s">
        <v>307</v>
      </c>
      <c r="B8089" t="s">
        <v>797</v>
      </c>
    </row>
    <row r="8090" spans="1:8" x14ac:dyDescent="0.25">
      <c r="A8090" t="s">
        <v>22</v>
      </c>
      <c r="B8090" t="s">
        <v>797</v>
      </c>
    </row>
    <row r="8091" spans="1:8" x14ac:dyDescent="0.25">
      <c r="B8091" t="s">
        <v>797</v>
      </c>
    </row>
    <row r="8092" spans="1:8" x14ac:dyDescent="0.25">
      <c r="A8092" t="s">
        <v>2775</v>
      </c>
      <c r="B8092" t="s">
        <v>2810</v>
      </c>
      <c r="C8092" t="s">
        <v>8</v>
      </c>
      <c r="D8092">
        <v>10</v>
      </c>
      <c r="E8092">
        <v>10800</v>
      </c>
      <c r="F8092">
        <v>1800</v>
      </c>
      <c r="G8092">
        <v>5</v>
      </c>
      <c r="H8092" t="s">
        <v>19</v>
      </c>
    </row>
    <row r="8093" spans="1:8" x14ac:dyDescent="0.25">
      <c r="A8093" t="str">
        <f>"&lt;nominal&gt;" &amp;$D$8092&amp;"&lt;/nominal&gt;"</f>
        <v>&lt;nominal&gt;10&lt;/nominal&gt;</v>
      </c>
      <c r="B8093" t="s">
        <v>2810</v>
      </c>
    </row>
    <row r="8094" spans="1:8" x14ac:dyDescent="0.25">
      <c r="A8094" t="str">
        <f>"&lt;lifetime&gt;" &amp;$E$8092&amp;"&lt;/lifetime&gt;"</f>
        <v>&lt;lifetime&gt;10800&lt;/lifetime&gt;</v>
      </c>
      <c r="B8094" t="s">
        <v>2810</v>
      </c>
    </row>
    <row r="8095" spans="1:8" x14ac:dyDescent="0.25">
      <c r="A8095" t="str">
        <f>"&lt;restock&gt;" &amp;$F$8092&amp;"&lt;/restock&gt;"</f>
        <v>&lt;restock&gt;1800&lt;/restock&gt;</v>
      </c>
      <c r="B8095" t="s">
        <v>2810</v>
      </c>
    </row>
    <row r="8096" spans="1:8" x14ac:dyDescent="0.25">
      <c r="A8096" t="str">
        <f>"&lt;min&gt;" &amp;$G$8092&amp;"&lt;/min&gt;"</f>
        <v>&lt;min&gt;5&lt;/min&gt;</v>
      </c>
      <c r="B8096" t="s">
        <v>2810</v>
      </c>
    </row>
    <row r="8097" spans="1:8" x14ac:dyDescent="0.25">
      <c r="A8097" t="s">
        <v>16</v>
      </c>
      <c r="B8097" t="s">
        <v>2810</v>
      </c>
    </row>
    <row r="8098" spans="1:8" x14ac:dyDescent="0.25">
      <c r="A8098" t="s">
        <v>17</v>
      </c>
      <c r="B8098" t="s">
        <v>2810</v>
      </c>
    </row>
    <row r="8099" spans="1:8" x14ac:dyDescent="0.25">
      <c r="A8099" t="s">
        <v>18</v>
      </c>
      <c r="B8099" t="s">
        <v>2810</v>
      </c>
    </row>
    <row r="8100" spans="1:8" x14ac:dyDescent="0.25">
      <c r="A8100" t="str">
        <f xml:space="preserve"> $H$8092</f>
        <v>&lt;flags count_in_cargo="0" count_in_hoarder="0" count_in_map="1" count_in_player="0" crafted="0" deloot="0"/&gt;</v>
      </c>
      <c r="B8100" t="s">
        <v>2810</v>
      </c>
    </row>
    <row r="8101" spans="1:8" x14ac:dyDescent="0.25">
      <c r="A8101" t="str">
        <f>"&lt;category name=" &amp;"""" &amp;$C$8092&amp;"""/&gt;"</f>
        <v>&lt;category name="weapons"/&gt;</v>
      </c>
      <c r="B8101" t="s">
        <v>2810</v>
      </c>
    </row>
    <row r="8102" spans="1:8" x14ac:dyDescent="0.25">
      <c r="A8102" t="s">
        <v>29</v>
      </c>
      <c r="B8102" t="s">
        <v>2810</v>
      </c>
    </row>
    <row r="8103" spans="1:8" x14ac:dyDescent="0.25">
      <c r="A8103" t="s">
        <v>31</v>
      </c>
      <c r="B8103" t="s">
        <v>2810</v>
      </c>
    </row>
    <row r="8104" spans="1:8" x14ac:dyDescent="0.25">
      <c r="A8104" t="s">
        <v>307</v>
      </c>
      <c r="B8104" t="s">
        <v>2810</v>
      </c>
    </row>
    <row r="8105" spans="1:8" x14ac:dyDescent="0.25">
      <c r="A8105" t="s">
        <v>22</v>
      </c>
      <c r="B8105" t="s">
        <v>2810</v>
      </c>
    </row>
    <row r="8106" spans="1:8" x14ac:dyDescent="0.25">
      <c r="B8106" t="s">
        <v>2810</v>
      </c>
    </row>
    <row r="8107" spans="1:8" x14ac:dyDescent="0.25">
      <c r="A8107" t="s">
        <v>2028</v>
      </c>
      <c r="B8107" t="s">
        <v>2995</v>
      </c>
      <c r="C8107" t="s">
        <v>8</v>
      </c>
      <c r="D8107">
        <v>0</v>
      </c>
      <c r="E8107">
        <v>7200</v>
      </c>
      <c r="F8107">
        <v>0</v>
      </c>
      <c r="G8107">
        <v>0</v>
      </c>
      <c r="H8107" t="s">
        <v>62</v>
      </c>
    </row>
    <row r="8108" spans="1:8" x14ac:dyDescent="0.25">
      <c r="A8108" t="str">
        <f>"&lt;nominal&gt;" &amp;$D$8107&amp;"&lt;/nominal&gt;"</f>
        <v>&lt;nominal&gt;0&lt;/nominal&gt;</v>
      </c>
      <c r="B8108" t="s">
        <v>2995</v>
      </c>
    </row>
    <row r="8109" spans="1:8" x14ac:dyDescent="0.25">
      <c r="A8109" t="str">
        <f>"&lt;lifetime&gt;" &amp;$E$8107&amp;"&lt;/lifetime&gt;"</f>
        <v>&lt;lifetime&gt;7200&lt;/lifetime&gt;</v>
      </c>
      <c r="B8109" t="s">
        <v>2995</v>
      </c>
    </row>
    <row r="8110" spans="1:8" x14ac:dyDescent="0.25">
      <c r="A8110" t="str">
        <f>"&lt;restock&gt;" &amp;$F$8107&amp;"&lt;/restock&gt;"</f>
        <v>&lt;restock&gt;0&lt;/restock&gt;</v>
      </c>
      <c r="B8110" t="s">
        <v>2995</v>
      </c>
    </row>
    <row r="8111" spans="1:8" x14ac:dyDescent="0.25">
      <c r="A8111" t="str">
        <f>"&lt;min&gt;" &amp;$G$8107&amp;"&lt;/min&gt;"</f>
        <v>&lt;min&gt;0&lt;/min&gt;</v>
      </c>
      <c r="B8111" t="s">
        <v>2995</v>
      </c>
    </row>
    <row r="8112" spans="1:8" x14ac:dyDescent="0.25">
      <c r="A8112" t="s">
        <v>16</v>
      </c>
      <c r="B8112" t="s">
        <v>2995</v>
      </c>
    </row>
    <row r="8113" spans="1:8" x14ac:dyDescent="0.25">
      <c r="A8113" t="s">
        <v>17</v>
      </c>
      <c r="B8113" t="s">
        <v>2995</v>
      </c>
    </row>
    <row r="8114" spans="1:8" x14ac:dyDescent="0.25">
      <c r="A8114" t="s">
        <v>18</v>
      </c>
      <c r="B8114" t="s">
        <v>2995</v>
      </c>
    </row>
    <row r="8115" spans="1:8" x14ac:dyDescent="0.25">
      <c r="A8115" t="str">
        <f xml:space="preserve"> $H$8107</f>
        <v>&lt;flags count_in_cargo="0" count_in_hoarder="0" count_in_map="1" count_in_player="0" crafted="1" deloot="0"/&gt;</v>
      </c>
      <c r="B8115" t="s">
        <v>2995</v>
      </c>
    </row>
    <row r="8116" spans="1:8" x14ac:dyDescent="0.25">
      <c r="A8116" t="str">
        <f>"&lt;category name=" &amp;"""" &amp;$C$8107&amp;"""/&gt;"</f>
        <v>&lt;category name="weapons"/&gt;</v>
      </c>
      <c r="B8116" t="s">
        <v>2995</v>
      </c>
    </row>
    <row r="8117" spans="1:8" x14ac:dyDescent="0.25">
      <c r="A8117" t="s">
        <v>22</v>
      </c>
      <c r="B8117" t="s">
        <v>2995</v>
      </c>
    </row>
    <row r="8118" spans="1:8" x14ac:dyDescent="0.25">
      <c r="A8118" t="s">
        <v>2029</v>
      </c>
      <c r="B8118" t="s">
        <v>2996</v>
      </c>
      <c r="C8118" t="s">
        <v>8</v>
      </c>
      <c r="D8118">
        <v>0</v>
      </c>
      <c r="E8118">
        <v>7200</v>
      </c>
      <c r="F8118">
        <v>0</v>
      </c>
      <c r="G8118">
        <v>0</v>
      </c>
      <c r="H8118" t="s">
        <v>62</v>
      </c>
    </row>
    <row r="8119" spans="1:8" x14ac:dyDescent="0.25">
      <c r="A8119" t="str">
        <f>"&lt;nominal&gt;" &amp;$D$8118&amp;"&lt;/nominal&gt;"</f>
        <v>&lt;nominal&gt;0&lt;/nominal&gt;</v>
      </c>
      <c r="B8119" t="s">
        <v>2996</v>
      </c>
    </row>
    <row r="8120" spans="1:8" x14ac:dyDescent="0.25">
      <c r="A8120" t="str">
        <f>"&lt;lifetime&gt;" &amp;$E$8118&amp;"&lt;/lifetime&gt;"</f>
        <v>&lt;lifetime&gt;7200&lt;/lifetime&gt;</v>
      </c>
      <c r="B8120" t="s">
        <v>2996</v>
      </c>
    </row>
    <row r="8121" spans="1:8" x14ac:dyDescent="0.25">
      <c r="A8121" t="str">
        <f>"&lt;restock&gt;" &amp;$F$8118&amp;"&lt;/restock&gt;"</f>
        <v>&lt;restock&gt;0&lt;/restock&gt;</v>
      </c>
      <c r="B8121" t="s">
        <v>2996</v>
      </c>
    </row>
    <row r="8122" spans="1:8" x14ac:dyDescent="0.25">
      <c r="A8122" t="str">
        <f>"&lt;min&gt;" &amp;$G$8118&amp;"&lt;/min&gt;"</f>
        <v>&lt;min&gt;0&lt;/min&gt;</v>
      </c>
      <c r="B8122" t="s">
        <v>2996</v>
      </c>
    </row>
    <row r="8123" spans="1:8" x14ac:dyDescent="0.25">
      <c r="A8123" t="s">
        <v>16</v>
      </c>
      <c r="B8123" t="s">
        <v>2996</v>
      </c>
    </row>
    <row r="8124" spans="1:8" x14ac:dyDescent="0.25">
      <c r="A8124" t="s">
        <v>17</v>
      </c>
      <c r="B8124" t="s">
        <v>2996</v>
      </c>
    </row>
    <row r="8125" spans="1:8" x14ac:dyDescent="0.25">
      <c r="A8125" t="s">
        <v>18</v>
      </c>
      <c r="B8125" t="s">
        <v>2996</v>
      </c>
    </row>
    <row r="8126" spans="1:8" x14ac:dyDescent="0.25">
      <c r="A8126" t="str">
        <f xml:space="preserve"> $H$8118</f>
        <v>&lt;flags count_in_cargo="0" count_in_hoarder="0" count_in_map="1" count_in_player="0" crafted="1" deloot="0"/&gt;</v>
      </c>
      <c r="B8126" t="s">
        <v>2996</v>
      </c>
    </row>
    <row r="8127" spans="1:8" x14ac:dyDescent="0.25">
      <c r="A8127" t="str">
        <f>"&lt;category name=" &amp;"""" &amp;$C$8118&amp;"""/&gt;"</f>
        <v>&lt;category name="weapons"/&gt;</v>
      </c>
      <c r="B8127" t="s">
        <v>2996</v>
      </c>
    </row>
    <row r="8128" spans="1:8" x14ac:dyDescent="0.25">
      <c r="A8128" t="s">
        <v>22</v>
      </c>
      <c r="B8128" t="s">
        <v>2996</v>
      </c>
    </row>
    <row r="8129" spans="1:8" x14ac:dyDescent="0.25">
      <c r="A8129" t="s">
        <v>2030</v>
      </c>
      <c r="B8129" t="s">
        <v>798</v>
      </c>
      <c r="C8129" t="s">
        <v>8</v>
      </c>
      <c r="D8129">
        <v>5</v>
      </c>
      <c r="E8129">
        <v>7200</v>
      </c>
      <c r="F8129">
        <v>0</v>
      </c>
      <c r="G8129">
        <v>2</v>
      </c>
      <c r="H8129" t="s">
        <v>19</v>
      </c>
    </row>
    <row r="8130" spans="1:8" x14ac:dyDescent="0.25">
      <c r="A8130" t="str">
        <f>"&lt;nominal&gt;" &amp;$D$8129&amp;"&lt;/nominal&gt;"</f>
        <v>&lt;nominal&gt;5&lt;/nominal&gt;</v>
      </c>
      <c r="B8130" t="s">
        <v>798</v>
      </c>
    </row>
    <row r="8131" spans="1:8" x14ac:dyDescent="0.25">
      <c r="A8131" t="str">
        <f>"&lt;lifetime&gt;" &amp;$E$8129&amp;"&lt;/lifetime&gt;"</f>
        <v>&lt;lifetime&gt;7200&lt;/lifetime&gt;</v>
      </c>
      <c r="B8131" t="s">
        <v>798</v>
      </c>
    </row>
    <row r="8132" spans="1:8" x14ac:dyDescent="0.25">
      <c r="A8132" t="str">
        <f>"&lt;restock&gt;" &amp;$F$8129&amp;"&lt;/restock&gt;"</f>
        <v>&lt;restock&gt;0&lt;/restock&gt;</v>
      </c>
      <c r="B8132" t="s">
        <v>798</v>
      </c>
    </row>
    <row r="8133" spans="1:8" x14ac:dyDescent="0.25">
      <c r="A8133" t="str">
        <f>"&lt;min&gt;" &amp;$G$8129&amp;"&lt;/min&gt;"</f>
        <v>&lt;min&gt;2&lt;/min&gt;</v>
      </c>
      <c r="B8133" t="s">
        <v>798</v>
      </c>
    </row>
    <row r="8134" spans="1:8" x14ac:dyDescent="0.25">
      <c r="A8134" t="s">
        <v>16</v>
      </c>
      <c r="B8134" t="s">
        <v>798</v>
      </c>
    </row>
    <row r="8135" spans="1:8" x14ac:dyDescent="0.25">
      <c r="A8135" t="s">
        <v>17</v>
      </c>
      <c r="B8135" t="s">
        <v>798</v>
      </c>
    </row>
    <row r="8136" spans="1:8" x14ac:dyDescent="0.25">
      <c r="A8136" t="s">
        <v>18</v>
      </c>
      <c r="B8136" t="s">
        <v>798</v>
      </c>
    </row>
    <row r="8137" spans="1:8" x14ac:dyDescent="0.25">
      <c r="A8137" t="str">
        <f xml:space="preserve"> $H$8129</f>
        <v>&lt;flags count_in_cargo="0" count_in_hoarder="0" count_in_map="1" count_in_player="0" crafted="0" deloot="0"/&gt;</v>
      </c>
      <c r="B8137" t="s">
        <v>798</v>
      </c>
    </row>
    <row r="8138" spans="1:8" x14ac:dyDescent="0.25">
      <c r="A8138" t="str">
        <f>"&lt;category name=" &amp;"""" &amp;$C$8129&amp;"""/&gt;"</f>
        <v>&lt;category name="weapons"/&gt;</v>
      </c>
      <c r="B8138" t="s">
        <v>798</v>
      </c>
    </row>
    <row r="8139" spans="1:8" x14ac:dyDescent="0.25">
      <c r="A8139" t="s">
        <v>29</v>
      </c>
      <c r="B8139" t="s">
        <v>798</v>
      </c>
    </row>
    <row r="8140" spans="1:8" x14ac:dyDescent="0.25">
      <c r="A8140" t="s">
        <v>22</v>
      </c>
      <c r="B8140" t="s">
        <v>798</v>
      </c>
    </row>
    <row r="8141" spans="1:8" x14ac:dyDescent="0.25">
      <c r="A8141" t="s">
        <v>2031</v>
      </c>
      <c r="B8141" t="s">
        <v>799</v>
      </c>
      <c r="C8141" t="s">
        <v>8</v>
      </c>
      <c r="D8141">
        <v>10</v>
      </c>
      <c r="E8141">
        <v>7200</v>
      </c>
      <c r="F8141">
        <v>1800</v>
      </c>
      <c r="G8141">
        <v>5</v>
      </c>
      <c r="H8141" t="s">
        <v>19</v>
      </c>
    </row>
    <row r="8142" spans="1:8" x14ac:dyDescent="0.25">
      <c r="A8142" t="str">
        <f>"&lt;nominal&gt;" &amp;$D$8141&amp;"&lt;/nominal&gt;"</f>
        <v>&lt;nominal&gt;10&lt;/nominal&gt;</v>
      </c>
      <c r="B8142" t="s">
        <v>799</v>
      </c>
    </row>
    <row r="8143" spans="1:8" x14ac:dyDescent="0.25">
      <c r="A8143" t="str">
        <f>"&lt;lifetime&gt;" &amp;$E$8141&amp;"&lt;/lifetime&gt;"</f>
        <v>&lt;lifetime&gt;7200&lt;/lifetime&gt;</v>
      </c>
      <c r="B8143" t="s">
        <v>799</v>
      </c>
    </row>
    <row r="8144" spans="1:8" x14ac:dyDescent="0.25">
      <c r="A8144" t="str">
        <f>"&lt;restock&gt;" &amp;$F$8141&amp;"&lt;/restock&gt;"</f>
        <v>&lt;restock&gt;1800&lt;/restock&gt;</v>
      </c>
      <c r="B8144" t="s">
        <v>799</v>
      </c>
    </row>
    <row r="8145" spans="1:8" x14ac:dyDescent="0.25">
      <c r="A8145" t="str">
        <f>"&lt;min&gt;" &amp;$G$8141&amp;"&lt;/min&gt;"</f>
        <v>&lt;min&gt;5&lt;/min&gt;</v>
      </c>
      <c r="B8145" t="s">
        <v>799</v>
      </c>
    </row>
    <row r="8146" spans="1:8" x14ac:dyDescent="0.25">
      <c r="A8146" t="s">
        <v>16</v>
      </c>
      <c r="B8146" t="s">
        <v>799</v>
      </c>
    </row>
    <row r="8147" spans="1:8" x14ac:dyDescent="0.25">
      <c r="A8147" t="s">
        <v>17</v>
      </c>
      <c r="B8147" t="s">
        <v>799</v>
      </c>
    </row>
    <row r="8148" spans="1:8" x14ac:dyDescent="0.25">
      <c r="A8148" t="s">
        <v>18</v>
      </c>
      <c r="B8148" t="s">
        <v>799</v>
      </c>
    </row>
    <row r="8149" spans="1:8" x14ac:dyDescent="0.25">
      <c r="A8149" t="str">
        <f xml:space="preserve"> $H$8141</f>
        <v>&lt;flags count_in_cargo="0" count_in_hoarder="0" count_in_map="1" count_in_player="0" crafted="0" deloot="0"/&gt;</v>
      </c>
      <c r="B8149" t="s">
        <v>799</v>
      </c>
    </row>
    <row r="8150" spans="1:8" x14ac:dyDescent="0.25">
      <c r="A8150" t="str">
        <f>"&lt;category name=" &amp;"""" &amp;$C$8141&amp;"""/&gt;"</f>
        <v>&lt;category name="weapons"/&gt;</v>
      </c>
      <c r="B8150" t="s">
        <v>799</v>
      </c>
    </row>
    <row r="8151" spans="1:8" x14ac:dyDescent="0.25">
      <c r="A8151" t="s">
        <v>29</v>
      </c>
      <c r="B8151" t="s">
        <v>799</v>
      </c>
    </row>
    <row r="8152" spans="1:8" x14ac:dyDescent="0.25">
      <c r="A8152" t="s">
        <v>22</v>
      </c>
      <c r="B8152" t="s">
        <v>799</v>
      </c>
    </row>
    <row r="8153" spans="1:8" x14ac:dyDescent="0.25">
      <c r="A8153" t="s">
        <v>2032</v>
      </c>
      <c r="B8153" t="s">
        <v>800</v>
      </c>
      <c r="C8153" t="s">
        <v>8</v>
      </c>
      <c r="D8153">
        <v>5</v>
      </c>
      <c r="E8153">
        <v>7200</v>
      </c>
      <c r="F8153">
        <v>0</v>
      </c>
      <c r="G8153">
        <v>2</v>
      </c>
      <c r="H8153" t="s">
        <v>19</v>
      </c>
    </row>
    <row r="8154" spans="1:8" x14ac:dyDescent="0.25">
      <c r="A8154" t="str">
        <f>"&lt;nominal&gt;" &amp;$D$8153&amp;"&lt;/nominal&gt;"</f>
        <v>&lt;nominal&gt;5&lt;/nominal&gt;</v>
      </c>
      <c r="B8154" t="s">
        <v>800</v>
      </c>
    </row>
    <row r="8155" spans="1:8" x14ac:dyDescent="0.25">
      <c r="A8155" t="str">
        <f>"&lt;lifetime&gt;" &amp;$E$8153&amp;"&lt;/lifetime&gt;"</f>
        <v>&lt;lifetime&gt;7200&lt;/lifetime&gt;</v>
      </c>
      <c r="B8155" t="s">
        <v>800</v>
      </c>
    </row>
    <row r="8156" spans="1:8" x14ac:dyDescent="0.25">
      <c r="A8156" t="str">
        <f>"&lt;restock&gt;" &amp;$F$8153&amp;"&lt;/restock&gt;"</f>
        <v>&lt;restock&gt;0&lt;/restock&gt;</v>
      </c>
      <c r="B8156" t="s">
        <v>800</v>
      </c>
    </row>
    <row r="8157" spans="1:8" x14ac:dyDescent="0.25">
      <c r="A8157" t="str">
        <f>"&lt;min&gt;" &amp;$G$8153&amp;"&lt;/min&gt;"</f>
        <v>&lt;min&gt;2&lt;/min&gt;</v>
      </c>
      <c r="B8157" t="s">
        <v>800</v>
      </c>
    </row>
    <row r="8158" spans="1:8" x14ac:dyDescent="0.25">
      <c r="A8158" t="s">
        <v>16</v>
      </c>
      <c r="B8158" t="s">
        <v>800</v>
      </c>
    </row>
    <row r="8159" spans="1:8" x14ac:dyDescent="0.25">
      <c r="A8159" t="s">
        <v>17</v>
      </c>
      <c r="B8159" t="s">
        <v>800</v>
      </c>
    </row>
    <row r="8160" spans="1:8" x14ac:dyDescent="0.25">
      <c r="A8160" t="s">
        <v>18</v>
      </c>
      <c r="B8160" t="s">
        <v>800</v>
      </c>
    </row>
    <row r="8161" spans="1:8" x14ac:dyDescent="0.25">
      <c r="A8161" t="str">
        <f xml:space="preserve"> $H$8153</f>
        <v>&lt;flags count_in_cargo="0" count_in_hoarder="0" count_in_map="1" count_in_player="0" crafted="0" deloot="0"/&gt;</v>
      </c>
      <c r="B8161" t="s">
        <v>800</v>
      </c>
    </row>
    <row r="8162" spans="1:8" x14ac:dyDescent="0.25">
      <c r="A8162" t="str">
        <f>"&lt;category name=" &amp;"""" &amp;$C$8153&amp;"""/&gt;"</f>
        <v>&lt;category name="weapons"/&gt;</v>
      </c>
      <c r="B8162" t="s">
        <v>800</v>
      </c>
    </row>
    <row r="8163" spans="1:8" x14ac:dyDescent="0.25">
      <c r="A8163" t="s">
        <v>29</v>
      </c>
      <c r="B8163" t="s">
        <v>800</v>
      </c>
    </row>
    <row r="8164" spans="1:8" x14ac:dyDescent="0.25">
      <c r="A8164" t="s">
        <v>22</v>
      </c>
      <c r="B8164" t="s">
        <v>800</v>
      </c>
    </row>
    <row r="8165" spans="1:8" x14ac:dyDescent="0.25">
      <c r="A8165" t="s">
        <v>2033</v>
      </c>
      <c r="B8165" t="s">
        <v>801</v>
      </c>
      <c r="C8165" t="s">
        <v>8</v>
      </c>
      <c r="D8165">
        <v>5</v>
      </c>
      <c r="E8165">
        <v>7200</v>
      </c>
      <c r="F8165">
        <v>0</v>
      </c>
      <c r="G8165">
        <v>2</v>
      </c>
      <c r="H8165" t="s">
        <v>19</v>
      </c>
    </row>
    <row r="8166" spans="1:8" x14ac:dyDescent="0.25">
      <c r="A8166" t="str">
        <f>"&lt;nominal&gt;" &amp;$D$8165&amp;"&lt;/nominal&gt;"</f>
        <v>&lt;nominal&gt;5&lt;/nominal&gt;</v>
      </c>
      <c r="B8166" t="s">
        <v>801</v>
      </c>
    </row>
    <row r="8167" spans="1:8" x14ac:dyDescent="0.25">
      <c r="A8167" t="str">
        <f>"&lt;lifetime&gt;" &amp;$E$8165&amp;"&lt;/lifetime&gt;"</f>
        <v>&lt;lifetime&gt;7200&lt;/lifetime&gt;</v>
      </c>
      <c r="B8167" t="s">
        <v>801</v>
      </c>
    </row>
    <row r="8168" spans="1:8" x14ac:dyDescent="0.25">
      <c r="A8168" t="str">
        <f>"&lt;restock&gt;" &amp;$F$8165&amp;"&lt;/restock&gt;"</f>
        <v>&lt;restock&gt;0&lt;/restock&gt;</v>
      </c>
      <c r="B8168" t="s">
        <v>801</v>
      </c>
    </row>
    <row r="8169" spans="1:8" x14ac:dyDescent="0.25">
      <c r="A8169" t="str">
        <f>"&lt;min&gt;" &amp;$G$8165&amp;"&lt;/min&gt;"</f>
        <v>&lt;min&gt;2&lt;/min&gt;</v>
      </c>
      <c r="B8169" t="s">
        <v>801</v>
      </c>
    </row>
    <row r="8170" spans="1:8" x14ac:dyDescent="0.25">
      <c r="A8170" t="s">
        <v>16</v>
      </c>
      <c r="B8170" t="s">
        <v>801</v>
      </c>
    </row>
    <row r="8171" spans="1:8" x14ac:dyDescent="0.25">
      <c r="A8171" t="s">
        <v>17</v>
      </c>
      <c r="B8171" t="s">
        <v>801</v>
      </c>
    </row>
    <row r="8172" spans="1:8" x14ac:dyDescent="0.25">
      <c r="A8172" t="s">
        <v>18</v>
      </c>
      <c r="B8172" t="s">
        <v>801</v>
      </c>
    </row>
    <row r="8173" spans="1:8" x14ac:dyDescent="0.25">
      <c r="A8173" t="str">
        <f xml:space="preserve"> $H$8165</f>
        <v>&lt;flags count_in_cargo="0" count_in_hoarder="0" count_in_map="1" count_in_player="0" crafted="0" deloot="0"/&gt;</v>
      </c>
      <c r="B8173" t="s">
        <v>801</v>
      </c>
    </row>
    <row r="8174" spans="1:8" x14ac:dyDescent="0.25">
      <c r="A8174" t="str">
        <f>"&lt;category name=" &amp;"""" &amp;$C$8165&amp;"""/&gt;"</f>
        <v>&lt;category name="weapons"/&gt;</v>
      </c>
      <c r="B8174" t="s">
        <v>801</v>
      </c>
    </row>
    <row r="8175" spans="1:8" x14ac:dyDescent="0.25">
      <c r="A8175" t="s">
        <v>29</v>
      </c>
      <c r="B8175" t="s">
        <v>801</v>
      </c>
    </row>
    <row r="8176" spans="1:8" x14ac:dyDescent="0.25">
      <c r="A8176" t="s">
        <v>22</v>
      </c>
      <c r="B8176" t="s">
        <v>801</v>
      </c>
    </row>
    <row r="8177" spans="1:8" x14ac:dyDescent="0.25">
      <c r="A8177" t="s">
        <v>2034</v>
      </c>
      <c r="B8177" t="s">
        <v>802</v>
      </c>
      <c r="C8177" t="s">
        <v>8</v>
      </c>
      <c r="D8177">
        <v>5</v>
      </c>
      <c r="E8177">
        <v>7200</v>
      </c>
      <c r="F8177">
        <v>0</v>
      </c>
      <c r="G8177">
        <v>2</v>
      </c>
      <c r="H8177" t="s">
        <v>19</v>
      </c>
    </row>
    <row r="8178" spans="1:8" x14ac:dyDescent="0.25">
      <c r="A8178" t="str">
        <f>"&lt;nominal&gt;" &amp;$D$8177&amp;"&lt;/nominal&gt;"</f>
        <v>&lt;nominal&gt;5&lt;/nominal&gt;</v>
      </c>
      <c r="B8178" t="s">
        <v>802</v>
      </c>
    </row>
    <row r="8179" spans="1:8" x14ac:dyDescent="0.25">
      <c r="A8179" t="str">
        <f>"&lt;lifetime&gt;" &amp;$E$8177&amp;"&lt;/lifetime&gt;"</f>
        <v>&lt;lifetime&gt;7200&lt;/lifetime&gt;</v>
      </c>
      <c r="B8179" t="s">
        <v>802</v>
      </c>
    </row>
    <row r="8180" spans="1:8" x14ac:dyDescent="0.25">
      <c r="A8180" t="str">
        <f>"&lt;restock&gt;" &amp;$F$8177&amp;"&lt;/restock&gt;"</f>
        <v>&lt;restock&gt;0&lt;/restock&gt;</v>
      </c>
      <c r="B8180" t="s">
        <v>802</v>
      </c>
    </row>
    <row r="8181" spans="1:8" x14ac:dyDescent="0.25">
      <c r="A8181" t="str">
        <f>"&lt;min&gt;" &amp;$G$8177&amp;"&lt;/min&gt;"</f>
        <v>&lt;min&gt;2&lt;/min&gt;</v>
      </c>
      <c r="B8181" t="s">
        <v>802</v>
      </c>
    </row>
    <row r="8182" spans="1:8" x14ac:dyDescent="0.25">
      <c r="A8182" t="s">
        <v>16</v>
      </c>
      <c r="B8182" t="s">
        <v>802</v>
      </c>
    </row>
    <row r="8183" spans="1:8" x14ac:dyDescent="0.25">
      <c r="A8183" t="s">
        <v>17</v>
      </c>
      <c r="B8183" t="s">
        <v>802</v>
      </c>
    </row>
    <row r="8184" spans="1:8" x14ac:dyDescent="0.25">
      <c r="A8184" t="s">
        <v>18</v>
      </c>
      <c r="B8184" t="s">
        <v>802</v>
      </c>
    </row>
    <row r="8185" spans="1:8" x14ac:dyDescent="0.25">
      <c r="A8185" t="str">
        <f xml:space="preserve"> $H$8177</f>
        <v>&lt;flags count_in_cargo="0" count_in_hoarder="0" count_in_map="1" count_in_player="0" crafted="0" deloot="0"/&gt;</v>
      </c>
      <c r="B8185" t="s">
        <v>802</v>
      </c>
    </row>
    <row r="8186" spans="1:8" x14ac:dyDescent="0.25">
      <c r="A8186" t="str">
        <f>"&lt;category name=" &amp;"""" &amp;$C$8177&amp;"""/&gt;"</f>
        <v>&lt;category name="weapons"/&gt;</v>
      </c>
      <c r="B8186" t="s">
        <v>802</v>
      </c>
    </row>
    <row r="8187" spans="1:8" x14ac:dyDescent="0.25">
      <c r="A8187" t="s">
        <v>29</v>
      </c>
      <c r="B8187" t="s">
        <v>802</v>
      </c>
    </row>
    <row r="8188" spans="1:8" x14ac:dyDescent="0.25">
      <c r="A8188" t="s">
        <v>22</v>
      </c>
      <c r="B8188" t="s">
        <v>802</v>
      </c>
    </row>
    <row r="8189" spans="1:8" x14ac:dyDescent="0.25">
      <c r="A8189" t="s">
        <v>2035</v>
      </c>
      <c r="B8189" t="s">
        <v>803</v>
      </c>
      <c r="C8189" t="s">
        <v>8</v>
      </c>
      <c r="D8189">
        <v>5</v>
      </c>
      <c r="E8189">
        <v>7200</v>
      </c>
      <c r="F8189">
        <v>0</v>
      </c>
      <c r="G8189">
        <v>2</v>
      </c>
      <c r="H8189" t="s">
        <v>19</v>
      </c>
    </row>
    <row r="8190" spans="1:8" x14ac:dyDescent="0.25">
      <c r="A8190" t="str">
        <f>"&lt;nominal&gt;" &amp;$D$8189&amp;"&lt;/nominal&gt;"</f>
        <v>&lt;nominal&gt;5&lt;/nominal&gt;</v>
      </c>
      <c r="B8190" t="s">
        <v>803</v>
      </c>
    </row>
    <row r="8191" spans="1:8" x14ac:dyDescent="0.25">
      <c r="A8191" t="str">
        <f>"&lt;lifetime&gt;" &amp;$E$8189&amp;"&lt;/lifetime&gt;"</f>
        <v>&lt;lifetime&gt;7200&lt;/lifetime&gt;</v>
      </c>
      <c r="B8191" t="s">
        <v>803</v>
      </c>
    </row>
    <row r="8192" spans="1:8" x14ac:dyDescent="0.25">
      <c r="A8192" t="str">
        <f>"&lt;restock&gt;" &amp;$F$8189&amp;"&lt;/restock&gt;"</f>
        <v>&lt;restock&gt;0&lt;/restock&gt;</v>
      </c>
      <c r="B8192" t="s">
        <v>803</v>
      </c>
    </row>
    <row r="8193" spans="1:8" x14ac:dyDescent="0.25">
      <c r="A8193" t="str">
        <f>"&lt;min&gt;" &amp;$G$8189&amp;"&lt;/min&gt;"</f>
        <v>&lt;min&gt;2&lt;/min&gt;</v>
      </c>
      <c r="B8193" t="s">
        <v>803</v>
      </c>
    </row>
    <row r="8194" spans="1:8" x14ac:dyDescent="0.25">
      <c r="A8194" t="s">
        <v>16</v>
      </c>
      <c r="B8194" t="s">
        <v>803</v>
      </c>
    </row>
    <row r="8195" spans="1:8" x14ac:dyDescent="0.25">
      <c r="A8195" t="s">
        <v>17</v>
      </c>
      <c r="B8195" t="s">
        <v>803</v>
      </c>
    </row>
    <row r="8196" spans="1:8" x14ac:dyDescent="0.25">
      <c r="A8196" t="s">
        <v>18</v>
      </c>
      <c r="B8196" t="s">
        <v>803</v>
      </c>
    </row>
    <row r="8197" spans="1:8" x14ac:dyDescent="0.25">
      <c r="A8197" t="str">
        <f xml:space="preserve"> $H$8189</f>
        <v>&lt;flags count_in_cargo="0" count_in_hoarder="0" count_in_map="1" count_in_player="0" crafted="0" deloot="0"/&gt;</v>
      </c>
      <c r="B8197" t="s">
        <v>803</v>
      </c>
    </row>
    <row r="8198" spans="1:8" x14ac:dyDescent="0.25">
      <c r="A8198" t="str">
        <f>"&lt;category name=" &amp;"""" &amp;$C$8189&amp;"""/&gt;"</f>
        <v>&lt;category name="weapons"/&gt;</v>
      </c>
      <c r="B8198" t="s">
        <v>803</v>
      </c>
    </row>
    <row r="8199" spans="1:8" x14ac:dyDescent="0.25">
      <c r="A8199" t="s">
        <v>29</v>
      </c>
      <c r="B8199" t="s">
        <v>803</v>
      </c>
    </row>
    <row r="8200" spans="1:8" x14ac:dyDescent="0.25">
      <c r="A8200" t="s">
        <v>22</v>
      </c>
      <c r="B8200" t="s">
        <v>803</v>
      </c>
    </row>
    <row r="8201" spans="1:8" x14ac:dyDescent="0.25">
      <c r="A8201" t="s">
        <v>2036</v>
      </c>
      <c r="B8201" t="s">
        <v>804</v>
      </c>
      <c r="C8201" t="s">
        <v>8</v>
      </c>
      <c r="D8201">
        <v>5</v>
      </c>
      <c r="E8201">
        <v>7200</v>
      </c>
      <c r="F8201">
        <v>0</v>
      </c>
      <c r="G8201">
        <v>2</v>
      </c>
      <c r="H8201" t="s">
        <v>19</v>
      </c>
    </row>
    <row r="8202" spans="1:8" x14ac:dyDescent="0.25">
      <c r="A8202" t="str">
        <f>"&lt;nominal&gt;" &amp;$D$8201&amp;"&lt;/nominal&gt;"</f>
        <v>&lt;nominal&gt;5&lt;/nominal&gt;</v>
      </c>
      <c r="B8202" t="s">
        <v>804</v>
      </c>
    </row>
    <row r="8203" spans="1:8" x14ac:dyDescent="0.25">
      <c r="A8203" t="str">
        <f>"&lt;lifetime&gt;" &amp;$E$8201&amp;"&lt;/lifetime&gt;"</f>
        <v>&lt;lifetime&gt;7200&lt;/lifetime&gt;</v>
      </c>
      <c r="B8203" t="s">
        <v>804</v>
      </c>
    </row>
    <row r="8204" spans="1:8" x14ac:dyDescent="0.25">
      <c r="A8204" t="str">
        <f>"&lt;restock&gt;" &amp;$F$8201&amp;"&lt;/restock&gt;"</f>
        <v>&lt;restock&gt;0&lt;/restock&gt;</v>
      </c>
      <c r="B8204" t="s">
        <v>804</v>
      </c>
    </row>
    <row r="8205" spans="1:8" x14ac:dyDescent="0.25">
      <c r="A8205" t="str">
        <f>"&lt;min&gt;" &amp;$G$8201&amp;"&lt;/min&gt;"</f>
        <v>&lt;min&gt;2&lt;/min&gt;</v>
      </c>
      <c r="B8205" t="s">
        <v>804</v>
      </c>
    </row>
    <row r="8206" spans="1:8" x14ac:dyDescent="0.25">
      <c r="A8206" t="s">
        <v>16</v>
      </c>
      <c r="B8206" t="s">
        <v>804</v>
      </c>
    </row>
    <row r="8207" spans="1:8" x14ac:dyDescent="0.25">
      <c r="A8207" t="s">
        <v>17</v>
      </c>
      <c r="B8207" t="s">
        <v>804</v>
      </c>
    </row>
    <row r="8208" spans="1:8" x14ac:dyDescent="0.25">
      <c r="A8208" t="s">
        <v>18</v>
      </c>
      <c r="B8208" t="s">
        <v>804</v>
      </c>
    </row>
    <row r="8209" spans="1:8" x14ac:dyDescent="0.25">
      <c r="A8209" t="str">
        <f xml:space="preserve"> $H$8201</f>
        <v>&lt;flags count_in_cargo="0" count_in_hoarder="0" count_in_map="1" count_in_player="0" crafted="0" deloot="0"/&gt;</v>
      </c>
      <c r="B8209" t="s">
        <v>804</v>
      </c>
    </row>
    <row r="8210" spans="1:8" x14ac:dyDescent="0.25">
      <c r="A8210" t="str">
        <f>"&lt;category name=" &amp;"""" &amp;$C$8201&amp;"""/&gt;"</f>
        <v>&lt;category name="weapons"/&gt;</v>
      </c>
      <c r="B8210" t="s">
        <v>804</v>
      </c>
    </row>
    <row r="8211" spans="1:8" x14ac:dyDescent="0.25">
      <c r="A8211" t="s">
        <v>29</v>
      </c>
      <c r="B8211" t="s">
        <v>804</v>
      </c>
    </row>
    <row r="8212" spans="1:8" x14ac:dyDescent="0.25">
      <c r="A8212" t="s">
        <v>22</v>
      </c>
      <c r="B8212" t="s">
        <v>804</v>
      </c>
    </row>
    <row r="8213" spans="1:8" x14ac:dyDescent="0.25">
      <c r="A8213" t="s">
        <v>2037</v>
      </c>
      <c r="B8213" t="s">
        <v>2997</v>
      </c>
      <c r="C8213" t="s">
        <v>8</v>
      </c>
      <c r="D8213">
        <v>0</v>
      </c>
      <c r="E8213">
        <v>7200</v>
      </c>
      <c r="F8213">
        <v>0</v>
      </c>
      <c r="G8213">
        <v>0</v>
      </c>
      <c r="H8213" t="s">
        <v>62</v>
      </c>
    </row>
    <row r="8214" spans="1:8" x14ac:dyDescent="0.25">
      <c r="A8214" t="str">
        <f>"&lt;nominal&gt;" &amp;$D$8213&amp;"&lt;/nominal&gt;"</f>
        <v>&lt;nominal&gt;0&lt;/nominal&gt;</v>
      </c>
      <c r="B8214" t="s">
        <v>2997</v>
      </c>
    </row>
    <row r="8215" spans="1:8" x14ac:dyDescent="0.25">
      <c r="A8215" t="str">
        <f>"&lt;lifetime&gt;" &amp;$E$8213&amp;"&lt;/lifetime&gt;"</f>
        <v>&lt;lifetime&gt;7200&lt;/lifetime&gt;</v>
      </c>
      <c r="B8215" t="s">
        <v>2997</v>
      </c>
    </row>
    <row r="8216" spans="1:8" x14ac:dyDescent="0.25">
      <c r="A8216" t="str">
        <f>"&lt;restock&gt;" &amp;$F$8213&amp;"&lt;/restock&gt;"</f>
        <v>&lt;restock&gt;0&lt;/restock&gt;</v>
      </c>
      <c r="B8216" t="s">
        <v>2997</v>
      </c>
    </row>
    <row r="8217" spans="1:8" x14ac:dyDescent="0.25">
      <c r="A8217" t="str">
        <f>"&lt;min&gt;" &amp;$G$8213&amp;"&lt;/min&gt;"</f>
        <v>&lt;min&gt;0&lt;/min&gt;</v>
      </c>
      <c r="B8217" t="s">
        <v>2997</v>
      </c>
    </row>
    <row r="8218" spans="1:8" x14ac:dyDescent="0.25">
      <c r="A8218" t="s">
        <v>16</v>
      </c>
      <c r="B8218" t="s">
        <v>2997</v>
      </c>
    </row>
    <row r="8219" spans="1:8" x14ac:dyDescent="0.25">
      <c r="A8219" t="s">
        <v>17</v>
      </c>
      <c r="B8219" t="s">
        <v>2997</v>
      </c>
    </row>
    <row r="8220" spans="1:8" x14ac:dyDescent="0.25">
      <c r="A8220" t="s">
        <v>18</v>
      </c>
      <c r="B8220" t="s">
        <v>2997</v>
      </c>
    </row>
    <row r="8221" spans="1:8" x14ac:dyDescent="0.25">
      <c r="A8221" t="str">
        <f xml:space="preserve"> $H$8213</f>
        <v>&lt;flags count_in_cargo="0" count_in_hoarder="0" count_in_map="1" count_in_player="0" crafted="1" deloot="0"/&gt;</v>
      </c>
      <c r="B8221" t="s">
        <v>2997</v>
      </c>
    </row>
    <row r="8222" spans="1:8" x14ac:dyDescent="0.25">
      <c r="A8222" t="str">
        <f>"&lt;category name=" &amp;"""" &amp;$C$8213&amp;"""/&gt;"</f>
        <v>&lt;category name="weapons"/&gt;</v>
      </c>
      <c r="B8222" t="s">
        <v>2997</v>
      </c>
    </row>
    <row r="8223" spans="1:8" x14ac:dyDescent="0.25">
      <c r="A8223" t="s">
        <v>22</v>
      </c>
      <c r="B8223" t="s">
        <v>2997</v>
      </c>
    </row>
    <row r="8224" spans="1:8" x14ac:dyDescent="0.25">
      <c r="A8224" t="s">
        <v>2038</v>
      </c>
      <c r="B8224" t="s">
        <v>2998</v>
      </c>
      <c r="C8224" t="s">
        <v>8</v>
      </c>
      <c r="D8224">
        <v>0</v>
      </c>
      <c r="E8224">
        <v>7200</v>
      </c>
      <c r="F8224">
        <v>0</v>
      </c>
      <c r="G8224">
        <v>0</v>
      </c>
      <c r="H8224" t="s">
        <v>62</v>
      </c>
    </row>
    <row r="8225" spans="1:8" x14ac:dyDescent="0.25">
      <c r="A8225" t="str">
        <f>"&lt;nominal&gt;" &amp;$D$8224&amp;"&lt;/nominal&gt;"</f>
        <v>&lt;nominal&gt;0&lt;/nominal&gt;</v>
      </c>
      <c r="B8225" t="s">
        <v>2998</v>
      </c>
    </row>
    <row r="8226" spans="1:8" x14ac:dyDescent="0.25">
      <c r="A8226" t="str">
        <f>"&lt;lifetime&gt;" &amp;$E$8224&amp;"&lt;/lifetime&gt;"</f>
        <v>&lt;lifetime&gt;7200&lt;/lifetime&gt;</v>
      </c>
      <c r="B8226" t="s">
        <v>2998</v>
      </c>
    </row>
    <row r="8227" spans="1:8" x14ac:dyDescent="0.25">
      <c r="A8227" t="str">
        <f>"&lt;restock&gt;" &amp;$F$8224&amp;"&lt;/restock&gt;"</f>
        <v>&lt;restock&gt;0&lt;/restock&gt;</v>
      </c>
      <c r="B8227" t="s">
        <v>2998</v>
      </c>
    </row>
    <row r="8228" spans="1:8" x14ac:dyDescent="0.25">
      <c r="A8228" t="str">
        <f>"&lt;min&gt;" &amp;$G$8224&amp;"&lt;/min&gt;"</f>
        <v>&lt;min&gt;0&lt;/min&gt;</v>
      </c>
      <c r="B8228" t="s">
        <v>2998</v>
      </c>
    </row>
    <row r="8229" spans="1:8" x14ac:dyDescent="0.25">
      <c r="A8229" t="s">
        <v>16</v>
      </c>
      <c r="B8229" t="s">
        <v>2998</v>
      </c>
    </row>
    <row r="8230" spans="1:8" x14ac:dyDescent="0.25">
      <c r="A8230" t="s">
        <v>17</v>
      </c>
      <c r="B8230" t="s">
        <v>2998</v>
      </c>
    </row>
    <row r="8231" spans="1:8" x14ac:dyDescent="0.25">
      <c r="A8231" t="s">
        <v>18</v>
      </c>
      <c r="B8231" t="s">
        <v>2998</v>
      </c>
    </row>
    <row r="8232" spans="1:8" x14ac:dyDescent="0.25">
      <c r="A8232" t="str">
        <f xml:space="preserve"> $H$8224</f>
        <v>&lt;flags count_in_cargo="0" count_in_hoarder="0" count_in_map="1" count_in_player="0" crafted="1" deloot="0"/&gt;</v>
      </c>
      <c r="B8232" t="s">
        <v>2998</v>
      </c>
    </row>
    <row r="8233" spans="1:8" x14ac:dyDescent="0.25">
      <c r="A8233" t="str">
        <f>"&lt;category name=" &amp;"""" &amp;$C$8224&amp;"""/&gt;"</f>
        <v>&lt;category name="weapons"/&gt;</v>
      </c>
      <c r="B8233" t="s">
        <v>2998</v>
      </c>
    </row>
    <row r="8234" spans="1:8" x14ac:dyDescent="0.25">
      <c r="A8234" t="s">
        <v>22</v>
      </c>
      <c r="B8234" t="s">
        <v>2998</v>
      </c>
    </row>
    <row r="8235" spans="1:8" x14ac:dyDescent="0.25">
      <c r="A8235" t="s">
        <v>2039</v>
      </c>
      <c r="B8235" t="s">
        <v>805</v>
      </c>
      <c r="C8235" t="s">
        <v>8</v>
      </c>
      <c r="D8235">
        <v>5</v>
      </c>
      <c r="E8235">
        <v>7200</v>
      </c>
      <c r="F8235">
        <v>14400</v>
      </c>
      <c r="G8235">
        <v>2</v>
      </c>
      <c r="H8235" t="s">
        <v>19</v>
      </c>
    </row>
    <row r="8236" spans="1:8" x14ac:dyDescent="0.25">
      <c r="A8236" t="str">
        <f>"&lt;nominal&gt;" &amp;$D$8235&amp;"&lt;/nominal&gt;"</f>
        <v>&lt;nominal&gt;5&lt;/nominal&gt;</v>
      </c>
      <c r="B8236" t="s">
        <v>805</v>
      </c>
    </row>
    <row r="8237" spans="1:8" x14ac:dyDescent="0.25">
      <c r="A8237" t="str">
        <f>"&lt;lifetime&gt;" &amp;$E$8235&amp;"&lt;/lifetime&gt;"</f>
        <v>&lt;lifetime&gt;7200&lt;/lifetime&gt;</v>
      </c>
      <c r="B8237" t="s">
        <v>805</v>
      </c>
    </row>
    <row r="8238" spans="1:8" x14ac:dyDescent="0.25">
      <c r="A8238" t="str">
        <f>"&lt;restock&gt;" &amp;$F$8235&amp;"&lt;/restock&gt;"</f>
        <v>&lt;restock&gt;14400&lt;/restock&gt;</v>
      </c>
      <c r="B8238" t="s">
        <v>805</v>
      </c>
    </row>
    <row r="8239" spans="1:8" x14ac:dyDescent="0.25">
      <c r="A8239" t="str">
        <f>"&lt;min&gt;" &amp;$G$8235&amp;"&lt;/min&gt;"</f>
        <v>&lt;min&gt;2&lt;/min&gt;</v>
      </c>
      <c r="B8239" t="s">
        <v>805</v>
      </c>
    </row>
    <row r="8240" spans="1:8" x14ac:dyDescent="0.25">
      <c r="A8240" t="s">
        <v>16</v>
      </c>
      <c r="B8240" t="s">
        <v>805</v>
      </c>
    </row>
    <row r="8241" spans="1:8" x14ac:dyDescent="0.25">
      <c r="A8241" t="s">
        <v>17</v>
      </c>
      <c r="B8241" t="s">
        <v>805</v>
      </c>
    </row>
    <row r="8242" spans="1:8" x14ac:dyDescent="0.25">
      <c r="A8242" t="s">
        <v>18</v>
      </c>
      <c r="B8242" t="s">
        <v>805</v>
      </c>
    </row>
    <row r="8243" spans="1:8" x14ac:dyDescent="0.25">
      <c r="A8243" t="str">
        <f xml:space="preserve"> $H$8235</f>
        <v>&lt;flags count_in_cargo="0" count_in_hoarder="0" count_in_map="1" count_in_player="0" crafted="0" deloot="0"/&gt;</v>
      </c>
      <c r="B8243" t="s">
        <v>805</v>
      </c>
    </row>
    <row r="8244" spans="1:8" x14ac:dyDescent="0.25">
      <c r="A8244" t="str">
        <f>"&lt;category name=" &amp;"""" &amp;$C$8235&amp;"""/&gt;"</f>
        <v>&lt;category name="weapons"/&gt;</v>
      </c>
      <c r="B8244" t="s">
        <v>805</v>
      </c>
    </row>
    <row r="8245" spans="1:8" x14ac:dyDescent="0.25">
      <c r="A8245" t="s">
        <v>20</v>
      </c>
      <c r="B8245" t="s">
        <v>805</v>
      </c>
    </row>
    <row r="8246" spans="1:8" x14ac:dyDescent="0.25">
      <c r="A8246" t="s">
        <v>29</v>
      </c>
      <c r="B8246" t="s">
        <v>805</v>
      </c>
    </row>
    <row r="8247" spans="1:8" x14ac:dyDescent="0.25">
      <c r="A8247" t="s">
        <v>30</v>
      </c>
      <c r="B8247" t="s">
        <v>805</v>
      </c>
    </row>
    <row r="8248" spans="1:8" x14ac:dyDescent="0.25">
      <c r="A8248" t="s">
        <v>31</v>
      </c>
      <c r="B8248" t="s">
        <v>805</v>
      </c>
    </row>
    <row r="8249" spans="1:8" x14ac:dyDescent="0.25">
      <c r="A8249" t="s">
        <v>307</v>
      </c>
      <c r="B8249" t="s">
        <v>805</v>
      </c>
    </row>
    <row r="8250" spans="1:8" x14ac:dyDescent="0.25">
      <c r="A8250" t="s">
        <v>22</v>
      </c>
      <c r="B8250" t="s">
        <v>805</v>
      </c>
    </row>
    <row r="8251" spans="1:8" x14ac:dyDescent="0.25">
      <c r="A8251" t="s">
        <v>2040</v>
      </c>
      <c r="B8251" t="s">
        <v>806</v>
      </c>
      <c r="C8251" t="s">
        <v>8</v>
      </c>
      <c r="D8251">
        <v>10</v>
      </c>
      <c r="E8251">
        <v>7200</v>
      </c>
      <c r="F8251">
        <v>0</v>
      </c>
      <c r="G8251">
        <v>5</v>
      </c>
      <c r="H8251" t="s">
        <v>19</v>
      </c>
    </row>
    <row r="8252" spans="1:8" x14ac:dyDescent="0.25">
      <c r="A8252" t="str">
        <f>"&lt;nominal&gt;" &amp;$D$8251&amp;"&lt;/nominal&gt;"</f>
        <v>&lt;nominal&gt;10&lt;/nominal&gt;</v>
      </c>
      <c r="B8252" t="s">
        <v>806</v>
      </c>
    </row>
    <row r="8253" spans="1:8" x14ac:dyDescent="0.25">
      <c r="A8253" t="str">
        <f>"&lt;lifetime&gt;" &amp;$E$8251&amp;"&lt;/lifetime&gt;"</f>
        <v>&lt;lifetime&gt;7200&lt;/lifetime&gt;</v>
      </c>
      <c r="B8253" t="s">
        <v>806</v>
      </c>
    </row>
    <row r="8254" spans="1:8" x14ac:dyDescent="0.25">
      <c r="A8254" t="str">
        <f>"&lt;restock&gt;" &amp;$F$8251&amp;"&lt;/restock&gt;"</f>
        <v>&lt;restock&gt;0&lt;/restock&gt;</v>
      </c>
      <c r="B8254" t="s">
        <v>806</v>
      </c>
    </row>
    <row r="8255" spans="1:8" x14ac:dyDescent="0.25">
      <c r="A8255" t="str">
        <f>"&lt;min&gt;" &amp;$G$8251&amp;"&lt;/min&gt;"</f>
        <v>&lt;min&gt;5&lt;/min&gt;</v>
      </c>
      <c r="B8255" t="s">
        <v>806</v>
      </c>
    </row>
    <row r="8256" spans="1:8" x14ac:dyDescent="0.25">
      <c r="A8256" t="s">
        <v>16</v>
      </c>
      <c r="B8256" t="s">
        <v>806</v>
      </c>
    </row>
    <row r="8257" spans="1:8" x14ac:dyDescent="0.25">
      <c r="A8257" t="s">
        <v>17</v>
      </c>
      <c r="B8257" t="s">
        <v>806</v>
      </c>
    </row>
    <row r="8258" spans="1:8" x14ac:dyDescent="0.25">
      <c r="A8258" t="s">
        <v>18</v>
      </c>
      <c r="B8258" t="s">
        <v>806</v>
      </c>
    </row>
    <row r="8259" spans="1:8" x14ac:dyDescent="0.25">
      <c r="A8259" t="str">
        <f xml:space="preserve"> $H$8251</f>
        <v>&lt;flags count_in_cargo="0" count_in_hoarder="0" count_in_map="1" count_in_player="0" crafted="0" deloot="0"/&gt;</v>
      </c>
      <c r="B8259" t="s">
        <v>806</v>
      </c>
    </row>
    <row r="8260" spans="1:8" x14ac:dyDescent="0.25">
      <c r="A8260" t="str">
        <f>"&lt;category name=" &amp;"""" &amp;$C$8251&amp;"""/&gt;"</f>
        <v>&lt;category name="weapons"/&gt;</v>
      </c>
      <c r="B8260" t="s">
        <v>806</v>
      </c>
    </row>
    <row r="8261" spans="1:8" x14ac:dyDescent="0.25">
      <c r="A8261" t="s">
        <v>29</v>
      </c>
      <c r="B8261" t="s">
        <v>806</v>
      </c>
    </row>
    <row r="8262" spans="1:8" x14ac:dyDescent="0.25">
      <c r="A8262" t="s">
        <v>31</v>
      </c>
      <c r="B8262" t="s">
        <v>806</v>
      </c>
    </row>
    <row r="8263" spans="1:8" x14ac:dyDescent="0.25">
      <c r="A8263" t="s">
        <v>307</v>
      </c>
      <c r="B8263" t="s">
        <v>806</v>
      </c>
    </row>
    <row r="8264" spans="1:8" x14ac:dyDescent="0.25">
      <c r="A8264" t="s">
        <v>22</v>
      </c>
      <c r="B8264" t="s">
        <v>806</v>
      </c>
    </row>
    <row r="8265" spans="1:8" x14ac:dyDescent="0.25">
      <c r="A8265" t="s">
        <v>2041</v>
      </c>
      <c r="B8265" t="s">
        <v>807</v>
      </c>
      <c r="C8265" t="s">
        <v>403</v>
      </c>
      <c r="D8265">
        <v>5</v>
      </c>
      <c r="E8265">
        <v>7200</v>
      </c>
      <c r="F8265">
        <v>600</v>
      </c>
      <c r="G8265">
        <v>2</v>
      </c>
      <c r="H8265" t="s">
        <v>19</v>
      </c>
    </row>
    <row r="8266" spans="1:8" x14ac:dyDescent="0.25">
      <c r="A8266" t="str">
        <f>"&lt;nominal&gt;" &amp;$D$8265&amp;"&lt;/nominal&gt;"</f>
        <v>&lt;nominal&gt;5&lt;/nominal&gt;</v>
      </c>
      <c r="B8266" t="s">
        <v>807</v>
      </c>
    </row>
    <row r="8267" spans="1:8" x14ac:dyDescent="0.25">
      <c r="A8267" t="str">
        <f>"&lt;lifetime&gt;" &amp;$E$8265&amp;"&lt;/lifetime&gt;"</f>
        <v>&lt;lifetime&gt;7200&lt;/lifetime&gt;</v>
      </c>
      <c r="B8267" t="s">
        <v>807</v>
      </c>
    </row>
    <row r="8268" spans="1:8" x14ac:dyDescent="0.25">
      <c r="A8268" t="str">
        <f>"&lt;restock&gt;" &amp;$F$8265&amp;"&lt;/restock&gt;"</f>
        <v>&lt;restock&gt;600&lt;/restock&gt;</v>
      </c>
      <c r="B8268" t="s">
        <v>807</v>
      </c>
    </row>
    <row r="8269" spans="1:8" x14ac:dyDescent="0.25">
      <c r="A8269" t="str">
        <f>"&lt;min&gt;" &amp;$G$8265&amp;"&lt;/min&gt;"</f>
        <v>&lt;min&gt;2&lt;/min&gt;</v>
      </c>
      <c r="B8269" t="s">
        <v>807</v>
      </c>
    </row>
    <row r="8270" spans="1:8" x14ac:dyDescent="0.25">
      <c r="A8270" t="s">
        <v>16</v>
      </c>
      <c r="B8270" t="s">
        <v>807</v>
      </c>
    </row>
    <row r="8271" spans="1:8" x14ac:dyDescent="0.25">
      <c r="A8271" t="s">
        <v>17</v>
      </c>
      <c r="B8271" t="s">
        <v>807</v>
      </c>
    </row>
    <row r="8272" spans="1:8" x14ac:dyDescent="0.25">
      <c r="A8272" t="s">
        <v>18</v>
      </c>
      <c r="B8272" t="s">
        <v>807</v>
      </c>
    </row>
    <row r="8273" spans="1:8" x14ac:dyDescent="0.25">
      <c r="A8273" t="str">
        <f xml:space="preserve"> $H$8265</f>
        <v>&lt;flags count_in_cargo="0" count_in_hoarder="0" count_in_map="1" count_in_player="0" crafted="0" deloot="0"/&gt;</v>
      </c>
      <c r="B8273" t="s">
        <v>807</v>
      </c>
    </row>
    <row r="8274" spans="1:8" x14ac:dyDescent="0.25">
      <c r="A8274" t="str">
        <f>"&lt;category name=" &amp;"""" &amp;$C$8265&amp;"""/&gt;"</f>
        <v>&lt;category name="clothes"/&gt;</v>
      </c>
      <c r="B8274" t="s">
        <v>807</v>
      </c>
    </row>
    <row r="8275" spans="1:8" x14ac:dyDescent="0.25">
      <c r="A8275" t="s">
        <v>29</v>
      </c>
      <c r="B8275" t="s">
        <v>807</v>
      </c>
    </row>
    <row r="8276" spans="1:8" x14ac:dyDescent="0.25">
      <c r="A8276" t="s">
        <v>31</v>
      </c>
      <c r="B8276" t="s">
        <v>807</v>
      </c>
    </row>
    <row r="8277" spans="1:8" x14ac:dyDescent="0.25">
      <c r="A8277" t="s">
        <v>307</v>
      </c>
      <c r="B8277" t="s">
        <v>807</v>
      </c>
    </row>
    <row r="8278" spans="1:8" x14ac:dyDescent="0.25">
      <c r="A8278" t="s">
        <v>22</v>
      </c>
      <c r="B8278" t="s">
        <v>807</v>
      </c>
    </row>
    <row r="8279" spans="1:8" x14ac:dyDescent="0.25">
      <c r="A8279" t="s">
        <v>2042</v>
      </c>
      <c r="B8279" t="s">
        <v>808</v>
      </c>
      <c r="C8279" t="s">
        <v>403</v>
      </c>
      <c r="D8279">
        <v>5</v>
      </c>
      <c r="E8279">
        <v>7200</v>
      </c>
      <c r="F8279">
        <v>600</v>
      </c>
      <c r="G8279">
        <v>2</v>
      </c>
      <c r="H8279" t="s">
        <v>19</v>
      </c>
    </row>
    <row r="8280" spans="1:8" x14ac:dyDescent="0.25">
      <c r="A8280" t="str">
        <f>"&lt;nominal&gt;" &amp;$D$8279&amp;"&lt;/nominal&gt;"</f>
        <v>&lt;nominal&gt;5&lt;/nominal&gt;</v>
      </c>
      <c r="B8280" t="s">
        <v>808</v>
      </c>
    </row>
    <row r="8281" spans="1:8" x14ac:dyDescent="0.25">
      <c r="A8281" t="str">
        <f>"&lt;lifetime&gt;" &amp;$E$8279&amp;"&lt;/lifetime&gt;"</f>
        <v>&lt;lifetime&gt;7200&lt;/lifetime&gt;</v>
      </c>
      <c r="B8281" t="s">
        <v>808</v>
      </c>
    </row>
    <row r="8282" spans="1:8" x14ac:dyDescent="0.25">
      <c r="A8282" t="str">
        <f>"&lt;restock&gt;" &amp;$F$8279&amp;"&lt;/restock&gt;"</f>
        <v>&lt;restock&gt;600&lt;/restock&gt;</v>
      </c>
      <c r="B8282" t="s">
        <v>808</v>
      </c>
    </row>
    <row r="8283" spans="1:8" x14ac:dyDescent="0.25">
      <c r="A8283" t="str">
        <f>"&lt;min&gt;" &amp;$G$8279&amp;"&lt;/min&gt;"</f>
        <v>&lt;min&gt;2&lt;/min&gt;</v>
      </c>
      <c r="B8283" t="s">
        <v>808</v>
      </c>
    </row>
    <row r="8284" spans="1:8" x14ac:dyDescent="0.25">
      <c r="A8284" t="s">
        <v>16</v>
      </c>
      <c r="B8284" t="s">
        <v>808</v>
      </c>
    </row>
    <row r="8285" spans="1:8" x14ac:dyDescent="0.25">
      <c r="A8285" t="s">
        <v>17</v>
      </c>
      <c r="B8285" t="s">
        <v>808</v>
      </c>
    </row>
    <row r="8286" spans="1:8" x14ac:dyDescent="0.25">
      <c r="A8286" t="s">
        <v>18</v>
      </c>
      <c r="B8286" t="s">
        <v>808</v>
      </c>
    </row>
    <row r="8287" spans="1:8" x14ac:dyDescent="0.25">
      <c r="A8287" t="str">
        <f xml:space="preserve"> $H$8279</f>
        <v>&lt;flags count_in_cargo="0" count_in_hoarder="0" count_in_map="1" count_in_player="0" crafted="0" deloot="0"/&gt;</v>
      </c>
      <c r="B8287" t="s">
        <v>808</v>
      </c>
    </row>
    <row r="8288" spans="1:8" x14ac:dyDescent="0.25">
      <c r="A8288" t="str">
        <f>"&lt;category name=" &amp;"""" &amp;$C$8279&amp;"""/&gt;"</f>
        <v>&lt;category name="clothes"/&gt;</v>
      </c>
      <c r="B8288" t="s">
        <v>808</v>
      </c>
    </row>
    <row r="8289" spans="1:8" x14ac:dyDescent="0.25">
      <c r="A8289" t="s">
        <v>29</v>
      </c>
      <c r="B8289" t="s">
        <v>808</v>
      </c>
    </row>
    <row r="8290" spans="1:8" x14ac:dyDescent="0.25">
      <c r="A8290" t="s">
        <v>31</v>
      </c>
      <c r="B8290" t="s">
        <v>808</v>
      </c>
    </row>
    <row r="8291" spans="1:8" x14ac:dyDescent="0.25">
      <c r="A8291" t="s">
        <v>307</v>
      </c>
      <c r="B8291" t="s">
        <v>808</v>
      </c>
    </row>
    <row r="8292" spans="1:8" x14ac:dyDescent="0.25">
      <c r="A8292" t="s">
        <v>22</v>
      </c>
      <c r="B8292" t="s">
        <v>808</v>
      </c>
    </row>
    <row r="8293" spans="1:8" x14ac:dyDescent="0.25">
      <c r="A8293" t="s">
        <v>2043</v>
      </c>
      <c r="B8293" t="s">
        <v>809</v>
      </c>
      <c r="C8293" t="s">
        <v>403</v>
      </c>
      <c r="D8293">
        <v>8</v>
      </c>
      <c r="E8293">
        <v>7200</v>
      </c>
      <c r="F8293">
        <v>600</v>
      </c>
      <c r="G8293">
        <v>3</v>
      </c>
      <c r="H8293" t="s">
        <v>19</v>
      </c>
    </row>
    <row r="8294" spans="1:8" x14ac:dyDescent="0.25">
      <c r="A8294" t="str">
        <f>"&lt;nominal&gt;" &amp;$D$8293&amp;"&lt;/nominal&gt;"</f>
        <v>&lt;nominal&gt;8&lt;/nominal&gt;</v>
      </c>
      <c r="B8294" t="s">
        <v>809</v>
      </c>
    </row>
    <row r="8295" spans="1:8" x14ac:dyDescent="0.25">
      <c r="A8295" t="str">
        <f>"&lt;lifetime&gt;" &amp;$E$8293&amp;"&lt;/lifetime&gt;"</f>
        <v>&lt;lifetime&gt;7200&lt;/lifetime&gt;</v>
      </c>
      <c r="B8295" t="s">
        <v>809</v>
      </c>
    </row>
    <row r="8296" spans="1:8" x14ac:dyDescent="0.25">
      <c r="A8296" t="str">
        <f>"&lt;restock&gt;" &amp;$F$8293&amp;"&lt;/restock&gt;"</f>
        <v>&lt;restock&gt;600&lt;/restock&gt;</v>
      </c>
      <c r="B8296" t="s">
        <v>809</v>
      </c>
    </row>
    <row r="8297" spans="1:8" x14ac:dyDescent="0.25">
      <c r="A8297" t="str">
        <f>"&lt;min&gt;" &amp;$G$8293&amp;"&lt;/min&gt;"</f>
        <v>&lt;min&gt;3&lt;/min&gt;</v>
      </c>
      <c r="B8297" t="s">
        <v>809</v>
      </c>
    </row>
    <row r="8298" spans="1:8" x14ac:dyDescent="0.25">
      <c r="A8298" t="s">
        <v>16</v>
      </c>
      <c r="B8298" t="s">
        <v>809</v>
      </c>
    </row>
    <row r="8299" spans="1:8" x14ac:dyDescent="0.25">
      <c r="A8299" t="s">
        <v>17</v>
      </c>
      <c r="B8299" t="s">
        <v>809</v>
      </c>
    </row>
    <row r="8300" spans="1:8" x14ac:dyDescent="0.25">
      <c r="A8300" t="s">
        <v>18</v>
      </c>
      <c r="B8300" t="s">
        <v>809</v>
      </c>
    </row>
    <row r="8301" spans="1:8" x14ac:dyDescent="0.25">
      <c r="A8301" t="str">
        <f xml:space="preserve"> $H$8293</f>
        <v>&lt;flags count_in_cargo="0" count_in_hoarder="0" count_in_map="1" count_in_player="0" crafted="0" deloot="0"/&gt;</v>
      </c>
      <c r="B8301" t="s">
        <v>809</v>
      </c>
    </row>
    <row r="8302" spans="1:8" x14ac:dyDescent="0.25">
      <c r="A8302" t="str">
        <f>"&lt;category name=" &amp;"""" &amp;$C$8293&amp;"""/&gt;"</f>
        <v>&lt;category name="clothes"/&gt;</v>
      </c>
      <c r="B8302" t="s">
        <v>809</v>
      </c>
    </row>
    <row r="8303" spans="1:8" x14ac:dyDescent="0.25">
      <c r="A8303" t="s">
        <v>29</v>
      </c>
      <c r="B8303" t="s">
        <v>809</v>
      </c>
    </row>
    <row r="8304" spans="1:8" x14ac:dyDescent="0.25">
      <c r="A8304" t="s">
        <v>31</v>
      </c>
      <c r="B8304" t="s">
        <v>809</v>
      </c>
    </row>
    <row r="8305" spans="1:8" x14ac:dyDescent="0.25">
      <c r="A8305" t="s">
        <v>307</v>
      </c>
      <c r="B8305" t="s">
        <v>809</v>
      </c>
    </row>
    <row r="8306" spans="1:8" x14ac:dyDescent="0.25">
      <c r="A8306" t="s">
        <v>22</v>
      </c>
      <c r="B8306" t="s">
        <v>809</v>
      </c>
    </row>
    <row r="8307" spans="1:8" x14ac:dyDescent="0.25">
      <c r="A8307" t="s">
        <v>2044</v>
      </c>
      <c r="B8307" t="s">
        <v>810</v>
      </c>
      <c r="C8307" t="s">
        <v>403</v>
      </c>
      <c r="D8307">
        <v>8</v>
      </c>
      <c r="E8307">
        <v>7200</v>
      </c>
      <c r="F8307">
        <v>600</v>
      </c>
      <c r="G8307">
        <v>3</v>
      </c>
      <c r="H8307" t="s">
        <v>19</v>
      </c>
    </row>
    <row r="8308" spans="1:8" x14ac:dyDescent="0.25">
      <c r="A8308" t="str">
        <f>"&lt;nominal&gt;" &amp;$D$8307&amp;"&lt;/nominal&gt;"</f>
        <v>&lt;nominal&gt;8&lt;/nominal&gt;</v>
      </c>
      <c r="B8308" t="s">
        <v>810</v>
      </c>
    </row>
    <row r="8309" spans="1:8" x14ac:dyDescent="0.25">
      <c r="A8309" t="str">
        <f>"&lt;lifetime&gt;" &amp;$E$8307&amp;"&lt;/lifetime&gt;"</f>
        <v>&lt;lifetime&gt;7200&lt;/lifetime&gt;</v>
      </c>
      <c r="B8309" t="s">
        <v>810</v>
      </c>
    </row>
    <row r="8310" spans="1:8" x14ac:dyDescent="0.25">
      <c r="A8310" t="str">
        <f>"&lt;restock&gt;" &amp;$F$8307&amp;"&lt;/restock&gt;"</f>
        <v>&lt;restock&gt;600&lt;/restock&gt;</v>
      </c>
      <c r="B8310" t="s">
        <v>810</v>
      </c>
    </row>
    <row r="8311" spans="1:8" x14ac:dyDescent="0.25">
      <c r="A8311" t="str">
        <f>"&lt;min&gt;" &amp;$G$8307&amp;"&lt;/min&gt;"</f>
        <v>&lt;min&gt;3&lt;/min&gt;</v>
      </c>
      <c r="B8311" t="s">
        <v>810</v>
      </c>
    </row>
    <row r="8312" spans="1:8" x14ac:dyDescent="0.25">
      <c r="A8312" t="s">
        <v>16</v>
      </c>
      <c r="B8312" t="s">
        <v>810</v>
      </c>
    </row>
    <row r="8313" spans="1:8" x14ac:dyDescent="0.25">
      <c r="A8313" t="s">
        <v>17</v>
      </c>
      <c r="B8313" t="s">
        <v>810</v>
      </c>
    </row>
    <row r="8314" spans="1:8" x14ac:dyDescent="0.25">
      <c r="A8314" t="s">
        <v>18</v>
      </c>
      <c r="B8314" t="s">
        <v>810</v>
      </c>
    </row>
    <row r="8315" spans="1:8" x14ac:dyDescent="0.25">
      <c r="A8315" t="str">
        <f xml:space="preserve"> $H$8307</f>
        <v>&lt;flags count_in_cargo="0" count_in_hoarder="0" count_in_map="1" count_in_player="0" crafted="0" deloot="0"/&gt;</v>
      </c>
      <c r="B8315" t="s">
        <v>810</v>
      </c>
    </row>
    <row r="8316" spans="1:8" x14ac:dyDescent="0.25">
      <c r="A8316" t="str">
        <f>"&lt;category name=" &amp;"""" &amp;$C$8307&amp;"""/&gt;"</f>
        <v>&lt;category name="clothes"/&gt;</v>
      </c>
      <c r="B8316" t="s">
        <v>810</v>
      </c>
    </row>
    <row r="8317" spans="1:8" x14ac:dyDescent="0.25">
      <c r="A8317" t="s">
        <v>29</v>
      </c>
      <c r="B8317" t="s">
        <v>810</v>
      </c>
    </row>
    <row r="8318" spans="1:8" x14ac:dyDescent="0.25">
      <c r="A8318" t="s">
        <v>31</v>
      </c>
      <c r="B8318" t="s">
        <v>810</v>
      </c>
    </row>
    <row r="8319" spans="1:8" x14ac:dyDescent="0.25">
      <c r="A8319" t="s">
        <v>307</v>
      </c>
      <c r="B8319" t="s">
        <v>810</v>
      </c>
    </row>
    <row r="8320" spans="1:8" x14ac:dyDescent="0.25">
      <c r="A8320" t="s">
        <v>22</v>
      </c>
      <c r="B8320" t="s">
        <v>810</v>
      </c>
    </row>
    <row r="8321" spans="1:8" x14ac:dyDescent="0.25">
      <c r="A8321" t="s">
        <v>2045</v>
      </c>
      <c r="B8321" t="s">
        <v>811</v>
      </c>
      <c r="C8321" t="s">
        <v>644</v>
      </c>
      <c r="D8321">
        <v>15</v>
      </c>
      <c r="E8321">
        <v>7200</v>
      </c>
      <c r="F8321">
        <v>0</v>
      </c>
      <c r="G8321">
        <v>5</v>
      </c>
      <c r="H8321" t="s">
        <v>19</v>
      </c>
    </row>
    <row r="8322" spans="1:8" x14ac:dyDescent="0.25">
      <c r="A8322" t="str">
        <f>"&lt;nominal&gt;" &amp;$D$8321&amp;"&lt;/nominal&gt;"</f>
        <v>&lt;nominal&gt;15&lt;/nominal&gt;</v>
      </c>
      <c r="B8322" t="s">
        <v>811</v>
      </c>
    </row>
    <row r="8323" spans="1:8" x14ac:dyDescent="0.25">
      <c r="A8323" t="str">
        <f>"&lt;lifetime&gt;" &amp;$E$8321&amp;"&lt;/lifetime&gt;"</f>
        <v>&lt;lifetime&gt;7200&lt;/lifetime&gt;</v>
      </c>
      <c r="B8323" t="s">
        <v>811</v>
      </c>
    </row>
    <row r="8324" spans="1:8" x14ac:dyDescent="0.25">
      <c r="A8324" t="str">
        <f>"&lt;restock&gt;" &amp;$F$8321&amp;"&lt;/restock&gt;"</f>
        <v>&lt;restock&gt;0&lt;/restock&gt;</v>
      </c>
      <c r="B8324" t="s">
        <v>811</v>
      </c>
    </row>
    <row r="8325" spans="1:8" x14ac:dyDescent="0.25">
      <c r="A8325" t="str">
        <f>"&lt;min&gt;" &amp;$G$8321&amp;"&lt;/min&gt;"</f>
        <v>&lt;min&gt;5&lt;/min&gt;</v>
      </c>
      <c r="B8325" t="s">
        <v>811</v>
      </c>
    </row>
    <row r="8326" spans="1:8" x14ac:dyDescent="0.25">
      <c r="A8326" t="s">
        <v>16</v>
      </c>
      <c r="B8326" t="s">
        <v>811</v>
      </c>
    </row>
    <row r="8327" spans="1:8" x14ac:dyDescent="0.25">
      <c r="A8327" t="s">
        <v>17</v>
      </c>
      <c r="B8327" t="s">
        <v>811</v>
      </c>
    </row>
    <row r="8328" spans="1:8" x14ac:dyDescent="0.25">
      <c r="A8328" t="s">
        <v>18</v>
      </c>
      <c r="B8328" t="s">
        <v>811</v>
      </c>
    </row>
    <row r="8329" spans="1:8" x14ac:dyDescent="0.25">
      <c r="A8329" t="str">
        <f xml:space="preserve"> $H$8321</f>
        <v>&lt;flags count_in_cargo="0" count_in_hoarder="0" count_in_map="1" count_in_player="0" crafted="0" deloot="0"/&gt;</v>
      </c>
      <c r="B8329" t="s">
        <v>811</v>
      </c>
    </row>
    <row r="8330" spans="1:8" x14ac:dyDescent="0.25">
      <c r="A8330" t="str">
        <f>"&lt;category name=" &amp;"""" &amp;$C$8321&amp;"""/&gt;"</f>
        <v>&lt;category name="explosives"/&gt;</v>
      </c>
      <c r="B8330" t="s">
        <v>811</v>
      </c>
    </row>
    <row r="8331" spans="1:8" x14ac:dyDescent="0.25">
      <c r="A8331" t="s">
        <v>29</v>
      </c>
      <c r="B8331" t="s">
        <v>811</v>
      </c>
    </row>
    <row r="8332" spans="1:8" x14ac:dyDescent="0.25">
      <c r="A8332" t="s">
        <v>22</v>
      </c>
      <c r="B8332" t="s">
        <v>811</v>
      </c>
    </row>
    <row r="8333" spans="1:8" x14ac:dyDescent="0.25">
      <c r="A8333" t="s">
        <v>2046</v>
      </c>
      <c r="B8333" t="s">
        <v>812</v>
      </c>
      <c r="C8333" t="s">
        <v>8</v>
      </c>
      <c r="D8333">
        <v>10</v>
      </c>
      <c r="E8333">
        <v>7200</v>
      </c>
      <c r="F8333">
        <v>1800</v>
      </c>
      <c r="G8333">
        <v>5</v>
      </c>
      <c r="H8333" t="s">
        <v>19</v>
      </c>
    </row>
    <row r="8334" spans="1:8" x14ac:dyDescent="0.25">
      <c r="A8334" t="str">
        <f>"&lt;nominal&gt;" &amp;$D$8333&amp;"&lt;/nominal&gt;"</f>
        <v>&lt;nominal&gt;10&lt;/nominal&gt;</v>
      </c>
      <c r="B8334" t="s">
        <v>812</v>
      </c>
    </row>
    <row r="8335" spans="1:8" x14ac:dyDescent="0.25">
      <c r="A8335" t="str">
        <f>"&lt;lifetime&gt;" &amp;$E$8333&amp;"&lt;/lifetime&gt;"</f>
        <v>&lt;lifetime&gt;7200&lt;/lifetime&gt;</v>
      </c>
      <c r="B8335" t="s">
        <v>812</v>
      </c>
    </row>
    <row r="8336" spans="1:8" x14ac:dyDescent="0.25">
      <c r="A8336" t="str">
        <f>"&lt;restock&gt;" &amp;$F$8333&amp;"&lt;/restock&gt;"</f>
        <v>&lt;restock&gt;1800&lt;/restock&gt;</v>
      </c>
      <c r="B8336" t="s">
        <v>812</v>
      </c>
    </row>
    <row r="8337" spans="1:8" x14ac:dyDescent="0.25">
      <c r="A8337" t="str">
        <f>"&lt;min&gt;" &amp;$G$8333&amp;"&lt;/min&gt;"</f>
        <v>&lt;min&gt;5&lt;/min&gt;</v>
      </c>
      <c r="B8337" t="s">
        <v>812</v>
      </c>
    </row>
    <row r="8338" spans="1:8" x14ac:dyDescent="0.25">
      <c r="A8338" t="s">
        <v>16</v>
      </c>
      <c r="B8338" t="s">
        <v>812</v>
      </c>
    </row>
    <row r="8339" spans="1:8" x14ac:dyDescent="0.25">
      <c r="A8339" t="s">
        <v>17</v>
      </c>
      <c r="B8339" t="s">
        <v>812</v>
      </c>
    </row>
    <row r="8340" spans="1:8" x14ac:dyDescent="0.25">
      <c r="A8340" t="s">
        <v>18</v>
      </c>
      <c r="B8340" t="s">
        <v>812</v>
      </c>
    </row>
    <row r="8341" spans="1:8" x14ac:dyDescent="0.25">
      <c r="A8341" t="str">
        <f xml:space="preserve"> $H$8333</f>
        <v>&lt;flags count_in_cargo="0" count_in_hoarder="0" count_in_map="1" count_in_player="0" crafted="0" deloot="0"/&gt;</v>
      </c>
      <c r="B8341" t="s">
        <v>812</v>
      </c>
    </row>
    <row r="8342" spans="1:8" x14ac:dyDescent="0.25">
      <c r="A8342" t="str">
        <f>"&lt;category name=" &amp;"""" &amp;$C$8333&amp;"""/&gt;"</f>
        <v>&lt;category name="weapons"/&gt;</v>
      </c>
      <c r="B8342" t="s">
        <v>812</v>
      </c>
    </row>
    <row r="8343" spans="1:8" x14ac:dyDescent="0.25">
      <c r="A8343" t="s">
        <v>29</v>
      </c>
      <c r="B8343" t="s">
        <v>812</v>
      </c>
    </row>
    <row r="8344" spans="1:8" x14ac:dyDescent="0.25">
      <c r="A8344" t="s">
        <v>22</v>
      </c>
      <c r="B8344" t="s">
        <v>812</v>
      </c>
    </row>
    <row r="8345" spans="1:8" x14ac:dyDescent="0.25">
      <c r="A8345" t="s">
        <v>2047</v>
      </c>
      <c r="B8345" t="s">
        <v>813</v>
      </c>
      <c r="C8345" t="s">
        <v>8</v>
      </c>
      <c r="D8345">
        <v>10</v>
      </c>
      <c r="E8345">
        <v>14400</v>
      </c>
      <c r="F8345">
        <v>0</v>
      </c>
      <c r="G8345">
        <v>5</v>
      </c>
      <c r="H8345" t="s">
        <v>19</v>
      </c>
    </row>
    <row r="8346" spans="1:8" x14ac:dyDescent="0.25">
      <c r="A8346" t="str">
        <f>"&lt;nominal&gt;" &amp;$D$8345&amp;"&lt;/nominal&gt;"</f>
        <v>&lt;nominal&gt;10&lt;/nominal&gt;</v>
      </c>
      <c r="B8346" t="s">
        <v>813</v>
      </c>
    </row>
    <row r="8347" spans="1:8" x14ac:dyDescent="0.25">
      <c r="A8347" t="str">
        <f>"&lt;lifetime&gt;" &amp;$E$8345&amp;"&lt;/lifetime&gt;"</f>
        <v>&lt;lifetime&gt;14400&lt;/lifetime&gt;</v>
      </c>
      <c r="B8347" t="s">
        <v>813</v>
      </c>
    </row>
    <row r="8348" spans="1:8" x14ac:dyDescent="0.25">
      <c r="A8348" t="str">
        <f>"&lt;restock&gt;" &amp;$F$8345&amp;"&lt;/restock&gt;"</f>
        <v>&lt;restock&gt;0&lt;/restock&gt;</v>
      </c>
      <c r="B8348" t="s">
        <v>813</v>
      </c>
    </row>
    <row r="8349" spans="1:8" x14ac:dyDescent="0.25">
      <c r="A8349" t="str">
        <f>"&lt;min&gt;" &amp;$G$8345&amp;"&lt;/min&gt;"</f>
        <v>&lt;min&gt;5&lt;/min&gt;</v>
      </c>
      <c r="B8349" t="s">
        <v>813</v>
      </c>
    </row>
    <row r="8350" spans="1:8" x14ac:dyDescent="0.25">
      <c r="A8350" t="s">
        <v>16</v>
      </c>
      <c r="B8350" t="s">
        <v>813</v>
      </c>
    </row>
    <row r="8351" spans="1:8" x14ac:dyDescent="0.25">
      <c r="A8351" t="s">
        <v>17</v>
      </c>
      <c r="B8351" t="s">
        <v>813</v>
      </c>
    </row>
    <row r="8352" spans="1:8" x14ac:dyDescent="0.25">
      <c r="A8352" t="s">
        <v>18</v>
      </c>
      <c r="B8352" t="s">
        <v>813</v>
      </c>
    </row>
    <row r="8353" spans="1:8" x14ac:dyDescent="0.25">
      <c r="A8353" t="str">
        <f xml:space="preserve"> $H$8345</f>
        <v>&lt;flags count_in_cargo="0" count_in_hoarder="0" count_in_map="1" count_in_player="0" crafted="0" deloot="0"/&gt;</v>
      </c>
      <c r="B8353" t="s">
        <v>813</v>
      </c>
    </row>
    <row r="8354" spans="1:8" x14ac:dyDescent="0.25">
      <c r="A8354" t="str">
        <f>"&lt;category name=" &amp;"""" &amp;$C$8345&amp;"""/&gt;"</f>
        <v>&lt;category name="weapons"/&gt;</v>
      </c>
      <c r="B8354" t="s">
        <v>813</v>
      </c>
    </row>
    <row r="8355" spans="1:8" x14ac:dyDescent="0.25">
      <c r="A8355" t="s">
        <v>29</v>
      </c>
      <c r="B8355" t="s">
        <v>813</v>
      </c>
    </row>
    <row r="8356" spans="1:8" x14ac:dyDescent="0.25">
      <c r="A8356" t="s">
        <v>30</v>
      </c>
      <c r="B8356" t="s">
        <v>813</v>
      </c>
    </row>
    <row r="8357" spans="1:8" x14ac:dyDescent="0.25">
      <c r="A8357" t="s">
        <v>31</v>
      </c>
      <c r="B8357" t="s">
        <v>813</v>
      </c>
    </row>
    <row r="8358" spans="1:8" x14ac:dyDescent="0.25">
      <c r="A8358" t="s">
        <v>22</v>
      </c>
      <c r="B8358" t="s">
        <v>813</v>
      </c>
    </row>
    <row r="8359" spans="1:8" x14ac:dyDescent="0.25">
      <c r="A8359" t="s">
        <v>2048</v>
      </c>
      <c r="B8359" t="s">
        <v>814</v>
      </c>
      <c r="C8359" t="s">
        <v>8</v>
      </c>
      <c r="D8359">
        <v>20</v>
      </c>
      <c r="E8359">
        <v>7200</v>
      </c>
      <c r="F8359">
        <v>0</v>
      </c>
      <c r="G8359">
        <v>10</v>
      </c>
      <c r="H8359" t="s">
        <v>19</v>
      </c>
    </row>
    <row r="8360" spans="1:8" x14ac:dyDescent="0.25">
      <c r="A8360" t="str">
        <f>"&lt;nominal&gt;" &amp;$D$8359&amp;"&lt;/nominal&gt;"</f>
        <v>&lt;nominal&gt;20&lt;/nominal&gt;</v>
      </c>
      <c r="B8360" t="s">
        <v>814</v>
      </c>
    </row>
    <row r="8361" spans="1:8" x14ac:dyDescent="0.25">
      <c r="A8361" t="str">
        <f>"&lt;lifetime&gt;" &amp;$E$8359&amp;"&lt;/lifetime&gt;"</f>
        <v>&lt;lifetime&gt;7200&lt;/lifetime&gt;</v>
      </c>
      <c r="B8361" t="s">
        <v>814</v>
      </c>
    </row>
    <row r="8362" spans="1:8" x14ac:dyDescent="0.25">
      <c r="A8362" t="str">
        <f>"&lt;restock&gt;" &amp;$F$8359&amp;"&lt;/restock&gt;"</f>
        <v>&lt;restock&gt;0&lt;/restock&gt;</v>
      </c>
      <c r="B8362" t="s">
        <v>814</v>
      </c>
    </row>
    <row r="8363" spans="1:8" x14ac:dyDescent="0.25">
      <c r="A8363" t="str">
        <f>"&lt;min&gt;" &amp;$G$8359&amp;"&lt;/min&gt;"</f>
        <v>&lt;min&gt;10&lt;/min&gt;</v>
      </c>
      <c r="B8363" t="s">
        <v>814</v>
      </c>
    </row>
    <row r="8364" spans="1:8" x14ac:dyDescent="0.25">
      <c r="A8364" t="s">
        <v>16</v>
      </c>
      <c r="B8364" t="s">
        <v>814</v>
      </c>
    </row>
    <row r="8365" spans="1:8" x14ac:dyDescent="0.25">
      <c r="A8365" t="s">
        <v>17</v>
      </c>
      <c r="B8365" t="s">
        <v>814</v>
      </c>
    </row>
    <row r="8366" spans="1:8" x14ac:dyDescent="0.25">
      <c r="A8366" t="s">
        <v>18</v>
      </c>
      <c r="B8366" t="s">
        <v>814</v>
      </c>
    </row>
    <row r="8367" spans="1:8" x14ac:dyDescent="0.25">
      <c r="A8367" t="str">
        <f xml:space="preserve"> $H$8359</f>
        <v>&lt;flags count_in_cargo="0" count_in_hoarder="0" count_in_map="1" count_in_player="0" crafted="0" deloot="0"/&gt;</v>
      </c>
      <c r="B8367" t="s">
        <v>814</v>
      </c>
    </row>
    <row r="8368" spans="1:8" x14ac:dyDescent="0.25">
      <c r="A8368" t="str">
        <f>"&lt;category name=" &amp;"""" &amp;$C$8359&amp;"""/&gt;"</f>
        <v>&lt;category name="weapons"/&gt;</v>
      </c>
      <c r="B8368" t="s">
        <v>814</v>
      </c>
    </row>
    <row r="8369" spans="1:8" x14ac:dyDescent="0.25">
      <c r="A8369" t="s">
        <v>20</v>
      </c>
      <c r="B8369" t="s">
        <v>814</v>
      </c>
    </row>
    <row r="8370" spans="1:8" x14ac:dyDescent="0.25">
      <c r="A8370" t="s">
        <v>39</v>
      </c>
      <c r="B8370" t="s">
        <v>814</v>
      </c>
    </row>
    <row r="8371" spans="1:8" x14ac:dyDescent="0.25">
      <c r="A8371" t="s">
        <v>40</v>
      </c>
      <c r="B8371" t="s">
        <v>814</v>
      </c>
    </row>
    <row r="8372" spans="1:8" x14ac:dyDescent="0.25">
      <c r="A8372" t="s">
        <v>22</v>
      </c>
      <c r="B8372" t="s">
        <v>814</v>
      </c>
    </row>
    <row r="8373" spans="1:8" x14ac:dyDescent="0.25">
      <c r="A8373" t="s">
        <v>2049</v>
      </c>
      <c r="B8373" t="s">
        <v>815</v>
      </c>
      <c r="C8373" t="s">
        <v>8</v>
      </c>
      <c r="D8373">
        <v>10</v>
      </c>
      <c r="E8373">
        <v>10800</v>
      </c>
      <c r="F8373">
        <v>1800</v>
      </c>
      <c r="G8373">
        <v>5</v>
      </c>
      <c r="H8373" t="s">
        <v>19</v>
      </c>
    </row>
    <row r="8374" spans="1:8" x14ac:dyDescent="0.25">
      <c r="A8374" t="str">
        <f>"&lt;nominal&gt;" &amp;$D$8373&amp;"&lt;/nominal&gt;"</f>
        <v>&lt;nominal&gt;10&lt;/nominal&gt;</v>
      </c>
      <c r="B8374" t="s">
        <v>815</v>
      </c>
    </row>
    <row r="8375" spans="1:8" x14ac:dyDescent="0.25">
      <c r="A8375" t="str">
        <f>"&lt;lifetime&gt;" &amp;$E$8373&amp;"&lt;/lifetime&gt;"</f>
        <v>&lt;lifetime&gt;10800&lt;/lifetime&gt;</v>
      </c>
      <c r="B8375" t="s">
        <v>815</v>
      </c>
    </row>
    <row r="8376" spans="1:8" x14ac:dyDescent="0.25">
      <c r="A8376" t="str">
        <f>"&lt;restock&gt;" &amp;$F$8373&amp;"&lt;/restock&gt;"</f>
        <v>&lt;restock&gt;1800&lt;/restock&gt;</v>
      </c>
      <c r="B8376" t="s">
        <v>815</v>
      </c>
    </row>
    <row r="8377" spans="1:8" x14ac:dyDescent="0.25">
      <c r="A8377" t="str">
        <f>"&lt;min&gt;" &amp;$G$8373&amp;"&lt;/min&gt;"</f>
        <v>&lt;min&gt;5&lt;/min&gt;</v>
      </c>
      <c r="B8377" t="s">
        <v>815</v>
      </c>
    </row>
    <row r="8378" spans="1:8" x14ac:dyDescent="0.25">
      <c r="A8378" t="s">
        <v>16</v>
      </c>
      <c r="B8378" t="s">
        <v>815</v>
      </c>
    </row>
    <row r="8379" spans="1:8" x14ac:dyDescent="0.25">
      <c r="A8379" t="s">
        <v>17</v>
      </c>
      <c r="B8379" t="s">
        <v>815</v>
      </c>
    </row>
    <row r="8380" spans="1:8" x14ac:dyDescent="0.25">
      <c r="A8380" t="s">
        <v>18</v>
      </c>
      <c r="B8380" t="s">
        <v>815</v>
      </c>
    </row>
    <row r="8381" spans="1:8" x14ac:dyDescent="0.25">
      <c r="A8381" t="str">
        <f xml:space="preserve"> $H$8373</f>
        <v>&lt;flags count_in_cargo="0" count_in_hoarder="0" count_in_map="1" count_in_player="0" crafted="0" deloot="0"/&gt;</v>
      </c>
      <c r="B8381" t="s">
        <v>815</v>
      </c>
    </row>
    <row r="8382" spans="1:8" x14ac:dyDescent="0.25">
      <c r="A8382" t="str">
        <f>"&lt;category name=" &amp;"""" &amp;$C$8373&amp;"""/&gt;"</f>
        <v>&lt;category name="weapons"/&gt;</v>
      </c>
      <c r="B8382" t="s">
        <v>815</v>
      </c>
    </row>
    <row r="8383" spans="1:8" x14ac:dyDescent="0.25">
      <c r="A8383" t="s">
        <v>29</v>
      </c>
      <c r="B8383" t="s">
        <v>815</v>
      </c>
    </row>
    <row r="8384" spans="1:8" x14ac:dyDescent="0.25">
      <c r="A8384" t="s">
        <v>82</v>
      </c>
      <c r="B8384" t="s">
        <v>815</v>
      </c>
    </row>
    <row r="8385" spans="1:8" x14ac:dyDescent="0.25">
      <c r="A8385" t="s">
        <v>30</v>
      </c>
      <c r="B8385" t="s">
        <v>815</v>
      </c>
    </row>
    <row r="8386" spans="1:8" x14ac:dyDescent="0.25">
      <c r="A8386" t="s">
        <v>22</v>
      </c>
      <c r="B8386" t="s">
        <v>815</v>
      </c>
    </row>
    <row r="8387" spans="1:8" x14ac:dyDescent="0.25">
      <c r="A8387" t="s">
        <v>2050</v>
      </c>
      <c r="B8387" t="s">
        <v>816</v>
      </c>
      <c r="C8387" t="s">
        <v>8</v>
      </c>
      <c r="D8387">
        <v>8</v>
      </c>
      <c r="E8387">
        <v>7200</v>
      </c>
      <c r="F8387">
        <v>0</v>
      </c>
      <c r="G8387">
        <v>3</v>
      </c>
      <c r="H8387" t="s">
        <v>19</v>
      </c>
    </row>
    <row r="8388" spans="1:8" x14ac:dyDescent="0.25">
      <c r="A8388" t="str">
        <f>"&lt;nominal&gt;" &amp;$D$8387&amp;"&lt;/nominal&gt;"</f>
        <v>&lt;nominal&gt;8&lt;/nominal&gt;</v>
      </c>
      <c r="B8388" t="s">
        <v>816</v>
      </c>
    </row>
    <row r="8389" spans="1:8" x14ac:dyDescent="0.25">
      <c r="A8389" t="str">
        <f>"&lt;lifetime&gt;" &amp;$E$8387&amp;"&lt;/lifetime&gt;"</f>
        <v>&lt;lifetime&gt;7200&lt;/lifetime&gt;</v>
      </c>
      <c r="B8389" t="s">
        <v>816</v>
      </c>
    </row>
    <row r="8390" spans="1:8" x14ac:dyDescent="0.25">
      <c r="A8390" t="str">
        <f>"&lt;restock&gt;" &amp;$F$8387&amp;"&lt;/restock&gt;"</f>
        <v>&lt;restock&gt;0&lt;/restock&gt;</v>
      </c>
      <c r="B8390" t="s">
        <v>816</v>
      </c>
    </row>
    <row r="8391" spans="1:8" x14ac:dyDescent="0.25">
      <c r="A8391" t="str">
        <f>"&lt;min&gt;" &amp;$G$8387&amp;"&lt;/min&gt;"</f>
        <v>&lt;min&gt;3&lt;/min&gt;</v>
      </c>
      <c r="B8391" t="s">
        <v>816</v>
      </c>
    </row>
    <row r="8392" spans="1:8" x14ac:dyDescent="0.25">
      <c r="A8392" t="s">
        <v>16</v>
      </c>
      <c r="B8392" t="s">
        <v>816</v>
      </c>
    </row>
    <row r="8393" spans="1:8" x14ac:dyDescent="0.25">
      <c r="A8393" t="s">
        <v>17</v>
      </c>
      <c r="B8393" t="s">
        <v>816</v>
      </c>
    </row>
    <row r="8394" spans="1:8" x14ac:dyDescent="0.25">
      <c r="A8394" t="s">
        <v>18</v>
      </c>
      <c r="B8394" t="s">
        <v>816</v>
      </c>
    </row>
    <row r="8395" spans="1:8" x14ac:dyDescent="0.25">
      <c r="A8395" t="str">
        <f xml:space="preserve"> $H$8387</f>
        <v>&lt;flags count_in_cargo="0" count_in_hoarder="0" count_in_map="1" count_in_player="0" crafted="0" deloot="0"/&gt;</v>
      </c>
      <c r="B8395" t="s">
        <v>816</v>
      </c>
    </row>
    <row r="8396" spans="1:8" x14ac:dyDescent="0.25">
      <c r="A8396" t="str">
        <f>"&lt;category name=" &amp;"""" &amp;$C$8387&amp;"""/&gt;"</f>
        <v>&lt;category name="weapons"/&gt;</v>
      </c>
      <c r="B8396" t="s">
        <v>816</v>
      </c>
    </row>
    <row r="8397" spans="1:8" x14ac:dyDescent="0.25">
      <c r="A8397" t="s">
        <v>29</v>
      </c>
      <c r="B8397" t="s">
        <v>816</v>
      </c>
    </row>
    <row r="8398" spans="1:8" x14ac:dyDescent="0.25">
      <c r="A8398" t="s">
        <v>173</v>
      </c>
      <c r="B8398" t="s">
        <v>816</v>
      </c>
    </row>
    <row r="8399" spans="1:8" x14ac:dyDescent="0.25">
      <c r="A8399" t="s">
        <v>30</v>
      </c>
      <c r="B8399" t="s">
        <v>816</v>
      </c>
    </row>
    <row r="8400" spans="1:8" x14ac:dyDescent="0.25">
      <c r="A8400" t="s">
        <v>31</v>
      </c>
      <c r="B8400" t="s">
        <v>816</v>
      </c>
    </row>
    <row r="8401" spans="1:8" x14ac:dyDescent="0.25">
      <c r="A8401" t="s">
        <v>307</v>
      </c>
      <c r="B8401" t="s">
        <v>816</v>
      </c>
    </row>
    <row r="8402" spans="1:8" x14ac:dyDescent="0.25">
      <c r="A8402" t="s">
        <v>22</v>
      </c>
      <c r="B8402" t="s">
        <v>816</v>
      </c>
    </row>
    <row r="8403" spans="1:8" x14ac:dyDescent="0.25">
      <c r="A8403" t="s">
        <v>2051</v>
      </c>
      <c r="B8403" t="s">
        <v>817</v>
      </c>
      <c r="C8403" t="s">
        <v>8</v>
      </c>
      <c r="D8403">
        <v>5</v>
      </c>
      <c r="E8403">
        <v>1800</v>
      </c>
      <c r="F8403">
        <v>0</v>
      </c>
      <c r="G8403">
        <v>2</v>
      </c>
      <c r="H8403" t="s">
        <v>19</v>
      </c>
    </row>
    <row r="8404" spans="1:8" x14ac:dyDescent="0.25">
      <c r="A8404" t="str">
        <f>"&lt;nominal&gt;" &amp;$D$8403&amp;"&lt;/nominal&gt;"</f>
        <v>&lt;nominal&gt;5&lt;/nominal&gt;</v>
      </c>
      <c r="B8404" t="s">
        <v>817</v>
      </c>
    </row>
    <row r="8405" spans="1:8" x14ac:dyDescent="0.25">
      <c r="A8405" t="str">
        <f>"&lt;lifetime&gt;" &amp;$E$8403&amp;"&lt;/lifetime&gt;"</f>
        <v>&lt;lifetime&gt;1800&lt;/lifetime&gt;</v>
      </c>
      <c r="B8405" t="s">
        <v>817</v>
      </c>
    </row>
    <row r="8406" spans="1:8" x14ac:dyDescent="0.25">
      <c r="A8406" t="str">
        <f>"&lt;restock&gt;" &amp;$F$8403&amp;"&lt;/restock&gt;"</f>
        <v>&lt;restock&gt;0&lt;/restock&gt;</v>
      </c>
      <c r="B8406" t="s">
        <v>817</v>
      </c>
    </row>
    <row r="8407" spans="1:8" x14ac:dyDescent="0.25">
      <c r="A8407" t="str">
        <f>"&lt;min&gt;" &amp;$G$8403&amp;"&lt;/min&gt;"</f>
        <v>&lt;min&gt;2&lt;/min&gt;</v>
      </c>
      <c r="B8407" t="s">
        <v>817</v>
      </c>
    </row>
    <row r="8408" spans="1:8" x14ac:dyDescent="0.25">
      <c r="A8408" t="s">
        <v>16</v>
      </c>
      <c r="B8408" t="s">
        <v>817</v>
      </c>
    </row>
    <row r="8409" spans="1:8" x14ac:dyDescent="0.25">
      <c r="A8409" t="s">
        <v>17</v>
      </c>
      <c r="B8409" t="s">
        <v>817</v>
      </c>
    </row>
    <row r="8410" spans="1:8" x14ac:dyDescent="0.25">
      <c r="A8410" t="s">
        <v>18</v>
      </c>
      <c r="B8410" t="s">
        <v>817</v>
      </c>
    </row>
    <row r="8411" spans="1:8" x14ac:dyDescent="0.25">
      <c r="A8411" t="str">
        <f xml:space="preserve"> $H$8403</f>
        <v>&lt;flags count_in_cargo="0" count_in_hoarder="0" count_in_map="1" count_in_player="0" crafted="0" deloot="0"/&gt;</v>
      </c>
      <c r="B8411" t="s">
        <v>817</v>
      </c>
    </row>
    <row r="8412" spans="1:8" x14ac:dyDescent="0.25">
      <c r="A8412" t="str">
        <f>"&lt;category name=" &amp;"""" &amp;$C$8403&amp;"""/&gt;"</f>
        <v>&lt;category name="weapons"/&gt;</v>
      </c>
      <c r="B8412" t="s">
        <v>817</v>
      </c>
    </row>
    <row r="8413" spans="1:8" x14ac:dyDescent="0.25">
      <c r="A8413" t="s">
        <v>29</v>
      </c>
      <c r="B8413" t="s">
        <v>817</v>
      </c>
    </row>
    <row r="8414" spans="1:8" x14ac:dyDescent="0.25">
      <c r="A8414" t="s">
        <v>173</v>
      </c>
      <c r="B8414" t="s">
        <v>817</v>
      </c>
    </row>
    <row r="8415" spans="1:8" x14ac:dyDescent="0.25">
      <c r="A8415" t="s">
        <v>22</v>
      </c>
      <c r="B8415" t="s">
        <v>817</v>
      </c>
    </row>
    <row r="8416" spans="1:8" x14ac:dyDescent="0.25">
      <c r="A8416" t="s">
        <v>2052</v>
      </c>
      <c r="B8416" t="s">
        <v>818</v>
      </c>
      <c r="C8416" t="s">
        <v>8</v>
      </c>
      <c r="D8416">
        <v>5</v>
      </c>
      <c r="E8416">
        <v>7200</v>
      </c>
      <c r="F8416">
        <v>0</v>
      </c>
      <c r="G8416">
        <v>2</v>
      </c>
      <c r="H8416" t="s">
        <v>19</v>
      </c>
    </row>
    <row r="8417" spans="1:8" x14ac:dyDescent="0.25">
      <c r="A8417" t="str">
        <f>"&lt;nominal&gt;" &amp;$D$8416&amp;"&lt;/nominal&gt;"</f>
        <v>&lt;nominal&gt;5&lt;/nominal&gt;</v>
      </c>
      <c r="B8417" t="s">
        <v>818</v>
      </c>
    </row>
    <row r="8418" spans="1:8" x14ac:dyDescent="0.25">
      <c r="A8418" t="str">
        <f>"&lt;lifetime&gt;" &amp;$E$8416&amp;"&lt;/lifetime&gt;"</f>
        <v>&lt;lifetime&gt;7200&lt;/lifetime&gt;</v>
      </c>
      <c r="B8418" t="s">
        <v>818</v>
      </c>
    </row>
    <row r="8419" spans="1:8" x14ac:dyDescent="0.25">
      <c r="A8419" t="str">
        <f>"&lt;restock&gt;" &amp;$F$8416&amp;"&lt;/restock&gt;"</f>
        <v>&lt;restock&gt;0&lt;/restock&gt;</v>
      </c>
      <c r="B8419" t="s">
        <v>818</v>
      </c>
    </row>
    <row r="8420" spans="1:8" x14ac:dyDescent="0.25">
      <c r="A8420" t="str">
        <f>"&lt;min&gt;" &amp;$G$8416&amp;"&lt;/min&gt;"</f>
        <v>&lt;min&gt;2&lt;/min&gt;</v>
      </c>
      <c r="B8420" t="s">
        <v>818</v>
      </c>
    </row>
    <row r="8421" spans="1:8" x14ac:dyDescent="0.25">
      <c r="A8421" t="s">
        <v>16</v>
      </c>
      <c r="B8421" t="s">
        <v>818</v>
      </c>
    </row>
    <row r="8422" spans="1:8" x14ac:dyDescent="0.25">
      <c r="A8422" t="s">
        <v>17</v>
      </c>
      <c r="B8422" t="s">
        <v>818</v>
      </c>
    </row>
    <row r="8423" spans="1:8" x14ac:dyDescent="0.25">
      <c r="A8423" t="s">
        <v>18</v>
      </c>
      <c r="B8423" t="s">
        <v>818</v>
      </c>
    </row>
    <row r="8424" spans="1:8" x14ac:dyDescent="0.25">
      <c r="A8424" t="str">
        <f xml:space="preserve"> $H$8416</f>
        <v>&lt;flags count_in_cargo="0" count_in_hoarder="0" count_in_map="1" count_in_player="0" crafted="0" deloot="0"/&gt;</v>
      </c>
      <c r="B8424" t="s">
        <v>818</v>
      </c>
    </row>
    <row r="8425" spans="1:8" x14ac:dyDescent="0.25">
      <c r="A8425" t="str">
        <f>"&lt;category name=" &amp;"""" &amp;$C$8416&amp;"""/&gt;"</f>
        <v>&lt;category name="weapons"/&gt;</v>
      </c>
      <c r="B8425" t="s">
        <v>818</v>
      </c>
    </row>
    <row r="8426" spans="1:8" x14ac:dyDescent="0.25">
      <c r="A8426" t="s">
        <v>29</v>
      </c>
      <c r="B8426" t="s">
        <v>818</v>
      </c>
    </row>
    <row r="8427" spans="1:8" x14ac:dyDescent="0.25">
      <c r="A8427" t="s">
        <v>173</v>
      </c>
      <c r="B8427" t="s">
        <v>818</v>
      </c>
    </row>
    <row r="8428" spans="1:8" x14ac:dyDescent="0.25">
      <c r="A8428" t="s">
        <v>22</v>
      </c>
      <c r="B8428" t="s">
        <v>818</v>
      </c>
    </row>
    <row r="8429" spans="1:8" x14ac:dyDescent="0.25">
      <c r="A8429" t="s">
        <v>2053</v>
      </c>
      <c r="B8429" t="s">
        <v>819</v>
      </c>
      <c r="C8429" t="s">
        <v>8</v>
      </c>
      <c r="D8429">
        <v>5</v>
      </c>
      <c r="E8429">
        <v>7200</v>
      </c>
      <c r="F8429">
        <v>0</v>
      </c>
      <c r="G8429">
        <v>2</v>
      </c>
      <c r="H8429" t="s">
        <v>19</v>
      </c>
    </row>
    <row r="8430" spans="1:8" x14ac:dyDescent="0.25">
      <c r="A8430" t="str">
        <f>"&lt;nominal&gt;" &amp;$D$8429&amp;"&lt;/nominal&gt;"</f>
        <v>&lt;nominal&gt;5&lt;/nominal&gt;</v>
      </c>
      <c r="B8430" t="s">
        <v>819</v>
      </c>
    </row>
    <row r="8431" spans="1:8" x14ac:dyDescent="0.25">
      <c r="A8431" t="str">
        <f>"&lt;lifetime&gt;" &amp;$E$8429&amp;"&lt;/lifetime&gt;"</f>
        <v>&lt;lifetime&gt;7200&lt;/lifetime&gt;</v>
      </c>
      <c r="B8431" t="s">
        <v>819</v>
      </c>
    </row>
    <row r="8432" spans="1:8" x14ac:dyDescent="0.25">
      <c r="A8432" t="str">
        <f>"&lt;restock&gt;" &amp;$F$8429&amp;"&lt;/restock&gt;"</f>
        <v>&lt;restock&gt;0&lt;/restock&gt;</v>
      </c>
      <c r="B8432" t="s">
        <v>819</v>
      </c>
    </row>
    <row r="8433" spans="1:8" x14ac:dyDescent="0.25">
      <c r="A8433" t="str">
        <f>"&lt;min&gt;" &amp;$G$8429&amp;"&lt;/min&gt;"</f>
        <v>&lt;min&gt;2&lt;/min&gt;</v>
      </c>
      <c r="B8433" t="s">
        <v>819</v>
      </c>
    </row>
    <row r="8434" spans="1:8" x14ac:dyDescent="0.25">
      <c r="A8434" t="s">
        <v>16</v>
      </c>
      <c r="B8434" t="s">
        <v>819</v>
      </c>
    </row>
    <row r="8435" spans="1:8" x14ac:dyDescent="0.25">
      <c r="A8435" t="s">
        <v>17</v>
      </c>
      <c r="B8435" t="s">
        <v>819</v>
      </c>
    </row>
    <row r="8436" spans="1:8" x14ac:dyDescent="0.25">
      <c r="A8436" t="s">
        <v>18</v>
      </c>
      <c r="B8436" t="s">
        <v>819</v>
      </c>
    </row>
    <row r="8437" spans="1:8" x14ac:dyDescent="0.25">
      <c r="A8437" t="str">
        <f xml:space="preserve"> $H$8429</f>
        <v>&lt;flags count_in_cargo="0" count_in_hoarder="0" count_in_map="1" count_in_player="0" crafted="0" deloot="0"/&gt;</v>
      </c>
      <c r="B8437" t="s">
        <v>819</v>
      </c>
    </row>
    <row r="8438" spans="1:8" x14ac:dyDescent="0.25">
      <c r="A8438" t="str">
        <f>"&lt;category name=" &amp;"""" &amp;$C$8429&amp;"""/&gt;"</f>
        <v>&lt;category name="weapons"/&gt;</v>
      </c>
      <c r="B8438" t="s">
        <v>819</v>
      </c>
    </row>
    <row r="8439" spans="1:8" x14ac:dyDescent="0.25">
      <c r="A8439" t="s">
        <v>29</v>
      </c>
      <c r="B8439" t="s">
        <v>819</v>
      </c>
    </row>
    <row r="8440" spans="1:8" x14ac:dyDescent="0.25">
      <c r="A8440" t="s">
        <v>22</v>
      </c>
      <c r="B8440" t="s">
        <v>819</v>
      </c>
    </row>
    <row r="8441" spans="1:8" x14ac:dyDescent="0.25">
      <c r="A8441" t="s">
        <v>2054</v>
      </c>
      <c r="B8441" t="s">
        <v>820</v>
      </c>
      <c r="C8441" t="s">
        <v>426</v>
      </c>
      <c r="D8441">
        <v>70</v>
      </c>
      <c r="E8441">
        <v>7200</v>
      </c>
      <c r="F8441">
        <v>0</v>
      </c>
      <c r="G8441">
        <v>50</v>
      </c>
      <c r="H8441" t="s">
        <v>19</v>
      </c>
    </row>
    <row r="8442" spans="1:8" x14ac:dyDescent="0.25">
      <c r="A8442" t="str">
        <f>"&lt;nominal&gt;" &amp;$D$8441&amp;"&lt;/nominal&gt;"</f>
        <v>&lt;nominal&gt;70&lt;/nominal&gt;</v>
      </c>
      <c r="B8442" t="s">
        <v>820</v>
      </c>
    </row>
    <row r="8443" spans="1:8" x14ac:dyDescent="0.25">
      <c r="A8443" t="str">
        <f>"&lt;lifetime&gt;" &amp;$E$8441&amp;"&lt;/lifetime&gt;"</f>
        <v>&lt;lifetime&gt;7200&lt;/lifetime&gt;</v>
      </c>
      <c r="B8443" t="s">
        <v>820</v>
      </c>
    </row>
    <row r="8444" spans="1:8" x14ac:dyDescent="0.25">
      <c r="A8444" t="str">
        <f>"&lt;restock&gt;" &amp;$F$8441&amp;"&lt;/restock&gt;"</f>
        <v>&lt;restock&gt;0&lt;/restock&gt;</v>
      </c>
      <c r="B8444" t="s">
        <v>820</v>
      </c>
    </row>
    <row r="8445" spans="1:8" x14ac:dyDescent="0.25">
      <c r="A8445" t="str">
        <f>"&lt;min&gt;" &amp;$G$8441&amp;"&lt;/min&gt;"</f>
        <v>&lt;min&gt;50&lt;/min&gt;</v>
      </c>
      <c r="B8445" t="s">
        <v>820</v>
      </c>
    </row>
    <row r="8446" spans="1:8" x14ac:dyDescent="0.25">
      <c r="A8446" t="s">
        <v>16</v>
      </c>
      <c r="B8446" t="s">
        <v>820</v>
      </c>
    </row>
    <row r="8447" spans="1:8" x14ac:dyDescent="0.25">
      <c r="A8447" t="s">
        <v>17</v>
      </c>
      <c r="B8447" t="s">
        <v>820</v>
      </c>
    </row>
    <row r="8448" spans="1:8" x14ac:dyDescent="0.25">
      <c r="A8448" t="s">
        <v>18</v>
      </c>
      <c r="B8448" t="s">
        <v>820</v>
      </c>
    </row>
    <row r="8449" spans="1:8" x14ac:dyDescent="0.25">
      <c r="A8449" t="str">
        <f xml:space="preserve"> $H$8441</f>
        <v>&lt;flags count_in_cargo="0" count_in_hoarder="0" count_in_map="1" count_in_player="0" crafted="0" deloot="0"/&gt;</v>
      </c>
      <c r="B8449" t="s">
        <v>820</v>
      </c>
    </row>
    <row r="8450" spans="1:8" x14ac:dyDescent="0.25">
      <c r="A8450" t="str">
        <f>"&lt;category name=" &amp;"""" &amp;$C$8441&amp;"""/&gt;"</f>
        <v>&lt;category name="tools"/&gt;</v>
      </c>
      <c r="B8450" t="s">
        <v>820</v>
      </c>
    </row>
    <row r="8451" spans="1:8" x14ac:dyDescent="0.25">
      <c r="A8451" t="s">
        <v>56</v>
      </c>
      <c r="B8451" t="s">
        <v>820</v>
      </c>
    </row>
    <row r="8452" spans="1:8" x14ac:dyDescent="0.25">
      <c r="A8452" t="s">
        <v>22</v>
      </c>
      <c r="B8452" t="s">
        <v>820</v>
      </c>
    </row>
    <row r="8453" spans="1:8" x14ac:dyDescent="0.25">
      <c r="A8453" t="s">
        <v>2055</v>
      </c>
      <c r="B8453" t="s">
        <v>3444</v>
      </c>
      <c r="C8453" t="s">
        <v>426</v>
      </c>
      <c r="D8453">
        <v>0</v>
      </c>
      <c r="E8453">
        <v>900</v>
      </c>
      <c r="F8453">
        <v>0</v>
      </c>
      <c r="G8453">
        <v>0</v>
      </c>
      <c r="H8453" t="s">
        <v>62</v>
      </c>
    </row>
    <row r="8454" spans="1:8" x14ac:dyDescent="0.25">
      <c r="A8454" t="str">
        <f>"&lt;nominal&gt;" &amp;$D$8453&amp;"&lt;/nominal&gt;"</f>
        <v>&lt;nominal&gt;0&lt;/nominal&gt;</v>
      </c>
      <c r="B8454" t="s">
        <v>3444</v>
      </c>
    </row>
    <row r="8455" spans="1:8" x14ac:dyDescent="0.25">
      <c r="A8455" t="str">
        <f>"&lt;lifetime&gt;" &amp;$E$8453&amp;"&lt;/lifetime&gt;"</f>
        <v>&lt;lifetime&gt;900&lt;/lifetime&gt;</v>
      </c>
      <c r="B8455" t="s">
        <v>3444</v>
      </c>
    </row>
    <row r="8456" spans="1:8" x14ac:dyDescent="0.25">
      <c r="A8456" t="str">
        <f>"&lt;restock&gt;" &amp;$F$8453&amp;"&lt;/restock&gt;"</f>
        <v>&lt;restock&gt;0&lt;/restock&gt;</v>
      </c>
      <c r="B8456" t="s">
        <v>3444</v>
      </c>
    </row>
    <row r="8457" spans="1:8" x14ac:dyDescent="0.25">
      <c r="A8457" t="str">
        <f>"&lt;min&gt;" &amp;$G$8453&amp;"&lt;/min&gt;"</f>
        <v>&lt;min&gt;0&lt;/min&gt;</v>
      </c>
      <c r="B8457" t="s">
        <v>3444</v>
      </c>
    </row>
    <row r="8458" spans="1:8" x14ac:dyDescent="0.25">
      <c r="A8458" t="s">
        <v>16</v>
      </c>
      <c r="B8458" t="s">
        <v>3444</v>
      </c>
    </row>
    <row r="8459" spans="1:8" x14ac:dyDescent="0.25">
      <c r="A8459" t="s">
        <v>17</v>
      </c>
      <c r="B8459" t="s">
        <v>3444</v>
      </c>
    </row>
    <row r="8460" spans="1:8" x14ac:dyDescent="0.25">
      <c r="A8460" t="s">
        <v>18</v>
      </c>
      <c r="B8460" t="s">
        <v>3444</v>
      </c>
    </row>
    <row r="8461" spans="1:8" x14ac:dyDescent="0.25">
      <c r="A8461" t="str">
        <f xml:space="preserve"> $H$8453</f>
        <v>&lt;flags count_in_cargo="0" count_in_hoarder="0" count_in_map="1" count_in_player="0" crafted="1" deloot="0"/&gt;</v>
      </c>
      <c r="B8461" t="s">
        <v>3444</v>
      </c>
    </row>
    <row r="8462" spans="1:8" x14ac:dyDescent="0.25">
      <c r="A8462" t="str">
        <f>"&lt;category name=" &amp;"""" &amp;$C$8453&amp;"""/&gt;"</f>
        <v>&lt;category name="tools"/&gt;</v>
      </c>
      <c r="B8462" t="s">
        <v>3444</v>
      </c>
    </row>
    <row r="8463" spans="1:8" x14ac:dyDescent="0.25">
      <c r="A8463" t="s">
        <v>22</v>
      </c>
      <c r="B8463" t="s">
        <v>3444</v>
      </c>
    </row>
    <row r="8464" spans="1:8" x14ac:dyDescent="0.25">
      <c r="A8464" t="s">
        <v>2056</v>
      </c>
      <c r="B8464" t="s">
        <v>821</v>
      </c>
      <c r="C8464" t="s">
        <v>8</v>
      </c>
      <c r="D8464">
        <v>10</v>
      </c>
      <c r="E8464">
        <v>7200</v>
      </c>
      <c r="F8464">
        <v>0</v>
      </c>
      <c r="G8464">
        <v>5</v>
      </c>
      <c r="H8464" t="s">
        <v>19</v>
      </c>
    </row>
    <row r="8465" spans="1:8" x14ac:dyDescent="0.25">
      <c r="A8465" t="str">
        <f>"&lt;nominal&gt;" &amp;$D$8464&amp;"&lt;/nominal&gt;"</f>
        <v>&lt;nominal&gt;10&lt;/nominal&gt;</v>
      </c>
      <c r="B8465" t="s">
        <v>821</v>
      </c>
    </row>
    <row r="8466" spans="1:8" x14ac:dyDescent="0.25">
      <c r="A8466" t="str">
        <f>"&lt;lifetime&gt;" &amp;$E$8464&amp;"&lt;/lifetime&gt;"</f>
        <v>&lt;lifetime&gt;7200&lt;/lifetime&gt;</v>
      </c>
      <c r="B8466" t="s">
        <v>821</v>
      </c>
    </row>
    <row r="8467" spans="1:8" x14ac:dyDescent="0.25">
      <c r="A8467" t="str">
        <f>"&lt;restock&gt;" &amp;$F$8464&amp;"&lt;/restock&gt;"</f>
        <v>&lt;restock&gt;0&lt;/restock&gt;</v>
      </c>
      <c r="B8467" t="s">
        <v>821</v>
      </c>
    </row>
    <row r="8468" spans="1:8" x14ac:dyDescent="0.25">
      <c r="A8468" t="str">
        <f>"&lt;min&gt;" &amp;$G$8464&amp;"&lt;/min&gt;"</f>
        <v>&lt;min&gt;5&lt;/min&gt;</v>
      </c>
      <c r="B8468" t="s">
        <v>821</v>
      </c>
    </row>
    <row r="8469" spans="1:8" x14ac:dyDescent="0.25">
      <c r="A8469" t="s">
        <v>1457</v>
      </c>
      <c r="B8469" t="s">
        <v>821</v>
      </c>
    </row>
    <row r="8470" spans="1:8" x14ac:dyDescent="0.25">
      <c r="A8470" t="s">
        <v>321</v>
      </c>
      <c r="B8470" t="s">
        <v>821</v>
      </c>
    </row>
    <row r="8471" spans="1:8" x14ac:dyDescent="0.25">
      <c r="A8471" t="s">
        <v>18</v>
      </c>
      <c r="B8471" t="s">
        <v>821</v>
      </c>
    </row>
    <row r="8472" spans="1:8" x14ac:dyDescent="0.25">
      <c r="A8472" t="str">
        <f xml:space="preserve"> $H$8464</f>
        <v>&lt;flags count_in_cargo="0" count_in_hoarder="0" count_in_map="1" count_in_player="0" crafted="0" deloot="0"/&gt;</v>
      </c>
      <c r="B8472" t="s">
        <v>821</v>
      </c>
    </row>
    <row r="8473" spans="1:8" x14ac:dyDescent="0.25">
      <c r="A8473" t="str">
        <f>"&lt;category name=" &amp;"""" &amp;$C$8464&amp;"""/&gt;"</f>
        <v>&lt;category name="weapons"/&gt;</v>
      </c>
      <c r="B8473" t="s">
        <v>821</v>
      </c>
    </row>
    <row r="8474" spans="1:8" x14ac:dyDescent="0.25">
      <c r="A8474" t="s">
        <v>20</v>
      </c>
      <c r="B8474" t="s">
        <v>821</v>
      </c>
    </row>
    <row r="8475" spans="1:8" x14ac:dyDescent="0.25">
      <c r="A8475" t="s">
        <v>39</v>
      </c>
      <c r="B8475" t="s">
        <v>821</v>
      </c>
    </row>
    <row r="8476" spans="1:8" x14ac:dyDescent="0.25">
      <c r="A8476" t="s">
        <v>40</v>
      </c>
      <c r="B8476" t="s">
        <v>821</v>
      </c>
    </row>
    <row r="8477" spans="1:8" x14ac:dyDescent="0.25">
      <c r="A8477" t="s">
        <v>22</v>
      </c>
      <c r="B8477" t="s">
        <v>821</v>
      </c>
    </row>
    <row r="8478" spans="1:8" x14ac:dyDescent="0.25">
      <c r="A8478" t="s">
        <v>2057</v>
      </c>
      <c r="B8478" t="s">
        <v>822</v>
      </c>
      <c r="C8478" t="s">
        <v>8</v>
      </c>
      <c r="D8478">
        <v>10</v>
      </c>
      <c r="E8478">
        <v>10800</v>
      </c>
      <c r="F8478">
        <v>1800</v>
      </c>
      <c r="G8478">
        <v>5</v>
      </c>
      <c r="H8478" t="s">
        <v>19</v>
      </c>
    </row>
    <row r="8479" spans="1:8" x14ac:dyDescent="0.25">
      <c r="A8479" t="str">
        <f>"&lt;nominal&gt;" &amp;$D$8478&amp;"&lt;/nominal&gt;"</f>
        <v>&lt;nominal&gt;10&lt;/nominal&gt;</v>
      </c>
      <c r="B8479" t="s">
        <v>822</v>
      </c>
    </row>
    <row r="8480" spans="1:8" x14ac:dyDescent="0.25">
      <c r="A8480" t="str">
        <f>"&lt;lifetime&gt;" &amp;$E$8478&amp;"&lt;/lifetime&gt;"</f>
        <v>&lt;lifetime&gt;10800&lt;/lifetime&gt;</v>
      </c>
      <c r="B8480" t="s">
        <v>822</v>
      </c>
    </row>
    <row r="8481" spans="1:8" x14ac:dyDescent="0.25">
      <c r="A8481" t="str">
        <f>"&lt;restock&gt;" &amp;$F$8478&amp;"&lt;/restock&gt;"</f>
        <v>&lt;restock&gt;1800&lt;/restock&gt;</v>
      </c>
      <c r="B8481" t="s">
        <v>822</v>
      </c>
    </row>
    <row r="8482" spans="1:8" x14ac:dyDescent="0.25">
      <c r="A8482" t="str">
        <f>"&lt;min&gt;" &amp;$G$8478&amp;"&lt;/min&gt;"</f>
        <v>&lt;min&gt;5&lt;/min&gt;</v>
      </c>
      <c r="B8482" t="s">
        <v>822</v>
      </c>
    </row>
    <row r="8483" spans="1:8" x14ac:dyDescent="0.25">
      <c r="A8483" t="s">
        <v>45</v>
      </c>
      <c r="B8483" t="s">
        <v>822</v>
      </c>
    </row>
    <row r="8484" spans="1:8" x14ac:dyDescent="0.25">
      <c r="A8484" t="s">
        <v>328</v>
      </c>
      <c r="B8484" t="s">
        <v>822</v>
      </c>
    </row>
    <row r="8485" spans="1:8" x14ac:dyDescent="0.25">
      <c r="A8485" t="s">
        <v>18</v>
      </c>
      <c r="B8485" t="s">
        <v>822</v>
      </c>
    </row>
    <row r="8486" spans="1:8" x14ac:dyDescent="0.25">
      <c r="A8486" t="str">
        <f xml:space="preserve"> $H$8478</f>
        <v>&lt;flags count_in_cargo="0" count_in_hoarder="0" count_in_map="1" count_in_player="0" crafted="0" deloot="0"/&gt;</v>
      </c>
      <c r="B8486" t="s">
        <v>822</v>
      </c>
    </row>
    <row r="8487" spans="1:8" x14ac:dyDescent="0.25">
      <c r="A8487" t="str">
        <f>"&lt;category name=" &amp;"""" &amp;$C$8478&amp;"""/&gt;"</f>
        <v>&lt;category name="weapons"/&gt;</v>
      </c>
      <c r="B8487" t="s">
        <v>822</v>
      </c>
    </row>
    <row r="8488" spans="1:8" x14ac:dyDescent="0.25">
      <c r="A8488" t="s">
        <v>29</v>
      </c>
      <c r="B8488" t="s">
        <v>822</v>
      </c>
    </row>
    <row r="8489" spans="1:8" x14ac:dyDescent="0.25">
      <c r="A8489" t="s">
        <v>31</v>
      </c>
      <c r="B8489" t="s">
        <v>822</v>
      </c>
    </row>
    <row r="8490" spans="1:8" x14ac:dyDescent="0.25">
      <c r="A8490" t="s">
        <v>307</v>
      </c>
      <c r="B8490" t="s">
        <v>822</v>
      </c>
    </row>
    <row r="8491" spans="1:8" x14ac:dyDescent="0.25">
      <c r="A8491" t="s">
        <v>22</v>
      </c>
      <c r="B8491" t="s">
        <v>822</v>
      </c>
    </row>
    <row r="8492" spans="1:8" x14ac:dyDescent="0.25">
      <c r="A8492" t="s">
        <v>2058</v>
      </c>
      <c r="B8492" t="s">
        <v>823</v>
      </c>
      <c r="C8492" t="s">
        <v>8</v>
      </c>
      <c r="D8492">
        <v>10</v>
      </c>
      <c r="E8492">
        <v>10800</v>
      </c>
      <c r="F8492">
        <v>1800</v>
      </c>
      <c r="G8492">
        <v>5</v>
      </c>
      <c r="H8492" t="s">
        <v>19</v>
      </c>
    </row>
    <row r="8493" spans="1:8" x14ac:dyDescent="0.25">
      <c r="A8493" t="str">
        <f>"&lt;nominal&gt;" &amp;$D$8492&amp;"&lt;/nominal&gt;"</f>
        <v>&lt;nominal&gt;10&lt;/nominal&gt;</v>
      </c>
      <c r="B8493" t="s">
        <v>823</v>
      </c>
    </row>
    <row r="8494" spans="1:8" x14ac:dyDescent="0.25">
      <c r="A8494" t="str">
        <f>"&lt;lifetime&gt;" &amp;$E$8492&amp;"&lt;/lifetime&gt;"</f>
        <v>&lt;lifetime&gt;10800&lt;/lifetime&gt;</v>
      </c>
      <c r="B8494" t="s">
        <v>823</v>
      </c>
    </row>
    <row r="8495" spans="1:8" x14ac:dyDescent="0.25">
      <c r="A8495" t="str">
        <f>"&lt;restock&gt;" &amp;$F$8492&amp;"&lt;/restock&gt;"</f>
        <v>&lt;restock&gt;1800&lt;/restock&gt;</v>
      </c>
      <c r="B8495" t="s">
        <v>823</v>
      </c>
    </row>
    <row r="8496" spans="1:8" x14ac:dyDescent="0.25">
      <c r="A8496" t="str">
        <f>"&lt;min&gt;" &amp;$G$8492&amp;"&lt;/min&gt;"</f>
        <v>&lt;min&gt;5&lt;/min&gt;</v>
      </c>
      <c r="B8496" t="s">
        <v>823</v>
      </c>
    </row>
    <row r="8497" spans="1:8" x14ac:dyDescent="0.25">
      <c r="A8497" t="s">
        <v>45</v>
      </c>
      <c r="B8497" t="s">
        <v>823</v>
      </c>
    </row>
    <row r="8498" spans="1:8" x14ac:dyDescent="0.25">
      <c r="A8498" t="s">
        <v>46</v>
      </c>
      <c r="B8498" t="s">
        <v>823</v>
      </c>
    </row>
    <row r="8499" spans="1:8" x14ac:dyDescent="0.25">
      <c r="A8499" t="s">
        <v>18</v>
      </c>
      <c r="B8499" t="s">
        <v>823</v>
      </c>
    </row>
    <row r="8500" spans="1:8" x14ac:dyDescent="0.25">
      <c r="A8500" t="str">
        <f xml:space="preserve"> $H$8492</f>
        <v>&lt;flags count_in_cargo="0" count_in_hoarder="0" count_in_map="1" count_in_player="0" crafted="0" deloot="0"/&gt;</v>
      </c>
      <c r="B8500" t="s">
        <v>823</v>
      </c>
    </row>
    <row r="8501" spans="1:8" x14ac:dyDescent="0.25">
      <c r="A8501" t="str">
        <f>"&lt;category name=" &amp;"""" &amp;$C$8492&amp;"""/&gt;"</f>
        <v>&lt;category name="weapons"/&gt;</v>
      </c>
      <c r="B8501" t="s">
        <v>823</v>
      </c>
    </row>
    <row r="8502" spans="1:8" x14ac:dyDescent="0.25">
      <c r="A8502" t="s">
        <v>29</v>
      </c>
      <c r="B8502" t="s">
        <v>823</v>
      </c>
    </row>
    <row r="8503" spans="1:8" x14ac:dyDescent="0.25">
      <c r="A8503" t="s">
        <v>30</v>
      </c>
      <c r="B8503" t="s">
        <v>823</v>
      </c>
    </row>
    <row r="8504" spans="1:8" x14ac:dyDescent="0.25">
      <c r="A8504" t="s">
        <v>31</v>
      </c>
      <c r="B8504" t="s">
        <v>823</v>
      </c>
    </row>
    <row r="8505" spans="1:8" x14ac:dyDescent="0.25">
      <c r="A8505" t="s">
        <v>307</v>
      </c>
      <c r="B8505" t="s">
        <v>823</v>
      </c>
    </row>
    <row r="8506" spans="1:8" x14ac:dyDescent="0.25">
      <c r="A8506" t="s">
        <v>22</v>
      </c>
      <c r="B8506" t="s">
        <v>823</v>
      </c>
    </row>
    <row r="8507" spans="1:8" x14ac:dyDescent="0.25">
      <c r="A8507" t="s">
        <v>2059</v>
      </c>
      <c r="B8507" t="s">
        <v>824</v>
      </c>
      <c r="C8507" t="s">
        <v>8</v>
      </c>
      <c r="D8507">
        <v>10</v>
      </c>
      <c r="E8507">
        <v>10800</v>
      </c>
      <c r="F8507">
        <v>1800</v>
      </c>
      <c r="G8507">
        <v>5</v>
      </c>
      <c r="H8507" t="s">
        <v>19</v>
      </c>
    </row>
    <row r="8508" spans="1:8" x14ac:dyDescent="0.25">
      <c r="A8508" t="str">
        <f>"&lt;nominal&gt;" &amp;$D$8507&amp;"&lt;/nominal&gt;"</f>
        <v>&lt;nominal&gt;10&lt;/nominal&gt;</v>
      </c>
      <c r="B8508" t="s">
        <v>824</v>
      </c>
    </row>
    <row r="8509" spans="1:8" x14ac:dyDescent="0.25">
      <c r="A8509" t="str">
        <f>"&lt;lifetime&gt;" &amp;$E$8507&amp;"&lt;/lifetime&gt;"</f>
        <v>&lt;lifetime&gt;10800&lt;/lifetime&gt;</v>
      </c>
      <c r="B8509" t="s">
        <v>824</v>
      </c>
    </row>
    <row r="8510" spans="1:8" x14ac:dyDescent="0.25">
      <c r="A8510" t="str">
        <f>"&lt;restock&gt;" &amp;$F$8507&amp;"&lt;/restock&gt;"</f>
        <v>&lt;restock&gt;1800&lt;/restock&gt;</v>
      </c>
      <c r="B8510" t="s">
        <v>824</v>
      </c>
    </row>
    <row r="8511" spans="1:8" x14ac:dyDescent="0.25">
      <c r="A8511" t="str">
        <f>"&lt;min&gt;" &amp;$G$8507&amp;"&lt;/min&gt;"</f>
        <v>&lt;min&gt;5&lt;/min&gt;</v>
      </c>
      <c r="B8511" t="s">
        <v>824</v>
      </c>
    </row>
    <row r="8512" spans="1:8" x14ac:dyDescent="0.25">
      <c r="A8512" t="s">
        <v>327</v>
      </c>
      <c r="B8512" t="s">
        <v>824</v>
      </c>
    </row>
    <row r="8513" spans="1:8" x14ac:dyDescent="0.25">
      <c r="A8513" t="s">
        <v>328</v>
      </c>
      <c r="B8513" t="s">
        <v>824</v>
      </c>
    </row>
    <row r="8514" spans="1:8" x14ac:dyDescent="0.25">
      <c r="A8514" t="s">
        <v>18</v>
      </c>
      <c r="B8514" t="s">
        <v>824</v>
      </c>
    </row>
    <row r="8515" spans="1:8" x14ac:dyDescent="0.25">
      <c r="A8515" t="str">
        <f xml:space="preserve"> $H$8507</f>
        <v>&lt;flags count_in_cargo="0" count_in_hoarder="0" count_in_map="1" count_in_player="0" crafted="0" deloot="0"/&gt;</v>
      </c>
      <c r="B8515" t="s">
        <v>824</v>
      </c>
    </row>
    <row r="8516" spans="1:8" x14ac:dyDescent="0.25">
      <c r="A8516" t="str">
        <f>"&lt;category name=" &amp;"""" &amp;$C$8507&amp;"""/&gt;"</f>
        <v>&lt;category name="weapons"/&gt;</v>
      </c>
      <c r="B8516" t="s">
        <v>824</v>
      </c>
    </row>
    <row r="8517" spans="1:8" x14ac:dyDescent="0.25">
      <c r="A8517" t="s">
        <v>29</v>
      </c>
      <c r="B8517" t="s">
        <v>824</v>
      </c>
    </row>
    <row r="8518" spans="1:8" x14ac:dyDescent="0.25">
      <c r="A8518" t="s">
        <v>31</v>
      </c>
      <c r="B8518" t="s">
        <v>824</v>
      </c>
    </row>
    <row r="8519" spans="1:8" x14ac:dyDescent="0.25">
      <c r="A8519" t="s">
        <v>307</v>
      </c>
      <c r="B8519" t="s">
        <v>824</v>
      </c>
    </row>
    <row r="8520" spans="1:8" x14ac:dyDescent="0.25">
      <c r="A8520" t="s">
        <v>22</v>
      </c>
      <c r="B8520" t="s">
        <v>824</v>
      </c>
    </row>
    <row r="8521" spans="1:8" x14ac:dyDescent="0.25">
      <c r="A8521" t="s">
        <v>2060</v>
      </c>
      <c r="B8521" t="s">
        <v>825</v>
      </c>
      <c r="C8521" t="s">
        <v>8</v>
      </c>
      <c r="D8521">
        <v>5</v>
      </c>
      <c r="E8521">
        <v>10800</v>
      </c>
      <c r="F8521">
        <v>1800</v>
      </c>
      <c r="G8521">
        <v>2</v>
      </c>
      <c r="H8521" t="s">
        <v>38</v>
      </c>
    </row>
    <row r="8522" spans="1:8" x14ac:dyDescent="0.25">
      <c r="A8522" t="str">
        <f>"&lt;nominal&gt;" &amp;$D$8521&amp;"&lt;/nominal&gt;"</f>
        <v>&lt;nominal&gt;5&lt;/nominal&gt;</v>
      </c>
      <c r="B8522" t="s">
        <v>825</v>
      </c>
    </row>
    <row r="8523" spans="1:8" x14ac:dyDescent="0.25">
      <c r="A8523" t="str">
        <f>"&lt;lifetime&gt;" &amp;$E$8521&amp;"&lt;/lifetime&gt;"</f>
        <v>&lt;lifetime&gt;10800&lt;/lifetime&gt;</v>
      </c>
      <c r="B8523" t="s">
        <v>825</v>
      </c>
    </row>
    <row r="8524" spans="1:8" x14ac:dyDescent="0.25">
      <c r="A8524" t="str">
        <f>"&lt;restock&gt;" &amp;$F$8521&amp;"&lt;/restock&gt;"</f>
        <v>&lt;restock&gt;1800&lt;/restock&gt;</v>
      </c>
      <c r="B8524" t="s">
        <v>825</v>
      </c>
    </row>
    <row r="8525" spans="1:8" x14ac:dyDescent="0.25">
      <c r="A8525" t="str">
        <f>"&lt;min&gt;" &amp;$G$8521&amp;"&lt;/min&gt;"</f>
        <v>&lt;min&gt;2&lt;/min&gt;</v>
      </c>
      <c r="B8525" t="s">
        <v>825</v>
      </c>
    </row>
    <row r="8526" spans="1:8" x14ac:dyDescent="0.25">
      <c r="A8526" t="s">
        <v>45</v>
      </c>
      <c r="B8526" t="s">
        <v>825</v>
      </c>
    </row>
    <row r="8527" spans="1:8" x14ac:dyDescent="0.25">
      <c r="A8527" t="s">
        <v>50</v>
      </c>
      <c r="B8527" t="s">
        <v>825</v>
      </c>
    </row>
    <row r="8528" spans="1:8" x14ac:dyDescent="0.25">
      <c r="A8528" t="s">
        <v>18</v>
      </c>
      <c r="B8528" t="s">
        <v>825</v>
      </c>
    </row>
    <row r="8529" spans="1:8" x14ac:dyDescent="0.25">
      <c r="A8529" t="str">
        <f xml:space="preserve"> $H$8521</f>
        <v>&lt;flags count_in_cargo="0" count_in_hoarder="0" count_in_map="1" count_in_player="0" crafted="0" deloot="1"/&gt;</v>
      </c>
      <c r="B8529" t="s">
        <v>825</v>
      </c>
    </row>
    <row r="8530" spans="1:8" x14ac:dyDescent="0.25">
      <c r="A8530" t="str">
        <f>"&lt;category name=" &amp;"""" &amp;$C$8521&amp;"""/&gt;"</f>
        <v>&lt;category name="weapons"/&gt;</v>
      </c>
      <c r="B8530" t="s">
        <v>825</v>
      </c>
    </row>
    <row r="8531" spans="1:8" x14ac:dyDescent="0.25">
      <c r="A8531" t="s">
        <v>20</v>
      </c>
      <c r="B8531" t="s">
        <v>825</v>
      </c>
    </row>
    <row r="8532" spans="1:8" x14ac:dyDescent="0.25">
      <c r="A8532" t="s">
        <v>29</v>
      </c>
      <c r="B8532" t="s">
        <v>825</v>
      </c>
    </row>
    <row r="8533" spans="1:8" x14ac:dyDescent="0.25">
      <c r="A8533" t="s">
        <v>22</v>
      </c>
      <c r="B8533" t="s">
        <v>825</v>
      </c>
    </row>
    <row r="8534" spans="1:8" x14ac:dyDescent="0.25">
      <c r="A8534" t="s">
        <v>2061</v>
      </c>
      <c r="B8534" t="s">
        <v>826</v>
      </c>
      <c r="C8534" t="s">
        <v>8</v>
      </c>
      <c r="D8534">
        <v>10</v>
      </c>
      <c r="E8534">
        <v>10800</v>
      </c>
      <c r="F8534">
        <v>2700</v>
      </c>
      <c r="G8534">
        <v>5</v>
      </c>
      <c r="H8534" t="s">
        <v>19</v>
      </c>
    </row>
    <row r="8535" spans="1:8" x14ac:dyDescent="0.25">
      <c r="A8535" t="str">
        <f>"&lt;nominal&gt;" &amp;$D$8534&amp;"&lt;/nominal&gt;"</f>
        <v>&lt;nominal&gt;10&lt;/nominal&gt;</v>
      </c>
      <c r="B8535" t="s">
        <v>826</v>
      </c>
    </row>
    <row r="8536" spans="1:8" x14ac:dyDescent="0.25">
      <c r="A8536" t="str">
        <f>"&lt;lifetime&gt;" &amp;$E$8534&amp;"&lt;/lifetime&gt;"</f>
        <v>&lt;lifetime&gt;10800&lt;/lifetime&gt;</v>
      </c>
      <c r="B8536" t="s">
        <v>826</v>
      </c>
    </row>
    <row r="8537" spans="1:8" x14ac:dyDescent="0.25">
      <c r="A8537" t="str">
        <f>"&lt;restock&gt;" &amp;$F$8534&amp;"&lt;/restock&gt;"</f>
        <v>&lt;restock&gt;2700&lt;/restock&gt;</v>
      </c>
      <c r="B8537" t="s">
        <v>826</v>
      </c>
    </row>
    <row r="8538" spans="1:8" x14ac:dyDescent="0.25">
      <c r="A8538" t="str">
        <f>"&lt;min&gt;" &amp;$G$8534&amp;"&lt;/min&gt;"</f>
        <v>&lt;min&gt;5&lt;/min&gt;</v>
      </c>
      <c r="B8538" t="s">
        <v>826</v>
      </c>
    </row>
    <row r="8539" spans="1:8" x14ac:dyDescent="0.25">
      <c r="A8539" t="s">
        <v>1457</v>
      </c>
      <c r="B8539" t="s">
        <v>826</v>
      </c>
    </row>
    <row r="8540" spans="1:8" x14ac:dyDescent="0.25">
      <c r="A8540" t="s">
        <v>2062</v>
      </c>
      <c r="B8540" t="s">
        <v>826</v>
      </c>
    </row>
    <row r="8541" spans="1:8" x14ac:dyDescent="0.25">
      <c r="A8541" t="s">
        <v>18</v>
      </c>
      <c r="B8541" t="s">
        <v>826</v>
      </c>
    </row>
    <row r="8542" spans="1:8" x14ac:dyDescent="0.25">
      <c r="A8542" t="str">
        <f xml:space="preserve"> $H$8534</f>
        <v>&lt;flags count_in_cargo="0" count_in_hoarder="0" count_in_map="1" count_in_player="0" crafted="0" deloot="0"/&gt;</v>
      </c>
      <c r="B8542" t="s">
        <v>826</v>
      </c>
    </row>
    <row r="8543" spans="1:8" x14ac:dyDescent="0.25">
      <c r="A8543" t="str">
        <f>"&lt;category name=" &amp;"""" &amp;$C$8534&amp;"""/&gt;"</f>
        <v>&lt;category name="weapons"/&gt;</v>
      </c>
      <c r="B8543" t="s">
        <v>826</v>
      </c>
    </row>
    <row r="8544" spans="1:8" x14ac:dyDescent="0.25">
      <c r="A8544" t="s">
        <v>20</v>
      </c>
      <c r="B8544" t="s">
        <v>826</v>
      </c>
    </row>
    <row r="8545" spans="1:8" x14ac:dyDescent="0.25">
      <c r="A8545" t="s">
        <v>29</v>
      </c>
      <c r="B8545" t="s">
        <v>826</v>
      </c>
    </row>
    <row r="8546" spans="1:8" x14ac:dyDescent="0.25">
      <c r="A8546" t="s">
        <v>22</v>
      </c>
      <c r="B8546" t="s">
        <v>826</v>
      </c>
    </row>
    <row r="8547" spans="1:8" x14ac:dyDescent="0.25">
      <c r="A8547" t="s">
        <v>2063</v>
      </c>
      <c r="B8547" t="s">
        <v>827</v>
      </c>
      <c r="C8547" t="s">
        <v>8</v>
      </c>
      <c r="D8547">
        <v>10</v>
      </c>
      <c r="E8547">
        <v>10800</v>
      </c>
      <c r="F8547">
        <v>2700</v>
      </c>
      <c r="G8547">
        <v>5</v>
      </c>
      <c r="H8547" t="s">
        <v>19</v>
      </c>
    </row>
    <row r="8548" spans="1:8" x14ac:dyDescent="0.25">
      <c r="A8548" t="str">
        <f>"&lt;nominal&gt;" &amp;$D$8547&amp;"&lt;/nominal&gt;"</f>
        <v>&lt;nominal&gt;10&lt;/nominal&gt;</v>
      </c>
      <c r="B8548" t="s">
        <v>827</v>
      </c>
    </row>
    <row r="8549" spans="1:8" x14ac:dyDescent="0.25">
      <c r="A8549" t="str">
        <f>"&lt;lifetime&gt;" &amp;$E$8547&amp;"&lt;/lifetime&gt;"</f>
        <v>&lt;lifetime&gt;10800&lt;/lifetime&gt;</v>
      </c>
      <c r="B8549" t="s">
        <v>827</v>
      </c>
    </row>
    <row r="8550" spans="1:8" x14ac:dyDescent="0.25">
      <c r="A8550" t="str">
        <f>"&lt;restock&gt;" &amp;$F$8547&amp;"&lt;/restock&gt;"</f>
        <v>&lt;restock&gt;2700&lt;/restock&gt;</v>
      </c>
      <c r="B8550" t="s">
        <v>827</v>
      </c>
    </row>
    <row r="8551" spans="1:8" x14ac:dyDescent="0.25">
      <c r="A8551" t="str">
        <f>"&lt;min&gt;" &amp;$G$8547&amp;"&lt;/min&gt;"</f>
        <v>&lt;min&gt;5&lt;/min&gt;</v>
      </c>
      <c r="B8551" t="s">
        <v>827</v>
      </c>
    </row>
    <row r="8552" spans="1:8" x14ac:dyDescent="0.25">
      <c r="A8552" t="s">
        <v>1457</v>
      </c>
      <c r="B8552" t="s">
        <v>827</v>
      </c>
    </row>
    <row r="8553" spans="1:8" x14ac:dyDescent="0.25">
      <c r="A8553" t="s">
        <v>321</v>
      </c>
      <c r="B8553" t="s">
        <v>827</v>
      </c>
    </row>
    <row r="8554" spans="1:8" x14ac:dyDescent="0.25">
      <c r="A8554" t="s">
        <v>18</v>
      </c>
      <c r="B8554" t="s">
        <v>827</v>
      </c>
    </row>
    <row r="8555" spans="1:8" x14ac:dyDescent="0.25">
      <c r="A8555" t="str">
        <f xml:space="preserve"> $H$8547</f>
        <v>&lt;flags count_in_cargo="0" count_in_hoarder="0" count_in_map="1" count_in_player="0" crafted="0" deloot="0"/&gt;</v>
      </c>
      <c r="B8555" t="s">
        <v>827</v>
      </c>
    </row>
    <row r="8556" spans="1:8" x14ac:dyDescent="0.25">
      <c r="A8556" t="str">
        <f>"&lt;category name=" &amp;"""" &amp;$C$8547&amp;"""/&gt;"</f>
        <v>&lt;category name="weapons"/&gt;</v>
      </c>
      <c r="B8556" t="s">
        <v>827</v>
      </c>
    </row>
    <row r="8557" spans="1:8" x14ac:dyDescent="0.25">
      <c r="A8557" t="s">
        <v>20</v>
      </c>
      <c r="B8557" t="s">
        <v>827</v>
      </c>
    </row>
    <row r="8558" spans="1:8" x14ac:dyDescent="0.25">
      <c r="A8558" t="s">
        <v>29</v>
      </c>
      <c r="B8558" t="s">
        <v>827</v>
      </c>
    </row>
    <row r="8559" spans="1:8" x14ac:dyDescent="0.25">
      <c r="A8559" t="s">
        <v>22</v>
      </c>
      <c r="B8559" t="s">
        <v>827</v>
      </c>
    </row>
    <row r="8560" spans="1:8" x14ac:dyDescent="0.25">
      <c r="A8560" t="s">
        <v>2064</v>
      </c>
      <c r="B8560" t="s">
        <v>828</v>
      </c>
      <c r="C8560" t="s">
        <v>8</v>
      </c>
      <c r="D8560">
        <v>10</v>
      </c>
      <c r="E8560">
        <v>10800</v>
      </c>
      <c r="F8560">
        <v>3600</v>
      </c>
      <c r="G8560">
        <v>5</v>
      </c>
      <c r="H8560" t="s">
        <v>19</v>
      </c>
    </row>
    <row r="8561" spans="1:8" x14ac:dyDescent="0.25">
      <c r="A8561" t="str">
        <f>"&lt;nominal&gt;" &amp;$D$8560&amp;"&lt;/nominal&gt;"</f>
        <v>&lt;nominal&gt;10&lt;/nominal&gt;</v>
      </c>
      <c r="B8561" t="s">
        <v>828</v>
      </c>
    </row>
    <row r="8562" spans="1:8" x14ac:dyDescent="0.25">
      <c r="A8562" t="str">
        <f>"&lt;lifetime&gt;" &amp;$E$8560&amp;"&lt;/lifetime&gt;"</f>
        <v>&lt;lifetime&gt;10800&lt;/lifetime&gt;</v>
      </c>
      <c r="B8562" t="s">
        <v>828</v>
      </c>
    </row>
    <row r="8563" spans="1:8" x14ac:dyDescent="0.25">
      <c r="A8563" t="str">
        <f>"&lt;restock&gt;" &amp;$F$8560&amp;"&lt;/restock&gt;"</f>
        <v>&lt;restock&gt;3600&lt;/restock&gt;</v>
      </c>
      <c r="B8563" t="s">
        <v>828</v>
      </c>
    </row>
    <row r="8564" spans="1:8" x14ac:dyDescent="0.25">
      <c r="A8564" t="str">
        <f>"&lt;min&gt;" &amp;$G$8560&amp;"&lt;/min&gt;"</f>
        <v>&lt;min&gt;5&lt;/min&gt;</v>
      </c>
      <c r="B8564" t="s">
        <v>828</v>
      </c>
    </row>
    <row r="8565" spans="1:8" x14ac:dyDescent="0.25">
      <c r="A8565" t="s">
        <v>1457</v>
      </c>
      <c r="B8565" t="s">
        <v>828</v>
      </c>
    </row>
    <row r="8566" spans="1:8" x14ac:dyDescent="0.25">
      <c r="A8566" t="s">
        <v>46</v>
      </c>
      <c r="B8566" t="s">
        <v>828</v>
      </c>
    </row>
    <row r="8567" spans="1:8" x14ac:dyDescent="0.25">
      <c r="A8567" t="s">
        <v>18</v>
      </c>
      <c r="B8567" t="s">
        <v>828</v>
      </c>
    </row>
    <row r="8568" spans="1:8" x14ac:dyDescent="0.25">
      <c r="A8568" t="str">
        <f xml:space="preserve"> $H$8560</f>
        <v>&lt;flags count_in_cargo="0" count_in_hoarder="0" count_in_map="1" count_in_player="0" crafted="0" deloot="0"/&gt;</v>
      </c>
      <c r="B8568" t="s">
        <v>828</v>
      </c>
    </row>
    <row r="8569" spans="1:8" x14ac:dyDescent="0.25">
      <c r="A8569" t="str">
        <f>"&lt;category name=" &amp;"""" &amp;$C$8560&amp;"""/&gt;"</f>
        <v>&lt;category name="weapons"/&gt;</v>
      </c>
      <c r="B8569" t="s">
        <v>828</v>
      </c>
    </row>
    <row r="8570" spans="1:8" x14ac:dyDescent="0.25">
      <c r="A8570" t="s">
        <v>20</v>
      </c>
      <c r="B8570" t="s">
        <v>828</v>
      </c>
    </row>
    <row r="8571" spans="1:8" x14ac:dyDescent="0.25">
      <c r="A8571" t="s">
        <v>29</v>
      </c>
      <c r="B8571" t="s">
        <v>828</v>
      </c>
    </row>
    <row r="8572" spans="1:8" x14ac:dyDescent="0.25">
      <c r="A8572" t="s">
        <v>22</v>
      </c>
      <c r="B8572" t="s">
        <v>828</v>
      </c>
    </row>
    <row r="8573" spans="1:8" x14ac:dyDescent="0.25">
      <c r="A8573" t="s">
        <v>2065</v>
      </c>
      <c r="B8573" t="s">
        <v>829</v>
      </c>
      <c r="C8573" t="s">
        <v>8</v>
      </c>
      <c r="D8573">
        <v>10</v>
      </c>
      <c r="E8573">
        <v>10800</v>
      </c>
      <c r="F8573">
        <v>3600</v>
      </c>
      <c r="G8573">
        <v>5</v>
      </c>
      <c r="H8573" t="s">
        <v>19</v>
      </c>
    </row>
    <row r="8574" spans="1:8" x14ac:dyDescent="0.25">
      <c r="A8574" t="str">
        <f>"&lt;nominal&gt;" &amp;$D$8573&amp;"&lt;/nominal&gt;"</f>
        <v>&lt;nominal&gt;10&lt;/nominal&gt;</v>
      </c>
      <c r="B8574" t="s">
        <v>829</v>
      </c>
    </row>
    <row r="8575" spans="1:8" x14ac:dyDescent="0.25">
      <c r="A8575" t="str">
        <f>"&lt;lifetime&gt;" &amp;$E$8573&amp;"&lt;/lifetime&gt;"</f>
        <v>&lt;lifetime&gt;10800&lt;/lifetime&gt;</v>
      </c>
      <c r="B8575" t="s">
        <v>829</v>
      </c>
    </row>
    <row r="8576" spans="1:8" x14ac:dyDescent="0.25">
      <c r="A8576" t="str">
        <f>"&lt;restock&gt;" &amp;$F$8573&amp;"&lt;/restock&gt;"</f>
        <v>&lt;restock&gt;3600&lt;/restock&gt;</v>
      </c>
      <c r="B8576" t="s">
        <v>829</v>
      </c>
    </row>
    <row r="8577" spans="1:8" x14ac:dyDescent="0.25">
      <c r="A8577" t="str">
        <f>"&lt;min&gt;" &amp;$G$8573&amp;"&lt;/min&gt;"</f>
        <v>&lt;min&gt;5&lt;/min&gt;</v>
      </c>
      <c r="B8577" t="s">
        <v>829</v>
      </c>
    </row>
    <row r="8578" spans="1:8" x14ac:dyDescent="0.25">
      <c r="A8578" t="s">
        <v>1457</v>
      </c>
      <c r="B8578" t="s">
        <v>829</v>
      </c>
    </row>
    <row r="8579" spans="1:8" x14ac:dyDescent="0.25">
      <c r="A8579" t="s">
        <v>328</v>
      </c>
      <c r="B8579" t="s">
        <v>829</v>
      </c>
    </row>
    <row r="8580" spans="1:8" x14ac:dyDescent="0.25">
      <c r="A8580" t="s">
        <v>18</v>
      </c>
      <c r="B8580" t="s">
        <v>829</v>
      </c>
    </row>
    <row r="8581" spans="1:8" x14ac:dyDescent="0.25">
      <c r="A8581" t="str">
        <f xml:space="preserve"> $H$8573</f>
        <v>&lt;flags count_in_cargo="0" count_in_hoarder="0" count_in_map="1" count_in_player="0" crafted="0" deloot="0"/&gt;</v>
      </c>
      <c r="B8581" t="s">
        <v>829</v>
      </c>
    </row>
    <row r="8582" spans="1:8" x14ac:dyDescent="0.25">
      <c r="A8582" t="str">
        <f>"&lt;category name=" &amp;"""" &amp;$C$8573&amp;"""/&gt;"</f>
        <v>&lt;category name="weapons"/&gt;</v>
      </c>
      <c r="B8582" t="s">
        <v>829</v>
      </c>
    </row>
    <row r="8583" spans="1:8" x14ac:dyDescent="0.25">
      <c r="A8583" t="s">
        <v>20</v>
      </c>
      <c r="B8583" t="s">
        <v>829</v>
      </c>
    </row>
    <row r="8584" spans="1:8" x14ac:dyDescent="0.25">
      <c r="A8584" t="s">
        <v>29</v>
      </c>
      <c r="B8584" t="s">
        <v>829</v>
      </c>
    </row>
    <row r="8585" spans="1:8" x14ac:dyDescent="0.25">
      <c r="A8585" t="s">
        <v>22</v>
      </c>
      <c r="B8585" t="s">
        <v>829</v>
      </c>
    </row>
    <row r="8586" spans="1:8" x14ac:dyDescent="0.25">
      <c r="A8586" t="s">
        <v>2066</v>
      </c>
      <c r="B8586" t="s">
        <v>830</v>
      </c>
      <c r="C8586" t="s">
        <v>8</v>
      </c>
      <c r="D8586">
        <v>5</v>
      </c>
      <c r="E8586">
        <v>10800</v>
      </c>
      <c r="F8586">
        <v>1800</v>
      </c>
      <c r="G8586">
        <v>2</v>
      </c>
      <c r="H8586" t="s">
        <v>38</v>
      </c>
    </row>
    <row r="8587" spans="1:8" x14ac:dyDescent="0.25">
      <c r="A8587" t="str">
        <f>"&lt;nominal&gt;" &amp;$D$8586&amp;"&lt;/nominal&gt;"</f>
        <v>&lt;nominal&gt;5&lt;/nominal&gt;</v>
      </c>
      <c r="B8587" t="s">
        <v>830</v>
      </c>
    </row>
    <row r="8588" spans="1:8" x14ac:dyDescent="0.25">
      <c r="A8588" t="str">
        <f>"&lt;lifetime&gt;" &amp;$E$8586&amp;"&lt;/lifetime&gt;"</f>
        <v>&lt;lifetime&gt;10800&lt;/lifetime&gt;</v>
      </c>
      <c r="B8588" t="s">
        <v>830</v>
      </c>
    </row>
    <row r="8589" spans="1:8" x14ac:dyDescent="0.25">
      <c r="A8589" t="str">
        <f>"&lt;restock&gt;" &amp;$F$8586&amp;"&lt;/restock&gt;"</f>
        <v>&lt;restock&gt;1800&lt;/restock&gt;</v>
      </c>
      <c r="B8589" t="s">
        <v>830</v>
      </c>
    </row>
    <row r="8590" spans="1:8" x14ac:dyDescent="0.25">
      <c r="A8590" t="str">
        <f>"&lt;min&gt;" &amp;$G$8586&amp;"&lt;/min&gt;"</f>
        <v>&lt;min&gt;2&lt;/min&gt;</v>
      </c>
      <c r="B8590" t="s">
        <v>830</v>
      </c>
    </row>
    <row r="8591" spans="1:8" x14ac:dyDescent="0.25">
      <c r="A8591" t="s">
        <v>1457</v>
      </c>
      <c r="B8591" t="s">
        <v>830</v>
      </c>
    </row>
    <row r="8592" spans="1:8" x14ac:dyDescent="0.25">
      <c r="A8592" t="s">
        <v>50</v>
      </c>
      <c r="B8592" t="s">
        <v>830</v>
      </c>
    </row>
    <row r="8593" spans="1:8" x14ac:dyDescent="0.25">
      <c r="A8593" t="s">
        <v>18</v>
      </c>
      <c r="B8593" t="s">
        <v>830</v>
      </c>
    </row>
    <row r="8594" spans="1:8" x14ac:dyDescent="0.25">
      <c r="A8594" t="str">
        <f xml:space="preserve"> $H$8586</f>
        <v>&lt;flags count_in_cargo="0" count_in_hoarder="0" count_in_map="1" count_in_player="0" crafted="0" deloot="1"/&gt;</v>
      </c>
      <c r="B8594" t="s">
        <v>830</v>
      </c>
    </row>
    <row r="8595" spans="1:8" x14ac:dyDescent="0.25">
      <c r="A8595" t="str">
        <f>"&lt;category name=" &amp;"""" &amp;$C$8586&amp;"""/&gt;"</f>
        <v>&lt;category name="weapons"/&gt;</v>
      </c>
      <c r="B8595" t="s">
        <v>830</v>
      </c>
    </row>
    <row r="8596" spans="1:8" x14ac:dyDescent="0.25">
      <c r="A8596" t="s">
        <v>20</v>
      </c>
      <c r="B8596" t="s">
        <v>830</v>
      </c>
    </row>
    <row r="8597" spans="1:8" x14ac:dyDescent="0.25">
      <c r="A8597" t="s">
        <v>29</v>
      </c>
      <c r="B8597" t="s">
        <v>830</v>
      </c>
    </row>
    <row r="8598" spans="1:8" x14ac:dyDescent="0.25">
      <c r="A8598" t="s">
        <v>22</v>
      </c>
      <c r="B8598" t="s">
        <v>830</v>
      </c>
    </row>
    <row r="8599" spans="1:8" x14ac:dyDescent="0.25">
      <c r="A8599" t="s">
        <v>3300</v>
      </c>
      <c r="B8599" t="s">
        <v>3322</v>
      </c>
      <c r="C8599" t="s">
        <v>8</v>
      </c>
      <c r="D8599">
        <v>10</v>
      </c>
      <c r="E8599">
        <v>7200</v>
      </c>
      <c r="F8599">
        <v>0</v>
      </c>
      <c r="G8599">
        <v>5</v>
      </c>
      <c r="H8599" t="s">
        <v>19</v>
      </c>
    </row>
    <row r="8600" spans="1:8" x14ac:dyDescent="0.25">
      <c r="A8600" t="str">
        <f>"&lt;nominal&gt;" &amp;$D$8599&amp;"&lt;/nominal&gt;"</f>
        <v>&lt;nominal&gt;10&lt;/nominal&gt;</v>
      </c>
      <c r="B8600" t="s">
        <v>3322</v>
      </c>
    </row>
    <row r="8601" spans="1:8" x14ac:dyDescent="0.25">
      <c r="A8601" t="str">
        <f>"&lt;lifetime&gt;" &amp;$E$8599&amp;"&lt;/lifetime&gt;"</f>
        <v>&lt;lifetime&gt;7200&lt;/lifetime&gt;</v>
      </c>
      <c r="B8601" t="s">
        <v>3322</v>
      </c>
    </row>
    <row r="8602" spans="1:8" x14ac:dyDescent="0.25">
      <c r="A8602" t="str">
        <f>"&lt;restock&gt;" &amp;$F$8599&amp;"&lt;/restock&gt;"</f>
        <v>&lt;restock&gt;0&lt;/restock&gt;</v>
      </c>
      <c r="B8602" t="s">
        <v>3322</v>
      </c>
    </row>
    <row r="8603" spans="1:8" x14ac:dyDescent="0.25">
      <c r="A8603" t="str">
        <f>"&lt;min&gt;" &amp;$G$8599&amp;"&lt;/min&gt;"</f>
        <v>&lt;min&gt;5&lt;/min&gt;</v>
      </c>
      <c r="B8603" t="s">
        <v>3322</v>
      </c>
    </row>
    <row r="8604" spans="1:8" x14ac:dyDescent="0.25">
      <c r="A8604" t="s">
        <v>45</v>
      </c>
      <c r="B8604" t="s">
        <v>3322</v>
      </c>
    </row>
    <row r="8605" spans="1:8" x14ac:dyDescent="0.25">
      <c r="A8605" t="s">
        <v>321</v>
      </c>
      <c r="B8605" t="s">
        <v>3322</v>
      </c>
    </row>
    <row r="8606" spans="1:8" x14ac:dyDescent="0.25">
      <c r="A8606" t="s">
        <v>18</v>
      </c>
      <c r="B8606" t="s">
        <v>3322</v>
      </c>
    </row>
    <row r="8607" spans="1:8" x14ac:dyDescent="0.25">
      <c r="A8607" t="str">
        <f xml:space="preserve"> $H$8599</f>
        <v>&lt;flags count_in_cargo="0" count_in_hoarder="0" count_in_map="1" count_in_player="0" crafted="0" deloot="0"/&gt;</v>
      </c>
      <c r="B8607" t="s">
        <v>3322</v>
      </c>
    </row>
    <row r="8608" spans="1:8" x14ac:dyDescent="0.25">
      <c r="A8608" t="str">
        <f>"&lt;category name=" &amp;"""" &amp;$C$8599&amp;"""/&gt;"</f>
        <v>&lt;category name="weapons"/&gt;</v>
      </c>
      <c r="B8608" t="s">
        <v>3322</v>
      </c>
    </row>
    <row r="8609" spans="1:8" x14ac:dyDescent="0.25">
      <c r="A8609" t="s">
        <v>56</v>
      </c>
      <c r="B8609" t="s">
        <v>3322</v>
      </c>
    </row>
    <row r="8610" spans="1:8" x14ac:dyDescent="0.25">
      <c r="A8610" t="s">
        <v>40</v>
      </c>
      <c r="B8610" t="s">
        <v>3322</v>
      </c>
    </row>
    <row r="8611" spans="1:8" x14ac:dyDescent="0.25">
      <c r="A8611" t="s">
        <v>67</v>
      </c>
      <c r="B8611" t="s">
        <v>3322</v>
      </c>
    </row>
    <row r="8612" spans="1:8" x14ac:dyDescent="0.25">
      <c r="A8612" t="s">
        <v>30</v>
      </c>
      <c r="B8612" t="s">
        <v>3322</v>
      </c>
    </row>
    <row r="8613" spans="1:8" x14ac:dyDescent="0.25">
      <c r="A8613" t="s">
        <v>31</v>
      </c>
      <c r="B8613" t="s">
        <v>3322</v>
      </c>
    </row>
    <row r="8614" spans="1:8" x14ac:dyDescent="0.25">
      <c r="A8614" t="s">
        <v>307</v>
      </c>
      <c r="B8614" t="s">
        <v>3322</v>
      </c>
    </row>
    <row r="8615" spans="1:8" x14ac:dyDescent="0.25">
      <c r="A8615" t="s">
        <v>22</v>
      </c>
      <c r="B8615" t="s">
        <v>3322</v>
      </c>
    </row>
    <row r="8616" spans="1:8" x14ac:dyDescent="0.25">
      <c r="A8616" t="s">
        <v>2067</v>
      </c>
      <c r="B8616" t="s">
        <v>831</v>
      </c>
      <c r="C8616" t="s">
        <v>8</v>
      </c>
      <c r="D8616">
        <v>20</v>
      </c>
      <c r="E8616">
        <v>10800</v>
      </c>
      <c r="F8616">
        <v>1800</v>
      </c>
      <c r="G8616">
        <v>10</v>
      </c>
      <c r="H8616" t="s">
        <v>19</v>
      </c>
    </row>
    <row r="8617" spans="1:8" x14ac:dyDescent="0.25">
      <c r="A8617" t="str">
        <f>"&lt;nominal&gt;" &amp;$D$8616&amp;"&lt;/nominal&gt;"</f>
        <v>&lt;nominal&gt;20&lt;/nominal&gt;</v>
      </c>
      <c r="B8617" t="s">
        <v>831</v>
      </c>
    </row>
    <row r="8618" spans="1:8" x14ac:dyDescent="0.25">
      <c r="A8618" t="str">
        <f>"&lt;lifetime&gt;" &amp;$E$8616&amp;"&lt;/lifetime&gt;"</f>
        <v>&lt;lifetime&gt;10800&lt;/lifetime&gt;</v>
      </c>
      <c r="B8618" t="s">
        <v>831</v>
      </c>
    </row>
    <row r="8619" spans="1:8" x14ac:dyDescent="0.25">
      <c r="A8619" t="str">
        <f>"&lt;restock&gt;" &amp;$F$8616&amp;"&lt;/restock&gt;"</f>
        <v>&lt;restock&gt;1800&lt;/restock&gt;</v>
      </c>
      <c r="B8619" t="s">
        <v>831</v>
      </c>
    </row>
    <row r="8620" spans="1:8" x14ac:dyDescent="0.25">
      <c r="A8620" t="str">
        <f>"&lt;min&gt;" &amp;$G$8616&amp;"&lt;/min&gt;"</f>
        <v>&lt;min&gt;10&lt;/min&gt;</v>
      </c>
      <c r="B8620" t="s">
        <v>831</v>
      </c>
    </row>
    <row r="8621" spans="1:8" x14ac:dyDescent="0.25">
      <c r="A8621" t="s">
        <v>45</v>
      </c>
      <c r="B8621" t="s">
        <v>831</v>
      </c>
    </row>
    <row r="8622" spans="1:8" x14ac:dyDescent="0.25">
      <c r="A8622" t="s">
        <v>321</v>
      </c>
      <c r="B8622" t="s">
        <v>831</v>
      </c>
    </row>
    <row r="8623" spans="1:8" x14ac:dyDescent="0.25">
      <c r="A8623" t="s">
        <v>18</v>
      </c>
      <c r="B8623" t="s">
        <v>831</v>
      </c>
    </row>
    <row r="8624" spans="1:8" x14ac:dyDescent="0.25">
      <c r="A8624" t="str">
        <f xml:space="preserve"> $H$8616</f>
        <v>&lt;flags count_in_cargo="0" count_in_hoarder="0" count_in_map="1" count_in_player="0" crafted="0" deloot="0"/&gt;</v>
      </c>
      <c r="B8624" t="s">
        <v>831</v>
      </c>
    </row>
    <row r="8625" spans="1:8" x14ac:dyDescent="0.25">
      <c r="A8625" t="str">
        <f>"&lt;category name=" &amp;"""" &amp;$C$8616&amp;"""/&gt;"</f>
        <v>&lt;category name="weapons"/&gt;</v>
      </c>
      <c r="B8625" t="s">
        <v>831</v>
      </c>
    </row>
    <row r="8626" spans="1:8" x14ac:dyDescent="0.25">
      <c r="A8626" t="s">
        <v>173</v>
      </c>
      <c r="B8626" t="s">
        <v>831</v>
      </c>
    </row>
    <row r="8627" spans="1:8" x14ac:dyDescent="0.25">
      <c r="A8627" t="s">
        <v>22</v>
      </c>
      <c r="B8627" t="s">
        <v>831</v>
      </c>
    </row>
    <row r="8628" spans="1:8" x14ac:dyDescent="0.25">
      <c r="A8628" t="s">
        <v>2068</v>
      </c>
      <c r="B8628" t="s">
        <v>832</v>
      </c>
      <c r="C8628" t="s">
        <v>8</v>
      </c>
      <c r="D8628">
        <v>20</v>
      </c>
      <c r="E8628">
        <v>10800</v>
      </c>
      <c r="F8628">
        <v>1800</v>
      </c>
      <c r="G8628">
        <v>10</v>
      </c>
      <c r="H8628" t="s">
        <v>19</v>
      </c>
    </row>
    <row r="8629" spans="1:8" x14ac:dyDescent="0.25">
      <c r="A8629" t="str">
        <f>"&lt;nominal&gt;" &amp;$D$8628&amp;"&lt;/nominal&gt;"</f>
        <v>&lt;nominal&gt;20&lt;/nominal&gt;</v>
      </c>
      <c r="B8629" t="s">
        <v>832</v>
      </c>
    </row>
    <row r="8630" spans="1:8" x14ac:dyDescent="0.25">
      <c r="A8630" t="str">
        <f>"&lt;lifetime&gt;" &amp;$E$8628&amp;"&lt;/lifetime&gt;"</f>
        <v>&lt;lifetime&gt;10800&lt;/lifetime&gt;</v>
      </c>
      <c r="B8630" t="s">
        <v>832</v>
      </c>
    </row>
    <row r="8631" spans="1:8" x14ac:dyDescent="0.25">
      <c r="A8631" t="str">
        <f>"&lt;restock&gt;" &amp;$F$8628&amp;"&lt;/restock&gt;"</f>
        <v>&lt;restock&gt;1800&lt;/restock&gt;</v>
      </c>
      <c r="B8631" t="s">
        <v>832</v>
      </c>
    </row>
    <row r="8632" spans="1:8" x14ac:dyDescent="0.25">
      <c r="A8632" t="str">
        <f>"&lt;min&gt;" &amp;$G$8628&amp;"&lt;/min&gt;"</f>
        <v>&lt;min&gt;10&lt;/min&gt;</v>
      </c>
      <c r="B8632" t="s">
        <v>832</v>
      </c>
    </row>
    <row r="8633" spans="1:8" x14ac:dyDescent="0.25">
      <c r="A8633" t="s">
        <v>2069</v>
      </c>
      <c r="B8633" t="s">
        <v>832</v>
      </c>
    </row>
    <row r="8634" spans="1:8" x14ac:dyDescent="0.25">
      <c r="A8634" t="s">
        <v>321</v>
      </c>
      <c r="B8634" t="s">
        <v>832</v>
      </c>
    </row>
    <row r="8635" spans="1:8" x14ac:dyDescent="0.25">
      <c r="A8635" t="s">
        <v>18</v>
      </c>
      <c r="B8635" t="s">
        <v>832</v>
      </c>
    </row>
    <row r="8636" spans="1:8" x14ac:dyDescent="0.25">
      <c r="A8636" t="str">
        <f xml:space="preserve"> $H$8628</f>
        <v>&lt;flags count_in_cargo="0" count_in_hoarder="0" count_in_map="1" count_in_player="0" crafted="0" deloot="0"/&gt;</v>
      </c>
      <c r="B8636" t="s">
        <v>832</v>
      </c>
    </row>
    <row r="8637" spans="1:8" x14ac:dyDescent="0.25">
      <c r="A8637" t="str">
        <f>"&lt;category name=" &amp;"""" &amp;$C$8628&amp;"""/&gt;"</f>
        <v>&lt;category name="weapons"/&gt;</v>
      </c>
      <c r="B8637" t="s">
        <v>832</v>
      </c>
    </row>
    <row r="8638" spans="1:8" x14ac:dyDescent="0.25">
      <c r="A8638" t="s">
        <v>20</v>
      </c>
      <c r="B8638" t="s">
        <v>832</v>
      </c>
    </row>
    <row r="8639" spans="1:8" x14ac:dyDescent="0.25">
      <c r="A8639" t="s">
        <v>173</v>
      </c>
      <c r="B8639" t="s">
        <v>832</v>
      </c>
    </row>
    <row r="8640" spans="1:8" x14ac:dyDescent="0.25">
      <c r="A8640" t="s">
        <v>39</v>
      </c>
      <c r="B8640" t="s">
        <v>832</v>
      </c>
    </row>
    <row r="8641" spans="1:8" x14ac:dyDescent="0.25">
      <c r="A8641" t="s">
        <v>40</v>
      </c>
      <c r="B8641" t="s">
        <v>832</v>
      </c>
    </row>
    <row r="8642" spans="1:8" x14ac:dyDescent="0.25">
      <c r="A8642" t="s">
        <v>82</v>
      </c>
      <c r="B8642" t="s">
        <v>832</v>
      </c>
    </row>
    <row r="8643" spans="1:8" x14ac:dyDescent="0.25">
      <c r="A8643" t="s">
        <v>30</v>
      </c>
      <c r="B8643" t="s">
        <v>832</v>
      </c>
    </row>
    <row r="8644" spans="1:8" x14ac:dyDescent="0.25">
      <c r="A8644" t="s">
        <v>31</v>
      </c>
      <c r="B8644" t="s">
        <v>832</v>
      </c>
    </row>
    <row r="8645" spans="1:8" x14ac:dyDescent="0.25">
      <c r="A8645" t="s">
        <v>22</v>
      </c>
      <c r="B8645" t="s">
        <v>832</v>
      </c>
    </row>
    <row r="8646" spans="1:8" x14ac:dyDescent="0.25">
      <c r="A8646" t="s">
        <v>2070</v>
      </c>
      <c r="B8646" t="s">
        <v>833</v>
      </c>
      <c r="C8646" t="s">
        <v>8</v>
      </c>
      <c r="D8646">
        <v>10</v>
      </c>
      <c r="E8646">
        <v>7200</v>
      </c>
      <c r="F8646">
        <v>1800</v>
      </c>
      <c r="G8646">
        <v>5</v>
      </c>
      <c r="H8646" t="s">
        <v>19</v>
      </c>
    </row>
    <row r="8647" spans="1:8" x14ac:dyDescent="0.25">
      <c r="A8647" t="str">
        <f>"&lt;nominal&gt;" &amp;$D$8646&amp;"&lt;/nominal&gt;"</f>
        <v>&lt;nominal&gt;10&lt;/nominal&gt;</v>
      </c>
      <c r="B8647" t="s">
        <v>833</v>
      </c>
    </row>
    <row r="8648" spans="1:8" x14ac:dyDescent="0.25">
      <c r="A8648" t="str">
        <f>"&lt;lifetime&gt;" &amp;$E$8646&amp;"&lt;/lifetime&gt;"</f>
        <v>&lt;lifetime&gt;7200&lt;/lifetime&gt;</v>
      </c>
      <c r="B8648" t="s">
        <v>833</v>
      </c>
    </row>
    <row r="8649" spans="1:8" x14ac:dyDescent="0.25">
      <c r="A8649" t="str">
        <f>"&lt;restock&gt;" &amp;$F$8646&amp;"&lt;/restock&gt;"</f>
        <v>&lt;restock&gt;1800&lt;/restock&gt;</v>
      </c>
      <c r="B8649" t="s">
        <v>833</v>
      </c>
    </row>
    <row r="8650" spans="1:8" x14ac:dyDescent="0.25">
      <c r="A8650" t="str">
        <f>"&lt;min&gt;" &amp;$G$8646&amp;"&lt;/min&gt;"</f>
        <v>&lt;min&gt;5&lt;/min&gt;</v>
      </c>
      <c r="B8650" t="s">
        <v>833</v>
      </c>
    </row>
    <row r="8651" spans="1:8" x14ac:dyDescent="0.25">
      <c r="A8651" t="s">
        <v>1457</v>
      </c>
      <c r="B8651" t="s">
        <v>833</v>
      </c>
    </row>
    <row r="8652" spans="1:8" x14ac:dyDescent="0.25">
      <c r="A8652" t="s">
        <v>2062</v>
      </c>
      <c r="B8652" t="s">
        <v>833</v>
      </c>
    </row>
    <row r="8653" spans="1:8" x14ac:dyDescent="0.25">
      <c r="A8653" t="s">
        <v>18</v>
      </c>
      <c r="B8653" t="s">
        <v>833</v>
      </c>
    </row>
    <row r="8654" spans="1:8" x14ac:dyDescent="0.25">
      <c r="A8654" t="str">
        <f xml:space="preserve"> $H$8646</f>
        <v>&lt;flags count_in_cargo="0" count_in_hoarder="0" count_in_map="1" count_in_player="0" crafted="0" deloot="0"/&gt;</v>
      </c>
      <c r="B8654" t="s">
        <v>833</v>
      </c>
    </row>
    <row r="8655" spans="1:8" x14ac:dyDescent="0.25">
      <c r="A8655" t="str">
        <f>"&lt;category name=" &amp;"""" &amp;$C$8646&amp;"""/&gt;"</f>
        <v>&lt;category name="weapons"/&gt;</v>
      </c>
      <c r="B8655" t="s">
        <v>833</v>
      </c>
    </row>
    <row r="8656" spans="1:8" x14ac:dyDescent="0.25">
      <c r="A8656" t="s">
        <v>29</v>
      </c>
      <c r="B8656" t="s">
        <v>833</v>
      </c>
    </row>
    <row r="8657" spans="1:8" x14ac:dyDescent="0.25">
      <c r="A8657" t="s">
        <v>30</v>
      </c>
      <c r="B8657" t="s">
        <v>833</v>
      </c>
    </row>
    <row r="8658" spans="1:8" x14ac:dyDescent="0.25">
      <c r="A8658" t="s">
        <v>31</v>
      </c>
      <c r="B8658" t="s">
        <v>833</v>
      </c>
    </row>
    <row r="8659" spans="1:8" x14ac:dyDescent="0.25">
      <c r="A8659" t="s">
        <v>307</v>
      </c>
      <c r="B8659" t="s">
        <v>833</v>
      </c>
    </row>
    <row r="8660" spans="1:8" x14ac:dyDescent="0.25">
      <c r="A8660" t="s">
        <v>22</v>
      </c>
      <c r="B8660" t="s">
        <v>833</v>
      </c>
    </row>
    <row r="8661" spans="1:8" x14ac:dyDescent="0.25">
      <c r="A8661" t="s">
        <v>3301</v>
      </c>
      <c r="B8661" t="s">
        <v>3323</v>
      </c>
      <c r="C8661" t="s">
        <v>8</v>
      </c>
      <c r="D8661">
        <v>10</v>
      </c>
      <c r="E8661">
        <v>7200</v>
      </c>
      <c r="F8661">
        <v>1800</v>
      </c>
      <c r="G8661">
        <v>5</v>
      </c>
      <c r="H8661" t="s">
        <v>19</v>
      </c>
    </row>
    <row r="8662" spans="1:8" x14ac:dyDescent="0.25">
      <c r="A8662" t="str">
        <f>"&lt;nominal&gt;" &amp;$D$8661&amp;"&lt;/nominal&gt;"</f>
        <v>&lt;nominal&gt;10&lt;/nominal&gt;</v>
      </c>
      <c r="B8662" t="s">
        <v>3323</v>
      </c>
    </row>
    <row r="8663" spans="1:8" x14ac:dyDescent="0.25">
      <c r="A8663" t="str">
        <f>"&lt;lifetime&gt;" &amp;$E$8661&amp;"&lt;/lifetime&gt;"</f>
        <v>&lt;lifetime&gt;7200&lt;/lifetime&gt;</v>
      </c>
      <c r="B8663" t="s">
        <v>3323</v>
      </c>
    </row>
    <row r="8664" spans="1:8" x14ac:dyDescent="0.25">
      <c r="A8664" t="str">
        <f>"&lt;restock&gt;" &amp;$F$8661&amp;"&lt;/restock&gt;"</f>
        <v>&lt;restock&gt;1800&lt;/restock&gt;</v>
      </c>
      <c r="B8664" t="s">
        <v>3323</v>
      </c>
    </row>
    <row r="8665" spans="1:8" x14ac:dyDescent="0.25">
      <c r="A8665" t="str">
        <f>"&lt;min&gt;" &amp;$G$8661&amp;"&lt;/min&gt;"</f>
        <v>&lt;min&gt;5&lt;/min&gt;</v>
      </c>
      <c r="B8665" t="s">
        <v>3323</v>
      </c>
    </row>
    <row r="8666" spans="1:8" x14ac:dyDescent="0.25">
      <c r="A8666" t="s">
        <v>1457</v>
      </c>
      <c r="B8666" t="s">
        <v>3323</v>
      </c>
    </row>
    <row r="8667" spans="1:8" x14ac:dyDescent="0.25">
      <c r="A8667" t="s">
        <v>2062</v>
      </c>
      <c r="B8667" t="s">
        <v>3323</v>
      </c>
    </row>
    <row r="8668" spans="1:8" x14ac:dyDescent="0.25">
      <c r="A8668" t="s">
        <v>18</v>
      </c>
      <c r="B8668" t="s">
        <v>3323</v>
      </c>
    </row>
    <row r="8669" spans="1:8" x14ac:dyDescent="0.25">
      <c r="A8669" t="str">
        <f xml:space="preserve"> $H$8661</f>
        <v>&lt;flags count_in_cargo="0" count_in_hoarder="0" count_in_map="1" count_in_player="0" crafted="0" deloot="0"/&gt;</v>
      </c>
      <c r="B8669" t="s">
        <v>3323</v>
      </c>
    </row>
    <row r="8670" spans="1:8" x14ac:dyDescent="0.25">
      <c r="A8670" t="str">
        <f>"&lt;category name=" &amp;"""" &amp;$C$8661&amp;"""/&gt;"</f>
        <v>&lt;category name="weapons"/&gt;</v>
      </c>
      <c r="B8670" t="s">
        <v>3323</v>
      </c>
    </row>
    <row r="8671" spans="1:8" x14ac:dyDescent="0.25">
      <c r="A8671" t="s">
        <v>29</v>
      </c>
      <c r="B8671" t="s">
        <v>3323</v>
      </c>
    </row>
    <row r="8672" spans="1:8" x14ac:dyDescent="0.25">
      <c r="A8672" t="s">
        <v>30</v>
      </c>
      <c r="B8672" t="s">
        <v>3323</v>
      </c>
    </row>
    <row r="8673" spans="1:8" x14ac:dyDescent="0.25">
      <c r="A8673" t="s">
        <v>31</v>
      </c>
      <c r="B8673" t="s">
        <v>3323</v>
      </c>
    </row>
    <row r="8674" spans="1:8" x14ac:dyDescent="0.25">
      <c r="A8674" t="s">
        <v>22</v>
      </c>
      <c r="B8674" t="s">
        <v>3323</v>
      </c>
    </row>
    <row r="8675" spans="1:8" x14ac:dyDescent="0.25">
      <c r="A8675" t="s">
        <v>3293</v>
      </c>
      <c r="B8675" t="s">
        <v>3294</v>
      </c>
      <c r="C8675" t="s">
        <v>8</v>
      </c>
      <c r="D8675">
        <v>5</v>
      </c>
      <c r="E8675">
        <v>7200</v>
      </c>
      <c r="F8675">
        <v>1800</v>
      </c>
      <c r="G8675">
        <v>3</v>
      </c>
      <c r="H8675" t="s">
        <v>19</v>
      </c>
    </row>
    <row r="8676" spans="1:8" x14ac:dyDescent="0.25">
      <c r="A8676" t="str">
        <f>"&lt;nominal&gt;" &amp;$D$8675&amp;"&lt;/nominal&gt;"</f>
        <v>&lt;nominal&gt;5&lt;/nominal&gt;</v>
      </c>
      <c r="B8676" t="s">
        <v>3294</v>
      </c>
    </row>
    <row r="8677" spans="1:8" x14ac:dyDescent="0.25">
      <c r="A8677" t="str">
        <f>"&lt;lifetime&gt;" &amp;$E$8675&amp;"&lt;/lifetime&gt;"</f>
        <v>&lt;lifetime&gt;7200&lt;/lifetime&gt;</v>
      </c>
      <c r="B8677" t="s">
        <v>3294</v>
      </c>
    </row>
    <row r="8678" spans="1:8" x14ac:dyDescent="0.25">
      <c r="A8678" t="str">
        <f>"&lt;restock&gt;" &amp;$F$8675&amp;"&lt;/restock&gt;"</f>
        <v>&lt;restock&gt;1800&lt;/restock&gt;</v>
      </c>
      <c r="B8678" t="s">
        <v>3294</v>
      </c>
    </row>
    <row r="8679" spans="1:8" x14ac:dyDescent="0.25">
      <c r="A8679" t="str">
        <f>"&lt;min&gt;" &amp;$G$8675&amp;"&lt;/min&gt;"</f>
        <v>&lt;min&gt;3&lt;/min&gt;</v>
      </c>
      <c r="B8679" t="s">
        <v>3294</v>
      </c>
    </row>
    <row r="8680" spans="1:8" x14ac:dyDescent="0.25">
      <c r="A8680" t="s">
        <v>1457</v>
      </c>
      <c r="B8680" t="s">
        <v>3294</v>
      </c>
    </row>
    <row r="8681" spans="1:8" x14ac:dyDescent="0.25">
      <c r="A8681" t="s">
        <v>2062</v>
      </c>
      <c r="B8681" t="s">
        <v>3294</v>
      </c>
    </row>
    <row r="8682" spans="1:8" x14ac:dyDescent="0.25">
      <c r="A8682" t="s">
        <v>18</v>
      </c>
      <c r="B8682" t="s">
        <v>3294</v>
      </c>
    </row>
    <row r="8683" spans="1:8" x14ac:dyDescent="0.25">
      <c r="A8683" t="str">
        <f xml:space="preserve"> $H$8675</f>
        <v>&lt;flags count_in_cargo="0" count_in_hoarder="0" count_in_map="1" count_in_player="0" crafted="0" deloot="0"/&gt;</v>
      </c>
      <c r="B8683" t="s">
        <v>3294</v>
      </c>
    </row>
    <row r="8684" spans="1:8" x14ac:dyDescent="0.25">
      <c r="A8684" t="str">
        <f>"&lt;category name=" &amp;"""" &amp;$C$8675&amp;"""/&gt;"</f>
        <v>&lt;category name="weapons"/&gt;</v>
      </c>
      <c r="B8684" t="s">
        <v>3294</v>
      </c>
    </row>
    <row r="8685" spans="1:8" x14ac:dyDescent="0.25">
      <c r="A8685" t="s">
        <v>29</v>
      </c>
      <c r="B8685" t="s">
        <v>3294</v>
      </c>
    </row>
    <row r="8686" spans="1:8" x14ac:dyDescent="0.25">
      <c r="A8686" t="s">
        <v>31</v>
      </c>
      <c r="B8686" t="s">
        <v>3294</v>
      </c>
    </row>
    <row r="8687" spans="1:8" x14ac:dyDescent="0.25">
      <c r="A8687" t="s">
        <v>307</v>
      </c>
      <c r="B8687" t="s">
        <v>3294</v>
      </c>
    </row>
    <row r="8688" spans="1:8" x14ac:dyDescent="0.25">
      <c r="A8688" t="s">
        <v>22</v>
      </c>
      <c r="B8688" t="s">
        <v>3294</v>
      </c>
    </row>
    <row r="8689" spans="1:8" x14ac:dyDescent="0.25">
      <c r="A8689" t="s">
        <v>2071</v>
      </c>
      <c r="B8689" t="s">
        <v>834</v>
      </c>
      <c r="C8689" t="s">
        <v>8</v>
      </c>
      <c r="D8689">
        <v>20</v>
      </c>
      <c r="E8689">
        <v>10800</v>
      </c>
      <c r="F8689">
        <v>1800</v>
      </c>
      <c r="G8689">
        <v>10</v>
      </c>
      <c r="H8689" t="s">
        <v>19</v>
      </c>
    </row>
    <row r="8690" spans="1:8" x14ac:dyDescent="0.25">
      <c r="A8690" t="str">
        <f>"&lt;nominal&gt;" &amp;$D$8689&amp;"&lt;/nominal&gt;"</f>
        <v>&lt;nominal&gt;20&lt;/nominal&gt;</v>
      </c>
      <c r="B8690" t="s">
        <v>834</v>
      </c>
    </row>
    <row r="8691" spans="1:8" x14ac:dyDescent="0.25">
      <c r="A8691" t="str">
        <f>"&lt;lifetime&gt;" &amp;$E$8689&amp;"&lt;/lifetime&gt;"</f>
        <v>&lt;lifetime&gt;10800&lt;/lifetime&gt;</v>
      </c>
      <c r="B8691" t="s">
        <v>834</v>
      </c>
    </row>
    <row r="8692" spans="1:8" x14ac:dyDescent="0.25">
      <c r="A8692" t="str">
        <f>"&lt;restock&gt;" &amp;$F$8689&amp;"&lt;/restock&gt;"</f>
        <v>&lt;restock&gt;1800&lt;/restock&gt;</v>
      </c>
      <c r="B8692" t="s">
        <v>834</v>
      </c>
    </row>
    <row r="8693" spans="1:8" x14ac:dyDescent="0.25">
      <c r="A8693" t="str">
        <f>"&lt;min&gt;" &amp;$G$8689&amp;"&lt;/min&gt;"</f>
        <v>&lt;min&gt;10&lt;/min&gt;</v>
      </c>
      <c r="B8693" t="s">
        <v>834</v>
      </c>
    </row>
    <row r="8694" spans="1:8" x14ac:dyDescent="0.25">
      <c r="A8694" t="s">
        <v>45</v>
      </c>
      <c r="B8694" t="s">
        <v>834</v>
      </c>
    </row>
    <row r="8695" spans="1:8" x14ac:dyDescent="0.25">
      <c r="A8695" t="s">
        <v>321</v>
      </c>
      <c r="B8695" t="s">
        <v>834</v>
      </c>
    </row>
    <row r="8696" spans="1:8" x14ac:dyDescent="0.25">
      <c r="A8696" t="s">
        <v>18</v>
      </c>
      <c r="B8696" t="s">
        <v>834</v>
      </c>
    </row>
    <row r="8697" spans="1:8" x14ac:dyDescent="0.25">
      <c r="A8697" t="str">
        <f xml:space="preserve"> $H$8689</f>
        <v>&lt;flags count_in_cargo="0" count_in_hoarder="0" count_in_map="1" count_in_player="0" crafted="0" deloot="0"/&gt;</v>
      </c>
      <c r="B8697" t="s">
        <v>834</v>
      </c>
    </row>
    <row r="8698" spans="1:8" x14ac:dyDescent="0.25">
      <c r="A8698" t="str">
        <f>"&lt;category name=" &amp;"""" &amp;$C$8689&amp;"""/&gt;"</f>
        <v>&lt;category name="weapons"/&gt;</v>
      </c>
      <c r="B8698" t="s">
        <v>834</v>
      </c>
    </row>
    <row r="8699" spans="1:8" x14ac:dyDescent="0.25">
      <c r="A8699" t="s">
        <v>29</v>
      </c>
      <c r="B8699" t="s">
        <v>834</v>
      </c>
    </row>
    <row r="8700" spans="1:8" x14ac:dyDescent="0.25">
      <c r="A8700" t="s">
        <v>82</v>
      </c>
      <c r="B8700" t="s">
        <v>834</v>
      </c>
    </row>
    <row r="8701" spans="1:8" x14ac:dyDescent="0.25">
      <c r="A8701" t="s">
        <v>30</v>
      </c>
      <c r="B8701" t="s">
        <v>834</v>
      </c>
    </row>
    <row r="8702" spans="1:8" x14ac:dyDescent="0.25">
      <c r="A8702" t="s">
        <v>22</v>
      </c>
      <c r="B8702" t="s">
        <v>834</v>
      </c>
    </row>
    <row r="8703" spans="1:8" x14ac:dyDescent="0.25">
      <c r="A8703" t="s">
        <v>2072</v>
      </c>
      <c r="B8703" t="s">
        <v>835</v>
      </c>
      <c r="C8703" t="s">
        <v>8</v>
      </c>
      <c r="D8703">
        <v>20</v>
      </c>
      <c r="E8703">
        <v>7200</v>
      </c>
      <c r="F8703">
        <v>1800</v>
      </c>
      <c r="G8703">
        <v>10</v>
      </c>
      <c r="H8703" t="s">
        <v>19</v>
      </c>
    </row>
    <row r="8704" spans="1:8" x14ac:dyDescent="0.25">
      <c r="A8704" t="str">
        <f>"&lt;nominal&gt;" &amp;$D$8703&amp;"&lt;/nominal&gt;"</f>
        <v>&lt;nominal&gt;20&lt;/nominal&gt;</v>
      </c>
      <c r="B8704" t="s">
        <v>835</v>
      </c>
    </row>
    <row r="8705" spans="1:8" x14ac:dyDescent="0.25">
      <c r="A8705" t="str">
        <f>"&lt;lifetime&gt;" &amp;$E$8703&amp;"&lt;/lifetime&gt;"</f>
        <v>&lt;lifetime&gt;7200&lt;/lifetime&gt;</v>
      </c>
      <c r="B8705" t="s">
        <v>835</v>
      </c>
    </row>
    <row r="8706" spans="1:8" x14ac:dyDescent="0.25">
      <c r="A8706" t="str">
        <f>"&lt;restock&gt;" &amp;$F$8703&amp;"&lt;/restock&gt;"</f>
        <v>&lt;restock&gt;1800&lt;/restock&gt;</v>
      </c>
      <c r="B8706" t="s">
        <v>835</v>
      </c>
    </row>
    <row r="8707" spans="1:8" x14ac:dyDescent="0.25">
      <c r="A8707" t="str">
        <f>"&lt;min&gt;" &amp;$G$8703&amp;"&lt;/min&gt;"</f>
        <v>&lt;min&gt;10&lt;/min&gt;</v>
      </c>
      <c r="B8707" t="s">
        <v>835</v>
      </c>
    </row>
    <row r="8708" spans="1:8" x14ac:dyDescent="0.25">
      <c r="A8708" t="s">
        <v>45</v>
      </c>
      <c r="B8708" t="s">
        <v>835</v>
      </c>
    </row>
    <row r="8709" spans="1:8" x14ac:dyDescent="0.25">
      <c r="A8709" t="s">
        <v>46</v>
      </c>
      <c r="B8709" t="s">
        <v>835</v>
      </c>
    </row>
    <row r="8710" spans="1:8" x14ac:dyDescent="0.25">
      <c r="A8710" t="s">
        <v>18</v>
      </c>
      <c r="B8710" t="s">
        <v>835</v>
      </c>
    </row>
    <row r="8711" spans="1:8" x14ac:dyDescent="0.25">
      <c r="A8711" t="str">
        <f xml:space="preserve"> $H$8703</f>
        <v>&lt;flags count_in_cargo="0" count_in_hoarder="0" count_in_map="1" count_in_player="0" crafted="0" deloot="0"/&gt;</v>
      </c>
      <c r="B8711" t="s">
        <v>835</v>
      </c>
    </row>
    <row r="8712" spans="1:8" x14ac:dyDescent="0.25">
      <c r="A8712" t="str">
        <f>"&lt;category name=" &amp;"""" &amp;$C$8703&amp;"""/&gt;"</f>
        <v>&lt;category name="weapons"/&gt;</v>
      </c>
      <c r="B8712" t="s">
        <v>835</v>
      </c>
    </row>
    <row r="8713" spans="1:8" x14ac:dyDescent="0.25">
      <c r="A8713" t="s">
        <v>20</v>
      </c>
      <c r="B8713" t="s">
        <v>835</v>
      </c>
    </row>
    <row r="8714" spans="1:8" x14ac:dyDescent="0.25">
      <c r="A8714" t="s">
        <v>173</v>
      </c>
      <c r="B8714" t="s">
        <v>835</v>
      </c>
    </row>
    <row r="8715" spans="1:8" x14ac:dyDescent="0.25">
      <c r="A8715" t="s">
        <v>22</v>
      </c>
      <c r="B8715" t="s">
        <v>835</v>
      </c>
    </row>
    <row r="8716" spans="1:8" x14ac:dyDescent="0.25">
      <c r="A8716" t="s">
        <v>2073</v>
      </c>
      <c r="B8716" t="s">
        <v>836</v>
      </c>
      <c r="C8716" t="s">
        <v>8</v>
      </c>
      <c r="D8716">
        <v>20</v>
      </c>
      <c r="E8716">
        <v>10800</v>
      </c>
      <c r="F8716">
        <v>1800</v>
      </c>
      <c r="G8716">
        <v>10</v>
      </c>
      <c r="H8716" t="s">
        <v>19</v>
      </c>
    </row>
    <row r="8717" spans="1:8" x14ac:dyDescent="0.25">
      <c r="A8717" t="str">
        <f>"&lt;nominal&gt;" &amp;$D$8716&amp;"&lt;/nominal&gt;"</f>
        <v>&lt;nominal&gt;20&lt;/nominal&gt;</v>
      </c>
      <c r="B8717" t="s">
        <v>836</v>
      </c>
    </row>
    <row r="8718" spans="1:8" x14ac:dyDescent="0.25">
      <c r="A8718" t="str">
        <f>"&lt;lifetime&gt;" &amp;$E$8716&amp;"&lt;/lifetime&gt;"</f>
        <v>&lt;lifetime&gt;10800&lt;/lifetime&gt;</v>
      </c>
      <c r="B8718" t="s">
        <v>836</v>
      </c>
    </row>
    <row r="8719" spans="1:8" x14ac:dyDescent="0.25">
      <c r="A8719" t="str">
        <f>"&lt;restock&gt;" &amp;$F$8716&amp;"&lt;/restock&gt;"</f>
        <v>&lt;restock&gt;1800&lt;/restock&gt;</v>
      </c>
      <c r="B8719" t="s">
        <v>836</v>
      </c>
    </row>
    <row r="8720" spans="1:8" x14ac:dyDescent="0.25">
      <c r="A8720" t="str">
        <f>"&lt;min&gt;" &amp;$G$8716&amp;"&lt;/min&gt;"</f>
        <v>&lt;min&gt;10&lt;/min&gt;</v>
      </c>
      <c r="B8720" t="s">
        <v>836</v>
      </c>
    </row>
    <row r="8721" spans="1:8" x14ac:dyDescent="0.25">
      <c r="A8721" t="s">
        <v>320</v>
      </c>
      <c r="B8721" t="s">
        <v>836</v>
      </c>
    </row>
    <row r="8722" spans="1:8" x14ac:dyDescent="0.25">
      <c r="A8722" t="s">
        <v>2062</v>
      </c>
      <c r="B8722" t="s">
        <v>836</v>
      </c>
    </row>
    <row r="8723" spans="1:8" x14ac:dyDescent="0.25">
      <c r="A8723" t="s">
        <v>18</v>
      </c>
      <c r="B8723" t="s">
        <v>836</v>
      </c>
    </row>
    <row r="8724" spans="1:8" x14ac:dyDescent="0.25">
      <c r="A8724" t="str">
        <f xml:space="preserve"> $H$8716</f>
        <v>&lt;flags count_in_cargo="0" count_in_hoarder="0" count_in_map="1" count_in_player="0" crafted="0" deloot="0"/&gt;</v>
      </c>
      <c r="B8724" t="s">
        <v>836</v>
      </c>
    </row>
    <row r="8725" spans="1:8" x14ac:dyDescent="0.25">
      <c r="A8725" t="str">
        <f>"&lt;category name=" &amp;"""" &amp;$C$8716&amp;"""/&gt;"</f>
        <v>&lt;category name="weapons"/&gt;</v>
      </c>
      <c r="B8725" t="s">
        <v>836</v>
      </c>
    </row>
    <row r="8726" spans="1:8" x14ac:dyDescent="0.25">
      <c r="A8726" t="s">
        <v>20</v>
      </c>
      <c r="B8726" t="s">
        <v>836</v>
      </c>
    </row>
    <row r="8727" spans="1:8" x14ac:dyDescent="0.25">
      <c r="A8727" t="s">
        <v>39</v>
      </c>
      <c r="B8727" t="s">
        <v>836</v>
      </c>
    </row>
    <row r="8728" spans="1:8" x14ac:dyDescent="0.25">
      <c r="A8728" t="s">
        <v>40</v>
      </c>
      <c r="B8728" t="s">
        <v>836</v>
      </c>
    </row>
    <row r="8729" spans="1:8" x14ac:dyDescent="0.25">
      <c r="A8729" t="s">
        <v>82</v>
      </c>
      <c r="B8729" t="s">
        <v>836</v>
      </c>
    </row>
    <row r="8730" spans="1:8" x14ac:dyDescent="0.25">
      <c r="A8730" t="s">
        <v>30</v>
      </c>
      <c r="B8730" t="s">
        <v>836</v>
      </c>
    </row>
    <row r="8731" spans="1:8" x14ac:dyDescent="0.25">
      <c r="A8731" t="s">
        <v>31</v>
      </c>
      <c r="B8731" t="s">
        <v>836</v>
      </c>
    </row>
    <row r="8732" spans="1:8" x14ac:dyDescent="0.25">
      <c r="A8732" t="s">
        <v>22</v>
      </c>
      <c r="B8732" t="s">
        <v>836</v>
      </c>
    </row>
    <row r="8733" spans="1:8" x14ac:dyDescent="0.25">
      <c r="A8733" t="s">
        <v>2074</v>
      </c>
      <c r="B8733" t="s">
        <v>837</v>
      </c>
      <c r="C8733" t="s">
        <v>8</v>
      </c>
      <c r="D8733">
        <v>20</v>
      </c>
      <c r="E8733">
        <v>7200</v>
      </c>
      <c r="F8733">
        <v>0</v>
      </c>
      <c r="G8733">
        <v>10</v>
      </c>
      <c r="H8733" t="s">
        <v>19</v>
      </c>
    </row>
    <row r="8734" spans="1:8" x14ac:dyDescent="0.25">
      <c r="A8734" t="str">
        <f>"&lt;nominal&gt;" &amp;$D$8733&amp;"&lt;/nominal&gt;"</f>
        <v>&lt;nominal&gt;20&lt;/nominal&gt;</v>
      </c>
      <c r="B8734" t="s">
        <v>837</v>
      </c>
    </row>
    <row r="8735" spans="1:8" x14ac:dyDescent="0.25">
      <c r="A8735" t="str">
        <f>"&lt;lifetime&gt;" &amp;$E$8733&amp;"&lt;/lifetime&gt;"</f>
        <v>&lt;lifetime&gt;7200&lt;/lifetime&gt;</v>
      </c>
      <c r="B8735" t="s">
        <v>837</v>
      </c>
    </row>
    <row r="8736" spans="1:8" x14ac:dyDescent="0.25">
      <c r="A8736" t="str">
        <f>"&lt;restock&gt;" &amp;$F$8733&amp;"&lt;/restock&gt;"</f>
        <v>&lt;restock&gt;0&lt;/restock&gt;</v>
      </c>
      <c r="B8736" t="s">
        <v>837</v>
      </c>
    </row>
    <row r="8737" spans="1:8" x14ac:dyDescent="0.25">
      <c r="A8737" t="str">
        <f>"&lt;min&gt;" &amp;$G$8733&amp;"&lt;/min&gt;"</f>
        <v>&lt;min&gt;10&lt;/min&gt;</v>
      </c>
      <c r="B8737" t="s">
        <v>837</v>
      </c>
    </row>
    <row r="8738" spans="1:8" x14ac:dyDescent="0.25">
      <c r="A8738" t="s">
        <v>1457</v>
      </c>
      <c r="B8738" t="s">
        <v>837</v>
      </c>
    </row>
    <row r="8739" spans="1:8" x14ac:dyDescent="0.25">
      <c r="A8739" t="s">
        <v>50</v>
      </c>
      <c r="B8739" t="s">
        <v>837</v>
      </c>
    </row>
    <row r="8740" spans="1:8" x14ac:dyDescent="0.25">
      <c r="A8740" t="s">
        <v>18</v>
      </c>
      <c r="B8740" t="s">
        <v>837</v>
      </c>
    </row>
    <row r="8741" spans="1:8" x14ac:dyDescent="0.25">
      <c r="A8741" t="str">
        <f xml:space="preserve"> $H$8733</f>
        <v>&lt;flags count_in_cargo="0" count_in_hoarder="0" count_in_map="1" count_in_player="0" crafted="0" deloot="0"/&gt;</v>
      </c>
      <c r="B8741" t="s">
        <v>837</v>
      </c>
    </row>
    <row r="8742" spans="1:8" x14ac:dyDescent="0.25">
      <c r="A8742" t="str">
        <f>"&lt;category name=" &amp;"""" &amp;$C$8733&amp;"""/&gt;"</f>
        <v>&lt;category name="weapons"/&gt;</v>
      </c>
      <c r="B8742" t="s">
        <v>837</v>
      </c>
    </row>
    <row r="8743" spans="1:8" x14ac:dyDescent="0.25">
      <c r="A8743" t="s">
        <v>20</v>
      </c>
      <c r="B8743" t="s">
        <v>837</v>
      </c>
    </row>
    <row r="8744" spans="1:8" x14ac:dyDescent="0.25">
      <c r="A8744" t="s">
        <v>39</v>
      </c>
      <c r="B8744" t="s">
        <v>837</v>
      </c>
    </row>
    <row r="8745" spans="1:8" x14ac:dyDescent="0.25">
      <c r="A8745" t="s">
        <v>40</v>
      </c>
      <c r="B8745" t="s">
        <v>837</v>
      </c>
    </row>
    <row r="8746" spans="1:8" x14ac:dyDescent="0.25">
      <c r="A8746" t="s">
        <v>22</v>
      </c>
      <c r="B8746" t="s">
        <v>837</v>
      </c>
    </row>
    <row r="8747" spans="1:8" x14ac:dyDescent="0.25">
      <c r="A8747" t="s">
        <v>2075</v>
      </c>
      <c r="B8747" t="s">
        <v>838</v>
      </c>
      <c r="C8747" t="s">
        <v>8</v>
      </c>
      <c r="D8747">
        <v>20</v>
      </c>
      <c r="E8747">
        <v>10800</v>
      </c>
      <c r="F8747">
        <v>1800</v>
      </c>
      <c r="G8747">
        <v>10</v>
      </c>
      <c r="H8747" t="s">
        <v>19</v>
      </c>
    </row>
    <row r="8748" spans="1:8" x14ac:dyDescent="0.25">
      <c r="A8748" t="str">
        <f>"&lt;nominal&gt;" &amp;$D$8747&amp;"&lt;/nominal&gt;"</f>
        <v>&lt;nominal&gt;20&lt;/nominal&gt;</v>
      </c>
      <c r="B8748" t="s">
        <v>838</v>
      </c>
    </row>
    <row r="8749" spans="1:8" x14ac:dyDescent="0.25">
      <c r="A8749" t="str">
        <f>"&lt;lifetime&gt;" &amp;$E$8747&amp;"&lt;/lifetime&gt;"</f>
        <v>&lt;lifetime&gt;10800&lt;/lifetime&gt;</v>
      </c>
      <c r="B8749" t="s">
        <v>838</v>
      </c>
    </row>
    <row r="8750" spans="1:8" x14ac:dyDescent="0.25">
      <c r="A8750" t="str">
        <f>"&lt;restock&gt;" &amp;$F$8747&amp;"&lt;/restock&gt;"</f>
        <v>&lt;restock&gt;1800&lt;/restock&gt;</v>
      </c>
      <c r="B8750" t="s">
        <v>838</v>
      </c>
    </row>
    <row r="8751" spans="1:8" x14ac:dyDescent="0.25">
      <c r="A8751" t="str">
        <f>"&lt;min&gt;" &amp;$G$8747&amp;"&lt;/min&gt;"</f>
        <v>&lt;min&gt;10&lt;/min&gt;</v>
      </c>
      <c r="B8751" t="s">
        <v>838</v>
      </c>
    </row>
    <row r="8752" spans="1:8" x14ac:dyDescent="0.25">
      <c r="A8752" t="s">
        <v>45</v>
      </c>
      <c r="B8752" t="s">
        <v>838</v>
      </c>
    </row>
    <row r="8753" spans="1:8" x14ac:dyDescent="0.25">
      <c r="A8753" t="s">
        <v>321</v>
      </c>
      <c r="B8753" t="s">
        <v>838</v>
      </c>
    </row>
    <row r="8754" spans="1:8" x14ac:dyDescent="0.25">
      <c r="A8754" t="s">
        <v>18</v>
      </c>
      <c r="B8754" t="s">
        <v>838</v>
      </c>
    </row>
    <row r="8755" spans="1:8" x14ac:dyDescent="0.25">
      <c r="A8755" t="str">
        <f xml:space="preserve"> $H$8747</f>
        <v>&lt;flags count_in_cargo="0" count_in_hoarder="0" count_in_map="1" count_in_player="0" crafted="0" deloot="0"/&gt;</v>
      </c>
      <c r="B8755" t="s">
        <v>838</v>
      </c>
    </row>
    <row r="8756" spans="1:8" x14ac:dyDescent="0.25">
      <c r="A8756" t="str">
        <f>"&lt;category name=" &amp;"""" &amp;$C$8747&amp;"""/&gt;"</f>
        <v>&lt;category name="weapons"/&gt;</v>
      </c>
      <c r="B8756" t="s">
        <v>838</v>
      </c>
    </row>
    <row r="8757" spans="1:8" x14ac:dyDescent="0.25">
      <c r="A8757" t="s">
        <v>29</v>
      </c>
      <c r="B8757" t="s">
        <v>838</v>
      </c>
    </row>
    <row r="8758" spans="1:8" x14ac:dyDescent="0.25">
      <c r="A8758" t="s">
        <v>82</v>
      </c>
      <c r="B8758" t="s">
        <v>838</v>
      </c>
    </row>
    <row r="8759" spans="1:8" x14ac:dyDescent="0.25">
      <c r="A8759" t="s">
        <v>30</v>
      </c>
      <c r="B8759" t="s">
        <v>838</v>
      </c>
    </row>
    <row r="8760" spans="1:8" x14ac:dyDescent="0.25">
      <c r="A8760" t="s">
        <v>22</v>
      </c>
      <c r="B8760" t="s">
        <v>838</v>
      </c>
    </row>
    <row r="8761" spans="1:8" x14ac:dyDescent="0.25">
      <c r="A8761" t="s">
        <v>2076</v>
      </c>
      <c r="B8761" t="s">
        <v>839</v>
      </c>
      <c r="C8761" t="s">
        <v>8</v>
      </c>
      <c r="D8761">
        <v>5</v>
      </c>
      <c r="E8761">
        <v>10800</v>
      </c>
      <c r="F8761">
        <v>2700</v>
      </c>
      <c r="G8761">
        <v>2</v>
      </c>
      <c r="H8761" t="s">
        <v>19</v>
      </c>
    </row>
    <row r="8762" spans="1:8" x14ac:dyDescent="0.25">
      <c r="A8762" t="str">
        <f>"&lt;nominal&gt;" &amp;$D$8761&amp;"&lt;/nominal&gt;"</f>
        <v>&lt;nominal&gt;5&lt;/nominal&gt;</v>
      </c>
      <c r="B8762" t="s">
        <v>839</v>
      </c>
    </row>
    <row r="8763" spans="1:8" x14ac:dyDescent="0.25">
      <c r="A8763" t="str">
        <f>"&lt;lifetime&gt;" &amp;$E$8761&amp;"&lt;/lifetime&gt;"</f>
        <v>&lt;lifetime&gt;10800&lt;/lifetime&gt;</v>
      </c>
      <c r="B8763" t="s">
        <v>839</v>
      </c>
    </row>
    <row r="8764" spans="1:8" x14ac:dyDescent="0.25">
      <c r="A8764" t="str">
        <f>"&lt;restock&gt;" &amp;$F$8761&amp;"&lt;/restock&gt;"</f>
        <v>&lt;restock&gt;2700&lt;/restock&gt;</v>
      </c>
      <c r="B8764" t="s">
        <v>839</v>
      </c>
    </row>
    <row r="8765" spans="1:8" x14ac:dyDescent="0.25">
      <c r="A8765" t="str">
        <f>"&lt;min&gt;" &amp;$G$8761&amp;"&lt;/min&gt;"</f>
        <v>&lt;min&gt;2&lt;/min&gt;</v>
      </c>
      <c r="B8765" t="s">
        <v>839</v>
      </c>
    </row>
    <row r="8766" spans="1:8" x14ac:dyDescent="0.25">
      <c r="A8766" t="s">
        <v>1457</v>
      </c>
      <c r="B8766" t="s">
        <v>839</v>
      </c>
    </row>
    <row r="8767" spans="1:8" x14ac:dyDescent="0.25">
      <c r="A8767" t="s">
        <v>328</v>
      </c>
      <c r="B8767" t="s">
        <v>839</v>
      </c>
    </row>
    <row r="8768" spans="1:8" x14ac:dyDescent="0.25">
      <c r="A8768" t="s">
        <v>18</v>
      </c>
      <c r="B8768" t="s">
        <v>839</v>
      </c>
    </row>
    <row r="8769" spans="1:8" x14ac:dyDescent="0.25">
      <c r="A8769" t="str">
        <f xml:space="preserve"> $H$8761</f>
        <v>&lt;flags count_in_cargo="0" count_in_hoarder="0" count_in_map="1" count_in_player="0" crafted="0" deloot="0"/&gt;</v>
      </c>
      <c r="B8769" t="s">
        <v>839</v>
      </c>
    </row>
    <row r="8770" spans="1:8" x14ac:dyDescent="0.25">
      <c r="A8770" t="str">
        <f>"&lt;category name=" &amp;"""" &amp;$C$8761&amp;"""/&gt;"</f>
        <v>&lt;category name="weapons"/&gt;</v>
      </c>
      <c r="B8770" t="s">
        <v>839</v>
      </c>
    </row>
    <row r="8771" spans="1:8" x14ac:dyDescent="0.25">
      <c r="A8771" t="s">
        <v>20</v>
      </c>
      <c r="B8771" t="s">
        <v>839</v>
      </c>
    </row>
    <row r="8772" spans="1:8" x14ac:dyDescent="0.25">
      <c r="A8772" t="s">
        <v>29</v>
      </c>
      <c r="B8772" t="s">
        <v>839</v>
      </c>
    </row>
    <row r="8773" spans="1:8" x14ac:dyDescent="0.25">
      <c r="A8773" t="s">
        <v>307</v>
      </c>
      <c r="B8773" t="s">
        <v>839</v>
      </c>
    </row>
    <row r="8774" spans="1:8" x14ac:dyDescent="0.25">
      <c r="A8774" t="s">
        <v>22</v>
      </c>
      <c r="B8774" t="s">
        <v>839</v>
      </c>
    </row>
    <row r="8775" spans="1:8" x14ac:dyDescent="0.25">
      <c r="A8775" t="s">
        <v>2077</v>
      </c>
      <c r="B8775" t="s">
        <v>840</v>
      </c>
      <c r="C8775" t="s">
        <v>8</v>
      </c>
      <c r="D8775">
        <v>10</v>
      </c>
      <c r="E8775">
        <v>10800</v>
      </c>
      <c r="F8775">
        <v>1800</v>
      </c>
      <c r="G8775">
        <v>5</v>
      </c>
      <c r="H8775" t="s">
        <v>19</v>
      </c>
    </row>
    <row r="8776" spans="1:8" x14ac:dyDescent="0.25">
      <c r="A8776" t="str">
        <f>"&lt;nominal&gt;" &amp;$D$8775&amp;"&lt;/nominal&gt;"</f>
        <v>&lt;nominal&gt;10&lt;/nominal&gt;</v>
      </c>
      <c r="B8776" t="s">
        <v>840</v>
      </c>
    </row>
    <row r="8777" spans="1:8" x14ac:dyDescent="0.25">
      <c r="A8777" t="str">
        <f>"&lt;lifetime&gt;" &amp;$E$8775&amp;"&lt;/lifetime&gt;"</f>
        <v>&lt;lifetime&gt;10800&lt;/lifetime&gt;</v>
      </c>
      <c r="B8777" t="s">
        <v>840</v>
      </c>
    </row>
    <row r="8778" spans="1:8" x14ac:dyDescent="0.25">
      <c r="A8778" t="str">
        <f>"&lt;restock&gt;" &amp;$F$8775&amp;"&lt;/restock&gt;"</f>
        <v>&lt;restock&gt;1800&lt;/restock&gt;</v>
      </c>
      <c r="B8778" t="s">
        <v>840</v>
      </c>
    </row>
    <row r="8779" spans="1:8" x14ac:dyDescent="0.25">
      <c r="A8779" t="str">
        <f>"&lt;min&gt;" &amp;$G$8775&amp;"&lt;/min&gt;"</f>
        <v>&lt;min&gt;5&lt;/min&gt;</v>
      </c>
      <c r="B8779" t="s">
        <v>840</v>
      </c>
    </row>
    <row r="8780" spans="1:8" x14ac:dyDescent="0.25">
      <c r="A8780" t="s">
        <v>327</v>
      </c>
      <c r="B8780" t="s">
        <v>840</v>
      </c>
    </row>
    <row r="8781" spans="1:8" x14ac:dyDescent="0.25">
      <c r="A8781" t="s">
        <v>328</v>
      </c>
      <c r="B8781" t="s">
        <v>840</v>
      </c>
    </row>
    <row r="8782" spans="1:8" x14ac:dyDescent="0.25">
      <c r="A8782" t="s">
        <v>18</v>
      </c>
      <c r="B8782" t="s">
        <v>840</v>
      </c>
    </row>
    <row r="8783" spans="1:8" x14ac:dyDescent="0.25">
      <c r="A8783" t="str">
        <f xml:space="preserve"> $H$8775</f>
        <v>&lt;flags count_in_cargo="0" count_in_hoarder="0" count_in_map="1" count_in_player="0" crafted="0" deloot="0"/&gt;</v>
      </c>
      <c r="B8783" t="s">
        <v>840</v>
      </c>
    </row>
    <row r="8784" spans="1:8" x14ac:dyDescent="0.25">
      <c r="A8784" t="str">
        <f>"&lt;category name=" &amp;"""" &amp;$C$8775&amp;"""/&gt;"</f>
        <v>&lt;category name="weapons"/&gt;</v>
      </c>
      <c r="B8784" t="s">
        <v>840</v>
      </c>
    </row>
    <row r="8785" spans="1:8" x14ac:dyDescent="0.25">
      <c r="A8785" t="s">
        <v>29</v>
      </c>
      <c r="B8785" t="s">
        <v>840</v>
      </c>
    </row>
    <row r="8786" spans="1:8" x14ac:dyDescent="0.25">
      <c r="A8786" t="s">
        <v>31</v>
      </c>
      <c r="B8786" t="s">
        <v>840</v>
      </c>
    </row>
    <row r="8787" spans="1:8" x14ac:dyDescent="0.25">
      <c r="A8787" t="s">
        <v>307</v>
      </c>
      <c r="B8787" t="s">
        <v>840</v>
      </c>
    </row>
    <row r="8788" spans="1:8" x14ac:dyDescent="0.25">
      <c r="A8788" t="s">
        <v>22</v>
      </c>
      <c r="B8788" t="s">
        <v>840</v>
      </c>
    </row>
    <row r="8789" spans="1:8" x14ac:dyDescent="0.25">
      <c r="A8789" t="s">
        <v>2078</v>
      </c>
      <c r="B8789" t="s">
        <v>841</v>
      </c>
      <c r="C8789" t="s">
        <v>8</v>
      </c>
      <c r="D8789">
        <v>10</v>
      </c>
      <c r="E8789">
        <v>10800</v>
      </c>
      <c r="F8789">
        <v>1800</v>
      </c>
      <c r="G8789">
        <v>5</v>
      </c>
      <c r="H8789" t="s">
        <v>19</v>
      </c>
    </row>
    <row r="8790" spans="1:8" x14ac:dyDescent="0.25">
      <c r="A8790" t="str">
        <f>"&lt;nominal&gt;" &amp;$D$8789&amp;"&lt;/nominal&gt;"</f>
        <v>&lt;nominal&gt;10&lt;/nominal&gt;</v>
      </c>
      <c r="B8790" t="s">
        <v>841</v>
      </c>
    </row>
    <row r="8791" spans="1:8" x14ac:dyDescent="0.25">
      <c r="A8791" t="str">
        <f>"&lt;lifetime&gt;" &amp;$E$8789&amp;"&lt;/lifetime&gt;"</f>
        <v>&lt;lifetime&gt;10800&lt;/lifetime&gt;</v>
      </c>
      <c r="B8791" t="s">
        <v>841</v>
      </c>
    </row>
    <row r="8792" spans="1:8" x14ac:dyDescent="0.25">
      <c r="A8792" t="str">
        <f>"&lt;restock&gt;" &amp;$F$8789&amp;"&lt;/restock&gt;"</f>
        <v>&lt;restock&gt;1800&lt;/restock&gt;</v>
      </c>
      <c r="B8792" t="s">
        <v>841</v>
      </c>
    </row>
    <row r="8793" spans="1:8" x14ac:dyDescent="0.25">
      <c r="A8793" t="str">
        <f>"&lt;min&gt;" &amp;$G$8789&amp;"&lt;/min&gt;"</f>
        <v>&lt;min&gt;5&lt;/min&gt;</v>
      </c>
      <c r="B8793" t="s">
        <v>841</v>
      </c>
    </row>
    <row r="8794" spans="1:8" x14ac:dyDescent="0.25">
      <c r="A8794" t="s">
        <v>45</v>
      </c>
      <c r="B8794" t="s">
        <v>841</v>
      </c>
    </row>
    <row r="8795" spans="1:8" x14ac:dyDescent="0.25">
      <c r="A8795" t="s">
        <v>46</v>
      </c>
      <c r="B8795" t="s">
        <v>841</v>
      </c>
    </row>
    <row r="8796" spans="1:8" x14ac:dyDescent="0.25">
      <c r="A8796" t="s">
        <v>324</v>
      </c>
      <c r="B8796" t="s">
        <v>841</v>
      </c>
    </row>
    <row r="8797" spans="1:8" x14ac:dyDescent="0.25">
      <c r="A8797" t="str">
        <f xml:space="preserve"> $H$8789</f>
        <v>&lt;flags count_in_cargo="0" count_in_hoarder="0" count_in_map="1" count_in_player="0" crafted="0" deloot="0"/&gt;</v>
      </c>
      <c r="B8797" t="s">
        <v>841</v>
      </c>
    </row>
    <row r="8798" spans="1:8" x14ac:dyDescent="0.25">
      <c r="A8798" t="str">
        <f>"&lt;category name=" &amp;"""" &amp;$C$8789&amp;"""/&gt;"</f>
        <v>&lt;category name="weapons"/&gt;</v>
      </c>
      <c r="B8798" t="s">
        <v>841</v>
      </c>
    </row>
    <row r="8799" spans="1:8" x14ac:dyDescent="0.25">
      <c r="A8799" t="s">
        <v>29</v>
      </c>
      <c r="B8799" t="s">
        <v>841</v>
      </c>
    </row>
    <row r="8800" spans="1:8" x14ac:dyDescent="0.25">
      <c r="A8800" t="s">
        <v>307</v>
      </c>
      <c r="B8800" t="s">
        <v>841</v>
      </c>
    </row>
    <row r="8801" spans="1:8" x14ac:dyDescent="0.25">
      <c r="A8801" t="s">
        <v>22</v>
      </c>
      <c r="B8801" t="s">
        <v>841</v>
      </c>
    </row>
    <row r="8802" spans="1:8" x14ac:dyDescent="0.25">
      <c r="A8802" t="s">
        <v>2079</v>
      </c>
      <c r="B8802" t="s">
        <v>842</v>
      </c>
      <c r="C8802" t="s">
        <v>8</v>
      </c>
      <c r="D8802">
        <v>10</v>
      </c>
      <c r="E8802">
        <v>7200</v>
      </c>
      <c r="F8802">
        <v>1800</v>
      </c>
      <c r="G8802">
        <v>5</v>
      </c>
      <c r="H8802" t="s">
        <v>19</v>
      </c>
    </row>
    <row r="8803" spans="1:8" x14ac:dyDescent="0.25">
      <c r="A8803" t="str">
        <f>"&lt;nominal&gt;" &amp;$D$8802&amp;"&lt;/nominal&gt;"</f>
        <v>&lt;nominal&gt;10&lt;/nominal&gt;</v>
      </c>
      <c r="B8803" t="s">
        <v>842</v>
      </c>
    </row>
    <row r="8804" spans="1:8" x14ac:dyDescent="0.25">
      <c r="A8804" t="str">
        <f>"&lt;lifetime&gt;" &amp;$E$8802&amp;"&lt;/lifetime&gt;"</f>
        <v>&lt;lifetime&gt;7200&lt;/lifetime&gt;</v>
      </c>
      <c r="B8804" t="s">
        <v>842</v>
      </c>
    </row>
    <row r="8805" spans="1:8" x14ac:dyDescent="0.25">
      <c r="A8805" t="str">
        <f>"&lt;restock&gt;" &amp;$F$8802&amp;"&lt;/restock&gt;"</f>
        <v>&lt;restock&gt;1800&lt;/restock&gt;</v>
      </c>
      <c r="B8805" t="s">
        <v>842</v>
      </c>
    </row>
    <row r="8806" spans="1:8" x14ac:dyDescent="0.25">
      <c r="A8806" t="str">
        <f>"&lt;min&gt;" &amp;$G$8802&amp;"&lt;/min&gt;"</f>
        <v>&lt;min&gt;5&lt;/min&gt;</v>
      </c>
      <c r="B8806" t="s">
        <v>842</v>
      </c>
    </row>
    <row r="8807" spans="1:8" x14ac:dyDescent="0.25">
      <c r="A8807" t="s">
        <v>45</v>
      </c>
      <c r="B8807" t="s">
        <v>842</v>
      </c>
    </row>
    <row r="8808" spans="1:8" x14ac:dyDescent="0.25">
      <c r="A8808" t="s">
        <v>328</v>
      </c>
      <c r="B8808" t="s">
        <v>842</v>
      </c>
    </row>
    <row r="8809" spans="1:8" x14ac:dyDescent="0.25">
      <c r="A8809" t="s">
        <v>18</v>
      </c>
      <c r="B8809" t="s">
        <v>842</v>
      </c>
    </row>
    <row r="8810" spans="1:8" x14ac:dyDescent="0.25">
      <c r="A8810" t="str">
        <f xml:space="preserve"> $H$8802</f>
        <v>&lt;flags count_in_cargo="0" count_in_hoarder="0" count_in_map="1" count_in_player="0" crafted="0" deloot="0"/&gt;</v>
      </c>
      <c r="B8810" t="s">
        <v>842</v>
      </c>
    </row>
    <row r="8811" spans="1:8" x14ac:dyDescent="0.25">
      <c r="A8811" t="str">
        <f>"&lt;category name=" &amp;"""" &amp;$C$8802&amp;"""/&gt;"</f>
        <v>&lt;category name="weapons"/&gt;</v>
      </c>
      <c r="B8811" t="s">
        <v>842</v>
      </c>
    </row>
    <row r="8812" spans="1:8" x14ac:dyDescent="0.25">
      <c r="A8812" t="s">
        <v>29</v>
      </c>
      <c r="B8812" t="s">
        <v>842</v>
      </c>
    </row>
    <row r="8813" spans="1:8" x14ac:dyDescent="0.25">
      <c r="A8813" t="s">
        <v>31</v>
      </c>
      <c r="B8813" t="s">
        <v>842</v>
      </c>
    </row>
    <row r="8814" spans="1:8" x14ac:dyDescent="0.25">
      <c r="A8814" t="s">
        <v>307</v>
      </c>
      <c r="B8814" t="s">
        <v>842</v>
      </c>
    </row>
    <row r="8815" spans="1:8" x14ac:dyDescent="0.25">
      <c r="A8815" t="s">
        <v>22</v>
      </c>
      <c r="B8815" t="s">
        <v>842</v>
      </c>
    </row>
    <row r="8816" spans="1:8" x14ac:dyDescent="0.25">
      <c r="A8816" t="s">
        <v>2080</v>
      </c>
      <c r="B8816" t="s">
        <v>843</v>
      </c>
      <c r="C8816" t="s">
        <v>8</v>
      </c>
      <c r="D8816">
        <v>10</v>
      </c>
      <c r="E8816">
        <v>7200</v>
      </c>
      <c r="F8816">
        <v>1800</v>
      </c>
      <c r="G8816">
        <v>5</v>
      </c>
      <c r="H8816" t="s">
        <v>19</v>
      </c>
    </row>
    <row r="8817" spans="1:8" x14ac:dyDescent="0.25">
      <c r="A8817" t="str">
        <f>"&lt;nominal&gt;" &amp;$D$8816&amp;"&lt;/nominal&gt;"</f>
        <v>&lt;nominal&gt;10&lt;/nominal&gt;</v>
      </c>
      <c r="B8817" t="s">
        <v>843</v>
      </c>
    </row>
    <row r="8818" spans="1:8" x14ac:dyDescent="0.25">
      <c r="A8818" t="str">
        <f>"&lt;lifetime&gt;" &amp;$E$8816&amp;"&lt;/lifetime&gt;"</f>
        <v>&lt;lifetime&gt;7200&lt;/lifetime&gt;</v>
      </c>
      <c r="B8818" t="s">
        <v>843</v>
      </c>
    </row>
    <row r="8819" spans="1:8" x14ac:dyDescent="0.25">
      <c r="A8819" t="str">
        <f>"&lt;restock&gt;" &amp;$F$8816&amp;"&lt;/restock&gt;"</f>
        <v>&lt;restock&gt;1800&lt;/restock&gt;</v>
      </c>
      <c r="B8819" t="s">
        <v>843</v>
      </c>
    </row>
    <row r="8820" spans="1:8" x14ac:dyDescent="0.25">
      <c r="A8820" t="str">
        <f>"&lt;min&gt;" &amp;$G$8816&amp;"&lt;/min&gt;"</f>
        <v>&lt;min&gt;5&lt;/min&gt;</v>
      </c>
      <c r="B8820" t="s">
        <v>843</v>
      </c>
    </row>
    <row r="8821" spans="1:8" x14ac:dyDescent="0.25">
      <c r="A8821" t="s">
        <v>45</v>
      </c>
      <c r="B8821" t="s">
        <v>843</v>
      </c>
    </row>
    <row r="8822" spans="1:8" x14ac:dyDescent="0.25">
      <c r="A8822" t="s">
        <v>328</v>
      </c>
      <c r="B8822" t="s">
        <v>843</v>
      </c>
    </row>
    <row r="8823" spans="1:8" x14ac:dyDescent="0.25">
      <c r="A8823" t="s">
        <v>18</v>
      </c>
      <c r="B8823" t="s">
        <v>843</v>
      </c>
    </row>
    <row r="8824" spans="1:8" x14ac:dyDescent="0.25">
      <c r="A8824" t="str">
        <f xml:space="preserve"> $H$8816</f>
        <v>&lt;flags count_in_cargo="0" count_in_hoarder="0" count_in_map="1" count_in_player="0" crafted="0" deloot="0"/&gt;</v>
      </c>
      <c r="B8824" t="s">
        <v>843</v>
      </c>
    </row>
    <row r="8825" spans="1:8" x14ac:dyDescent="0.25">
      <c r="A8825" t="str">
        <f>"&lt;category name=" &amp;"""" &amp;$C$8816&amp;"""/&gt;"</f>
        <v>&lt;category name="weapons"/&gt;</v>
      </c>
      <c r="B8825" t="s">
        <v>843</v>
      </c>
    </row>
    <row r="8826" spans="1:8" x14ac:dyDescent="0.25">
      <c r="A8826" t="s">
        <v>29</v>
      </c>
      <c r="B8826" t="s">
        <v>843</v>
      </c>
    </row>
    <row r="8827" spans="1:8" x14ac:dyDescent="0.25">
      <c r="A8827" t="s">
        <v>22</v>
      </c>
      <c r="B8827" t="s">
        <v>843</v>
      </c>
    </row>
    <row r="8828" spans="1:8" x14ac:dyDescent="0.25">
      <c r="A8828" t="s">
        <v>2081</v>
      </c>
      <c r="B8828" t="s">
        <v>844</v>
      </c>
      <c r="C8828" t="s">
        <v>8</v>
      </c>
      <c r="D8828">
        <v>5</v>
      </c>
      <c r="E8828">
        <v>7200</v>
      </c>
      <c r="F8828">
        <v>1800</v>
      </c>
      <c r="G8828">
        <v>2</v>
      </c>
      <c r="H8828" t="s">
        <v>19</v>
      </c>
    </row>
    <row r="8829" spans="1:8" x14ac:dyDescent="0.25">
      <c r="A8829" t="str">
        <f>"&lt;nominal&gt;" &amp;$D$8828&amp;"&lt;/nominal&gt;"</f>
        <v>&lt;nominal&gt;5&lt;/nominal&gt;</v>
      </c>
      <c r="B8829" t="s">
        <v>844</v>
      </c>
    </row>
    <row r="8830" spans="1:8" x14ac:dyDescent="0.25">
      <c r="A8830" t="str">
        <f>"&lt;lifetime&gt;" &amp;$E$8828&amp;"&lt;/lifetime&gt;"</f>
        <v>&lt;lifetime&gt;7200&lt;/lifetime&gt;</v>
      </c>
      <c r="B8830" t="s">
        <v>844</v>
      </c>
    </row>
    <row r="8831" spans="1:8" x14ac:dyDescent="0.25">
      <c r="A8831" t="str">
        <f>"&lt;restock&gt;" &amp;$F$8828&amp;"&lt;/restock&gt;"</f>
        <v>&lt;restock&gt;1800&lt;/restock&gt;</v>
      </c>
      <c r="B8831" t="s">
        <v>844</v>
      </c>
    </row>
    <row r="8832" spans="1:8" x14ac:dyDescent="0.25">
      <c r="A8832" t="str">
        <f>"&lt;min&gt;" &amp;$G$8828&amp;"&lt;/min&gt;"</f>
        <v>&lt;min&gt;2&lt;/min&gt;</v>
      </c>
      <c r="B8832" t="s">
        <v>844</v>
      </c>
    </row>
    <row r="8833" spans="1:8" x14ac:dyDescent="0.25">
      <c r="A8833" t="s">
        <v>2082</v>
      </c>
      <c r="B8833" t="s">
        <v>844</v>
      </c>
    </row>
    <row r="8834" spans="1:8" x14ac:dyDescent="0.25">
      <c r="A8834" t="s">
        <v>46</v>
      </c>
      <c r="B8834" t="s">
        <v>844</v>
      </c>
    </row>
    <row r="8835" spans="1:8" x14ac:dyDescent="0.25">
      <c r="A8835" t="s">
        <v>18</v>
      </c>
      <c r="B8835" t="s">
        <v>844</v>
      </c>
    </row>
    <row r="8836" spans="1:8" x14ac:dyDescent="0.25">
      <c r="A8836" t="str">
        <f xml:space="preserve"> $H$8828</f>
        <v>&lt;flags count_in_cargo="0" count_in_hoarder="0" count_in_map="1" count_in_player="0" crafted="0" deloot="0"/&gt;</v>
      </c>
      <c r="B8836" t="s">
        <v>844</v>
      </c>
    </row>
    <row r="8837" spans="1:8" x14ac:dyDescent="0.25">
      <c r="A8837" t="str">
        <f>"&lt;category name=" &amp;"""" &amp;$C$8828&amp;"""/&gt;"</f>
        <v>&lt;category name="weapons"/&gt;</v>
      </c>
      <c r="B8837" t="s">
        <v>844</v>
      </c>
    </row>
    <row r="8838" spans="1:8" x14ac:dyDescent="0.25">
      <c r="A8838" t="s">
        <v>29</v>
      </c>
      <c r="B8838" t="s">
        <v>844</v>
      </c>
    </row>
    <row r="8839" spans="1:8" x14ac:dyDescent="0.25">
      <c r="A8839" t="s">
        <v>31</v>
      </c>
      <c r="B8839" t="s">
        <v>844</v>
      </c>
    </row>
    <row r="8840" spans="1:8" x14ac:dyDescent="0.25">
      <c r="A8840" t="s">
        <v>307</v>
      </c>
      <c r="B8840" t="s">
        <v>844</v>
      </c>
    </row>
    <row r="8841" spans="1:8" x14ac:dyDescent="0.25">
      <c r="A8841" t="s">
        <v>22</v>
      </c>
      <c r="B8841" t="s">
        <v>844</v>
      </c>
    </row>
    <row r="8842" spans="1:8" x14ac:dyDescent="0.25">
      <c r="A8842" t="s">
        <v>2083</v>
      </c>
      <c r="B8842" t="s">
        <v>845</v>
      </c>
      <c r="C8842" t="s">
        <v>8</v>
      </c>
      <c r="D8842">
        <v>20</v>
      </c>
      <c r="E8842">
        <v>10800</v>
      </c>
      <c r="F8842">
        <v>1800</v>
      </c>
      <c r="G8842">
        <v>10</v>
      </c>
      <c r="H8842" t="s">
        <v>19</v>
      </c>
    </row>
    <row r="8843" spans="1:8" x14ac:dyDescent="0.25">
      <c r="A8843" t="str">
        <f>"&lt;nominal&gt;" &amp;$D$8842&amp;"&lt;/nominal&gt;"</f>
        <v>&lt;nominal&gt;20&lt;/nominal&gt;</v>
      </c>
      <c r="B8843" t="s">
        <v>845</v>
      </c>
    </row>
    <row r="8844" spans="1:8" x14ac:dyDescent="0.25">
      <c r="A8844" t="str">
        <f>"&lt;lifetime&gt;" &amp;$E$8842&amp;"&lt;/lifetime&gt;"</f>
        <v>&lt;lifetime&gt;10800&lt;/lifetime&gt;</v>
      </c>
      <c r="B8844" t="s">
        <v>845</v>
      </c>
    </row>
    <row r="8845" spans="1:8" x14ac:dyDescent="0.25">
      <c r="A8845" t="str">
        <f>"&lt;restock&gt;" &amp;$F$8842&amp;"&lt;/restock&gt;"</f>
        <v>&lt;restock&gt;1800&lt;/restock&gt;</v>
      </c>
      <c r="B8845" t="s">
        <v>845</v>
      </c>
    </row>
    <row r="8846" spans="1:8" x14ac:dyDescent="0.25">
      <c r="A8846" t="str">
        <f>"&lt;min&gt;" &amp;$G$8842&amp;"&lt;/min&gt;"</f>
        <v>&lt;min&gt;10&lt;/min&gt;</v>
      </c>
      <c r="B8846" t="s">
        <v>845</v>
      </c>
    </row>
    <row r="8847" spans="1:8" x14ac:dyDescent="0.25">
      <c r="A8847" t="s">
        <v>2082</v>
      </c>
      <c r="B8847" t="s">
        <v>845</v>
      </c>
    </row>
    <row r="8848" spans="1:8" x14ac:dyDescent="0.25">
      <c r="A8848" t="s">
        <v>321</v>
      </c>
      <c r="B8848" t="s">
        <v>845</v>
      </c>
    </row>
    <row r="8849" spans="1:8" x14ac:dyDescent="0.25">
      <c r="A8849" t="s">
        <v>18</v>
      </c>
      <c r="B8849" t="s">
        <v>845</v>
      </c>
    </row>
    <row r="8850" spans="1:8" x14ac:dyDescent="0.25">
      <c r="A8850" t="str">
        <f xml:space="preserve"> $H$8842</f>
        <v>&lt;flags count_in_cargo="0" count_in_hoarder="0" count_in_map="1" count_in_player="0" crafted="0" deloot="0"/&gt;</v>
      </c>
      <c r="B8850" t="s">
        <v>845</v>
      </c>
    </row>
    <row r="8851" spans="1:8" x14ac:dyDescent="0.25">
      <c r="A8851" t="str">
        <f>"&lt;category name=" &amp;"""" &amp;$C$8842&amp;"""/&gt;"</f>
        <v>&lt;category name="weapons"/&gt;</v>
      </c>
      <c r="B8851" t="s">
        <v>845</v>
      </c>
    </row>
    <row r="8852" spans="1:8" x14ac:dyDescent="0.25">
      <c r="A8852" t="s">
        <v>29</v>
      </c>
      <c r="B8852" t="s">
        <v>845</v>
      </c>
    </row>
    <row r="8853" spans="1:8" x14ac:dyDescent="0.25">
      <c r="A8853" t="s">
        <v>30</v>
      </c>
      <c r="B8853" t="s">
        <v>845</v>
      </c>
    </row>
    <row r="8854" spans="1:8" x14ac:dyDescent="0.25">
      <c r="A8854" t="s">
        <v>31</v>
      </c>
      <c r="B8854" t="s">
        <v>845</v>
      </c>
    </row>
    <row r="8855" spans="1:8" x14ac:dyDescent="0.25">
      <c r="A8855" t="s">
        <v>22</v>
      </c>
      <c r="B8855" t="s">
        <v>845</v>
      </c>
    </row>
    <row r="8856" spans="1:8" x14ac:dyDescent="0.25">
      <c r="A8856" t="s">
        <v>3302</v>
      </c>
      <c r="B8856" t="s">
        <v>3324</v>
      </c>
      <c r="C8856" t="s">
        <v>8</v>
      </c>
      <c r="D8856">
        <v>20</v>
      </c>
      <c r="E8856">
        <v>10800</v>
      </c>
      <c r="F8856">
        <v>1800</v>
      </c>
      <c r="G8856">
        <v>10</v>
      </c>
      <c r="H8856" t="s">
        <v>19</v>
      </c>
    </row>
    <row r="8857" spans="1:8" x14ac:dyDescent="0.25">
      <c r="A8857" t="str">
        <f>"&lt;nominal&gt;" &amp;$D$8856&amp;"&lt;/nominal&gt;"</f>
        <v>&lt;nominal&gt;20&lt;/nominal&gt;</v>
      </c>
      <c r="B8857" t="s">
        <v>3324</v>
      </c>
    </row>
    <row r="8858" spans="1:8" x14ac:dyDescent="0.25">
      <c r="A8858" t="str">
        <f>"&lt;lifetime&gt;" &amp;$E$8856&amp;"&lt;/lifetime&gt;"</f>
        <v>&lt;lifetime&gt;10800&lt;/lifetime&gt;</v>
      </c>
      <c r="B8858" t="s">
        <v>3324</v>
      </c>
    </row>
    <row r="8859" spans="1:8" x14ac:dyDescent="0.25">
      <c r="A8859" t="str">
        <f>"&lt;restock&gt;" &amp;$F$8856&amp;"&lt;/restock&gt;"</f>
        <v>&lt;restock&gt;1800&lt;/restock&gt;</v>
      </c>
      <c r="B8859" t="s">
        <v>3324</v>
      </c>
    </row>
    <row r="8860" spans="1:8" x14ac:dyDescent="0.25">
      <c r="A8860" t="str">
        <f>"&lt;min&gt;" &amp;$G$8856&amp;"&lt;/min&gt;"</f>
        <v>&lt;min&gt;10&lt;/min&gt;</v>
      </c>
      <c r="B8860" t="s">
        <v>3324</v>
      </c>
    </row>
    <row r="8861" spans="1:8" x14ac:dyDescent="0.25">
      <c r="A8861" t="s">
        <v>2082</v>
      </c>
      <c r="B8861" t="s">
        <v>3324</v>
      </c>
    </row>
    <row r="8862" spans="1:8" x14ac:dyDescent="0.25">
      <c r="A8862" t="s">
        <v>321</v>
      </c>
      <c r="B8862" t="s">
        <v>3324</v>
      </c>
    </row>
    <row r="8863" spans="1:8" x14ac:dyDescent="0.25">
      <c r="A8863" t="s">
        <v>18</v>
      </c>
      <c r="B8863" t="s">
        <v>3324</v>
      </c>
    </row>
    <row r="8864" spans="1:8" x14ac:dyDescent="0.25">
      <c r="A8864" t="str">
        <f xml:space="preserve"> $H$8856</f>
        <v>&lt;flags count_in_cargo="0" count_in_hoarder="0" count_in_map="1" count_in_player="0" crafted="0" deloot="0"/&gt;</v>
      </c>
      <c r="B8864" t="s">
        <v>3324</v>
      </c>
    </row>
    <row r="8865" spans="1:8" x14ac:dyDescent="0.25">
      <c r="A8865" t="str">
        <f>"&lt;category name=" &amp;"""" &amp;$C$8856&amp;"""/&gt;"</f>
        <v>&lt;category name="weapons"/&gt;</v>
      </c>
      <c r="B8865" t="s">
        <v>3324</v>
      </c>
    </row>
    <row r="8866" spans="1:8" x14ac:dyDescent="0.25">
      <c r="A8866" t="s">
        <v>29</v>
      </c>
      <c r="B8866" t="s">
        <v>3324</v>
      </c>
    </row>
    <row r="8867" spans="1:8" x14ac:dyDescent="0.25">
      <c r="A8867" t="s">
        <v>82</v>
      </c>
      <c r="B8867" t="s">
        <v>3324</v>
      </c>
    </row>
    <row r="8868" spans="1:8" x14ac:dyDescent="0.25">
      <c r="A8868" t="s">
        <v>30</v>
      </c>
      <c r="B8868" t="s">
        <v>3324</v>
      </c>
    </row>
    <row r="8869" spans="1:8" x14ac:dyDescent="0.25">
      <c r="A8869" t="s">
        <v>31</v>
      </c>
      <c r="B8869" t="s">
        <v>3324</v>
      </c>
    </row>
    <row r="8870" spans="1:8" x14ac:dyDescent="0.25">
      <c r="A8870" t="s">
        <v>22</v>
      </c>
      <c r="B8870" t="s">
        <v>3324</v>
      </c>
    </row>
    <row r="8871" spans="1:8" x14ac:dyDescent="0.25">
      <c r="A8871" t="s">
        <v>3303</v>
      </c>
      <c r="B8871" t="s">
        <v>3325</v>
      </c>
      <c r="C8871" t="s">
        <v>8</v>
      </c>
      <c r="D8871">
        <v>20</v>
      </c>
      <c r="E8871">
        <v>10800</v>
      </c>
      <c r="F8871">
        <v>1800</v>
      </c>
      <c r="G8871">
        <v>10</v>
      </c>
      <c r="H8871" t="s">
        <v>19</v>
      </c>
    </row>
    <row r="8872" spans="1:8" x14ac:dyDescent="0.25">
      <c r="A8872" t="str">
        <f>"&lt;nominal&gt;" &amp;$D$8871&amp;"&lt;/nominal&gt;"</f>
        <v>&lt;nominal&gt;20&lt;/nominal&gt;</v>
      </c>
      <c r="B8872" t="s">
        <v>3325</v>
      </c>
    </row>
    <row r="8873" spans="1:8" x14ac:dyDescent="0.25">
      <c r="A8873" t="str">
        <f>"&lt;lifetime&gt;" &amp;$E$8871&amp;"&lt;/lifetime&gt;"</f>
        <v>&lt;lifetime&gt;10800&lt;/lifetime&gt;</v>
      </c>
      <c r="B8873" t="s">
        <v>3325</v>
      </c>
    </row>
    <row r="8874" spans="1:8" x14ac:dyDescent="0.25">
      <c r="A8874" t="str">
        <f>"&lt;restock&gt;" &amp;$F$8871&amp;"&lt;/restock&gt;"</f>
        <v>&lt;restock&gt;1800&lt;/restock&gt;</v>
      </c>
      <c r="B8874" t="s">
        <v>3325</v>
      </c>
    </row>
    <row r="8875" spans="1:8" x14ac:dyDescent="0.25">
      <c r="A8875" t="str">
        <f>"&lt;min&gt;" &amp;$G$8871&amp;"&lt;/min&gt;"</f>
        <v>&lt;min&gt;10&lt;/min&gt;</v>
      </c>
      <c r="B8875" t="s">
        <v>3325</v>
      </c>
    </row>
    <row r="8876" spans="1:8" x14ac:dyDescent="0.25">
      <c r="A8876" t="s">
        <v>2082</v>
      </c>
      <c r="B8876" t="s">
        <v>3325</v>
      </c>
    </row>
    <row r="8877" spans="1:8" x14ac:dyDescent="0.25">
      <c r="A8877" t="s">
        <v>321</v>
      </c>
      <c r="B8877" t="s">
        <v>3325</v>
      </c>
    </row>
    <row r="8878" spans="1:8" x14ac:dyDescent="0.25">
      <c r="A8878" t="s">
        <v>18</v>
      </c>
      <c r="B8878" t="s">
        <v>3325</v>
      </c>
    </row>
    <row r="8879" spans="1:8" x14ac:dyDescent="0.25">
      <c r="A8879" t="str">
        <f xml:space="preserve"> $H$8871</f>
        <v>&lt;flags count_in_cargo="0" count_in_hoarder="0" count_in_map="1" count_in_player="0" crafted="0" deloot="0"/&gt;</v>
      </c>
      <c r="B8879" t="s">
        <v>3325</v>
      </c>
    </row>
    <row r="8880" spans="1:8" x14ac:dyDescent="0.25">
      <c r="A8880" t="str">
        <f>"&lt;category name=" &amp;"""" &amp;$C$8871&amp;"""/&gt;"</f>
        <v>&lt;category name="weapons"/&gt;</v>
      </c>
      <c r="B8880" t="s">
        <v>3325</v>
      </c>
    </row>
    <row r="8881" spans="1:8" x14ac:dyDescent="0.25">
      <c r="A8881" t="s">
        <v>29</v>
      </c>
      <c r="B8881" t="s">
        <v>3325</v>
      </c>
    </row>
    <row r="8882" spans="1:8" x14ac:dyDescent="0.25">
      <c r="A8882" t="s">
        <v>82</v>
      </c>
      <c r="B8882" t="s">
        <v>3325</v>
      </c>
    </row>
    <row r="8883" spans="1:8" x14ac:dyDescent="0.25">
      <c r="A8883" t="s">
        <v>30</v>
      </c>
      <c r="B8883" t="s">
        <v>3325</v>
      </c>
    </row>
    <row r="8884" spans="1:8" x14ac:dyDescent="0.25">
      <c r="A8884" t="s">
        <v>31</v>
      </c>
      <c r="B8884" t="s">
        <v>3325</v>
      </c>
    </row>
    <row r="8885" spans="1:8" x14ac:dyDescent="0.25">
      <c r="A8885" t="s">
        <v>22</v>
      </c>
      <c r="B8885" t="s">
        <v>3325</v>
      </c>
    </row>
    <row r="8886" spans="1:8" x14ac:dyDescent="0.25">
      <c r="A8886" t="s">
        <v>3304</v>
      </c>
      <c r="B8886" t="s">
        <v>3326</v>
      </c>
      <c r="C8886" t="s">
        <v>8</v>
      </c>
      <c r="D8886">
        <v>20</v>
      </c>
      <c r="E8886">
        <v>10800</v>
      </c>
      <c r="F8886">
        <v>1800</v>
      </c>
      <c r="G8886">
        <v>10</v>
      </c>
      <c r="H8886" t="s">
        <v>19</v>
      </c>
    </row>
    <row r="8887" spans="1:8" x14ac:dyDescent="0.25">
      <c r="A8887" t="str">
        <f>"&lt;nominal&gt;" &amp;$D$8886&amp;"&lt;/nominal&gt;"</f>
        <v>&lt;nominal&gt;20&lt;/nominal&gt;</v>
      </c>
      <c r="B8887" t="s">
        <v>3326</v>
      </c>
    </row>
    <row r="8888" spans="1:8" x14ac:dyDescent="0.25">
      <c r="A8888" t="str">
        <f>"&lt;lifetime&gt;" &amp;$E$8886&amp;"&lt;/lifetime&gt;"</f>
        <v>&lt;lifetime&gt;10800&lt;/lifetime&gt;</v>
      </c>
      <c r="B8888" t="s">
        <v>3326</v>
      </c>
    </row>
    <row r="8889" spans="1:8" x14ac:dyDescent="0.25">
      <c r="A8889" t="str">
        <f>"&lt;restock&gt;" &amp;$F$8886&amp;"&lt;/restock&gt;"</f>
        <v>&lt;restock&gt;1800&lt;/restock&gt;</v>
      </c>
      <c r="B8889" t="s">
        <v>3326</v>
      </c>
    </row>
    <row r="8890" spans="1:8" x14ac:dyDescent="0.25">
      <c r="A8890" t="str">
        <f>"&lt;min&gt;" &amp;$G$8886&amp;"&lt;/min&gt;"</f>
        <v>&lt;min&gt;10&lt;/min&gt;</v>
      </c>
      <c r="B8890" t="s">
        <v>3326</v>
      </c>
    </row>
    <row r="8891" spans="1:8" x14ac:dyDescent="0.25">
      <c r="A8891" t="s">
        <v>2082</v>
      </c>
      <c r="B8891" t="s">
        <v>3326</v>
      </c>
    </row>
    <row r="8892" spans="1:8" x14ac:dyDescent="0.25">
      <c r="A8892" t="s">
        <v>321</v>
      </c>
      <c r="B8892" t="s">
        <v>3326</v>
      </c>
    </row>
    <row r="8893" spans="1:8" x14ac:dyDescent="0.25">
      <c r="A8893" t="s">
        <v>18</v>
      </c>
      <c r="B8893" t="s">
        <v>3326</v>
      </c>
    </row>
    <row r="8894" spans="1:8" x14ac:dyDescent="0.25">
      <c r="A8894" t="str">
        <f xml:space="preserve"> $H$8886</f>
        <v>&lt;flags count_in_cargo="0" count_in_hoarder="0" count_in_map="1" count_in_player="0" crafted="0" deloot="0"/&gt;</v>
      </c>
      <c r="B8894" t="s">
        <v>3326</v>
      </c>
    </row>
    <row r="8895" spans="1:8" x14ac:dyDescent="0.25">
      <c r="A8895" t="str">
        <f>"&lt;category name=" &amp;"""" &amp;$C$8886&amp;"""/&gt;"</f>
        <v>&lt;category name="weapons"/&gt;</v>
      </c>
      <c r="B8895" t="s">
        <v>3326</v>
      </c>
    </row>
    <row r="8896" spans="1:8" x14ac:dyDescent="0.25">
      <c r="A8896" t="s">
        <v>29</v>
      </c>
      <c r="B8896" t="s">
        <v>3326</v>
      </c>
    </row>
    <row r="8897" spans="1:8" x14ac:dyDescent="0.25">
      <c r="A8897" t="s">
        <v>82</v>
      </c>
      <c r="B8897" t="s">
        <v>3326</v>
      </c>
    </row>
    <row r="8898" spans="1:8" x14ac:dyDescent="0.25">
      <c r="A8898" t="s">
        <v>30</v>
      </c>
      <c r="B8898" t="s">
        <v>3326</v>
      </c>
    </row>
    <row r="8899" spans="1:8" x14ac:dyDescent="0.25">
      <c r="A8899" t="s">
        <v>31</v>
      </c>
      <c r="B8899" t="s">
        <v>3326</v>
      </c>
    </row>
    <row r="8900" spans="1:8" x14ac:dyDescent="0.25">
      <c r="A8900" t="s">
        <v>22</v>
      </c>
      <c r="B8900" t="s">
        <v>3326</v>
      </c>
    </row>
    <row r="8901" spans="1:8" x14ac:dyDescent="0.25">
      <c r="A8901" t="s">
        <v>2084</v>
      </c>
      <c r="B8901" t="s">
        <v>846</v>
      </c>
      <c r="C8901" t="s">
        <v>8</v>
      </c>
      <c r="D8901">
        <v>10</v>
      </c>
      <c r="E8901">
        <v>10800</v>
      </c>
      <c r="F8901">
        <v>3600</v>
      </c>
      <c r="G8901">
        <v>5</v>
      </c>
      <c r="H8901" t="s">
        <v>19</v>
      </c>
    </row>
    <row r="8902" spans="1:8" x14ac:dyDescent="0.25">
      <c r="A8902" t="str">
        <f>"&lt;nominal&gt;" &amp;$D$8901&amp;"&lt;/nominal&gt;"</f>
        <v>&lt;nominal&gt;10&lt;/nominal&gt;</v>
      </c>
      <c r="B8902" t="s">
        <v>846</v>
      </c>
    </row>
    <row r="8903" spans="1:8" x14ac:dyDescent="0.25">
      <c r="A8903" t="str">
        <f>"&lt;lifetime&gt;" &amp;$E$8901&amp;"&lt;/lifetime&gt;"</f>
        <v>&lt;lifetime&gt;10800&lt;/lifetime&gt;</v>
      </c>
      <c r="B8903" t="s">
        <v>846</v>
      </c>
    </row>
    <row r="8904" spans="1:8" x14ac:dyDescent="0.25">
      <c r="A8904" t="str">
        <f>"&lt;restock&gt;" &amp;$F$8901&amp;"&lt;/restock&gt;"</f>
        <v>&lt;restock&gt;3600&lt;/restock&gt;</v>
      </c>
      <c r="B8904" t="s">
        <v>846</v>
      </c>
    </row>
    <row r="8905" spans="1:8" x14ac:dyDescent="0.25">
      <c r="A8905" t="str">
        <f>"&lt;min&gt;" &amp;$G$8901&amp;"&lt;/min&gt;"</f>
        <v>&lt;min&gt;5&lt;/min&gt;</v>
      </c>
      <c r="B8905" t="s">
        <v>846</v>
      </c>
    </row>
    <row r="8906" spans="1:8" x14ac:dyDescent="0.25">
      <c r="A8906" t="s">
        <v>1457</v>
      </c>
      <c r="B8906" t="s">
        <v>846</v>
      </c>
    </row>
    <row r="8907" spans="1:8" x14ac:dyDescent="0.25">
      <c r="A8907" t="s">
        <v>50</v>
      </c>
      <c r="B8907" t="s">
        <v>846</v>
      </c>
    </row>
    <row r="8908" spans="1:8" x14ac:dyDescent="0.25">
      <c r="A8908" t="s">
        <v>18</v>
      </c>
      <c r="B8908" t="s">
        <v>846</v>
      </c>
    </row>
    <row r="8909" spans="1:8" x14ac:dyDescent="0.25">
      <c r="A8909" t="str">
        <f xml:space="preserve"> $H$8901</f>
        <v>&lt;flags count_in_cargo="0" count_in_hoarder="0" count_in_map="1" count_in_player="0" crafted="0" deloot="0"/&gt;</v>
      </c>
      <c r="B8909" t="s">
        <v>846</v>
      </c>
    </row>
    <row r="8910" spans="1:8" x14ac:dyDescent="0.25">
      <c r="A8910" t="str">
        <f>"&lt;category name=" &amp;"""" &amp;$C$8901&amp;"""/&gt;"</f>
        <v>&lt;category name="weapons"/&gt;</v>
      </c>
      <c r="B8910" t="s">
        <v>846</v>
      </c>
    </row>
    <row r="8911" spans="1:8" x14ac:dyDescent="0.25">
      <c r="A8911" t="s">
        <v>29</v>
      </c>
      <c r="B8911" t="s">
        <v>846</v>
      </c>
    </row>
    <row r="8912" spans="1:8" x14ac:dyDescent="0.25">
      <c r="A8912" t="s">
        <v>307</v>
      </c>
      <c r="B8912" t="s">
        <v>846</v>
      </c>
    </row>
    <row r="8913" spans="1:8" x14ac:dyDescent="0.25">
      <c r="A8913" t="s">
        <v>22</v>
      </c>
      <c r="B8913" t="s">
        <v>846</v>
      </c>
    </row>
    <row r="8914" spans="1:8" x14ac:dyDescent="0.25">
      <c r="A8914" t="s">
        <v>2085</v>
      </c>
      <c r="B8914" t="s">
        <v>847</v>
      </c>
      <c r="C8914" t="s">
        <v>8</v>
      </c>
      <c r="D8914">
        <v>20</v>
      </c>
      <c r="E8914">
        <v>10800</v>
      </c>
      <c r="F8914">
        <v>0</v>
      </c>
      <c r="G8914">
        <v>10</v>
      </c>
      <c r="H8914" t="s">
        <v>19</v>
      </c>
    </row>
    <row r="8915" spans="1:8" x14ac:dyDescent="0.25">
      <c r="A8915" t="str">
        <f>"&lt;nominal&gt;" &amp;$D$8914&amp;"&lt;/nominal&gt;"</f>
        <v>&lt;nominal&gt;20&lt;/nominal&gt;</v>
      </c>
      <c r="B8915" t="s">
        <v>847</v>
      </c>
    </row>
    <row r="8916" spans="1:8" x14ac:dyDescent="0.25">
      <c r="A8916" t="str">
        <f>"&lt;lifetime&gt;" &amp;$E$8914&amp;"&lt;/lifetime&gt;"</f>
        <v>&lt;lifetime&gt;10800&lt;/lifetime&gt;</v>
      </c>
      <c r="B8916" t="s">
        <v>847</v>
      </c>
    </row>
    <row r="8917" spans="1:8" x14ac:dyDescent="0.25">
      <c r="A8917" t="str">
        <f>"&lt;restock&gt;" &amp;$F$8914&amp;"&lt;/restock&gt;"</f>
        <v>&lt;restock&gt;0&lt;/restock&gt;</v>
      </c>
      <c r="B8917" t="s">
        <v>847</v>
      </c>
    </row>
    <row r="8918" spans="1:8" x14ac:dyDescent="0.25">
      <c r="A8918" t="str">
        <f>"&lt;min&gt;" &amp;$G$8914&amp;"&lt;/min&gt;"</f>
        <v>&lt;min&gt;10&lt;/min&gt;</v>
      </c>
      <c r="B8918" t="s">
        <v>847</v>
      </c>
    </row>
    <row r="8919" spans="1:8" x14ac:dyDescent="0.25">
      <c r="A8919" t="s">
        <v>16</v>
      </c>
      <c r="B8919" t="s">
        <v>847</v>
      </c>
    </row>
    <row r="8920" spans="1:8" x14ac:dyDescent="0.25">
      <c r="A8920" t="s">
        <v>17</v>
      </c>
      <c r="B8920" t="s">
        <v>847</v>
      </c>
    </row>
    <row r="8921" spans="1:8" x14ac:dyDescent="0.25">
      <c r="A8921" t="s">
        <v>18</v>
      </c>
      <c r="B8921" t="s">
        <v>847</v>
      </c>
    </row>
    <row r="8922" spans="1:8" x14ac:dyDescent="0.25">
      <c r="A8922" t="str">
        <f xml:space="preserve"> $H$8914</f>
        <v>&lt;flags count_in_cargo="0" count_in_hoarder="0" count_in_map="1" count_in_player="0" crafted="0" deloot="0"/&gt;</v>
      </c>
      <c r="B8922" t="s">
        <v>847</v>
      </c>
    </row>
    <row r="8923" spans="1:8" x14ac:dyDescent="0.25">
      <c r="A8923" t="str">
        <f>"&lt;category name=" &amp;"""" &amp;$C$8914&amp;"""/&gt;"</f>
        <v>&lt;category name="weapons"/&gt;</v>
      </c>
      <c r="B8923" t="s">
        <v>847</v>
      </c>
    </row>
    <row r="8924" spans="1:8" x14ac:dyDescent="0.25">
      <c r="A8924" t="s">
        <v>20</v>
      </c>
      <c r="B8924" t="s">
        <v>847</v>
      </c>
    </row>
    <row r="8925" spans="1:8" x14ac:dyDescent="0.25">
      <c r="A8925" t="s">
        <v>39</v>
      </c>
      <c r="B8925" t="s">
        <v>847</v>
      </c>
    </row>
    <row r="8926" spans="1:8" x14ac:dyDescent="0.25">
      <c r="A8926" t="s">
        <v>40</v>
      </c>
      <c r="B8926" t="s">
        <v>847</v>
      </c>
    </row>
    <row r="8927" spans="1:8" x14ac:dyDescent="0.25">
      <c r="A8927" t="s">
        <v>82</v>
      </c>
      <c r="B8927" t="s">
        <v>847</v>
      </c>
    </row>
    <row r="8928" spans="1:8" x14ac:dyDescent="0.25">
      <c r="A8928" t="s">
        <v>30</v>
      </c>
      <c r="B8928" t="s">
        <v>847</v>
      </c>
    </row>
    <row r="8929" spans="1:8" x14ac:dyDescent="0.25">
      <c r="A8929" t="s">
        <v>31</v>
      </c>
      <c r="B8929" t="s">
        <v>847</v>
      </c>
    </row>
    <row r="8930" spans="1:8" x14ac:dyDescent="0.25">
      <c r="A8930" t="s">
        <v>22</v>
      </c>
      <c r="B8930" t="s">
        <v>847</v>
      </c>
    </row>
    <row r="8931" spans="1:8" x14ac:dyDescent="0.25">
      <c r="A8931" t="s">
        <v>2086</v>
      </c>
      <c r="B8931" t="s">
        <v>848</v>
      </c>
      <c r="C8931" t="s">
        <v>403</v>
      </c>
      <c r="D8931">
        <v>20</v>
      </c>
      <c r="E8931">
        <v>2700</v>
      </c>
      <c r="F8931">
        <v>0</v>
      </c>
      <c r="G8931">
        <v>10</v>
      </c>
      <c r="H8931" t="s">
        <v>19</v>
      </c>
    </row>
    <row r="8932" spans="1:8" x14ac:dyDescent="0.25">
      <c r="A8932" t="str">
        <f>"&lt;nominal&gt;" &amp;$D$8931&amp;"&lt;/nominal&gt;"</f>
        <v>&lt;nominal&gt;20&lt;/nominal&gt;</v>
      </c>
      <c r="B8932" t="s">
        <v>848</v>
      </c>
    </row>
    <row r="8933" spans="1:8" x14ac:dyDescent="0.25">
      <c r="A8933" t="str">
        <f>"&lt;lifetime&gt;" &amp;$E$8931&amp;"&lt;/lifetime&gt;"</f>
        <v>&lt;lifetime&gt;2700&lt;/lifetime&gt;</v>
      </c>
      <c r="B8933" t="s">
        <v>848</v>
      </c>
    </row>
    <row r="8934" spans="1:8" x14ac:dyDescent="0.25">
      <c r="A8934" t="str">
        <f>"&lt;restock&gt;" &amp;$F$8931&amp;"&lt;/restock&gt;"</f>
        <v>&lt;restock&gt;0&lt;/restock&gt;</v>
      </c>
      <c r="B8934" t="s">
        <v>848</v>
      </c>
    </row>
    <row r="8935" spans="1:8" x14ac:dyDescent="0.25">
      <c r="A8935" t="str">
        <f>"&lt;min&gt;" &amp;$G$8931&amp;"&lt;/min&gt;"</f>
        <v>&lt;min&gt;10&lt;/min&gt;</v>
      </c>
      <c r="B8935" t="s">
        <v>848</v>
      </c>
    </row>
    <row r="8936" spans="1:8" x14ac:dyDescent="0.25">
      <c r="A8936" t="s">
        <v>16</v>
      </c>
      <c r="B8936" t="s">
        <v>848</v>
      </c>
    </row>
    <row r="8937" spans="1:8" x14ac:dyDescent="0.25">
      <c r="A8937" t="s">
        <v>17</v>
      </c>
      <c r="B8937" t="s">
        <v>848</v>
      </c>
    </row>
    <row r="8938" spans="1:8" x14ac:dyDescent="0.25">
      <c r="A8938" t="s">
        <v>18</v>
      </c>
      <c r="B8938" t="s">
        <v>848</v>
      </c>
    </row>
    <row r="8939" spans="1:8" x14ac:dyDescent="0.25">
      <c r="A8939" t="str">
        <f xml:space="preserve"> $H$8931</f>
        <v>&lt;flags count_in_cargo="0" count_in_hoarder="0" count_in_map="1" count_in_player="0" crafted="0" deloot="0"/&gt;</v>
      </c>
      <c r="B8939" t="s">
        <v>848</v>
      </c>
    </row>
    <row r="8940" spans="1:8" x14ac:dyDescent="0.25">
      <c r="A8940" t="str">
        <f>"&lt;category name=" &amp;"""" &amp;$C$8931&amp;"""/&gt;"</f>
        <v>&lt;category name="clothes"/&gt;</v>
      </c>
      <c r="B8940" t="s">
        <v>848</v>
      </c>
    </row>
    <row r="8941" spans="1:8" x14ac:dyDescent="0.25">
      <c r="A8941" t="s">
        <v>39</v>
      </c>
      <c r="B8941" t="s">
        <v>848</v>
      </c>
    </row>
    <row r="8942" spans="1:8" x14ac:dyDescent="0.25">
      <c r="A8942" t="s">
        <v>22</v>
      </c>
      <c r="B8942" t="s">
        <v>848</v>
      </c>
    </row>
    <row r="8943" spans="1:8" x14ac:dyDescent="0.25">
      <c r="A8943" t="s">
        <v>2087</v>
      </c>
      <c r="B8943" t="s">
        <v>849</v>
      </c>
      <c r="C8943" t="s">
        <v>403</v>
      </c>
      <c r="D8943">
        <v>20</v>
      </c>
      <c r="E8943">
        <v>2700</v>
      </c>
      <c r="F8943">
        <v>0</v>
      </c>
      <c r="G8943">
        <v>10</v>
      </c>
      <c r="H8943" t="s">
        <v>19</v>
      </c>
    </row>
    <row r="8944" spans="1:8" x14ac:dyDescent="0.25">
      <c r="A8944" t="str">
        <f>"&lt;nominal&gt;" &amp;$D$8943&amp;"&lt;/nominal&gt;"</f>
        <v>&lt;nominal&gt;20&lt;/nominal&gt;</v>
      </c>
      <c r="B8944" t="s">
        <v>849</v>
      </c>
    </row>
    <row r="8945" spans="1:8" x14ac:dyDescent="0.25">
      <c r="A8945" t="str">
        <f>"&lt;lifetime&gt;" &amp;$E$8943&amp;"&lt;/lifetime&gt;"</f>
        <v>&lt;lifetime&gt;2700&lt;/lifetime&gt;</v>
      </c>
      <c r="B8945" t="s">
        <v>849</v>
      </c>
    </row>
    <row r="8946" spans="1:8" x14ac:dyDescent="0.25">
      <c r="A8946" t="str">
        <f>"&lt;restock&gt;" &amp;$F$8943&amp;"&lt;/restock&gt;"</f>
        <v>&lt;restock&gt;0&lt;/restock&gt;</v>
      </c>
      <c r="B8946" t="s">
        <v>849</v>
      </c>
    </row>
    <row r="8947" spans="1:8" x14ac:dyDescent="0.25">
      <c r="A8947" t="str">
        <f>"&lt;min&gt;" &amp;$G$8943&amp;"&lt;/min&gt;"</f>
        <v>&lt;min&gt;10&lt;/min&gt;</v>
      </c>
      <c r="B8947" t="s">
        <v>849</v>
      </c>
    </row>
    <row r="8948" spans="1:8" x14ac:dyDescent="0.25">
      <c r="A8948" t="s">
        <v>16</v>
      </c>
      <c r="B8948" t="s">
        <v>849</v>
      </c>
    </row>
    <row r="8949" spans="1:8" x14ac:dyDescent="0.25">
      <c r="A8949" t="s">
        <v>17</v>
      </c>
      <c r="B8949" t="s">
        <v>849</v>
      </c>
    </row>
    <row r="8950" spans="1:8" x14ac:dyDescent="0.25">
      <c r="A8950" t="s">
        <v>18</v>
      </c>
      <c r="B8950" t="s">
        <v>849</v>
      </c>
    </row>
    <row r="8951" spans="1:8" x14ac:dyDescent="0.25">
      <c r="A8951" t="str">
        <f xml:space="preserve"> $H$8943</f>
        <v>&lt;flags count_in_cargo="0" count_in_hoarder="0" count_in_map="1" count_in_player="0" crafted="0" deloot="0"/&gt;</v>
      </c>
      <c r="B8951" t="s">
        <v>849</v>
      </c>
    </row>
    <row r="8952" spans="1:8" x14ac:dyDescent="0.25">
      <c r="A8952" t="str">
        <f>"&lt;category name=" &amp;"""" &amp;$C$8943&amp;"""/&gt;"</f>
        <v>&lt;category name="clothes"/&gt;</v>
      </c>
      <c r="B8952" t="s">
        <v>849</v>
      </c>
    </row>
    <row r="8953" spans="1:8" x14ac:dyDescent="0.25">
      <c r="A8953" t="s">
        <v>39</v>
      </c>
      <c r="B8953" t="s">
        <v>849</v>
      </c>
    </row>
    <row r="8954" spans="1:8" x14ac:dyDescent="0.25">
      <c r="A8954" t="s">
        <v>22</v>
      </c>
      <c r="B8954" t="s">
        <v>849</v>
      </c>
    </row>
    <row r="8955" spans="1:8" x14ac:dyDescent="0.25">
      <c r="A8955" t="s">
        <v>2088</v>
      </c>
      <c r="B8955" t="s">
        <v>850</v>
      </c>
      <c r="C8955" t="s">
        <v>403</v>
      </c>
      <c r="D8955">
        <v>20</v>
      </c>
      <c r="E8955">
        <v>2700</v>
      </c>
      <c r="F8955">
        <v>0</v>
      </c>
      <c r="G8955">
        <v>10</v>
      </c>
      <c r="H8955" t="s">
        <v>19</v>
      </c>
    </row>
    <row r="8956" spans="1:8" x14ac:dyDescent="0.25">
      <c r="A8956" t="str">
        <f>"&lt;nominal&gt;" &amp;$D$8955&amp;"&lt;/nominal&gt;"</f>
        <v>&lt;nominal&gt;20&lt;/nominal&gt;</v>
      </c>
      <c r="B8956" t="s">
        <v>850</v>
      </c>
    </row>
    <row r="8957" spans="1:8" x14ac:dyDescent="0.25">
      <c r="A8957" t="str">
        <f>"&lt;lifetime&gt;" &amp;$E$8955&amp;"&lt;/lifetime&gt;"</f>
        <v>&lt;lifetime&gt;2700&lt;/lifetime&gt;</v>
      </c>
      <c r="B8957" t="s">
        <v>850</v>
      </c>
    </row>
    <row r="8958" spans="1:8" x14ac:dyDescent="0.25">
      <c r="A8958" t="str">
        <f>"&lt;restock&gt;" &amp;$F$8955&amp;"&lt;/restock&gt;"</f>
        <v>&lt;restock&gt;0&lt;/restock&gt;</v>
      </c>
      <c r="B8958" t="s">
        <v>850</v>
      </c>
    </row>
    <row r="8959" spans="1:8" x14ac:dyDescent="0.25">
      <c r="A8959" t="str">
        <f>"&lt;min&gt;" &amp;$G$8955&amp;"&lt;/min&gt;"</f>
        <v>&lt;min&gt;10&lt;/min&gt;</v>
      </c>
      <c r="B8959" t="s">
        <v>850</v>
      </c>
    </row>
    <row r="8960" spans="1:8" x14ac:dyDescent="0.25">
      <c r="A8960" t="s">
        <v>16</v>
      </c>
      <c r="B8960" t="s">
        <v>850</v>
      </c>
    </row>
    <row r="8961" spans="1:8" x14ac:dyDescent="0.25">
      <c r="A8961" t="s">
        <v>17</v>
      </c>
      <c r="B8961" t="s">
        <v>850</v>
      </c>
    </row>
    <row r="8962" spans="1:8" x14ac:dyDescent="0.25">
      <c r="A8962" t="s">
        <v>18</v>
      </c>
      <c r="B8962" t="s">
        <v>850</v>
      </c>
    </row>
    <row r="8963" spans="1:8" x14ac:dyDescent="0.25">
      <c r="A8963" t="str">
        <f xml:space="preserve"> $H$8955</f>
        <v>&lt;flags count_in_cargo="0" count_in_hoarder="0" count_in_map="1" count_in_player="0" crafted="0" deloot="0"/&gt;</v>
      </c>
      <c r="B8963" t="s">
        <v>850</v>
      </c>
    </row>
    <row r="8964" spans="1:8" x14ac:dyDescent="0.25">
      <c r="A8964" t="str">
        <f>"&lt;category name=" &amp;"""" &amp;$C$8955&amp;"""/&gt;"</f>
        <v>&lt;category name="clothes"/&gt;</v>
      </c>
      <c r="B8964" t="s">
        <v>850</v>
      </c>
    </row>
    <row r="8965" spans="1:8" x14ac:dyDescent="0.25">
      <c r="A8965" t="s">
        <v>39</v>
      </c>
      <c r="B8965" t="s">
        <v>850</v>
      </c>
    </row>
    <row r="8966" spans="1:8" x14ac:dyDescent="0.25">
      <c r="A8966" t="s">
        <v>22</v>
      </c>
      <c r="B8966" t="s">
        <v>850</v>
      </c>
    </row>
    <row r="8967" spans="1:8" x14ac:dyDescent="0.25">
      <c r="A8967" t="s">
        <v>2089</v>
      </c>
      <c r="B8967" t="s">
        <v>851</v>
      </c>
      <c r="C8967" t="s">
        <v>403</v>
      </c>
      <c r="D8967">
        <v>20</v>
      </c>
      <c r="E8967">
        <v>2700</v>
      </c>
      <c r="F8967">
        <v>0</v>
      </c>
      <c r="G8967">
        <v>10</v>
      </c>
      <c r="H8967" t="s">
        <v>19</v>
      </c>
    </row>
    <row r="8968" spans="1:8" x14ac:dyDescent="0.25">
      <c r="A8968" t="str">
        <f>"&lt;nominal&gt;" &amp;$D$8967&amp;"&lt;/nominal&gt;"</f>
        <v>&lt;nominal&gt;20&lt;/nominal&gt;</v>
      </c>
      <c r="B8968" t="s">
        <v>851</v>
      </c>
    </row>
    <row r="8969" spans="1:8" x14ac:dyDescent="0.25">
      <c r="A8969" t="str">
        <f>"&lt;lifetime&gt;" &amp;$E$8967&amp;"&lt;/lifetime&gt;"</f>
        <v>&lt;lifetime&gt;2700&lt;/lifetime&gt;</v>
      </c>
      <c r="B8969" t="s">
        <v>851</v>
      </c>
    </row>
    <row r="8970" spans="1:8" x14ac:dyDescent="0.25">
      <c r="A8970" t="str">
        <f>"&lt;restock&gt;" &amp;$F$8967&amp;"&lt;/restock&gt;"</f>
        <v>&lt;restock&gt;0&lt;/restock&gt;</v>
      </c>
      <c r="B8970" t="s">
        <v>851</v>
      </c>
    </row>
    <row r="8971" spans="1:8" x14ac:dyDescent="0.25">
      <c r="A8971" t="str">
        <f>"&lt;min&gt;" &amp;$G$8967&amp;"&lt;/min&gt;"</f>
        <v>&lt;min&gt;10&lt;/min&gt;</v>
      </c>
      <c r="B8971" t="s">
        <v>851</v>
      </c>
    </row>
    <row r="8972" spans="1:8" x14ac:dyDescent="0.25">
      <c r="A8972" t="s">
        <v>16</v>
      </c>
      <c r="B8972" t="s">
        <v>851</v>
      </c>
    </row>
    <row r="8973" spans="1:8" x14ac:dyDescent="0.25">
      <c r="A8973" t="s">
        <v>17</v>
      </c>
      <c r="B8973" t="s">
        <v>851</v>
      </c>
    </row>
    <row r="8974" spans="1:8" x14ac:dyDescent="0.25">
      <c r="A8974" t="s">
        <v>18</v>
      </c>
      <c r="B8974" t="s">
        <v>851</v>
      </c>
    </row>
    <row r="8975" spans="1:8" x14ac:dyDescent="0.25">
      <c r="A8975" t="str">
        <f xml:space="preserve"> $H$8967</f>
        <v>&lt;flags count_in_cargo="0" count_in_hoarder="0" count_in_map="1" count_in_player="0" crafted="0" deloot="0"/&gt;</v>
      </c>
      <c r="B8975" t="s">
        <v>851</v>
      </c>
    </row>
    <row r="8976" spans="1:8" x14ac:dyDescent="0.25">
      <c r="A8976" t="str">
        <f>"&lt;category name=" &amp;"""" &amp;$C$8967&amp;"""/&gt;"</f>
        <v>&lt;category name="clothes"/&gt;</v>
      </c>
      <c r="B8976" t="s">
        <v>851</v>
      </c>
    </row>
    <row r="8977" spans="1:8" x14ac:dyDescent="0.25">
      <c r="A8977" t="s">
        <v>39</v>
      </c>
      <c r="B8977" t="s">
        <v>851</v>
      </c>
    </row>
    <row r="8978" spans="1:8" x14ac:dyDescent="0.25">
      <c r="A8978" t="s">
        <v>22</v>
      </c>
      <c r="B8978" t="s">
        <v>851</v>
      </c>
    </row>
    <row r="8979" spans="1:8" x14ac:dyDescent="0.25">
      <c r="A8979" t="s">
        <v>2090</v>
      </c>
      <c r="B8979" t="s">
        <v>852</v>
      </c>
      <c r="C8979" t="s">
        <v>403</v>
      </c>
      <c r="D8979">
        <v>20</v>
      </c>
      <c r="E8979">
        <v>2700</v>
      </c>
      <c r="F8979">
        <v>0</v>
      </c>
      <c r="G8979">
        <v>10</v>
      </c>
      <c r="H8979" t="s">
        <v>19</v>
      </c>
    </row>
    <row r="8980" spans="1:8" x14ac:dyDescent="0.25">
      <c r="A8980" t="str">
        <f>"&lt;nominal&gt;" &amp;$D$8979&amp;"&lt;/nominal&gt;"</f>
        <v>&lt;nominal&gt;20&lt;/nominal&gt;</v>
      </c>
      <c r="B8980" t="s">
        <v>852</v>
      </c>
    </row>
    <row r="8981" spans="1:8" x14ac:dyDescent="0.25">
      <c r="A8981" t="str">
        <f>"&lt;lifetime&gt;" &amp;$E$8979&amp;"&lt;/lifetime&gt;"</f>
        <v>&lt;lifetime&gt;2700&lt;/lifetime&gt;</v>
      </c>
      <c r="B8981" t="s">
        <v>852</v>
      </c>
    </row>
    <row r="8982" spans="1:8" x14ac:dyDescent="0.25">
      <c r="A8982" t="str">
        <f>"&lt;restock&gt;" &amp;$F$8979&amp;"&lt;/restock&gt;"</f>
        <v>&lt;restock&gt;0&lt;/restock&gt;</v>
      </c>
      <c r="B8982" t="s">
        <v>852</v>
      </c>
    </row>
    <row r="8983" spans="1:8" x14ac:dyDescent="0.25">
      <c r="A8983" t="str">
        <f>"&lt;min&gt;" &amp;$G$8979&amp;"&lt;/min&gt;"</f>
        <v>&lt;min&gt;10&lt;/min&gt;</v>
      </c>
      <c r="B8983" t="s">
        <v>852</v>
      </c>
    </row>
    <row r="8984" spans="1:8" x14ac:dyDescent="0.25">
      <c r="A8984" t="s">
        <v>16</v>
      </c>
      <c r="B8984" t="s">
        <v>852</v>
      </c>
    </row>
    <row r="8985" spans="1:8" x14ac:dyDescent="0.25">
      <c r="A8985" t="s">
        <v>17</v>
      </c>
      <c r="B8985" t="s">
        <v>852</v>
      </c>
    </row>
    <row r="8986" spans="1:8" x14ac:dyDescent="0.25">
      <c r="A8986" t="s">
        <v>18</v>
      </c>
      <c r="B8986" t="s">
        <v>852</v>
      </c>
    </row>
    <row r="8987" spans="1:8" x14ac:dyDescent="0.25">
      <c r="A8987" t="str">
        <f xml:space="preserve"> $H$8979</f>
        <v>&lt;flags count_in_cargo="0" count_in_hoarder="0" count_in_map="1" count_in_player="0" crafted="0" deloot="0"/&gt;</v>
      </c>
      <c r="B8987" t="s">
        <v>852</v>
      </c>
    </row>
    <row r="8988" spans="1:8" x14ac:dyDescent="0.25">
      <c r="A8988" t="str">
        <f>"&lt;category name=" &amp;"""" &amp;$C$8979&amp;"""/&gt;"</f>
        <v>&lt;category name="clothes"/&gt;</v>
      </c>
      <c r="B8988" t="s">
        <v>852</v>
      </c>
    </row>
    <row r="8989" spans="1:8" x14ac:dyDescent="0.25">
      <c r="A8989" t="s">
        <v>39</v>
      </c>
      <c r="B8989" t="s">
        <v>852</v>
      </c>
    </row>
    <row r="8990" spans="1:8" x14ac:dyDescent="0.25">
      <c r="A8990" t="s">
        <v>22</v>
      </c>
      <c r="B8990" t="s">
        <v>852</v>
      </c>
    </row>
    <row r="8991" spans="1:8" x14ac:dyDescent="0.25">
      <c r="A8991" t="s">
        <v>2091</v>
      </c>
      <c r="B8991" t="s">
        <v>853</v>
      </c>
      <c r="C8991" t="s">
        <v>403</v>
      </c>
      <c r="D8991">
        <v>20</v>
      </c>
      <c r="E8991">
        <v>2700</v>
      </c>
      <c r="F8991">
        <v>0</v>
      </c>
      <c r="G8991">
        <v>10</v>
      </c>
      <c r="H8991" t="s">
        <v>19</v>
      </c>
    </row>
    <row r="8992" spans="1:8" x14ac:dyDescent="0.25">
      <c r="A8992" t="str">
        <f>"&lt;nominal&gt;" &amp;$D$8991&amp;"&lt;/nominal&gt;"</f>
        <v>&lt;nominal&gt;20&lt;/nominal&gt;</v>
      </c>
      <c r="B8992" t="s">
        <v>853</v>
      </c>
    </row>
    <row r="8993" spans="1:8" x14ac:dyDescent="0.25">
      <c r="A8993" t="str">
        <f>"&lt;lifetime&gt;" &amp;$E$8991&amp;"&lt;/lifetime&gt;"</f>
        <v>&lt;lifetime&gt;2700&lt;/lifetime&gt;</v>
      </c>
      <c r="B8993" t="s">
        <v>853</v>
      </c>
    </row>
    <row r="8994" spans="1:8" x14ac:dyDescent="0.25">
      <c r="A8994" t="str">
        <f>"&lt;restock&gt;" &amp;$F$8991&amp;"&lt;/restock&gt;"</f>
        <v>&lt;restock&gt;0&lt;/restock&gt;</v>
      </c>
      <c r="B8994" t="s">
        <v>853</v>
      </c>
    </row>
    <row r="8995" spans="1:8" x14ac:dyDescent="0.25">
      <c r="A8995" t="str">
        <f>"&lt;min&gt;" &amp;$G$8991&amp;"&lt;/min&gt;"</f>
        <v>&lt;min&gt;10&lt;/min&gt;</v>
      </c>
      <c r="B8995" t="s">
        <v>853</v>
      </c>
    </row>
    <row r="8996" spans="1:8" x14ac:dyDescent="0.25">
      <c r="A8996" t="s">
        <v>16</v>
      </c>
      <c r="B8996" t="s">
        <v>853</v>
      </c>
    </row>
    <row r="8997" spans="1:8" x14ac:dyDescent="0.25">
      <c r="A8997" t="s">
        <v>17</v>
      </c>
      <c r="B8997" t="s">
        <v>853</v>
      </c>
    </row>
    <row r="8998" spans="1:8" x14ac:dyDescent="0.25">
      <c r="A8998" t="s">
        <v>18</v>
      </c>
      <c r="B8998" t="s">
        <v>853</v>
      </c>
    </row>
    <row r="8999" spans="1:8" x14ac:dyDescent="0.25">
      <c r="A8999" t="str">
        <f xml:space="preserve"> $H$8991</f>
        <v>&lt;flags count_in_cargo="0" count_in_hoarder="0" count_in_map="1" count_in_player="0" crafted="0" deloot="0"/&gt;</v>
      </c>
      <c r="B8999" t="s">
        <v>853</v>
      </c>
    </row>
    <row r="9000" spans="1:8" x14ac:dyDescent="0.25">
      <c r="A9000" t="str">
        <f>"&lt;category name=" &amp;"""" &amp;$C$8991&amp;"""/&gt;"</f>
        <v>&lt;category name="clothes"/&gt;</v>
      </c>
      <c r="B9000" t="s">
        <v>853</v>
      </c>
    </row>
    <row r="9001" spans="1:8" x14ac:dyDescent="0.25">
      <c r="A9001" t="s">
        <v>39</v>
      </c>
      <c r="B9001" t="s">
        <v>853</v>
      </c>
    </row>
    <row r="9002" spans="1:8" x14ac:dyDescent="0.25">
      <c r="A9002" t="s">
        <v>22</v>
      </c>
      <c r="B9002" t="s">
        <v>853</v>
      </c>
    </row>
    <row r="9003" spans="1:8" x14ac:dyDescent="0.25">
      <c r="A9003" t="s">
        <v>2092</v>
      </c>
      <c r="B9003" t="s">
        <v>854</v>
      </c>
      <c r="C9003" t="s">
        <v>403</v>
      </c>
      <c r="D9003">
        <v>20</v>
      </c>
      <c r="E9003">
        <v>2700</v>
      </c>
      <c r="F9003">
        <v>0</v>
      </c>
      <c r="G9003">
        <v>10</v>
      </c>
      <c r="H9003" t="s">
        <v>19</v>
      </c>
    </row>
    <row r="9004" spans="1:8" x14ac:dyDescent="0.25">
      <c r="A9004" t="str">
        <f>"&lt;nominal&gt;" &amp;$D$9003&amp;"&lt;/nominal&gt;"</f>
        <v>&lt;nominal&gt;20&lt;/nominal&gt;</v>
      </c>
      <c r="B9004" t="s">
        <v>854</v>
      </c>
    </row>
    <row r="9005" spans="1:8" x14ac:dyDescent="0.25">
      <c r="A9005" t="str">
        <f>"&lt;lifetime&gt;" &amp;$E$9003&amp;"&lt;/lifetime&gt;"</f>
        <v>&lt;lifetime&gt;2700&lt;/lifetime&gt;</v>
      </c>
      <c r="B9005" t="s">
        <v>854</v>
      </c>
    </row>
    <row r="9006" spans="1:8" x14ac:dyDescent="0.25">
      <c r="A9006" t="str">
        <f>"&lt;restock&gt;" &amp;$F$9003&amp;"&lt;/restock&gt;"</f>
        <v>&lt;restock&gt;0&lt;/restock&gt;</v>
      </c>
      <c r="B9006" t="s">
        <v>854</v>
      </c>
    </row>
    <row r="9007" spans="1:8" x14ac:dyDescent="0.25">
      <c r="A9007" t="str">
        <f>"&lt;min&gt;" &amp;$G$9003&amp;"&lt;/min&gt;"</f>
        <v>&lt;min&gt;10&lt;/min&gt;</v>
      </c>
      <c r="B9007" t="s">
        <v>854</v>
      </c>
    </row>
    <row r="9008" spans="1:8" x14ac:dyDescent="0.25">
      <c r="A9008" t="s">
        <v>16</v>
      </c>
      <c r="B9008" t="s">
        <v>854</v>
      </c>
    </row>
    <row r="9009" spans="1:8" x14ac:dyDescent="0.25">
      <c r="A9009" t="s">
        <v>17</v>
      </c>
      <c r="B9009" t="s">
        <v>854</v>
      </c>
    </row>
    <row r="9010" spans="1:8" x14ac:dyDescent="0.25">
      <c r="A9010" t="s">
        <v>18</v>
      </c>
      <c r="B9010" t="s">
        <v>854</v>
      </c>
    </row>
    <row r="9011" spans="1:8" x14ac:dyDescent="0.25">
      <c r="A9011" t="str">
        <f xml:space="preserve"> $H$9003</f>
        <v>&lt;flags count_in_cargo="0" count_in_hoarder="0" count_in_map="1" count_in_player="0" crafted="0" deloot="0"/&gt;</v>
      </c>
      <c r="B9011" t="s">
        <v>854</v>
      </c>
    </row>
    <row r="9012" spans="1:8" x14ac:dyDescent="0.25">
      <c r="A9012" t="str">
        <f>"&lt;category name=" &amp;"""" &amp;$C$9003&amp;"""/&gt;"</f>
        <v>&lt;category name="clothes"/&gt;</v>
      </c>
      <c r="B9012" t="s">
        <v>854</v>
      </c>
    </row>
    <row r="9013" spans="1:8" x14ac:dyDescent="0.25">
      <c r="A9013" t="s">
        <v>39</v>
      </c>
      <c r="B9013" t="s">
        <v>854</v>
      </c>
    </row>
    <row r="9014" spans="1:8" x14ac:dyDescent="0.25">
      <c r="A9014" t="s">
        <v>22</v>
      </c>
      <c r="B9014" t="s">
        <v>854</v>
      </c>
    </row>
    <row r="9015" spans="1:8" x14ac:dyDescent="0.25">
      <c r="A9015" t="s">
        <v>2093</v>
      </c>
      <c r="B9015" t="s">
        <v>855</v>
      </c>
      <c r="C9015" t="s">
        <v>403</v>
      </c>
      <c r="D9015">
        <v>20</v>
      </c>
      <c r="E9015">
        <v>2700</v>
      </c>
      <c r="F9015">
        <v>0</v>
      </c>
      <c r="G9015">
        <v>10</v>
      </c>
      <c r="H9015" t="s">
        <v>19</v>
      </c>
    </row>
    <row r="9016" spans="1:8" x14ac:dyDescent="0.25">
      <c r="A9016" t="str">
        <f>"&lt;nominal&gt;" &amp;$D$9015&amp;"&lt;/nominal&gt;"</f>
        <v>&lt;nominal&gt;20&lt;/nominal&gt;</v>
      </c>
      <c r="B9016" t="s">
        <v>855</v>
      </c>
    </row>
    <row r="9017" spans="1:8" x14ac:dyDescent="0.25">
      <c r="A9017" t="str">
        <f>"&lt;lifetime&gt;" &amp;$E$9015&amp;"&lt;/lifetime&gt;"</f>
        <v>&lt;lifetime&gt;2700&lt;/lifetime&gt;</v>
      </c>
      <c r="B9017" t="s">
        <v>855</v>
      </c>
    </row>
    <row r="9018" spans="1:8" x14ac:dyDescent="0.25">
      <c r="A9018" t="str">
        <f>"&lt;restock&gt;" &amp;$F$9015&amp;"&lt;/restock&gt;"</f>
        <v>&lt;restock&gt;0&lt;/restock&gt;</v>
      </c>
      <c r="B9018" t="s">
        <v>855</v>
      </c>
    </row>
    <row r="9019" spans="1:8" x14ac:dyDescent="0.25">
      <c r="A9019" t="str">
        <f>"&lt;min&gt;" &amp;$G$9015&amp;"&lt;/min&gt;"</f>
        <v>&lt;min&gt;10&lt;/min&gt;</v>
      </c>
      <c r="B9019" t="s">
        <v>855</v>
      </c>
    </row>
    <row r="9020" spans="1:8" x14ac:dyDescent="0.25">
      <c r="A9020" t="s">
        <v>16</v>
      </c>
      <c r="B9020" t="s">
        <v>855</v>
      </c>
    </row>
    <row r="9021" spans="1:8" x14ac:dyDescent="0.25">
      <c r="A9021" t="s">
        <v>17</v>
      </c>
      <c r="B9021" t="s">
        <v>855</v>
      </c>
    </row>
    <row r="9022" spans="1:8" x14ac:dyDescent="0.25">
      <c r="A9022" t="s">
        <v>18</v>
      </c>
      <c r="B9022" t="s">
        <v>855</v>
      </c>
    </row>
    <row r="9023" spans="1:8" x14ac:dyDescent="0.25">
      <c r="A9023" t="str">
        <f xml:space="preserve"> $H$9015</f>
        <v>&lt;flags count_in_cargo="0" count_in_hoarder="0" count_in_map="1" count_in_player="0" crafted="0" deloot="0"/&gt;</v>
      </c>
      <c r="B9023" t="s">
        <v>855</v>
      </c>
    </row>
    <row r="9024" spans="1:8" x14ac:dyDescent="0.25">
      <c r="A9024" t="str">
        <f>"&lt;category name=" &amp;"""" &amp;$C$9015&amp;"""/&gt;"</f>
        <v>&lt;category name="clothes"/&gt;</v>
      </c>
      <c r="B9024" t="s">
        <v>855</v>
      </c>
    </row>
    <row r="9025" spans="1:8" x14ac:dyDescent="0.25">
      <c r="A9025" t="s">
        <v>39</v>
      </c>
      <c r="B9025" t="s">
        <v>855</v>
      </c>
    </row>
    <row r="9026" spans="1:8" x14ac:dyDescent="0.25">
      <c r="A9026" t="s">
        <v>22</v>
      </c>
      <c r="B9026" t="s">
        <v>855</v>
      </c>
    </row>
    <row r="9027" spans="1:8" x14ac:dyDescent="0.25">
      <c r="A9027" t="s">
        <v>2094</v>
      </c>
      <c r="B9027" t="s">
        <v>856</v>
      </c>
      <c r="C9027" t="s">
        <v>399</v>
      </c>
      <c r="D9027">
        <v>2</v>
      </c>
      <c r="E9027">
        <v>7200</v>
      </c>
      <c r="F9027">
        <v>0</v>
      </c>
      <c r="G9027">
        <v>1</v>
      </c>
      <c r="H9027" t="s">
        <v>19</v>
      </c>
    </row>
    <row r="9028" spans="1:8" x14ac:dyDescent="0.25">
      <c r="A9028" t="str">
        <f>"&lt;nominal&gt;" &amp;$D$9027&amp;"&lt;/nominal&gt;"</f>
        <v>&lt;nominal&gt;2&lt;/nominal&gt;</v>
      </c>
      <c r="B9028" t="s">
        <v>856</v>
      </c>
    </row>
    <row r="9029" spans="1:8" x14ac:dyDescent="0.25">
      <c r="A9029" t="str">
        <f>"&lt;lifetime&gt;" &amp;$E$9027&amp;"&lt;/lifetime&gt;"</f>
        <v>&lt;lifetime&gt;7200&lt;/lifetime&gt;</v>
      </c>
      <c r="B9029" t="s">
        <v>856</v>
      </c>
    </row>
    <row r="9030" spans="1:8" x14ac:dyDescent="0.25">
      <c r="A9030" t="str">
        <f>"&lt;restock&gt;" &amp;$F$9027&amp;"&lt;/restock&gt;"</f>
        <v>&lt;restock&gt;0&lt;/restock&gt;</v>
      </c>
      <c r="B9030" t="s">
        <v>856</v>
      </c>
    </row>
    <row r="9031" spans="1:8" x14ac:dyDescent="0.25">
      <c r="A9031" t="str">
        <f>"&lt;min&gt;" &amp;$G$9027&amp;"&lt;/min&gt;"</f>
        <v>&lt;min&gt;1&lt;/min&gt;</v>
      </c>
      <c r="B9031" t="s">
        <v>856</v>
      </c>
    </row>
    <row r="9032" spans="1:8" x14ac:dyDescent="0.25">
      <c r="A9032" t="s">
        <v>16</v>
      </c>
      <c r="B9032" t="s">
        <v>856</v>
      </c>
    </row>
    <row r="9033" spans="1:8" x14ac:dyDescent="0.25">
      <c r="A9033" t="s">
        <v>17</v>
      </c>
      <c r="B9033" t="s">
        <v>856</v>
      </c>
    </row>
    <row r="9034" spans="1:8" x14ac:dyDescent="0.25">
      <c r="A9034" t="s">
        <v>18</v>
      </c>
      <c r="B9034" t="s">
        <v>856</v>
      </c>
    </row>
    <row r="9035" spans="1:8" x14ac:dyDescent="0.25">
      <c r="A9035" t="str">
        <f xml:space="preserve"> $H$9027</f>
        <v>&lt;flags count_in_cargo="0" count_in_hoarder="0" count_in_map="1" count_in_player="0" crafted="0" deloot="0"/&gt;</v>
      </c>
      <c r="B9035" t="s">
        <v>856</v>
      </c>
    </row>
    <row r="9036" spans="1:8" x14ac:dyDescent="0.25">
      <c r="A9036" t="str">
        <f>"&lt;category name=" &amp;"""" &amp;$C$9027&amp;"""/&gt;"</f>
        <v>&lt;category name="food"/&gt;</v>
      </c>
      <c r="B9036" t="s">
        <v>856</v>
      </c>
    </row>
    <row r="9037" spans="1:8" x14ac:dyDescent="0.25">
      <c r="A9037" t="s">
        <v>39</v>
      </c>
      <c r="B9037" t="s">
        <v>856</v>
      </c>
    </row>
    <row r="9038" spans="1:8" x14ac:dyDescent="0.25">
      <c r="A9038" t="s">
        <v>40</v>
      </c>
      <c r="B9038" t="s">
        <v>856</v>
      </c>
    </row>
    <row r="9039" spans="1:8" x14ac:dyDescent="0.25">
      <c r="A9039" t="s">
        <v>22</v>
      </c>
      <c r="B9039" t="s">
        <v>856</v>
      </c>
    </row>
    <row r="9040" spans="1:8" x14ac:dyDescent="0.25">
      <c r="A9040" t="s">
        <v>2095</v>
      </c>
      <c r="B9040" t="s">
        <v>857</v>
      </c>
      <c r="C9040" t="s">
        <v>426</v>
      </c>
      <c r="D9040">
        <v>90</v>
      </c>
      <c r="E9040">
        <v>7200</v>
      </c>
      <c r="F9040">
        <v>0</v>
      </c>
      <c r="G9040">
        <v>70</v>
      </c>
      <c r="H9040" t="s">
        <v>19</v>
      </c>
    </row>
    <row r="9041" spans="1:8" x14ac:dyDescent="0.25">
      <c r="A9041" t="str">
        <f>"&lt;nominal&gt;" &amp;$D$9040&amp;"&lt;/nominal&gt;"</f>
        <v>&lt;nominal&gt;90&lt;/nominal&gt;</v>
      </c>
      <c r="B9041" t="s">
        <v>857</v>
      </c>
    </row>
    <row r="9042" spans="1:8" x14ac:dyDescent="0.25">
      <c r="A9042" t="str">
        <f>"&lt;lifetime&gt;" &amp;$E$9040&amp;"&lt;/lifetime&gt;"</f>
        <v>&lt;lifetime&gt;7200&lt;/lifetime&gt;</v>
      </c>
      <c r="B9042" t="s">
        <v>857</v>
      </c>
    </row>
    <row r="9043" spans="1:8" x14ac:dyDescent="0.25">
      <c r="A9043" t="str">
        <f>"&lt;restock&gt;" &amp;$F$9040&amp;"&lt;/restock&gt;"</f>
        <v>&lt;restock&gt;0&lt;/restock&gt;</v>
      </c>
      <c r="B9043" t="s">
        <v>857</v>
      </c>
    </row>
    <row r="9044" spans="1:8" x14ac:dyDescent="0.25">
      <c r="A9044" t="str">
        <f>"&lt;min&gt;" &amp;$G$9040&amp;"&lt;/min&gt;"</f>
        <v>&lt;min&gt;70&lt;/min&gt;</v>
      </c>
      <c r="B9044" t="s">
        <v>857</v>
      </c>
    </row>
    <row r="9045" spans="1:8" x14ac:dyDescent="0.25">
      <c r="A9045" t="s">
        <v>16</v>
      </c>
      <c r="B9045" t="s">
        <v>857</v>
      </c>
    </row>
    <row r="9046" spans="1:8" x14ac:dyDescent="0.25">
      <c r="A9046" t="s">
        <v>17</v>
      </c>
      <c r="B9046" t="s">
        <v>857</v>
      </c>
    </row>
    <row r="9047" spans="1:8" x14ac:dyDescent="0.25">
      <c r="A9047" t="s">
        <v>18</v>
      </c>
      <c r="B9047" t="s">
        <v>857</v>
      </c>
    </row>
    <row r="9048" spans="1:8" x14ac:dyDescent="0.25">
      <c r="A9048" t="str">
        <f xml:space="preserve"> $H$9040</f>
        <v>&lt;flags count_in_cargo="0" count_in_hoarder="0" count_in_map="1" count_in_player="0" crafted="0" deloot="0"/&gt;</v>
      </c>
      <c r="B9048" t="s">
        <v>857</v>
      </c>
    </row>
    <row r="9049" spans="1:8" x14ac:dyDescent="0.25">
      <c r="A9049" t="str">
        <f>"&lt;category name=" &amp;"""" &amp;$C$9040&amp;"""/&gt;"</f>
        <v>&lt;category name="tools"/&gt;</v>
      </c>
      <c r="B9049" t="s">
        <v>857</v>
      </c>
    </row>
    <row r="9050" spans="1:8" x14ac:dyDescent="0.25">
      <c r="A9050" t="s">
        <v>20</v>
      </c>
      <c r="B9050" t="s">
        <v>857</v>
      </c>
    </row>
    <row r="9051" spans="1:8" x14ac:dyDescent="0.25">
      <c r="A9051" t="s">
        <v>39</v>
      </c>
      <c r="B9051" t="s">
        <v>857</v>
      </c>
    </row>
    <row r="9052" spans="1:8" x14ac:dyDescent="0.25">
      <c r="A9052" t="s">
        <v>40</v>
      </c>
      <c r="B9052" t="s">
        <v>857</v>
      </c>
    </row>
    <row r="9053" spans="1:8" x14ac:dyDescent="0.25">
      <c r="A9053" t="s">
        <v>67</v>
      </c>
      <c r="B9053" t="s">
        <v>857</v>
      </c>
    </row>
    <row r="9054" spans="1:8" x14ac:dyDescent="0.25">
      <c r="A9054" t="s">
        <v>22</v>
      </c>
      <c r="B9054" t="s">
        <v>857</v>
      </c>
    </row>
    <row r="9055" spans="1:8" x14ac:dyDescent="0.25">
      <c r="A9055" t="s">
        <v>2096</v>
      </c>
      <c r="B9055" t="s">
        <v>858</v>
      </c>
      <c r="C9055" t="s">
        <v>403</v>
      </c>
      <c r="D9055">
        <v>4</v>
      </c>
      <c r="E9055">
        <v>5600</v>
      </c>
      <c r="F9055">
        <v>0</v>
      </c>
      <c r="G9055">
        <v>2</v>
      </c>
      <c r="H9055" t="s">
        <v>19</v>
      </c>
    </row>
    <row r="9056" spans="1:8" x14ac:dyDescent="0.25">
      <c r="A9056" t="str">
        <f>"&lt;nominal&gt;" &amp;$D$9055&amp;"&lt;/nominal&gt;"</f>
        <v>&lt;nominal&gt;4&lt;/nominal&gt;</v>
      </c>
      <c r="B9056" t="s">
        <v>858</v>
      </c>
    </row>
    <row r="9057" spans="1:8" x14ac:dyDescent="0.25">
      <c r="A9057" t="str">
        <f>"&lt;lifetime&gt;" &amp;$E$9055&amp;"&lt;/lifetime&gt;"</f>
        <v>&lt;lifetime&gt;5600&lt;/lifetime&gt;</v>
      </c>
      <c r="B9057" t="s">
        <v>858</v>
      </c>
    </row>
    <row r="9058" spans="1:8" x14ac:dyDescent="0.25">
      <c r="A9058" t="str">
        <f>"&lt;restock&gt;" &amp;$F$9055&amp;"&lt;/restock&gt;"</f>
        <v>&lt;restock&gt;0&lt;/restock&gt;</v>
      </c>
      <c r="B9058" t="s">
        <v>858</v>
      </c>
    </row>
    <row r="9059" spans="1:8" x14ac:dyDescent="0.25">
      <c r="A9059" t="str">
        <f>"&lt;min&gt;" &amp;$G$9055&amp;"&lt;/min&gt;"</f>
        <v>&lt;min&gt;2&lt;/min&gt;</v>
      </c>
      <c r="B9059" t="s">
        <v>858</v>
      </c>
    </row>
    <row r="9060" spans="1:8" x14ac:dyDescent="0.25">
      <c r="A9060" t="s">
        <v>16</v>
      </c>
      <c r="B9060" t="s">
        <v>858</v>
      </c>
    </row>
    <row r="9061" spans="1:8" x14ac:dyDescent="0.25">
      <c r="A9061" t="s">
        <v>17</v>
      </c>
      <c r="B9061" t="s">
        <v>858</v>
      </c>
    </row>
    <row r="9062" spans="1:8" x14ac:dyDescent="0.25">
      <c r="A9062" t="s">
        <v>18</v>
      </c>
      <c r="B9062" t="s">
        <v>858</v>
      </c>
    </row>
    <row r="9063" spans="1:8" x14ac:dyDescent="0.25">
      <c r="A9063" t="str">
        <f xml:space="preserve"> $H$9055</f>
        <v>&lt;flags count_in_cargo="0" count_in_hoarder="0" count_in_map="1" count_in_player="0" crafted="0" deloot="0"/&gt;</v>
      </c>
      <c r="B9063" t="s">
        <v>858</v>
      </c>
    </row>
    <row r="9064" spans="1:8" x14ac:dyDescent="0.25">
      <c r="A9064" t="str">
        <f>"&lt;category name=" &amp;"""" &amp;$C$9055&amp;"""/&gt;"</f>
        <v>&lt;category name="clothes"/&gt;</v>
      </c>
      <c r="B9064" t="s">
        <v>858</v>
      </c>
    </row>
    <row r="9065" spans="1:8" x14ac:dyDescent="0.25">
      <c r="A9065" t="s">
        <v>21</v>
      </c>
      <c r="B9065" t="s">
        <v>858</v>
      </c>
    </row>
    <row r="9066" spans="1:8" x14ac:dyDescent="0.25">
      <c r="A9066" t="s">
        <v>22</v>
      </c>
      <c r="B9066" t="s">
        <v>858</v>
      </c>
    </row>
    <row r="9067" spans="1:8" x14ac:dyDescent="0.25">
      <c r="A9067" t="s">
        <v>2097</v>
      </c>
      <c r="B9067" t="s">
        <v>859</v>
      </c>
      <c r="C9067" t="s">
        <v>403</v>
      </c>
      <c r="D9067">
        <v>4</v>
      </c>
      <c r="E9067">
        <v>5600</v>
      </c>
      <c r="F9067">
        <v>0</v>
      </c>
      <c r="G9067">
        <v>2</v>
      </c>
      <c r="H9067" t="s">
        <v>19</v>
      </c>
    </row>
    <row r="9068" spans="1:8" x14ac:dyDescent="0.25">
      <c r="A9068" t="str">
        <f>"&lt;nominal&gt;" &amp;$D$9067&amp;"&lt;/nominal&gt;"</f>
        <v>&lt;nominal&gt;4&lt;/nominal&gt;</v>
      </c>
      <c r="B9068" t="s">
        <v>859</v>
      </c>
    </row>
    <row r="9069" spans="1:8" x14ac:dyDescent="0.25">
      <c r="A9069" t="str">
        <f>"&lt;lifetime&gt;" &amp;$E$9067&amp;"&lt;/lifetime&gt;"</f>
        <v>&lt;lifetime&gt;5600&lt;/lifetime&gt;</v>
      </c>
      <c r="B9069" t="s">
        <v>859</v>
      </c>
    </row>
    <row r="9070" spans="1:8" x14ac:dyDescent="0.25">
      <c r="A9070" t="str">
        <f>"&lt;restock&gt;" &amp;$F$9067&amp;"&lt;/restock&gt;"</f>
        <v>&lt;restock&gt;0&lt;/restock&gt;</v>
      </c>
      <c r="B9070" t="s">
        <v>859</v>
      </c>
    </row>
    <row r="9071" spans="1:8" x14ac:dyDescent="0.25">
      <c r="A9071" t="str">
        <f>"&lt;min&gt;" &amp;$G$9067&amp;"&lt;/min&gt;"</f>
        <v>&lt;min&gt;2&lt;/min&gt;</v>
      </c>
      <c r="B9071" t="s">
        <v>859</v>
      </c>
    </row>
    <row r="9072" spans="1:8" x14ac:dyDescent="0.25">
      <c r="A9072" t="s">
        <v>16</v>
      </c>
      <c r="B9072" t="s">
        <v>859</v>
      </c>
    </row>
    <row r="9073" spans="1:8" x14ac:dyDescent="0.25">
      <c r="A9073" t="s">
        <v>17</v>
      </c>
      <c r="B9073" t="s">
        <v>859</v>
      </c>
    </row>
    <row r="9074" spans="1:8" x14ac:dyDescent="0.25">
      <c r="A9074" t="s">
        <v>18</v>
      </c>
      <c r="B9074" t="s">
        <v>859</v>
      </c>
    </row>
    <row r="9075" spans="1:8" x14ac:dyDescent="0.25">
      <c r="A9075" t="str">
        <f xml:space="preserve"> $H$9067</f>
        <v>&lt;flags count_in_cargo="0" count_in_hoarder="0" count_in_map="1" count_in_player="0" crafted="0" deloot="0"/&gt;</v>
      </c>
      <c r="B9075" t="s">
        <v>859</v>
      </c>
    </row>
    <row r="9076" spans="1:8" x14ac:dyDescent="0.25">
      <c r="A9076" t="str">
        <f>"&lt;category name=" &amp;"""" &amp;$C$9067&amp;"""/&gt;"</f>
        <v>&lt;category name="clothes"/&gt;</v>
      </c>
      <c r="B9076" t="s">
        <v>859</v>
      </c>
    </row>
    <row r="9077" spans="1:8" x14ac:dyDescent="0.25">
      <c r="A9077" t="s">
        <v>21</v>
      </c>
      <c r="B9077" t="s">
        <v>859</v>
      </c>
    </row>
    <row r="9078" spans="1:8" x14ac:dyDescent="0.25">
      <c r="A9078" t="s">
        <v>22</v>
      </c>
      <c r="B9078" t="s">
        <v>859</v>
      </c>
    </row>
    <row r="9079" spans="1:8" x14ac:dyDescent="0.25">
      <c r="A9079" t="s">
        <v>2098</v>
      </c>
      <c r="B9079" t="s">
        <v>860</v>
      </c>
      <c r="C9079" t="s">
        <v>403</v>
      </c>
      <c r="D9079">
        <v>4</v>
      </c>
      <c r="E9079">
        <v>5600</v>
      </c>
      <c r="F9079">
        <v>0</v>
      </c>
      <c r="G9079">
        <v>2</v>
      </c>
      <c r="H9079" t="s">
        <v>19</v>
      </c>
    </row>
    <row r="9080" spans="1:8" x14ac:dyDescent="0.25">
      <c r="A9080" t="str">
        <f>"&lt;nominal&gt;" &amp;$D$9079&amp;"&lt;/nominal&gt;"</f>
        <v>&lt;nominal&gt;4&lt;/nominal&gt;</v>
      </c>
      <c r="B9080" t="s">
        <v>860</v>
      </c>
    </row>
    <row r="9081" spans="1:8" x14ac:dyDescent="0.25">
      <c r="A9081" t="str">
        <f>"&lt;lifetime&gt;" &amp;$E$9079&amp;"&lt;/lifetime&gt;"</f>
        <v>&lt;lifetime&gt;5600&lt;/lifetime&gt;</v>
      </c>
      <c r="B9081" t="s">
        <v>860</v>
      </c>
    </row>
    <row r="9082" spans="1:8" x14ac:dyDescent="0.25">
      <c r="A9082" t="str">
        <f>"&lt;restock&gt;" &amp;$F$9079&amp;"&lt;/restock&gt;"</f>
        <v>&lt;restock&gt;0&lt;/restock&gt;</v>
      </c>
      <c r="B9082" t="s">
        <v>860</v>
      </c>
    </row>
    <row r="9083" spans="1:8" x14ac:dyDescent="0.25">
      <c r="A9083" t="str">
        <f>"&lt;min&gt;" &amp;$G$9079&amp;"&lt;/min&gt;"</f>
        <v>&lt;min&gt;2&lt;/min&gt;</v>
      </c>
      <c r="B9083" t="s">
        <v>860</v>
      </c>
    </row>
    <row r="9084" spans="1:8" x14ac:dyDescent="0.25">
      <c r="A9084" t="s">
        <v>16</v>
      </c>
      <c r="B9084" t="s">
        <v>860</v>
      </c>
    </row>
    <row r="9085" spans="1:8" x14ac:dyDescent="0.25">
      <c r="A9085" t="s">
        <v>17</v>
      </c>
      <c r="B9085" t="s">
        <v>860</v>
      </c>
    </row>
    <row r="9086" spans="1:8" x14ac:dyDescent="0.25">
      <c r="A9086" t="s">
        <v>18</v>
      </c>
      <c r="B9086" t="s">
        <v>860</v>
      </c>
    </row>
    <row r="9087" spans="1:8" x14ac:dyDescent="0.25">
      <c r="A9087" t="str">
        <f xml:space="preserve"> $H$9079</f>
        <v>&lt;flags count_in_cargo="0" count_in_hoarder="0" count_in_map="1" count_in_player="0" crafted="0" deloot="0"/&gt;</v>
      </c>
      <c r="B9087" t="s">
        <v>860</v>
      </c>
    </row>
    <row r="9088" spans="1:8" x14ac:dyDescent="0.25">
      <c r="A9088" t="str">
        <f>"&lt;category name=" &amp;"""" &amp;$C$9079&amp;"""/&gt;"</f>
        <v>&lt;category name="clothes"/&gt;</v>
      </c>
      <c r="B9088" t="s">
        <v>860</v>
      </c>
    </row>
    <row r="9089" spans="1:8" x14ac:dyDescent="0.25">
      <c r="A9089" t="s">
        <v>21</v>
      </c>
      <c r="B9089" t="s">
        <v>860</v>
      </c>
    </row>
    <row r="9090" spans="1:8" x14ac:dyDescent="0.25">
      <c r="A9090" t="s">
        <v>22</v>
      </c>
      <c r="B9090" t="s">
        <v>860</v>
      </c>
    </row>
    <row r="9091" spans="1:8" x14ac:dyDescent="0.25">
      <c r="A9091" t="s">
        <v>2099</v>
      </c>
      <c r="B9091" t="s">
        <v>861</v>
      </c>
      <c r="C9091" t="s">
        <v>403</v>
      </c>
      <c r="D9091">
        <v>4</v>
      </c>
      <c r="E9091">
        <v>5600</v>
      </c>
      <c r="F9091">
        <v>0</v>
      </c>
      <c r="G9091">
        <v>2</v>
      </c>
      <c r="H9091" t="s">
        <v>19</v>
      </c>
    </row>
    <row r="9092" spans="1:8" x14ac:dyDescent="0.25">
      <c r="A9092" t="str">
        <f>"&lt;nominal&gt;" &amp;$D$9091&amp;"&lt;/nominal&gt;"</f>
        <v>&lt;nominal&gt;4&lt;/nominal&gt;</v>
      </c>
      <c r="B9092" t="s">
        <v>861</v>
      </c>
    </row>
    <row r="9093" spans="1:8" x14ac:dyDescent="0.25">
      <c r="A9093" t="str">
        <f>"&lt;lifetime&gt;" &amp;$E$9091&amp;"&lt;/lifetime&gt;"</f>
        <v>&lt;lifetime&gt;5600&lt;/lifetime&gt;</v>
      </c>
      <c r="B9093" t="s">
        <v>861</v>
      </c>
    </row>
    <row r="9094" spans="1:8" x14ac:dyDescent="0.25">
      <c r="A9094" t="str">
        <f>"&lt;restock&gt;" &amp;$F$9091&amp;"&lt;/restock&gt;"</f>
        <v>&lt;restock&gt;0&lt;/restock&gt;</v>
      </c>
      <c r="B9094" t="s">
        <v>861</v>
      </c>
    </row>
    <row r="9095" spans="1:8" x14ac:dyDescent="0.25">
      <c r="A9095" t="str">
        <f>"&lt;min&gt;" &amp;$G$9091&amp;"&lt;/min&gt;"</f>
        <v>&lt;min&gt;2&lt;/min&gt;</v>
      </c>
      <c r="B9095" t="s">
        <v>861</v>
      </c>
    </row>
    <row r="9096" spans="1:8" x14ac:dyDescent="0.25">
      <c r="A9096" t="s">
        <v>16</v>
      </c>
      <c r="B9096" t="s">
        <v>861</v>
      </c>
    </row>
    <row r="9097" spans="1:8" x14ac:dyDescent="0.25">
      <c r="A9097" t="s">
        <v>17</v>
      </c>
      <c r="B9097" t="s">
        <v>861</v>
      </c>
    </row>
    <row r="9098" spans="1:8" x14ac:dyDescent="0.25">
      <c r="A9098" t="s">
        <v>18</v>
      </c>
      <c r="B9098" t="s">
        <v>861</v>
      </c>
    </row>
    <row r="9099" spans="1:8" x14ac:dyDescent="0.25">
      <c r="A9099" t="str">
        <f xml:space="preserve"> $H$9091</f>
        <v>&lt;flags count_in_cargo="0" count_in_hoarder="0" count_in_map="1" count_in_player="0" crafted="0" deloot="0"/&gt;</v>
      </c>
      <c r="B9099" t="s">
        <v>861</v>
      </c>
    </row>
    <row r="9100" spans="1:8" x14ac:dyDescent="0.25">
      <c r="A9100" t="str">
        <f>"&lt;category name=" &amp;"""" &amp;$C$9091&amp;"""/&gt;"</f>
        <v>&lt;category name="clothes"/&gt;</v>
      </c>
      <c r="B9100" t="s">
        <v>861</v>
      </c>
    </row>
    <row r="9101" spans="1:8" x14ac:dyDescent="0.25">
      <c r="A9101" t="s">
        <v>21</v>
      </c>
      <c r="B9101" t="s">
        <v>861</v>
      </c>
    </row>
    <row r="9102" spans="1:8" x14ac:dyDescent="0.25">
      <c r="A9102" t="s">
        <v>22</v>
      </c>
      <c r="B9102" t="s">
        <v>861</v>
      </c>
    </row>
    <row r="9103" spans="1:8" x14ac:dyDescent="0.25">
      <c r="A9103" t="s">
        <v>2100</v>
      </c>
      <c r="B9103" t="s">
        <v>862</v>
      </c>
      <c r="C9103" t="s">
        <v>403</v>
      </c>
      <c r="D9103">
        <v>4</v>
      </c>
      <c r="E9103">
        <v>5600</v>
      </c>
      <c r="F9103">
        <v>0</v>
      </c>
      <c r="G9103">
        <v>2</v>
      </c>
      <c r="H9103" t="s">
        <v>19</v>
      </c>
    </row>
    <row r="9104" spans="1:8" x14ac:dyDescent="0.25">
      <c r="A9104" t="str">
        <f>"&lt;nominal&gt;" &amp;$D$9103&amp;"&lt;/nominal&gt;"</f>
        <v>&lt;nominal&gt;4&lt;/nominal&gt;</v>
      </c>
      <c r="B9104" t="s">
        <v>862</v>
      </c>
    </row>
    <row r="9105" spans="1:8" x14ac:dyDescent="0.25">
      <c r="A9105" t="str">
        <f>"&lt;lifetime&gt;" &amp;$E$9103&amp;"&lt;/lifetime&gt;"</f>
        <v>&lt;lifetime&gt;5600&lt;/lifetime&gt;</v>
      </c>
      <c r="B9105" t="s">
        <v>862</v>
      </c>
    </row>
    <row r="9106" spans="1:8" x14ac:dyDescent="0.25">
      <c r="A9106" t="str">
        <f>"&lt;restock&gt;" &amp;$F$9103&amp;"&lt;/restock&gt;"</f>
        <v>&lt;restock&gt;0&lt;/restock&gt;</v>
      </c>
      <c r="B9106" t="s">
        <v>862</v>
      </c>
    </row>
    <row r="9107" spans="1:8" x14ac:dyDescent="0.25">
      <c r="A9107" t="str">
        <f>"&lt;min&gt;" &amp;$G$9103&amp;"&lt;/min&gt;"</f>
        <v>&lt;min&gt;2&lt;/min&gt;</v>
      </c>
      <c r="B9107" t="s">
        <v>862</v>
      </c>
    </row>
    <row r="9108" spans="1:8" x14ac:dyDescent="0.25">
      <c r="A9108" t="s">
        <v>16</v>
      </c>
      <c r="B9108" t="s">
        <v>862</v>
      </c>
    </row>
    <row r="9109" spans="1:8" x14ac:dyDescent="0.25">
      <c r="A9109" t="s">
        <v>17</v>
      </c>
      <c r="B9109" t="s">
        <v>862</v>
      </c>
    </row>
    <row r="9110" spans="1:8" x14ac:dyDescent="0.25">
      <c r="A9110" t="s">
        <v>18</v>
      </c>
      <c r="B9110" t="s">
        <v>862</v>
      </c>
    </row>
    <row r="9111" spans="1:8" x14ac:dyDescent="0.25">
      <c r="A9111" t="str">
        <f xml:space="preserve"> $H$9103</f>
        <v>&lt;flags count_in_cargo="0" count_in_hoarder="0" count_in_map="1" count_in_player="0" crafted="0" deloot="0"/&gt;</v>
      </c>
      <c r="B9111" t="s">
        <v>862</v>
      </c>
    </row>
    <row r="9112" spans="1:8" x14ac:dyDescent="0.25">
      <c r="A9112" t="str">
        <f>"&lt;category name=" &amp;"""" &amp;$C$9103&amp;"""/&gt;"</f>
        <v>&lt;category name="clothes"/&gt;</v>
      </c>
      <c r="B9112" t="s">
        <v>862</v>
      </c>
    </row>
    <row r="9113" spans="1:8" x14ac:dyDescent="0.25">
      <c r="A9113" t="s">
        <v>21</v>
      </c>
      <c r="B9113" t="s">
        <v>862</v>
      </c>
    </row>
    <row r="9114" spans="1:8" x14ac:dyDescent="0.25">
      <c r="A9114" t="s">
        <v>22</v>
      </c>
      <c r="B9114" t="s">
        <v>862</v>
      </c>
    </row>
    <row r="9115" spans="1:8" x14ac:dyDescent="0.25">
      <c r="A9115" t="s">
        <v>2101</v>
      </c>
      <c r="B9115" t="s">
        <v>863</v>
      </c>
      <c r="C9115" t="s">
        <v>403</v>
      </c>
      <c r="D9115">
        <v>4</v>
      </c>
      <c r="E9115">
        <v>5600</v>
      </c>
      <c r="F9115">
        <v>0</v>
      </c>
      <c r="G9115">
        <v>2</v>
      </c>
      <c r="H9115" t="s">
        <v>19</v>
      </c>
    </row>
    <row r="9116" spans="1:8" x14ac:dyDescent="0.25">
      <c r="A9116" t="str">
        <f>"&lt;nominal&gt;" &amp;$D$9115&amp;"&lt;/nominal&gt;"</f>
        <v>&lt;nominal&gt;4&lt;/nominal&gt;</v>
      </c>
      <c r="B9116" t="s">
        <v>863</v>
      </c>
    </row>
    <row r="9117" spans="1:8" x14ac:dyDescent="0.25">
      <c r="A9117" t="str">
        <f>"&lt;lifetime&gt;" &amp;$E$9115&amp;"&lt;/lifetime&gt;"</f>
        <v>&lt;lifetime&gt;5600&lt;/lifetime&gt;</v>
      </c>
      <c r="B9117" t="s">
        <v>863</v>
      </c>
    </row>
    <row r="9118" spans="1:8" x14ac:dyDescent="0.25">
      <c r="A9118" t="str">
        <f>"&lt;restock&gt;" &amp;$F$9115&amp;"&lt;/restock&gt;"</f>
        <v>&lt;restock&gt;0&lt;/restock&gt;</v>
      </c>
      <c r="B9118" t="s">
        <v>863</v>
      </c>
    </row>
    <row r="9119" spans="1:8" x14ac:dyDescent="0.25">
      <c r="A9119" t="str">
        <f>"&lt;min&gt;" &amp;$G$9115&amp;"&lt;/min&gt;"</f>
        <v>&lt;min&gt;2&lt;/min&gt;</v>
      </c>
      <c r="B9119" t="s">
        <v>863</v>
      </c>
    </row>
    <row r="9120" spans="1:8" x14ac:dyDescent="0.25">
      <c r="A9120" t="s">
        <v>16</v>
      </c>
      <c r="B9120" t="s">
        <v>863</v>
      </c>
    </row>
    <row r="9121" spans="1:8" x14ac:dyDescent="0.25">
      <c r="A9121" t="s">
        <v>17</v>
      </c>
      <c r="B9121" t="s">
        <v>863</v>
      </c>
    </row>
    <row r="9122" spans="1:8" x14ac:dyDescent="0.25">
      <c r="A9122" t="s">
        <v>18</v>
      </c>
      <c r="B9122" t="s">
        <v>863</v>
      </c>
    </row>
    <row r="9123" spans="1:8" x14ac:dyDescent="0.25">
      <c r="A9123" t="str">
        <f xml:space="preserve"> $H$9115</f>
        <v>&lt;flags count_in_cargo="0" count_in_hoarder="0" count_in_map="1" count_in_player="0" crafted="0" deloot="0"/&gt;</v>
      </c>
      <c r="B9123" t="s">
        <v>863</v>
      </c>
    </row>
    <row r="9124" spans="1:8" x14ac:dyDescent="0.25">
      <c r="A9124" t="str">
        <f>"&lt;category name=" &amp;"""" &amp;$C$9115&amp;"""/&gt;"</f>
        <v>&lt;category name="clothes"/&gt;</v>
      </c>
      <c r="B9124" t="s">
        <v>863</v>
      </c>
    </row>
    <row r="9125" spans="1:8" x14ac:dyDescent="0.25">
      <c r="A9125" t="s">
        <v>21</v>
      </c>
      <c r="B9125" t="s">
        <v>863</v>
      </c>
    </row>
    <row r="9126" spans="1:8" x14ac:dyDescent="0.25">
      <c r="A9126" t="s">
        <v>22</v>
      </c>
      <c r="B9126" t="s">
        <v>863</v>
      </c>
    </row>
    <row r="9127" spans="1:8" x14ac:dyDescent="0.25">
      <c r="A9127" t="s">
        <v>2102</v>
      </c>
      <c r="B9127" t="s">
        <v>864</v>
      </c>
      <c r="C9127" t="s">
        <v>403</v>
      </c>
      <c r="D9127">
        <v>5</v>
      </c>
      <c r="E9127">
        <v>5600</v>
      </c>
      <c r="F9127">
        <v>0</v>
      </c>
      <c r="G9127">
        <v>2</v>
      </c>
      <c r="H9127" t="s">
        <v>19</v>
      </c>
    </row>
    <row r="9128" spans="1:8" x14ac:dyDescent="0.25">
      <c r="A9128" t="str">
        <f>"&lt;nominal&gt;" &amp;$D$9127&amp;"&lt;/nominal&gt;"</f>
        <v>&lt;nominal&gt;5&lt;/nominal&gt;</v>
      </c>
      <c r="B9128" t="s">
        <v>864</v>
      </c>
    </row>
    <row r="9129" spans="1:8" x14ac:dyDescent="0.25">
      <c r="A9129" t="str">
        <f>"&lt;lifetime&gt;" &amp;$E$9127&amp;"&lt;/lifetime&gt;"</f>
        <v>&lt;lifetime&gt;5600&lt;/lifetime&gt;</v>
      </c>
      <c r="B9129" t="s">
        <v>864</v>
      </c>
    </row>
    <row r="9130" spans="1:8" x14ac:dyDescent="0.25">
      <c r="A9130" t="str">
        <f>"&lt;restock&gt;" &amp;$F$9127&amp;"&lt;/restock&gt;"</f>
        <v>&lt;restock&gt;0&lt;/restock&gt;</v>
      </c>
      <c r="B9130" t="s">
        <v>864</v>
      </c>
    </row>
    <row r="9131" spans="1:8" x14ac:dyDescent="0.25">
      <c r="A9131" t="str">
        <f>"&lt;min&gt;" &amp;$G$9127&amp;"&lt;/min&gt;"</f>
        <v>&lt;min&gt;2&lt;/min&gt;</v>
      </c>
      <c r="B9131" t="s">
        <v>864</v>
      </c>
    </row>
    <row r="9132" spans="1:8" x14ac:dyDescent="0.25">
      <c r="A9132" t="s">
        <v>16</v>
      </c>
      <c r="B9132" t="s">
        <v>864</v>
      </c>
    </row>
    <row r="9133" spans="1:8" x14ac:dyDescent="0.25">
      <c r="A9133" t="s">
        <v>17</v>
      </c>
      <c r="B9133" t="s">
        <v>864</v>
      </c>
    </row>
    <row r="9134" spans="1:8" x14ac:dyDescent="0.25">
      <c r="A9134" t="s">
        <v>18</v>
      </c>
      <c r="B9134" t="s">
        <v>864</v>
      </c>
    </row>
    <row r="9135" spans="1:8" x14ac:dyDescent="0.25">
      <c r="A9135" t="str">
        <f xml:space="preserve"> $H$9127</f>
        <v>&lt;flags count_in_cargo="0" count_in_hoarder="0" count_in_map="1" count_in_player="0" crafted="0" deloot="0"/&gt;</v>
      </c>
      <c r="B9135" t="s">
        <v>864</v>
      </c>
    </row>
    <row r="9136" spans="1:8" x14ac:dyDescent="0.25">
      <c r="A9136" t="str">
        <f>"&lt;category name=" &amp;"""" &amp;$C$9127&amp;"""/&gt;"</f>
        <v>&lt;category name="clothes"/&gt;</v>
      </c>
      <c r="B9136" t="s">
        <v>864</v>
      </c>
    </row>
    <row r="9137" spans="1:8" x14ac:dyDescent="0.25">
      <c r="A9137" t="s">
        <v>21</v>
      </c>
      <c r="B9137" t="s">
        <v>864</v>
      </c>
    </row>
    <row r="9138" spans="1:8" x14ac:dyDescent="0.25">
      <c r="A9138" t="s">
        <v>22</v>
      </c>
      <c r="B9138" t="s">
        <v>864</v>
      </c>
    </row>
    <row r="9139" spans="1:8" x14ac:dyDescent="0.25">
      <c r="A9139" t="s">
        <v>2103</v>
      </c>
      <c r="B9139" t="s">
        <v>865</v>
      </c>
      <c r="C9139" t="s">
        <v>403</v>
      </c>
      <c r="D9139">
        <v>5</v>
      </c>
      <c r="E9139">
        <v>5600</v>
      </c>
      <c r="F9139">
        <v>0</v>
      </c>
      <c r="G9139">
        <v>2</v>
      </c>
      <c r="H9139" t="s">
        <v>19</v>
      </c>
    </row>
    <row r="9140" spans="1:8" x14ac:dyDescent="0.25">
      <c r="A9140" t="str">
        <f>"&lt;nominal&gt;" &amp;$D$9139&amp;"&lt;/nominal&gt;"</f>
        <v>&lt;nominal&gt;5&lt;/nominal&gt;</v>
      </c>
      <c r="B9140" t="s">
        <v>865</v>
      </c>
    </row>
    <row r="9141" spans="1:8" x14ac:dyDescent="0.25">
      <c r="A9141" t="str">
        <f>"&lt;lifetime&gt;" &amp;$E$9139&amp;"&lt;/lifetime&gt;"</f>
        <v>&lt;lifetime&gt;5600&lt;/lifetime&gt;</v>
      </c>
      <c r="B9141" t="s">
        <v>865</v>
      </c>
    </row>
    <row r="9142" spans="1:8" x14ac:dyDescent="0.25">
      <c r="A9142" t="str">
        <f>"&lt;restock&gt;" &amp;$F$9139&amp;"&lt;/restock&gt;"</f>
        <v>&lt;restock&gt;0&lt;/restock&gt;</v>
      </c>
      <c r="B9142" t="s">
        <v>865</v>
      </c>
    </row>
    <row r="9143" spans="1:8" x14ac:dyDescent="0.25">
      <c r="A9143" t="str">
        <f>"&lt;min&gt;" &amp;$G$9139&amp;"&lt;/min&gt;"</f>
        <v>&lt;min&gt;2&lt;/min&gt;</v>
      </c>
      <c r="B9143" t="s">
        <v>865</v>
      </c>
    </row>
    <row r="9144" spans="1:8" x14ac:dyDescent="0.25">
      <c r="A9144" t="s">
        <v>16</v>
      </c>
      <c r="B9144" t="s">
        <v>865</v>
      </c>
    </row>
    <row r="9145" spans="1:8" x14ac:dyDescent="0.25">
      <c r="A9145" t="s">
        <v>17</v>
      </c>
      <c r="B9145" t="s">
        <v>865</v>
      </c>
    </row>
    <row r="9146" spans="1:8" x14ac:dyDescent="0.25">
      <c r="A9146" t="s">
        <v>18</v>
      </c>
      <c r="B9146" t="s">
        <v>865</v>
      </c>
    </row>
    <row r="9147" spans="1:8" x14ac:dyDescent="0.25">
      <c r="A9147" t="str">
        <f xml:space="preserve"> $H$9139</f>
        <v>&lt;flags count_in_cargo="0" count_in_hoarder="0" count_in_map="1" count_in_player="0" crafted="0" deloot="0"/&gt;</v>
      </c>
      <c r="B9147" t="s">
        <v>865</v>
      </c>
    </row>
    <row r="9148" spans="1:8" x14ac:dyDescent="0.25">
      <c r="A9148" t="str">
        <f>"&lt;category name=" &amp;"""" &amp;$C$9139&amp;"""/&gt;"</f>
        <v>&lt;category name="clothes"/&gt;</v>
      </c>
      <c r="B9148" t="s">
        <v>865</v>
      </c>
    </row>
    <row r="9149" spans="1:8" x14ac:dyDescent="0.25">
      <c r="A9149" t="s">
        <v>21</v>
      </c>
      <c r="B9149" t="s">
        <v>865</v>
      </c>
    </row>
    <row r="9150" spans="1:8" x14ac:dyDescent="0.25">
      <c r="A9150" t="s">
        <v>22</v>
      </c>
      <c r="B9150" t="s">
        <v>865</v>
      </c>
    </row>
    <row r="9151" spans="1:8" x14ac:dyDescent="0.25">
      <c r="A9151" t="s">
        <v>2104</v>
      </c>
      <c r="B9151" t="s">
        <v>866</v>
      </c>
      <c r="C9151" t="s">
        <v>403</v>
      </c>
      <c r="D9151">
        <v>5</v>
      </c>
      <c r="E9151">
        <v>5600</v>
      </c>
      <c r="F9151">
        <v>0</v>
      </c>
      <c r="G9151">
        <v>2</v>
      </c>
      <c r="H9151" t="s">
        <v>19</v>
      </c>
    </row>
    <row r="9152" spans="1:8" x14ac:dyDescent="0.25">
      <c r="A9152" t="str">
        <f>"&lt;nominal&gt;" &amp;$D$9151&amp;"&lt;/nominal&gt;"</f>
        <v>&lt;nominal&gt;5&lt;/nominal&gt;</v>
      </c>
      <c r="B9152" t="s">
        <v>866</v>
      </c>
    </row>
    <row r="9153" spans="1:8" x14ac:dyDescent="0.25">
      <c r="A9153" t="str">
        <f>"&lt;lifetime&gt;" &amp;$E$9151&amp;"&lt;/lifetime&gt;"</f>
        <v>&lt;lifetime&gt;5600&lt;/lifetime&gt;</v>
      </c>
      <c r="B9153" t="s">
        <v>866</v>
      </c>
    </row>
    <row r="9154" spans="1:8" x14ac:dyDescent="0.25">
      <c r="A9154" t="str">
        <f>"&lt;restock&gt;" &amp;$F$9151&amp;"&lt;/restock&gt;"</f>
        <v>&lt;restock&gt;0&lt;/restock&gt;</v>
      </c>
      <c r="B9154" t="s">
        <v>866</v>
      </c>
    </row>
    <row r="9155" spans="1:8" x14ac:dyDescent="0.25">
      <c r="A9155" t="str">
        <f>"&lt;min&gt;" &amp;$G$9151&amp;"&lt;/min&gt;"</f>
        <v>&lt;min&gt;2&lt;/min&gt;</v>
      </c>
      <c r="B9155" t="s">
        <v>866</v>
      </c>
    </row>
    <row r="9156" spans="1:8" x14ac:dyDescent="0.25">
      <c r="A9156" t="s">
        <v>16</v>
      </c>
      <c r="B9156" t="s">
        <v>866</v>
      </c>
    </row>
    <row r="9157" spans="1:8" x14ac:dyDescent="0.25">
      <c r="A9157" t="s">
        <v>17</v>
      </c>
      <c r="B9157" t="s">
        <v>866</v>
      </c>
    </row>
    <row r="9158" spans="1:8" x14ac:dyDescent="0.25">
      <c r="A9158" t="s">
        <v>18</v>
      </c>
      <c r="B9158" t="s">
        <v>866</v>
      </c>
    </row>
    <row r="9159" spans="1:8" x14ac:dyDescent="0.25">
      <c r="A9159" t="str">
        <f xml:space="preserve"> $H$9151</f>
        <v>&lt;flags count_in_cargo="0" count_in_hoarder="0" count_in_map="1" count_in_player="0" crafted="0" deloot="0"/&gt;</v>
      </c>
      <c r="B9159" t="s">
        <v>866</v>
      </c>
    </row>
    <row r="9160" spans="1:8" x14ac:dyDescent="0.25">
      <c r="A9160" t="str">
        <f>"&lt;category name=" &amp;"""" &amp;$C$9151&amp;"""/&gt;"</f>
        <v>&lt;category name="clothes"/&gt;</v>
      </c>
      <c r="B9160" t="s">
        <v>866</v>
      </c>
    </row>
    <row r="9161" spans="1:8" x14ac:dyDescent="0.25">
      <c r="A9161" t="s">
        <v>21</v>
      </c>
      <c r="B9161" t="s">
        <v>866</v>
      </c>
    </row>
    <row r="9162" spans="1:8" x14ac:dyDescent="0.25">
      <c r="A9162" t="s">
        <v>22</v>
      </c>
      <c r="B9162" t="s">
        <v>866</v>
      </c>
    </row>
    <row r="9163" spans="1:8" x14ac:dyDescent="0.25">
      <c r="A9163" t="s">
        <v>2105</v>
      </c>
      <c r="B9163" t="s">
        <v>867</v>
      </c>
      <c r="C9163" t="s">
        <v>426</v>
      </c>
      <c r="D9163">
        <v>40</v>
      </c>
      <c r="E9163">
        <v>7200</v>
      </c>
      <c r="F9163">
        <v>0</v>
      </c>
      <c r="G9163">
        <v>30</v>
      </c>
      <c r="H9163" t="s">
        <v>19</v>
      </c>
    </row>
    <row r="9164" spans="1:8" x14ac:dyDescent="0.25">
      <c r="A9164" t="str">
        <f>"&lt;nominal&gt;" &amp;$D$9163&amp;"&lt;/nominal&gt;"</f>
        <v>&lt;nominal&gt;40&lt;/nominal&gt;</v>
      </c>
      <c r="B9164" t="s">
        <v>867</v>
      </c>
    </row>
    <row r="9165" spans="1:8" x14ac:dyDescent="0.25">
      <c r="A9165" t="str">
        <f>"&lt;lifetime&gt;" &amp;$E$9163&amp;"&lt;/lifetime&gt;"</f>
        <v>&lt;lifetime&gt;7200&lt;/lifetime&gt;</v>
      </c>
      <c r="B9165" t="s">
        <v>867</v>
      </c>
    </row>
    <row r="9166" spans="1:8" x14ac:dyDescent="0.25">
      <c r="A9166" t="str">
        <f>"&lt;restock&gt;" &amp;$F$9163&amp;"&lt;/restock&gt;"</f>
        <v>&lt;restock&gt;0&lt;/restock&gt;</v>
      </c>
      <c r="B9166" t="s">
        <v>867</v>
      </c>
    </row>
    <row r="9167" spans="1:8" x14ac:dyDescent="0.25">
      <c r="A9167" t="str">
        <f>"&lt;min&gt;" &amp;$G$9163&amp;"&lt;/min&gt;"</f>
        <v>&lt;min&gt;30&lt;/min&gt;</v>
      </c>
      <c r="B9167" t="s">
        <v>867</v>
      </c>
    </row>
    <row r="9168" spans="1:8" x14ac:dyDescent="0.25">
      <c r="A9168" t="s">
        <v>16</v>
      </c>
      <c r="B9168" t="s">
        <v>867</v>
      </c>
    </row>
    <row r="9169" spans="1:8" x14ac:dyDescent="0.25">
      <c r="A9169" t="s">
        <v>17</v>
      </c>
      <c r="B9169" t="s">
        <v>867</v>
      </c>
    </row>
    <row r="9170" spans="1:8" x14ac:dyDescent="0.25">
      <c r="A9170" t="s">
        <v>18</v>
      </c>
      <c r="B9170" t="s">
        <v>867</v>
      </c>
    </row>
    <row r="9171" spans="1:8" x14ac:dyDescent="0.25">
      <c r="A9171" t="str">
        <f xml:space="preserve"> $H$9163</f>
        <v>&lt;flags count_in_cargo="0" count_in_hoarder="0" count_in_map="1" count_in_player="0" crafted="0" deloot="0"/&gt;</v>
      </c>
      <c r="B9171" t="s">
        <v>867</v>
      </c>
    </row>
    <row r="9172" spans="1:8" x14ac:dyDescent="0.25">
      <c r="A9172" t="str">
        <f>"&lt;category name=" &amp;"""" &amp;$C$9163&amp;"""/&gt;"</f>
        <v>&lt;category name="tools"/&gt;</v>
      </c>
      <c r="B9172" t="s">
        <v>867</v>
      </c>
    </row>
    <row r="9173" spans="1:8" x14ac:dyDescent="0.25">
      <c r="A9173" t="s">
        <v>40</v>
      </c>
      <c r="B9173" t="s">
        <v>867</v>
      </c>
    </row>
    <row r="9174" spans="1:8" x14ac:dyDescent="0.25">
      <c r="A9174" t="s">
        <v>67</v>
      </c>
      <c r="B9174" t="s">
        <v>867</v>
      </c>
    </row>
    <row r="9175" spans="1:8" x14ac:dyDescent="0.25">
      <c r="A9175" t="s">
        <v>22</v>
      </c>
      <c r="B9175" t="s">
        <v>867</v>
      </c>
    </row>
    <row r="9176" spans="1:8" x14ac:dyDescent="0.25">
      <c r="A9176" t="s">
        <v>2106</v>
      </c>
      <c r="B9176" t="s">
        <v>868</v>
      </c>
      <c r="C9176" t="s">
        <v>426</v>
      </c>
      <c r="D9176">
        <v>30</v>
      </c>
      <c r="E9176">
        <v>3888000</v>
      </c>
      <c r="F9176">
        <v>0</v>
      </c>
      <c r="G9176">
        <v>20</v>
      </c>
      <c r="H9176" t="s">
        <v>1559</v>
      </c>
    </row>
    <row r="9177" spans="1:8" x14ac:dyDescent="0.25">
      <c r="A9177" t="str">
        <f>"&lt;nominal&gt;" &amp;$D$9176&amp;"&lt;/nominal&gt;"</f>
        <v>&lt;nominal&gt;30&lt;/nominal&gt;</v>
      </c>
      <c r="B9177" t="s">
        <v>868</v>
      </c>
    </row>
    <row r="9178" spans="1:8" x14ac:dyDescent="0.25">
      <c r="A9178" t="str">
        <f>"&lt;lifetime&gt;" &amp;$E$9176&amp;"&lt;/lifetime&gt;"</f>
        <v>&lt;lifetime&gt;3888000&lt;/lifetime&gt;</v>
      </c>
      <c r="B9178" t="s">
        <v>868</v>
      </c>
    </row>
    <row r="9179" spans="1:8" x14ac:dyDescent="0.25">
      <c r="A9179" t="str">
        <f>"&lt;restock&gt;" &amp;$F$9176&amp;"&lt;/restock&gt;"</f>
        <v>&lt;restock&gt;0&lt;/restock&gt;</v>
      </c>
      <c r="B9179" t="s">
        <v>868</v>
      </c>
    </row>
    <row r="9180" spans="1:8" x14ac:dyDescent="0.25">
      <c r="A9180" t="str">
        <f>"&lt;min&gt;" &amp;$G$9176&amp;"&lt;/min&gt;"</f>
        <v>&lt;min&gt;20&lt;/min&gt;</v>
      </c>
      <c r="B9180" t="s">
        <v>868</v>
      </c>
    </row>
    <row r="9181" spans="1:8" x14ac:dyDescent="0.25">
      <c r="A9181" t="s">
        <v>16</v>
      </c>
      <c r="B9181" t="s">
        <v>868</v>
      </c>
    </row>
    <row r="9182" spans="1:8" x14ac:dyDescent="0.25">
      <c r="A9182" t="s">
        <v>17</v>
      </c>
      <c r="B9182" t="s">
        <v>868</v>
      </c>
    </row>
    <row r="9183" spans="1:8" x14ac:dyDescent="0.25">
      <c r="A9183" t="s">
        <v>18</v>
      </c>
      <c r="B9183" t="s">
        <v>868</v>
      </c>
    </row>
    <row r="9184" spans="1:8" x14ac:dyDescent="0.25">
      <c r="A9184" t="str">
        <f xml:space="preserve"> $H$9176</f>
        <v>&lt;flags count_in_cargo="1" count_in_hoarder="0" count_in_map="1" count_in_player="1" crafted="0" deloot="0"/&gt;</v>
      </c>
      <c r="B9184" t="s">
        <v>868</v>
      </c>
    </row>
    <row r="9185" spans="1:8" x14ac:dyDescent="0.25">
      <c r="A9185" t="str">
        <f>"&lt;category name=" &amp;"""" &amp;$C$9176&amp;"""/&gt;"</f>
        <v>&lt;category name="tools"/&gt;</v>
      </c>
      <c r="B9185" t="s">
        <v>868</v>
      </c>
    </row>
    <row r="9186" spans="1:8" x14ac:dyDescent="0.25">
      <c r="A9186" t="s">
        <v>39</v>
      </c>
      <c r="B9186" t="s">
        <v>868</v>
      </c>
    </row>
    <row r="9187" spans="1:8" x14ac:dyDescent="0.25">
      <c r="A9187" t="s">
        <v>40</v>
      </c>
      <c r="B9187" t="s">
        <v>868</v>
      </c>
    </row>
    <row r="9188" spans="1:8" x14ac:dyDescent="0.25">
      <c r="A9188" t="s">
        <v>67</v>
      </c>
      <c r="B9188" t="s">
        <v>868</v>
      </c>
    </row>
    <row r="9189" spans="1:8" x14ac:dyDescent="0.25">
      <c r="A9189" t="s">
        <v>22</v>
      </c>
      <c r="B9189" t="s">
        <v>868</v>
      </c>
    </row>
    <row r="9190" spans="1:8" x14ac:dyDescent="0.25">
      <c r="A9190" t="s">
        <v>2107</v>
      </c>
      <c r="B9190" t="s">
        <v>869</v>
      </c>
      <c r="C9190" t="s">
        <v>426</v>
      </c>
      <c r="D9190">
        <v>20</v>
      </c>
      <c r="E9190">
        <v>7200</v>
      </c>
      <c r="F9190">
        <v>0</v>
      </c>
      <c r="G9190">
        <v>10</v>
      </c>
      <c r="H9190" t="s">
        <v>19</v>
      </c>
    </row>
    <row r="9191" spans="1:8" x14ac:dyDescent="0.25">
      <c r="A9191" t="str">
        <f>"&lt;nominal&gt;" &amp;$D$9190&amp;"&lt;/nominal&gt;"</f>
        <v>&lt;nominal&gt;20&lt;/nominal&gt;</v>
      </c>
      <c r="B9191" t="s">
        <v>869</v>
      </c>
    </row>
    <row r="9192" spans="1:8" x14ac:dyDescent="0.25">
      <c r="A9192" t="str">
        <f>"&lt;lifetime&gt;" &amp;$E$9190&amp;"&lt;/lifetime&gt;"</f>
        <v>&lt;lifetime&gt;7200&lt;/lifetime&gt;</v>
      </c>
      <c r="B9192" t="s">
        <v>869</v>
      </c>
    </row>
    <row r="9193" spans="1:8" x14ac:dyDescent="0.25">
      <c r="A9193" t="str">
        <f>"&lt;restock&gt;" &amp;$F$9190&amp;"&lt;/restock&gt;"</f>
        <v>&lt;restock&gt;0&lt;/restock&gt;</v>
      </c>
      <c r="B9193" t="s">
        <v>869</v>
      </c>
    </row>
    <row r="9194" spans="1:8" x14ac:dyDescent="0.25">
      <c r="A9194" t="str">
        <f>"&lt;min&gt;" &amp;$G$9190&amp;"&lt;/min&gt;"</f>
        <v>&lt;min&gt;10&lt;/min&gt;</v>
      </c>
      <c r="B9194" t="s">
        <v>869</v>
      </c>
    </row>
    <row r="9195" spans="1:8" x14ac:dyDescent="0.25">
      <c r="A9195" t="s">
        <v>16</v>
      </c>
      <c r="B9195" t="s">
        <v>869</v>
      </c>
    </row>
    <row r="9196" spans="1:8" x14ac:dyDescent="0.25">
      <c r="A9196" t="s">
        <v>17</v>
      </c>
      <c r="B9196" t="s">
        <v>869</v>
      </c>
    </row>
    <row r="9197" spans="1:8" x14ac:dyDescent="0.25">
      <c r="A9197" t="s">
        <v>18</v>
      </c>
      <c r="B9197" t="s">
        <v>869</v>
      </c>
    </row>
    <row r="9198" spans="1:8" x14ac:dyDescent="0.25">
      <c r="A9198" t="str">
        <f xml:space="preserve"> $H$9190</f>
        <v>&lt;flags count_in_cargo="0" count_in_hoarder="0" count_in_map="1" count_in_player="0" crafted="0" deloot="0"/&gt;</v>
      </c>
      <c r="B9198" t="s">
        <v>869</v>
      </c>
    </row>
    <row r="9199" spans="1:8" x14ac:dyDescent="0.25">
      <c r="A9199" t="str">
        <f>"&lt;category name=" &amp;"""" &amp;$C$9190&amp;"""/&gt;"</f>
        <v>&lt;category name="tools"/&gt;</v>
      </c>
      <c r="B9199" t="s">
        <v>869</v>
      </c>
    </row>
    <row r="9200" spans="1:8" x14ac:dyDescent="0.25">
      <c r="A9200" t="s">
        <v>29</v>
      </c>
      <c r="B9200" t="s">
        <v>869</v>
      </c>
    </row>
    <row r="9201" spans="1:8" x14ac:dyDescent="0.25">
      <c r="A9201" t="s">
        <v>173</v>
      </c>
      <c r="B9201" t="s">
        <v>869</v>
      </c>
    </row>
    <row r="9202" spans="1:8" x14ac:dyDescent="0.25">
      <c r="A9202" t="s">
        <v>39</v>
      </c>
      <c r="B9202" t="s">
        <v>869</v>
      </c>
    </row>
    <row r="9203" spans="1:8" x14ac:dyDescent="0.25">
      <c r="A9203" t="s">
        <v>40</v>
      </c>
      <c r="B9203" t="s">
        <v>869</v>
      </c>
    </row>
    <row r="9204" spans="1:8" x14ac:dyDescent="0.25">
      <c r="A9204" t="s">
        <v>31</v>
      </c>
      <c r="B9204" t="s">
        <v>869</v>
      </c>
    </row>
    <row r="9205" spans="1:8" x14ac:dyDescent="0.25">
      <c r="A9205" t="s">
        <v>307</v>
      </c>
      <c r="B9205" t="s">
        <v>869</v>
      </c>
    </row>
    <row r="9206" spans="1:8" x14ac:dyDescent="0.25">
      <c r="A9206" t="s">
        <v>22</v>
      </c>
      <c r="B9206" t="s">
        <v>869</v>
      </c>
    </row>
    <row r="9207" spans="1:8" x14ac:dyDescent="0.25">
      <c r="A9207" t="s">
        <v>2108</v>
      </c>
      <c r="B9207" t="s">
        <v>870</v>
      </c>
      <c r="C9207" t="s">
        <v>426</v>
      </c>
      <c r="D9207">
        <v>60</v>
      </c>
      <c r="E9207">
        <v>7200</v>
      </c>
      <c r="F9207">
        <v>0</v>
      </c>
      <c r="G9207">
        <v>40</v>
      </c>
      <c r="H9207" t="s">
        <v>19</v>
      </c>
    </row>
    <row r="9208" spans="1:8" x14ac:dyDescent="0.25">
      <c r="A9208" t="str">
        <f>"&lt;nominal&gt;" &amp;$D$9207&amp;"&lt;/nominal&gt;"</f>
        <v>&lt;nominal&gt;60&lt;/nominal&gt;</v>
      </c>
      <c r="B9208" t="s">
        <v>870</v>
      </c>
    </row>
    <row r="9209" spans="1:8" x14ac:dyDescent="0.25">
      <c r="A9209" t="str">
        <f>"&lt;lifetime&gt;" &amp;$E$9207&amp;"&lt;/lifetime&gt;"</f>
        <v>&lt;lifetime&gt;7200&lt;/lifetime&gt;</v>
      </c>
      <c r="B9209" t="s">
        <v>870</v>
      </c>
    </row>
    <row r="9210" spans="1:8" x14ac:dyDescent="0.25">
      <c r="A9210" t="str">
        <f>"&lt;restock&gt;" &amp;$F$9207&amp;"&lt;/restock&gt;"</f>
        <v>&lt;restock&gt;0&lt;/restock&gt;</v>
      </c>
      <c r="B9210" t="s">
        <v>870</v>
      </c>
    </row>
    <row r="9211" spans="1:8" x14ac:dyDescent="0.25">
      <c r="A9211" t="str">
        <f>"&lt;min&gt;" &amp;$G$9207&amp;"&lt;/min&gt;"</f>
        <v>&lt;min&gt;40&lt;/min&gt;</v>
      </c>
      <c r="B9211" t="s">
        <v>870</v>
      </c>
    </row>
    <row r="9212" spans="1:8" x14ac:dyDescent="0.25">
      <c r="A9212" t="s">
        <v>16</v>
      </c>
      <c r="B9212" t="s">
        <v>870</v>
      </c>
    </row>
    <row r="9213" spans="1:8" x14ac:dyDescent="0.25">
      <c r="A9213" t="s">
        <v>17</v>
      </c>
      <c r="B9213" t="s">
        <v>870</v>
      </c>
    </row>
    <row r="9214" spans="1:8" x14ac:dyDescent="0.25">
      <c r="A9214" t="s">
        <v>18</v>
      </c>
      <c r="B9214" t="s">
        <v>870</v>
      </c>
    </row>
    <row r="9215" spans="1:8" x14ac:dyDescent="0.25">
      <c r="A9215" t="str">
        <f xml:space="preserve"> $H$9207</f>
        <v>&lt;flags count_in_cargo="0" count_in_hoarder="0" count_in_map="1" count_in_player="0" crafted="0" deloot="0"/&gt;</v>
      </c>
      <c r="B9215" t="s">
        <v>870</v>
      </c>
    </row>
    <row r="9216" spans="1:8" x14ac:dyDescent="0.25">
      <c r="A9216" t="str">
        <f>"&lt;category name=" &amp;"""" &amp;$C$9207&amp;"""/&gt;"</f>
        <v>&lt;category name="tools"/&gt;</v>
      </c>
      <c r="B9216" t="s">
        <v>870</v>
      </c>
    </row>
    <row r="9217" spans="1:8" x14ac:dyDescent="0.25">
      <c r="A9217" t="s">
        <v>25</v>
      </c>
      <c r="B9217" t="s">
        <v>870</v>
      </c>
    </row>
    <row r="9218" spans="1:8" x14ac:dyDescent="0.25">
      <c r="A9218" t="s">
        <v>55</v>
      </c>
      <c r="B9218" t="s">
        <v>870</v>
      </c>
    </row>
    <row r="9219" spans="1:8" x14ac:dyDescent="0.25">
      <c r="A9219" t="s">
        <v>22</v>
      </c>
      <c r="B9219" t="s">
        <v>870</v>
      </c>
    </row>
    <row r="9220" spans="1:8" x14ac:dyDescent="0.25">
      <c r="A9220" t="s">
        <v>2109</v>
      </c>
      <c r="B9220" t="s">
        <v>871</v>
      </c>
      <c r="C9220" t="s">
        <v>426</v>
      </c>
      <c r="D9220">
        <v>80</v>
      </c>
      <c r="E9220">
        <v>7200</v>
      </c>
      <c r="F9220">
        <v>0</v>
      </c>
      <c r="G9220">
        <v>60</v>
      </c>
      <c r="H9220" t="s">
        <v>19</v>
      </c>
    </row>
    <row r="9221" spans="1:8" x14ac:dyDescent="0.25">
      <c r="A9221" t="str">
        <f>"&lt;nominal&gt;" &amp;$D$9220&amp;"&lt;/nominal&gt;"</f>
        <v>&lt;nominal&gt;80&lt;/nominal&gt;</v>
      </c>
      <c r="B9221" t="s">
        <v>871</v>
      </c>
    </row>
    <row r="9222" spans="1:8" x14ac:dyDescent="0.25">
      <c r="A9222" t="str">
        <f>"&lt;lifetime&gt;" &amp;$E$9220&amp;"&lt;/lifetime&gt;"</f>
        <v>&lt;lifetime&gt;7200&lt;/lifetime&gt;</v>
      </c>
      <c r="B9222" t="s">
        <v>871</v>
      </c>
    </row>
    <row r="9223" spans="1:8" x14ac:dyDescent="0.25">
      <c r="A9223" t="str">
        <f>"&lt;restock&gt;" &amp;$F$9220&amp;"&lt;/restock&gt;"</f>
        <v>&lt;restock&gt;0&lt;/restock&gt;</v>
      </c>
      <c r="B9223" t="s">
        <v>871</v>
      </c>
    </row>
    <row r="9224" spans="1:8" x14ac:dyDescent="0.25">
      <c r="A9224" t="str">
        <f>"&lt;min&gt;" &amp;$G$9220&amp;"&lt;/min&gt;"</f>
        <v>&lt;min&gt;60&lt;/min&gt;</v>
      </c>
      <c r="B9224" t="s">
        <v>871</v>
      </c>
    </row>
    <row r="9225" spans="1:8" x14ac:dyDescent="0.25">
      <c r="A9225" t="s">
        <v>16</v>
      </c>
      <c r="B9225" t="s">
        <v>871</v>
      </c>
    </row>
    <row r="9226" spans="1:8" x14ac:dyDescent="0.25">
      <c r="A9226" t="s">
        <v>17</v>
      </c>
      <c r="B9226" t="s">
        <v>871</v>
      </c>
    </row>
    <row r="9227" spans="1:8" x14ac:dyDescent="0.25">
      <c r="A9227" t="s">
        <v>18</v>
      </c>
      <c r="B9227" t="s">
        <v>871</v>
      </c>
    </row>
    <row r="9228" spans="1:8" x14ac:dyDescent="0.25">
      <c r="A9228" t="str">
        <f xml:space="preserve"> $H$9220</f>
        <v>&lt;flags count_in_cargo="0" count_in_hoarder="0" count_in_map="1" count_in_player="0" crafted="0" deloot="0"/&gt;</v>
      </c>
      <c r="B9228" t="s">
        <v>871</v>
      </c>
    </row>
    <row r="9229" spans="1:8" x14ac:dyDescent="0.25">
      <c r="A9229" t="str">
        <f>"&lt;category name=" &amp;"""" &amp;$C$9220&amp;"""/&gt;"</f>
        <v>&lt;category name="tools"/&gt;</v>
      </c>
      <c r="B9229" t="s">
        <v>871</v>
      </c>
    </row>
    <row r="9230" spans="1:8" x14ac:dyDescent="0.25">
      <c r="A9230" t="s">
        <v>55</v>
      </c>
      <c r="B9230" t="s">
        <v>871</v>
      </c>
    </row>
    <row r="9231" spans="1:8" x14ac:dyDescent="0.25">
      <c r="A9231" t="s">
        <v>56</v>
      </c>
      <c r="B9231" t="s">
        <v>871</v>
      </c>
    </row>
    <row r="9232" spans="1:8" x14ac:dyDescent="0.25">
      <c r="A9232" t="s">
        <v>22</v>
      </c>
      <c r="B9232" t="s">
        <v>871</v>
      </c>
    </row>
    <row r="9233" spans="1:8" x14ac:dyDescent="0.25">
      <c r="A9233" t="s">
        <v>2110</v>
      </c>
      <c r="B9233" t="s">
        <v>872</v>
      </c>
      <c r="C9233" t="s">
        <v>403</v>
      </c>
      <c r="D9233">
        <v>10</v>
      </c>
      <c r="E9233">
        <v>7200</v>
      </c>
      <c r="F9233">
        <v>0</v>
      </c>
      <c r="G9233">
        <v>5</v>
      </c>
      <c r="H9233" t="s">
        <v>19</v>
      </c>
    </row>
    <row r="9234" spans="1:8" x14ac:dyDescent="0.25">
      <c r="A9234" t="str">
        <f>"&lt;nominal&gt;" &amp;$D$9233&amp;"&lt;/nominal&gt;"</f>
        <v>&lt;nominal&gt;10&lt;/nominal&gt;</v>
      </c>
      <c r="B9234" t="s">
        <v>872</v>
      </c>
    </row>
    <row r="9235" spans="1:8" x14ac:dyDescent="0.25">
      <c r="A9235" t="str">
        <f>"&lt;lifetime&gt;" &amp;$E$9233&amp;"&lt;/lifetime&gt;"</f>
        <v>&lt;lifetime&gt;7200&lt;/lifetime&gt;</v>
      </c>
      <c r="B9235" t="s">
        <v>872</v>
      </c>
    </row>
    <row r="9236" spans="1:8" x14ac:dyDescent="0.25">
      <c r="A9236" t="str">
        <f>"&lt;restock&gt;" &amp;$F$9233&amp;"&lt;/restock&gt;"</f>
        <v>&lt;restock&gt;0&lt;/restock&gt;</v>
      </c>
      <c r="B9236" t="s">
        <v>872</v>
      </c>
    </row>
    <row r="9237" spans="1:8" x14ac:dyDescent="0.25">
      <c r="A9237" t="str">
        <f>"&lt;min&gt;" &amp;$G$9233&amp;"&lt;/min&gt;"</f>
        <v>&lt;min&gt;5&lt;/min&gt;</v>
      </c>
      <c r="B9237" t="s">
        <v>872</v>
      </c>
    </row>
    <row r="9238" spans="1:8" x14ac:dyDescent="0.25">
      <c r="A9238" t="s">
        <v>16</v>
      </c>
      <c r="B9238" t="s">
        <v>872</v>
      </c>
    </row>
    <row r="9239" spans="1:8" x14ac:dyDescent="0.25">
      <c r="A9239" t="s">
        <v>17</v>
      </c>
      <c r="B9239" t="s">
        <v>872</v>
      </c>
    </row>
    <row r="9240" spans="1:8" x14ac:dyDescent="0.25">
      <c r="A9240" t="s">
        <v>18</v>
      </c>
      <c r="B9240" t="s">
        <v>872</v>
      </c>
    </row>
    <row r="9241" spans="1:8" x14ac:dyDescent="0.25">
      <c r="A9241" t="str">
        <f xml:space="preserve"> $H$9233</f>
        <v>&lt;flags count_in_cargo="0" count_in_hoarder="0" count_in_map="1" count_in_player="0" crafted="0" deloot="0"/&gt;</v>
      </c>
      <c r="B9241" t="s">
        <v>872</v>
      </c>
    </row>
    <row r="9242" spans="1:8" x14ac:dyDescent="0.25">
      <c r="A9242" t="str">
        <f>"&lt;category name=" &amp;"""" &amp;$C$9233&amp;"""/&gt;"</f>
        <v>&lt;category name="clothes"/&gt;</v>
      </c>
      <c r="B9242" t="s">
        <v>872</v>
      </c>
    </row>
    <row r="9243" spans="1:8" x14ac:dyDescent="0.25">
      <c r="A9243" t="s">
        <v>29</v>
      </c>
      <c r="B9243" t="s">
        <v>872</v>
      </c>
    </row>
    <row r="9244" spans="1:8" x14ac:dyDescent="0.25">
      <c r="A9244" t="s">
        <v>31</v>
      </c>
      <c r="B9244" t="s">
        <v>872</v>
      </c>
    </row>
    <row r="9245" spans="1:8" x14ac:dyDescent="0.25">
      <c r="A9245" t="s">
        <v>307</v>
      </c>
      <c r="B9245" t="s">
        <v>872</v>
      </c>
    </row>
    <row r="9246" spans="1:8" x14ac:dyDescent="0.25">
      <c r="A9246" t="s">
        <v>22</v>
      </c>
      <c r="B9246" t="s">
        <v>872</v>
      </c>
    </row>
    <row r="9247" spans="1:8" x14ac:dyDescent="0.25">
      <c r="A9247" t="s">
        <v>2111</v>
      </c>
      <c r="B9247" t="s">
        <v>873</v>
      </c>
      <c r="C9247" t="s">
        <v>403</v>
      </c>
      <c r="D9247">
        <v>15</v>
      </c>
      <c r="E9247">
        <v>7200</v>
      </c>
      <c r="F9247">
        <v>1800</v>
      </c>
      <c r="G9247">
        <v>5</v>
      </c>
      <c r="H9247" t="s">
        <v>19</v>
      </c>
    </row>
    <row r="9248" spans="1:8" x14ac:dyDescent="0.25">
      <c r="A9248" t="str">
        <f>"&lt;nominal&gt;" &amp;$D$9247&amp;"&lt;/nominal&gt;"</f>
        <v>&lt;nominal&gt;15&lt;/nominal&gt;</v>
      </c>
      <c r="B9248" t="s">
        <v>873</v>
      </c>
    </row>
    <row r="9249" spans="1:8" x14ac:dyDescent="0.25">
      <c r="A9249" t="str">
        <f>"&lt;lifetime&gt;" &amp;$E$9247&amp;"&lt;/lifetime&gt;"</f>
        <v>&lt;lifetime&gt;7200&lt;/lifetime&gt;</v>
      </c>
      <c r="B9249" t="s">
        <v>873</v>
      </c>
    </row>
    <row r="9250" spans="1:8" x14ac:dyDescent="0.25">
      <c r="A9250" t="str">
        <f>"&lt;restock&gt;" &amp;$F$9247&amp;"&lt;/restock&gt;"</f>
        <v>&lt;restock&gt;1800&lt;/restock&gt;</v>
      </c>
      <c r="B9250" t="s">
        <v>873</v>
      </c>
    </row>
    <row r="9251" spans="1:8" x14ac:dyDescent="0.25">
      <c r="A9251" t="str">
        <f>"&lt;min&gt;" &amp;$G$9247&amp;"&lt;/min&gt;"</f>
        <v>&lt;min&gt;5&lt;/min&gt;</v>
      </c>
      <c r="B9251" t="s">
        <v>873</v>
      </c>
    </row>
    <row r="9252" spans="1:8" x14ac:dyDescent="0.25">
      <c r="A9252" t="s">
        <v>16</v>
      </c>
      <c r="B9252" t="s">
        <v>873</v>
      </c>
    </row>
    <row r="9253" spans="1:8" x14ac:dyDescent="0.25">
      <c r="A9253" t="s">
        <v>17</v>
      </c>
      <c r="B9253" t="s">
        <v>873</v>
      </c>
    </row>
    <row r="9254" spans="1:8" x14ac:dyDescent="0.25">
      <c r="A9254" t="s">
        <v>18</v>
      </c>
      <c r="B9254" t="s">
        <v>873</v>
      </c>
    </row>
    <row r="9255" spans="1:8" x14ac:dyDescent="0.25">
      <c r="A9255" t="str">
        <f xml:space="preserve"> $H$9247</f>
        <v>&lt;flags count_in_cargo="0" count_in_hoarder="0" count_in_map="1" count_in_player="0" crafted="0" deloot="0"/&gt;</v>
      </c>
      <c r="B9255" t="s">
        <v>873</v>
      </c>
    </row>
    <row r="9256" spans="1:8" x14ac:dyDescent="0.25">
      <c r="A9256" t="str">
        <f>"&lt;category name=" &amp;"""" &amp;$C$9247&amp;"""/&gt;"</f>
        <v>&lt;category name="clothes"/&gt;</v>
      </c>
      <c r="B9256" t="s">
        <v>873</v>
      </c>
    </row>
    <row r="9257" spans="1:8" x14ac:dyDescent="0.25">
      <c r="A9257" t="s">
        <v>29</v>
      </c>
      <c r="B9257" t="s">
        <v>873</v>
      </c>
    </row>
    <row r="9258" spans="1:8" x14ac:dyDescent="0.25">
      <c r="A9258" t="s">
        <v>22</v>
      </c>
      <c r="B9258" t="s">
        <v>873</v>
      </c>
    </row>
    <row r="9259" spans="1:8" x14ac:dyDescent="0.25">
      <c r="A9259" t="s">
        <v>2112</v>
      </c>
      <c r="B9259" t="s">
        <v>874</v>
      </c>
      <c r="C9259" t="s">
        <v>403</v>
      </c>
      <c r="D9259">
        <v>5</v>
      </c>
      <c r="E9259">
        <v>5600</v>
      </c>
      <c r="F9259">
        <v>0</v>
      </c>
      <c r="G9259">
        <v>2</v>
      </c>
      <c r="H9259" t="s">
        <v>19</v>
      </c>
    </row>
    <row r="9260" spans="1:8" x14ac:dyDescent="0.25">
      <c r="A9260" t="str">
        <f>"&lt;nominal&gt;" &amp;$D$9259&amp;"&lt;/nominal&gt;"</f>
        <v>&lt;nominal&gt;5&lt;/nominal&gt;</v>
      </c>
      <c r="B9260" t="s">
        <v>874</v>
      </c>
    </row>
    <row r="9261" spans="1:8" x14ac:dyDescent="0.25">
      <c r="A9261" t="str">
        <f>"&lt;lifetime&gt;" &amp;$E$9259&amp;"&lt;/lifetime&gt;"</f>
        <v>&lt;lifetime&gt;5600&lt;/lifetime&gt;</v>
      </c>
      <c r="B9261" t="s">
        <v>874</v>
      </c>
    </row>
    <row r="9262" spans="1:8" x14ac:dyDescent="0.25">
      <c r="A9262" t="str">
        <f>"&lt;restock&gt;" &amp;$F$9259&amp;"&lt;/restock&gt;"</f>
        <v>&lt;restock&gt;0&lt;/restock&gt;</v>
      </c>
      <c r="B9262" t="s">
        <v>874</v>
      </c>
    </row>
    <row r="9263" spans="1:8" x14ac:dyDescent="0.25">
      <c r="A9263" t="str">
        <f>"&lt;min&gt;" &amp;$G$9259&amp;"&lt;/min&gt;"</f>
        <v>&lt;min&gt;2&lt;/min&gt;</v>
      </c>
      <c r="B9263" t="s">
        <v>874</v>
      </c>
    </row>
    <row r="9264" spans="1:8" x14ac:dyDescent="0.25">
      <c r="A9264" t="s">
        <v>16</v>
      </c>
      <c r="B9264" t="s">
        <v>874</v>
      </c>
    </row>
    <row r="9265" spans="1:8" x14ac:dyDescent="0.25">
      <c r="A9265" t="s">
        <v>17</v>
      </c>
      <c r="B9265" t="s">
        <v>874</v>
      </c>
    </row>
    <row r="9266" spans="1:8" x14ac:dyDescent="0.25">
      <c r="A9266" t="s">
        <v>18</v>
      </c>
      <c r="B9266" t="s">
        <v>874</v>
      </c>
    </row>
    <row r="9267" spans="1:8" x14ac:dyDescent="0.25">
      <c r="A9267" t="str">
        <f xml:space="preserve"> $H$9259</f>
        <v>&lt;flags count_in_cargo="0" count_in_hoarder="0" count_in_map="1" count_in_player="0" crafted="0" deloot="0"/&gt;</v>
      </c>
      <c r="B9267" t="s">
        <v>874</v>
      </c>
    </row>
    <row r="9268" spans="1:8" x14ac:dyDescent="0.25">
      <c r="A9268" t="str">
        <f>"&lt;category name=" &amp;"""" &amp;$C$9259&amp;"""/&gt;"</f>
        <v>&lt;category name="clothes"/&gt;</v>
      </c>
      <c r="B9268" t="s">
        <v>874</v>
      </c>
    </row>
    <row r="9269" spans="1:8" x14ac:dyDescent="0.25">
      <c r="A9269" t="s">
        <v>29</v>
      </c>
      <c r="B9269" t="s">
        <v>874</v>
      </c>
    </row>
    <row r="9270" spans="1:8" x14ac:dyDescent="0.25">
      <c r="A9270" t="s">
        <v>30</v>
      </c>
      <c r="B9270" t="s">
        <v>874</v>
      </c>
    </row>
    <row r="9271" spans="1:8" x14ac:dyDescent="0.25">
      <c r="A9271" t="s">
        <v>31</v>
      </c>
      <c r="B9271" t="s">
        <v>874</v>
      </c>
    </row>
    <row r="9272" spans="1:8" x14ac:dyDescent="0.25">
      <c r="A9272" t="s">
        <v>307</v>
      </c>
      <c r="B9272" t="s">
        <v>874</v>
      </c>
    </row>
    <row r="9273" spans="1:8" x14ac:dyDescent="0.25">
      <c r="A9273" t="s">
        <v>22</v>
      </c>
      <c r="B9273" t="s">
        <v>874</v>
      </c>
    </row>
    <row r="9274" spans="1:8" x14ac:dyDescent="0.25">
      <c r="A9274" t="s">
        <v>2113</v>
      </c>
      <c r="B9274" t="s">
        <v>875</v>
      </c>
      <c r="C9274" t="s">
        <v>403</v>
      </c>
      <c r="D9274">
        <v>5</v>
      </c>
      <c r="E9274">
        <v>5600</v>
      </c>
      <c r="F9274">
        <v>0</v>
      </c>
      <c r="G9274">
        <v>2</v>
      </c>
      <c r="H9274" t="s">
        <v>19</v>
      </c>
    </row>
    <row r="9275" spans="1:8" x14ac:dyDescent="0.25">
      <c r="A9275" t="str">
        <f>"&lt;nominal&gt;" &amp;$D$9274&amp;"&lt;/nominal&gt;"</f>
        <v>&lt;nominal&gt;5&lt;/nominal&gt;</v>
      </c>
      <c r="B9275" t="s">
        <v>875</v>
      </c>
    </row>
    <row r="9276" spans="1:8" x14ac:dyDescent="0.25">
      <c r="A9276" t="str">
        <f>"&lt;lifetime&gt;" &amp;$E$9274&amp;"&lt;/lifetime&gt;"</f>
        <v>&lt;lifetime&gt;5600&lt;/lifetime&gt;</v>
      </c>
      <c r="B9276" t="s">
        <v>875</v>
      </c>
    </row>
    <row r="9277" spans="1:8" x14ac:dyDescent="0.25">
      <c r="A9277" t="str">
        <f>"&lt;restock&gt;" &amp;$F$9274&amp;"&lt;/restock&gt;"</f>
        <v>&lt;restock&gt;0&lt;/restock&gt;</v>
      </c>
      <c r="B9277" t="s">
        <v>875</v>
      </c>
    </row>
    <row r="9278" spans="1:8" x14ac:dyDescent="0.25">
      <c r="A9278" t="str">
        <f>"&lt;min&gt;" &amp;$G$9274&amp;"&lt;/min&gt;"</f>
        <v>&lt;min&gt;2&lt;/min&gt;</v>
      </c>
      <c r="B9278" t="s">
        <v>875</v>
      </c>
    </row>
    <row r="9279" spans="1:8" x14ac:dyDescent="0.25">
      <c r="A9279" t="s">
        <v>16</v>
      </c>
      <c r="B9279" t="s">
        <v>875</v>
      </c>
    </row>
    <row r="9280" spans="1:8" x14ac:dyDescent="0.25">
      <c r="A9280" t="s">
        <v>17</v>
      </c>
      <c r="B9280" t="s">
        <v>875</v>
      </c>
    </row>
    <row r="9281" spans="1:8" x14ac:dyDescent="0.25">
      <c r="A9281" t="s">
        <v>18</v>
      </c>
      <c r="B9281" t="s">
        <v>875</v>
      </c>
    </row>
    <row r="9282" spans="1:8" x14ac:dyDescent="0.25">
      <c r="A9282" t="str">
        <f xml:space="preserve"> $H$9274</f>
        <v>&lt;flags count_in_cargo="0" count_in_hoarder="0" count_in_map="1" count_in_player="0" crafted="0" deloot="0"/&gt;</v>
      </c>
      <c r="B9282" t="s">
        <v>875</v>
      </c>
    </row>
    <row r="9283" spans="1:8" x14ac:dyDescent="0.25">
      <c r="A9283" t="str">
        <f>"&lt;category name=" &amp;"""" &amp;$C$9274&amp;"""/&gt;"</f>
        <v>&lt;category name="clothes"/&gt;</v>
      </c>
      <c r="B9283" t="s">
        <v>875</v>
      </c>
    </row>
    <row r="9284" spans="1:8" x14ac:dyDescent="0.25">
      <c r="A9284" t="s">
        <v>29</v>
      </c>
      <c r="B9284" t="s">
        <v>875</v>
      </c>
    </row>
    <row r="9285" spans="1:8" x14ac:dyDescent="0.25">
      <c r="A9285" t="s">
        <v>30</v>
      </c>
      <c r="B9285" t="s">
        <v>875</v>
      </c>
    </row>
    <row r="9286" spans="1:8" x14ac:dyDescent="0.25">
      <c r="A9286" t="s">
        <v>31</v>
      </c>
      <c r="B9286" t="s">
        <v>875</v>
      </c>
    </row>
    <row r="9287" spans="1:8" x14ac:dyDescent="0.25">
      <c r="A9287" t="s">
        <v>307</v>
      </c>
      <c r="B9287" t="s">
        <v>875</v>
      </c>
    </row>
    <row r="9288" spans="1:8" x14ac:dyDescent="0.25">
      <c r="A9288" t="s">
        <v>22</v>
      </c>
      <c r="B9288" t="s">
        <v>875</v>
      </c>
    </row>
    <row r="9289" spans="1:8" x14ac:dyDescent="0.25">
      <c r="A9289" t="s">
        <v>2114</v>
      </c>
      <c r="B9289" t="s">
        <v>876</v>
      </c>
      <c r="C9289" t="s">
        <v>403</v>
      </c>
      <c r="D9289">
        <v>4</v>
      </c>
      <c r="E9289">
        <v>5600</v>
      </c>
      <c r="F9289">
        <v>0</v>
      </c>
      <c r="G9289">
        <v>2</v>
      </c>
      <c r="H9289" t="s">
        <v>38</v>
      </c>
    </row>
    <row r="9290" spans="1:8" x14ac:dyDescent="0.25">
      <c r="A9290" t="str">
        <f>"&lt;nominal&gt;" &amp;$D$9289&amp;"&lt;/nominal&gt;"</f>
        <v>&lt;nominal&gt;4&lt;/nominal&gt;</v>
      </c>
      <c r="B9290" t="s">
        <v>876</v>
      </c>
    </row>
    <row r="9291" spans="1:8" x14ac:dyDescent="0.25">
      <c r="A9291" t="str">
        <f>"&lt;lifetime&gt;" &amp;$E$9289&amp;"&lt;/lifetime&gt;"</f>
        <v>&lt;lifetime&gt;5600&lt;/lifetime&gt;</v>
      </c>
      <c r="B9291" t="s">
        <v>876</v>
      </c>
    </row>
    <row r="9292" spans="1:8" x14ac:dyDescent="0.25">
      <c r="A9292" t="str">
        <f>"&lt;restock&gt;" &amp;$F$9289&amp;"&lt;/restock&gt;"</f>
        <v>&lt;restock&gt;0&lt;/restock&gt;</v>
      </c>
      <c r="B9292" t="s">
        <v>876</v>
      </c>
    </row>
    <row r="9293" spans="1:8" x14ac:dyDescent="0.25">
      <c r="A9293" t="str">
        <f>"&lt;min&gt;" &amp;$G$9289&amp;"&lt;/min&gt;"</f>
        <v>&lt;min&gt;2&lt;/min&gt;</v>
      </c>
      <c r="B9293" t="s">
        <v>876</v>
      </c>
    </row>
    <row r="9294" spans="1:8" x14ac:dyDescent="0.25">
      <c r="A9294" t="s">
        <v>16</v>
      </c>
      <c r="B9294" t="s">
        <v>876</v>
      </c>
    </row>
    <row r="9295" spans="1:8" x14ac:dyDescent="0.25">
      <c r="A9295" t="s">
        <v>17</v>
      </c>
      <c r="B9295" t="s">
        <v>876</v>
      </c>
    </row>
    <row r="9296" spans="1:8" x14ac:dyDescent="0.25">
      <c r="A9296" t="s">
        <v>18</v>
      </c>
      <c r="B9296" t="s">
        <v>876</v>
      </c>
    </row>
    <row r="9297" spans="1:8" x14ac:dyDescent="0.25">
      <c r="A9297" t="str">
        <f xml:space="preserve"> $H$9289</f>
        <v>&lt;flags count_in_cargo="0" count_in_hoarder="0" count_in_map="1" count_in_player="0" crafted="0" deloot="1"/&gt;</v>
      </c>
      <c r="B9297" t="s">
        <v>876</v>
      </c>
    </row>
    <row r="9298" spans="1:8" x14ac:dyDescent="0.25">
      <c r="A9298" t="str">
        <f>"&lt;category name=" &amp;"""" &amp;$C$9289&amp;"""/&gt;"</f>
        <v>&lt;category name="clothes"/&gt;</v>
      </c>
      <c r="B9298" t="s">
        <v>876</v>
      </c>
    </row>
    <row r="9299" spans="1:8" x14ac:dyDescent="0.25">
      <c r="A9299" t="s">
        <v>29</v>
      </c>
      <c r="B9299" t="s">
        <v>876</v>
      </c>
    </row>
    <row r="9300" spans="1:8" x14ac:dyDescent="0.25">
      <c r="A9300" t="s">
        <v>22</v>
      </c>
      <c r="B9300" t="s">
        <v>876</v>
      </c>
    </row>
    <row r="9301" spans="1:8" x14ac:dyDescent="0.25">
      <c r="A9301" t="s">
        <v>2115</v>
      </c>
      <c r="B9301" t="s">
        <v>877</v>
      </c>
      <c r="C9301" t="s">
        <v>403</v>
      </c>
      <c r="D9301">
        <v>5</v>
      </c>
      <c r="E9301">
        <v>5600</v>
      </c>
      <c r="F9301">
        <v>0</v>
      </c>
      <c r="G9301">
        <v>2</v>
      </c>
      <c r="H9301" t="s">
        <v>19</v>
      </c>
    </row>
    <row r="9302" spans="1:8" x14ac:dyDescent="0.25">
      <c r="A9302" t="str">
        <f>"&lt;nominal&gt;" &amp;$D$9301&amp;"&lt;/nominal&gt;"</f>
        <v>&lt;nominal&gt;5&lt;/nominal&gt;</v>
      </c>
      <c r="B9302" t="s">
        <v>877</v>
      </c>
    </row>
    <row r="9303" spans="1:8" x14ac:dyDescent="0.25">
      <c r="A9303" t="str">
        <f>"&lt;lifetime&gt;" &amp;$E$9301&amp;"&lt;/lifetime&gt;"</f>
        <v>&lt;lifetime&gt;5600&lt;/lifetime&gt;</v>
      </c>
      <c r="B9303" t="s">
        <v>877</v>
      </c>
    </row>
    <row r="9304" spans="1:8" x14ac:dyDescent="0.25">
      <c r="A9304" t="str">
        <f>"&lt;restock&gt;" &amp;$F$9301&amp;"&lt;/restock&gt;"</f>
        <v>&lt;restock&gt;0&lt;/restock&gt;</v>
      </c>
      <c r="B9304" t="s">
        <v>877</v>
      </c>
    </row>
    <row r="9305" spans="1:8" x14ac:dyDescent="0.25">
      <c r="A9305" t="str">
        <f>"&lt;min&gt;" &amp;$G$9301&amp;"&lt;/min&gt;"</f>
        <v>&lt;min&gt;2&lt;/min&gt;</v>
      </c>
      <c r="B9305" t="s">
        <v>877</v>
      </c>
    </row>
    <row r="9306" spans="1:8" x14ac:dyDescent="0.25">
      <c r="A9306" t="s">
        <v>16</v>
      </c>
      <c r="B9306" t="s">
        <v>877</v>
      </c>
    </row>
    <row r="9307" spans="1:8" x14ac:dyDescent="0.25">
      <c r="A9307" t="s">
        <v>17</v>
      </c>
      <c r="B9307" t="s">
        <v>877</v>
      </c>
    </row>
    <row r="9308" spans="1:8" x14ac:dyDescent="0.25">
      <c r="A9308" t="s">
        <v>18</v>
      </c>
      <c r="B9308" t="s">
        <v>877</v>
      </c>
    </row>
    <row r="9309" spans="1:8" x14ac:dyDescent="0.25">
      <c r="A9309" t="str">
        <f xml:space="preserve"> $H$9301</f>
        <v>&lt;flags count_in_cargo="0" count_in_hoarder="0" count_in_map="1" count_in_player="0" crafted="0" deloot="0"/&gt;</v>
      </c>
      <c r="B9309" t="s">
        <v>877</v>
      </c>
    </row>
    <row r="9310" spans="1:8" x14ac:dyDescent="0.25">
      <c r="A9310" t="str">
        <f>"&lt;category name=" &amp;"""" &amp;$C$9301&amp;"""/&gt;"</f>
        <v>&lt;category name="clothes"/&gt;</v>
      </c>
      <c r="B9310" t="s">
        <v>877</v>
      </c>
    </row>
    <row r="9311" spans="1:8" x14ac:dyDescent="0.25">
      <c r="A9311" t="s">
        <v>29</v>
      </c>
      <c r="B9311" t="s">
        <v>877</v>
      </c>
    </row>
    <row r="9312" spans="1:8" x14ac:dyDescent="0.25">
      <c r="A9312" t="s">
        <v>30</v>
      </c>
      <c r="B9312" t="s">
        <v>877</v>
      </c>
    </row>
    <row r="9313" spans="1:8" x14ac:dyDescent="0.25">
      <c r="A9313" t="s">
        <v>31</v>
      </c>
      <c r="B9313" t="s">
        <v>877</v>
      </c>
    </row>
    <row r="9314" spans="1:8" x14ac:dyDescent="0.25">
      <c r="A9314" t="s">
        <v>307</v>
      </c>
      <c r="B9314" t="s">
        <v>877</v>
      </c>
    </row>
    <row r="9315" spans="1:8" x14ac:dyDescent="0.25">
      <c r="A9315" t="s">
        <v>22</v>
      </c>
      <c r="B9315" t="s">
        <v>877</v>
      </c>
    </row>
    <row r="9316" spans="1:8" x14ac:dyDescent="0.25">
      <c r="A9316" t="s">
        <v>2116</v>
      </c>
      <c r="B9316" t="s">
        <v>878</v>
      </c>
      <c r="C9316" t="s">
        <v>403</v>
      </c>
      <c r="D9316">
        <v>4</v>
      </c>
      <c r="E9316">
        <v>5600</v>
      </c>
      <c r="F9316">
        <v>0</v>
      </c>
      <c r="G9316">
        <v>2</v>
      </c>
      <c r="H9316" t="s">
        <v>38</v>
      </c>
    </row>
    <row r="9317" spans="1:8" x14ac:dyDescent="0.25">
      <c r="A9317" t="str">
        <f>"&lt;nominal&gt;" &amp;$D$9316&amp;"&lt;/nominal&gt;"</f>
        <v>&lt;nominal&gt;4&lt;/nominal&gt;</v>
      </c>
      <c r="B9317" t="s">
        <v>878</v>
      </c>
    </row>
    <row r="9318" spans="1:8" x14ac:dyDescent="0.25">
      <c r="A9318" t="str">
        <f>"&lt;lifetime&gt;" &amp;$E$9316&amp;"&lt;/lifetime&gt;"</f>
        <v>&lt;lifetime&gt;5600&lt;/lifetime&gt;</v>
      </c>
      <c r="B9318" t="s">
        <v>878</v>
      </c>
    </row>
    <row r="9319" spans="1:8" x14ac:dyDescent="0.25">
      <c r="A9319" t="str">
        <f>"&lt;restock&gt;" &amp;$F$9316&amp;"&lt;/restock&gt;"</f>
        <v>&lt;restock&gt;0&lt;/restock&gt;</v>
      </c>
      <c r="B9319" t="s">
        <v>878</v>
      </c>
    </row>
    <row r="9320" spans="1:8" x14ac:dyDescent="0.25">
      <c r="A9320" t="str">
        <f>"&lt;min&gt;" &amp;$G$9316&amp;"&lt;/min&gt;"</f>
        <v>&lt;min&gt;2&lt;/min&gt;</v>
      </c>
      <c r="B9320" t="s">
        <v>878</v>
      </c>
    </row>
    <row r="9321" spans="1:8" x14ac:dyDescent="0.25">
      <c r="A9321" t="s">
        <v>16</v>
      </c>
      <c r="B9321" t="s">
        <v>878</v>
      </c>
    </row>
    <row r="9322" spans="1:8" x14ac:dyDescent="0.25">
      <c r="A9322" t="s">
        <v>17</v>
      </c>
      <c r="B9322" t="s">
        <v>878</v>
      </c>
    </row>
    <row r="9323" spans="1:8" x14ac:dyDescent="0.25">
      <c r="A9323" t="s">
        <v>18</v>
      </c>
      <c r="B9323" t="s">
        <v>878</v>
      </c>
    </row>
    <row r="9324" spans="1:8" x14ac:dyDescent="0.25">
      <c r="A9324" t="str">
        <f xml:space="preserve"> $H$9316</f>
        <v>&lt;flags count_in_cargo="0" count_in_hoarder="0" count_in_map="1" count_in_player="0" crafted="0" deloot="1"/&gt;</v>
      </c>
      <c r="B9324" t="s">
        <v>878</v>
      </c>
    </row>
    <row r="9325" spans="1:8" x14ac:dyDescent="0.25">
      <c r="A9325" t="str">
        <f>"&lt;category name=" &amp;"""" &amp;$C$9316&amp;"""/&gt;"</f>
        <v>&lt;category name="clothes"/&gt;</v>
      </c>
      <c r="B9325" t="s">
        <v>878</v>
      </c>
    </row>
    <row r="9326" spans="1:8" x14ac:dyDescent="0.25">
      <c r="A9326" t="s">
        <v>29</v>
      </c>
      <c r="B9326" t="s">
        <v>878</v>
      </c>
    </row>
    <row r="9327" spans="1:8" x14ac:dyDescent="0.25">
      <c r="A9327" t="s">
        <v>22</v>
      </c>
      <c r="B9327" t="s">
        <v>878</v>
      </c>
    </row>
    <row r="9328" spans="1:8" x14ac:dyDescent="0.25">
      <c r="A9328" t="s">
        <v>2117</v>
      </c>
      <c r="B9328" t="s">
        <v>879</v>
      </c>
      <c r="C9328" t="s">
        <v>403</v>
      </c>
      <c r="D9328">
        <v>5</v>
      </c>
      <c r="E9328">
        <v>7200</v>
      </c>
      <c r="F9328">
        <v>0</v>
      </c>
      <c r="G9328">
        <v>2</v>
      </c>
      <c r="H9328" t="s">
        <v>19</v>
      </c>
    </row>
    <row r="9329" spans="1:8" x14ac:dyDescent="0.25">
      <c r="A9329" t="str">
        <f>"&lt;nominal&gt;" &amp;$D$9328&amp;"&lt;/nominal&gt;"</f>
        <v>&lt;nominal&gt;5&lt;/nominal&gt;</v>
      </c>
      <c r="B9329" t="s">
        <v>879</v>
      </c>
    </row>
    <row r="9330" spans="1:8" x14ac:dyDescent="0.25">
      <c r="A9330" t="str">
        <f>"&lt;lifetime&gt;" &amp;$E$9328&amp;"&lt;/lifetime&gt;"</f>
        <v>&lt;lifetime&gt;7200&lt;/lifetime&gt;</v>
      </c>
      <c r="B9330" t="s">
        <v>879</v>
      </c>
    </row>
    <row r="9331" spans="1:8" x14ac:dyDescent="0.25">
      <c r="A9331" t="str">
        <f>"&lt;restock&gt;" &amp;$F$9328&amp;"&lt;/restock&gt;"</f>
        <v>&lt;restock&gt;0&lt;/restock&gt;</v>
      </c>
      <c r="B9331" t="s">
        <v>879</v>
      </c>
    </row>
    <row r="9332" spans="1:8" x14ac:dyDescent="0.25">
      <c r="A9332" t="str">
        <f>"&lt;min&gt;" &amp;$G$9328&amp;"&lt;/min&gt;"</f>
        <v>&lt;min&gt;2&lt;/min&gt;</v>
      </c>
      <c r="B9332" t="s">
        <v>879</v>
      </c>
    </row>
    <row r="9333" spans="1:8" x14ac:dyDescent="0.25">
      <c r="A9333" t="s">
        <v>16</v>
      </c>
      <c r="B9333" t="s">
        <v>879</v>
      </c>
    </row>
    <row r="9334" spans="1:8" x14ac:dyDescent="0.25">
      <c r="A9334" t="s">
        <v>17</v>
      </c>
      <c r="B9334" t="s">
        <v>879</v>
      </c>
    </row>
    <row r="9335" spans="1:8" x14ac:dyDescent="0.25">
      <c r="A9335" t="s">
        <v>18</v>
      </c>
      <c r="B9335" t="s">
        <v>879</v>
      </c>
    </row>
    <row r="9336" spans="1:8" x14ac:dyDescent="0.25">
      <c r="A9336" t="str">
        <f xml:space="preserve"> $H$9328</f>
        <v>&lt;flags count_in_cargo="0" count_in_hoarder="0" count_in_map="1" count_in_player="0" crafted="0" deloot="0"/&gt;</v>
      </c>
      <c r="B9336" t="s">
        <v>879</v>
      </c>
    </row>
    <row r="9337" spans="1:8" x14ac:dyDescent="0.25">
      <c r="A9337" t="str">
        <f>"&lt;category name=" &amp;"""" &amp;$C$9328&amp;"""/&gt;"</f>
        <v>&lt;category name="clothes"/&gt;</v>
      </c>
      <c r="B9337" t="s">
        <v>879</v>
      </c>
    </row>
    <row r="9338" spans="1:8" x14ac:dyDescent="0.25">
      <c r="A9338" t="s">
        <v>25</v>
      </c>
      <c r="B9338" t="s">
        <v>879</v>
      </c>
    </row>
    <row r="9339" spans="1:8" x14ac:dyDescent="0.25">
      <c r="A9339" t="s">
        <v>29</v>
      </c>
      <c r="B9339" t="s">
        <v>879</v>
      </c>
    </row>
    <row r="9340" spans="1:8" x14ac:dyDescent="0.25">
      <c r="A9340" t="s">
        <v>22</v>
      </c>
      <c r="B9340" t="s">
        <v>879</v>
      </c>
    </row>
    <row r="9341" spans="1:8" x14ac:dyDescent="0.25">
      <c r="A9341" t="s">
        <v>2118</v>
      </c>
      <c r="B9341" t="s">
        <v>880</v>
      </c>
      <c r="C9341" t="s">
        <v>403</v>
      </c>
      <c r="D9341">
        <v>5</v>
      </c>
      <c r="E9341">
        <v>7200</v>
      </c>
      <c r="F9341">
        <v>0</v>
      </c>
      <c r="G9341">
        <v>2</v>
      </c>
      <c r="H9341" t="s">
        <v>19</v>
      </c>
    </row>
    <row r="9342" spans="1:8" x14ac:dyDescent="0.25">
      <c r="A9342" t="str">
        <f>"&lt;nominal&gt;" &amp;$D$9341&amp;"&lt;/nominal&gt;"</f>
        <v>&lt;nominal&gt;5&lt;/nominal&gt;</v>
      </c>
      <c r="B9342" t="s">
        <v>880</v>
      </c>
    </row>
    <row r="9343" spans="1:8" x14ac:dyDescent="0.25">
      <c r="A9343" t="str">
        <f>"&lt;lifetime&gt;" &amp;$E$9341&amp;"&lt;/lifetime&gt;"</f>
        <v>&lt;lifetime&gt;7200&lt;/lifetime&gt;</v>
      </c>
      <c r="B9343" t="s">
        <v>880</v>
      </c>
    </row>
    <row r="9344" spans="1:8" x14ac:dyDescent="0.25">
      <c r="A9344" t="str">
        <f>"&lt;restock&gt;" &amp;$F$9341&amp;"&lt;/restock&gt;"</f>
        <v>&lt;restock&gt;0&lt;/restock&gt;</v>
      </c>
      <c r="B9344" t="s">
        <v>880</v>
      </c>
    </row>
    <row r="9345" spans="1:8" x14ac:dyDescent="0.25">
      <c r="A9345" t="str">
        <f>"&lt;min&gt;" &amp;$G$9341&amp;"&lt;/min&gt;"</f>
        <v>&lt;min&gt;2&lt;/min&gt;</v>
      </c>
      <c r="B9345" t="s">
        <v>880</v>
      </c>
    </row>
    <row r="9346" spans="1:8" x14ac:dyDescent="0.25">
      <c r="A9346" t="s">
        <v>16</v>
      </c>
      <c r="B9346" t="s">
        <v>880</v>
      </c>
    </row>
    <row r="9347" spans="1:8" x14ac:dyDescent="0.25">
      <c r="A9347" t="s">
        <v>17</v>
      </c>
      <c r="B9347" t="s">
        <v>880</v>
      </c>
    </row>
    <row r="9348" spans="1:8" x14ac:dyDescent="0.25">
      <c r="A9348" t="s">
        <v>18</v>
      </c>
      <c r="B9348" t="s">
        <v>880</v>
      </c>
    </row>
    <row r="9349" spans="1:8" x14ac:dyDescent="0.25">
      <c r="A9349" t="str">
        <f xml:space="preserve"> $H$9341</f>
        <v>&lt;flags count_in_cargo="0" count_in_hoarder="0" count_in_map="1" count_in_player="0" crafted="0" deloot="0"/&gt;</v>
      </c>
      <c r="B9349" t="s">
        <v>880</v>
      </c>
    </row>
    <row r="9350" spans="1:8" x14ac:dyDescent="0.25">
      <c r="A9350" t="str">
        <f>"&lt;category name=" &amp;"""" &amp;$C$9341&amp;"""/&gt;"</f>
        <v>&lt;category name="clothes"/&gt;</v>
      </c>
      <c r="B9350" t="s">
        <v>880</v>
      </c>
    </row>
    <row r="9351" spans="1:8" x14ac:dyDescent="0.25">
      <c r="A9351" t="s">
        <v>25</v>
      </c>
      <c r="B9351" t="s">
        <v>880</v>
      </c>
    </row>
    <row r="9352" spans="1:8" x14ac:dyDescent="0.25">
      <c r="A9352" t="s">
        <v>29</v>
      </c>
      <c r="B9352" t="s">
        <v>880</v>
      </c>
    </row>
    <row r="9353" spans="1:8" x14ac:dyDescent="0.25">
      <c r="A9353" t="s">
        <v>22</v>
      </c>
      <c r="B9353" t="s">
        <v>880</v>
      </c>
    </row>
    <row r="9354" spans="1:8" x14ac:dyDescent="0.25">
      <c r="A9354" t="s">
        <v>2119</v>
      </c>
      <c r="B9354" t="s">
        <v>881</v>
      </c>
      <c r="C9354" t="s">
        <v>403</v>
      </c>
      <c r="D9354">
        <v>5</v>
      </c>
      <c r="E9354">
        <v>7200</v>
      </c>
      <c r="F9354">
        <v>0</v>
      </c>
      <c r="G9354">
        <v>2</v>
      </c>
      <c r="H9354" t="s">
        <v>19</v>
      </c>
    </row>
    <row r="9355" spans="1:8" x14ac:dyDescent="0.25">
      <c r="A9355" t="str">
        <f>"&lt;nominal&gt;" &amp;$D$9354&amp;"&lt;/nominal&gt;"</f>
        <v>&lt;nominal&gt;5&lt;/nominal&gt;</v>
      </c>
      <c r="B9355" t="s">
        <v>881</v>
      </c>
    </row>
    <row r="9356" spans="1:8" x14ac:dyDescent="0.25">
      <c r="A9356" t="str">
        <f>"&lt;lifetime&gt;" &amp;$E$9354&amp;"&lt;/lifetime&gt;"</f>
        <v>&lt;lifetime&gt;7200&lt;/lifetime&gt;</v>
      </c>
      <c r="B9356" t="s">
        <v>881</v>
      </c>
    </row>
    <row r="9357" spans="1:8" x14ac:dyDescent="0.25">
      <c r="A9357" t="str">
        <f>"&lt;restock&gt;" &amp;$F$9354&amp;"&lt;/restock&gt;"</f>
        <v>&lt;restock&gt;0&lt;/restock&gt;</v>
      </c>
      <c r="B9357" t="s">
        <v>881</v>
      </c>
    </row>
    <row r="9358" spans="1:8" x14ac:dyDescent="0.25">
      <c r="A9358" t="str">
        <f>"&lt;min&gt;" &amp;$G$9354&amp;"&lt;/min&gt;"</f>
        <v>&lt;min&gt;2&lt;/min&gt;</v>
      </c>
      <c r="B9358" t="s">
        <v>881</v>
      </c>
    </row>
    <row r="9359" spans="1:8" x14ac:dyDescent="0.25">
      <c r="A9359" t="s">
        <v>16</v>
      </c>
      <c r="B9359" t="s">
        <v>881</v>
      </c>
    </row>
    <row r="9360" spans="1:8" x14ac:dyDescent="0.25">
      <c r="A9360" t="s">
        <v>17</v>
      </c>
      <c r="B9360" t="s">
        <v>881</v>
      </c>
    </row>
    <row r="9361" spans="1:8" x14ac:dyDescent="0.25">
      <c r="A9361" t="s">
        <v>18</v>
      </c>
      <c r="B9361" t="s">
        <v>881</v>
      </c>
    </row>
    <row r="9362" spans="1:8" x14ac:dyDescent="0.25">
      <c r="A9362" t="str">
        <f xml:space="preserve"> $H$9354</f>
        <v>&lt;flags count_in_cargo="0" count_in_hoarder="0" count_in_map="1" count_in_player="0" crafted="0" deloot="0"/&gt;</v>
      </c>
      <c r="B9362" t="s">
        <v>881</v>
      </c>
    </row>
    <row r="9363" spans="1:8" x14ac:dyDescent="0.25">
      <c r="A9363" t="str">
        <f>"&lt;category name=" &amp;"""" &amp;$C$9354&amp;"""/&gt;"</f>
        <v>&lt;category name="clothes"/&gt;</v>
      </c>
      <c r="B9363" t="s">
        <v>881</v>
      </c>
    </row>
    <row r="9364" spans="1:8" x14ac:dyDescent="0.25">
      <c r="A9364" t="s">
        <v>25</v>
      </c>
      <c r="B9364" t="s">
        <v>881</v>
      </c>
    </row>
    <row r="9365" spans="1:8" x14ac:dyDescent="0.25">
      <c r="A9365" t="s">
        <v>39</v>
      </c>
      <c r="B9365" t="s">
        <v>881</v>
      </c>
    </row>
    <row r="9366" spans="1:8" x14ac:dyDescent="0.25">
      <c r="A9366" t="s">
        <v>22</v>
      </c>
      <c r="B9366" t="s">
        <v>881</v>
      </c>
    </row>
    <row r="9367" spans="1:8" x14ac:dyDescent="0.25">
      <c r="A9367" t="s">
        <v>2120</v>
      </c>
      <c r="B9367" t="s">
        <v>882</v>
      </c>
      <c r="C9367" t="s">
        <v>403</v>
      </c>
      <c r="D9367">
        <v>5</v>
      </c>
      <c r="E9367">
        <v>7200</v>
      </c>
      <c r="F9367">
        <v>0</v>
      </c>
      <c r="G9367">
        <v>2</v>
      </c>
      <c r="H9367" t="s">
        <v>19</v>
      </c>
    </row>
    <row r="9368" spans="1:8" x14ac:dyDescent="0.25">
      <c r="A9368" t="str">
        <f>"&lt;nominal&gt;" &amp;$D$9367&amp;"&lt;/nominal&gt;"</f>
        <v>&lt;nominal&gt;5&lt;/nominal&gt;</v>
      </c>
      <c r="B9368" t="s">
        <v>882</v>
      </c>
    </row>
    <row r="9369" spans="1:8" x14ac:dyDescent="0.25">
      <c r="A9369" t="str">
        <f>"&lt;lifetime&gt;" &amp;$E$9367&amp;"&lt;/lifetime&gt;"</f>
        <v>&lt;lifetime&gt;7200&lt;/lifetime&gt;</v>
      </c>
      <c r="B9369" t="s">
        <v>882</v>
      </c>
    </row>
    <row r="9370" spans="1:8" x14ac:dyDescent="0.25">
      <c r="A9370" t="str">
        <f>"&lt;restock&gt;" &amp;$F$9367&amp;"&lt;/restock&gt;"</f>
        <v>&lt;restock&gt;0&lt;/restock&gt;</v>
      </c>
      <c r="B9370" t="s">
        <v>882</v>
      </c>
    </row>
    <row r="9371" spans="1:8" x14ac:dyDescent="0.25">
      <c r="A9371" t="str">
        <f>"&lt;min&gt;" &amp;$G$9367&amp;"&lt;/min&gt;"</f>
        <v>&lt;min&gt;2&lt;/min&gt;</v>
      </c>
      <c r="B9371" t="s">
        <v>882</v>
      </c>
    </row>
    <row r="9372" spans="1:8" x14ac:dyDescent="0.25">
      <c r="A9372" t="s">
        <v>16</v>
      </c>
      <c r="B9372" t="s">
        <v>882</v>
      </c>
    </row>
    <row r="9373" spans="1:8" x14ac:dyDescent="0.25">
      <c r="A9373" t="s">
        <v>17</v>
      </c>
      <c r="B9373" t="s">
        <v>882</v>
      </c>
    </row>
    <row r="9374" spans="1:8" x14ac:dyDescent="0.25">
      <c r="A9374" t="s">
        <v>18</v>
      </c>
      <c r="B9374" t="s">
        <v>882</v>
      </c>
    </row>
    <row r="9375" spans="1:8" x14ac:dyDescent="0.25">
      <c r="A9375" t="str">
        <f xml:space="preserve"> $H$9367</f>
        <v>&lt;flags count_in_cargo="0" count_in_hoarder="0" count_in_map="1" count_in_player="0" crafted="0" deloot="0"/&gt;</v>
      </c>
      <c r="B9375" t="s">
        <v>882</v>
      </c>
    </row>
    <row r="9376" spans="1:8" x14ac:dyDescent="0.25">
      <c r="A9376" t="str">
        <f>"&lt;category name=" &amp;"""" &amp;$C$9367&amp;"""/&gt;"</f>
        <v>&lt;category name="clothes"/&gt;</v>
      </c>
      <c r="B9376" t="s">
        <v>882</v>
      </c>
    </row>
    <row r="9377" spans="1:8" x14ac:dyDescent="0.25">
      <c r="A9377" t="s">
        <v>25</v>
      </c>
      <c r="B9377" t="s">
        <v>882</v>
      </c>
    </row>
    <row r="9378" spans="1:8" x14ac:dyDescent="0.25">
      <c r="A9378" t="s">
        <v>29</v>
      </c>
      <c r="B9378" t="s">
        <v>882</v>
      </c>
    </row>
    <row r="9379" spans="1:8" x14ac:dyDescent="0.25">
      <c r="A9379" t="s">
        <v>22</v>
      </c>
      <c r="B9379" t="s">
        <v>882</v>
      </c>
    </row>
    <row r="9380" spans="1:8" x14ac:dyDescent="0.25">
      <c r="A9380" t="s">
        <v>2121</v>
      </c>
      <c r="B9380" t="s">
        <v>883</v>
      </c>
      <c r="C9380" t="s">
        <v>403</v>
      </c>
      <c r="D9380">
        <v>4</v>
      </c>
      <c r="E9380">
        <v>7200</v>
      </c>
      <c r="F9380">
        <v>0</v>
      </c>
      <c r="G9380">
        <v>2</v>
      </c>
      <c r="H9380" t="s">
        <v>19</v>
      </c>
    </row>
    <row r="9381" spans="1:8" x14ac:dyDescent="0.25">
      <c r="A9381" t="str">
        <f>"&lt;nominal&gt;" &amp;$D$9380&amp;"&lt;/nominal&gt;"</f>
        <v>&lt;nominal&gt;4&lt;/nominal&gt;</v>
      </c>
      <c r="B9381" t="s">
        <v>883</v>
      </c>
    </row>
    <row r="9382" spans="1:8" x14ac:dyDescent="0.25">
      <c r="A9382" t="str">
        <f>"&lt;lifetime&gt;" &amp;$E$9380&amp;"&lt;/lifetime&gt;"</f>
        <v>&lt;lifetime&gt;7200&lt;/lifetime&gt;</v>
      </c>
      <c r="B9382" t="s">
        <v>883</v>
      </c>
    </row>
    <row r="9383" spans="1:8" x14ac:dyDescent="0.25">
      <c r="A9383" t="str">
        <f>"&lt;restock&gt;" &amp;$F$9380&amp;"&lt;/restock&gt;"</f>
        <v>&lt;restock&gt;0&lt;/restock&gt;</v>
      </c>
      <c r="B9383" t="s">
        <v>883</v>
      </c>
    </row>
    <row r="9384" spans="1:8" x14ac:dyDescent="0.25">
      <c r="A9384" t="str">
        <f>"&lt;min&gt;" &amp;$G$9380&amp;"&lt;/min&gt;"</f>
        <v>&lt;min&gt;2&lt;/min&gt;</v>
      </c>
      <c r="B9384" t="s">
        <v>883</v>
      </c>
    </row>
    <row r="9385" spans="1:8" x14ac:dyDescent="0.25">
      <c r="A9385" t="s">
        <v>16</v>
      </c>
      <c r="B9385" t="s">
        <v>883</v>
      </c>
    </row>
    <row r="9386" spans="1:8" x14ac:dyDescent="0.25">
      <c r="A9386" t="s">
        <v>17</v>
      </c>
      <c r="B9386" t="s">
        <v>883</v>
      </c>
    </row>
    <row r="9387" spans="1:8" x14ac:dyDescent="0.25">
      <c r="A9387" t="s">
        <v>18</v>
      </c>
      <c r="B9387" t="s">
        <v>883</v>
      </c>
    </row>
    <row r="9388" spans="1:8" x14ac:dyDescent="0.25">
      <c r="A9388" t="str">
        <f xml:space="preserve"> $H$9380</f>
        <v>&lt;flags count_in_cargo="0" count_in_hoarder="0" count_in_map="1" count_in_player="0" crafted="0" deloot="0"/&gt;</v>
      </c>
      <c r="B9388" t="s">
        <v>883</v>
      </c>
    </row>
    <row r="9389" spans="1:8" x14ac:dyDescent="0.25">
      <c r="A9389" t="str">
        <f>"&lt;category name=" &amp;"""" &amp;$C$9380&amp;"""/&gt;"</f>
        <v>&lt;category name="clothes"/&gt;</v>
      </c>
      <c r="B9389" t="s">
        <v>883</v>
      </c>
    </row>
    <row r="9390" spans="1:8" x14ac:dyDescent="0.25">
      <c r="A9390" t="s">
        <v>25</v>
      </c>
      <c r="B9390" t="s">
        <v>883</v>
      </c>
    </row>
    <row r="9391" spans="1:8" x14ac:dyDescent="0.25">
      <c r="A9391" t="s">
        <v>39</v>
      </c>
      <c r="B9391" t="s">
        <v>883</v>
      </c>
    </row>
    <row r="9392" spans="1:8" x14ac:dyDescent="0.25">
      <c r="A9392" t="s">
        <v>22</v>
      </c>
      <c r="B9392" t="s">
        <v>883</v>
      </c>
    </row>
    <row r="9393" spans="1:8" x14ac:dyDescent="0.25">
      <c r="A9393" t="s">
        <v>2122</v>
      </c>
      <c r="B9393" t="s">
        <v>884</v>
      </c>
      <c r="C9393" t="s">
        <v>403</v>
      </c>
      <c r="D9393">
        <v>30</v>
      </c>
      <c r="E9393">
        <v>5600</v>
      </c>
      <c r="F9393">
        <v>0</v>
      </c>
      <c r="G9393">
        <v>20</v>
      </c>
      <c r="H9393" t="s">
        <v>19</v>
      </c>
    </row>
    <row r="9394" spans="1:8" x14ac:dyDescent="0.25">
      <c r="A9394" t="str">
        <f>"&lt;nominal&gt;" &amp;$D$9393&amp;"&lt;/nominal&gt;"</f>
        <v>&lt;nominal&gt;30&lt;/nominal&gt;</v>
      </c>
      <c r="B9394" t="s">
        <v>884</v>
      </c>
    </row>
    <row r="9395" spans="1:8" x14ac:dyDescent="0.25">
      <c r="A9395" t="str">
        <f>"&lt;lifetime&gt;" &amp;$E$9393&amp;"&lt;/lifetime&gt;"</f>
        <v>&lt;lifetime&gt;5600&lt;/lifetime&gt;</v>
      </c>
      <c r="B9395" t="s">
        <v>884</v>
      </c>
    </row>
    <row r="9396" spans="1:8" x14ac:dyDescent="0.25">
      <c r="A9396" t="str">
        <f>"&lt;restock&gt;" &amp;$F$9393&amp;"&lt;/restock&gt;"</f>
        <v>&lt;restock&gt;0&lt;/restock&gt;</v>
      </c>
      <c r="B9396" t="s">
        <v>884</v>
      </c>
    </row>
    <row r="9397" spans="1:8" x14ac:dyDescent="0.25">
      <c r="A9397" t="str">
        <f>"&lt;min&gt;" &amp;$G$9393&amp;"&lt;/min&gt;"</f>
        <v>&lt;min&gt;20&lt;/min&gt;</v>
      </c>
      <c r="B9397" t="s">
        <v>884</v>
      </c>
    </row>
    <row r="9398" spans="1:8" x14ac:dyDescent="0.25">
      <c r="A9398" t="s">
        <v>16</v>
      </c>
      <c r="B9398" t="s">
        <v>884</v>
      </c>
    </row>
    <row r="9399" spans="1:8" x14ac:dyDescent="0.25">
      <c r="A9399" t="s">
        <v>17</v>
      </c>
      <c r="B9399" t="s">
        <v>884</v>
      </c>
    </row>
    <row r="9400" spans="1:8" x14ac:dyDescent="0.25">
      <c r="A9400" t="s">
        <v>18</v>
      </c>
      <c r="B9400" t="s">
        <v>884</v>
      </c>
    </row>
    <row r="9401" spans="1:8" x14ac:dyDescent="0.25">
      <c r="A9401" t="str">
        <f xml:space="preserve"> $H$9393</f>
        <v>&lt;flags count_in_cargo="0" count_in_hoarder="0" count_in_map="1" count_in_player="0" crafted="0" deloot="0"/&gt;</v>
      </c>
      <c r="B9401" t="s">
        <v>884</v>
      </c>
    </row>
    <row r="9402" spans="1:8" x14ac:dyDescent="0.25">
      <c r="A9402" t="str">
        <f>"&lt;category name=" &amp;"""" &amp;$C$9393&amp;"""/&gt;"</f>
        <v>&lt;category name="clothes"/&gt;</v>
      </c>
      <c r="B9402" t="s">
        <v>884</v>
      </c>
    </row>
    <row r="9403" spans="1:8" x14ac:dyDescent="0.25">
      <c r="A9403" t="s">
        <v>39</v>
      </c>
      <c r="B9403" t="s">
        <v>884</v>
      </c>
    </row>
    <row r="9404" spans="1:8" x14ac:dyDescent="0.25">
      <c r="A9404" t="s">
        <v>40</v>
      </c>
      <c r="B9404" t="s">
        <v>884</v>
      </c>
    </row>
    <row r="9405" spans="1:8" x14ac:dyDescent="0.25">
      <c r="A9405" t="s">
        <v>92</v>
      </c>
      <c r="B9405" t="s">
        <v>884</v>
      </c>
    </row>
    <row r="9406" spans="1:8" x14ac:dyDescent="0.25">
      <c r="A9406" t="s">
        <v>22</v>
      </c>
      <c r="B9406" t="s">
        <v>884</v>
      </c>
    </row>
    <row r="9407" spans="1:8" x14ac:dyDescent="0.25">
      <c r="A9407" t="s">
        <v>2123</v>
      </c>
      <c r="B9407" t="s">
        <v>885</v>
      </c>
      <c r="C9407" t="s">
        <v>403</v>
      </c>
      <c r="D9407">
        <v>30</v>
      </c>
      <c r="E9407">
        <v>5600</v>
      </c>
      <c r="F9407">
        <v>0</v>
      </c>
      <c r="G9407">
        <v>20</v>
      </c>
      <c r="H9407" t="s">
        <v>19</v>
      </c>
    </row>
    <row r="9408" spans="1:8" x14ac:dyDescent="0.25">
      <c r="A9408" t="str">
        <f>"&lt;nominal&gt;" &amp;$D$9407&amp;"&lt;/nominal&gt;"</f>
        <v>&lt;nominal&gt;30&lt;/nominal&gt;</v>
      </c>
      <c r="B9408" t="s">
        <v>885</v>
      </c>
    </row>
    <row r="9409" spans="1:8" x14ac:dyDescent="0.25">
      <c r="A9409" t="str">
        <f>"&lt;lifetime&gt;" &amp;$E$9407&amp;"&lt;/lifetime&gt;"</f>
        <v>&lt;lifetime&gt;5600&lt;/lifetime&gt;</v>
      </c>
      <c r="B9409" t="s">
        <v>885</v>
      </c>
    </row>
    <row r="9410" spans="1:8" x14ac:dyDescent="0.25">
      <c r="A9410" t="str">
        <f>"&lt;restock&gt;" &amp;$F$9407&amp;"&lt;/restock&gt;"</f>
        <v>&lt;restock&gt;0&lt;/restock&gt;</v>
      </c>
      <c r="B9410" t="s">
        <v>885</v>
      </c>
    </row>
    <row r="9411" spans="1:8" x14ac:dyDescent="0.25">
      <c r="A9411" t="str">
        <f>"&lt;min&gt;" &amp;$G$9407&amp;"&lt;/min&gt;"</f>
        <v>&lt;min&gt;20&lt;/min&gt;</v>
      </c>
      <c r="B9411" t="s">
        <v>885</v>
      </c>
    </row>
    <row r="9412" spans="1:8" x14ac:dyDescent="0.25">
      <c r="A9412" t="s">
        <v>16</v>
      </c>
      <c r="B9412" t="s">
        <v>885</v>
      </c>
    </row>
    <row r="9413" spans="1:8" x14ac:dyDescent="0.25">
      <c r="A9413" t="s">
        <v>17</v>
      </c>
      <c r="B9413" t="s">
        <v>885</v>
      </c>
    </row>
    <row r="9414" spans="1:8" x14ac:dyDescent="0.25">
      <c r="A9414" t="s">
        <v>18</v>
      </c>
      <c r="B9414" t="s">
        <v>885</v>
      </c>
    </row>
    <row r="9415" spans="1:8" x14ac:dyDescent="0.25">
      <c r="A9415" t="str">
        <f xml:space="preserve"> $H$9407</f>
        <v>&lt;flags count_in_cargo="0" count_in_hoarder="0" count_in_map="1" count_in_player="0" crafted="0" deloot="0"/&gt;</v>
      </c>
      <c r="B9415" t="s">
        <v>885</v>
      </c>
    </row>
    <row r="9416" spans="1:8" x14ac:dyDescent="0.25">
      <c r="A9416" t="str">
        <f>"&lt;category name=" &amp;"""" &amp;$C$9407&amp;"""/&gt;"</f>
        <v>&lt;category name="clothes"/&gt;</v>
      </c>
      <c r="B9416" t="s">
        <v>885</v>
      </c>
    </row>
    <row r="9417" spans="1:8" x14ac:dyDescent="0.25">
      <c r="A9417" t="s">
        <v>39</v>
      </c>
      <c r="B9417" t="s">
        <v>885</v>
      </c>
    </row>
    <row r="9418" spans="1:8" x14ac:dyDescent="0.25">
      <c r="A9418" t="s">
        <v>40</v>
      </c>
      <c r="B9418" t="s">
        <v>885</v>
      </c>
    </row>
    <row r="9419" spans="1:8" x14ac:dyDescent="0.25">
      <c r="A9419" t="s">
        <v>92</v>
      </c>
      <c r="B9419" t="s">
        <v>885</v>
      </c>
    </row>
    <row r="9420" spans="1:8" x14ac:dyDescent="0.25">
      <c r="A9420" t="s">
        <v>22</v>
      </c>
      <c r="B9420" t="s">
        <v>885</v>
      </c>
    </row>
    <row r="9421" spans="1:8" x14ac:dyDescent="0.25">
      <c r="A9421" t="s">
        <v>2124</v>
      </c>
      <c r="B9421" t="s">
        <v>886</v>
      </c>
      <c r="C9421" t="s">
        <v>403</v>
      </c>
      <c r="D9421">
        <v>30</v>
      </c>
      <c r="E9421">
        <v>5600</v>
      </c>
      <c r="F9421">
        <v>0</v>
      </c>
      <c r="G9421">
        <v>20</v>
      </c>
      <c r="H9421" t="s">
        <v>19</v>
      </c>
    </row>
    <row r="9422" spans="1:8" x14ac:dyDescent="0.25">
      <c r="A9422" t="str">
        <f>"&lt;nominal&gt;" &amp;$D$9421&amp;"&lt;/nominal&gt;"</f>
        <v>&lt;nominal&gt;30&lt;/nominal&gt;</v>
      </c>
      <c r="B9422" t="s">
        <v>886</v>
      </c>
    </row>
    <row r="9423" spans="1:8" x14ac:dyDescent="0.25">
      <c r="A9423" t="str">
        <f>"&lt;lifetime&gt;" &amp;$E$9421&amp;"&lt;/lifetime&gt;"</f>
        <v>&lt;lifetime&gt;5600&lt;/lifetime&gt;</v>
      </c>
      <c r="B9423" t="s">
        <v>886</v>
      </c>
    </row>
    <row r="9424" spans="1:8" x14ac:dyDescent="0.25">
      <c r="A9424" t="str">
        <f>"&lt;restock&gt;" &amp;$F$9421&amp;"&lt;/restock&gt;"</f>
        <v>&lt;restock&gt;0&lt;/restock&gt;</v>
      </c>
      <c r="B9424" t="s">
        <v>886</v>
      </c>
    </row>
    <row r="9425" spans="1:8" x14ac:dyDescent="0.25">
      <c r="A9425" t="str">
        <f>"&lt;min&gt;" &amp;$G$9421&amp;"&lt;/min&gt;"</f>
        <v>&lt;min&gt;20&lt;/min&gt;</v>
      </c>
      <c r="B9425" t="s">
        <v>886</v>
      </c>
    </row>
    <row r="9426" spans="1:8" x14ac:dyDescent="0.25">
      <c r="A9426" t="s">
        <v>16</v>
      </c>
      <c r="B9426" t="s">
        <v>886</v>
      </c>
    </row>
    <row r="9427" spans="1:8" x14ac:dyDescent="0.25">
      <c r="A9427" t="s">
        <v>17</v>
      </c>
      <c r="B9427" t="s">
        <v>886</v>
      </c>
    </row>
    <row r="9428" spans="1:8" x14ac:dyDescent="0.25">
      <c r="A9428" t="s">
        <v>18</v>
      </c>
      <c r="B9428" t="s">
        <v>886</v>
      </c>
    </row>
    <row r="9429" spans="1:8" x14ac:dyDescent="0.25">
      <c r="A9429" t="str">
        <f xml:space="preserve"> $H$9421</f>
        <v>&lt;flags count_in_cargo="0" count_in_hoarder="0" count_in_map="1" count_in_player="0" crafted="0" deloot="0"/&gt;</v>
      </c>
      <c r="B9429" t="s">
        <v>886</v>
      </c>
    </row>
    <row r="9430" spans="1:8" x14ac:dyDescent="0.25">
      <c r="A9430" t="str">
        <f>"&lt;category name=" &amp;"""" &amp;$C$9421&amp;"""/&gt;"</f>
        <v>&lt;category name="clothes"/&gt;</v>
      </c>
      <c r="B9430" t="s">
        <v>886</v>
      </c>
    </row>
    <row r="9431" spans="1:8" x14ac:dyDescent="0.25">
      <c r="A9431" t="s">
        <v>39</v>
      </c>
      <c r="B9431" t="s">
        <v>886</v>
      </c>
    </row>
    <row r="9432" spans="1:8" x14ac:dyDescent="0.25">
      <c r="A9432" t="s">
        <v>40</v>
      </c>
      <c r="B9432" t="s">
        <v>886</v>
      </c>
    </row>
    <row r="9433" spans="1:8" x14ac:dyDescent="0.25">
      <c r="A9433" t="s">
        <v>92</v>
      </c>
      <c r="B9433" t="s">
        <v>886</v>
      </c>
    </row>
    <row r="9434" spans="1:8" x14ac:dyDescent="0.25">
      <c r="A9434" t="s">
        <v>22</v>
      </c>
      <c r="B9434" t="s">
        <v>886</v>
      </c>
    </row>
    <row r="9435" spans="1:8" x14ac:dyDescent="0.25">
      <c r="A9435" t="s">
        <v>2125</v>
      </c>
      <c r="B9435" t="s">
        <v>887</v>
      </c>
      <c r="C9435" t="s">
        <v>403</v>
      </c>
      <c r="D9435">
        <v>30</v>
      </c>
      <c r="E9435">
        <v>5600</v>
      </c>
      <c r="F9435">
        <v>0</v>
      </c>
      <c r="G9435">
        <v>20</v>
      </c>
      <c r="H9435" t="s">
        <v>19</v>
      </c>
    </row>
    <row r="9436" spans="1:8" x14ac:dyDescent="0.25">
      <c r="A9436" t="str">
        <f>"&lt;nominal&gt;" &amp;$D$9435&amp;"&lt;/nominal&gt;"</f>
        <v>&lt;nominal&gt;30&lt;/nominal&gt;</v>
      </c>
      <c r="B9436" t="s">
        <v>887</v>
      </c>
    </row>
    <row r="9437" spans="1:8" x14ac:dyDescent="0.25">
      <c r="A9437" t="str">
        <f>"&lt;lifetime&gt;" &amp;$E$9435&amp;"&lt;/lifetime&gt;"</f>
        <v>&lt;lifetime&gt;5600&lt;/lifetime&gt;</v>
      </c>
      <c r="B9437" t="s">
        <v>887</v>
      </c>
    </row>
    <row r="9438" spans="1:8" x14ac:dyDescent="0.25">
      <c r="A9438" t="str">
        <f>"&lt;restock&gt;" &amp;$F$9435&amp;"&lt;/restock&gt;"</f>
        <v>&lt;restock&gt;0&lt;/restock&gt;</v>
      </c>
      <c r="B9438" t="s">
        <v>887</v>
      </c>
    </row>
    <row r="9439" spans="1:8" x14ac:dyDescent="0.25">
      <c r="A9439" t="str">
        <f>"&lt;min&gt;" &amp;$G$9435&amp;"&lt;/min&gt;"</f>
        <v>&lt;min&gt;20&lt;/min&gt;</v>
      </c>
      <c r="B9439" t="s">
        <v>887</v>
      </c>
    </row>
    <row r="9440" spans="1:8" x14ac:dyDescent="0.25">
      <c r="A9440" t="s">
        <v>16</v>
      </c>
      <c r="B9440" t="s">
        <v>887</v>
      </c>
    </row>
    <row r="9441" spans="1:8" x14ac:dyDescent="0.25">
      <c r="A9441" t="s">
        <v>17</v>
      </c>
      <c r="B9441" t="s">
        <v>887</v>
      </c>
    </row>
    <row r="9442" spans="1:8" x14ac:dyDescent="0.25">
      <c r="A9442" t="s">
        <v>18</v>
      </c>
      <c r="B9442" t="s">
        <v>887</v>
      </c>
    </row>
    <row r="9443" spans="1:8" x14ac:dyDescent="0.25">
      <c r="A9443" t="str">
        <f xml:space="preserve"> $H$9435</f>
        <v>&lt;flags count_in_cargo="0" count_in_hoarder="0" count_in_map="1" count_in_player="0" crafted="0" deloot="0"/&gt;</v>
      </c>
      <c r="B9443" t="s">
        <v>887</v>
      </c>
    </row>
    <row r="9444" spans="1:8" x14ac:dyDescent="0.25">
      <c r="A9444" t="str">
        <f>"&lt;category name=" &amp;"""" &amp;$C$9435&amp;"""/&gt;"</f>
        <v>&lt;category name="clothes"/&gt;</v>
      </c>
      <c r="B9444" t="s">
        <v>887</v>
      </c>
    </row>
    <row r="9445" spans="1:8" x14ac:dyDescent="0.25">
      <c r="A9445" t="s">
        <v>39</v>
      </c>
      <c r="B9445" t="s">
        <v>887</v>
      </c>
    </row>
    <row r="9446" spans="1:8" x14ac:dyDescent="0.25">
      <c r="A9446" t="s">
        <v>40</v>
      </c>
      <c r="B9446" t="s">
        <v>887</v>
      </c>
    </row>
    <row r="9447" spans="1:8" x14ac:dyDescent="0.25">
      <c r="A9447" t="s">
        <v>92</v>
      </c>
      <c r="B9447" t="s">
        <v>887</v>
      </c>
    </row>
    <row r="9448" spans="1:8" x14ac:dyDescent="0.25">
      <c r="A9448" t="s">
        <v>22</v>
      </c>
      <c r="B9448" t="s">
        <v>887</v>
      </c>
    </row>
    <row r="9449" spans="1:8" x14ac:dyDescent="0.25">
      <c r="A9449" t="s">
        <v>2126</v>
      </c>
      <c r="B9449" t="s">
        <v>888</v>
      </c>
      <c r="C9449" t="s">
        <v>403</v>
      </c>
      <c r="D9449">
        <v>15</v>
      </c>
      <c r="E9449">
        <v>5600</v>
      </c>
      <c r="F9449">
        <v>0</v>
      </c>
      <c r="G9449">
        <v>10</v>
      </c>
      <c r="H9449" t="s">
        <v>19</v>
      </c>
    </row>
    <row r="9450" spans="1:8" x14ac:dyDescent="0.25">
      <c r="A9450" t="str">
        <f>"&lt;nominal&gt;" &amp;$D$9449&amp;"&lt;/nominal&gt;"</f>
        <v>&lt;nominal&gt;15&lt;/nominal&gt;</v>
      </c>
      <c r="B9450" t="s">
        <v>888</v>
      </c>
    </row>
    <row r="9451" spans="1:8" x14ac:dyDescent="0.25">
      <c r="A9451" t="str">
        <f>"&lt;lifetime&gt;" &amp;$E$9449&amp;"&lt;/lifetime&gt;"</f>
        <v>&lt;lifetime&gt;5600&lt;/lifetime&gt;</v>
      </c>
      <c r="B9451" t="s">
        <v>888</v>
      </c>
    </row>
    <row r="9452" spans="1:8" x14ac:dyDescent="0.25">
      <c r="A9452" t="str">
        <f>"&lt;restock&gt;" &amp;$F$9449&amp;"&lt;/restock&gt;"</f>
        <v>&lt;restock&gt;0&lt;/restock&gt;</v>
      </c>
      <c r="B9452" t="s">
        <v>888</v>
      </c>
    </row>
    <row r="9453" spans="1:8" x14ac:dyDescent="0.25">
      <c r="A9453" t="str">
        <f>"&lt;min&gt;" &amp;$G$9449&amp;"&lt;/min&gt;"</f>
        <v>&lt;min&gt;10&lt;/min&gt;</v>
      </c>
      <c r="B9453" t="s">
        <v>888</v>
      </c>
    </row>
    <row r="9454" spans="1:8" x14ac:dyDescent="0.25">
      <c r="A9454" t="s">
        <v>16</v>
      </c>
      <c r="B9454" t="s">
        <v>888</v>
      </c>
    </row>
    <row r="9455" spans="1:8" x14ac:dyDescent="0.25">
      <c r="A9455" t="s">
        <v>17</v>
      </c>
      <c r="B9455" t="s">
        <v>888</v>
      </c>
    </row>
    <row r="9456" spans="1:8" x14ac:dyDescent="0.25">
      <c r="A9456" t="s">
        <v>18</v>
      </c>
      <c r="B9456" t="s">
        <v>888</v>
      </c>
    </row>
    <row r="9457" spans="1:8" x14ac:dyDescent="0.25">
      <c r="A9457" t="str">
        <f xml:space="preserve"> $H$9449</f>
        <v>&lt;flags count_in_cargo="0" count_in_hoarder="0" count_in_map="1" count_in_player="0" crafted="0" deloot="0"/&gt;</v>
      </c>
      <c r="B9457" t="s">
        <v>888</v>
      </c>
    </row>
    <row r="9458" spans="1:8" x14ac:dyDescent="0.25">
      <c r="A9458" t="str">
        <f>"&lt;category name=" &amp;"""" &amp;$C$9449&amp;"""/&gt;"</f>
        <v>&lt;category name="clothes"/&gt;</v>
      </c>
      <c r="B9458" t="s">
        <v>888</v>
      </c>
    </row>
    <row r="9459" spans="1:8" x14ac:dyDescent="0.25">
      <c r="A9459" t="s">
        <v>39</v>
      </c>
      <c r="B9459" t="s">
        <v>888</v>
      </c>
    </row>
    <row r="9460" spans="1:8" x14ac:dyDescent="0.25">
      <c r="A9460" t="s">
        <v>40</v>
      </c>
      <c r="B9460" t="s">
        <v>888</v>
      </c>
    </row>
    <row r="9461" spans="1:8" x14ac:dyDescent="0.25">
      <c r="A9461" t="s">
        <v>92</v>
      </c>
      <c r="B9461" t="s">
        <v>888</v>
      </c>
    </row>
    <row r="9462" spans="1:8" x14ac:dyDescent="0.25">
      <c r="A9462" t="s">
        <v>22</v>
      </c>
      <c r="B9462" t="s">
        <v>888</v>
      </c>
    </row>
    <row r="9463" spans="1:8" x14ac:dyDescent="0.25">
      <c r="A9463" t="s">
        <v>2127</v>
      </c>
      <c r="B9463" t="s">
        <v>889</v>
      </c>
      <c r="C9463" t="s">
        <v>403</v>
      </c>
      <c r="D9463">
        <v>15</v>
      </c>
      <c r="E9463">
        <v>5600</v>
      </c>
      <c r="F9463">
        <v>0</v>
      </c>
      <c r="G9463">
        <v>10</v>
      </c>
      <c r="H9463" t="s">
        <v>19</v>
      </c>
    </row>
    <row r="9464" spans="1:8" x14ac:dyDescent="0.25">
      <c r="A9464" t="str">
        <f>"&lt;nominal&gt;" &amp;$D$9463&amp;"&lt;/nominal&gt;"</f>
        <v>&lt;nominal&gt;15&lt;/nominal&gt;</v>
      </c>
      <c r="B9464" t="s">
        <v>889</v>
      </c>
    </row>
    <row r="9465" spans="1:8" x14ac:dyDescent="0.25">
      <c r="A9465" t="str">
        <f>"&lt;lifetime&gt;" &amp;$E$9463&amp;"&lt;/lifetime&gt;"</f>
        <v>&lt;lifetime&gt;5600&lt;/lifetime&gt;</v>
      </c>
      <c r="B9465" t="s">
        <v>889</v>
      </c>
    </row>
    <row r="9466" spans="1:8" x14ac:dyDescent="0.25">
      <c r="A9466" t="str">
        <f>"&lt;restock&gt;" &amp;$F$9463&amp;"&lt;/restock&gt;"</f>
        <v>&lt;restock&gt;0&lt;/restock&gt;</v>
      </c>
      <c r="B9466" t="s">
        <v>889</v>
      </c>
    </row>
    <row r="9467" spans="1:8" x14ac:dyDescent="0.25">
      <c r="A9467" t="str">
        <f>"&lt;min&gt;" &amp;$G$9463&amp;"&lt;/min&gt;"</f>
        <v>&lt;min&gt;10&lt;/min&gt;</v>
      </c>
      <c r="B9467" t="s">
        <v>889</v>
      </c>
    </row>
    <row r="9468" spans="1:8" x14ac:dyDescent="0.25">
      <c r="A9468" t="s">
        <v>16</v>
      </c>
      <c r="B9468" t="s">
        <v>889</v>
      </c>
    </row>
    <row r="9469" spans="1:8" x14ac:dyDescent="0.25">
      <c r="A9469" t="s">
        <v>17</v>
      </c>
      <c r="B9469" t="s">
        <v>889</v>
      </c>
    </row>
    <row r="9470" spans="1:8" x14ac:dyDescent="0.25">
      <c r="A9470" t="s">
        <v>18</v>
      </c>
      <c r="B9470" t="s">
        <v>889</v>
      </c>
    </row>
    <row r="9471" spans="1:8" x14ac:dyDescent="0.25">
      <c r="A9471" t="str">
        <f xml:space="preserve"> $H$9463</f>
        <v>&lt;flags count_in_cargo="0" count_in_hoarder="0" count_in_map="1" count_in_player="0" crafted="0" deloot="0"/&gt;</v>
      </c>
      <c r="B9471" t="s">
        <v>889</v>
      </c>
    </row>
    <row r="9472" spans="1:8" x14ac:dyDescent="0.25">
      <c r="A9472" t="str">
        <f>"&lt;category name=" &amp;"""" &amp;$C$9463&amp;"""/&gt;"</f>
        <v>&lt;category name="clothes"/&gt;</v>
      </c>
      <c r="B9472" t="s">
        <v>889</v>
      </c>
    </row>
    <row r="9473" spans="1:8" x14ac:dyDescent="0.25">
      <c r="A9473" t="s">
        <v>39</v>
      </c>
      <c r="B9473" t="s">
        <v>889</v>
      </c>
    </row>
    <row r="9474" spans="1:8" x14ac:dyDescent="0.25">
      <c r="A9474" t="s">
        <v>40</v>
      </c>
      <c r="B9474" t="s">
        <v>889</v>
      </c>
    </row>
    <row r="9475" spans="1:8" x14ac:dyDescent="0.25">
      <c r="A9475" t="s">
        <v>92</v>
      </c>
      <c r="B9475" t="s">
        <v>889</v>
      </c>
    </row>
    <row r="9476" spans="1:8" x14ac:dyDescent="0.25">
      <c r="A9476" t="s">
        <v>22</v>
      </c>
      <c r="B9476" t="s">
        <v>889</v>
      </c>
    </row>
    <row r="9477" spans="1:8" x14ac:dyDescent="0.25">
      <c r="A9477" t="s">
        <v>2128</v>
      </c>
      <c r="B9477" t="s">
        <v>890</v>
      </c>
      <c r="C9477" t="s">
        <v>403</v>
      </c>
      <c r="D9477">
        <v>30</v>
      </c>
      <c r="E9477">
        <v>5600</v>
      </c>
      <c r="F9477">
        <v>0</v>
      </c>
      <c r="G9477">
        <v>20</v>
      </c>
      <c r="H9477" t="s">
        <v>19</v>
      </c>
    </row>
    <row r="9478" spans="1:8" x14ac:dyDescent="0.25">
      <c r="A9478" t="str">
        <f>"&lt;nominal&gt;" &amp;$D$9477&amp;"&lt;/nominal&gt;"</f>
        <v>&lt;nominal&gt;30&lt;/nominal&gt;</v>
      </c>
      <c r="B9478" t="s">
        <v>890</v>
      </c>
    </row>
    <row r="9479" spans="1:8" x14ac:dyDescent="0.25">
      <c r="A9479" t="str">
        <f>"&lt;lifetime&gt;" &amp;$E$9477&amp;"&lt;/lifetime&gt;"</f>
        <v>&lt;lifetime&gt;5600&lt;/lifetime&gt;</v>
      </c>
      <c r="B9479" t="s">
        <v>890</v>
      </c>
    </row>
    <row r="9480" spans="1:8" x14ac:dyDescent="0.25">
      <c r="A9480" t="str">
        <f>"&lt;restock&gt;" &amp;$F$9477&amp;"&lt;/restock&gt;"</f>
        <v>&lt;restock&gt;0&lt;/restock&gt;</v>
      </c>
      <c r="B9480" t="s">
        <v>890</v>
      </c>
    </row>
    <row r="9481" spans="1:8" x14ac:dyDescent="0.25">
      <c r="A9481" t="str">
        <f>"&lt;min&gt;" &amp;$G$9477&amp;"&lt;/min&gt;"</f>
        <v>&lt;min&gt;20&lt;/min&gt;</v>
      </c>
      <c r="B9481" t="s">
        <v>890</v>
      </c>
    </row>
    <row r="9482" spans="1:8" x14ac:dyDescent="0.25">
      <c r="A9482" t="s">
        <v>16</v>
      </c>
      <c r="B9482" t="s">
        <v>890</v>
      </c>
    </row>
    <row r="9483" spans="1:8" x14ac:dyDescent="0.25">
      <c r="A9483" t="s">
        <v>17</v>
      </c>
      <c r="B9483" t="s">
        <v>890</v>
      </c>
    </row>
    <row r="9484" spans="1:8" x14ac:dyDescent="0.25">
      <c r="A9484" t="s">
        <v>18</v>
      </c>
      <c r="B9484" t="s">
        <v>890</v>
      </c>
    </row>
    <row r="9485" spans="1:8" x14ac:dyDescent="0.25">
      <c r="A9485" t="str">
        <f xml:space="preserve"> $H$9477</f>
        <v>&lt;flags count_in_cargo="0" count_in_hoarder="0" count_in_map="1" count_in_player="0" crafted="0" deloot="0"/&gt;</v>
      </c>
      <c r="B9485" t="s">
        <v>890</v>
      </c>
    </row>
    <row r="9486" spans="1:8" x14ac:dyDescent="0.25">
      <c r="A9486" t="str">
        <f>"&lt;category name=" &amp;"""" &amp;$C$9477&amp;"""/&gt;"</f>
        <v>&lt;category name="clothes"/&gt;</v>
      </c>
      <c r="B9486" t="s">
        <v>890</v>
      </c>
    </row>
    <row r="9487" spans="1:8" x14ac:dyDescent="0.25">
      <c r="A9487" t="s">
        <v>39</v>
      </c>
      <c r="B9487" t="s">
        <v>890</v>
      </c>
    </row>
    <row r="9488" spans="1:8" x14ac:dyDescent="0.25">
      <c r="A9488" t="s">
        <v>40</v>
      </c>
      <c r="B9488" t="s">
        <v>890</v>
      </c>
    </row>
    <row r="9489" spans="1:8" x14ac:dyDescent="0.25">
      <c r="A9489" t="s">
        <v>92</v>
      </c>
      <c r="B9489" t="s">
        <v>890</v>
      </c>
    </row>
    <row r="9490" spans="1:8" x14ac:dyDescent="0.25">
      <c r="A9490" t="s">
        <v>22</v>
      </c>
      <c r="B9490" t="s">
        <v>890</v>
      </c>
    </row>
    <row r="9491" spans="1:8" x14ac:dyDescent="0.25">
      <c r="A9491" t="s">
        <v>2129</v>
      </c>
      <c r="B9491" t="s">
        <v>891</v>
      </c>
      <c r="C9491" t="s">
        <v>403</v>
      </c>
      <c r="D9491">
        <v>30</v>
      </c>
      <c r="E9491">
        <v>5600</v>
      </c>
      <c r="F9491">
        <v>0</v>
      </c>
      <c r="G9491">
        <v>20</v>
      </c>
      <c r="H9491" t="s">
        <v>19</v>
      </c>
    </row>
    <row r="9492" spans="1:8" x14ac:dyDescent="0.25">
      <c r="A9492" t="str">
        <f>"&lt;nominal&gt;" &amp;$D$9491&amp;"&lt;/nominal&gt;"</f>
        <v>&lt;nominal&gt;30&lt;/nominal&gt;</v>
      </c>
      <c r="B9492" t="s">
        <v>891</v>
      </c>
    </row>
    <row r="9493" spans="1:8" x14ac:dyDescent="0.25">
      <c r="A9493" t="str">
        <f>"&lt;lifetime&gt;" &amp;$E$9491&amp;"&lt;/lifetime&gt;"</f>
        <v>&lt;lifetime&gt;5600&lt;/lifetime&gt;</v>
      </c>
      <c r="B9493" t="s">
        <v>891</v>
      </c>
    </row>
    <row r="9494" spans="1:8" x14ac:dyDescent="0.25">
      <c r="A9494" t="str">
        <f>"&lt;restock&gt;" &amp;$F$9491&amp;"&lt;/restock&gt;"</f>
        <v>&lt;restock&gt;0&lt;/restock&gt;</v>
      </c>
      <c r="B9494" t="s">
        <v>891</v>
      </c>
    </row>
    <row r="9495" spans="1:8" x14ac:dyDescent="0.25">
      <c r="A9495" t="str">
        <f>"&lt;min&gt;" &amp;$G$9491&amp;"&lt;/min&gt;"</f>
        <v>&lt;min&gt;20&lt;/min&gt;</v>
      </c>
      <c r="B9495" t="s">
        <v>891</v>
      </c>
    </row>
    <row r="9496" spans="1:8" x14ac:dyDescent="0.25">
      <c r="A9496" t="s">
        <v>16</v>
      </c>
      <c r="B9496" t="s">
        <v>891</v>
      </c>
    </row>
    <row r="9497" spans="1:8" x14ac:dyDescent="0.25">
      <c r="A9497" t="s">
        <v>17</v>
      </c>
      <c r="B9497" t="s">
        <v>891</v>
      </c>
    </row>
    <row r="9498" spans="1:8" x14ac:dyDescent="0.25">
      <c r="A9498" t="s">
        <v>18</v>
      </c>
      <c r="B9498" t="s">
        <v>891</v>
      </c>
    </row>
    <row r="9499" spans="1:8" x14ac:dyDescent="0.25">
      <c r="A9499" t="str">
        <f xml:space="preserve"> $H$9491</f>
        <v>&lt;flags count_in_cargo="0" count_in_hoarder="0" count_in_map="1" count_in_player="0" crafted="0" deloot="0"/&gt;</v>
      </c>
      <c r="B9499" t="s">
        <v>891</v>
      </c>
    </row>
    <row r="9500" spans="1:8" x14ac:dyDescent="0.25">
      <c r="A9500" t="str">
        <f>"&lt;category name=" &amp;"""" &amp;$C$9491&amp;"""/&gt;"</f>
        <v>&lt;category name="clothes"/&gt;</v>
      </c>
      <c r="B9500" t="s">
        <v>891</v>
      </c>
    </row>
    <row r="9501" spans="1:8" x14ac:dyDescent="0.25">
      <c r="A9501" t="s">
        <v>39</v>
      </c>
      <c r="B9501" t="s">
        <v>891</v>
      </c>
    </row>
    <row r="9502" spans="1:8" x14ac:dyDescent="0.25">
      <c r="A9502" t="s">
        <v>40</v>
      </c>
      <c r="B9502" t="s">
        <v>891</v>
      </c>
    </row>
    <row r="9503" spans="1:8" x14ac:dyDescent="0.25">
      <c r="A9503" t="s">
        <v>92</v>
      </c>
      <c r="B9503" t="s">
        <v>891</v>
      </c>
    </row>
    <row r="9504" spans="1:8" x14ac:dyDescent="0.25">
      <c r="A9504" t="s">
        <v>22</v>
      </c>
      <c r="B9504" t="s">
        <v>891</v>
      </c>
    </row>
    <row r="9505" spans="1:8" x14ac:dyDescent="0.25">
      <c r="A9505" t="s">
        <v>2130</v>
      </c>
      <c r="B9505" t="s">
        <v>892</v>
      </c>
      <c r="C9505" t="s">
        <v>426</v>
      </c>
      <c r="D9505">
        <v>15</v>
      </c>
      <c r="E9505">
        <v>10800</v>
      </c>
      <c r="F9505">
        <v>0</v>
      </c>
      <c r="G9505">
        <v>8</v>
      </c>
      <c r="H9505" t="s">
        <v>19</v>
      </c>
    </row>
    <row r="9506" spans="1:8" x14ac:dyDescent="0.25">
      <c r="A9506" t="str">
        <f>"&lt;nominal&gt;" &amp;$D$9505&amp;"&lt;/nominal&gt;"</f>
        <v>&lt;nominal&gt;15&lt;/nominal&gt;</v>
      </c>
      <c r="B9506" t="s">
        <v>892</v>
      </c>
    </row>
    <row r="9507" spans="1:8" x14ac:dyDescent="0.25">
      <c r="A9507" t="str">
        <f>"&lt;lifetime&gt;" &amp;$E$9505&amp;"&lt;/lifetime&gt;"</f>
        <v>&lt;lifetime&gt;10800&lt;/lifetime&gt;</v>
      </c>
      <c r="B9507" t="s">
        <v>892</v>
      </c>
    </row>
    <row r="9508" spans="1:8" x14ac:dyDescent="0.25">
      <c r="A9508" t="str">
        <f>"&lt;restock&gt;" &amp;$F$9505&amp;"&lt;/restock&gt;"</f>
        <v>&lt;restock&gt;0&lt;/restock&gt;</v>
      </c>
      <c r="B9508" t="s">
        <v>892</v>
      </c>
    </row>
    <row r="9509" spans="1:8" x14ac:dyDescent="0.25">
      <c r="A9509" t="str">
        <f>"&lt;min&gt;" &amp;$G$9505&amp;"&lt;/min&gt;"</f>
        <v>&lt;min&gt;8&lt;/min&gt;</v>
      </c>
      <c r="B9509" t="s">
        <v>892</v>
      </c>
    </row>
    <row r="9510" spans="1:8" x14ac:dyDescent="0.25">
      <c r="A9510" t="s">
        <v>16</v>
      </c>
      <c r="B9510" t="s">
        <v>892</v>
      </c>
    </row>
    <row r="9511" spans="1:8" x14ac:dyDescent="0.25">
      <c r="A9511" t="s">
        <v>17</v>
      </c>
      <c r="B9511" t="s">
        <v>892</v>
      </c>
    </row>
    <row r="9512" spans="1:8" x14ac:dyDescent="0.25">
      <c r="A9512" t="s">
        <v>18</v>
      </c>
      <c r="B9512" t="s">
        <v>892</v>
      </c>
    </row>
    <row r="9513" spans="1:8" x14ac:dyDescent="0.25">
      <c r="A9513" t="str">
        <f xml:space="preserve"> $H$9505</f>
        <v>&lt;flags count_in_cargo="0" count_in_hoarder="0" count_in_map="1" count_in_player="0" crafted="0" deloot="0"/&gt;</v>
      </c>
      <c r="B9513" t="s">
        <v>892</v>
      </c>
    </row>
    <row r="9514" spans="1:8" x14ac:dyDescent="0.25">
      <c r="A9514" t="str">
        <f>"&lt;category name=" &amp;"""" &amp;$C$9505&amp;"""/&gt;"</f>
        <v>&lt;category name="tools"/&gt;</v>
      </c>
      <c r="B9514" t="s">
        <v>892</v>
      </c>
    </row>
    <row r="9515" spans="1:8" x14ac:dyDescent="0.25">
      <c r="A9515" t="s">
        <v>20</v>
      </c>
      <c r="B9515" t="s">
        <v>892</v>
      </c>
    </row>
    <row r="9516" spans="1:8" x14ac:dyDescent="0.25">
      <c r="A9516" t="s">
        <v>21</v>
      </c>
      <c r="B9516" t="s">
        <v>892</v>
      </c>
    </row>
    <row r="9517" spans="1:8" x14ac:dyDescent="0.25">
      <c r="A9517" t="s">
        <v>22</v>
      </c>
      <c r="B9517" t="s">
        <v>892</v>
      </c>
    </row>
    <row r="9518" spans="1:8" x14ac:dyDescent="0.25">
      <c r="A9518" t="s">
        <v>2131</v>
      </c>
      <c r="B9518" t="s">
        <v>893</v>
      </c>
      <c r="C9518" t="s">
        <v>8</v>
      </c>
      <c r="D9518">
        <v>20</v>
      </c>
      <c r="E9518">
        <v>7200</v>
      </c>
      <c r="F9518">
        <v>0</v>
      </c>
      <c r="G9518">
        <v>10</v>
      </c>
      <c r="H9518" t="s">
        <v>19</v>
      </c>
    </row>
    <row r="9519" spans="1:8" x14ac:dyDescent="0.25">
      <c r="A9519" t="str">
        <f>"&lt;nominal&gt;" &amp;$D$9518&amp;"&lt;/nominal&gt;"</f>
        <v>&lt;nominal&gt;20&lt;/nominal&gt;</v>
      </c>
      <c r="B9519" t="s">
        <v>893</v>
      </c>
    </row>
    <row r="9520" spans="1:8" x14ac:dyDescent="0.25">
      <c r="A9520" t="str">
        <f>"&lt;lifetime&gt;" &amp;$E$9518&amp;"&lt;/lifetime&gt;"</f>
        <v>&lt;lifetime&gt;7200&lt;/lifetime&gt;</v>
      </c>
      <c r="B9520" t="s">
        <v>893</v>
      </c>
    </row>
    <row r="9521" spans="1:8" x14ac:dyDescent="0.25">
      <c r="A9521" t="str">
        <f>"&lt;restock&gt;" &amp;$F$9518&amp;"&lt;/restock&gt;"</f>
        <v>&lt;restock&gt;0&lt;/restock&gt;</v>
      </c>
      <c r="B9521" t="s">
        <v>893</v>
      </c>
    </row>
    <row r="9522" spans="1:8" x14ac:dyDescent="0.25">
      <c r="A9522" t="str">
        <f>"&lt;min&gt;" &amp;$G$9518&amp;"&lt;/min&gt;"</f>
        <v>&lt;min&gt;10&lt;/min&gt;</v>
      </c>
      <c r="B9522" t="s">
        <v>893</v>
      </c>
    </row>
    <row r="9523" spans="1:8" x14ac:dyDescent="0.25">
      <c r="A9523" t="s">
        <v>16</v>
      </c>
      <c r="B9523" t="s">
        <v>893</v>
      </c>
    </row>
    <row r="9524" spans="1:8" x14ac:dyDescent="0.25">
      <c r="A9524" t="s">
        <v>17</v>
      </c>
      <c r="B9524" t="s">
        <v>893</v>
      </c>
    </row>
    <row r="9525" spans="1:8" x14ac:dyDescent="0.25">
      <c r="A9525" t="s">
        <v>18</v>
      </c>
      <c r="B9525" t="s">
        <v>893</v>
      </c>
    </row>
    <row r="9526" spans="1:8" x14ac:dyDescent="0.25">
      <c r="A9526" t="str">
        <f xml:space="preserve"> $H$9518</f>
        <v>&lt;flags count_in_cargo="0" count_in_hoarder="0" count_in_map="1" count_in_player="0" crafted="0" deloot="0"/&gt;</v>
      </c>
      <c r="B9526" t="s">
        <v>893</v>
      </c>
    </row>
    <row r="9527" spans="1:8" x14ac:dyDescent="0.25">
      <c r="A9527" t="str">
        <f>"&lt;category name=" &amp;"""" &amp;$C$9518&amp;"""/&gt;"</f>
        <v>&lt;category name="weapons"/&gt;</v>
      </c>
      <c r="B9527" t="s">
        <v>893</v>
      </c>
    </row>
    <row r="9528" spans="1:8" x14ac:dyDescent="0.25">
      <c r="A9528" t="s">
        <v>39</v>
      </c>
      <c r="B9528" t="s">
        <v>893</v>
      </c>
    </row>
    <row r="9529" spans="1:8" x14ac:dyDescent="0.25">
      <c r="A9529" t="s">
        <v>40</v>
      </c>
      <c r="B9529" t="s">
        <v>893</v>
      </c>
    </row>
    <row r="9530" spans="1:8" x14ac:dyDescent="0.25">
      <c r="A9530" t="s">
        <v>67</v>
      </c>
      <c r="B9530" t="s">
        <v>893</v>
      </c>
    </row>
    <row r="9531" spans="1:8" x14ac:dyDescent="0.25">
      <c r="A9531" t="s">
        <v>30</v>
      </c>
      <c r="B9531" t="s">
        <v>893</v>
      </c>
    </row>
    <row r="9532" spans="1:8" x14ac:dyDescent="0.25">
      <c r="A9532" t="s">
        <v>31</v>
      </c>
      <c r="B9532" t="s">
        <v>893</v>
      </c>
    </row>
    <row r="9533" spans="1:8" x14ac:dyDescent="0.25">
      <c r="A9533" t="s">
        <v>22</v>
      </c>
      <c r="B9533" t="s">
        <v>893</v>
      </c>
    </row>
    <row r="9534" spans="1:8" x14ac:dyDescent="0.25">
      <c r="A9534" t="s">
        <v>2132</v>
      </c>
      <c r="B9534" t="s">
        <v>2999</v>
      </c>
      <c r="C9534" t="s">
        <v>8</v>
      </c>
      <c r="D9534">
        <v>0</v>
      </c>
      <c r="E9534">
        <v>7200</v>
      </c>
      <c r="F9534">
        <v>0</v>
      </c>
      <c r="G9534">
        <v>0</v>
      </c>
      <c r="H9534" t="s">
        <v>62</v>
      </c>
    </row>
    <row r="9535" spans="1:8" x14ac:dyDescent="0.25">
      <c r="A9535" t="str">
        <f>"&lt;nominal&gt;" &amp;$D$9534&amp;"&lt;/nominal&gt;"</f>
        <v>&lt;nominal&gt;0&lt;/nominal&gt;</v>
      </c>
      <c r="B9535" t="s">
        <v>2999</v>
      </c>
    </row>
    <row r="9536" spans="1:8" x14ac:dyDescent="0.25">
      <c r="A9536" t="str">
        <f>"&lt;lifetime&gt;" &amp;$E$9534&amp;"&lt;/lifetime&gt;"</f>
        <v>&lt;lifetime&gt;7200&lt;/lifetime&gt;</v>
      </c>
      <c r="B9536" t="s">
        <v>2999</v>
      </c>
    </row>
    <row r="9537" spans="1:8" x14ac:dyDescent="0.25">
      <c r="A9537" t="str">
        <f>"&lt;restock&gt;" &amp;$F$9534&amp;"&lt;/restock&gt;"</f>
        <v>&lt;restock&gt;0&lt;/restock&gt;</v>
      </c>
      <c r="B9537" t="s">
        <v>2999</v>
      </c>
    </row>
    <row r="9538" spans="1:8" x14ac:dyDescent="0.25">
      <c r="A9538" t="str">
        <f>"&lt;min&gt;" &amp;$G$9534&amp;"&lt;/min&gt;"</f>
        <v>&lt;min&gt;0&lt;/min&gt;</v>
      </c>
      <c r="B9538" t="s">
        <v>2999</v>
      </c>
    </row>
    <row r="9539" spans="1:8" x14ac:dyDescent="0.25">
      <c r="A9539" t="s">
        <v>16</v>
      </c>
      <c r="B9539" t="s">
        <v>2999</v>
      </c>
    </row>
    <row r="9540" spans="1:8" x14ac:dyDescent="0.25">
      <c r="A9540" t="s">
        <v>17</v>
      </c>
      <c r="B9540" t="s">
        <v>2999</v>
      </c>
    </row>
    <row r="9541" spans="1:8" x14ac:dyDescent="0.25">
      <c r="A9541" t="s">
        <v>18</v>
      </c>
      <c r="B9541" t="s">
        <v>2999</v>
      </c>
    </row>
    <row r="9542" spans="1:8" x14ac:dyDescent="0.25">
      <c r="A9542" t="str">
        <f xml:space="preserve"> $H$9534</f>
        <v>&lt;flags count_in_cargo="0" count_in_hoarder="0" count_in_map="1" count_in_player="0" crafted="1" deloot="0"/&gt;</v>
      </c>
      <c r="B9542" t="s">
        <v>2999</v>
      </c>
    </row>
    <row r="9543" spans="1:8" x14ac:dyDescent="0.25">
      <c r="A9543" t="str">
        <f>"&lt;category name=" &amp;"""" &amp;$C$9534&amp;"""/&gt;"</f>
        <v>&lt;category name="weapons"/&gt;</v>
      </c>
      <c r="B9543" t="s">
        <v>2999</v>
      </c>
    </row>
    <row r="9544" spans="1:8" x14ac:dyDescent="0.25">
      <c r="A9544" t="s">
        <v>22</v>
      </c>
      <c r="B9544" t="s">
        <v>2999</v>
      </c>
    </row>
    <row r="9545" spans="1:8" x14ac:dyDescent="0.25">
      <c r="A9545" t="s">
        <v>2133</v>
      </c>
      <c r="B9545" t="s">
        <v>3000</v>
      </c>
      <c r="C9545" t="s">
        <v>8</v>
      </c>
      <c r="D9545">
        <v>0</v>
      </c>
      <c r="E9545">
        <v>7200</v>
      </c>
      <c r="F9545">
        <v>0</v>
      </c>
      <c r="G9545">
        <v>0</v>
      </c>
      <c r="H9545" t="s">
        <v>62</v>
      </c>
    </row>
    <row r="9546" spans="1:8" x14ac:dyDescent="0.25">
      <c r="A9546" t="str">
        <f>"&lt;nominal&gt;" &amp;$D$9545&amp;"&lt;/nominal&gt;"</f>
        <v>&lt;nominal&gt;0&lt;/nominal&gt;</v>
      </c>
      <c r="B9546" t="s">
        <v>3000</v>
      </c>
    </row>
    <row r="9547" spans="1:8" x14ac:dyDescent="0.25">
      <c r="A9547" t="str">
        <f>"&lt;lifetime&gt;" &amp;$E$9545&amp;"&lt;/lifetime&gt;"</f>
        <v>&lt;lifetime&gt;7200&lt;/lifetime&gt;</v>
      </c>
      <c r="B9547" t="s">
        <v>3000</v>
      </c>
    </row>
    <row r="9548" spans="1:8" x14ac:dyDescent="0.25">
      <c r="A9548" t="str">
        <f>"&lt;restock&gt;" &amp;$F$9545&amp;"&lt;/restock&gt;"</f>
        <v>&lt;restock&gt;0&lt;/restock&gt;</v>
      </c>
      <c r="B9548" t="s">
        <v>3000</v>
      </c>
    </row>
    <row r="9549" spans="1:8" x14ac:dyDescent="0.25">
      <c r="A9549" t="str">
        <f>"&lt;min&gt;" &amp;$G$9545&amp;"&lt;/min&gt;"</f>
        <v>&lt;min&gt;0&lt;/min&gt;</v>
      </c>
      <c r="B9549" t="s">
        <v>3000</v>
      </c>
    </row>
    <row r="9550" spans="1:8" x14ac:dyDescent="0.25">
      <c r="A9550" t="s">
        <v>16</v>
      </c>
      <c r="B9550" t="s">
        <v>3000</v>
      </c>
    </row>
    <row r="9551" spans="1:8" x14ac:dyDescent="0.25">
      <c r="A9551" t="s">
        <v>17</v>
      </c>
      <c r="B9551" t="s">
        <v>3000</v>
      </c>
    </row>
    <row r="9552" spans="1:8" x14ac:dyDescent="0.25">
      <c r="A9552" t="s">
        <v>18</v>
      </c>
      <c r="B9552" t="s">
        <v>3000</v>
      </c>
    </row>
    <row r="9553" spans="1:8" x14ac:dyDescent="0.25">
      <c r="A9553" t="str">
        <f xml:space="preserve"> $H$9545</f>
        <v>&lt;flags count_in_cargo="0" count_in_hoarder="0" count_in_map="1" count_in_player="0" crafted="1" deloot="0"/&gt;</v>
      </c>
      <c r="B9553" t="s">
        <v>3000</v>
      </c>
    </row>
    <row r="9554" spans="1:8" x14ac:dyDescent="0.25">
      <c r="A9554" t="str">
        <f>"&lt;category name=" &amp;"""" &amp;$C$9545&amp;"""/&gt;"</f>
        <v>&lt;category name="weapons"/&gt;</v>
      </c>
      <c r="B9554" t="s">
        <v>3000</v>
      </c>
    </row>
    <row r="9555" spans="1:8" x14ac:dyDescent="0.25">
      <c r="A9555" t="s">
        <v>22</v>
      </c>
      <c r="B9555" t="s">
        <v>3000</v>
      </c>
    </row>
    <row r="9556" spans="1:8" x14ac:dyDescent="0.25">
      <c r="A9556" t="s">
        <v>2134</v>
      </c>
      <c r="B9556" t="s">
        <v>3001</v>
      </c>
      <c r="C9556" t="s">
        <v>8</v>
      </c>
      <c r="D9556">
        <v>0</v>
      </c>
      <c r="E9556">
        <v>7200</v>
      </c>
      <c r="F9556">
        <v>0</v>
      </c>
      <c r="G9556">
        <v>0</v>
      </c>
      <c r="H9556" t="s">
        <v>62</v>
      </c>
    </row>
    <row r="9557" spans="1:8" x14ac:dyDescent="0.25">
      <c r="A9557" t="str">
        <f>"&lt;nominal&gt;" &amp;$D$9556&amp;"&lt;/nominal&gt;"</f>
        <v>&lt;nominal&gt;0&lt;/nominal&gt;</v>
      </c>
      <c r="B9557" t="s">
        <v>3001</v>
      </c>
    </row>
    <row r="9558" spans="1:8" x14ac:dyDescent="0.25">
      <c r="A9558" t="str">
        <f>"&lt;lifetime&gt;" &amp;$E$9556&amp;"&lt;/lifetime&gt;"</f>
        <v>&lt;lifetime&gt;7200&lt;/lifetime&gt;</v>
      </c>
      <c r="B9558" t="s">
        <v>3001</v>
      </c>
    </row>
    <row r="9559" spans="1:8" x14ac:dyDescent="0.25">
      <c r="A9559" t="str">
        <f>"&lt;restock&gt;" &amp;$F$9556&amp;"&lt;/restock&gt;"</f>
        <v>&lt;restock&gt;0&lt;/restock&gt;</v>
      </c>
      <c r="B9559" t="s">
        <v>3001</v>
      </c>
    </row>
    <row r="9560" spans="1:8" x14ac:dyDescent="0.25">
      <c r="A9560" t="str">
        <f>"&lt;min&gt;" &amp;$G$9556&amp;"&lt;/min&gt;"</f>
        <v>&lt;min&gt;0&lt;/min&gt;</v>
      </c>
      <c r="B9560" t="s">
        <v>3001</v>
      </c>
    </row>
    <row r="9561" spans="1:8" x14ac:dyDescent="0.25">
      <c r="A9561" t="s">
        <v>16</v>
      </c>
      <c r="B9561" t="s">
        <v>3001</v>
      </c>
    </row>
    <row r="9562" spans="1:8" x14ac:dyDescent="0.25">
      <c r="A9562" t="s">
        <v>17</v>
      </c>
      <c r="B9562" t="s">
        <v>3001</v>
      </c>
    </row>
    <row r="9563" spans="1:8" x14ac:dyDescent="0.25">
      <c r="A9563" t="s">
        <v>18</v>
      </c>
      <c r="B9563" t="s">
        <v>3001</v>
      </c>
    </row>
    <row r="9564" spans="1:8" x14ac:dyDescent="0.25">
      <c r="A9564" t="str">
        <f xml:space="preserve"> $H$9556</f>
        <v>&lt;flags count_in_cargo="0" count_in_hoarder="0" count_in_map="1" count_in_player="0" crafted="1" deloot="0"/&gt;</v>
      </c>
      <c r="B9564" t="s">
        <v>3001</v>
      </c>
    </row>
    <row r="9565" spans="1:8" x14ac:dyDescent="0.25">
      <c r="A9565" t="str">
        <f>"&lt;category name=" &amp;"""" &amp;$C$9556&amp;"""/&gt;"</f>
        <v>&lt;category name="weapons"/&gt;</v>
      </c>
      <c r="B9565" t="s">
        <v>3001</v>
      </c>
    </row>
    <row r="9566" spans="1:8" x14ac:dyDescent="0.25">
      <c r="A9566" t="s">
        <v>22</v>
      </c>
      <c r="B9566" t="s">
        <v>3001</v>
      </c>
    </row>
    <row r="9567" spans="1:8" x14ac:dyDescent="0.25">
      <c r="A9567" t="s">
        <v>2135</v>
      </c>
      <c r="B9567" t="s">
        <v>894</v>
      </c>
      <c r="C9567" t="s">
        <v>8</v>
      </c>
      <c r="D9567">
        <v>10</v>
      </c>
      <c r="E9567">
        <v>14400</v>
      </c>
      <c r="F9567">
        <v>0</v>
      </c>
      <c r="G9567">
        <v>5</v>
      </c>
      <c r="H9567" t="s">
        <v>19</v>
      </c>
    </row>
    <row r="9568" spans="1:8" x14ac:dyDescent="0.25">
      <c r="A9568" t="str">
        <f>"&lt;nominal&gt;" &amp;$D$9567&amp;"&lt;/nominal&gt;"</f>
        <v>&lt;nominal&gt;10&lt;/nominal&gt;</v>
      </c>
      <c r="B9568" t="s">
        <v>894</v>
      </c>
    </row>
    <row r="9569" spans="1:8" x14ac:dyDescent="0.25">
      <c r="A9569" t="str">
        <f>"&lt;lifetime&gt;" &amp;$E$9567&amp;"&lt;/lifetime&gt;"</f>
        <v>&lt;lifetime&gt;14400&lt;/lifetime&gt;</v>
      </c>
      <c r="B9569" t="s">
        <v>894</v>
      </c>
    </row>
    <row r="9570" spans="1:8" x14ac:dyDescent="0.25">
      <c r="A9570" t="str">
        <f>"&lt;restock&gt;" &amp;$F$9567&amp;"&lt;/restock&gt;"</f>
        <v>&lt;restock&gt;0&lt;/restock&gt;</v>
      </c>
      <c r="B9570" t="s">
        <v>894</v>
      </c>
    </row>
    <row r="9571" spans="1:8" x14ac:dyDescent="0.25">
      <c r="A9571" t="str">
        <f>"&lt;min&gt;" &amp;$G$9567&amp;"&lt;/min&gt;"</f>
        <v>&lt;min&gt;5&lt;/min&gt;</v>
      </c>
      <c r="B9571" t="s">
        <v>894</v>
      </c>
    </row>
    <row r="9572" spans="1:8" x14ac:dyDescent="0.25">
      <c r="A9572" t="s">
        <v>16</v>
      </c>
      <c r="B9572" t="s">
        <v>894</v>
      </c>
    </row>
    <row r="9573" spans="1:8" x14ac:dyDescent="0.25">
      <c r="A9573" t="s">
        <v>17</v>
      </c>
      <c r="B9573" t="s">
        <v>894</v>
      </c>
    </row>
    <row r="9574" spans="1:8" x14ac:dyDescent="0.25">
      <c r="A9574" t="s">
        <v>18</v>
      </c>
      <c r="B9574" t="s">
        <v>894</v>
      </c>
    </row>
    <row r="9575" spans="1:8" x14ac:dyDescent="0.25">
      <c r="A9575" t="str">
        <f xml:space="preserve"> $H$9567</f>
        <v>&lt;flags count_in_cargo="0" count_in_hoarder="0" count_in_map="1" count_in_player="0" crafted="0" deloot="0"/&gt;</v>
      </c>
      <c r="B9575" t="s">
        <v>894</v>
      </c>
    </row>
    <row r="9576" spans="1:8" x14ac:dyDescent="0.25">
      <c r="A9576" t="str">
        <f>"&lt;category name=" &amp;"""" &amp;$C$9567&amp;"""/&gt;"</f>
        <v>&lt;category name="weapons"/&gt;</v>
      </c>
      <c r="B9576" t="s">
        <v>894</v>
      </c>
    </row>
    <row r="9577" spans="1:8" x14ac:dyDescent="0.25">
      <c r="A9577" t="s">
        <v>29</v>
      </c>
      <c r="B9577" t="s">
        <v>894</v>
      </c>
    </row>
    <row r="9578" spans="1:8" x14ac:dyDescent="0.25">
      <c r="A9578" t="s">
        <v>56</v>
      </c>
      <c r="B9578" t="s">
        <v>894</v>
      </c>
    </row>
    <row r="9579" spans="1:8" x14ac:dyDescent="0.25">
      <c r="A9579" t="s">
        <v>30</v>
      </c>
      <c r="B9579" t="s">
        <v>894</v>
      </c>
    </row>
    <row r="9580" spans="1:8" x14ac:dyDescent="0.25">
      <c r="A9580" t="s">
        <v>31</v>
      </c>
      <c r="B9580" t="s">
        <v>894</v>
      </c>
    </row>
    <row r="9581" spans="1:8" x14ac:dyDescent="0.25">
      <c r="A9581" t="s">
        <v>22</v>
      </c>
      <c r="B9581" t="s">
        <v>894</v>
      </c>
    </row>
    <row r="9582" spans="1:8" x14ac:dyDescent="0.25">
      <c r="A9582" t="s">
        <v>2136</v>
      </c>
      <c r="B9582" t="s">
        <v>895</v>
      </c>
      <c r="C9582" t="s">
        <v>8</v>
      </c>
      <c r="D9582">
        <v>20</v>
      </c>
      <c r="E9582">
        <v>5400</v>
      </c>
      <c r="F9582">
        <v>0</v>
      </c>
      <c r="G9582">
        <v>5</v>
      </c>
      <c r="H9582" t="s">
        <v>19</v>
      </c>
    </row>
    <row r="9583" spans="1:8" x14ac:dyDescent="0.25">
      <c r="A9583" t="str">
        <f>"&lt;nominal&gt;" &amp;$D$9582&amp;"&lt;/nominal&gt;"</f>
        <v>&lt;nominal&gt;20&lt;/nominal&gt;</v>
      </c>
      <c r="B9583" t="s">
        <v>895</v>
      </c>
    </row>
    <row r="9584" spans="1:8" x14ac:dyDescent="0.25">
      <c r="A9584" t="str">
        <f>"&lt;lifetime&gt;" &amp;$E$9582&amp;"&lt;/lifetime&gt;"</f>
        <v>&lt;lifetime&gt;5400&lt;/lifetime&gt;</v>
      </c>
      <c r="B9584" t="s">
        <v>895</v>
      </c>
    </row>
    <row r="9585" spans="1:8" x14ac:dyDescent="0.25">
      <c r="A9585" t="str">
        <f>"&lt;restock&gt;" &amp;$F$9582&amp;"&lt;/restock&gt;"</f>
        <v>&lt;restock&gt;0&lt;/restock&gt;</v>
      </c>
      <c r="B9585" t="s">
        <v>895</v>
      </c>
    </row>
    <row r="9586" spans="1:8" x14ac:dyDescent="0.25">
      <c r="A9586" t="str">
        <f>"&lt;min&gt;" &amp;$G$9582&amp;"&lt;/min&gt;"</f>
        <v>&lt;min&gt;5&lt;/min&gt;</v>
      </c>
      <c r="B9586" t="s">
        <v>895</v>
      </c>
    </row>
    <row r="9587" spans="1:8" x14ac:dyDescent="0.25">
      <c r="A9587" t="s">
        <v>16</v>
      </c>
      <c r="B9587" t="s">
        <v>895</v>
      </c>
    </row>
    <row r="9588" spans="1:8" x14ac:dyDescent="0.25">
      <c r="A9588" t="s">
        <v>17</v>
      </c>
      <c r="B9588" t="s">
        <v>895</v>
      </c>
    </row>
    <row r="9589" spans="1:8" x14ac:dyDescent="0.25">
      <c r="A9589" t="s">
        <v>18</v>
      </c>
      <c r="B9589" t="s">
        <v>895</v>
      </c>
    </row>
    <row r="9590" spans="1:8" x14ac:dyDescent="0.25">
      <c r="A9590" t="str">
        <f xml:space="preserve"> $H$9582</f>
        <v>&lt;flags count_in_cargo="0" count_in_hoarder="0" count_in_map="1" count_in_player="0" crafted="0" deloot="0"/&gt;</v>
      </c>
      <c r="B9590" t="s">
        <v>895</v>
      </c>
    </row>
    <row r="9591" spans="1:8" x14ac:dyDescent="0.25">
      <c r="A9591" t="str">
        <f>"&lt;category name=" &amp;"""" &amp;$C$9582&amp;"""/&gt;"</f>
        <v>&lt;category name="weapons"/&gt;</v>
      </c>
      <c r="B9591" t="s">
        <v>895</v>
      </c>
    </row>
    <row r="9592" spans="1:8" x14ac:dyDescent="0.25">
      <c r="A9592" t="s">
        <v>39</v>
      </c>
      <c r="B9592" t="s">
        <v>895</v>
      </c>
    </row>
    <row r="9593" spans="1:8" x14ac:dyDescent="0.25">
      <c r="A9593" t="s">
        <v>40</v>
      </c>
      <c r="B9593" t="s">
        <v>895</v>
      </c>
    </row>
    <row r="9594" spans="1:8" x14ac:dyDescent="0.25">
      <c r="A9594" t="s">
        <v>22</v>
      </c>
      <c r="B9594" t="s">
        <v>895</v>
      </c>
    </row>
    <row r="9595" spans="1:8" x14ac:dyDescent="0.25">
      <c r="A9595" t="s">
        <v>2137</v>
      </c>
      <c r="B9595" t="s">
        <v>896</v>
      </c>
      <c r="C9595" t="s">
        <v>403</v>
      </c>
      <c r="D9595">
        <v>30</v>
      </c>
      <c r="E9595">
        <v>5600</v>
      </c>
      <c r="F9595">
        <v>0</v>
      </c>
      <c r="G9595">
        <v>20</v>
      </c>
      <c r="H9595" t="s">
        <v>19</v>
      </c>
    </row>
    <row r="9596" spans="1:8" x14ac:dyDescent="0.25">
      <c r="A9596" t="str">
        <f>"&lt;nominal&gt;" &amp;$D$9595&amp;"&lt;/nominal&gt;"</f>
        <v>&lt;nominal&gt;30&lt;/nominal&gt;</v>
      </c>
      <c r="B9596" t="s">
        <v>896</v>
      </c>
    </row>
    <row r="9597" spans="1:8" x14ac:dyDescent="0.25">
      <c r="A9597" t="str">
        <f>"&lt;lifetime&gt;" &amp;$E$9595&amp;"&lt;/lifetime&gt;"</f>
        <v>&lt;lifetime&gt;5600&lt;/lifetime&gt;</v>
      </c>
      <c r="B9597" t="s">
        <v>896</v>
      </c>
    </row>
    <row r="9598" spans="1:8" x14ac:dyDescent="0.25">
      <c r="A9598" t="str">
        <f>"&lt;restock&gt;" &amp;$F$9595&amp;"&lt;/restock&gt;"</f>
        <v>&lt;restock&gt;0&lt;/restock&gt;</v>
      </c>
      <c r="B9598" t="s">
        <v>896</v>
      </c>
    </row>
    <row r="9599" spans="1:8" x14ac:dyDescent="0.25">
      <c r="A9599" t="str">
        <f>"&lt;min&gt;" &amp;$G$9595&amp;"&lt;/min&gt;"</f>
        <v>&lt;min&gt;20&lt;/min&gt;</v>
      </c>
      <c r="B9599" t="s">
        <v>896</v>
      </c>
    </row>
    <row r="9600" spans="1:8" x14ac:dyDescent="0.25">
      <c r="A9600" t="s">
        <v>16</v>
      </c>
      <c r="B9600" t="s">
        <v>896</v>
      </c>
    </row>
    <row r="9601" spans="1:8" x14ac:dyDescent="0.25">
      <c r="A9601" t="s">
        <v>17</v>
      </c>
      <c r="B9601" t="s">
        <v>896</v>
      </c>
    </row>
    <row r="9602" spans="1:8" x14ac:dyDescent="0.25">
      <c r="A9602" t="s">
        <v>18</v>
      </c>
      <c r="B9602" t="s">
        <v>896</v>
      </c>
    </row>
    <row r="9603" spans="1:8" x14ac:dyDescent="0.25">
      <c r="A9603" t="str">
        <f xml:space="preserve"> $H$9595</f>
        <v>&lt;flags count_in_cargo="0" count_in_hoarder="0" count_in_map="1" count_in_player="0" crafted="0" deloot="0"/&gt;</v>
      </c>
      <c r="B9603" t="s">
        <v>896</v>
      </c>
    </row>
    <row r="9604" spans="1:8" x14ac:dyDescent="0.25">
      <c r="A9604" t="str">
        <f>"&lt;category name=" &amp;"""" &amp;$C$9595&amp;"""/&gt;"</f>
        <v>&lt;category name="clothes"/&gt;</v>
      </c>
      <c r="B9604" t="s">
        <v>896</v>
      </c>
    </row>
    <row r="9605" spans="1:8" x14ac:dyDescent="0.25">
      <c r="A9605" t="s">
        <v>20</v>
      </c>
      <c r="B9605" t="s">
        <v>896</v>
      </c>
    </row>
    <row r="9606" spans="1:8" x14ac:dyDescent="0.25">
      <c r="A9606" t="s">
        <v>55</v>
      </c>
      <c r="B9606" t="s">
        <v>896</v>
      </c>
    </row>
    <row r="9607" spans="1:8" x14ac:dyDescent="0.25">
      <c r="A9607" t="s">
        <v>39</v>
      </c>
      <c r="B9607" t="s">
        <v>896</v>
      </c>
    </row>
    <row r="9608" spans="1:8" x14ac:dyDescent="0.25">
      <c r="A9608" t="s">
        <v>40</v>
      </c>
      <c r="B9608" t="s">
        <v>896</v>
      </c>
    </row>
    <row r="9609" spans="1:8" x14ac:dyDescent="0.25">
      <c r="A9609" t="s">
        <v>22</v>
      </c>
      <c r="B9609" t="s">
        <v>896</v>
      </c>
    </row>
    <row r="9610" spans="1:8" x14ac:dyDescent="0.25">
      <c r="A9610" t="s">
        <v>2138</v>
      </c>
      <c r="B9610" t="s">
        <v>897</v>
      </c>
      <c r="C9610" t="s">
        <v>403</v>
      </c>
      <c r="D9610">
        <v>30</v>
      </c>
      <c r="E9610">
        <v>5600</v>
      </c>
      <c r="F9610">
        <v>0</v>
      </c>
      <c r="G9610">
        <v>20</v>
      </c>
      <c r="H9610" t="s">
        <v>19</v>
      </c>
    </row>
    <row r="9611" spans="1:8" x14ac:dyDescent="0.25">
      <c r="A9611" t="str">
        <f>"&lt;nominal&gt;" &amp;$D$9610&amp;"&lt;/nominal&gt;"</f>
        <v>&lt;nominal&gt;30&lt;/nominal&gt;</v>
      </c>
      <c r="B9611" t="s">
        <v>897</v>
      </c>
    </row>
    <row r="9612" spans="1:8" x14ac:dyDescent="0.25">
      <c r="A9612" t="str">
        <f>"&lt;lifetime&gt;" &amp;$E$9610&amp;"&lt;/lifetime&gt;"</f>
        <v>&lt;lifetime&gt;5600&lt;/lifetime&gt;</v>
      </c>
      <c r="B9612" t="s">
        <v>897</v>
      </c>
    </row>
    <row r="9613" spans="1:8" x14ac:dyDescent="0.25">
      <c r="A9613" t="str">
        <f>"&lt;restock&gt;" &amp;$F$9610&amp;"&lt;/restock&gt;"</f>
        <v>&lt;restock&gt;0&lt;/restock&gt;</v>
      </c>
      <c r="B9613" t="s">
        <v>897</v>
      </c>
    </row>
    <row r="9614" spans="1:8" x14ac:dyDescent="0.25">
      <c r="A9614" t="str">
        <f>"&lt;min&gt;" &amp;$G$9610&amp;"&lt;/min&gt;"</f>
        <v>&lt;min&gt;20&lt;/min&gt;</v>
      </c>
      <c r="B9614" t="s">
        <v>897</v>
      </c>
    </row>
    <row r="9615" spans="1:8" x14ac:dyDescent="0.25">
      <c r="A9615" t="s">
        <v>16</v>
      </c>
      <c r="B9615" t="s">
        <v>897</v>
      </c>
    </row>
    <row r="9616" spans="1:8" x14ac:dyDescent="0.25">
      <c r="A9616" t="s">
        <v>17</v>
      </c>
      <c r="B9616" t="s">
        <v>897</v>
      </c>
    </row>
    <row r="9617" spans="1:8" x14ac:dyDescent="0.25">
      <c r="A9617" t="s">
        <v>18</v>
      </c>
      <c r="B9617" t="s">
        <v>897</v>
      </c>
    </row>
    <row r="9618" spans="1:8" x14ac:dyDescent="0.25">
      <c r="A9618" t="str">
        <f xml:space="preserve"> $H$9610</f>
        <v>&lt;flags count_in_cargo="0" count_in_hoarder="0" count_in_map="1" count_in_player="0" crafted="0" deloot="0"/&gt;</v>
      </c>
      <c r="B9618" t="s">
        <v>897</v>
      </c>
    </row>
    <row r="9619" spans="1:8" x14ac:dyDescent="0.25">
      <c r="A9619" t="str">
        <f>"&lt;category name=" &amp;"""" &amp;$C$9610&amp;"""/&gt;"</f>
        <v>&lt;category name="clothes"/&gt;</v>
      </c>
      <c r="B9619" t="s">
        <v>897</v>
      </c>
    </row>
    <row r="9620" spans="1:8" x14ac:dyDescent="0.25">
      <c r="A9620" t="s">
        <v>20</v>
      </c>
      <c r="B9620" t="s">
        <v>897</v>
      </c>
    </row>
    <row r="9621" spans="1:8" x14ac:dyDescent="0.25">
      <c r="A9621" t="s">
        <v>55</v>
      </c>
      <c r="B9621" t="s">
        <v>897</v>
      </c>
    </row>
    <row r="9622" spans="1:8" x14ac:dyDescent="0.25">
      <c r="A9622" t="s">
        <v>39</v>
      </c>
      <c r="B9622" t="s">
        <v>897</v>
      </c>
    </row>
    <row r="9623" spans="1:8" x14ac:dyDescent="0.25">
      <c r="A9623" t="s">
        <v>40</v>
      </c>
      <c r="B9623" t="s">
        <v>897</v>
      </c>
    </row>
    <row r="9624" spans="1:8" x14ac:dyDescent="0.25">
      <c r="A9624" t="s">
        <v>22</v>
      </c>
      <c r="B9624" t="s">
        <v>897</v>
      </c>
    </row>
    <row r="9625" spans="1:8" x14ac:dyDescent="0.25">
      <c r="A9625" t="s">
        <v>2139</v>
      </c>
      <c r="B9625" t="s">
        <v>898</v>
      </c>
      <c r="C9625" t="s">
        <v>403</v>
      </c>
      <c r="D9625">
        <v>30</v>
      </c>
      <c r="E9625">
        <v>5600</v>
      </c>
      <c r="F9625">
        <v>0</v>
      </c>
      <c r="G9625">
        <v>20</v>
      </c>
      <c r="H9625" t="s">
        <v>19</v>
      </c>
    </row>
    <row r="9626" spans="1:8" x14ac:dyDescent="0.25">
      <c r="A9626" t="str">
        <f>"&lt;nominal&gt;" &amp;$D$9625&amp;"&lt;/nominal&gt;"</f>
        <v>&lt;nominal&gt;30&lt;/nominal&gt;</v>
      </c>
      <c r="B9626" t="s">
        <v>898</v>
      </c>
    </row>
    <row r="9627" spans="1:8" x14ac:dyDescent="0.25">
      <c r="A9627" t="str">
        <f>"&lt;lifetime&gt;" &amp;$E$9625&amp;"&lt;/lifetime&gt;"</f>
        <v>&lt;lifetime&gt;5600&lt;/lifetime&gt;</v>
      </c>
      <c r="B9627" t="s">
        <v>898</v>
      </c>
    </row>
    <row r="9628" spans="1:8" x14ac:dyDescent="0.25">
      <c r="A9628" t="str">
        <f>"&lt;restock&gt;" &amp;$F$9625&amp;"&lt;/restock&gt;"</f>
        <v>&lt;restock&gt;0&lt;/restock&gt;</v>
      </c>
      <c r="B9628" t="s">
        <v>898</v>
      </c>
    </row>
    <row r="9629" spans="1:8" x14ac:dyDescent="0.25">
      <c r="A9629" t="str">
        <f>"&lt;min&gt;" &amp;$G$9625&amp;"&lt;/min&gt;"</f>
        <v>&lt;min&gt;20&lt;/min&gt;</v>
      </c>
      <c r="B9629" t="s">
        <v>898</v>
      </c>
    </row>
    <row r="9630" spans="1:8" x14ac:dyDescent="0.25">
      <c r="A9630" t="s">
        <v>16</v>
      </c>
      <c r="B9630" t="s">
        <v>898</v>
      </c>
    </row>
    <row r="9631" spans="1:8" x14ac:dyDescent="0.25">
      <c r="A9631" t="s">
        <v>17</v>
      </c>
      <c r="B9631" t="s">
        <v>898</v>
      </c>
    </row>
    <row r="9632" spans="1:8" x14ac:dyDescent="0.25">
      <c r="A9632" t="s">
        <v>18</v>
      </c>
      <c r="B9632" t="s">
        <v>898</v>
      </c>
    </row>
    <row r="9633" spans="1:8" x14ac:dyDescent="0.25">
      <c r="A9633" t="str">
        <f xml:space="preserve"> $H$9625</f>
        <v>&lt;flags count_in_cargo="0" count_in_hoarder="0" count_in_map="1" count_in_player="0" crafted="0" deloot="0"/&gt;</v>
      </c>
      <c r="B9633" t="s">
        <v>898</v>
      </c>
    </row>
    <row r="9634" spans="1:8" x14ac:dyDescent="0.25">
      <c r="A9634" t="str">
        <f>"&lt;category name=" &amp;"""" &amp;$C$9625&amp;"""/&gt;"</f>
        <v>&lt;category name="clothes"/&gt;</v>
      </c>
      <c r="B9634" t="s">
        <v>898</v>
      </c>
    </row>
    <row r="9635" spans="1:8" x14ac:dyDescent="0.25">
      <c r="A9635" t="s">
        <v>20</v>
      </c>
      <c r="B9635" t="s">
        <v>898</v>
      </c>
    </row>
    <row r="9636" spans="1:8" x14ac:dyDescent="0.25">
      <c r="A9636" t="s">
        <v>55</v>
      </c>
      <c r="B9636" t="s">
        <v>898</v>
      </c>
    </row>
    <row r="9637" spans="1:8" x14ac:dyDescent="0.25">
      <c r="A9637" t="s">
        <v>39</v>
      </c>
      <c r="B9637" t="s">
        <v>898</v>
      </c>
    </row>
    <row r="9638" spans="1:8" x14ac:dyDescent="0.25">
      <c r="A9638" t="s">
        <v>40</v>
      </c>
      <c r="B9638" t="s">
        <v>898</v>
      </c>
    </row>
    <row r="9639" spans="1:8" x14ac:dyDescent="0.25">
      <c r="A9639" t="s">
        <v>22</v>
      </c>
      <c r="B9639" t="s">
        <v>898</v>
      </c>
    </row>
    <row r="9640" spans="1:8" x14ac:dyDescent="0.25">
      <c r="A9640" t="s">
        <v>2140</v>
      </c>
      <c r="B9640" t="s">
        <v>899</v>
      </c>
      <c r="C9640" t="s">
        <v>403</v>
      </c>
      <c r="D9640">
        <v>30</v>
      </c>
      <c r="E9640">
        <v>5600</v>
      </c>
      <c r="F9640">
        <v>0</v>
      </c>
      <c r="G9640">
        <v>20</v>
      </c>
      <c r="H9640" t="s">
        <v>19</v>
      </c>
    </row>
    <row r="9641" spans="1:8" x14ac:dyDescent="0.25">
      <c r="A9641" t="str">
        <f>"&lt;nominal&gt;" &amp;$D$9640&amp;"&lt;/nominal&gt;"</f>
        <v>&lt;nominal&gt;30&lt;/nominal&gt;</v>
      </c>
      <c r="B9641" t="s">
        <v>899</v>
      </c>
    </row>
    <row r="9642" spans="1:8" x14ac:dyDescent="0.25">
      <c r="A9642" t="str">
        <f>"&lt;lifetime&gt;" &amp;$E$9640&amp;"&lt;/lifetime&gt;"</f>
        <v>&lt;lifetime&gt;5600&lt;/lifetime&gt;</v>
      </c>
      <c r="B9642" t="s">
        <v>899</v>
      </c>
    </row>
    <row r="9643" spans="1:8" x14ac:dyDescent="0.25">
      <c r="A9643" t="str">
        <f>"&lt;restock&gt;" &amp;$F$9640&amp;"&lt;/restock&gt;"</f>
        <v>&lt;restock&gt;0&lt;/restock&gt;</v>
      </c>
      <c r="B9643" t="s">
        <v>899</v>
      </c>
    </row>
    <row r="9644" spans="1:8" x14ac:dyDescent="0.25">
      <c r="A9644" t="str">
        <f>"&lt;min&gt;" &amp;$G$9640&amp;"&lt;/min&gt;"</f>
        <v>&lt;min&gt;20&lt;/min&gt;</v>
      </c>
      <c r="B9644" t="s">
        <v>899</v>
      </c>
    </row>
    <row r="9645" spans="1:8" x14ac:dyDescent="0.25">
      <c r="A9645" t="s">
        <v>16</v>
      </c>
      <c r="B9645" t="s">
        <v>899</v>
      </c>
    </row>
    <row r="9646" spans="1:8" x14ac:dyDescent="0.25">
      <c r="A9646" t="s">
        <v>17</v>
      </c>
      <c r="B9646" t="s">
        <v>899</v>
      </c>
    </row>
    <row r="9647" spans="1:8" x14ac:dyDescent="0.25">
      <c r="A9647" t="s">
        <v>18</v>
      </c>
      <c r="B9647" t="s">
        <v>899</v>
      </c>
    </row>
    <row r="9648" spans="1:8" x14ac:dyDescent="0.25">
      <c r="A9648" t="str">
        <f xml:space="preserve"> $H$9640</f>
        <v>&lt;flags count_in_cargo="0" count_in_hoarder="0" count_in_map="1" count_in_player="0" crafted="0" deloot="0"/&gt;</v>
      </c>
      <c r="B9648" t="s">
        <v>899</v>
      </c>
    </row>
    <row r="9649" spans="1:8" x14ac:dyDescent="0.25">
      <c r="A9649" t="str">
        <f>"&lt;category name=" &amp;"""" &amp;$C$9640&amp;"""/&gt;"</f>
        <v>&lt;category name="clothes"/&gt;</v>
      </c>
      <c r="B9649" t="s">
        <v>899</v>
      </c>
    </row>
    <row r="9650" spans="1:8" x14ac:dyDescent="0.25">
      <c r="A9650" t="s">
        <v>20</v>
      </c>
      <c r="B9650" t="s">
        <v>899</v>
      </c>
    </row>
    <row r="9651" spans="1:8" x14ac:dyDescent="0.25">
      <c r="A9651" t="s">
        <v>55</v>
      </c>
      <c r="B9651" t="s">
        <v>899</v>
      </c>
    </row>
    <row r="9652" spans="1:8" x14ac:dyDescent="0.25">
      <c r="A9652" t="s">
        <v>39</v>
      </c>
      <c r="B9652" t="s">
        <v>899</v>
      </c>
    </row>
    <row r="9653" spans="1:8" x14ac:dyDescent="0.25">
      <c r="A9653" t="s">
        <v>40</v>
      </c>
      <c r="B9653" t="s">
        <v>899</v>
      </c>
    </row>
    <row r="9654" spans="1:8" x14ac:dyDescent="0.25">
      <c r="A9654" t="s">
        <v>22</v>
      </c>
      <c r="B9654" t="s">
        <v>899</v>
      </c>
    </row>
    <row r="9655" spans="1:8" x14ac:dyDescent="0.25">
      <c r="A9655" t="s">
        <v>2141</v>
      </c>
      <c r="B9655" t="s">
        <v>900</v>
      </c>
      <c r="C9655" t="s">
        <v>403</v>
      </c>
      <c r="D9655">
        <v>30</v>
      </c>
      <c r="E9655">
        <v>5600</v>
      </c>
      <c r="F9655">
        <v>0</v>
      </c>
      <c r="G9655">
        <v>20</v>
      </c>
      <c r="H9655" t="s">
        <v>19</v>
      </c>
    </row>
    <row r="9656" spans="1:8" x14ac:dyDescent="0.25">
      <c r="A9656" t="str">
        <f>"&lt;nominal&gt;" &amp;$D$9655&amp;"&lt;/nominal&gt;"</f>
        <v>&lt;nominal&gt;30&lt;/nominal&gt;</v>
      </c>
      <c r="B9656" t="s">
        <v>900</v>
      </c>
    </row>
    <row r="9657" spans="1:8" x14ac:dyDescent="0.25">
      <c r="A9657" t="str">
        <f>"&lt;lifetime&gt;" &amp;$E$9655&amp;"&lt;/lifetime&gt;"</f>
        <v>&lt;lifetime&gt;5600&lt;/lifetime&gt;</v>
      </c>
      <c r="B9657" t="s">
        <v>900</v>
      </c>
    </row>
    <row r="9658" spans="1:8" x14ac:dyDescent="0.25">
      <c r="A9658" t="str">
        <f>"&lt;restock&gt;" &amp;$F$9655&amp;"&lt;/restock&gt;"</f>
        <v>&lt;restock&gt;0&lt;/restock&gt;</v>
      </c>
      <c r="B9658" t="s">
        <v>900</v>
      </c>
    </row>
    <row r="9659" spans="1:8" x14ac:dyDescent="0.25">
      <c r="A9659" t="str">
        <f>"&lt;min&gt;" &amp;$G$9655&amp;"&lt;/min&gt;"</f>
        <v>&lt;min&gt;20&lt;/min&gt;</v>
      </c>
      <c r="B9659" t="s">
        <v>900</v>
      </c>
    </row>
    <row r="9660" spans="1:8" x14ac:dyDescent="0.25">
      <c r="A9660" t="s">
        <v>16</v>
      </c>
      <c r="B9660" t="s">
        <v>900</v>
      </c>
    </row>
    <row r="9661" spans="1:8" x14ac:dyDescent="0.25">
      <c r="A9661" t="s">
        <v>17</v>
      </c>
      <c r="B9661" t="s">
        <v>900</v>
      </c>
    </row>
    <row r="9662" spans="1:8" x14ac:dyDescent="0.25">
      <c r="A9662" t="s">
        <v>18</v>
      </c>
      <c r="B9662" t="s">
        <v>900</v>
      </c>
    </row>
    <row r="9663" spans="1:8" x14ac:dyDescent="0.25">
      <c r="A9663" t="str">
        <f xml:space="preserve"> $H$9655</f>
        <v>&lt;flags count_in_cargo="0" count_in_hoarder="0" count_in_map="1" count_in_player="0" crafted="0" deloot="0"/&gt;</v>
      </c>
      <c r="B9663" t="s">
        <v>900</v>
      </c>
    </row>
    <row r="9664" spans="1:8" x14ac:dyDescent="0.25">
      <c r="A9664" t="str">
        <f>"&lt;category name=" &amp;"""" &amp;$C$9655&amp;"""/&gt;"</f>
        <v>&lt;category name="clothes"/&gt;</v>
      </c>
      <c r="B9664" t="s">
        <v>900</v>
      </c>
    </row>
    <row r="9665" spans="1:8" x14ac:dyDescent="0.25">
      <c r="A9665" t="s">
        <v>20</v>
      </c>
      <c r="B9665" t="s">
        <v>900</v>
      </c>
    </row>
    <row r="9666" spans="1:8" x14ac:dyDescent="0.25">
      <c r="A9666" t="s">
        <v>55</v>
      </c>
      <c r="B9666" t="s">
        <v>900</v>
      </c>
    </row>
    <row r="9667" spans="1:8" x14ac:dyDescent="0.25">
      <c r="A9667" t="s">
        <v>39</v>
      </c>
      <c r="B9667" t="s">
        <v>900</v>
      </c>
    </row>
    <row r="9668" spans="1:8" x14ac:dyDescent="0.25">
      <c r="A9668" t="s">
        <v>40</v>
      </c>
      <c r="B9668" t="s">
        <v>900</v>
      </c>
    </row>
    <row r="9669" spans="1:8" x14ac:dyDescent="0.25">
      <c r="A9669" t="s">
        <v>22</v>
      </c>
      <c r="B9669" t="s">
        <v>900</v>
      </c>
    </row>
    <row r="9670" spans="1:8" x14ac:dyDescent="0.25">
      <c r="A9670" t="s">
        <v>2142</v>
      </c>
      <c r="B9670" t="s">
        <v>901</v>
      </c>
      <c r="C9670" t="s">
        <v>403</v>
      </c>
      <c r="D9670">
        <v>30</v>
      </c>
      <c r="E9670">
        <v>5600</v>
      </c>
      <c r="F9670">
        <v>0</v>
      </c>
      <c r="G9670">
        <v>20</v>
      </c>
      <c r="H9670" t="s">
        <v>19</v>
      </c>
    </row>
    <row r="9671" spans="1:8" x14ac:dyDescent="0.25">
      <c r="A9671" t="str">
        <f>"&lt;nominal&gt;" &amp;$D$9670&amp;"&lt;/nominal&gt;"</f>
        <v>&lt;nominal&gt;30&lt;/nominal&gt;</v>
      </c>
      <c r="B9671" t="s">
        <v>901</v>
      </c>
    </row>
    <row r="9672" spans="1:8" x14ac:dyDescent="0.25">
      <c r="A9672" t="str">
        <f>"&lt;lifetime&gt;" &amp;$E$9670&amp;"&lt;/lifetime&gt;"</f>
        <v>&lt;lifetime&gt;5600&lt;/lifetime&gt;</v>
      </c>
      <c r="B9672" t="s">
        <v>901</v>
      </c>
    </row>
    <row r="9673" spans="1:8" x14ac:dyDescent="0.25">
      <c r="A9673" t="str">
        <f>"&lt;restock&gt;" &amp;$F$9670&amp;"&lt;/restock&gt;"</f>
        <v>&lt;restock&gt;0&lt;/restock&gt;</v>
      </c>
      <c r="B9673" t="s">
        <v>901</v>
      </c>
    </row>
    <row r="9674" spans="1:8" x14ac:dyDescent="0.25">
      <c r="A9674" t="str">
        <f>"&lt;min&gt;" &amp;$G$9670&amp;"&lt;/min&gt;"</f>
        <v>&lt;min&gt;20&lt;/min&gt;</v>
      </c>
      <c r="B9674" t="s">
        <v>901</v>
      </c>
    </row>
    <row r="9675" spans="1:8" x14ac:dyDescent="0.25">
      <c r="A9675" t="s">
        <v>16</v>
      </c>
      <c r="B9675" t="s">
        <v>901</v>
      </c>
    </row>
    <row r="9676" spans="1:8" x14ac:dyDescent="0.25">
      <c r="A9676" t="s">
        <v>17</v>
      </c>
      <c r="B9676" t="s">
        <v>901</v>
      </c>
    </row>
    <row r="9677" spans="1:8" x14ac:dyDescent="0.25">
      <c r="A9677" t="s">
        <v>18</v>
      </c>
      <c r="B9677" t="s">
        <v>901</v>
      </c>
    </row>
    <row r="9678" spans="1:8" x14ac:dyDescent="0.25">
      <c r="A9678" t="str">
        <f xml:space="preserve"> $H$9670</f>
        <v>&lt;flags count_in_cargo="0" count_in_hoarder="0" count_in_map="1" count_in_player="0" crafted="0" deloot="0"/&gt;</v>
      </c>
      <c r="B9678" t="s">
        <v>901</v>
      </c>
    </row>
    <row r="9679" spans="1:8" x14ac:dyDescent="0.25">
      <c r="A9679" t="str">
        <f>"&lt;category name=" &amp;"""" &amp;$C$9670&amp;"""/&gt;"</f>
        <v>&lt;category name="clothes"/&gt;</v>
      </c>
      <c r="B9679" t="s">
        <v>901</v>
      </c>
    </row>
    <row r="9680" spans="1:8" x14ac:dyDescent="0.25">
      <c r="A9680" t="s">
        <v>20</v>
      </c>
      <c r="B9680" t="s">
        <v>901</v>
      </c>
    </row>
    <row r="9681" spans="1:8" x14ac:dyDescent="0.25">
      <c r="A9681" t="s">
        <v>55</v>
      </c>
      <c r="B9681" t="s">
        <v>901</v>
      </c>
    </row>
    <row r="9682" spans="1:8" x14ac:dyDescent="0.25">
      <c r="A9682" t="s">
        <v>39</v>
      </c>
      <c r="B9682" t="s">
        <v>901</v>
      </c>
    </row>
    <row r="9683" spans="1:8" x14ac:dyDescent="0.25">
      <c r="A9683" t="s">
        <v>40</v>
      </c>
      <c r="B9683" t="s">
        <v>901</v>
      </c>
    </row>
    <row r="9684" spans="1:8" x14ac:dyDescent="0.25">
      <c r="A9684" t="s">
        <v>22</v>
      </c>
      <c r="B9684" t="s">
        <v>901</v>
      </c>
    </row>
    <row r="9685" spans="1:8" x14ac:dyDescent="0.25">
      <c r="A9685" t="s">
        <v>2143</v>
      </c>
      <c r="B9685" t="s">
        <v>902</v>
      </c>
      <c r="C9685" t="s">
        <v>403</v>
      </c>
      <c r="D9685">
        <v>30</v>
      </c>
      <c r="E9685">
        <v>5600</v>
      </c>
      <c r="F9685">
        <v>0</v>
      </c>
      <c r="G9685">
        <v>20</v>
      </c>
      <c r="H9685" t="s">
        <v>19</v>
      </c>
    </row>
    <row r="9686" spans="1:8" x14ac:dyDescent="0.25">
      <c r="A9686" t="str">
        <f>"&lt;nominal&gt;" &amp;$D$9685&amp;"&lt;/nominal&gt;"</f>
        <v>&lt;nominal&gt;30&lt;/nominal&gt;</v>
      </c>
      <c r="B9686" t="s">
        <v>902</v>
      </c>
    </row>
    <row r="9687" spans="1:8" x14ac:dyDescent="0.25">
      <c r="A9687" t="str">
        <f>"&lt;lifetime&gt;" &amp;$E$9685&amp;"&lt;/lifetime&gt;"</f>
        <v>&lt;lifetime&gt;5600&lt;/lifetime&gt;</v>
      </c>
      <c r="B9687" t="s">
        <v>902</v>
      </c>
    </row>
    <row r="9688" spans="1:8" x14ac:dyDescent="0.25">
      <c r="A9688" t="str">
        <f>"&lt;restock&gt;" &amp;$F$9685&amp;"&lt;/restock&gt;"</f>
        <v>&lt;restock&gt;0&lt;/restock&gt;</v>
      </c>
      <c r="B9688" t="s">
        <v>902</v>
      </c>
    </row>
    <row r="9689" spans="1:8" x14ac:dyDescent="0.25">
      <c r="A9689" t="str">
        <f>"&lt;min&gt;" &amp;$G$9685&amp;"&lt;/min&gt;"</f>
        <v>&lt;min&gt;20&lt;/min&gt;</v>
      </c>
      <c r="B9689" t="s">
        <v>902</v>
      </c>
    </row>
    <row r="9690" spans="1:8" x14ac:dyDescent="0.25">
      <c r="A9690" t="s">
        <v>16</v>
      </c>
      <c r="B9690" t="s">
        <v>902</v>
      </c>
    </row>
    <row r="9691" spans="1:8" x14ac:dyDescent="0.25">
      <c r="A9691" t="s">
        <v>17</v>
      </c>
      <c r="B9691" t="s">
        <v>902</v>
      </c>
    </row>
    <row r="9692" spans="1:8" x14ac:dyDescent="0.25">
      <c r="A9692" t="s">
        <v>18</v>
      </c>
      <c r="B9692" t="s">
        <v>902</v>
      </c>
    </row>
    <row r="9693" spans="1:8" x14ac:dyDescent="0.25">
      <c r="A9693" t="str">
        <f xml:space="preserve"> $H$9685</f>
        <v>&lt;flags count_in_cargo="0" count_in_hoarder="0" count_in_map="1" count_in_player="0" crafted="0" deloot="0"/&gt;</v>
      </c>
      <c r="B9693" t="s">
        <v>902</v>
      </c>
    </row>
    <row r="9694" spans="1:8" x14ac:dyDescent="0.25">
      <c r="A9694" t="str">
        <f>"&lt;category name=" &amp;"""" &amp;$C$9685&amp;"""/&gt;"</f>
        <v>&lt;category name="clothes"/&gt;</v>
      </c>
      <c r="B9694" t="s">
        <v>902</v>
      </c>
    </row>
    <row r="9695" spans="1:8" x14ac:dyDescent="0.25">
      <c r="A9695" t="s">
        <v>20</v>
      </c>
      <c r="B9695" t="s">
        <v>902</v>
      </c>
    </row>
    <row r="9696" spans="1:8" x14ac:dyDescent="0.25">
      <c r="A9696" t="s">
        <v>55</v>
      </c>
      <c r="B9696" t="s">
        <v>902</v>
      </c>
    </row>
    <row r="9697" spans="1:8" x14ac:dyDescent="0.25">
      <c r="A9697" t="s">
        <v>39</v>
      </c>
      <c r="B9697" t="s">
        <v>902</v>
      </c>
    </row>
    <row r="9698" spans="1:8" x14ac:dyDescent="0.25">
      <c r="A9698" t="s">
        <v>40</v>
      </c>
      <c r="B9698" t="s">
        <v>902</v>
      </c>
    </row>
    <row r="9699" spans="1:8" x14ac:dyDescent="0.25">
      <c r="A9699" t="s">
        <v>22</v>
      </c>
      <c r="B9699" t="s">
        <v>902</v>
      </c>
    </row>
    <row r="9700" spans="1:8" x14ac:dyDescent="0.25">
      <c r="A9700" t="s">
        <v>2144</v>
      </c>
      <c r="B9700" t="s">
        <v>903</v>
      </c>
      <c r="C9700" t="s">
        <v>363</v>
      </c>
      <c r="D9700">
        <v>25</v>
      </c>
      <c r="E9700">
        <v>21600</v>
      </c>
      <c r="F9700">
        <v>0</v>
      </c>
      <c r="G9700">
        <v>10</v>
      </c>
      <c r="H9700" t="s">
        <v>19</v>
      </c>
    </row>
    <row r="9701" spans="1:8" x14ac:dyDescent="0.25">
      <c r="A9701" t="str">
        <f>"&lt;nominal&gt;" &amp;$D$9700&amp;"&lt;/nominal&gt;"</f>
        <v>&lt;nominal&gt;25&lt;/nominal&gt;</v>
      </c>
      <c r="B9701" t="s">
        <v>903</v>
      </c>
    </row>
    <row r="9702" spans="1:8" x14ac:dyDescent="0.25">
      <c r="A9702" t="str">
        <f>"&lt;lifetime&gt;" &amp;$E$9700&amp;"&lt;/lifetime&gt;"</f>
        <v>&lt;lifetime&gt;21600&lt;/lifetime&gt;</v>
      </c>
      <c r="B9702" t="s">
        <v>903</v>
      </c>
    </row>
    <row r="9703" spans="1:8" x14ac:dyDescent="0.25">
      <c r="A9703" t="str">
        <f>"&lt;restock&gt;" &amp;$F$9700&amp;"&lt;/restock&gt;"</f>
        <v>&lt;restock&gt;0&lt;/restock&gt;</v>
      </c>
      <c r="B9703" t="s">
        <v>903</v>
      </c>
    </row>
    <row r="9704" spans="1:8" x14ac:dyDescent="0.25">
      <c r="A9704" t="str">
        <f>"&lt;min&gt;" &amp;$G$9700&amp;"&lt;/min&gt;"</f>
        <v>&lt;min&gt;10&lt;/min&gt;</v>
      </c>
      <c r="B9704" t="s">
        <v>903</v>
      </c>
    </row>
    <row r="9705" spans="1:8" x14ac:dyDescent="0.25">
      <c r="A9705" t="s">
        <v>16</v>
      </c>
      <c r="B9705" t="s">
        <v>903</v>
      </c>
    </row>
    <row r="9706" spans="1:8" x14ac:dyDescent="0.25">
      <c r="A9706" t="s">
        <v>17</v>
      </c>
      <c r="B9706" t="s">
        <v>903</v>
      </c>
    </row>
    <row r="9707" spans="1:8" x14ac:dyDescent="0.25">
      <c r="A9707" t="s">
        <v>18</v>
      </c>
      <c r="B9707" t="s">
        <v>903</v>
      </c>
    </row>
    <row r="9708" spans="1:8" x14ac:dyDescent="0.25">
      <c r="A9708" t="str">
        <f xml:space="preserve"> $H$9700</f>
        <v>&lt;flags count_in_cargo="0" count_in_hoarder="0" count_in_map="1" count_in_player="0" crafted="0" deloot="0"/&gt;</v>
      </c>
      <c r="B9708" t="s">
        <v>903</v>
      </c>
    </row>
    <row r="9709" spans="1:8" x14ac:dyDescent="0.25">
      <c r="A9709" t="str">
        <f>"&lt;category name=" &amp;"""" &amp;$C$9700&amp;"""/&gt;"</f>
        <v>&lt;category name="containers"/&gt;</v>
      </c>
      <c r="B9709" t="s">
        <v>903</v>
      </c>
    </row>
    <row r="9710" spans="1:8" x14ac:dyDescent="0.25">
      <c r="A9710" t="s">
        <v>39</v>
      </c>
      <c r="B9710" t="s">
        <v>903</v>
      </c>
    </row>
    <row r="9711" spans="1:8" x14ac:dyDescent="0.25">
      <c r="A9711" t="s">
        <v>40</v>
      </c>
      <c r="B9711" t="s">
        <v>903</v>
      </c>
    </row>
    <row r="9712" spans="1:8" x14ac:dyDescent="0.25">
      <c r="A9712" t="s">
        <v>22</v>
      </c>
      <c r="B9712" t="s">
        <v>903</v>
      </c>
    </row>
    <row r="9713" spans="1:8" x14ac:dyDescent="0.25">
      <c r="A9713" t="s">
        <v>2145</v>
      </c>
      <c r="B9713" t="s">
        <v>904</v>
      </c>
      <c r="C9713" t="s">
        <v>363</v>
      </c>
      <c r="D9713">
        <v>25</v>
      </c>
      <c r="E9713">
        <v>21600</v>
      </c>
      <c r="F9713">
        <v>0</v>
      </c>
      <c r="G9713">
        <v>10</v>
      </c>
      <c r="H9713" t="s">
        <v>19</v>
      </c>
    </row>
    <row r="9714" spans="1:8" x14ac:dyDescent="0.25">
      <c r="A9714" t="str">
        <f>"&lt;nominal&gt;" &amp;$D$9713&amp;"&lt;/nominal&gt;"</f>
        <v>&lt;nominal&gt;25&lt;/nominal&gt;</v>
      </c>
      <c r="B9714" t="s">
        <v>904</v>
      </c>
    </row>
    <row r="9715" spans="1:8" x14ac:dyDescent="0.25">
      <c r="A9715" t="str">
        <f>"&lt;lifetime&gt;" &amp;$E$9713&amp;"&lt;/lifetime&gt;"</f>
        <v>&lt;lifetime&gt;21600&lt;/lifetime&gt;</v>
      </c>
      <c r="B9715" t="s">
        <v>904</v>
      </c>
    </row>
    <row r="9716" spans="1:8" x14ac:dyDescent="0.25">
      <c r="A9716" t="str">
        <f>"&lt;restock&gt;" &amp;$F$9713&amp;"&lt;/restock&gt;"</f>
        <v>&lt;restock&gt;0&lt;/restock&gt;</v>
      </c>
      <c r="B9716" t="s">
        <v>904</v>
      </c>
    </row>
    <row r="9717" spans="1:8" x14ac:dyDescent="0.25">
      <c r="A9717" t="str">
        <f>"&lt;min&gt;" &amp;$G$9713&amp;"&lt;/min&gt;"</f>
        <v>&lt;min&gt;10&lt;/min&gt;</v>
      </c>
      <c r="B9717" t="s">
        <v>904</v>
      </c>
    </row>
    <row r="9718" spans="1:8" x14ac:dyDescent="0.25">
      <c r="A9718" t="s">
        <v>16</v>
      </c>
      <c r="B9718" t="s">
        <v>904</v>
      </c>
    </row>
    <row r="9719" spans="1:8" x14ac:dyDescent="0.25">
      <c r="A9719" t="s">
        <v>17</v>
      </c>
      <c r="B9719" t="s">
        <v>904</v>
      </c>
    </row>
    <row r="9720" spans="1:8" x14ac:dyDescent="0.25">
      <c r="A9720" t="s">
        <v>18</v>
      </c>
      <c r="B9720" t="s">
        <v>904</v>
      </c>
    </row>
    <row r="9721" spans="1:8" x14ac:dyDescent="0.25">
      <c r="A9721" t="str">
        <f xml:space="preserve"> $H$9713</f>
        <v>&lt;flags count_in_cargo="0" count_in_hoarder="0" count_in_map="1" count_in_player="0" crafted="0" deloot="0"/&gt;</v>
      </c>
      <c r="B9721" t="s">
        <v>904</v>
      </c>
    </row>
    <row r="9722" spans="1:8" x14ac:dyDescent="0.25">
      <c r="A9722" t="str">
        <f>"&lt;category name=" &amp;"""" &amp;$C$9713&amp;"""/&gt;"</f>
        <v>&lt;category name="containers"/&gt;</v>
      </c>
      <c r="B9722" t="s">
        <v>904</v>
      </c>
    </row>
    <row r="9723" spans="1:8" x14ac:dyDescent="0.25">
      <c r="A9723" t="s">
        <v>39</v>
      </c>
      <c r="B9723" t="s">
        <v>904</v>
      </c>
    </row>
    <row r="9724" spans="1:8" x14ac:dyDescent="0.25">
      <c r="A9724" t="s">
        <v>40</v>
      </c>
      <c r="B9724" t="s">
        <v>904</v>
      </c>
    </row>
    <row r="9725" spans="1:8" x14ac:dyDescent="0.25">
      <c r="A9725" t="s">
        <v>22</v>
      </c>
      <c r="B9725" t="s">
        <v>904</v>
      </c>
    </row>
    <row r="9726" spans="1:8" x14ac:dyDescent="0.25">
      <c r="A9726" t="s">
        <v>2146</v>
      </c>
      <c r="B9726" t="s">
        <v>905</v>
      </c>
      <c r="C9726" t="s">
        <v>363</v>
      </c>
      <c r="D9726">
        <v>25</v>
      </c>
      <c r="E9726">
        <v>21600</v>
      </c>
      <c r="F9726">
        <v>0</v>
      </c>
      <c r="G9726">
        <v>10</v>
      </c>
      <c r="H9726" t="s">
        <v>19</v>
      </c>
    </row>
    <row r="9727" spans="1:8" x14ac:dyDescent="0.25">
      <c r="A9727" t="str">
        <f>"&lt;nominal&gt;" &amp;$D$9726&amp;"&lt;/nominal&gt;"</f>
        <v>&lt;nominal&gt;25&lt;/nominal&gt;</v>
      </c>
      <c r="B9727" t="s">
        <v>905</v>
      </c>
    </row>
    <row r="9728" spans="1:8" x14ac:dyDescent="0.25">
      <c r="A9728" t="str">
        <f>"&lt;lifetime&gt;" &amp;$E$9726&amp;"&lt;/lifetime&gt;"</f>
        <v>&lt;lifetime&gt;21600&lt;/lifetime&gt;</v>
      </c>
      <c r="B9728" t="s">
        <v>905</v>
      </c>
    </row>
    <row r="9729" spans="1:8" x14ac:dyDescent="0.25">
      <c r="A9729" t="str">
        <f>"&lt;restock&gt;" &amp;$F$9726&amp;"&lt;/restock&gt;"</f>
        <v>&lt;restock&gt;0&lt;/restock&gt;</v>
      </c>
      <c r="B9729" t="s">
        <v>905</v>
      </c>
    </row>
    <row r="9730" spans="1:8" x14ac:dyDescent="0.25">
      <c r="A9730" t="str">
        <f>"&lt;min&gt;" &amp;$G$9726&amp;"&lt;/min&gt;"</f>
        <v>&lt;min&gt;10&lt;/min&gt;</v>
      </c>
      <c r="B9730" t="s">
        <v>905</v>
      </c>
    </row>
    <row r="9731" spans="1:8" x14ac:dyDescent="0.25">
      <c r="A9731" t="s">
        <v>16</v>
      </c>
      <c r="B9731" t="s">
        <v>905</v>
      </c>
    </row>
    <row r="9732" spans="1:8" x14ac:dyDescent="0.25">
      <c r="A9732" t="s">
        <v>17</v>
      </c>
      <c r="B9732" t="s">
        <v>905</v>
      </c>
    </row>
    <row r="9733" spans="1:8" x14ac:dyDescent="0.25">
      <c r="A9733" t="s">
        <v>18</v>
      </c>
      <c r="B9733" t="s">
        <v>905</v>
      </c>
    </row>
    <row r="9734" spans="1:8" x14ac:dyDescent="0.25">
      <c r="A9734" t="str">
        <f xml:space="preserve"> $H$9726</f>
        <v>&lt;flags count_in_cargo="0" count_in_hoarder="0" count_in_map="1" count_in_player="0" crafted="0" deloot="0"/&gt;</v>
      </c>
      <c r="B9734" t="s">
        <v>905</v>
      </c>
    </row>
    <row r="9735" spans="1:8" x14ac:dyDescent="0.25">
      <c r="A9735" t="str">
        <f>"&lt;category name=" &amp;"""" &amp;$C$9726&amp;"""/&gt;"</f>
        <v>&lt;category name="containers"/&gt;</v>
      </c>
      <c r="B9735" t="s">
        <v>905</v>
      </c>
    </row>
    <row r="9736" spans="1:8" x14ac:dyDescent="0.25">
      <c r="A9736" t="s">
        <v>39</v>
      </c>
      <c r="B9736" t="s">
        <v>905</v>
      </c>
    </row>
    <row r="9737" spans="1:8" x14ac:dyDescent="0.25">
      <c r="A9737" t="s">
        <v>40</v>
      </c>
      <c r="B9737" t="s">
        <v>905</v>
      </c>
    </row>
    <row r="9738" spans="1:8" x14ac:dyDescent="0.25">
      <c r="A9738" t="s">
        <v>22</v>
      </c>
      <c r="B9738" t="s">
        <v>905</v>
      </c>
    </row>
    <row r="9739" spans="1:8" x14ac:dyDescent="0.25">
      <c r="A9739" t="s">
        <v>2147</v>
      </c>
      <c r="B9739" t="s">
        <v>906</v>
      </c>
      <c r="C9739" t="s">
        <v>363</v>
      </c>
      <c r="D9739">
        <v>25</v>
      </c>
      <c r="E9739">
        <v>21600</v>
      </c>
      <c r="F9739">
        <v>0</v>
      </c>
      <c r="G9739">
        <v>10</v>
      </c>
      <c r="H9739" t="s">
        <v>19</v>
      </c>
    </row>
    <row r="9740" spans="1:8" x14ac:dyDescent="0.25">
      <c r="A9740" t="str">
        <f>"&lt;nominal&gt;" &amp;$D$9739&amp;"&lt;/nominal&gt;"</f>
        <v>&lt;nominal&gt;25&lt;/nominal&gt;</v>
      </c>
      <c r="B9740" t="s">
        <v>906</v>
      </c>
    </row>
    <row r="9741" spans="1:8" x14ac:dyDescent="0.25">
      <c r="A9741" t="str">
        <f>"&lt;lifetime&gt;" &amp;$E$9739&amp;"&lt;/lifetime&gt;"</f>
        <v>&lt;lifetime&gt;21600&lt;/lifetime&gt;</v>
      </c>
      <c r="B9741" t="s">
        <v>906</v>
      </c>
    </row>
    <row r="9742" spans="1:8" x14ac:dyDescent="0.25">
      <c r="A9742" t="str">
        <f>"&lt;restock&gt;" &amp;$F$9739&amp;"&lt;/restock&gt;"</f>
        <v>&lt;restock&gt;0&lt;/restock&gt;</v>
      </c>
      <c r="B9742" t="s">
        <v>906</v>
      </c>
    </row>
    <row r="9743" spans="1:8" x14ac:dyDescent="0.25">
      <c r="A9743" t="str">
        <f>"&lt;min&gt;" &amp;$G$9739&amp;"&lt;/min&gt;"</f>
        <v>&lt;min&gt;10&lt;/min&gt;</v>
      </c>
      <c r="B9743" t="s">
        <v>906</v>
      </c>
    </row>
    <row r="9744" spans="1:8" x14ac:dyDescent="0.25">
      <c r="A9744" t="s">
        <v>16</v>
      </c>
      <c r="B9744" t="s">
        <v>906</v>
      </c>
    </row>
    <row r="9745" spans="1:8" x14ac:dyDescent="0.25">
      <c r="A9745" t="s">
        <v>17</v>
      </c>
      <c r="B9745" t="s">
        <v>906</v>
      </c>
    </row>
    <row r="9746" spans="1:8" x14ac:dyDescent="0.25">
      <c r="A9746" t="s">
        <v>18</v>
      </c>
      <c r="B9746" t="s">
        <v>906</v>
      </c>
    </row>
    <row r="9747" spans="1:8" x14ac:dyDescent="0.25">
      <c r="A9747" t="str">
        <f xml:space="preserve"> $H$9739</f>
        <v>&lt;flags count_in_cargo="0" count_in_hoarder="0" count_in_map="1" count_in_player="0" crafted="0" deloot="0"/&gt;</v>
      </c>
      <c r="B9747" t="s">
        <v>906</v>
      </c>
    </row>
    <row r="9748" spans="1:8" x14ac:dyDescent="0.25">
      <c r="A9748" t="str">
        <f>"&lt;category name=" &amp;"""" &amp;$C$9739&amp;"""/&gt;"</f>
        <v>&lt;category name="containers"/&gt;</v>
      </c>
      <c r="B9748" t="s">
        <v>906</v>
      </c>
    </row>
    <row r="9749" spans="1:8" x14ac:dyDescent="0.25">
      <c r="A9749" t="s">
        <v>39</v>
      </c>
      <c r="B9749" t="s">
        <v>906</v>
      </c>
    </row>
    <row r="9750" spans="1:8" x14ac:dyDescent="0.25">
      <c r="A9750" t="s">
        <v>40</v>
      </c>
      <c r="B9750" t="s">
        <v>906</v>
      </c>
    </row>
    <row r="9751" spans="1:8" x14ac:dyDescent="0.25">
      <c r="A9751" t="s">
        <v>22</v>
      </c>
      <c r="B9751" t="s">
        <v>906</v>
      </c>
    </row>
    <row r="9752" spans="1:8" x14ac:dyDescent="0.25">
      <c r="A9752" t="s">
        <v>2148</v>
      </c>
      <c r="B9752" t="s">
        <v>3445</v>
      </c>
      <c r="C9752" t="s">
        <v>363</v>
      </c>
      <c r="D9752">
        <v>0</v>
      </c>
      <c r="E9752">
        <v>2700</v>
      </c>
      <c r="F9752">
        <v>0</v>
      </c>
      <c r="G9752">
        <v>0</v>
      </c>
      <c r="H9752" t="s">
        <v>62</v>
      </c>
    </row>
    <row r="9753" spans="1:8" x14ac:dyDescent="0.25">
      <c r="A9753" t="str">
        <f>"&lt;nominal&gt;" &amp;$D$9752&amp;"&lt;/nominal&gt;"</f>
        <v>&lt;nominal&gt;0&lt;/nominal&gt;</v>
      </c>
      <c r="B9753" t="s">
        <v>3445</v>
      </c>
    </row>
    <row r="9754" spans="1:8" x14ac:dyDescent="0.25">
      <c r="A9754" t="str">
        <f>"&lt;lifetime&gt;" &amp;$E$9752&amp;"&lt;/lifetime&gt;"</f>
        <v>&lt;lifetime&gt;2700&lt;/lifetime&gt;</v>
      </c>
      <c r="B9754" t="s">
        <v>3445</v>
      </c>
    </row>
    <row r="9755" spans="1:8" x14ac:dyDescent="0.25">
      <c r="A9755" t="str">
        <f>"&lt;restock&gt;" &amp;$F$9752&amp;"&lt;/restock&gt;"</f>
        <v>&lt;restock&gt;0&lt;/restock&gt;</v>
      </c>
      <c r="B9755" t="s">
        <v>3445</v>
      </c>
    </row>
    <row r="9756" spans="1:8" x14ac:dyDescent="0.25">
      <c r="A9756" t="str">
        <f>"&lt;min&gt;" &amp;$G$9752&amp;"&lt;/min&gt;"</f>
        <v>&lt;min&gt;0&lt;/min&gt;</v>
      </c>
      <c r="B9756" t="s">
        <v>3445</v>
      </c>
    </row>
    <row r="9757" spans="1:8" x14ac:dyDescent="0.25">
      <c r="A9757" t="s">
        <v>16</v>
      </c>
      <c r="B9757" t="s">
        <v>3445</v>
      </c>
    </row>
    <row r="9758" spans="1:8" x14ac:dyDescent="0.25">
      <c r="A9758" t="s">
        <v>17</v>
      </c>
      <c r="B9758" t="s">
        <v>3445</v>
      </c>
    </row>
    <row r="9759" spans="1:8" x14ac:dyDescent="0.25">
      <c r="A9759" t="s">
        <v>18</v>
      </c>
      <c r="B9759" t="s">
        <v>3445</v>
      </c>
    </row>
    <row r="9760" spans="1:8" x14ac:dyDescent="0.25">
      <c r="A9760" t="str">
        <f xml:space="preserve"> $H$9752</f>
        <v>&lt;flags count_in_cargo="0" count_in_hoarder="0" count_in_map="1" count_in_player="0" crafted="1" deloot="0"/&gt;</v>
      </c>
      <c r="B9760" t="s">
        <v>3445</v>
      </c>
    </row>
    <row r="9761" spans="1:8" x14ac:dyDescent="0.25">
      <c r="A9761" t="str">
        <f>"&lt;category name=" &amp;"""" &amp;$C$9752&amp;"""/&gt;"</f>
        <v>&lt;category name="containers"/&gt;</v>
      </c>
      <c r="B9761" t="s">
        <v>3445</v>
      </c>
    </row>
    <row r="9762" spans="1:8" x14ac:dyDescent="0.25">
      <c r="A9762" t="s">
        <v>22</v>
      </c>
      <c r="B9762" t="s">
        <v>3445</v>
      </c>
    </row>
    <row r="9763" spans="1:8" x14ac:dyDescent="0.25">
      <c r="A9763" t="s">
        <v>2149</v>
      </c>
      <c r="B9763" t="s">
        <v>907</v>
      </c>
      <c r="C9763" t="s">
        <v>8</v>
      </c>
      <c r="D9763">
        <v>20</v>
      </c>
      <c r="E9763">
        <v>10800</v>
      </c>
      <c r="F9763">
        <v>0</v>
      </c>
      <c r="G9763">
        <v>10</v>
      </c>
      <c r="H9763" t="s">
        <v>19</v>
      </c>
    </row>
    <row r="9764" spans="1:8" x14ac:dyDescent="0.25">
      <c r="A9764" t="str">
        <f>"&lt;nominal&gt;" &amp;$D$9763&amp;"&lt;/nominal&gt;"</f>
        <v>&lt;nominal&gt;20&lt;/nominal&gt;</v>
      </c>
      <c r="B9764" t="s">
        <v>907</v>
      </c>
    </row>
    <row r="9765" spans="1:8" x14ac:dyDescent="0.25">
      <c r="A9765" t="str">
        <f>"&lt;lifetime&gt;" &amp;$E$9763&amp;"&lt;/lifetime&gt;"</f>
        <v>&lt;lifetime&gt;10800&lt;/lifetime&gt;</v>
      </c>
      <c r="B9765" t="s">
        <v>907</v>
      </c>
    </row>
    <row r="9766" spans="1:8" x14ac:dyDescent="0.25">
      <c r="A9766" t="str">
        <f>"&lt;restock&gt;" &amp;$F$9763&amp;"&lt;/restock&gt;"</f>
        <v>&lt;restock&gt;0&lt;/restock&gt;</v>
      </c>
      <c r="B9766" t="s">
        <v>907</v>
      </c>
    </row>
    <row r="9767" spans="1:8" x14ac:dyDescent="0.25">
      <c r="A9767" t="str">
        <f>"&lt;min&gt;" &amp;$G$9763&amp;"&lt;/min&gt;"</f>
        <v>&lt;min&gt;10&lt;/min&gt;</v>
      </c>
      <c r="B9767" t="s">
        <v>907</v>
      </c>
    </row>
    <row r="9768" spans="1:8" x14ac:dyDescent="0.25">
      <c r="A9768" t="s">
        <v>16</v>
      </c>
      <c r="B9768" t="s">
        <v>907</v>
      </c>
    </row>
    <row r="9769" spans="1:8" x14ac:dyDescent="0.25">
      <c r="A9769" t="s">
        <v>17</v>
      </c>
      <c r="B9769" t="s">
        <v>907</v>
      </c>
    </row>
    <row r="9770" spans="1:8" x14ac:dyDescent="0.25">
      <c r="A9770" t="s">
        <v>18</v>
      </c>
      <c r="B9770" t="s">
        <v>907</v>
      </c>
    </row>
    <row r="9771" spans="1:8" x14ac:dyDescent="0.25">
      <c r="A9771" t="str">
        <f xml:space="preserve"> $H$9763</f>
        <v>&lt;flags count_in_cargo="0" count_in_hoarder="0" count_in_map="1" count_in_player="0" crafted="0" deloot="0"/&gt;</v>
      </c>
      <c r="B9771" t="s">
        <v>907</v>
      </c>
    </row>
    <row r="9772" spans="1:8" x14ac:dyDescent="0.25">
      <c r="A9772" t="str">
        <f>"&lt;category name=" &amp;"""" &amp;$C$9763&amp;"""/&gt;"</f>
        <v>&lt;category name="weapons"/&gt;</v>
      </c>
      <c r="B9772" t="s">
        <v>907</v>
      </c>
    </row>
    <row r="9773" spans="1:8" x14ac:dyDescent="0.25">
      <c r="A9773" t="s">
        <v>173</v>
      </c>
      <c r="B9773" t="s">
        <v>907</v>
      </c>
    </row>
    <row r="9774" spans="1:8" x14ac:dyDescent="0.25">
      <c r="A9774" t="s">
        <v>67</v>
      </c>
      <c r="B9774" t="s">
        <v>907</v>
      </c>
    </row>
    <row r="9775" spans="1:8" x14ac:dyDescent="0.25">
      <c r="A9775" t="s">
        <v>30</v>
      </c>
      <c r="B9775" t="s">
        <v>907</v>
      </c>
    </row>
    <row r="9776" spans="1:8" x14ac:dyDescent="0.25">
      <c r="A9776" t="s">
        <v>31</v>
      </c>
      <c r="B9776" t="s">
        <v>907</v>
      </c>
    </row>
    <row r="9777" spans="1:8" x14ac:dyDescent="0.25">
      <c r="A9777" t="s">
        <v>307</v>
      </c>
      <c r="B9777" t="s">
        <v>907</v>
      </c>
    </row>
    <row r="9778" spans="1:8" x14ac:dyDescent="0.25">
      <c r="A9778" t="s">
        <v>22</v>
      </c>
      <c r="B9778" t="s">
        <v>907</v>
      </c>
    </row>
    <row r="9779" spans="1:8" x14ac:dyDescent="0.25">
      <c r="B9779" t="s">
        <v>907</v>
      </c>
    </row>
    <row r="9780" spans="1:8" x14ac:dyDescent="0.25">
      <c r="A9780" t="s">
        <v>2776</v>
      </c>
      <c r="B9780" t="s">
        <v>2813</v>
      </c>
      <c r="C9780" t="s">
        <v>8</v>
      </c>
      <c r="D9780">
        <v>20</v>
      </c>
      <c r="E9780">
        <v>10800</v>
      </c>
      <c r="F9780">
        <v>0</v>
      </c>
      <c r="G9780">
        <v>10</v>
      </c>
      <c r="H9780" t="s">
        <v>19</v>
      </c>
    </row>
    <row r="9781" spans="1:8" x14ac:dyDescent="0.25">
      <c r="A9781" t="str">
        <f>"&lt;nominal&gt;" &amp;$D$9780&amp;"&lt;/nominal&gt;"</f>
        <v>&lt;nominal&gt;20&lt;/nominal&gt;</v>
      </c>
      <c r="B9781" t="s">
        <v>2813</v>
      </c>
    </row>
    <row r="9782" spans="1:8" x14ac:dyDescent="0.25">
      <c r="A9782" t="str">
        <f>"&lt;lifetime&gt;" &amp;$E$9780&amp;"&lt;/lifetime&gt;"</f>
        <v>&lt;lifetime&gt;10800&lt;/lifetime&gt;</v>
      </c>
      <c r="B9782" t="s">
        <v>2813</v>
      </c>
    </row>
    <row r="9783" spans="1:8" x14ac:dyDescent="0.25">
      <c r="A9783" t="str">
        <f>"&lt;restock&gt;" &amp;$F$9780&amp;"&lt;/restock&gt;"</f>
        <v>&lt;restock&gt;0&lt;/restock&gt;</v>
      </c>
      <c r="B9783" t="s">
        <v>2813</v>
      </c>
    </row>
    <row r="9784" spans="1:8" x14ac:dyDescent="0.25">
      <c r="A9784" t="str">
        <f>"&lt;min&gt;" &amp;$G$9780&amp;"&lt;/min&gt;"</f>
        <v>&lt;min&gt;10&lt;/min&gt;</v>
      </c>
      <c r="B9784" t="s">
        <v>2813</v>
      </c>
    </row>
    <row r="9785" spans="1:8" x14ac:dyDescent="0.25">
      <c r="A9785" t="s">
        <v>16</v>
      </c>
      <c r="B9785" t="s">
        <v>2813</v>
      </c>
    </row>
    <row r="9786" spans="1:8" x14ac:dyDescent="0.25">
      <c r="A9786" t="s">
        <v>17</v>
      </c>
      <c r="B9786" t="s">
        <v>2813</v>
      </c>
    </row>
    <row r="9787" spans="1:8" x14ac:dyDescent="0.25">
      <c r="A9787" t="s">
        <v>18</v>
      </c>
      <c r="B9787" t="s">
        <v>2813</v>
      </c>
    </row>
    <row r="9788" spans="1:8" x14ac:dyDescent="0.25">
      <c r="A9788" t="str">
        <f xml:space="preserve"> $H$9780</f>
        <v>&lt;flags count_in_cargo="0" count_in_hoarder="0" count_in_map="1" count_in_player="0" crafted="0" deloot="0"/&gt;</v>
      </c>
      <c r="B9788" t="s">
        <v>2813</v>
      </c>
    </row>
    <row r="9789" spans="1:8" x14ac:dyDescent="0.25">
      <c r="A9789" t="str">
        <f>"&lt;category name=" &amp;"""" &amp;$C$9780&amp;"""/&gt;"</f>
        <v>&lt;category name="weapons"/&gt;</v>
      </c>
      <c r="B9789" t="s">
        <v>2813</v>
      </c>
    </row>
    <row r="9790" spans="1:8" x14ac:dyDescent="0.25">
      <c r="A9790" t="s">
        <v>173</v>
      </c>
      <c r="B9790" t="s">
        <v>2813</v>
      </c>
    </row>
    <row r="9791" spans="1:8" x14ac:dyDescent="0.25">
      <c r="A9791" t="s">
        <v>67</v>
      </c>
      <c r="B9791" t="s">
        <v>2813</v>
      </c>
    </row>
    <row r="9792" spans="1:8" x14ac:dyDescent="0.25">
      <c r="A9792" t="s">
        <v>30</v>
      </c>
      <c r="B9792" t="s">
        <v>2813</v>
      </c>
    </row>
    <row r="9793" spans="1:8" x14ac:dyDescent="0.25">
      <c r="A9793" t="s">
        <v>31</v>
      </c>
      <c r="B9793" t="s">
        <v>2813</v>
      </c>
    </row>
    <row r="9794" spans="1:8" x14ac:dyDescent="0.25">
      <c r="A9794" t="s">
        <v>307</v>
      </c>
      <c r="B9794" t="s">
        <v>2813</v>
      </c>
    </row>
    <row r="9795" spans="1:8" x14ac:dyDescent="0.25">
      <c r="A9795" t="s">
        <v>22</v>
      </c>
      <c r="B9795" t="s">
        <v>2813</v>
      </c>
    </row>
    <row r="9796" spans="1:8" x14ac:dyDescent="0.25">
      <c r="B9796" t="s">
        <v>2813</v>
      </c>
    </row>
    <row r="9797" spans="1:8" x14ac:dyDescent="0.25">
      <c r="A9797" t="s">
        <v>2150</v>
      </c>
      <c r="B9797" t="s">
        <v>908</v>
      </c>
      <c r="C9797" t="s">
        <v>403</v>
      </c>
      <c r="D9797">
        <v>10</v>
      </c>
      <c r="E9797">
        <v>2700</v>
      </c>
      <c r="F9797">
        <v>0</v>
      </c>
      <c r="G9797">
        <v>5</v>
      </c>
      <c r="H9797" t="s">
        <v>19</v>
      </c>
    </row>
    <row r="9798" spans="1:8" x14ac:dyDescent="0.25">
      <c r="A9798" t="str">
        <f>"&lt;nominal&gt;" &amp;$D$9797&amp;"&lt;/nominal&gt;"</f>
        <v>&lt;nominal&gt;10&lt;/nominal&gt;</v>
      </c>
      <c r="B9798" t="s">
        <v>908</v>
      </c>
    </row>
    <row r="9799" spans="1:8" x14ac:dyDescent="0.25">
      <c r="A9799" t="str">
        <f>"&lt;lifetime&gt;" &amp;$E$9797&amp;"&lt;/lifetime&gt;"</f>
        <v>&lt;lifetime&gt;2700&lt;/lifetime&gt;</v>
      </c>
      <c r="B9799" t="s">
        <v>908</v>
      </c>
    </row>
    <row r="9800" spans="1:8" x14ac:dyDescent="0.25">
      <c r="A9800" t="str">
        <f>"&lt;restock&gt;" &amp;$F$9797&amp;"&lt;/restock&gt;"</f>
        <v>&lt;restock&gt;0&lt;/restock&gt;</v>
      </c>
      <c r="B9800" t="s">
        <v>908</v>
      </c>
    </row>
    <row r="9801" spans="1:8" x14ac:dyDescent="0.25">
      <c r="A9801" t="str">
        <f>"&lt;min&gt;" &amp;$G$9797&amp;"&lt;/min&gt;"</f>
        <v>&lt;min&gt;5&lt;/min&gt;</v>
      </c>
      <c r="B9801" t="s">
        <v>908</v>
      </c>
    </row>
    <row r="9802" spans="1:8" x14ac:dyDescent="0.25">
      <c r="A9802" t="s">
        <v>16</v>
      </c>
      <c r="B9802" t="s">
        <v>908</v>
      </c>
    </row>
    <row r="9803" spans="1:8" x14ac:dyDescent="0.25">
      <c r="A9803" t="s">
        <v>17</v>
      </c>
      <c r="B9803" t="s">
        <v>908</v>
      </c>
    </row>
    <row r="9804" spans="1:8" x14ac:dyDescent="0.25">
      <c r="A9804" t="s">
        <v>18</v>
      </c>
      <c r="B9804" t="s">
        <v>908</v>
      </c>
    </row>
    <row r="9805" spans="1:8" x14ac:dyDescent="0.25">
      <c r="A9805" t="str">
        <f xml:space="preserve"> $H$9797</f>
        <v>&lt;flags count_in_cargo="0" count_in_hoarder="0" count_in_map="1" count_in_player="0" crafted="0" deloot="0"/&gt;</v>
      </c>
      <c r="B9805" t="s">
        <v>908</v>
      </c>
    </row>
    <row r="9806" spans="1:8" x14ac:dyDescent="0.25">
      <c r="A9806" t="str">
        <f>"&lt;category name=" &amp;"""" &amp;$C$9797&amp;"""/&gt;"</f>
        <v>&lt;category name="clothes"/&gt;</v>
      </c>
      <c r="B9806" t="s">
        <v>908</v>
      </c>
    </row>
    <row r="9807" spans="1:8" x14ac:dyDescent="0.25">
      <c r="A9807" t="s">
        <v>25</v>
      </c>
      <c r="B9807" t="s">
        <v>908</v>
      </c>
    </row>
    <row r="9808" spans="1:8" x14ac:dyDescent="0.25">
      <c r="A9808" t="s">
        <v>29</v>
      </c>
      <c r="B9808" t="s">
        <v>908</v>
      </c>
    </row>
    <row r="9809" spans="1:8" x14ac:dyDescent="0.25">
      <c r="A9809" t="s">
        <v>21</v>
      </c>
      <c r="B9809" t="s">
        <v>908</v>
      </c>
    </row>
    <row r="9810" spans="1:8" x14ac:dyDescent="0.25">
      <c r="A9810" t="s">
        <v>26</v>
      </c>
      <c r="B9810" t="s">
        <v>908</v>
      </c>
    </row>
    <row r="9811" spans="1:8" x14ac:dyDescent="0.25">
      <c r="A9811" t="s">
        <v>22</v>
      </c>
      <c r="B9811" t="s">
        <v>908</v>
      </c>
    </row>
    <row r="9812" spans="1:8" x14ac:dyDescent="0.25">
      <c r="A9812" t="s">
        <v>2151</v>
      </c>
      <c r="B9812" t="s">
        <v>909</v>
      </c>
      <c r="C9812" t="s">
        <v>403</v>
      </c>
      <c r="D9812">
        <v>10</v>
      </c>
      <c r="E9812">
        <v>7200</v>
      </c>
      <c r="F9812">
        <v>0</v>
      </c>
      <c r="G9812">
        <v>5</v>
      </c>
      <c r="H9812" t="s">
        <v>19</v>
      </c>
    </row>
    <row r="9813" spans="1:8" x14ac:dyDescent="0.25">
      <c r="A9813" t="str">
        <f>"&lt;nominal&gt;" &amp;$D$9812&amp;"&lt;/nominal&gt;"</f>
        <v>&lt;nominal&gt;10&lt;/nominal&gt;</v>
      </c>
      <c r="B9813" t="s">
        <v>909</v>
      </c>
    </row>
    <row r="9814" spans="1:8" x14ac:dyDescent="0.25">
      <c r="A9814" t="str">
        <f>"&lt;lifetime&gt;" &amp;$E$9812&amp;"&lt;/lifetime&gt;"</f>
        <v>&lt;lifetime&gt;7200&lt;/lifetime&gt;</v>
      </c>
      <c r="B9814" t="s">
        <v>909</v>
      </c>
    </row>
    <row r="9815" spans="1:8" x14ac:dyDescent="0.25">
      <c r="A9815" t="str">
        <f>"&lt;restock&gt;" &amp;$F$9812&amp;"&lt;/restock&gt;"</f>
        <v>&lt;restock&gt;0&lt;/restock&gt;</v>
      </c>
      <c r="B9815" t="s">
        <v>909</v>
      </c>
    </row>
    <row r="9816" spans="1:8" x14ac:dyDescent="0.25">
      <c r="A9816" t="str">
        <f>"&lt;min&gt;" &amp;$G$9812&amp;"&lt;/min&gt;"</f>
        <v>&lt;min&gt;5&lt;/min&gt;</v>
      </c>
      <c r="B9816" t="s">
        <v>909</v>
      </c>
    </row>
    <row r="9817" spans="1:8" x14ac:dyDescent="0.25">
      <c r="A9817" t="s">
        <v>16</v>
      </c>
      <c r="B9817" t="s">
        <v>909</v>
      </c>
    </row>
    <row r="9818" spans="1:8" x14ac:dyDescent="0.25">
      <c r="A9818" t="s">
        <v>17</v>
      </c>
      <c r="B9818" t="s">
        <v>909</v>
      </c>
    </row>
    <row r="9819" spans="1:8" x14ac:dyDescent="0.25">
      <c r="A9819" t="s">
        <v>18</v>
      </c>
      <c r="B9819" t="s">
        <v>909</v>
      </c>
    </row>
    <row r="9820" spans="1:8" x14ac:dyDescent="0.25">
      <c r="A9820" t="str">
        <f xml:space="preserve"> $H$9812</f>
        <v>&lt;flags count_in_cargo="0" count_in_hoarder="0" count_in_map="1" count_in_player="0" crafted="0" deloot="0"/&gt;</v>
      </c>
      <c r="B9820" t="s">
        <v>909</v>
      </c>
    </row>
    <row r="9821" spans="1:8" x14ac:dyDescent="0.25">
      <c r="A9821" t="str">
        <f>"&lt;category name=" &amp;"""" &amp;$C$9812&amp;"""/&gt;"</f>
        <v>&lt;category name="clothes"/&gt;</v>
      </c>
      <c r="B9821" t="s">
        <v>909</v>
      </c>
    </row>
    <row r="9822" spans="1:8" x14ac:dyDescent="0.25">
      <c r="A9822" t="s">
        <v>29</v>
      </c>
      <c r="B9822" t="s">
        <v>909</v>
      </c>
    </row>
    <row r="9823" spans="1:8" x14ac:dyDescent="0.25">
      <c r="A9823" t="s">
        <v>21</v>
      </c>
      <c r="B9823" t="s">
        <v>909</v>
      </c>
    </row>
    <row r="9824" spans="1:8" x14ac:dyDescent="0.25">
      <c r="A9824" t="s">
        <v>26</v>
      </c>
      <c r="B9824" t="s">
        <v>909</v>
      </c>
    </row>
    <row r="9825" spans="1:8" x14ac:dyDescent="0.25">
      <c r="A9825" t="s">
        <v>22</v>
      </c>
      <c r="B9825" t="s">
        <v>909</v>
      </c>
    </row>
    <row r="9826" spans="1:8" x14ac:dyDescent="0.25">
      <c r="A9826" t="s">
        <v>2152</v>
      </c>
      <c r="B9826" t="s">
        <v>910</v>
      </c>
      <c r="C9826" t="s">
        <v>403</v>
      </c>
      <c r="D9826">
        <v>10</v>
      </c>
      <c r="E9826">
        <v>5600</v>
      </c>
      <c r="F9826">
        <v>0</v>
      </c>
      <c r="G9826">
        <v>5</v>
      </c>
      <c r="H9826" t="s">
        <v>19</v>
      </c>
    </row>
    <row r="9827" spans="1:8" x14ac:dyDescent="0.25">
      <c r="A9827" t="str">
        <f>"&lt;nominal&gt;" &amp;$D$9826&amp;"&lt;/nominal&gt;"</f>
        <v>&lt;nominal&gt;10&lt;/nominal&gt;</v>
      </c>
      <c r="B9827" t="s">
        <v>910</v>
      </c>
    </row>
    <row r="9828" spans="1:8" x14ac:dyDescent="0.25">
      <c r="A9828" t="str">
        <f>"&lt;lifetime&gt;" &amp;$E$9826&amp;"&lt;/lifetime&gt;"</f>
        <v>&lt;lifetime&gt;5600&lt;/lifetime&gt;</v>
      </c>
      <c r="B9828" t="s">
        <v>910</v>
      </c>
    </row>
    <row r="9829" spans="1:8" x14ac:dyDescent="0.25">
      <c r="A9829" t="str">
        <f>"&lt;restock&gt;" &amp;$F$9826&amp;"&lt;/restock&gt;"</f>
        <v>&lt;restock&gt;0&lt;/restock&gt;</v>
      </c>
      <c r="B9829" t="s">
        <v>910</v>
      </c>
    </row>
    <row r="9830" spans="1:8" x14ac:dyDescent="0.25">
      <c r="A9830" t="str">
        <f>"&lt;min&gt;" &amp;$G$9826&amp;"&lt;/min&gt;"</f>
        <v>&lt;min&gt;5&lt;/min&gt;</v>
      </c>
      <c r="B9830" t="s">
        <v>910</v>
      </c>
    </row>
    <row r="9831" spans="1:8" x14ac:dyDescent="0.25">
      <c r="A9831" t="s">
        <v>16</v>
      </c>
      <c r="B9831" t="s">
        <v>910</v>
      </c>
    </row>
    <row r="9832" spans="1:8" x14ac:dyDescent="0.25">
      <c r="A9832" t="s">
        <v>17</v>
      </c>
      <c r="B9832" t="s">
        <v>910</v>
      </c>
    </row>
    <row r="9833" spans="1:8" x14ac:dyDescent="0.25">
      <c r="A9833" t="s">
        <v>18</v>
      </c>
      <c r="B9833" t="s">
        <v>910</v>
      </c>
    </row>
    <row r="9834" spans="1:8" x14ac:dyDescent="0.25">
      <c r="A9834" t="str">
        <f xml:space="preserve"> $H$9826</f>
        <v>&lt;flags count_in_cargo="0" count_in_hoarder="0" count_in_map="1" count_in_player="0" crafted="0" deloot="0"/&gt;</v>
      </c>
      <c r="B9834" t="s">
        <v>910</v>
      </c>
    </row>
    <row r="9835" spans="1:8" x14ac:dyDescent="0.25">
      <c r="A9835" t="str">
        <f>"&lt;category name=" &amp;"""" &amp;$C$9826&amp;"""/&gt;"</f>
        <v>&lt;category name="clothes"/&gt;</v>
      </c>
      <c r="B9835" t="s">
        <v>910</v>
      </c>
    </row>
    <row r="9836" spans="1:8" x14ac:dyDescent="0.25">
      <c r="A9836" t="s">
        <v>29</v>
      </c>
      <c r="B9836" t="s">
        <v>910</v>
      </c>
    </row>
    <row r="9837" spans="1:8" x14ac:dyDescent="0.25">
      <c r="A9837" t="s">
        <v>21</v>
      </c>
      <c r="B9837" t="s">
        <v>910</v>
      </c>
    </row>
    <row r="9838" spans="1:8" x14ac:dyDescent="0.25">
      <c r="A9838" t="s">
        <v>26</v>
      </c>
      <c r="B9838" t="s">
        <v>910</v>
      </c>
    </row>
    <row r="9839" spans="1:8" x14ac:dyDescent="0.25">
      <c r="A9839" t="s">
        <v>22</v>
      </c>
      <c r="B9839" t="s">
        <v>910</v>
      </c>
    </row>
    <row r="9840" spans="1:8" x14ac:dyDescent="0.25">
      <c r="A9840" t="s">
        <v>2153</v>
      </c>
      <c r="B9840" t="s">
        <v>911</v>
      </c>
      <c r="C9840" t="s">
        <v>403</v>
      </c>
      <c r="D9840">
        <v>10</v>
      </c>
      <c r="E9840">
        <v>2700</v>
      </c>
      <c r="F9840">
        <v>0</v>
      </c>
      <c r="G9840">
        <v>5</v>
      </c>
      <c r="H9840" t="s">
        <v>19</v>
      </c>
    </row>
    <row r="9841" spans="1:8" x14ac:dyDescent="0.25">
      <c r="A9841" t="str">
        <f>"&lt;nominal&gt;" &amp;$D$9840&amp;"&lt;/nominal&gt;"</f>
        <v>&lt;nominal&gt;10&lt;/nominal&gt;</v>
      </c>
      <c r="B9841" t="s">
        <v>911</v>
      </c>
    </row>
    <row r="9842" spans="1:8" x14ac:dyDescent="0.25">
      <c r="A9842" t="str">
        <f>"&lt;lifetime&gt;" &amp;$E$9840&amp;"&lt;/lifetime&gt;"</f>
        <v>&lt;lifetime&gt;2700&lt;/lifetime&gt;</v>
      </c>
      <c r="B9842" t="s">
        <v>911</v>
      </c>
    </row>
    <row r="9843" spans="1:8" x14ac:dyDescent="0.25">
      <c r="A9843" t="str">
        <f>"&lt;restock&gt;" &amp;$F$9840&amp;"&lt;/restock&gt;"</f>
        <v>&lt;restock&gt;0&lt;/restock&gt;</v>
      </c>
      <c r="B9843" t="s">
        <v>911</v>
      </c>
    </row>
    <row r="9844" spans="1:8" x14ac:dyDescent="0.25">
      <c r="A9844" t="str">
        <f>"&lt;min&gt;" &amp;$G$9840&amp;"&lt;/min&gt;"</f>
        <v>&lt;min&gt;5&lt;/min&gt;</v>
      </c>
      <c r="B9844" t="s">
        <v>911</v>
      </c>
    </row>
    <row r="9845" spans="1:8" x14ac:dyDescent="0.25">
      <c r="A9845" t="s">
        <v>16</v>
      </c>
      <c r="B9845" t="s">
        <v>911</v>
      </c>
    </row>
    <row r="9846" spans="1:8" x14ac:dyDescent="0.25">
      <c r="A9846" t="s">
        <v>17</v>
      </c>
      <c r="B9846" t="s">
        <v>911</v>
      </c>
    </row>
    <row r="9847" spans="1:8" x14ac:dyDescent="0.25">
      <c r="A9847" t="s">
        <v>18</v>
      </c>
      <c r="B9847" t="s">
        <v>911</v>
      </c>
    </row>
    <row r="9848" spans="1:8" x14ac:dyDescent="0.25">
      <c r="A9848" t="str">
        <f xml:space="preserve"> $H$9840</f>
        <v>&lt;flags count_in_cargo="0" count_in_hoarder="0" count_in_map="1" count_in_player="0" crafted="0" deloot="0"/&gt;</v>
      </c>
      <c r="B9848" t="s">
        <v>911</v>
      </c>
    </row>
    <row r="9849" spans="1:8" x14ac:dyDescent="0.25">
      <c r="A9849" t="str">
        <f>"&lt;category name=" &amp;"""" &amp;$C$9840&amp;"""/&gt;"</f>
        <v>&lt;category name="clothes"/&gt;</v>
      </c>
      <c r="B9849" t="s">
        <v>911</v>
      </c>
    </row>
    <row r="9850" spans="1:8" x14ac:dyDescent="0.25">
      <c r="A9850" t="s">
        <v>29</v>
      </c>
      <c r="B9850" t="s">
        <v>911</v>
      </c>
    </row>
    <row r="9851" spans="1:8" x14ac:dyDescent="0.25">
      <c r="A9851" t="s">
        <v>21</v>
      </c>
      <c r="B9851" t="s">
        <v>911</v>
      </c>
    </row>
    <row r="9852" spans="1:8" x14ac:dyDescent="0.25">
      <c r="A9852" t="s">
        <v>26</v>
      </c>
      <c r="B9852" t="s">
        <v>911</v>
      </c>
    </row>
    <row r="9853" spans="1:8" x14ac:dyDescent="0.25">
      <c r="A9853" t="s">
        <v>22</v>
      </c>
      <c r="B9853" t="s">
        <v>911</v>
      </c>
    </row>
    <row r="9854" spans="1:8" x14ac:dyDescent="0.25">
      <c r="A9854" t="s">
        <v>2154</v>
      </c>
      <c r="B9854" t="s">
        <v>912</v>
      </c>
      <c r="C9854" t="s">
        <v>403</v>
      </c>
      <c r="D9854">
        <v>10</v>
      </c>
      <c r="E9854">
        <v>2700</v>
      </c>
      <c r="F9854">
        <v>0</v>
      </c>
      <c r="G9854">
        <v>5</v>
      </c>
      <c r="H9854" t="s">
        <v>19</v>
      </c>
    </row>
    <row r="9855" spans="1:8" x14ac:dyDescent="0.25">
      <c r="A9855" t="str">
        <f>"&lt;nominal&gt;" &amp;$D$9854&amp;"&lt;/nominal&gt;"</f>
        <v>&lt;nominal&gt;10&lt;/nominal&gt;</v>
      </c>
      <c r="B9855" t="s">
        <v>912</v>
      </c>
    </row>
    <row r="9856" spans="1:8" x14ac:dyDescent="0.25">
      <c r="A9856" t="str">
        <f>"&lt;lifetime&gt;" &amp;$E$9854&amp;"&lt;/lifetime&gt;"</f>
        <v>&lt;lifetime&gt;2700&lt;/lifetime&gt;</v>
      </c>
      <c r="B9856" t="s">
        <v>912</v>
      </c>
    </row>
    <row r="9857" spans="1:8" x14ac:dyDescent="0.25">
      <c r="A9857" t="str">
        <f>"&lt;restock&gt;" &amp;$F$9854&amp;"&lt;/restock&gt;"</f>
        <v>&lt;restock&gt;0&lt;/restock&gt;</v>
      </c>
      <c r="B9857" t="s">
        <v>912</v>
      </c>
    </row>
    <row r="9858" spans="1:8" x14ac:dyDescent="0.25">
      <c r="A9858" t="str">
        <f>"&lt;min&gt;" &amp;$G$9854&amp;"&lt;/min&gt;"</f>
        <v>&lt;min&gt;5&lt;/min&gt;</v>
      </c>
      <c r="B9858" t="s">
        <v>912</v>
      </c>
    </row>
    <row r="9859" spans="1:8" x14ac:dyDescent="0.25">
      <c r="A9859" t="s">
        <v>16</v>
      </c>
      <c r="B9859" t="s">
        <v>912</v>
      </c>
    </row>
    <row r="9860" spans="1:8" x14ac:dyDescent="0.25">
      <c r="A9860" t="s">
        <v>17</v>
      </c>
      <c r="B9860" t="s">
        <v>912</v>
      </c>
    </row>
    <row r="9861" spans="1:8" x14ac:dyDescent="0.25">
      <c r="A9861" t="s">
        <v>18</v>
      </c>
      <c r="B9861" t="s">
        <v>912</v>
      </c>
    </row>
    <row r="9862" spans="1:8" x14ac:dyDescent="0.25">
      <c r="A9862" t="str">
        <f xml:space="preserve"> $H$9854</f>
        <v>&lt;flags count_in_cargo="0" count_in_hoarder="0" count_in_map="1" count_in_player="0" crafted="0" deloot="0"/&gt;</v>
      </c>
      <c r="B9862" t="s">
        <v>912</v>
      </c>
    </row>
    <row r="9863" spans="1:8" x14ac:dyDescent="0.25">
      <c r="A9863" t="str">
        <f>"&lt;category name=" &amp;"""" &amp;$C$9854&amp;"""/&gt;"</f>
        <v>&lt;category name="clothes"/&gt;</v>
      </c>
      <c r="B9863" t="s">
        <v>912</v>
      </c>
    </row>
    <row r="9864" spans="1:8" x14ac:dyDescent="0.25">
      <c r="A9864" t="s">
        <v>29</v>
      </c>
      <c r="B9864" t="s">
        <v>912</v>
      </c>
    </row>
    <row r="9865" spans="1:8" x14ac:dyDescent="0.25">
      <c r="A9865" t="s">
        <v>21</v>
      </c>
      <c r="B9865" t="s">
        <v>912</v>
      </c>
    </row>
    <row r="9866" spans="1:8" x14ac:dyDescent="0.25">
      <c r="A9866" t="s">
        <v>26</v>
      </c>
      <c r="B9866" t="s">
        <v>912</v>
      </c>
    </row>
    <row r="9867" spans="1:8" x14ac:dyDescent="0.25">
      <c r="A9867" t="s">
        <v>22</v>
      </c>
      <c r="B9867" t="s">
        <v>912</v>
      </c>
    </row>
    <row r="9868" spans="1:8" x14ac:dyDescent="0.25">
      <c r="A9868" t="s">
        <v>2155</v>
      </c>
      <c r="B9868" t="s">
        <v>913</v>
      </c>
      <c r="C9868" t="s">
        <v>426</v>
      </c>
      <c r="D9868">
        <v>5</v>
      </c>
      <c r="E9868">
        <v>14400</v>
      </c>
      <c r="F9868">
        <v>3600</v>
      </c>
      <c r="G9868">
        <v>3</v>
      </c>
      <c r="H9868" t="s">
        <v>19</v>
      </c>
    </row>
    <row r="9869" spans="1:8" x14ac:dyDescent="0.25">
      <c r="A9869" t="str">
        <f>"&lt;nominal&gt;" &amp;$D$9868&amp;"&lt;/nominal&gt;"</f>
        <v>&lt;nominal&gt;5&lt;/nominal&gt;</v>
      </c>
      <c r="B9869" t="s">
        <v>913</v>
      </c>
    </row>
    <row r="9870" spans="1:8" x14ac:dyDescent="0.25">
      <c r="A9870" t="str">
        <f>"&lt;lifetime&gt;" &amp;$E$9868&amp;"&lt;/lifetime&gt;"</f>
        <v>&lt;lifetime&gt;14400&lt;/lifetime&gt;</v>
      </c>
      <c r="B9870" t="s">
        <v>913</v>
      </c>
    </row>
    <row r="9871" spans="1:8" x14ac:dyDescent="0.25">
      <c r="A9871" t="str">
        <f>"&lt;restock&gt;" &amp;$F$9868&amp;"&lt;/restock&gt;"</f>
        <v>&lt;restock&gt;3600&lt;/restock&gt;</v>
      </c>
      <c r="B9871" t="s">
        <v>913</v>
      </c>
    </row>
    <row r="9872" spans="1:8" x14ac:dyDescent="0.25">
      <c r="A9872" t="str">
        <f>"&lt;min&gt;" &amp;$G$9868&amp;"&lt;/min&gt;"</f>
        <v>&lt;min&gt;3&lt;/min&gt;</v>
      </c>
      <c r="B9872" t="s">
        <v>913</v>
      </c>
    </row>
    <row r="9873" spans="1:8" x14ac:dyDescent="0.25">
      <c r="A9873" t="s">
        <v>16</v>
      </c>
      <c r="B9873" t="s">
        <v>913</v>
      </c>
    </row>
    <row r="9874" spans="1:8" x14ac:dyDescent="0.25">
      <c r="A9874" t="s">
        <v>17</v>
      </c>
      <c r="B9874" t="s">
        <v>913</v>
      </c>
    </row>
    <row r="9875" spans="1:8" x14ac:dyDescent="0.25">
      <c r="A9875" t="s">
        <v>18</v>
      </c>
      <c r="B9875" t="s">
        <v>913</v>
      </c>
    </row>
    <row r="9876" spans="1:8" x14ac:dyDescent="0.25">
      <c r="A9876" t="str">
        <f xml:space="preserve"> $H$9868</f>
        <v>&lt;flags count_in_cargo="0" count_in_hoarder="0" count_in_map="1" count_in_player="0" crafted="0" deloot="0"/&gt;</v>
      </c>
      <c r="B9876" t="s">
        <v>913</v>
      </c>
    </row>
    <row r="9877" spans="1:8" x14ac:dyDescent="0.25">
      <c r="A9877" t="str">
        <f>"&lt;category name=" &amp;"""" &amp;$C$9868&amp;"""/&gt;"</f>
        <v>&lt;category name="tools"/&gt;</v>
      </c>
      <c r="B9877" t="s">
        <v>913</v>
      </c>
    </row>
    <row r="9878" spans="1:8" x14ac:dyDescent="0.25">
      <c r="A9878" t="s">
        <v>29</v>
      </c>
      <c r="B9878" t="s">
        <v>913</v>
      </c>
    </row>
    <row r="9879" spans="1:8" x14ac:dyDescent="0.25">
      <c r="A9879" t="s">
        <v>31</v>
      </c>
      <c r="B9879" t="s">
        <v>913</v>
      </c>
    </row>
    <row r="9880" spans="1:8" x14ac:dyDescent="0.25">
      <c r="A9880" t="s">
        <v>307</v>
      </c>
      <c r="B9880" t="s">
        <v>913</v>
      </c>
    </row>
    <row r="9881" spans="1:8" x14ac:dyDescent="0.25">
      <c r="A9881" t="s">
        <v>22</v>
      </c>
      <c r="B9881" t="s">
        <v>913</v>
      </c>
    </row>
    <row r="9882" spans="1:8" x14ac:dyDescent="0.25">
      <c r="A9882" t="s">
        <v>2156</v>
      </c>
      <c r="B9882" t="s">
        <v>914</v>
      </c>
      <c r="C9882" t="s">
        <v>8</v>
      </c>
      <c r="D9882">
        <v>5</v>
      </c>
      <c r="E9882">
        <v>14400</v>
      </c>
      <c r="F9882">
        <v>3600</v>
      </c>
      <c r="G9882">
        <v>3</v>
      </c>
      <c r="H9882" t="s">
        <v>19</v>
      </c>
    </row>
    <row r="9883" spans="1:8" x14ac:dyDescent="0.25">
      <c r="A9883" t="str">
        <f>"&lt;nominal&gt;" &amp;$D$9882&amp;"&lt;/nominal&gt;"</f>
        <v>&lt;nominal&gt;5&lt;/nominal&gt;</v>
      </c>
      <c r="B9883" t="s">
        <v>914</v>
      </c>
    </row>
    <row r="9884" spans="1:8" x14ac:dyDescent="0.25">
      <c r="A9884" t="str">
        <f>"&lt;lifetime&gt;" &amp;$E$9882&amp;"&lt;/lifetime&gt;"</f>
        <v>&lt;lifetime&gt;14400&lt;/lifetime&gt;</v>
      </c>
      <c r="B9884" t="s">
        <v>914</v>
      </c>
    </row>
    <row r="9885" spans="1:8" x14ac:dyDescent="0.25">
      <c r="A9885" t="str">
        <f>"&lt;restock&gt;" &amp;$F$9882&amp;"&lt;/restock&gt;"</f>
        <v>&lt;restock&gt;3600&lt;/restock&gt;</v>
      </c>
      <c r="B9885" t="s">
        <v>914</v>
      </c>
    </row>
    <row r="9886" spans="1:8" x14ac:dyDescent="0.25">
      <c r="A9886" t="str">
        <f>"&lt;min&gt;" &amp;$G$9882&amp;"&lt;/min&gt;"</f>
        <v>&lt;min&gt;3&lt;/min&gt;</v>
      </c>
      <c r="B9886" t="s">
        <v>914</v>
      </c>
    </row>
    <row r="9887" spans="1:8" x14ac:dyDescent="0.25">
      <c r="A9887" t="s">
        <v>16</v>
      </c>
      <c r="B9887" t="s">
        <v>914</v>
      </c>
    </row>
    <row r="9888" spans="1:8" x14ac:dyDescent="0.25">
      <c r="A9888" t="s">
        <v>17</v>
      </c>
      <c r="B9888" t="s">
        <v>914</v>
      </c>
    </row>
    <row r="9889" spans="1:8" x14ac:dyDescent="0.25">
      <c r="A9889" t="s">
        <v>18</v>
      </c>
      <c r="B9889" t="s">
        <v>914</v>
      </c>
    </row>
    <row r="9890" spans="1:8" x14ac:dyDescent="0.25">
      <c r="A9890" t="str">
        <f xml:space="preserve"> $H$9882</f>
        <v>&lt;flags count_in_cargo="0" count_in_hoarder="0" count_in_map="1" count_in_player="0" crafted="0" deloot="0"/&gt;</v>
      </c>
      <c r="B9890" t="s">
        <v>914</v>
      </c>
    </row>
    <row r="9891" spans="1:8" x14ac:dyDescent="0.25">
      <c r="A9891" t="str">
        <f>"&lt;category name=" &amp;"""" &amp;$C$9882&amp;"""/&gt;"</f>
        <v>&lt;category name="weapons"/&gt;</v>
      </c>
      <c r="B9891" t="s">
        <v>914</v>
      </c>
    </row>
    <row r="9892" spans="1:8" x14ac:dyDescent="0.25">
      <c r="A9892" t="s">
        <v>29</v>
      </c>
      <c r="B9892" t="s">
        <v>914</v>
      </c>
    </row>
    <row r="9893" spans="1:8" x14ac:dyDescent="0.25">
      <c r="A9893" t="s">
        <v>30</v>
      </c>
      <c r="B9893" t="s">
        <v>914</v>
      </c>
    </row>
    <row r="9894" spans="1:8" x14ac:dyDescent="0.25">
      <c r="A9894" t="s">
        <v>31</v>
      </c>
      <c r="B9894" t="s">
        <v>914</v>
      </c>
    </row>
    <row r="9895" spans="1:8" x14ac:dyDescent="0.25">
      <c r="A9895" t="s">
        <v>307</v>
      </c>
      <c r="B9895" t="s">
        <v>914</v>
      </c>
    </row>
    <row r="9896" spans="1:8" x14ac:dyDescent="0.25">
      <c r="A9896" t="s">
        <v>22</v>
      </c>
      <c r="B9896" t="s">
        <v>914</v>
      </c>
    </row>
    <row r="9897" spans="1:8" x14ac:dyDescent="0.25">
      <c r="A9897" t="s">
        <v>2157</v>
      </c>
      <c r="B9897" t="s">
        <v>3002</v>
      </c>
      <c r="C9897" t="s">
        <v>426</v>
      </c>
      <c r="D9897">
        <v>0</v>
      </c>
      <c r="E9897">
        <v>7200</v>
      </c>
      <c r="F9897">
        <v>0</v>
      </c>
      <c r="G9897">
        <v>0</v>
      </c>
      <c r="H9897" t="s">
        <v>62</v>
      </c>
    </row>
    <row r="9898" spans="1:8" x14ac:dyDescent="0.25">
      <c r="A9898" t="str">
        <f>"&lt;nominal&gt;" &amp;$D$9897&amp;"&lt;/nominal&gt;"</f>
        <v>&lt;nominal&gt;0&lt;/nominal&gt;</v>
      </c>
      <c r="B9898" t="s">
        <v>3002</v>
      </c>
    </row>
    <row r="9899" spans="1:8" x14ac:dyDescent="0.25">
      <c r="A9899" t="str">
        <f>"&lt;lifetime&gt;" &amp;$E$9897&amp;"&lt;/lifetime&gt;"</f>
        <v>&lt;lifetime&gt;7200&lt;/lifetime&gt;</v>
      </c>
      <c r="B9899" t="s">
        <v>3002</v>
      </c>
    </row>
    <row r="9900" spans="1:8" x14ac:dyDescent="0.25">
      <c r="A9900" t="str">
        <f>"&lt;restock&gt;" &amp;$F$9897&amp;"&lt;/restock&gt;"</f>
        <v>&lt;restock&gt;0&lt;/restock&gt;</v>
      </c>
      <c r="B9900" t="s">
        <v>3002</v>
      </c>
    </row>
    <row r="9901" spans="1:8" x14ac:dyDescent="0.25">
      <c r="A9901" t="str">
        <f>"&lt;min&gt;" &amp;$G$9897&amp;"&lt;/min&gt;"</f>
        <v>&lt;min&gt;0&lt;/min&gt;</v>
      </c>
      <c r="B9901" t="s">
        <v>3002</v>
      </c>
    </row>
    <row r="9902" spans="1:8" x14ac:dyDescent="0.25">
      <c r="A9902" t="s">
        <v>16</v>
      </c>
      <c r="B9902" t="s">
        <v>3002</v>
      </c>
    </row>
    <row r="9903" spans="1:8" x14ac:dyDescent="0.25">
      <c r="A9903" t="s">
        <v>17</v>
      </c>
      <c r="B9903" t="s">
        <v>3002</v>
      </c>
    </row>
    <row r="9904" spans="1:8" x14ac:dyDescent="0.25">
      <c r="A9904" t="s">
        <v>18</v>
      </c>
      <c r="B9904" t="s">
        <v>3002</v>
      </c>
    </row>
    <row r="9905" spans="1:8" x14ac:dyDescent="0.25">
      <c r="A9905" t="str">
        <f xml:space="preserve"> $H$9897</f>
        <v>&lt;flags count_in_cargo="0" count_in_hoarder="0" count_in_map="1" count_in_player="0" crafted="1" deloot="0"/&gt;</v>
      </c>
      <c r="B9905" t="s">
        <v>3002</v>
      </c>
    </row>
    <row r="9906" spans="1:8" x14ac:dyDescent="0.25">
      <c r="A9906" t="str">
        <f>"&lt;category name=" &amp;"""" &amp;$C$9897&amp;"""/&gt;"</f>
        <v>&lt;category name="tools"/&gt;</v>
      </c>
      <c r="B9906" t="s">
        <v>3002</v>
      </c>
    </row>
    <row r="9907" spans="1:8" x14ac:dyDescent="0.25">
      <c r="A9907" t="s">
        <v>22</v>
      </c>
      <c r="B9907" t="s">
        <v>3002</v>
      </c>
    </row>
    <row r="9908" spans="1:8" x14ac:dyDescent="0.25">
      <c r="A9908" t="s">
        <v>2158</v>
      </c>
      <c r="B9908" t="s">
        <v>915</v>
      </c>
      <c r="C9908" t="s">
        <v>426</v>
      </c>
      <c r="D9908">
        <v>90</v>
      </c>
      <c r="E9908">
        <v>7200</v>
      </c>
      <c r="F9908">
        <v>0</v>
      </c>
      <c r="G9908">
        <v>70</v>
      </c>
      <c r="H9908" t="s">
        <v>19</v>
      </c>
    </row>
    <row r="9909" spans="1:8" x14ac:dyDescent="0.25">
      <c r="A9909" t="str">
        <f>"&lt;nominal&gt;" &amp;$D$9908&amp;"&lt;/nominal&gt;"</f>
        <v>&lt;nominal&gt;90&lt;/nominal&gt;</v>
      </c>
      <c r="B9909" t="s">
        <v>915</v>
      </c>
    </row>
    <row r="9910" spans="1:8" x14ac:dyDescent="0.25">
      <c r="A9910" t="str">
        <f>"&lt;lifetime&gt;" &amp;$E$9908&amp;"&lt;/lifetime&gt;"</f>
        <v>&lt;lifetime&gt;7200&lt;/lifetime&gt;</v>
      </c>
      <c r="B9910" t="s">
        <v>915</v>
      </c>
    </row>
    <row r="9911" spans="1:8" x14ac:dyDescent="0.25">
      <c r="A9911" t="str">
        <f>"&lt;restock&gt;" &amp;$F$9908&amp;"&lt;/restock&gt;"</f>
        <v>&lt;restock&gt;0&lt;/restock&gt;</v>
      </c>
      <c r="B9911" t="s">
        <v>915</v>
      </c>
    </row>
    <row r="9912" spans="1:8" x14ac:dyDescent="0.25">
      <c r="A9912" t="str">
        <f>"&lt;min&gt;" &amp;$G$9908&amp;"&lt;/min&gt;"</f>
        <v>&lt;min&gt;70&lt;/min&gt;</v>
      </c>
      <c r="B9912" t="s">
        <v>915</v>
      </c>
    </row>
    <row r="9913" spans="1:8" x14ac:dyDescent="0.25">
      <c r="A9913" t="s">
        <v>16</v>
      </c>
      <c r="B9913" t="s">
        <v>915</v>
      </c>
    </row>
    <row r="9914" spans="1:8" x14ac:dyDescent="0.25">
      <c r="A9914" t="s">
        <v>17</v>
      </c>
      <c r="B9914" t="s">
        <v>915</v>
      </c>
    </row>
    <row r="9915" spans="1:8" x14ac:dyDescent="0.25">
      <c r="A9915" t="s">
        <v>18</v>
      </c>
      <c r="B9915" t="s">
        <v>915</v>
      </c>
    </row>
    <row r="9916" spans="1:8" x14ac:dyDescent="0.25">
      <c r="A9916" t="str">
        <f xml:space="preserve"> $H$9908</f>
        <v>&lt;flags count_in_cargo="0" count_in_hoarder="0" count_in_map="1" count_in_player="0" crafted="0" deloot="0"/&gt;</v>
      </c>
      <c r="B9916" t="s">
        <v>915</v>
      </c>
    </row>
    <row r="9917" spans="1:8" x14ac:dyDescent="0.25">
      <c r="A9917" t="str">
        <f>"&lt;category name=" &amp;"""" &amp;$C$9908&amp;"""/&gt;"</f>
        <v>&lt;category name="tools"/&gt;</v>
      </c>
      <c r="B9917" t="s">
        <v>915</v>
      </c>
    </row>
    <row r="9918" spans="1:8" x14ac:dyDescent="0.25">
      <c r="A9918" t="s">
        <v>20</v>
      </c>
      <c r="B9918" t="s">
        <v>915</v>
      </c>
    </row>
    <row r="9919" spans="1:8" x14ac:dyDescent="0.25">
      <c r="A9919" t="s">
        <v>55</v>
      </c>
      <c r="B9919" t="s">
        <v>915</v>
      </c>
    </row>
    <row r="9920" spans="1:8" x14ac:dyDescent="0.25">
      <c r="A9920" t="s">
        <v>56</v>
      </c>
      <c r="B9920" t="s">
        <v>915</v>
      </c>
    </row>
    <row r="9921" spans="1:8" x14ac:dyDescent="0.25">
      <c r="A9921" t="s">
        <v>22</v>
      </c>
      <c r="B9921" t="s">
        <v>915</v>
      </c>
    </row>
    <row r="9922" spans="1:8" x14ac:dyDescent="0.25">
      <c r="A9922" t="s">
        <v>2159</v>
      </c>
      <c r="B9922" t="s">
        <v>3003</v>
      </c>
      <c r="C9922" t="s">
        <v>426</v>
      </c>
      <c r="D9922">
        <v>0</v>
      </c>
      <c r="E9922">
        <v>7200</v>
      </c>
      <c r="F9922">
        <v>0</v>
      </c>
      <c r="G9922">
        <v>0</v>
      </c>
      <c r="H9922" t="s">
        <v>62</v>
      </c>
    </row>
    <row r="9923" spans="1:8" x14ac:dyDescent="0.25">
      <c r="A9923" t="str">
        <f>"&lt;nominal&gt;" &amp;$D$9922&amp;"&lt;/nominal&gt;"</f>
        <v>&lt;nominal&gt;0&lt;/nominal&gt;</v>
      </c>
      <c r="B9923" t="s">
        <v>3003</v>
      </c>
    </row>
    <row r="9924" spans="1:8" x14ac:dyDescent="0.25">
      <c r="A9924" t="str">
        <f>"&lt;lifetime&gt;" &amp;$E$9922&amp;"&lt;/lifetime&gt;"</f>
        <v>&lt;lifetime&gt;7200&lt;/lifetime&gt;</v>
      </c>
      <c r="B9924" t="s">
        <v>3003</v>
      </c>
    </row>
    <row r="9925" spans="1:8" x14ac:dyDescent="0.25">
      <c r="A9925" t="str">
        <f>"&lt;restock&gt;" &amp;$F$9922&amp;"&lt;/restock&gt;"</f>
        <v>&lt;restock&gt;0&lt;/restock&gt;</v>
      </c>
      <c r="B9925" t="s">
        <v>3003</v>
      </c>
    </row>
    <row r="9926" spans="1:8" x14ac:dyDescent="0.25">
      <c r="A9926" t="str">
        <f>"&lt;min&gt;" &amp;$G$9922&amp;"&lt;/min&gt;"</f>
        <v>&lt;min&gt;0&lt;/min&gt;</v>
      </c>
      <c r="B9926" t="s">
        <v>3003</v>
      </c>
    </row>
    <row r="9927" spans="1:8" x14ac:dyDescent="0.25">
      <c r="A9927" t="s">
        <v>16</v>
      </c>
      <c r="B9927" t="s">
        <v>3003</v>
      </c>
    </row>
    <row r="9928" spans="1:8" x14ac:dyDescent="0.25">
      <c r="A9928" t="s">
        <v>17</v>
      </c>
      <c r="B9928" t="s">
        <v>3003</v>
      </c>
    </row>
    <row r="9929" spans="1:8" x14ac:dyDescent="0.25">
      <c r="A9929" t="s">
        <v>18</v>
      </c>
      <c r="B9929" t="s">
        <v>3003</v>
      </c>
    </row>
    <row r="9930" spans="1:8" x14ac:dyDescent="0.25">
      <c r="A9930" t="str">
        <f xml:space="preserve"> $H$9922</f>
        <v>&lt;flags count_in_cargo="0" count_in_hoarder="0" count_in_map="1" count_in_player="0" crafted="1" deloot="0"/&gt;</v>
      </c>
      <c r="B9930" t="s">
        <v>3003</v>
      </c>
    </row>
    <row r="9931" spans="1:8" x14ac:dyDescent="0.25">
      <c r="A9931" t="str">
        <f>"&lt;category name=" &amp;"""" &amp;$C$9922&amp;"""/&gt;"</f>
        <v>&lt;category name="tools"/&gt;</v>
      </c>
      <c r="B9931" t="s">
        <v>3003</v>
      </c>
    </row>
    <row r="9932" spans="1:8" x14ac:dyDescent="0.25">
      <c r="A9932" t="s">
        <v>22</v>
      </c>
      <c r="B9932" t="s">
        <v>3003</v>
      </c>
    </row>
    <row r="9933" spans="1:8" x14ac:dyDescent="0.25">
      <c r="A9933" t="s">
        <v>2160</v>
      </c>
      <c r="B9933" t="s">
        <v>916</v>
      </c>
      <c r="C9933" t="s">
        <v>426</v>
      </c>
      <c r="D9933">
        <v>50</v>
      </c>
      <c r="E9933">
        <v>7200</v>
      </c>
      <c r="F9933">
        <v>0</v>
      </c>
      <c r="G9933">
        <v>30</v>
      </c>
      <c r="H9933" t="s">
        <v>19</v>
      </c>
    </row>
    <row r="9934" spans="1:8" x14ac:dyDescent="0.25">
      <c r="A9934" t="str">
        <f>"&lt;nominal&gt;" &amp;$D$9933&amp;"&lt;/nominal&gt;"</f>
        <v>&lt;nominal&gt;50&lt;/nominal&gt;</v>
      </c>
      <c r="B9934" t="s">
        <v>916</v>
      </c>
    </row>
    <row r="9935" spans="1:8" x14ac:dyDescent="0.25">
      <c r="A9935" t="str">
        <f>"&lt;lifetime&gt;" &amp;$E$9933&amp;"&lt;/lifetime&gt;"</f>
        <v>&lt;lifetime&gt;7200&lt;/lifetime&gt;</v>
      </c>
      <c r="B9935" t="s">
        <v>916</v>
      </c>
    </row>
    <row r="9936" spans="1:8" x14ac:dyDescent="0.25">
      <c r="A9936" t="str">
        <f>"&lt;restock&gt;" &amp;$F$9933&amp;"&lt;/restock&gt;"</f>
        <v>&lt;restock&gt;0&lt;/restock&gt;</v>
      </c>
      <c r="B9936" t="s">
        <v>916</v>
      </c>
    </row>
    <row r="9937" spans="1:8" x14ac:dyDescent="0.25">
      <c r="A9937" t="str">
        <f>"&lt;min&gt;" &amp;$G$9933&amp;"&lt;/min&gt;"</f>
        <v>&lt;min&gt;30&lt;/min&gt;</v>
      </c>
      <c r="B9937" t="s">
        <v>916</v>
      </c>
    </row>
    <row r="9938" spans="1:8" x14ac:dyDescent="0.25">
      <c r="A9938" t="s">
        <v>16</v>
      </c>
      <c r="B9938" t="s">
        <v>916</v>
      </c>
    </row>
    <row r="9939" spans="1:8" x14ac:dyDescent="0.25">
      <c r="A9939" t="s">
        <v>17</v>
      </c>
      <c r="B9939" t="s">
        <v>916</v>
      </c>
    </row>
    <row r="9940" spans="1:8" x14ac:dyDescent="0.25">
      <c r="A9940" t="s">
        <v>18</v>
      </c>
      <c r="B9940" t="s">
        <v>916</v>
      </c>
    </row>
    <row r="9941" spans="1:8" x14ac:dyDescent="0.25">
      <c r="A9941" t="str">
        <f xml:space="preserve"> $H$9933</f>
        <v>&lt;flags count_in_cargo="0" count_in_hoarder="0" count_in_map="1" count_in_player="0" crafted="0" deloot="0"/&gt;</v>
      </c>
      <c r="B9941" t="s">
        <v>916</v>
      </c>
    </row>
    <row r="9942" spans="1:8" x14ac:dyDescent="0.25">
      <c r="A9942" t="str">
        <f>"&lt;category name=" &amp;"""" &amp;$C$9933&amp;"""/&gt;"</f>
        <v>&lt;category name="tools"/&gt;</v>
      </c>
      <c r="B9942" t="s">
        <v>916</v>
      </c>
    </row>
    <row r="9943" spans="1:8" x14ac:dyDescent="0.25">
      <c r="A9943" t="s">
        <v>55</v>
      </c>
      <c r="B9943" t="s">
        <v>916</v>
      </c>
    </row>
    <row r="9944" spans="1:8" x14ac:dyDescent="0.25">
      <c r="A9944" t="s">
        <v>1616</v>
      </c>
      <c r="B9944" t="s">
        <v>916</v>
      </c>
    </row>
    <row r="9945" spans="1:8" x14ac:dyDescent="0.25">
      <c r="A9945" t="s">
        <v>22</v>
      </c>
      <c r="B9945" t="s">
        <v>916</v>
      </c>
    </row>
    <row r="9946" spans="1:8" x14ac:dyDescent="0.25">
      <c r="A9946" t="s">
        <v>2161</v>
      </c>
      <c r="B9946" t="s">
        <v>917</v>
      </c>
      <c r="C9946" t="s">
        <v>403</v>
      </c>
      <c r="D9946">
        <v>25</v>
      </c>
      <c r="E9946">
        <v>5600</v>
      </c>
      <c r="F9946">
        <v>0</v>
      </c>
      <c r="G9946">
        <v>15</v>
      </c>
      <c r="H9946" t="s">
        <v>19</v>
      </c>
    </row>
    <row r="9947" spans="1:8" x14ac:dyDescent="0.25">
      <c r="A9947" t="str">
        <f>"&lt;nominal&gt;" &amp;$D$9946&amp;"&lt;/nominal&gt;"</f>
        <v>&lt;nominal&gt;25&lt;/nominal&gt;</v>
      </c>
      <c r="B9947" t="s">
        <v>917</v>
      </c>
    </row>
    <row r="9948" spans="1:8" x14ac:dyDescent="0.25">
      <c r="A9948" t="str">
        <f>"&lt;lifetime&gt;" &amp;$E$9946&amp;"&lt;/lifetime&gt;"</f>
        <v>&lt;lifetime&gt;5600&lt;/lifetime&gt;</v>
      </c>
      <c r="B9948" t="s">
        <v>917</v>
      </c>
    </row>
    <row r="9949" spans="1:8" x14ac:dyDescent="0.25">
      <c r="A9949" t="str">
        <f>"&lt;restock&gt;" &amp;$F$9946&amp;"&lt;/restock&gt;"</f>
        <v>&lt;restock&gt;0&lt;/restock&gt;</v>
      </c>
      <c r="B9949" t="s">
        <v>917</v>
      </c>
    </row>
    <row r="9950" spans="1:8" x14ac:dyDescent="0.25">
      <c r="A9950" t="str">
        <f>"&lt;min&gt;" &amp;$G$9946&amp;"&lt;/min&gt;"</f>
        <v>&lt;min&gt;15&lt;/min&gt;</v>
      </c>
      <c r="B9950" t="s">
        <v>917</v>
      </c>
    </row>
    <row r="9951" spans="1:8" x14ac:dyDescent="0.25">
      <c r="A9951" t="s">
        <v>16</v>
      </c>
      <c r="B9951" t="s">
        <v>917</v>
      </c>
    </row>
    <row r="9952" spans="1:8" x14ac:dyDescent="0.25">
      <c r="A9952" t="s">
        <v>17</v>
      </c>
      <c r="B9952" t="s">
        <v>917</v>
      </c>
    </row>
    <row r="9953" spans="1:8" x14ac:dyDescent="0.25">
      <c r="A9953" t="s">
        <v>18</v>
      </c>
      <c r="B9953" t="s">
        <v>917</v>
      </c>
    </row>
    <row r="9954" spans="1:8" x14ac:dyDescent="0.25">
      <c r="A9954" t="str">
        <f xml:space="preserve"> $H$9946</f>
        <v>&lt;flags count_in_cargo="0" count_in_hoarder="0" count_in_map="1" count_in_player="0" crafted="0" deloot="0"/&gt;</v>
      </c>
      <c r="B9954" t="s">
        <v>917</v>
      </c>
    </row>
    <row r="9955" spans="1:8" x14ac:dyDescent="0.25">
      <c r="A9955" t="str">
        <f>"&lt;category name=" &amp;"""" &amp;$C$9946&amp;"""/&gt;"</f>
        <v>&lt;category name="clothes"/&gt;</v>
      </c>
      <c r="B9955" t="s">
        <v>917</v>
      </c>
    </row>
    <row r="9956" spans="1:8" x14ac:dyDescent="0.25">
      <c r="A9956" t="s">
        <v>21</v>
      </c>
      <c r="B9956" t="s">
        <v>917</v>
      </c>
    </row>
    <row r="9957" spans="1:8" x14ac:dyDescent="0.25">
      <c r="A9957" t="s">
        <v>55</v>
      </c>
      <c r="B9957" t="s">
        <v>917</v>
      </c>
    </row>
    <row r="9958" spans="1:8" x14ac:dyDescent="0.25">
      <c r="A9958" t="s">
        <v>22</v>
      </c>
      <c r="B9958" t="s">
        <v>917</v>
      </c>
    </row>
    <row r="9959" spans="1:8" x14ac:dyDescent="0.25">
      <c r="A9959" t="s">
        <v>2162</v>
      </c>
      <c r="B9959" t="s">
        <v>918</v>
      </c>
      <c r="C9959" t="s">
        <v>403</v>
      </c>
      <c r="D9959">
        <v>8</v>
      </c>
      <c r="E9959">
        <v>5600</v>
      </c>
      <c r="F9959">
        <v>0</v>
      </c>
      <c r="G9959">
        <v>4</v>
      </c>
      <c r="H9959" t="s">
        <v>19</v>
      </c>
    </row>
    <row r="9960" spans="1:8" x14ac:dyDescent="0.25">
      <c r="A9960" t="str">
        <f>"&lt;nominal&gt;" &amp;$D$9959&amp;"&lt;/nominal&gt;"</f>
        <v>&lt;nominal&gt;8&lt;/nominal&gt;</v>
      </c>
      <c r="B9960" t="s">
        <v>918</v>
      </c>
    </row>
    <row r="9961" spans="1:8" x14ac:dyDescent="0.25">
      <c r="A9961" t="str">
        <f>"&lt;lifetime&gt;" &amp;$E$9959&amp;"&lt;/lifetime&gt;"</f>
        <v>&lt;lifetime&gt;5600&lt;/lifetime&gt;</v>
      </c>
      <c r="B9961" t="s">
        <v>918</v>
      </c>
    </row>
    <row r="9962" spans="1:8" x14ac:dyDescent="0.25">
      <c r="A9962" t="str">
        <f>"&lt;restock&gt;" &amp;$F$9959&amp;"&lt;/restock&gt;"</f>
        <v>&lt;restock&gt;0&lt;/restock&gt;</v>
      </c>
      <c r="B9962" t="s">
        <v>918</v>
      </c>
    </row>
    <row r="9963" spans="1:8" x14ac:dyDescent="0.25">
      <c r="A9963" t="str">
        <f>"&lt;min&gt;" &amp;$G$9959&amp;"&lt;/min&gt;"</f>
        <v>&lt;min&gt;4&lt;/min&gt;</v>
      </c>
      <c r="B9963" t="s">
        <v>918</v>
      </c>
    </row>
    <row r="9964" spans="1:8" x14ac:dyDescent="0.25">
      <c r="A9964" t="s">
        <v>16</v>
      </c>
      <c r="B9964" t="s">
        <v>918</v>
      </c>
    </row>
    <row r="9965" spans="1:8" x14ac:dyDescent="0.25">
      <c r="A9965" t="s">
        <v>17</v>
      </c>
      <c r="B9965" t="s">
        <v>918</v>
      </c>
    </row>
    <row r="9966" spans="1:8" x14ac:dyDescent="0.25">
      <c r="A9966" t="s">
        <v>18</v>
      </c>
      <c r="B9966" t="s">
        <v>918</v>
      </c>
    </row>
    <row r="9967" spans="1:8" x14ac:dyDescent="0.25">
      <c r="A9967" t="str">
        <f xml:space="preserve"> $H$9959</f>
        <v>&lt;flags count_in_cargo="0" count_in_hoarder="0" count_in_map="1" count_in_player="0" crafted="0" deloot="0"/&gt;</v>
      </c>
      <c r="B9967" t="s">
        <v>918</v>
      </c>
    </row>
    <row r="9968" spans="1:8" x14ac:dyDescent="0.25">
      <c r="A9968" t="str">
        <f>"&lt;category name=" &amp;"""" &amp;$C$9959&amp;"""/&gt;"</f>
        <v>&lt;category name="clothes"/&gt;</v>
      </c>
      <c r="B9968" t="s">
        <v>918</v>
      </c>
    </row>
    <row r="9969" spans="1:8" x14ac:dyDescent="0.25">
      <c r="A9969" t="s">
        <v>21</v>
      </c>
      <c r="B9969" t="s">
        <v>918</v>
      </c>
    </row>
    <row r="9970" spans="1:8" x14ac:dyDescent="0.25">
      <c r="A9970" t="s">
        <v>82</v>
      </c>
      <c r="B9970" t="s">
        <v>918</v>
      </c>
    </row>
    <row r="9971" spans="1:8" x14ac:dyDescent="0.25">
      <c r="A9971" t="s">
        <v>30</v>
      </c>
      <c r="B9971" t="s">
        <v>918</v>
      </c>
    </row>
    <row r="9972" spans="1:8" x14ac:dyDescent="0.25">
      <c r="A9972" t="s">
        <v>31</v>
      </c>
      <c r="B9972" t="s">
        <v>918</v>
      </c>
    </row>
    <row r="9973" spans="1:8" x14ac:dyDescent="0.25">
      <c r="A9973" t="s">
        <v>307</v>
      </c>
      <c r="B9973" t="s">
        <v>918</v>
      </c>
    </row>
    <row r="9974" spans="1:8" x14ac:dyDescent="0.25">
      <c r="A9974" t="s">
        <v>22</v>
      </c>
      <c r="B9974" t="s">
        <v>918</v>
      </c>
    </row>
    <row r="9975" spans="1:8" x14ac:dyDescent="0.25">
      <c r="A9975" t="s">
        <v>2163</v>
      </c>
      <c r="B9975" t="s">
        <v>919</v>
      </c>
      <c r="C9975" t="s">
        <v>403</v>
      </c>
      <c r="D9975">
        <v>8</v>
      </c>
      <c r="E9975">
        <v>5600</v>
      </c>
      <c r="F9975">
        <v>0</v>
      </c>
      <c r="G9975">
        <v>4</v>
      </c>
      <c r="H9975" t="s">
        <v>19</v>
      </c>
    </row>
    <row r="9976" spans="1:8" x14ac:dyDescent="0.25">
      <c r="A9976" t="str">
        <f>"&lt;nominal&gt;" &amp;$D$9975&amp;"&lt;/nominal&gt;"</f>
        <v>&lt;nominal&gt;8&lt;/nominal&gt;</v>
      </c>
      <c r="B9976" t="s">
        <v>919</v>
      </c>
    </row>
    <row r="9977" spans="1:8" x14ac:dyDescent="0.25">
      <c r="A9977" t="str">
        <f>"&lt;lifetime&gt;" &amp;$E$9975&amp;"&lt;/lifetime&gt;"</f>
        <v>&lt;lifetime&gt;5600&lt;/lifetime&gt;</v>
      </c>
      <c r="B9977" t="s">
        <v>919</v>
      </c>
    </row>
    <row r="9978" spans="1:8" x14ac:dyDescent="0.25">
      <c r="A9978" t="str">
        <f>"&lt;restock&gt;" &amp;$F$9975&amp;"&lt;/restock&gt;"</f>
        <v>&lt;restock&gt;0&lt;/restock&gt;</v>
      </c>
      <c r="B9978" t="s">
        <v>919</v>
      </c>
    </row>
    <row r="9979" spans="1:8" x14ac:dyDescent="0.25">
      <c r="A9979" t="str">
        <f>"&lt;min&gt;" &amp;$G$9975&amp;"&lt;/min&gt;"</f>
        <v>&lt;min&gt;4&lt;/min&gt;</v>
      </c>
      <c r="B9979" t="s">
        <v>919</v>
      </c>
    </row>
    <row r="9980" spans="1:8" x14ac:dyDescent="0.25">
      <c r="A9980" t="s">
        <v>16</v>
      </c>
      <c r="B9980" t="s">
        <v>919</v>
      </c>
    </row>
    <row r="9981" spans="1:8" x14ac:dyDescent="0.25">
      <c r="A9981" t="s">
        <v>17</v>
      </c>
      <c r="B9981" t="s">
        <v>919</v>
      </c>
    </row>
    <row r="9982" spans="1:8" x14ac:dyDescent="0.25">
      <c r="A9982" t="s">
        <v>18</v>
      </c>
      <c r="B9982" t="s">
        <v>919</v>
      </c>
    </row>
    <row r="9983" spans="1:8" x14ac:dyDescent="0.25">
      <c r="A9983" t="str">
        <f xml:space="preserve"> $H$9975</f>
        <v>&lt;flags count_in_cargo="0" count_in_hoarder="0" count_in_map="1" count_in_player="0" crafted="0" deloot="0"/&gt;</v>
      </c>
      <c r="B9983" t="s">
        <v>919</v>
      </c>
    </row>
    <row r="9984" spans="1:8" x14ac:dyDescent="0.25">
      <c r="A9984" t="str">
        <f>"&lt;category name=" &amp;"""" &amp;$C$9975&amp;"""/&gt;"</f>
        <v>&lt;category name="clothes"/&gt;</v>
      </c>
      <c r="B9984" t="s">
        <v>919</v>
      </c>
    </row>
    <row r="9985" spans="1:8" x14ac:dyDescent="0.25">
      <c r="A9985" t="s">
        <v>21</v>
      </c>
      <c r="B9985" t="s">
        <v>919</v>
      </c>
    </row>
    <row r="9986" spans="1:8" x14ac:dyDescent="0.25">
      <c r="A9986" t="s">
        <v>82</v>
      </c>
      <c r="B9986" t="s">
        <v>919</v>
      </c>
    </row>
    <row r="9987" spans="1:8" x14ac:dyDescent="0.25">
      <c r="A9987" t="s">
        <v>30</v>
      </c>
      <c r="B9987" t="s">
        <v>919</v>
      </c>
    </row>
    <row r="9988" spans="1:8" x14ac:dyDescent="0.25">
      <c r="A9988" t="s">
        <v>31</v>
      </c>
      <c r="B9988" t="s">
        <v>919</v>
      </c>
    </row>
    <row r="9989" spans="1:8" x14ac:dyDescent="0.25">
      <c r="A9989" t="s">
        <v>307</v>
      </c>
      <c r="B9989" t="s">
        <v>919</v>
      </c>
    </row>
    <row r="9990" spans="1:8" x14ac:dyDescent="0.25">
      <c r="A9990" t="s">
        <v>22</v>
      </c>
      <c r="B9990" t="s">
        <v>919</v>
      </c>
    </row>
    <row r="9991" spans="1:8" x14ac:dyDescent="0.25">
      <c r="A9991" t="s">
        <v>2164</v>
      </c>
      <c r="B9991" t="s">
        <v>920</v>
      </c>
      <c r="C9991" t="s">
        <v>426</v>
      </c>
      <c r="D9991">
        <v>30</v>
      </c>
      <c r="E9991">
        <v>10800</v>
      </c>
      <c r="F9991">
        <v>0</v>
      </c>
      <c r="G9991">
        <v>15</v>
      </c>
      <c r="H9991" t="s">
        <v>19</v>
      </c>
    </row>
    <row r="9992" spans="1:8" x14ac:dyDescent="0.25">
      <c r="A9992" t="str">
        <f>"&lt;nominal&gt;" &amp;$D$9991&amp;"&lt;/nominal&gt;"</f>
        <v>&lt;nominal&gt;30&lt;/nominal&gt;</v>
      </c>
      <c r="B9992" t="s">
        <v>920</v>
      </c>
    </row>
    <row r="9993" spans="1:8" x14ac:dyDescent="0.25">
      <c r="A9993" t="str">
        <f>"&lt;lifetime&gt;" &amp;$E$9991&amp;"&lt;/lifetime&gt;"</f>
        <v>&lt;lifetime&gt;10800&lt;/lifetime&gt;</v>
      </c>
      <c r="B9993" t="s">
        <v>920</v>
      </c>
    </row>
    <row r="9994" spans="1:8" x14ac:dyDescent="0.25">
      <c r="A9994" t="str">
        <f>"&lt;restock&gt;" &amp;$F$9991&amp;"&lt;/restock&gt;"</f>
        <v>&lt;restock&gt;0&lt;/restock&gt;</v>
      </c>
      <c r="B9994" t="s">
        <v>920</v>
      </c>
    </row>
    <row r="9995" spans="1:8" x14ac:dyDescent="0.25">
      <c r="A9995" t="str">
        <f>"&lt;min&gt;" &amp;$G$9991&amp;"&lt;/min&gt;"</f>
        <v>&lt;min&gt;15&lt;/min&gt;</v>
      </c>
      <c r="B9995" t="s">
        <v>920</v>
      </c>
    </row>
    <row r="9996" spans="1:8" x14ac:dyDescent="0.25">
      <c r="A9996" t="s">
        <v>16</v>
      </c>
      <c r="B9996" t="s">
        <v>920</v>
      </c>
    </row>
    <row r="9997" spans="1:8" x14ac:dyDescent="0.25">
      <c r="A9997" t="s">
        <v>17</v>
      </c>
      <c r="B9997" t="s">
        <v>920</v>
      </c>
    </row>
    <row r="9998" spans="1:8" x14ac:dyDescent="0.25">
      <c r="A9998" t="s">
        <v>18</v>
      </c>
      <c r="B9998" t="s">
        <v>920</v>
      </c>
    </row>
    <row r="9999" spans="1:8" x14ac:dyDescent="0.25">
      <c r="A9999" t="str">
        <f xml:space="preserve"> $H$9991</f>
        <v>&lt;flags count_in_cargo="0" count_in_hoarder="0" count_in_map="1" count_in_player="0" crafted="0" deloot="0"/&gt;</v>
      </c>
      <c r="B9999" t="s">
        <v>920</v>
      </c>
    </row>
    <row r="10000" spans="1:8" x14ac:dyDescent="0.25">
      <c r="A10000" t="str">
        <f>"&lt;category name=" &amp;"""" &amp;$C$9991&amp;"""/&gt;"</f>
        <v>&lt;category name="tools"/&gt;</v>
      </c>
      <c r="B10000" t="s">
        <v>920</v>
      </c>
    </row>
    <row r="10001" spans="1:8" x14ac:dyDescent="0.25">
      <c r="A10001" t="s">
        <v>56</v>
      </c>
      <c r="B10001" t="s">
        <v>920</v>
      </c>
    </row>
    <row r="10002" spans="1:8" x14ac:dyDescent="0.25">
      <c r="A10002" t="s">
        <v>67</v>
      </c>
      <c r="B10002" t="s">
        <v>920</v>
      </c>
    </row>
    <row r="10003" spans="1:8" x14ac:dyDescent="0.25">
      <c r="A10003" t="s">
        <v>22</v>
      </c>
      <c r="B10003" t="s">
        <v>920</v>
      </c>
    </row>
    <row r="10004" spans="1:8" x14ac:dyDescent="0.25">
      <c r="A10004" t="s">
        <v>2165</v>
      </c>
      <c r="B10004" t="s">
        <v>921</v>
      </c>
      <c r="C10004" t="s">
        <v>403</v>
      </c>
      <c r="D10004">
        <v>10</v>
      </c>
      <c r="E10004">
        <v>7200</v>
      </c>
      <c r="F10004">
        <v>0</v>
      </c>
      <c r="G10004">
        <v>5</v>
      </c>
      <c r="H10004" t="s">
        <v>19</v>
      </c>
    </row>
    <row r="10005" spans="1:8" x14ac:dyDescent="0.25">
      <c r="A10005" t="str">
        <f>"&lt;nominal&gt;" &amp;$D$10004&amp;"&lt;/nominal&gt;"</f>
        <v>&lt;nominal&gt;10&lt;/nominal&gt;</v>
      </c>
      <c r="B10005" t="s">
        <v>921</v>
      </c>
    </row>
    <row r="10006" spans="1:8" x14ac:dyDescent="0.25">
      <c r="A10006" t="str">
        <f>"&lt;lifetime&gt;" &amp;$E$10004&amp;"&lt;/lifetime&gt;"</f>
        <v>&lt;lifetime&gt;7200&lt;/lifetime&gt;</v>
      </c>
      <c r="B10006" t="s">
        <v>921</v>
      </c>
    </row>
    <row r="10007" spans="1:8" x14ac:dyDescent="0.25">
      <c r="A10007" t="str">
        <f>"&lt;restock&gt;" &amp;$F$10004&amp;"&lt;/restock&gt;"</f>
        <v>&lt;restock&gt;0&lt;/restock&gt;</v>
      </c>
      <c r="B10007" t="s">
        <v>921</v>
      </c>
    </row>
    <row r="10008" spans="1:8" x14ac:dyDescent="0.25">
      <c r="A10008" t="str">
        <f>"&lt;min&gt;" &amp;$G$10004&amp;"&lt;/min&gt;"</f>
        <v>&lt;min&gt;5&lt;/min&gt;</v>
      </c>
      <c r="B10008" t="s">
        <v>921</v>
      </c>
    </row>
    <row r="10009" spans="1:8" x14ac:dyDescent="0.25">
      <c r="A10009" t="s">
        <v>16</v>
      </c>
      <c r="B10009" t="s">
        <v>921</v>
      </c>
    </row>
    <row r="10010" spans="1:8" x14ac:dyDescent="0.25">
      <c r="A10010" t="s">
        <v>17</v>
      </c>
      <c r="B10010" t="s">
        <v>921</v>
      </c>
    </row>
    <row r="10011" spans="1:8" x14ac:dyDescent="0.25">
      <c r="A10011" t="s">
        <v>18</v>
      </c>
      <c r="B10011" t="s">
        <v>921</v>
      </c>
    </row>
    <row r="10012" spans="1:8" x14ac:dyDescent="0.25">
      <c r="A10012" t="str">
        <f xml:space="preserve"> $H$10004</f>
        <v>&lt;flags count_in_cargo="0" count_in_hoarder="0" count_in_map="1" count_in_player="0" crafted="0" deloot="0"/&gt;</v>
      </c>
      <c r="B10012" t="s">
        <v>921</v>
      </c>
    </row>
    <row r="10013" spans="1:8" x14ac:dyDescent="0.25">
      <c r="A10013" t="str">
        <f>"&lt;category name=" &amp;"""" &amp;$C$10004&amp;"""/&gt;"</f>
        <v>&lt;category name="clothes"/&gt;</v>
      </c>
      <c r="B10013" t="s">
        <v>921</v>
      </c>
    </row>
    <row r="10014" spans="1:8" x14ac:dyDescent="0.25">
      <c r="A10014" t="s">
        <v>29</v>
      </c>
      <c r="B10014" t="s">
        <v>921</v>
      </c>
    </row>
    <row r="10015" spans="1:8" x14ac:dyDescent="0.25">
      <c r="A10015" t="s">
        <v>173</v>
      </c>
      <c r="B10015" t="s">
        <v>921</v>
      </c>
    </row>
    <row r="10016" spans="1:8" x14ac:dyDescent="0.25">
      <c r="A10016" t="s">
        <v>30</v>
      </c>
      <c r="B10016" t="s">
        <v>921</v>
      </c>
    </row>
    <row r="10017" spans="1:8" x14ac:dyDescent="0.25">
      <c r="A10017" t="s">
        <v>31</v>
      </c>
      <c r="B10017" t="s">
        <v>921</v>
      </c>
    </row>
    <row r="10018" spans="1:8" x14ac:dyDescent="0.25">
      <c r="A10018" t="s">
        <v>307</v>
      </c>
      <c r="B10018" t="s">
        <v>921</v>
      </c>
    </row>
    <row r="10019" spans="1:8" x14ac:dyDescent="0.25">
      <c r="A10019" t="s">
        <v>22</v>
      </c>
      <c r="B10019" t="s">
        <v>921</v>
      </c>
    </row>
    <row r="10020" spans="1:8" x14ac:dyDescent="0.25">
      <c r="A10020" t="s">
        <v>2166</v>
      </c>
      <c r="B10020" t="s">
        <v>922</v>
      </c>
      <c r="C10020" t="s">
        <v>403</v>
      </c>
      <c r="D10020">
        <v>10</v>
      </c>
      <c r="E10020">
        <v>7200</v>
      </c>
      <c r="F10020">
        <v>0</v>
      </c>
      <c r="G10020">
        <v>5</v>
      </c>
      <c r="H10020" t="s">
        <v>19</v>
      </c>
    </row>
    <row r="10021" spans="1:8" x14ac:dyDescent="0.25">
      <c r="A10021" t="str">
        <f>"&lt;nominal&gt;" &amp;$D$10020&amp;"&lt;/nominal&gt;"</f>
        <v>&lt;nominal&gt;10&lt;/nominal&gt;</v>
      </c>
      <c r="B10021" t="s">
        <v>922</v>
      </c>
    </row>
    <row r="10022" spans="1:8" x14ac:dyDescent="0.25">
      <c r="A10022" t="str">
        <f>"&lt;lifetime&gt;" &amp;$E$10020&amp;"&lt;/lifetime&gt;"</f>
        <v>&lt;lifetime&gt;7200&lt;/lifetime&gt;</v>
      </c>
      <c r="B10022" t="s">
        <v>922</v>
      </c>
    </row>
    <row r="10023" spans="1:8" x14ac:dyDescent="0.25">
      <c r="A10023" t="str">
        <f>"&lt;restock&gt;" &amp;$F$10020&amp;"&lt;/restock&gt;"</f>
        <v>&lt;restock&gt;0&lt;/restock&gt;</v>
      </c>
      <c r="B10023" t="s">
        <v>922</v>
      </c>
    </row>
    <row r="10024" spans="1:8" x14ac:dyDescent="0.25">
      <c r="A10024" t="str">
        <f>"&lt;min&gt;" &amp;$G$10020&amp;"&lt;/min&gt;"</f>
        <v>&lt;min&gt;5&lt;/min&gt;</v>
      </c>
      <c r="B10024" t="s">
        <v>922</v>
      </c>
    </row>
    <row r="10025" spans="1:8" x14ac:dyDescent="0.25">
      <c r="A10025" t="s">
        <v>16</v>
      </c>
      <c r="B10025" t="s">
        <v>922</v>
      </c>
    </row>
    <row r="10026" spans="1:8" x14ac:dyDescent="0.25">
      <c r="A10026" t="s">
        <v>17</v>
      </c>
      <c r="B10026" t="s">
        <v>922</v>
      </c>
    </row>
    <row r="10027" spans="1:8" x14ac:dyDescent="0.25">
      <c r="A10027" t="s">
        <v>18</v>
      </c>
      <c r="B10027" t="s">
        <v>922</v>
      </c>
    </row>
    <row r="10028" spans="1:8" x14ac:dyDescent="0.25">
      <c r="A10028" t="str">
        <f xml:space="preserve"> $H$10020</f>
        <v>&lt;flags count_in_cargo="0" count_in_hoarder="0" count_in_map="1" count_in_player="0" crafted="0" deloot="0"/&gt;</v>
      </c>
      <c r="B10028" t="s">
        <v>922</v>
      </c>
    </row>
    <row r="10029" spans="1:8" x14ac:dyDescent="0.25">
      <c r="A10029" t="str">
        <f>"&lt;category name=" &amp;"""" &amp;$C$10020&amp;"""/&gt;"</f>
        <v>&lt;category name="clothes"/&gt;</v>
      </c>
      <c r="B10029" t="s">
        <v>922</v>
      </c>
    </row>
    <row r="10030" spans="1:8" x14ac:dyDescent="0.25">
      <c r="A10030" t="s">
        <v>29</v>
      </c>
      <c r="B10030" t="s">
        <v>922</v>
      </c>
    </row>
    <row r="10031" spans="1:8" x14ac:dyDescent="0.25">
      <c r="A10031" t="s">
        <v>173</v>
      </c>
      <c r="B10031" t="s">
        <v>922</v>
      </c>
    </row>
    <row r="10032" spans="1:8" x14ac:dyDescent="0.25">
      <c r="A10032" t="s">
        <v>30</v>
      </c>
      <c r="B10032" t="s">
        <v>922</v>
      </c>
    </row>
    <row r="10033" spans="1:8" x14ac:dyDescent="0.25">
      <c r="A10033" t="s">
        <v>31</v>
      </c>
      <c r="B10033" t="s">
        <v>922</v>
      </c>
    </row>
    <row r="10034" spans="1:8" x14ac:dyDescent="0.25">
      <c r="A10034" t="s">
        <v>307</v>
      </c>
      <c r="B10034" t="s">
        <v>922</v>
      </c>
    </row>
    <row r="10035" spans="1:8" x14ac:dyDescent="0.25">
      <c r="A10035" t="s">
        <v>22</v>
      </c>
      <c r="B10035" t="s">
        <v>922</v>
      </c>
    </row>
    <row r="10036" spans="1:8" x14ac:dyDescent="0.25">
      <c r="A10036" t="s">
        <v>2167</v>
      </c>
      <c r="B10036" t="s">
        <v>923</v>
      </c>
      <c r="C10036" t="s">
        <v>403</v>
      </c>
      <c r="D10036">
        <v>10</v>
      </c>
      <c r="E10036">
        <v>1800</v>
      </c>
      <c r="F10036">
        <v>0</v>
      </c>
      <c r="G10036">
        <v>5</v>
      </c>
      <c r="H10036" t="s">
        <v>19</v>
      </c>
    </row>
    <row r="10037" spans="1:8" x14ac:dyDescent="0.25">
      <c r="A10037" t="str">
        <f>"&lt;nominal&gt;" &amp;$D$10036&amp;"&lt;/nominal&gt;"</f>
        <v>&lt;nominal&gt;10&lt;/nominal&gt;</v>
      </c>
      <c r="B10037" t="s">
        <v>923</v>
      </c>
    </row>
    <row r="10038" spans="1:8" x14ac:dyDescent="0.25">
      <c r="A10038" t="str">
        <f>"&lt;lifetime&gt;" &amp;$E$10036&amp;"&lt;/lifetime&gt;"</f>
        <v>&lt;lifetime&gt;1800&lt;/lifetime&gt;</v>
      </c>
      <c r="B10038" t="s">
        <v>923</v>
      </c>
    </row>
    <row r="10039" spans="1:8" x14ac:dyDescent="0.25">
      <c r="A10039" t="str">
        <f>"&lt;restock&gt;" &amp;$F$10036&amp;"&lt;/restock&gt;"</f>
        <v>&lt;restock&gt;0&lt;/restock&gt;</v>
      </c>
      <c r="B10039" t="s">
        <v>923</v>
      </c>
    </row>
    <row r="10040" spans="1:8" x14ac:dyDescent="0.25">
      <c r="A10040" t="str">
        <f>"&lt;min&gt;" &amp;$G$10036&amp;"&lt;/min&gt;"</f>
        <v>&lt;min&gt;5&lt;/min&gt;</v>
      </c>
      <c r="B10040" t="s">
        <v>923</v>
      </c>
    </row>
    <row r="10041" spans="1:8" x14ac:dyDescent="0.25">
      <c r="A10041" t="s">
        <v>16</v>
      </c>
      <c r="B10041" t="s">
        <v>923</v>
      </c>
    </row>
    <row r="10042" spans="1:8" x14ac:dyDescent="0.25">
      <c r="A10042" t="s">
        <v>17</v>
      </c>
      <c r="B10042" t="s">
        <v>923</v>
      </c>
    </row>
    <row r="10043" spans="1:8" x14ac:dyDescent="0.25">
      <c r="A10043" t="s">
        <v>18</v>
      </c>
      <c r="B10043" t="s">
        <v>923</v>
      </c>
    </row>
    <row r="10044" spans="1:8" x14ac:dyDescent="0.25">
      <c r="A10044" t="str">
        <f xml:space="preserve"> $H$10036</f>
        <v>&lt;flags count_in_cargo="0" count_in_hoarder="0" count_in_map="1" count_in_player="0" crafted="0" deloot="0"/&gt;</v>
      </c>
      <c r="B10044" t="s">
        <v>923</v>
      </c>
    </row>
    <row r="10045" spans="1:8" x14ac:dyDescent="0.25">
      <c r="A10045" t="str">
        <f>"&lt;category name=" &amp;"""" &amp;$C$10036&amp;"""/&gt;"</f>
        <v>&lt;category name="clothes"/&gt;</v>
      </c>
      <c r="B10045" t="s">
        <v>923</v>
      </c>
    </row>
    <row r="10046" spans="1:8" x14ac:dyDescent="0.25">
      <c r="A10046" t="s">
        <v>20</v>
      </c>
      <c r="B10046" t="s">
        <v>923</v>
      </c>
    </row>
    <row r="10047" spans="1:8" x14ac:dyDescent="0.25">
      <c r="A10047" t="s">
        <v>29</v>
      </c>
      <c r="B10047" t="s">
        <v>923</v>
      </c>
    </row>
    <row r="10048" spans="1:8" x14ac:dyDescent="0.25">
      <c r="A10048" t="s">
        <v>22</v>
      </c>
      <c r="B10048" t="s">
        <v>923</v>
      </c>
    </row>
    <row r="10049" spans="1:8" x14ac:dyDescent="0.25">
      <c r="A10049" t="s">
        <v>2168</v>
      </c>
      <c r="B10049" t="s">
        <v>924</v>
      </c>
      <c r="D10049">
        <v>0</v>
      </c>
      <c r="E10049">
        <v>3888000</v>
      </c>
      <c r="F10049">
        <v>1800</v>
      </c>
      <c r="G10049">
        <v>0</v>
      </c>
      <c r="H10049" t="s">
        <v>19</v>
      </c>
    </row>
    <row r="10050" spans="1:8" x14ac:dyDescent="0.25">
      <c r="A10050" t="str">
        <f>"&lt;nominal&gt;" &amp;$D$10049&amp;"&lt;/nominal&gt;"</f>
        <v>&lt;nominal&gt;0&lt;/nominal&gt;</v>
      </c>
      <c r="B10050" t="s">
        <v>924</v>
      </c>
    </row>
    <row r="10051" spans="1:8" x14ac:dyDescent="0.25">
      <c r="A10051" t="str">
        <f>"&lt;lifetime&gt;" &amp;$E$10049&amp;"&lt;/lifetime&gt;"</f>
        <v>&lt;lifetime&gt;3888000&lt;/lifetime&gt;</v>
      </c>
      <c r="B10051" t="s">
        <v>924</v>
      </c>
    </row>
    <row r="10052" spans="1:8" x14ac:dyDescent="0.25">
      <c r="A10052" t="str">
        <f>"&lt;restock&gt;" &amp;$F$10049&amp;"&lt;/restock&gt;"</f>
        <v>&lt;restock&gt;1800&lt;/restock&gt;</v>
      </c>
      <c r="B10052" t="s">
        <v>924</v>
      </c>
    </row>
    <row r="10053" spans="1:8" x14ac:dyDescent="0.25">
      <c r="A10053" t="str">
        <f>"&lt;min&gt;" &amp;$G$10049&amp;"&lt;/min&gt;"</f>
        <v>&lt;min&gt;0&lt;/min&gt;</v>
      </c>
      <c r="B10053" t="s">
        <v>924</v>
      </c>
    </row>
    <row r="10054" spans="1:8" x14ac:dyDescent="0.25">
      <c r="A10054" t="s">
        <v>16</v>
      </c>
      <c r="B10054" t="s">
        <v>924</v>
      </c>
    </row>
    <row r="10055" spans="1:8" x14ac:dyDescent="0.25">
      <c r="A10055" t="s">
        <v>17</v>
      </c>
      <c r="B10055" t="s">
        <v>924</v>
      </c>
    </row>
    <row r="10056" spans="1:8" x14ac:dyDescent="0.25">
      <c r="A10056" t="s">
        <v>18</v>
      </c>
      <c r="B10056" t="s">
        <v>924</v>
      </c>
    </row>
    <row r="10057" spans="1:8" x14ac:dyDescent="0.25">
      <c r="A10057" t="str">
        <f xml:space="preserve"> $H$10049</f>
        <v>&lt;flags count_in_cargo="0" count_in_hoarder="0" count_in_map="1" count_in_player="0" crafted="0" deloot="0"/&gt;</v>
      </c>
      <c r="B10057" t="s">
        <v>924</v>
      </c>
    </row>
    <row r="10058" spans="1:8" x14ac:dyDescent="0.25">
      <c r="A10058" t="s">
        <v>22</v>
      </c>
      <c r="B10058" t="s">
        <v>924</v>
      </c>
    </row>
    <row r="10059" spans="1:8" x14ac:dyDescent="0.25">
      <c r="A10059" t="s">
        <v>2169</v>
      </c>
      <c r="B10059" t="s">
        <v>925</v>
      </c>
      <c r="D10059">
        <v>0</v>
      </c>
      <c r="E10059">
        <v>3888000</v>
      </c>
      <c r="F10059">
        <v>1800</v>
      </c>
      <c r="G10059">
        <v>0</v>
      </c>
      <c r="H10059" t="s">
        <v>1559</v>
      </c>
    </row>
    <row r="10060" spans="1:8" x14ac:dyDescent="0.25">
      <c r="A10060" t="str">
        <f>"&lt;nominal&gt;" &amp;$D$10059&amp;"&lt;/nominal&gt;"</f>
        <v>&lt;nominal&gt;0&lt;/nominal&gt;</v>
      </c>
      <c r="B10060" t="s">
        <v>925</v>
      </c>
    </row>
    <row r="10061" spans="1:8" x14ac:dyDescent="0.25">
      <c r="A10061" t="str">
        <f>"&lt;lifetime&gt;" &amp;$E$10059&amp;"&lt;/lifetime&gt;"</f>
        <v>&lt;lifetime&gt;3888000&lt;/lifetime&gt;</v>
      </c>
      <c r="B10061" t="s">
        <v>925</v>
      </c>
    </row>
    <row r="10062" spans="1:8" x14ac:dyDescent="0.25">
      <c r="A10062" t="str">
        <f>"&lt;restock&gt;" &amp;$F$10059&amp;"&lt;/restock&gt;"</f>
        <v>&lt;restock&gt;1800&lt;/restock&gt;</v>
      </c>
      <c r="B10062" t="s">
        <v>925</v>
      </c>
    </row>
    <row r="10063" spans="1:8" x14ac:dyDescent="0.25">
      <c r="A10063" t="str">
        <f>"&lt;min&gt;" &amp;$G$10059&amp;"&lt;/min&gt;"</f>
        <v>&lt;min&gt;0&lt;/min&gt;</v>
      </c>
      <c r="B10063" t="s">
        <v>925</v>
      </c>
    </row>
    <row r="10064" spans="1:8" x14ac:dyDescent="0.25">
      <c r="A10064" t="s">
        <v>16</v>
      </c>
      <c r="B10064" t="s">
        <v>925</v>
      </c>
    </row>
    <row r="10065" spans="1:8" x14ac:dyDescent="0.25">
      <c r="A10065" t="s">
        <v>17</v>
      </c>
      <c r="B10065" t="s">
        <v>925</v>
      </c>
    </row>
    <row r="10066" spans="1:8" x14ac:dyDescent="0.25">
      <c r="A10066" t="s">
        <v>18</v>
      </c>
      <c r="B10066" t="s">
        <v>925</v>
      </c>
    </row>
    <row r="10067" spans="1:8" x14ac:dyDescent="0.25">
      <c r="A10067" t="str">
        <f xml:space="preserve"> $H$10059</f>
        <v>&lt;flags count_in_cargo="1" count_in_hoarder="0" count_in_map="1" count_in_player="1" crafted="0" deloot="0"/&gt;</v>
      </c>
      <c r="B10067" t="s">
        <v>925</v>
      </c>
    </row>
    <row r="10068" spans="1:8" x14ac:dyDescent="0.25">
      <c r="A10068" t="s">
        <v>22</v>
      </c>
      <c r="B10068" t="s">
        <v>925</v>
      </c>
    </row>
    <row r="10069" spans="1:8" x14ac:dyDescent="0.25">
      <c r="A10069" t="s">
        <v>2170</v>
      </c>
      <c r="B10069" t="s">
        <v>926</v>
      </c>
      <c r="D10069">
        <v>0</v>
      </c>
      <c r="E10069">
        <v>3888000</v>
      </c>
      <c r="F10069">
        <v>1800</v>
      </c>
      <c r="G10069">
        <v>0</v>
      </c>
      <c r="H10069" t="s">
        <v>19</v>
      </c>
    </row>
    <row r="10070" spans="1:8" x14ac:dyDescent="0.25">
      <c r="A10070" t="str">
        <f>"&lt;nominal&gt;" &amp;$D$10069&amp;"&lt;/nominal&gt;"</f>
        <v>&lt;nominal&gt;0&lt;/nominal&gt;</v>
      </c>
      <c r="B10070" t="s">
        <v>926</v>
      </c>
    </row>
    <row r="10071" spans="1:8" x14ac:dyDescent="0.25">
      <c r="A10071" t="str">
        <f>"&lt;lifetime&gt;" &amp;$E$10069&amp;"&lt;/lifetime&gt;"</f>
        <v>&lt;lifetime&gt;3888000&lt;/lifetime&gt;</v>
      </c>
      <c r="B10071" t="s">
        <v>926</v>
      </c>
    </row>
    <row r="10072" spans="1:8" x14ac:dyDescent="0.25">
      <c r="A10072" t="str">
        <f>"&lt;restock&gt;" &amp;$F$10069&amp;"&lt;/restock&gt;"</f>
        <v>&lt;restock&gt;1800&lt;/restock&gt;</v>
      </c>
      <c r="B10072" t="s">
        <v>926</v>
      </c>
    </row>
    <row r="10073" spans="1:8" x14ac:dyDescent="0.25">
      <c r="A10073" t="str">
        <f>"&lt;min&gt;" &amp;$G$10069&amp;"&lt;/min&gt;"</f>
        <v>&lt;min&gt;0&lt;/min&gt;</v>
      </c>
      <c r="B10073" t="s">
        <v>926</v>
      </c>
    </row>
    <row r="10074" spans="1:8" x14ac:dyDescent="0.25">
      <c r="A10074" t="s">
        <v>16</v>
      </c>
      <c r="B10074" t="s">
        <v>926</v>
      </c>
    </row>
    <row r="10075" spans="1:8" x14ac:dyDescent="0.25">
      <c r="A10075" t="s">
        <v>17</v>
      </c>
      <c r="B10075" t="s">
        <v>926</v>
      </c>
    </row>
    <row r="10076" spans="1:8" x14ac:dyDescent="0.25">
      <c r="A10076" t="s">
        <v>18</v>
      </c>
      <c r="B10076" t="s">
        <v>926</v>
      </c>
    </row>
    <row r="10077" spans="1:8" x14ac:dyDescent="0.25">
      <c r="A10077" t="str">
        <f xml:space="preserve"> $H$10069</f>
        <v>&lt;flags count_in_cargo="0" count_in_hoarder="0" count_in_map="1" count_in_player="0" crafted="0" deloot="0"/&gt;</v>
      </c>
      <c r="B10077" t="s">
        <v>926</v>
      </c>
    </row>
    <row r="10078" spans="1:8" x14ac:dyDescent="0.25">
      <c r="A10078" t="s">
        <v>22</v>
      </c>
      <c r="B10078" t="s">
        <v>926</v>
      </c>
    </row>
    <row r="10079" spans="1:8" x14ac:dyDescent="0.25">
      <c r="A10079" t="s">
        <v>2171</v>
      </c>
      <c r="B10079" t="s">
        <v>927</v>
      </c>
      <c r="C10079" t="s">
        <v>426</v>
      </c>
      <c r="D10079">
        <v>50</v>
      </c>
      <c r="E10079">
        <v>7200</v>
      </c>
      <c r="F10079">
        <v>0</v>
      </c>
      <c r="G10079">
        <v>30</v>
      </c>
      <c r="H10079" t="s">
        <v>19</v>
      </c>
    </row>
    <row r="10080" spans="1:8" x14ac:dyDescent="0.25">
      <c r="A10080" t="str">
        <f>"&lt;nominal&gt;" &amp;$D$10079&amp;"&lt;/nominal&gt;"</f>
        <v>&lt;nominal&gt;50&lt;/nominal&gt;</v>
      </c>
      <c r="B10080" t="s">
        <v>927</v>
      </c>
    </row>
    <row r="10081" spans="1:8" x14ac:dyDescent="0.25">
      <c r="A10081" t="str">
        <f>"&lt;lifetime&gt;" &amp;$E$10079&amp;"&lt;/lifetime&gt;"</f>
        <v>&lt;lifetime&gt;7200&lt;/lifetime&gt;</v>
      </c>
      <c r="B10081" t="s">
        <v>927</v>
      </c>
    </row>
    <row r="10082" spans="1:8" x14ac:dyDescent="0.25">
      <c r="A10082" t="str">
        <f>"&lt;restock&gt;" &amp;$F$10079&amp;"&lt;/restock&gt;"</f>
        <v>&lt;restock&gt;0&lt;/restock&gt;</v>
      </c>
      <c r="B10082" t="s">
        <v>927</v>
      </c>
    </row>
    <row r="10083" spans="1:8" x14ac:dyDescent="0.25">
      <c r="A10083" t="str">
        <f>"&lt;min&gt;" &amp;$G$10079&amp;"&lt;/min&gt;"</f>
        <v>&lt;min&gt;30&lt;/min&gt;</v>
      </c>
      <c r="B10083" t="s">
        <v>927</v>
      </c>
    </row>
    <row r="10084" spans="1:8" x14ac:dyDescent="0.25">
      <c r="A10084" t="s">
        <v>16</v>
      </c>
      <c r="B10084" t="s">
        <v>927</v>
      </c>
    </row>
    <row r="10085" spans="1:8" x14ac:dyDescent="0.25">
      <c r="A10085" t="s">
        <v>17</v>
      </c>
      <c r="B10085" t="s">
        <v>927</v>
      </c>
    </row>
    <row r="10086" spans="1:8" x14ac:dyDescent="0.25">
      <c r="A10086" t="s">
        <v>18</v>
      </c>
      <c r="B10086" t="s">
        <v>927</v>
      </c>
    </row>
    <row r="10087" spans="1:8" x14ac:dyDescent="0.25">
      <c r="A10087" t="str">
        <f xml:space="preserve"> $H$10079</f>
        <v>&lt;flags count_in_cargo="0" count_in_hoarder="0" count_in_map="1" count_in_player="0" crafted="0" deloot="0"/&gt;</v>
      </c>
      <c r="B10087" t="s">
        <v>927</v>
      </c>
    </row>
    <row r="10088" spans="1:8" x14ac:dyDescent="0.25">
      <c r="A10088" t="str">
        <f>"&lt;category name=" &amp;"""" &amp;$C$10079&amp;"""/&gt;"</f>
        <v>&lt;category name="tools"/&gt;</v>
      </c>
      <c r="B10088" t="s">
        <v>927</v>
      </c>
    </row>
    <row r="10089" spans="1:8" x14ac:dyDescent="0.25">
      <c r="A10089" t="s">
        <v>20</v>
      </c>
      <c r="B10089" t="s">
        <v>927</v>
      </c>
    </row>
    <row r="10090" spans="1:8" x14ac:dyDescent="0.25">
      <c r="A10090" t="s">
        <v>39</v>
      </c>
      <c r="B10090" t="s">
        <v>927</v>
      </c>
    </row>
    <row r="10091" spans="1:8" x14ac:dyDescent="0.25">
      <c r="A10091" t="s">
        <v>40</v>
      </c>
      <c r="B10091" t="s">
        <v>927</v>
      </c>
    </row>
    <row r="10092" spans="1:8" x14ac:dyDescent="0.25">
      <c r="A10092" t="s">
        <v>67</v>
      </c>
      <c r="B10092" t="s">
        <v>927</v>
      </c>
    </row>
    <row r="10093" spans="1:8" x14ac:dyDescent="0.25">
      <c r="A10093" t="s">
        <v>22</v>
      </c>
      <c r="B10093" t="s">
        <v>927</v>
      </c>
    </row>
    <row r="10094" spans="1:8" x14ac:dyDescent="0.25">
      <c r="A10094" t="s">
        <v>2172</v>
      </c>
      <c r="B10094" t="s">
        <v>928</v>
      </c>
      <c r="C10094" t="s">
        <v>8</v>
      </c>
      <c r="D10094">
        <v>10</v>
      </c>
      <c r="E10094">
        <v>14400</v>
      </c>
      <c r="F10094">
        <v>1800</v>
      </c>
      <c r="G10094">
        <v>5</v>
      </c>
      <c r="H10094" t="s">
        <v>19</v>
      </c>
    </row>
    <row r="10095" spans="1:8" x14ac:dyDescent="0.25">
      <c r="A10095" t="str">
        <f>"&lt;nominal&gt;" &amp;$D$10094&amp;"&lt;/nominal&gt;"</f>
        <v>&lt;nominal&gt;10&lt;/nominal&gt;</v>
      </c>
      <c r="B10095" t="s">
        <v>928</v>
      </c>
    </row>
    <row r="10096" spans="1:8" x14ac:dyDescent="0.25">
      <c r="A10096" t="str">
        <f>"&lt;lifetime&gt;" &amp;$E$10094&amp;"&lt;/lifetime&gt;"</f>
        <v>&lt;lifetime&gt;14400&lt;/lifetime&gt;</v>
      </c>
      <c r="B10096" t="s">
        <v>928</v>
      </c>
    </row>
    <row r="10097" spans="1:8" x14ac:dyDescent="0.25">
      <c r="A10097" t="str">
        <f>"&lt;restock&gt;" &amp;$F$10094&amp;"&lt;/restock&gt;"</f>
        <v>&lt;restock&gt;1800&lt;/restock&gt;</v>
      </c>
      <c r="B10097" t="s">
        <v>928</v>
      </c>
    </row>
    <row r="10098" spans="1:8" x14ac:dyDescent="0.25">
      <c r="A10098" t="str">
        <f>"&lt;min&gt;" &amp;$G$10094&amp;"&lt;/min&gt;"</f>
        <v>&lt;min&gt;5&lt;/min&gt;</v>
      </c>
      <c r="B10098" t="s">
        <v>928</v>
      </c>
    </row>
    <row r="10099" spans="1:8" x14ac:dyDescent="0.25">
      <c r="A10099" t="s">
        <v>16</v>
      </c>
      <c r="B10099" t="s">
        <v>928</v>
      </c>
    </row>
    <row r="10100" spans="1:8" x14ac:dyDescent="0.25">
      <c r="A10100" t="s">
        <v>17</v>
      </c>
      <c r="B10100" t="s">
        <v>928</v>
      </c>
    </row>
    <row r="10101" spans="1:8" x14ac:dyDescent="0.25">
      <c r="A10101" t="s">
        <v>18</v>
      </c>
      <c r="B10101" t="s">
        <v>928</v>
      </c>
    </row>
    <row r="10102" spans="1:8" x14ac:dyDescent="0.25">
      <c r="A10102" t="str">
        <f xml:space="preserve"> $H$10094</f>
        <v>&lt;flags count_in_cargo="0" count_in_hoarder="0" count_in_map="1" count_in_player="0" crafted="0" deloot="0"/&gt;</v>
      </c>
      <c r="B10102" t="s">
        <v>928</v>
      </c>
    </row>
    <row r="10103" spans="1:8" x14ac:dyDescent="0.25">
      <c r="A10103" t="str">
        <f>"&lt;category name=" &amp;"""" &amp;$C$10094&amp;"""/&gt;"</f>
        <v>&lt;category name="weapons"/&gt;</v>
      </c>
      <c r="B10103" t="s">
        <v>928</v>
      </c>
    </row>
    <row r="10104" spans="1:8" x14ac:dyDescent="0.25">
      <c r="A10104" t="s">
        <v>29</v>
      </c>
      <c r="B10104" t="s">
        <v>928</v>
      </c>
    </row>
    <row r="10105" spans="1:8" x14ac:dyDescent="0.25">
      <c r="A10105" t="s">
        <v>31</v>
      </c>
      <c r="B10105" t="s">
        <v>928</v>
      </c>
    </row>
    <row r="10106" spans="1:8" x14ac:dyDescent="0.25">
      <c r="A10106" t="s">
        <v>307</v>
      </c>
      <c r="B10106" t="s">
        <v>928</v>
      </c>
    </row>
    <row r="10107" spans="1:8" x14ac:dyDescent="0.25">
      <c r="A10107" t="s">
        <v>22</v>
      </c>
      <c r="B10107" t="s">
        <v>928</v>
      </c>
    </row>
    <row r="10108" spans="1:8" x14ac:dyDescent="0.25">
      <c r="A10108" t="s">
        <v>2173</v>
      </c>
      <c r="B10108" t="s">
        <v>929</v>
      </c>
      <c r="C10108" t="s">
        <v>8</v>
      </c>
      <c r="D10108">
        <v>10</v>
      </c>
      <c r="E10108">
        <v>7200</v>
      </c>
      <c r="F10108">
        <v>1800</v>
      </c>
      <c r="G10108">
        <v>5</v>
      </c>
      <c r="H10108" t="s">
        <v>19</v>
      </c>
    </row>
    <row r="10109" spans="1:8" x14ac:dyDescent="0.25">
      <c r="A10109" t="str">
        <f>"&lt;nominal&gt;" &amp;$D$10108&amp;"&lt;/nominal&gt;"</f>
        <v>&lt;nominal&gt;10&lt;/nominal&gt;</v>
      </c>
      <c r="B10109" t="s">
        <v>929</v>
      </c>
    </row>
    <row r="10110" spans="1:8" x14ac:dyDescent="0.25">
      <c r="A10110" t="str">
        <f>"&lt;lifetime&gt;" &amp;$E$10108&amp;"&lt;/lifetime&gt;"</f>
        <v>&lt;lifetime&gt;7200&lt;/lifetime&gt;</v>
      </c>
      <c r="B10110" t="s">
        <v>929</v>
      </c>
    </row>
    <row r="10111" spans="1:8" x14ac:dyDescent="0.25">
      <c r="A10111" t="str">
        <f>"&lt;restock&gt;" &amp;$F$10108&amp;"&lt;/restock&gt;"</f>
        <v>&lt;restock&gt;1800&lt;/restock&gt;</v>
      </c>
      <c r="B10111" t="s">
        <v>929</v>
      </c>
    </row>
    <row r="10112" spans="1:8" x14ac:dyDescent="0.25">
      <c r="A10112" t="str">
        <f>"&lt;min&gt;" &amp;$G$10108&amp;"&lt;/min&gt;"</f>
        <v>&lt;min&gt;5&lt;/min&gt;</v>
      </c>
      <c r="B10112" t="s">
        <v>929</v>
      </c>
    </row>
    <row r="10113" spans="1:8" x14ac:dyDescent="0.25">
      <c r="A10113" t="s">
        <v>16</v>
      </c>
      <c r="B10113" t="s">
        <v>929</v>
      </c>
    </row>
    <row r="10114" spans="1:8" x14ac:dyDescent="0.25">
      <c r="A10114" t="s">
        <v>17</v>
      </c>
      <c r="B10114" t="s">
        <v>929</v>
      </c>
    </row>
    <row r="10115" spans="1:8" x14ac:dyDescent="0.25">
      <c r="A10115" t="s">
        <v>18</v>
      </c>
      <c r="B10115" t="s">
        <v>929</v>
      </c>
    </row>
    <row r="10116" spans="1:8" x14ac:dyDescent="0.25">
      <c r="A10116" t="str">
        <f xml:space="preserve"> $H$10108</f>
        <v>&lt;flags count_in_cargo="0" count_in_hoarder="0" count_in_map="1" count_in_player="0" crafted="0" deloot="0"/&gt;</v>
      </c>
      <c r="B10116" t="s">
        <v>929</v>
      </c>
    </row>
    <row r="10117" spans="1:8" x14ac:dyDescent="0.25">
      <c r="A10117" t="str">
        <f>"&lt;category name=" &amp;"""" &amp;$C$10108&amp;"""/&gt;"</f>
        <v>&lt;category name="weapons"/&gt;</v>
      </c>
      <c r="B10117" t="s">
        <v>929</v>
      </c>
    </row>
    <row r="10118" spans="1:8" x14ac:dyDescent="0.25">
      <c r="A10118" t="s">
        <v>29</v>
      </c>
      <c r="B10118" t="s">
        <v>929</v>
      </c>
    </row>
    <row r="10119" spans="1:8" x14ac:dyDescent="0.25">
      <c r="A10119" t="s">
        <v>22</v>
      </c>
      <c r="B10119" t="s">
        <v>929</v>
      </c>
    </row>
    <row r="10120" spans="1:8" x14ac:dyDescent="0.25">
      <c r="A10120" t="s">
        <v>2174</v>
      </c>
      <c r="B10120" t="s">
        <v>930</v>
      </c>
      <c r="C10120" t="s">
        <v>8</v>
      </c>
      <c r="D10120">
        <v>10</v>
      </c>
      <c r="E10120">
        <v>7200</v>
      </c>
      <c r="F10120">
        <v>1800</v>
      </c>
      <c r="G10120">
        <v>5</v>
      </c>
      <c r="H10120" t="s">
        <v>19</v>
      </c>
    </row>
    <row r="10121" spans="1:8" x14ac:dyDescent="0.25">
      <c r="A10121" t="str">
        <f>"&lt;nominal&gt;" &amp;$D$10120&amp;"&lt;/nominal&gt;"</f>
        <v>&lt;nominal&gt;10&lt;/nominal&gt;</v>
      </c>
      <c r="B10121" t="s">
        <v>930</v>
      </c>
    </row>
    <row r="10122" spans="1:8" x14ac:dyDescent="0.25">
      <c r="A10122" t="str">
        <f>"&lt;lifetime&gt;" &amp;$E$10120&amp;"&lt;/lifetime&gt;"</f>
        <v>&lt;lifetime&gt;7200&lt;/lifetime&gt;</v>
      </c>
      <c r="B10122" t="s">
        <v>930</v>
      </c>
    </row>
    <row r="10123" spans="1:8" x14ac:dyDescent="0.25">
      <c r="A10123" t="str">
        <f>"&lt;restock&gt;" &amp;$F$10120&amp;"&lt;/restock&gt;"</f>
        <v>&lt;restock&gt;1800&lt;/restock&gt;</v>
      </c>
      <c r="B10123" t="s">
        <v>930</v>
      </c>
    </row>
    <row r="10124" spans="1:8" x14ac:dyDescent="0.25">
      <c r="A10124" t="str">
        <f>"&lt;min&gt;" &amp;$G$10120&amp;"&lt;/min&gt;"</f>
        <v>&lt;min&gt;5&lt;/min&gt;</v>
      </c>
      <c r="B10124" t="s">
        <v>930</v>
      </c>
    </row>
    <row r="10125" spans="1:8" x14ac:dyDescent="0.25">
      <c r="A10125" t="s">
        <v>16</v>
      </c>
      <c r="B10125" t="s">
        <v>930</v>
      </c>
    </row>
    <row r="10126" spans="1:8" x14ac:dyDescent="0.25">
      <c r="A10126" t="s">
        <v>17</v>
      </c>
      <c r="B10126" t="s">
        <v>930</v>
      </c>
    </row>
    <row r="10127" spans="1:8" x14ac:dyDescent="0.25">
      <c r="A10127" t="s">
        <v>18</v>
      </c>
      <c r="B10127" t="s">
        <v>930</v>
      </c>
    </row>
    <row r="10128" spans="1:8" x14ac:dyDescent="0.25">
      <c r="A10128" t="str">
        <f xml:space="preserve"> $H$10120</f>
        <v>&lt;flags count_in_cargo="0" count_in_hoarder="0" count_in_map="1" count_in_player="0" crafted="0" deloot="0"/&gt;</v>
      </c>
      <c r="B10128" t="s">
        <v>930</v>
      </c>
    </row>
    <row r="10129" spans="1:8" x14ac:dyDescent="0.25">
      <c r="A10129" t="str">
        <f>"&lt;category name=" &amp;"""" &amp;$C$10120&amp;"""/&gt;"</f>
        <v>&lt;category name="weapons"/&gt;</v>
      </c>
      <c r="B10129" t="s">
        <v>930</v>
      </c>
    </row>
    <row r="10130" spans="1:8" x14ac:dyDescent="0.25">
      <c r="A10130" t="s">
        <v>29</v>
      </c>
      <c r="B10130" t="s">
        <v>930</v>
      </c>
    </row>
    <row r="10131" spans="1:8" x14ac:dyDescent="0.25">
      <c r="A10131" t="s">
        <v>67</v>
      </c>
      <c r="B10131" t="s">
        <v>930</v>
      </c>
    </row>
    <row r="10132" spans="1:8" x14ac:dyDescent="0.25">
      <c r="A10132" t="s">
        <v>22</v>
      </c>
      <c r="B10132" t="s">
        <v>930</v>
      </c>
    </row>
    <row r="10133" spans="1:8" x14ac:dyDescent="0.25">
      <c r="A10133" t="s">
        <v>2175</v>
      </c>
      <c r="B10133" t="s">
        <v>931</v>
      </c>
      <c r="C10133" t="s">
        <v>426</v>
      </c>
      <c r="D10133">
        <v>20</v>
      </c>
      <c r="E10133">
        <v>10800</v>
      </c>
      <c r="F10133">
        <v>0</v>
      </c>
      <c r="G10133">
        <v>12</v>
      </c>
      <c r="H10133" t="s">
        <v>19</v>
      </c>
    </row>
    <row r="10134" spans="1:8" x14ac:dyDescent="0.25">
      <c r="A10134" t="str">
        <f>"&lt;nominal&gt;" &amp;$D$10133&amp;"&lt;/nominal&gt;"</f>
        <v>&lt;nominal&gt;20&lt;/nominal&gt;</v>
      </c>
      <c r="B10134" t="s">
        <v>931</v>
      </c>
    </row>
    <row r="10135" spans="1:8" x14ac:dyDescent="0.25">
      <c r="A10135" t="str">
        <f>"&lt;lifetime&gt;" &amp;$E$10133&amp;"&lt;/lifetime&gt;"</f>
        <v>&lt;lifetime&gt;10800&lt;/lifetime&gt;</v>
      </c>
      <c r="B10135" t="s">
        <v>931</v>
      </c>
    </row>
    <row r="10136" spans="1:8" x14ac:dyDescent="0.25">
      <c r="A10136" t="str">
        <f>"&lt;restock&gt;" &amp;$F$10133&amp;"&lt;/restock&gt;"</f>
        <v>&lt;restock&gt;0&lt;/restock&gt;</v>
      </c>
      <c r="B10136" t="s">
        <v>931</v>
      </c>
    </row>
    <row r="10137" spans="1:8" x14ac:dyDescent="0.25">
      <c r="A10137" t="str">
        <f>"&lt;min&gt;" &amp;$G$10133&amp;"&lt;/min&gt;"</f>
        <v>&lt;min&gt;12&lt;/min&gt;</v>
      </c>
      <c r="B10137" t="s">
        <v>931</v>
      </c>
    </row>
    <row r="10138" spans="1:8" x14ac:dyDescent="0.25">
      <c r="A10138" t="s">
        <v>16</v>
      </c>
      <c r="B10138" t="s">
        <v>931</v>
      </c>
    </row>
    <row r="10139" spans="1:8" x14ac:dyDescent="0.25">
      <c r="A10139" t="s">
        <v>17</v>
      </c>
      <c r="B10139" t="s">
        <v>931</v>
      </c>
    </row>
    <row r="10140" spans="1:8" x14ac:dyDescent="0.25">
      <c r="A10140" t="s">
        <v>18</v>
      </c>
      <c r="B10140" t="s">
        <v>931</v>
      </c>
    </row>
    <row r="10141" spans="1:8" x14ac:dyDescent="0.25">
      <c r="A10141" t="str">
        <f xml:space="preserve"> $H$10133</f>
        <v>&lt;flags count_in_cargo="0" count_in_hoarder="0" count_in_map="1" count_in_player="0" crafted="0" deloot="0"/&gt;</v>
      </c>
      <c r="B10141" t="s">
        <v>931</v>
      </c>
    </row>
    <row r="10142" spans="1:8" x14ac:dyDescent="0.25">
      <c r="A10142" t="str">
        <f>"&lt;category name=" &amp;"""" &amp;$C$10133&amp;"""/&gt;"</f>
        <v>&lt;category name="tools"/&gt;</v>
      </c>
      <c r="B10142" t="s">
        <v>931</v>
      </c>
    </row>
    <row r="10143" spans="1:8" x14ac:dyDescent="0.25">
      <c r="A10143" t="s">
        <v>20</v>
      </c>
      <c r="B10143" t="s">
        <v>931</v>
      </c>
    </row>
    <row r="10144" spans="1:8" x14ac:dyDescent="0.25">
      <c r="A10144" t="s">
        <v>21</v>
      </c>
      <c r="B10144" t="s">
        <v>931</v>
      </c>
    </row>
    <row r="10145" spans="1:8" x14ac:dyDescent="0.25">
      <c r="A10145" t="s">
        <v>22</v>
      </c>
      <c r="B10145" t="s">
        <v>931</v>
      </c>
    </row>
    <row r="10146" spans="1:8" x14ac:dyDescent="0.25">
      <c r="A10146" t="s">
        <v>2176</v>
      </c>
      <c r="B10146" t="s">
        <v>3446</v>
      </c>
      <c r="C10146" t="s">
        <v>426</v>
      </c>
      <c r="D10146">
        <v>0</v>
      </c>
      <c r="E10146">
        <v>7200</v>
      </c>
      <c r="F10146">
        <v>0</v>
      </c>
      <c r="G10146">
        <v>0</v>
      </c>
      <c r="H10146" t="s">
        <v>62</v>
      </c>
    </row>
    <row r="10147" spans="1:8" x14ac:dyDescent="0.25">
      <c r="A10147" t="str">
        <f>"&lt;nominal&gt;" &amp;$D$10146&amp;"&lt;/nominal&gt;"</f>
        <v>&lt;nominal&gt;0&lt;/nominal&gt;</v>
      </c>
      <c r="B10147" t="s">
        <v>3446</v>
      </c>
    </row>
    <row r="10148" spans="1:8" x14ac:dyDescent="0.25">
      <c r="A10148" t="str">
        <f>"&lt;lifetime&gt;" &amp;$E$10146&amp;"&lt;/lifetime&gt;"</f>
        <v>&lt;lifetime&gt;7200&lt;/lifetime&gt;</v>
      </c>
      <c r="B10148" t="s">
        <v>3446</v>
      </c>
    </row>
    <row r="10149" spans="1:8" x14ac:dyDescent="0.25">
      <c r="A10149" t="str">
        <f>"&lt;restock&gt;" &amp;$F$10146&amp;"&lt;/restock&gt;"</f>
        <v>&lt;restock&gt;0&lt;/restock&gt;</v>
      </c>
      <c r="B10149" t="s">
        <v>3446</v>
      </c>
    </row>
    <row r="10150" spans="1:8" x14ac:dyDescent="0.25">
      <c r="A10150" t="str">
        <f>"&lt;min&gt;" &amp;$G$10146&amp;"&lt;/min&gt;"</f>
        <v>&lt;min&gt;0&lt;/min&gt;</v>
      </c>
      <c r="B10150" t="s">
        <v>3446</v>
      </c>
    </row>
    <row r="10151" spans="1:8" x14ac:dyDescent="0.25">
      <c r="A10151" t="s">
        <v>16</v>
      </c>
      <c r="B10151" t="s">
        <v>3446</v>
      </c>
    </row>
    <row r="10152" spans="1:8" x14ac:dyDescent="0.25">
      <c r="A10152" t="s">
        <v>17</v>
      </c>
      <c r="B10152" t="s">
        <v>3446</v>
      </c>
    </row>
    <row r="10153" spans="1:8" x14ac:dyDescent="0.25">
      <c r="A10153" t="s">
        <v>18</v>
      </c>
      <c r="B10153" t="s">
        <v>3446</v>
      </c>
    </row>
    <row r="10154" spans="1:8" x14ac:dyDescent="0.25">
      <c r="A10154" t="str">
        <f xml:space="preserve"> $H$10146</f>
        <v>&lt;flags count_in_cargo="0" count_in_hoarder="0" count_in_map="1" count_in_player="0" crafted="1" deloot="0"/&gt;</v>
      </c>
      <c r="B10154" t="s">
        <v>3446</v>
      </c>
    </row>
    <row r="10155" spans="1:8" x14ac:dyDescent="0.25">
      <c r="A10155" t="str">
        <f>"&lt;category name=" &amp;"""" &amp;$C$10146&amp;"""/&gt;"</f>
        <v>&lt;category name="tools"/&gt;</v>
      </c>
      <c r="B10155" t="s">
        <v>3446</v>
      </c>
    </row>
    <row r="10156" spans="1:8" x14ac:dyDescent="0.25">
      <c r="A10156" t="s">
        <v>22</v>
      </c>
      <c r="B10156" t="s">
        <v>3446</v>
      </c>
    </row>
    <row r="10157" spans="1:8" x14ac:dyDescent="0.25">
      <c r="A10157" t="s">
        <v>2177</v>
      </c>
      <c r="B10157" t="s">
        <v>932</v>
      </c>
      <c r="C10157" t="s">
        <v>403</v>
      </c>
      <c r="D10157">
        <v>7</v>
      </c>
      <c r="E10157">
        <v>5600</v>
      </c>
      <c r="F10157">
        <v>0</v>
      </c>
      <c r="G10157">
        <v>3</v>
      </c>
      <c r="H10157" t="s">
        <v>19</v>
      </c>
    </row>
    <row r="10158" spans="1:8" x14ac:dyDescent="0.25">
      <c r="A10158" t="str">
        <f>"&lt;nominal&gt;" &amp;$D$10157&amp;"&lt;/nominal&gt;"</f>
        <v>&lt;nominal&gt;7&lt;/nominal&gt;</v>
      </c>
      <c r="B10158" t="s">
        <v>932</v>
      </c>
    </row>
    <row r="10159" spans="1:8" x14ac:dyDescent="0.25">
      <c r="A10159" t="str">
        <f>"&lt;lifetime&gt;" &amp;$E$10157&amp;"&lt;/lifetime&gt;"</f>
        <v>&lt;lifetime&gt;5600&lt;/lifetime&gt;</v>
      </c>
      <c r="B10159" t="s">
        <v>932</v>
      </c>
    </row>
    <row r="10160" spans="1:8" x14ac:dyDescent="0.25">
      <c r="A10160" t="str">
        <f>"&lt;restock&gt;" &amp;$F$10157&amp;"&lt;/restock&gt;"</f>
        <v>&lt;restock&gt;0&lt;/restock&gt;</v>
      </c>
      <c r="B10160" t="s">
        <v>932</v>
      </c>
    </row>
    <row r="10161" spans="1:8" x14ac:dyDescent="0.25">
      <c r="A10161" t="str">
        <f>"&lt;min&gt;" &amp;$G$10157&amp;"&lt;/min&gt;"</f>
        <v>&lt;min&gt;3&lt;/min&gt;</v>
      </c>
      <c r="B10161" t="s">
        <v>932</v>
      </c>
    </row>
    <row r="10162" spans="1:8" x14ac:dyDescent="0.25">
      <c r="A10162" t="s">
        <v>16</v>
      </c>
      <c r="B10162" t="s">
        <v>932</v>
      </c>
    </row>
    <row r="10163" spans="1:8" x14ac:dyDescent="0.25">
      <c r="A10163" t="s">
        <v>17</v>
      </c>
      <c r="B10163" t="s">
        <v>932</v>
      </c>
    </row>
    <row r="10164" spans="1:8" x14ac:dyDescent="0.25">
      <c r="A10164" t="s">
        <v>18</v>
      </c>
      <c r="B10164" t="s">
        <v>932</v>
      </c>
    </row>
    <row r="10165" spans="1:8" x14ac:dyDescent="0.25">
      <c r="A10165" t="str">
        <f xml:space="preserve"> $H$10157</f>
        <v>&lt;flags count_in_cargo="0" count_in_hoarder="0" count_in_map="1" count_in_player="0" crafted="0" deloot="0"/&gt;</v>
      </c>
      <c r="B10165" t="s">
        <v>932</v>
      </c>
    </row>
    <row r="10166" spans="1:8" x14ac:dyDescent="0.25">
      <c r="A10166" t="str">
        <f>"&lt;category name=" &amp;"""" &amp;$C$10157&amp;"""/&gt;"</f>
        <v>&lt;category name="clothes"/&gt;</v>
      </c>
      <c r="B10166" t="s">
        <v>932</v>
      </c>
    </row>
    <row r="10167" spans="1:8" x14ac:dyDescent="0.25">
      <c r="A10167" t="s">
        <v>21</v>
      </c>
      <c r="B10167" t="s">
        <v>932</v>
      </c>
    </row>
    <row r="10168" spans="1:8" x14ac:dyDescent="0.25">
      <c r="A10168" t="s">
        <v>22</v>
      </c>
      <c r="B10168" t="s">
        <v>932</v>
      </c>
    </row>
    <row r="10169" spans="1:8" x14ac:dyDescent="0.25">
      <c r="A10169" t="s">
        <v>2178</v>
      </c>
      <c r="B10169" t="s">
        <v>933</v>
      </c>
      <c r="C10169" t="s">
        <v>403</v>
      </c>
      <c r="D10169">
        <v>7</v>
      </c>
      <c r="E10169">
        <v>5600</v>
      </c>
      <c r="F10169">
        <v>0</v>
      </c>
      <c r="G10169">
        <v>3</v>
      </c>
      <c r="H10169" t="s">
        <v>19</v>
      </c>
    </row>
    <row r="10170" spans="1:8" x14ac:dyDescent="0.25">
      <c r="A10170" t="str">
        <f>"&lt;nominal&gt;" &amp;$D$10169&amp;"&lt;/nominal&gt;"</f>
        <v>&lt;nominal&gt;7&lt;/nominal&gt;</v>
      </c>
      <c r="B10170" t="s">
        <v>933</v>
      </c>
    </row>
    <row r="10171" spans="1:8" x14ac:dyDescent="0.25">
      <c r="A10171" t="str">
        <f>"&lt;lifetime&gt;" &amp;$E$10169&amp;"&lt;/lifetime&gt;"</f>
        <v>&lt;lifetime&gt;5600&lt;/lifetime&gt;</v>
      </c>
      <c r="B10171" t="s">
        <v>933</v>
      </c>
    </row>
    <row r="10172" spans="1:8" x14ac:dyDescent="0.25">
      <c r="A10172" t="str">
        <f>"&lt;restock&gt;" &amp;$F$10169&amp;"&lt;/restock&gt;"</f>
        <v>&lt;restock&gt;0&lt;/restock&gt;</v>
      </c>
      <c r="B10172" t="s">
        <v>933</v>
      </c>
    </row>
    <row r="10173" spans="1:8" x14ac:dyDescent="0.25">
      <c r="A10173" t="str">
        <f>"&lt;min&gt;" &amp;$G$10169&amp;"&lt;/min&gt;"</f>
        <v>&lt;min&gt;3&lt;/min&gt;</v>
      </c>
      <c r="B10173" t="s">
        <v>933</v>
      </c>
    </row>
    <row r="10174" spans="1:8" x14ac:dyDescent="0.25">
      <c r="A10174" t="s">
        <v>16</v>
      </c>
      <c r="B10174" t="s">
        <v>933</v>
      </c>
    </row>
    <row r="10175" spans="1:8" x14ac:dyDescent="0.25">
      <c r="A10175" t="s">
        <v>17</v>
      </c>
      <c r="B10175" t="s">
        <v>933</v>
      </c>
    </row>
    <row r="10176" spans="1:8" x14ac:dyDescent="0.25">
      <c r="A10176" t="s">
        <v>18</v>
      </c>
      <c r="B10176" t="s">
        <v>933</v>
      </c>
    </row>
    <row r="10177" spans="1:8" x14ac:dyDescent="0.25">
      <c r="A10177" t="str">
        <f xml:space="preserve"> $H$10169</f>
        <v>&lt;flags count_in_cargo="0" count_in_hoarder="0" count_in_map="1" count_in_player="0" crafted="0" deloot="0"/&gt;</v>
      </c>
      <c r="B10177" t="s">
        <v>933</v>
      </c>
    </row>
    <row r="10178" spans="1:8" x14ac:dyDescent="0.25">
      <c r="A10178" t="str">
        <f>"&lt;category name=" &amp;"""" &amp;$C$10169&amp;"""/&gt;"</f>
        <v>&lt;category name="clothes"/&gt;</v>
      </c>
      <c r="B10178" t="s">
        <v>933</v>
      </c>
    </row>
    <row r="10179" spans="1:8" x14ac:dyDescent="0.25">
      <c r="A10179" t="s">
        <v>21</v>
      </c>
      <c r="B10179" t="s">
        <v>933</v>
      </c>
    </row>
    <row r="10180" spans="1:8" x14ac:dyDescent="0.25">
      <c r="A10180" t="s">
        <v>22</v>
      </c>
      <c r="B10180" t="s">
        <v>933</v>
      </c>
    </row>
    <row r="10181" spans="1:8" x14ac:dyDescent="0.25">
      <c r="A10181" t="s">
        <v>2179</v>
      </c>
      <c r="B10181" t="s">
        <v>934</v>
      </c>
      <c r="C10181" t="s">
        <v>403</v>
      </c>
      <c r="D10181">
        <v>7</v>
      </c>
      <c r="E10181">
        <v>5600</v>
      </c>
      <c r="F10181">
        <v>0</v>
      </c>
      <c r="G10181">
        <v>3</v>
      </c>
      <c r="H10181" t="s">
        <v>19</v>
      </c>
    </row>
    <row r="10182" spans="1:8" x14ac:dyDescent="0.25">
      <c r="A10182" t="str">
        <f>"&lt;nominal&gt;" &amp;$D$10181&amp;"&lt;/nominal&gt;"</f>
        <v>&lt;nominal&gt;7&lt;/nominal&gt;</v>
      </c>
      <c r="B10182" t="s">
        <v>934</v>
      </c>
    </row>
    <row r="10183" spans="1:8" x14ac:dyDescent="0.25">
      <c r="A10183" t="str">
        <f>"&lt;lifetime&gt;" &amp;$E$10181&amp;"&lt;/lifetime&gt;"</f>
        <v>&lt;lifetime&gt;5600&lt;/lifetime&gt;</v>
      </c>
      <c r="B10183" t="s">
        <v>934</v>
      </c>
    </row>
    <row r="10184" spans="1:8" x14ac:dyDescent="0.25">
      <c r="A10184" t="str">
        <f>"&lt;restock&gt;" &amp;$F$10181&amp;"&lt;/restock&gt;"</f>
        <v>&lt;restock&gt;0&lt;/restock&gt;</v>
      </c>
      <c r="B10184" t="s">
        <v>934</v>
      </c>
    </row>
    <row r="10185" spans="1:8" x14ac:dyDescent="0.25">
      <c r="A10185" t="str">
        <f>"&lt;min&gt;" &amp;$G$10181&amp;"&lt;/min&gt;"</f>
        <v>&lt;min&gt;3&lt;/min&gt;</v>
      </c>
      <c r="B10185" t="s">
        <v>934</v>
      </c>
    </row>
    <row r="10186" spans="1:8" x14ac:dyDescent="0.25">
      <c r="A10186" t="s">
        <v>16</v>
      </c>
      <c r="B10186" t="s">
        <v>934</v>
      </c>
    </row>
    <row r="10187" spans="1:8" x14ac:dyDescent="0.25">
      <c r="A10187" t="s">
        <v>17</v>
      </c>
      <c r="B10187" t="s">
        <v>934</v>
      </c>
    </row>
    <row r="10188" spans="1:8" x14ac:dyDescent="0.25">
      <c r="A10188" t="s">
        <v>18</v>
      </c>
      <c r="B10188" t="s">
        <v>934</v>
      </c>
    </row>
    <row r="10189" spans="1:8" x14ac:dyDescent="0.25">
      <c r="A10189" t="str">
        <f xml:space="preserve"> $H$10181</f>
        <v>&lt;flags count_in_cargo="0" count_in_hoarder="0" count_in_map="1" count_in_player="0" crafted="0" deloot="0"/&gt;</v>
      </c>
      <c r="B10189" t="s">
        <v>934</v>
      </c>
    </row>
    <row r="10190" spans="1:8" x14ac:dyDescent="0.25">
      <c r="A10190" t="str">
        <f>"&lt;category name=" &amp;"""" &amp;$C$10181&amp;"""/&gt;"</f>
        <v>&lt;category name="clothes"/&gt;</v>
      </c>
      <c r="B10190" t="s">
        <v>934</v>
      </c>
    </row>
    <row r="10191" spans="1:8" x14ac:dyDescent="0.25">
      <c r="A10191" t="s">
        <v>21</v>
      </c>
      <c r="B10191" t="s">
        <v>934</v>
      </c>
    </row>
    <row r="10192" spans="1:8" x14ac:dyDescent="0.25">
      <c r="A10192" t="s">
        <v>22</v>
      </c>
      <c r="B10192" t="s">
        <v>934</v>
      </c>
    </row>
    <row r="10193" spans="1:8" x14ac:dyDescent="0.25">
      <c r="A10193" t="s">
        <v>2180</v>
      </c>
      <c r="B10193" t="s">
        <v>935</v>
      </c>
      <c r="C10193" t="s">
        <v>403</v>
      </c>
      <c r="D10193">
        <v>7</v>
      </c>
      <c r="E10193">
        <v>5600</v>
      </c>
      <c r="F10193">
        <v>0</v>
      </c>
      <c r="G10193">
        <v>3</v>
      </c>
      <c r="H10193" t="s">
        <v>19</v>
      </c>
    </row>
    <row r="10194" spans="1:8" x14ac:dyDescent="0.25">
      <c r="A10194" t="str">
        <f>"&lt;nominal&gt;" &amp;$D$10193&amp;"&lt;/nominal&gt;"</f>
        <v>&lt;nominal&gt;7&lt;/nominal&gt;</v>
      </c>
      <c r="B10194" t="s">
        <v>935</v>
      </c>
    </row>
    <row r="10195" spans="1:8" x14ac:dyDescent="0.25">
      <c r="A10195" t="str">
        <f>"&lt;lifetime&gt;" &amp;$E$10193&amp;"&lt;/lifetime&gt;"</f>
        <v>&lt;lifetime&gt;5600&lt;/lifetime&gt;</v>
      </c>
      <c r="B10195" t="s">
        <v>935</v>
      </c>
    </row>
    <row r="10196" spans="1:8" x14ac:dyDescent="0.25">
      <c r="A10196" t="str">
        <f>"&lt;restock&gt;" &amp;$F$10193&amp;"&lt;/restock&gt;"</f>
        <v>&lt;restock&gt;0&lt;/restock&gt;</v>
      </c>
      <c r="B10196" t="s">
        <v>935</v>
      </c>
    </row>
    <row r="10197" spans="1:8" x14ac:dyDescent="0.25">
      <c r="A10197" t="str">
        <f>"&lt;min&gt;" &amp;$G$10193&amp;"&lt;/min&gt;"</f>
        <v>&lt;min&gt;3&lt;/min&gt;</v>
      </c>
      <c r="B10197" t="s">
        <v>935</v>
      </c>
    </row>
    <row r="10198" spans="1:8" x14ac:dyDescent="0.25">
      <c r="A10198" t="s">
        <v>16</v>
      </c>
      <c r="B10198" t="s">
        <v>935</v>
      </c>
    </row>
    <row r="10199" spans="1:8" x14ac:dyDescent="0.25">
      <c r="A10199" t="s">
        <v>17</v>
      </c>
      <c r="B10199" t="s">
        <v>935</v>
      </c>
    </row>
    <row r="10200" spans="1:8" x14ac:dyDescent="0.25">
      <c r="A10200" t="s">
        <v>18</v>
      </c>
      <c r="B10200" t="s">
        <v>935</v>
      </c>
    </row>
    <row r="10201" spans="1:8" x14ac:dyDescent="0.25">
      <c r="A10201" t="str">
        <f xml:space="preserve"> $H$10193</f>
        <v>&lt;flags count_in_cargo="0" count_in_hoarder="0" count_in_map="1" count_in_player="0" crafted="0" deloot="0"/&gt;</v>
      </c>
      <c r="B10201" t="s">
        <v>935</v>
      </c>
    </row>
    <row r="10202" spans="1:8" x14ac:dyDescent="0.25">
      <c r="A10202" t="str">
        <f>"&lt;category name=" &amp;"""" &amp;$C$10193&amp;"""/&gt;"</f>
        <v>&lt;category name="clothes"/&gt;</v>
      </c>
      <c r="B10202" t="s">
        <v>935</v>
      </c>
    </row>
    <row r="10203" spans="1:8" x14ac:dyDescent="0.25">
      <c r="A10203" t="s">
        <v>21</v>
      </c>
      <c r="B10203" t="s">
        <v>935</v>
      </c>
    </row>
    <row r="10204" spans="1:8" x14ac:dyDescent="0.25">
      <c r="A10204" t="s">
        <v>22</v>
      </c>
      <c r="B10204" t="s">
        <v>935</v>
      </c>
    </row>
    <row r="10205" spans="1:8" x14ac:dyDescent="0.25">
      <c r="A10205" t="s">
        <v>2181</v>
      </c>
      <c r="B10205" t="s">
        <v>936</v>
      </c>
      <c r="C10205" t="s">
        <v>403</v>
      </c>
      <c r="D10205">
        <v>7</v>
      </c>
      <c r="E10205">
        <v>5600</v>
      </c>
      <c r="F10205">
        <v>0</v>
      </c>
      <c r="G10205">
        <v>3</v>
      </c>
      <c r="H10205" t="s">
        <v>19</v>
      </c>
    </row>
    <row r="10206" spans="1:8" x14ac:dyDescent="0.25">
      <c r="A10206" t="str">
        <f>"&lt;nominal&gt;" &amp;$D$10205&amp;"&lt;/nominal&gt;"</f>
        <v>&lt;nominal&gt;7&lt;/nominal&gt;</v>
      </c>
      <c r="B10206" t="s">
        <v>936</v>
      </c>
    </row>
    <row r="10207" spans="1:8" x14ac:dyDescent="0.25">
      <c r="A10207" t="str">
        <f>"&lt;lifetime&gt;" &amp;$E$10205&amp;"&lt;/lifetime&gt;"</f>
        <v>&lt;lifetime&gt;5600&lt;/lifetime&gt;</v>
      </c>
      <c r="B10207" t="s">
        <v>936</v>
      </c>
    </row>
    <row r="10208" spans="1:8" x14ac:dyDescent="0.25">
      <c r="A10208" t="str">
        <f>"&lt;restock&gt;" &amp;$F$10205&amp;"&lt;/restock&gt;"</f>
        <v>&lt;restock&gt;0&lt;/restock&gt;</v>
      </c>
      <c r="B10208" t="s">
        <v>936</v>
      </c>
    </row>
    <row r="10209" spans="1:8" x14ac:dyDescent="0.25">
      <c r="A10209" t="str">
        <f>"&lt;min&gt;" &amp;$G$10205&amp;"&lt;/min&gt;"</f>
        <v>&lt;min&gt;3&lt;/min&gt;</v>
      </c>
      <c r="B10209" t="s">
        <v>936</v>
      </c>
    </row>
    <row r="10210" spans="1:8" x14ac:dyDescent="0.25">
      <c r="A10210" t="s">
        <v>16</v>
      </c>
      <c r="B10210" t="s">
        <v>936</v>
      </c>
    </row>
    <row r="10211" spans="1:8" x14ac:dyDescent="0.25">
      <c r="A10211" t="s">
        <v>17</v>
      </c>
      <c r="B10211" t="s">
        <v>936</v>
      </c>
    </row>
    <row r="10212" spans="1:8" x14ac:dyDescent="0.25">
      <c r="A10212" t="s">
        <v>18</v>
      </c>
      <c r="B10212" t="s">
        <v>936</v>
      </c>
    </row>
    <row r="10213" spans="1:8" x14ac:dyDescent="0.25">
      <c r="A10213" t="str">
        <f xml:space="preserve"> $H$10205</f>
        <v>&lt;flags count_in_cargo="0" count_in_hoarder="0" count_in_map="1" count_in_player="0" crafted="0" deloot="0"/&gt;</v>
      </c>
      <c r="B10213" t="s">
        <v>936</v>
      </c>
    </row>
    <row r="10214" spans="1:8" x14ac:dyDescent="0.25">
      <c r="A10214" t="str">
        <f>"&lt;category name=" &amp;"""" &amp;$C$10205&amp;"""/&gt;"</f>
        <v>&lt;category name="clothes"/&gt;</v>
      </c>
      <c r="B10214" t="s">
        <v>936</v>
      </c>
    </row>
    <row r="10215" spans="1:8" x14ac:dyDescent="0.25">
      <c r="A10215" t="s">
        <v>21</v>
      </c>
      <c r="B10215" t="s">
        <v>936</v>
      </c>
    </row>
    <row r="10216" spans="1:8" x14ac:dyDescent="0.25">
      <c r="A10216" t="s">
        <v>22</v>
      </c>
      <c r="B10216" t="s">
        <v>936</v>
      </c>
    </row>
    <row r="10217" spans="1:8" x14ac:dyDescent="0.25">
      <c r="A10217" t="s">
        <v>2182</v>
      </c>
      <c r="B10217" t="s">
        <v>937</v>
      </c>
      <c r="C10217" t="s">
        <v>403</v>
      </c>
      <c r="D10217">
        <v>7</v>
      </c>
      <c r="E10217">
        <v>5600</v>
      </c>
      <c r="F10217">
        <v>0</v>
      </c>
      <c r="G10217">
        <v>3</v>
      </c>
      <c r="H10217" t="s">
        <v>19</v>
      </c>
    </row>
    <row r="10218" spans="1:8" x14ac:dyDescent="0.25">
      <c r="A10218" t="str">
        <f>"&lt;nominal&gt;" &amp;$D$10217&amp;"&lt;/nominal&gt;"</f>
        <v>&lt;nominal&gt;7&lt;/nominal&gt;</v>
      </c>
      <c r="B10218" t="s">
        <v>937</v>
      </c>
    </row>
    <row r="10219" spans="1:8" x14ac:dyDescent="0.25">
      <c r="A10219" t="str">
        <f>"&lt;lifetime&gt;" &amp;$E$10217&amp;"&lt;/lifetime&gt;"</f>
        <v>&lt;lifetime&gt;5600&lt;/lifetime&gt;</v>
      </c>
      <c r="B10219" t="s">
        <v>937</v>
      </c>
    </row>
    <row r="10220" spans="1:8" x14ac:dyDescent="0.25">
      <c r="A10220" t="str">
        <f>"&lt;restock&gt;" &amp;$F$10217&amp;"&lt;/restock&gt;"</f>
        <v>&lt;restock&gt;0&lt;/restock&gt;</v>
      </c>
      <c r="B10220" t="s">
        <v>937</v>
      </c>
    </row>
    <row r="10221" spans="1:8" x14ac:dyDescent="0.25">
      <c r="A10221" t="str">
        <f>"&lt;min&gt;" &amp;$G$10217&amp;"&lt;/min&gt;"</f>
        <v>&lt;min&gt;3&lt;/min&gt;</v>
      </c>
      <c r="B10221" t="s">
        <v>937</v>
      </c>
    </row>
    <row r="10222" spans="1:8" x14ac:dyDescent="0.25">
      <c r="A10222" t="s">
        <v>16</v>
      </c>
      <c r="B10222" t="s">
        <v>937</v>
      </c>
    </row>
    <row r="10223" spans="1:8" x14ac:dyDescent="0.25">
      <c r="A10223" t="s">
        <v>17</v>
      </c>
      <c r="B10223" t="s">
        <v>937</v>
      </c>
    </row>
    <row r="10224" spans="1:8" x14ac:dyDescent="0.25">
      <c r="A10224" t="s">
        <v>18</v>
      </c>
      <c r="B10224" t="s">
        <v>937</v>
      </c>
    </row>
    <row r="10225" spans="1:8" x14ac:dyDescent="0.25">
      <c r="A10225" t="str">
        <f xml:space="preserve"> $H$10217</f>
        <v>&lt;flags count_in_cargo="0" count_in_hoarder="0" count_in_map="1" count_in_player="0" crafted="0" deloot="0"/&gt;</v>
      </c>
      <c r="B10225" t="s">
        <v>937</v>
      </c>
    </row>
    <row r="10226" spans="1:8" x14ac:dyDescent="0.25">
      <c r="A10226" t="str">
        <f>"&lt;category name=" &amp;"""" &amp;$C$10217&amp;"""/&gt;"</f>
        <v>&lt;category name="clothes"/&gt;</v>
      </c>
      <c r="B10226" t="s">
        <v>937</v>
      </c>
    </row>
    <row r="10227" spans="1:8" x14ac:dyDescent="0.25">
      <c r="A10227" t="s">
        <v>21</v>
      </c>
      <c r="B10227" t="s">
        <v>937</v>
      </c>
    </row>
    <row r="10228" spans="1:8" x14ac:dyDescent="0.25">
      <c r="A10228" t="s">
        <v>22</v>
      </c>
      <c r="B10228" t="s">
        <v>937</v>
      </c>
    </row>
    <row r="10229" spans="1:8" x14ac:dyDescent="0.25">
      <c r="A10229" t="s">
        <v>2183</v>
      </c>
      <c r="B10229" t="s">
        <v>938</v>
      </c>
      <c r="C10229" t="s">
        <v>399</v>
      </c>
      <c r="D10229">
        <v>2</v>
      </c>
      <c r="E10229">
        <v>3600</v>
      </c>
      <c r="F10229">
        <v>0</v>
      </c>
      <c r="G10229">
        <v>1</v>
      </c>
      <c r="H10229" t="s">
        <v>19</v>
      </c>
    </row>
    <row r="10230" spans="1:8" x14ac:dyDescent="0.25">
      <c r="A10230" t="str">
        <f>"&lt;nominal&gt;" &amp;$D$10229&amp;"&lt;/nominal&gt;"</f>
        <v>&lt;nominal&gt;2&lt;/nominal&gt;</v>
      </c>
      <c r="B10230" t="s">
        <v>938</v>
      </c>
    </row>
    <row r="10231" spans="1:8" x14ac:dyDescent="0.25">
      <c r="A10231" t="str">
        <f>"&lt;lifetime&gt;" &amp;$E$10229&amp;"&lt;/lifetime&gt;"</f>
        <v>&lt;lifetime&gt;3600&lt;/lifetime&gt;</v>
      </c>
      <c r="B10231" t="s">
        <v>938</v>
      </c>
    </row>
    <row r="10232" spans="1:8" x14ac:dyDescent="0.25">
      <c r="A10232" t="str">
        <f>"&lt;restock&gt;" &amp;$F$10229&amp;"&lt;/restock&gt;"</f>
        <v>&lt;restock&gt;0&lt;/restock&gt;</v>
      </c>
      <c r="B10232" t="s">
        <v>938</v>
      </c>
    </row>
    <row r="10233" spans="1:8" x14ac:dyDescent="0.25">
      <c r="A10233" t="str">
        <f>"&lt;min&gt;" &amp;$G$10229&amp;"&lt;/min&gt;"</f>
        <v>&lt;min&gt;1&lt;/min&gt;</v>
      </c>
      <c r="B10233" t="s">
        <v>938</v>
      </c>
    </row>
    <row r="10234" spans="1:8" x14ac:dyDescent="0.25">
      <c r="A10234" t="s">
        <v>16</v>
      </c>
      <c r="B10234" t="s">
        <v>938</v>
      </c>
    </row>
    <row r="10235" spans="1:8" x14ac:dyDescent="0.25">
      <c r="A10235" t="s">
        <v>17</v>
      </c>
      <c r="B10235" t="s">
        <v>938</v>
      </c>
    </row>
    <row r="10236" spans="1:8" x14ac:dyDescent="0.25">
      <c r="A10236" t="s">
        <v>18</v>
      </c>
      <c r="B10236" t="s">
        <v>938</v>
      </c>
    </row>
    <row r="10237" spans="1:8" x14ac:dyDescent="0.25">
      <c r="A10237" t="str">
        <f xml:space="preserve"> $H$10229</f>
        <v>&lt;flags count_in_cargo="0" count_in_hoarder="0" count_in_map="1" count_in_player="0" crafted="0" deloot="0"/&gt;</v>
      </c>
      <c r="B10237" t="s">
        <v>938</v>
      </c>
    </row>
    <row r="10238" spans="1:8" x14ac:dyDescent="0.25">
      <c r="A10238" t="str">
        <f>"&lt;category name=" &amp;"""" &amp;$C$10229&amp;"""/&gt;"</f>
        <v>&lt;category name="food"/&gt;</v>
      </c>
      <c r="B10238" t="s">
        <v>938</v>
      </c>
    </row>
    <row r="10239" spans="1:8" x14ac:dyDescent="0.25">
      <c r="A10239" t="s">
        <v>20</v>
      </c>
      <c r="B10239" t="s">
        <v>938</v>
      </c>
    </row>
    <row r="10240" spans="1:8" x14ac:dyDescent="0.25">
      <c r="A10240" t="s">
        <v>82</v>
      </c>
      <c r="B10240" t="s">
        <v>938</v>
      </c>
    </row>
    <row r="10241" spans="1:8" x14ac:dyDescent="0.25">
      <c r="A10241" t="s">
        <v>30</v>
      </c>
      <c r="B10241" t="s">
        <v>938</v>
      </c>
    </row>
    <row r="10242" spans="1:8" x14ac:dyDescent="0.25">
      <c r="A10242" t="s">
        <v>31</v>
      </c>
      <c r="B10242" t="s">
        <v>938</v>
      </c>
    </row>
    <row r="10243" spans="1:8" x14ac:dyDescent="0.25">
      <c r="A10243" t="s">
        <v>22</v>
      </c>
      <c r="B10243" t="s">
        <v>938</v>
      </c>
    </row>
    <row r="10244" spans="1:8" x14ac:dyDescent="0.25">
      <c r="A10244" t="s">
        <v>2184</v>
      </c>
      <c r="B10244" t="s">
        <v>3447</v>
      </c>
      <c r="C10244" t="s">
        <v>399</v>
      </c>
      <c r="D10244">
        <v>0</v>
      </c>
      <c r="E10244">
        <v>3600</v>
      </c>
      <c r="F10244">
        <v>0</v>
      </c>
      <c r="G10244">
        <v>0</v>
      </c>
      <c r="H10244" t="s">
        <v>62</v>
      </c>
    </row>
    <row r="10245" spans="1:8" x14ac:dyDescent="0.25">
      <c r="A10245" t="str">
        <f>"&lt;nominal&gt;" &amp;$D$10244&amp;"&lt;/nominal&gt;"</f>
        <v>&lt;nominal&gt;0&lt;/nominal&gt;</v>
      </c>
      <c r="B10245" t="s">
        <v>3447</v>
      </c>
    </row>
    <row r="10246" spans="1:8" x14ac:dyDescent="0.25">
      <c r="A10246" t="str">
        <f>"&lt;lifetime&gt;" &amp;$E$10244&amp;"&lt;/lifetime&gt;"</f>
        <v>&lt;lifetime&gt;3600&lt;/lifetime&gt;</v>
      </c>
      <c r="B10246" t="s">
        <v>3447</v>
      </c>
    </row>
    <row r="10247" spans="1:8" x14ac:dyDescent="0.25">
      <c r="A10247" t="str">
        <f>"&lt;restock&gt;" &amp;$F$10244&amp;"&lt;/restock&gt;"</f>
        <v>&lt;restock&gt;0&lt;/restock&gt;</v>
      </c>
      <c r="B10247" t="s">
        <v>3447</v>
      </c>
    </row>
    <row r="10248" spans="1:8" x14ac:dyDescent="0.25">
      <c r="A10248" t="str">
        <f>"&lt;min&gt;" &amp;$G$10244&amp;"&lt;/min&gt;"</f>
        <v>&lt;min&gt;0&lt;/min&gt;</v>
      </c>
      <c r="B10248" t="s">
        <v>3447</v>
      </c>
    </row>
    <row r="10249" spans="1:8" x14ac:dyDescent="0.25">
      <c r="A10249" t="s">
        <v>16</v>
      </c>
      <c r="B10249" t="s">
        <v>3447</v>
      </c>
    </row>
    <row r="10250" spans="1:8" x14ac:dyDescent="0.25">
      <c r="A10250" t="s">
        <v>17</v>
      </c>
      <c r="B10250" t="s">
        <v>3447</v>
      </c>
    </row>
    <row r="10251" spans="1:8" x14ac:dyDescent="0.25">
      <c r="A10251" t="s">
        <v>18</v>
      </c>
      <c r="B10251" t="s">
        <v>3447</v>
      </c>
    </row>
    <row r="10252" spans="1:8" x14ac:dyDescent="0.25">
      <c r="A10252" t="str">
        <f xml:space="preserve"> $H$10244</f>
        <v>&lt;flags count_in_cargo="0" count_in_hoarder="0" count_in_map="1" count_in_player="0" crafted="1" deloot="0"/&gt;</v>
      </c>
      <c r="B10252" t="s">
        <v>3447</v>
      </c>
    </row>
    <row r="10253" spans="1:8" x14ac:dyDescent="0.25">
      <c r="A10253" t="str">
        <f>"&lt;category name=" &amp;"""" &amp;$C$10244&amp;"""/&gt;"</f>
        <v>&lt;category name="food"/&gt;</v>
      </c>
      <c r="B10253" t="s">
        <v>3447</v>
      </c>
    </row>
    <row r="10254" spans="1:8" x14ac:dyDescent="0.25">
      <c r="A10254" t="s">
        <v>22</v>
      </c>
      <c r="B10254" t="s">
        <v>3447</v>
      </c>
    </row>
    <row r="10255" spans="1:8" x14ac:dyDescent="0.25">
      <c r="A10255" t="s">
        <v>2185</v>
      </c>
      <c r="B10255" t="s">
        <v>3004</v>
      </c>
      <c r="C10255" t="s">
        <v>399</v>
      </c>
      <c r="D10255">
        <v>0</v>
      </c>
      <c r="E10255">
        <v>900</v>
      </c>
      <c r="F10255">
        <v>0</v>
      </c>
      <c r="G10255">
        <v>0</v>
      </c>
      <c r="H10255" t="s">
        <v>62</v>
      </c>
    </row>
    <row r="10256" spans="1:8" x14ac:dyDescent="0.25">
      <c r="A10256" t="str">
        <f>"&lt;nominal&gt;" &amp;$D$10255&amp;"&lt;/nominal&gt;"</f>
        <v>&lt;nominal&gt;0&lt;/nominal&gt;</v>
      </c>
      <c r="B10256" t="s">
        <v>3004</v>
      </c>
    </row>
    <row r="10257" spans="1:8" x14ac:dyDescent="0.25">
      <c r="A10257" t="str">
        <f>"&lt;lifetime&gt;" &amp;$E$10255&amp;"&lt;/lifetime&gt;"</f>
        <v>&lt;lifetime&gt;900&lt;/lifetime&gt;</v>
      </c>
      <c r="B10257" t="s">
        <v>3004</v>
      </c>
    </row>
    <row r="10258" spans="1:8" x14ac:dyDescent="0.25">
      <c r="A10258" t="str">
        <f>"&lt;restock&gt;" &amp;$F$10255&amp;"&lt;/restock&gt;"</f>
        <v>&lt;restock&gt;0&lt;/restock&gt;</v>
      </c>
      <c r="B10258" t="s">
        <v>3004</v>
      </c>
    </row>
    <row r="10259" spans="1:8" x14ac:dyDescent="0.25">
      <c r="A10259" t="str">
        <f>"&lt;min&gt;" &amp;$G$10255&amp;"&lt;/min&gt;"</f>
        <v>&lt;min&gt;0&lt;/min&gt;</v>
      </c>
      <c r="B10259" t="s">
        <v>3004</v>
      </c>
    </row>
    <row r="10260" spans="1:8" x14ac:dyDescent="0.25">
      <c r="A10260" t="s">
        <v>16</v>
      </c>
      <c r="B10260" t="s">
        <v>3004</v>
      </c>
    </row>
    <row r="10261" spans="1:8" x14ac:dyDescent="0.25">
      <c r="A10261" t="s">
        <v>17</v>
      </c>
      <c r="B10261" t="s">
        <v>3004</v>
      </c>
    </row>
    <row r="10262" spans="1:8" x14ac:dyDescent="0.25">
      <c r="A10262" t="s">
        <v>18</v>
      </c>
      <c r="B10262" t="s">
        <v>3004</v>
      </c>
    </row>
    <row r="10263" spans="1:8" x14ac:dyDescent="0.25">
      <c r="A10263" t="str">
        <f xml:space="preserve"> $H$10255</f>
        <v>&lt;flags count_in_cargo="0" count_in_hoarder="0" count_in_map="1" count_in_player="0" crafted="1" deloot="0"/&gt;</v>
      </c>
      <c r="B10263" t="s">
        <v>3004</v>
      </c>
    </row>
    <row r="10264" spans="1:8" x14ac:dyDescent="0.25">
      <c r="A10264" t="str">
        <f>"&lt;category name=" &amp;"""" &amp;$C$10255&amp;"""/&gt;"</f>
        <v>&lt;category name="food"/&gt;</v>
      </c>
      <c r="B10264" t="s">
        <v>3004</v>
      </c>
    </row>
    <row r="10265" spans="1:8" x14ac:dyDescent="0.25">
      <c r="A10265" t="s">
        <v>22</v>
      </c>
      <c r="B10265" t="s">
        <v>3004</v>
      </c>
    </row>
    <row r="10266" spans="1:8" x14ac:dyDescent="0.25">
      <c r="A10266" t="s">
        <v>2186</v>
      </c>
      <c r="B10266" t="s">
        <v>3448</v>
      </c>
      <c r="C10266" t="s">
        <v>426</v>
      </c>
      <c r="D10266">
        <v>0</v>
      </c>
      <c r="E10266">
        <v>7200</v>
      </c>
      <c r="F10266">
        <v>0</v>
      </c>
      <c r="G10266">
        <v>0</v>
      </c>
      <c r="H10266" t="s">
        <v>19</v>
      </c>
    </row>
    <row r="10267" spans="1:8" x14ac:dyDescent="0.25">
      <c r="A10267" t="str">
        <f>"&lt;nominal&gt;" &amp;$D$10266&amp;"&lt;/nominal&gt;"</f>
        <v>&lt;nominal&gt;0&lt;/nominal&gt;</v>
      </c>
      <c r="B10267" t="s">
        <v>3448</v>
      </c>
    </row>
    <row r="10268" spans="1:8" x14ac:dyDescent="0.25">
      <c r="A10268" t="str">
        <f>"&lt;lifetime&gt;" &amp;$E$10266&amp;"&lt;/lifetime&gt;"</f>
        <v>&lt;lifetime&gt;7200&lt;/lifetime&gt;</v>
      </c>
      <c r="B10268" t="s">
        <v>3448</v>
      </c>
    </row>
    <row r="10269" spans="1:8" x14ac:dyDescent="0.25">
      <c r="A10269" t="str">
        <f>"&lt;restock&gt;" &amp;$F$10266&amp;"&lt;/restock&gt;"</f>
        <v>&lt;restock&gt;0&lt;/restock&gt;</v>
      </c>
      <c r="B10269" t="s">
        <v>3448</v>
      </c>
    </row>
    <row r="10270" spans="1:8" x14ac:dyDescent="0.25">
      <c r="A10270" t="str">
        <f>"&lt;min&gt;" &amp;$G$10266&amp;"&lt;/min&gt;"</f>
        <v>&lt;min&gt;0&lt;/min&gt;</v>
      </c>
      <c r="B10270" t="s">
        <v>3448</v>
      </c>
    </row>
    <row r="10271" spans="1:8" x14ac:dyDescent="0.25">
      <c r="A10271" t="s">
        <v>16</v>
      </c>
      <c r="B10271" t="s">
        <v>3448</v>
      </c>
    </row>
    <row r="10272" spans="1:8" x14ac:dyDescent="0.25">
      <c r="A10272" t="s">
        <v>17</v>
      </c>
      <c r="B10272" t="s">
        <v>3448</v>
      </c>
    </row>
    <row r="10273" spans="1:8" x14ac:dyDescent="0.25">
      <c r="A10273" t="s">
        <v>18</v>
      </c>
      <c r="B10273" t="s">
        <v>3448</v>
      </c>
    </row>
    <row r="10274" spans="1:8" x14ac:dyDescent="0.25">
      <c r="A10274" t="str">
        <f xml:space="preserve"> $H$10266</f>
        <v>&lt;flags count_in_cargo="0" count_in_hoarder="0" count_in_map="1" count_in_player="0" crafted="0" deloot="0"/&gt;</v>
      </c>
      <c r="B10274" t="s">
        <v>3448</v>
      </c>
    </row>
    <row r="10275" spans="1:8" x14ac:dyDescent="0.25">
      <c r="A10275" t="str">
        <f>"&lt;category name=" &amp;"""" &amp;$C$10266&amp;"""/&gt;"</f>
        <v>&lt;category name="tools"/&gt;</v>
      </c>
      <c r="B10275" t="s">
        <v>3448</v>
      </c>
    </row>
    <row r="10276" spans="1:8" x14ac:dyDescent="0.25">
      <c r="A10276" t="s">
        <v>20</v>
      </c>
      <c r="B10276" t="s">
        <v>3448</v>
      </c>
    </row>
    <row r="10277" spans="1:8" x14ac:dyDescent="0.25">
      <c r="A10277" t="s">
        <v>39</v>
      </c>
      <c r="B10277" t="s">
        <v>3448</v>
      </c>
    </row>
    <row r="10278" spans="1:8" x14ac:dyDescent="0.25">
      <c r="A10278" t="s">
        <v>40</v>
      </c>
      <c r="B10278" t="s">
        <v>3448</v>
      </c>
    </row>
    <row r="10279" spans="1:8" x14ac:dyDescent="0.25">
      <c r="A10279" t="s">
        <v>172</v>
      </c>
      <c r="B10279" t="s">
        <v>3448</v>
      </c>
    </row>
    <row r="10280" spans="1:8" x14ac:dyDescent="0.25">
      <c r="A10280" t="s">
        <v>92</v>
      </c>
      <c r="B10280" t="s">
        <v>3448</v>
      </c>
    </row>
    <row r="10281" spans="1:8" x14ac:dyDescent="0.25">
      <c r="A10281" t="s">
        <v>22</v>
      </c>
      <c r="B10281" t="s">
        <v>3448</v>
      </c>
    </row>
    <row r="10282" spans="1:8" x14ac:dyDescent="0.25">
      <c r="A10282" t="s">
        <v>2187</v>
      </c>
      <c r="B10282" t="s">
        <v>3449</v>
      </c>
      <c r="C10282" t="s">
        <v>426</v>
      </c>
      <c r="D10282">
        <v>0</v>
      </c>
      <c r="E10282">
        <v>7200</v>
      </c>
      <c r="F10282">
        <v>0</v>
      </c>
      <c r="G10282">
        <v>0</v>
      </c>
      <c r="H10282" t="s">
        <v>19</v>
      </c>
    </row>
    <row r="10283" spans="1:8" x14ac:dyDescent="0.25">
      <c r="A10283" t="str">
        <f>"&lt;nominal&gt;" &amp;$D$10282&amp;"&lt;/nominal&gt;"</f>
        <v>&lt;nominal&gt;0&lt;/nominal&gt;</v>
      </c>
      <c r="B10283" t="s">
        <v>3449</v>
      </c>
    </row>
    <row r="10284" spans="1:8" x14ac:dyDescent="0.25">
      <c r="A10284" t="str">
        <f>"&lt;lifetime&gt;" &amp;$E$10282&amp;"&lt;/lifetime&gt;"</f>
        <v>&lt;lifetime&gt;7200&lt;/lifetime&gt;</v>
      </c>
      <c r="B10284" t="s">
        <v>3449</v>
      </c>
    </row>
    <row r="10285" spans="1:8" x14ac:dyDescent="0.25">
      <c r="A10285" t="str">
        <f>"&lt;restock&gt;" &amp;$F$10282&amp;"&lt;/restock&gt;"</f>
        <v>&lt;restock&gt;0&lt;/restock&gt;</v>
      </c>
      <c r="B10285" t="s">
        <v>3449</v>
      </c>
    </row>
    <row r="10286" spans="1:8" x14ac:dyDescent="0.25">
      <c r="A10286" t="str">
        <f>"&lt;min&gt;" &amp;$G$10282&amp;"&lt;/min&gt;"</f>
        <v>&lt;min&gt;0&lt;/min&gt;</v>
      </c>
      <c r="B10286" t="s">
        <v>3449</v>
      </c>
    </row>
    <row r="10287" spans="1:8" x14ac:dyDescent="0.25">
      <c r="A10287" t="s">
        <v>16</v>
      </c>
      <c r="B10287" t="s">
        <v>3449</v>
      </c>
    </row>
    <row r="10288" spans="1:8" x14ac:dyDescent="0.25">
      <c r="A10288" t="s">
        <v>17</v>
      </c>
      <c r="B10288" t="s">
        <v>3449</v>
      </c>
    </row>
    <row r="10289" spans="1:8" x14ac:dyDescent="0.25">
      <c r="A10289" t="s">
        <v>18</v>
      </c>
      <c r="B10289" t="s">
        <v>3449</v>
      </c>
    </row>
    <row r="10290" spans="1:8" x14ac:dyDescent="0.25">
      <c r="A10290" t="str">
        <f xml:space="preserve"> $H$10282</f>
        <v>&lt;flags count_in_cargo="0" count_in_hoarder="0" count_in_map="1" count_in_player="0" crafted="0" deloot="0"/&gt;</v>
      </c>
      <c r="B10290" t="s">
        <v>3449</v>
      </c>
    </row>
    <row r="10291" spans="1:8" x14ac:dyDescent="0.25">
      <c r="A10291" t="str">
        <f>"&lt;category name=" &amp;"""" &amp;$C$10282&amp;"""/&gt;"</f>
        <v>&lt;category name="tools"/&gt;</v>
      </c>
      <c r="B10291" t="s">
        <v>3449</v>
      </c>
    </row>
    <row r="10292" spans="1:8" x14ac:dyDescent="0.25">
      <c r="A10292" t="s">
        <v>20</v>
      </c>
      <c r="B10292" t="s">
        <v>3449</v>
      </c>
    </row>
    <row r="10293" spans="1:8" x14ac:dyDescent="0.25">
      <c r="A10293" t="s">
        <v>39</v>
      </c>
      <c r="B10293" t="s">
        <v>3449</v>
      </c>
    </row>
    <row r="10294" spans="1:8" x14ac:dyDescent="0.25">
      <c r="A10294" t="s">
        <v>40</v>
      </c>
      <c r="B10294" t="s">
        <v>3449</v>
      </c>
    </row>
    <row r="10295" spans="1:8" x14ac:dyDescent="0.25">
      <c r="A10295" t="s">
        <v>172</v>
      </c>
      <c r="B10295" t="s">
        <v>3449</v>
      </c>
    </row>
    <row r="10296" spans="1:8" x14ac:dyDescent="0.25">
      <c r="A10296" t="s">
        <v>92</v>
      </c>
      <c r="B10296" t="s">
        <v>3449</v>
      </c>
    </row>
    <row r="10297" spans="1:8" x14ac:dyDescent="0.25">
      <c r="A10297" t="s">
        <v>22</v>
      </c>
      <c r="B10297" t="s">
        <v>3449</v>
      </c>
    </row>
    <row r="10298" spans="1:8" x14ac:dyDescent="0.25">
      <c r="A10298" t="s">
        <v>2188</v>
      </c>
      <c r="B10298" t="s">
        <v>3450</v>
      </c>
      <c r="C10298" t="s">
        <v>426</v>
      </c>
      <c r="D10298">
        <v>0</v>
      </c>
      <c r="E10298">
        <v>7200</v>
      </c>
      <c r="F10298">
        <v>0</v>
      </c>
      <c r="G10298">
        <v>0</v>
      </c>
      <c r="H10298" t="s">
        <v>19</v>
      </c>
    </row>
    <row r="10299" spans="1:8" x14ac:dyDescent="0.25">
      <c r="A10299" t="str">
        <f>"&lt;nominal&gt;" &amp;$D$10298&amp;"&lt;/nominal&gt;"</f>
        <v>&lt;nominal&gt;0&lt;/nominal&gt;</v>
      </c>
      <c r="B10299" t="s">
        <v>3450</v>
      </c>
    </row>
    <row r="10300" spans="1:8" x14ac:dyDescent="0.25">
      <c r="A10300" t="str">
        <f>"&lt;lifetime&gt;" &amp;$E$10298&amp;"&lt;/lifetime&gt;"</f>
        <v>&lt;lifetime&gt;7200&lt;/lifetime&gt;</v>
      </c>
      <c r="B10300" t="s">
        <v>3450</v>
      </c>
    </row>
    <row r="10301" spans="1:8" x14ac:dyDescent="0.25">
      <c r="A10301" t="str">
        <f>"&lt;restock&gt;" &amp;$F$10298&amp;"&lt;/restock&gt;"</f>
        <v>&lt;restock&gt;0&lt;/restock&gt;</v>
      </c>
      <c r="B10301" t="s">
        <v>3450</v>
      </c>
    </row>
    <row r="10302" spans="1:8" x14ac:dyDescent="0.25">
      <c r="A10302" t="str">
        <f>"&lt;min&gt;" &amp;$G$10298&amp;"&lt;/min&gt;"</f>
        <v>&lt;min&gt;0&lt;/min&gt;</v>
      </c>
      <c r="B10302" t="s">
        <v>3450</v>
      </c>
    </row>
    <row r="10303" spans="1:8" x14ac:dyDescent="0.25">
      <c r="A10303" t="s">
        <v>16</v>
      </c>
      <c r="B10303" t="s">
        <v>3450</v>
      </c>
    </row>
    <row r="10304" spans="1:8" x14ac:dyDescent="0.25">
      <c r="A10304" t="s">
        <v>17</v>
      </c>
      <c r="B10304" t="s">
        <v>3450</v>
      </c>
    </row>
    <row r="10305" spans="1:8" x14ac:dyDescent="0.25">
      <c r="A10305" t="s">
        <v>18</v>
      </c>
      <c r="B10305" t="s">
        <v>3450</v>
      </c>
    </row>
    <row r="10306" spans="1:8" x14ac:dyDescent="0.25">
      <c r="A10306" t="str">
        <f xml:space="preserve"> $H$10298</f>
        <v>&lt;flags count_in_cargo="0" count_in_hoarder="0" count_in_map="1" count_in_player="0" crafted="0" deloot="0"/&gt;</v>
      </c>
      <c r="B10306" t="s">
        <v>3450</v>
      </c>
    </row>
    <row r="10307" spans="1:8" x14ac:dyDescent="0.25">
      <c r="A10307" t="str">
        <f>"&lt;category name=" &amp;"""" &amp;$C$10298&amp;"""/&gt;"</f>
        <v>&lt;category name="tools"/&gt;</v>
      </c>
      <c r="B10307" t="s">
        <v>3450</v>
      </c>
    </row>
    <row r="10308" spans="1:8" x14ac:dyDescent="0.25">
      <c r="A10308" t="s">
        <v>20</v>
      </c>
      <c r="B10308" t="s">
        <v>3450</v>
      </c>
    </row>
    <row r="10309" spans="1:8" x14ac:dyDescent="0.25">
      <c r="A10309" t="s">
        <v>39</v>
      </c>
      <c r="B10309" t="s">
        <v>3450</v>
      </c>
    </row>
    <row r="10310" spans="1:8" x14ac:dyDescent="0.25">
      <c r="A10310" t="s">
        <v>40</v>
      </c>
      <c r="B10310" t="s">
        <v>3450</v>
      </c>
    </row>
    <row r="10311" spans="1:8" x14ac:dyDescent="0.25">
      <c r="A10311" t="s">
        <v>172</v>
      </c>
      <c r="B10311" t="s">
        <v>3450</v>
      </c>
    </row>
    <row r="10312" spans="1:8" x14ac:dyDescent="0.25">
      <c r="A10312" t="s">
        <v>92</v>
      </c>
      <c r="B10312" t="s">
        <v>3450</v>
      </c>
    </row>
    <row r="10313" spans="1:8" x14ac:dyDescent="0.25">
      <c r="A10313" t="s">
        <v>22</v>
      </c>
      <c r="B10313" t="s">
        <v>3450</v>
      </c>
    </row>
    <row r="10314" spans="1:8" x14ac:dyDescent="0.25">
      <c r="A10314" t="s">
        <v>2189</v>
      </c>
      <c r="B10314" t="s">
        <v>3451</v>
      </c>
      <c r="C10314" t="s">
        <v>426</v>
      </c>
      <c r="D10314">
        <v>0</v>
      </c>
      <c r="E10314">
        <v>7200</v>
      </c>
      <c r="F10314">
        <v>0</v>
      </c>
      <c r="G10314">
        <v>0</v>
      </c>
      <c r="H10314" t="s">
        <v>19</v>
      </c>
    </row>
    <row r="10315" spans="1:8" x14ac:dyDescent="0.25">
      <c r="A10315" t="str">
        <f>"&lt;nominal&gt;" &amp;$D$10314&amp;"&lt;/nominal&gt;"</f>
        <v>&lt;nominal&gt;0&lt;/nominal&gt;</v>
      </c>
      <c r="B10315" t="s">
        <v>3451</v>
      </c>
    </row>
    <row r="10316" spans="1:8" x14ac:dyDescent="0.25">
      <c r="A10316" t="str">
        <f>"&lt;lifetime&gt;" &amp;$E$10314&amp;"&lt;/lifetime&gt;"</f>
        <v>&lt;lifetime&gt;7200&lt;/lifetime&gt;</v>
      </c>
      <c r="B10316" t="s">
        <v>3451</v>
      </c>
    </row>
    <row r="10317" spans="1:8" x14ac:dyDescent="0.25">
      <c r="A10317" t="str">
        <f>"&lt;restock&gt;" &amp;$F$10314&amp;"&lt;/restock&gt;"</f>
        <v>&lt;restock&gt;0&lt;/restock&gt;</v>
      </c>
      <c r="B10317" t="s">
        <v>3451</v>
      </c>
    </row>
    <row r="10318" spans="1:8" x14ac:dyDescent="0.25">
      <c r="A10318" t="str">
        <f>"&lt;min&gt;" &amp;$G$10314&amp;"&lt;/min&gt;"</f>
        <v>&lt;min&gt;0&lt;/min&gt;</v>
      </c>
      <c r="B10318" t="s">
        <v>3451</v>
      </c>
    </row>
    <row r="10319" spans="1:8" x14ac:dyDescent="0.25">
      <c r="A10319" t="s">
        <v>16</v>
      </c>
      <c r="B10319" t="s">
        <v>3451</v>
      </c>
    </row>
    <row r="10320" spans="1:8" x14ac:dyDescent="0.25">
      <c r="A10320" t="s">
        <v>17</v>
      </c>
      <c r="B10320" t="s">
        <v>3451</v>
      </c>
    </row>
    <row r="10321" spans="1:8" x14ac:dyDescent="0.25">
      <c r="A10321" t="s">
        <v>18</v>
      </c>
      <c r="B10321" t="s">
        <v>3451</v>
      </c>
    </row>
    <row r="10322" spans="1:8" x14ac:dyDescent="0.25">
      <c r="A10322" t="str">
        <f xml:space="preserve"> $H$10314</f>
        <v>&lt;flags count_in_cargo="0" count_in_hoarder="0" count_in_map="1" count_in_player="0" crafted="0" deloot="0"/&gt;</v>
      </c>
      <c r="B10322" t="s">
        <v>3451</v>
      </c>
    </row>
    <row r="10323" spans="1:8" x14ac:dyDescent="0.25">
      <c r="A10323" t="str">
        <f>"&lt;category name=" &amp;"""" &amp;$C$10314&amp;"""/&gt;"</f>
        <v>&lt;category name="tools"/&gt;</v>
      </c>
      <c r="B10323" t="s">
        <v>3451</v>
      </c>
    </row>
    <row r="10324" spans="1:8" x14ac:dyDescent="0.25">
      <c r="A10324" t="s">
        <v>20</v>
      </c>
      <c r="B10324" t="s">
        <v>3451</v>
      </c>
    </row>
    <row r="10325" spans="1:8" x14ac:dyDescent="0.25">
      <c r="A10325" t="s">
        <v>39</v>
      </c>
      <c r="B10325" t="s">
        <v>3451</v>
      </c>
    </row>
    <row r="10326" spans="1:8" x14ac:dyDescent="0.25">
      <c r="A10326" t="s">
        <v>40</v>
      </c>
      <c r="B10326" t="s">
        <v>3451</v>
      </c>
    </row>
    <row r="10327" spans="1:8" x14ac:dyDescent="0.25">
      <c r="A10327" t="s">
        <v>172</v>
      </c>
      <c r="B10327" t="s">
        <v>3451</v>
      </c>
    </row>
    <row r="10328" spans="1:8" x14ac:dyDescent="0.25">
      <c r="A10328" t="s">
        <v>92</v>
      </c>
      <c r="B10328" t="s">
        <v>3451</v>
      </c>
    </row>
    <row r="10329" spans="1:8" x14ac:dyDescent="0.25">
      <c r="A10329" t="s">
        <v>22</v>
      </c>
      <c r="B10329" t="s">
        <v>3451</v>
      </c>
    </row>
    <row r="10330" spans="1:8" x14ac:dyDescent="0.25">
      <c r="A10330" t="s">
        <v>2190</v>
      </c>
      <c r="B10330" t="s">
        <v>3005</v>
      </c>
      <c r="C10330" t="s">
        <v>426</v>
      </c>
      <c r="D10330">
        <v>0</v>
      </c>
      <c r="E10330">
        <v>3600</v>
      </c>
      <c r="F10330">
        <v>0</v>
      </c>
      <c r="G10330">
        <v>0</v>
      </c>
      <c r="H10330" t="s">
        <v>62</v>
      </c>
    </row>
    <row r="10331" spans="1:8" x14ac:dyDescent="0.25">
      <c r="A10331" t="str">
        <f>"&lt;nominal&gt;" &amp;$D$10330&amp;"&lt;/nominal&gt;"</f>
        <v>&lt;nominal&gt;0&lt;/nominal&gt;</v>
      </c>
      <c r="B10331" t="s">
        <v>3005</v>
      </c>
    </row>
    <row r="10332" spans="1:8" x14ac:dyDescent="0.25">
      <c r="A10332" t="str">
        <f>"&lt;lifetime&gt;" &amp;$E$10330&amp;"&lt;/lifetime&gt;"</f>
        <v>&lt;lifetime&gt;3600&lt;/lifetime&gt;</v>
      </c>
      <c r="B10332" t="s">
        <v>3005</v>
      </c>
    </row>
    <row r="10333" spans="1:8" x14ac:dyDescent="0.25">
      <c r="A10333" t="str">
        <f>"&lt;restock&gt;" &amp;$F$10330&amp;"&lt;/restock&gt;"</f>
        <v>&lt;restock&gt;0&lt;/restock&gt;</v>
      </c>
      <c r="B10333" t="s">
        <v>3005</v>
      </c>
    </row>
    <row r="10334" spans="1:8" x14ac:dyDescent="0.25">
      <c r="A10334" t="str">
        <f>"&lt;min&gt;" &amp;$G$10330&amp;"&lt;/min&gt;"</f>
        <v>&lt;min&gt;0&lt;/min&gt;</v>
      </c>
      <c r="B10334" t="s">
        <v>3005</v>
      </c>
    </row>
    <row r="10335" spans="1:8" x14ac:dyDescent="0.25">
      <c r="A10335" t="s">
        <v>16</v>
      </c>
      <c r="B10335" t="s">
        <v>3005</v>
      </c>
    </row>
    <row r="10336" spans="1:8" x14ac:dyDescent="0.25">
      <c r="A10336" t="s">
        <v>17</v>
      </c>
      <c r="B10336" t="s">
        <v>3005</v>
      </c>
    </row>
    <row r="10337" spans="1:8" x14ac:dyDescent="0.25">
      <c r="A10337" t="s">
        <v>18</v>
      </c>
      <c r="B10337" t="s">
        <v>3005</v>
      </c>
    </row>
    <row r="10338" spans="1:8" x14ac:dyDescent="0.25">
      <c r="A10338" t="str">
        <f xml:space="preserve"> $H$10330</f>
        <v>&lt;flags count_in_cargo="0" count_in_hoarder="0" count_in_map="1" count_in_player="0" crafted="1" deloot="0"/&gt;</v>
      </c>
      <c r="B10338" t="s">
        <v>3005</v>
      </c>
    </row>
    <row r="10339" spans="1:8" x14ac:dyDescent="0.25">
      <c r="A10339" t="str">
        <f>"&lt;category name=" &amp;"""" &amp;$C$10330&amp;"""/&gt;"</f>
        <v>&lt;category name="tools"/&gt;</v>
      </c>
      <c r="B10339" t="s">
        <v>3005</v>
      </c>
    </row>
    <row r="10340" spans="1:8" x14ac:dyDescent="0.25">
      <c r="A10340" t="s">
        <v>22</v>
      </c>
      <c r="B10340" t="s">
        <v>3005</v>
      </c>
    </row>
    <row r="10341" spans="1:8" x14ac:dyDescent="0.25">
      <c r="A10341" t="s">
        <v>2191</v>
      </c>
      <c r="B10341" t="s">
        <v>939</v>
      </c>
      <c r="C10341" t="s">
        <v>399</v>
      </c>
      <c r="D10341">
        <v>10</v>
      </c>
      <c r="E10341">
        <v>3600</v>
      </c>
      <c r="F10341">
        <v>0</v>
      </c>
      <c r="G10341">
        <v>3</v>
      </c>
      <c r="H10341" t="s">
        <v>19</v>
      </c>
    </row>
    <row r="10342" spans="1:8" x14ac:dyDescent="0.25">
      <c r="A10342" t="str">
        <f>"&lt;nominal&gt;" &amp;$D$10341&amp;"&lt;/nominal&gt;"</f>
        <v>&lt;nominal&gt;10&lt;/nominal&gt;</v>
      </c>
      <c r="B10342" t="s">
        <v>939</v>
      </c>
    </row>
    <row r="10343" spans="1:8" x14ac:dyDescent="0.25">
      <c r="A10343" t="str">
        <f>"&lt;lifetime&gt;" &amp;$E$10341&amp;"&lt;/lifetime&gt;"</f>
        <v>&lt;lifetime&gt;3600&lt;/lifetime&gt;</v>
      </c>
      <c r="B10343" t="s">
        <v>939</v>
      </c>
    </row>
    <row r="10344" spans="1:8" x14ac:dyDescent="0.25">
      <c r="A10344" t="str">
        <f>"&lt;restock&gt;" &amp;$F$10341&amp;"&lt;/restock&gt;"</f>
        <v>&lt;restock&gt;0&lt;/restock&gt;</v>
      </c>
      <c r="B10344" t="s">
        <v>939</v>
      </c>
    </row>
    <row r="10345" spans="1:8" x14ac:dyDescent="0.25">
      <c r="A10345" t="str">
        <f>"&lt;min&gt;" &amp;$G$10341&amp;"&lt;/min&gt;"</f>
        <v>&lt;min&gt;3&lt;/min&gt;</v>
      </c>
      <c r="B10345" t="s">
        <v>939</v>
      </c>
    </row>
    <row r="10346" spans="1:8" x14ac:dyDescent="0.25">
      <c r="A10346" t="s">
        <v>16</v>
      </c>
      <c r="B10346" t="s">
        <v>939</v>
      </c>
    </row>
    <row r="10347" spans="1:8" x14ac:dyDescent="0.25">
      <c r="A10347" t="s">
        <v>17</v>
      </c>
      <c r="B10347" t="s">
        <v>939</v>
      </c>
    </row>
    <row r="10348" spans="1:8" x14ac:dyDescent="0.25">
      <c r="A10348" t="s">
        <v>18</v>
      </c>
      <c r="B10348" t="s">
        <v>939</v>
      </c>
    </row>
    <row r="10349" spans="1:8" x14ac:dyDescent="0.25">
      <c r="A10349" t="str">
        <f xml:space="preserve"> $H$10341</f>
        <v>&lt;flags count_in_cargo="0" count_in_hoarder="0" count_in_map="1" count_in_player="0" crafted="0" deloot="0"/&gt;</v>
      </c>
      <c r="B10349" t="s">
        <v>939</v>
      </c>
    </row>
    <row r="10350" spans="1:8" x14ac:dyDescent="0.25">
      <c r="A10350" t="str">
        <f>"&lt;category name=" &amp;"""" &amp;$C$10341&amp;"""/&gt;"</f>
        <v>&lt;category name="food"/&gt;</v>
      </c>
      <c r="B10350" t="s">
        <v>939</v>
      </c>
    </row>
    <row r="10351" spans="1:8" x14ac:dyDescent="0.25">
      <c r="A10351" t="s">
        <v>56</v>
      </c>
      <c r="B10351" t="s">
        <v>939</v>
      </c>
    </row>
    <row r="10352" spans="1:8" x14ac:dyDescent="0.25">
      <c r="A10352" t="s">
        <v>67</v>
      </c>
      <c r="B10352" t="s">
        <v>939</v>
      </c>
    </row>
    <row r="10353" spans="1:8" x14ac:dyDescent="0.25">
      <c r="A10353" t="s">
        <v>22</v>
      </c>
      <c r="B10353" t="s">
        <v>939</v>
      </c>
    </row>
    <row r="10354" spans="1:8" x14ac:dyDescent="0.25">
      <c r="A10354" t="s">
        <v>2192</v>
      </c>
      <c r="B10354" t="s">
        <v>940</v>
      </c>
      <c r="C10354" t="s">
        <v>426</v>
      </c>
      <c r="D10354">
        <v>60</v>
      </c>
      <c r="E10354">
        <v>7200</v>
      </c>
      <c r="F10354">
        <v>0</v>
      </c>
      <c r="G10354">
        <v>40</v>
      </c>
      <c r="H10354" t="s">
        <v>19</v>
      </c>
    </row>
    <row r="10355" spans="1:8" x14ac:dyDescent="0.25">
      <c r="A10355" t="str">
        <f>"&lt;nominal&gt;" &amp;$D$10354&amp;"&lt;/nominal&gt;"</f>
        <v>&lt;nominal&gt;60&lt;/nominal&gt;</v>
      </c>
      <c r="B10355" t="s">
        <v>940</v>
      </c>
    </row>
    <row r="10356" spans="1:8" x14ac:dyDescent="0.25">
      <c r="A10356" t="str">
        <f>"&lt;lifetime&gt;" &amp;$E$10354&amp;"&lt;/lifetime&gt;"</f>
        <v>&lt;lifetime&gt;7200&lt;/lifetime&gt;</v>
      </c>
      <c r="B10356" t="s">
        <v>940</v>
      </c>
    </row>
    <row r="10357" spans="1:8" x14ac:dyDescent="0.25">
      <c r="A10357" t="str">
        <f>"&lt;restock&gt;" &amp;$F$10354&amp;"&lt;/restock&gt;"</f>
        <v>&lt;restock&gt;0&lt;/restock&gt;</v>
      </c>
      <c r="B10357" t="s">
        <v>940</v>
      </c>
    </row>
    <row r="10358" spans="1:8" x14ac:dyDescent="0.25">
      <c r="A10358" t="str">
        <f>"&lt;min&gt;" &amp;$G$10354&amp;"&lt;/min&gt;"</f>
        <v>&lt;min&gt;40&lt;/min&gt;</v>
      </c>
      <c r="B10358" t="s">
        <v>940</v>
      </c>
    </row>
    <row r="10359" spans="1:8" x14ac:dyDescent="0.25">
      <c r="A10359" t="s">
        <v>16</v>
      </c>
      <c r="B10359" t="s">
        <v>940</v>
      </c>
    </row>
    <row r="10360" spans="1:8" x14ac:dyDescent="0.25">
      <c r="A10360" t="s">
        <v>17</v>
      </c>
      <c r="B10360" t="s">
        <v>940</v>
      </c>
    </row>
    <row r="10361" spans="1:8" x14ac:dyDescent="0.25">
      <c r="A10361" t="s">
        <v>18</v>
      </c>
      <c r="B10361" t="s">
        <v>940</v>
      </c>
    </row>
    <row r="10362" spans="1:8" x14ac:dyDescent="0.25">
      <c r="A10362" t="str">
        <f xml:space="preserve"> $H$10354</f>
        <v>&lt;flags count_in_cargo="0" count_in_hoarder="0" count_in_map="1" count_in_player="0" crafted="0" deloot="0"/&gt;</v>
      </c>
      <c r="B10362" t="s">
        <v>940</v>
      </c>
    </row>
    <row r="10363" spans="1:8" x14ac:dyDescent="0.25">
      <c r="A10363" t="str">
        <f>"&lt;category name=" &amp;"""" &amp;$C$10354&amp;"""/&gt;"</f>
        <v>&lt;category name="tools"/&gt;</v>
      </c>
      <c r="B10363" t="s">
        <v>940</v>
      </c>
    </row>
    <row r="10364" spans="1:8" x14ac:dyDescent="0.25">
      <c r="A10364" t="s">
        <v>20</v>
      </c>
      <c r="B10364" t="s">
        <v>940</v>
      </c>
    </row>
    <row r="10365" spans="1:8" x14ac:dyDescent="0.25">
      <c r="A10365" t="s">
        <v>29</v>
      </c>
      <c r="B10365" t="s">
        <v>940</v>
      </c>
    </row>
    <row r="10366" spans="1:8" x14ac:dyDescent="0.25">
      <c r="A10366" t="s">
        <v>173</v>
      </c>
      <c r="B10366" t="s">
        <v>940</v>
      </c>
    </row>
    <row r="10367" spans="1:8" x14ac:dyDescent="0.25">
      <c r="A10367" t="s">
        <v>21</v>
      </c>
      <c r="B10367" t="s">
        <v>940</v>
      </c>
    </row>
    <row r="10368" spans="1:8" x14ac:dyDescent="0.25">
      <c r="A10368" t="s">
        <v>26</v>
      </c>
      <c r="B10368" t="s">
        <v>940</v>
      </c>
    </row>
    <row r="10369" spans="1:8" x14ac:dyDescent="0.25">
      <c r="A10369" t="s">
        <v>22</v>
      </c>
      <c r="B10369" t="s">
        <v>940</v>
      </c>
    </row>
    <row r="10370" spans="1:8" x14ac:dyDescent="0.25">
      <c r="A10370" t="s">
        <v>2193</v>
      </c>
      <c r="B10370" t="s">
        <v>941</v>
      </c>
      <c r="C10370" t="s">
        <v>426</v>
      </c>
      <c r="D10370">
        <v>70</v>
      </c>
      <c r="E10370">
        <v>7200</v>
      </c>
      <c r="F10370">
        <v>0</v>
      </c>
      <c r="G10370">
        <v>50</v>
      </c>
      <c r="H10370" t="s">
        <v>19</v>
      </c>
    </row>
    <row r="10371" spans="1:8" x14ac:dyDescent="0.25">
      <c r="A10371" t="str">
        <f>"&lt;nominal&gt;" &amp;$D$10370&amp;"&lt;/nominal&gt;"</f>
        <v>&lt;nominal&gt;70&lt;/nominal&gt;</v>
      </c>
      <c r="B10371" t="s">
        <v>941</v>
      </c>
    </row>
    <row r="10372" spans="1:8" x14ac:dyDescent="0.25">
      <c r="A10372" t="str">
        <f>"&lt;lifetime&gt;" &amp;$E$10370&amp;"&lt;/lifetime&gt;"</f>
        <v>&lt;lifetime&gt;7200&lt;/lifetime&gt;</v>
      </c>
      <c r="B10372" t="s">
        <v>941</v>
      </c>
    </row>
    <row r="10373" spans="1:8" x14ac:dyDescent="0.25">
      <c r="A10373" t="str">
        <f>"&lt;restock&gt;" &amp;$F$10370&amp;"&lt;/restock&gt;"</f>
        <v>&lt;restock&gt;0&lt;/restock&gt;</v>
      </c>
      <c r="B10373" t="s">
        <v>941</v>
      </c>
    </row>
    <row r="10374" spans="1:8" x14ac:dyDescent="0.25">
      <c r="A10374" t="str">
        <f>"&lt;min&gt;" &amp;$G$10370&amp;"&lt;/min&gt;"</f>
        <v>&lt;min&gt;50&lt;/min&gt;</v>
      </c>
      <c r="B10374" t="s">
        <v>941</v>
      </c>
    </row>
    <row r="10375" spans="1:8" x14ac:dyDescent="0.25">
      <c r="A10375" t="s">
        <v>16</v>
      </c>
      <c r="B10375" t="s">
        <v>941</v>
      </c>
    </row>
    <row r="10376" spans="1:8" x14ac:dyDescent="0.25">
      <c r="A10376" t="s">
        <v>17</v>
      </c>
      <c r="B10376" t="s">
        <v>941</v>
      </c>
    </row>
    <row r="10377" spans="1:8" x14ac:dyDescent="0.25">
      <c r="A10377" t="s">
        <v>18</v>
      </c>
      <c r="B10377" t="s">
        <v>941</v>
      </c>
    </row>
    <row r="10378" spans="1:8" x14ac:dyDescent="0.25">
      <c r="A10378" t="str">
        <f xml:space="preserve"> $H$10370</f>
        <v>&lt;flags count_in_cargo="0" count_in_hoarder="0" count_in_map="1" count_in_player="0" crafted="0" deloot="0"/&gt;</v>
      </c>
      <c r="B10378" t="s">
        <v>941</v>
      </c>
    </row>
    <row r="10379" spans="1:8" x14ac:dyDescent="0.25">
      <c r="A10379" t="str">
        <f>"&lt;category name=" &amp;"""" &amp;$C$10370&amp;"""/&gt;"</f>
        <v>&lt;category name="tools"/&gt;</v>
      </c>
      <c r="B10379" t="s">
        <v>941</v>
      </c>
    </row>
    <row r="10380" spans="1:8" x14ac:dyDescent="0.25">
      <c r="A10380" t="s">
        <v>20</v>
      </c>
      <c r="B10380" t="s">
        <v>941</v>
      </c>
    </row>
    <row r="10381" spans="1:8" x14ac:dyDescent="0.25">
      <c r="A10381" t="s">
        <v>55</v>
      </c>
      <c r="B10381" t="s">
        <v>941</v>
      </c>
    </row>
    <row r="10382" spans="1:8" x14ac:dyDescent="0.25">
      <c r="A10382" t="s">
        <v>56</v>
      </c>
      <c r="B10382" t="s">
        <v>941</v>
      </c>
    </row>
    <row r="10383" spans="1:8" x14ac:dyDescent="0.25">
      <c r="A10383" t="s">
        <v>22</v>
      </c>
      <c r="B10383" t="s">
        <v>941</v>
      </c>
    </row>
    <row r="10384" spans="1:8" x14ac:dyDescent="0.25">
      <c r="A10384" t="s">
        <v>2194</v>
      </c>
      <c r="B10384" t="s">
        <v>942</v>
      </c>
      <c r="C10384" t="s">
        <v>426</v>
      </c>
      <c r="D10384">
        <v>0</v>
      </c>
      <c r="E10384">
        <v>10800</v>
      </c>
      <c r="F10384">
        <v>0</v>
      </c>
      <c r="G10384">
        <v>0</v>
      </c>
      <c r="H10384" t="s">
        <v>62</v>
      </c>
    </row>
    <row r="10385" spans="1:8" x14ac:dyDescent="0.25">
      <c r="A10385" t="str">
        <f>"&lt;nominal&gt;" &amp;$D$10384&amp;"&lt;/nominal&gt;"</f>
        <v>&lt;nominal&gt;0&lt;/nominal&gt;</v>
      </c>
      <c r="B10385" t="s">
        <v>942</v>
      </c>
    </row>
    <row r="10386" spans="1:8" x14ac:dyDescent="0.25">
      <c r="A10386" t="str">
        <f>"&lt;lifetime&gt;" &amp;$E$10384&amp;"&lt;/lifetime&gt;"</f>
        <v>&lt;lifetime&gt;10800&lt;/lifetime&gt;</v>
      </c>
      <c r="B10386" t="s">
        <v>942</v>
      </c>
    </row>
    <row r="10387" spans="1:8" x14ac:dyDescent="0.25">
      <c r="A10387" t="str">
        <f>"&lt;restock&gt;" &amp;$F$10384&amp;"&lt;/restock&gt;"</f>
        <v>&lt;restock&gt;0&lt;/restock&gt;</v>
      </c>
      <c r="B10387" t="s">
        <v>942</v>
      </c>
    </row>
    <row r="10388" spans="1:8" x14ac:dyDescent="0.25">
      <c r="A10388" t="str">
        <f>"&lt;min&gt;" &amp;$G$10384&amp;"&lt;/min&gt;"</f>
        <v>&lt;min&gt;0&lt;/min&gt;</v>
      </c>
      <c r="B10388" t="s">
        <v>942</v>
      </c>
    </row>
    <row r="10389" spans="1:8" x14ac:dyDescent="0.25">
      <c r="A10389" t="s">
        <v>16</v>
      </c>
      <c r="B10389" t="s">
        <v>942</v>
      </c>
    </row>
    <row r="10390" spans="1:8" x14ac:dyDescent="0.25">
      <c r="A10390" t="s">
        <v>17</v>
      </c>
      <c r="B10390" t="s">
        <v>942</v>
      </c>
    </row>
    <row r="10391" spans="1:8" x14ac:dyDescent="0.25">
      <c r="A10391" t="s">
        <v>18</v>
      </c>
      <c r="B10391" t="s">
        <v>942</v>
      </c>
    </row>
    <row r="10392" spans="1:8" x14ac:dyDescent="0.25">
      <c r="A10392" t="str">
        <f xml:space="preserve"> $H$10384</f>
        <v>&lt;flags count_in_cargo="0" count_in_hoarder="0" count_in_map="1" count_in_player="0" crafted="1" deloot="0"/&gt;</v>
      </c>
      <c r="B10392" t="s">
        <v>942</v>
      </c>
    </row>
    <row r="10393" spans="1:8" x14ac:dyDescent="0.25">
      <c r="A10393" t="str">
        <f>"&lt;category name=" &amp;"""" &amp;$C$10384&amp;"""/&gt;"</f>
        <v>&lt;category name="tools"/&gt;</v>
      </c>
      <c r="B10393" t="s">
        <v>942</v>
      </c>
    </row>
    <row r="10394" spans="1:8" x14ac:dyDescent="0.25">
      <c r="A10394" t="s">
        <v>22</v>
      </c>
      <c r="B10394" t="s">
        <v>942</v>
      </c>
    </row>
    <row r="10395" spans="1:8" x14ac:dyDescent="0.25">
      <c r="A10395" t="s">
        <v>2195</v>
      </c>
      <c r="B10395" t="s">
        <v>943</v>
      </c>
      <c r="C10395" t="s">
        <v>399</v>
      </c>
      <c r="D10395">
        <v>0</v>
      </c>
      <c r="E10395">
        <v>7200</v>
      </c>
      <c r="F10395">
        <v>0</v>
      </c>
      <c r="G10395">
        <v>0</v>
      </c>
      <c r="H10395" t="s">
        <v>62</v>
      </c>
    </row>
    <row r="10396" spans="1:8" x14ac:dyDescent="0.25">
      <c r="A10396" t="str">
        <f>"&lt;nominal&gt;" &amp;$D$10395&amp;"&lt;/nominal&gt;"</f>
        <v>&lt;nominal&gt;0&lt;/nominal&gt;</v>
      </c>
      <c r="B10396" t="s">
        <v>943</v>
      </c>
    </row>
    <row r="10397" spans="1:8" x14ac:dyDescent="0.25">
      <c r="A10397" t="str">
        <f>"&lt;lifetime&gt;" &amp;$E$10395&amp;"&lt;/lifetime&gt;"</f>
        <v>&lt;lifetime&gt;7200&lt;/lifetime&gt;</v>
      </c>
      <c r="B10397" t="s">
        <v>943</v>
      </c>
    </row>
    <row r="10398" spans="1:8" x14ac:dyDescent="0.25">
      <c r="A10398" t="str">
        <f>"&lt;restock&gt;" &amp;$F$10395&amp;"&lt;/restock&gt;"</f>
        <v>&lt;restock&gt;0&lt;/restock&gt;</v>
      </c>
      <c r="B10398" t="s">
        <v>943</v>
      </c>
    </row>
    <row r="10399" spans="1:8" x14ac:dyDescent="0.25">
      <c r="A10399" t="str">
        <f>"&lt;min&gt;" &amp;$G$10395&amp;"&lt;/min&gt;"</f>
        <v>&lt;min&gt;0&lt;/min&gt;</v>
      </c>
      <c r="B10399" t="s">
        <v>943</v>
      </c>
    </row>
    <row r="10400" spans="1:8" x14ac:dyDescent="0.25">
      <c r="A10400" t="s">
        <v>16</v>
      </c>
      <c r="B10400" t="s">
        <v>943</v>
      </c>
    </row>
    <row r="10401" spans="1:8" x14ac:dyDescent="0.25">
      <c r="A10401" t="s">
        <v>17</v>
      </c>
      <c r="B10401" t="s">
        <v>943</v>
      </c>
    </row>
    <row r="10402" spans="1:8" x14ac:dyDescent="0.25">
      <c r="A10402" t="s">
        <v>18</v>
      </c>
      <c r="B10402" t="s">
        <v>943</v>
      </c>
    </row>
    <row r="10403" spans="1:8" x14ac:dyDescent="0.25">
      <c r="A10403" t="str">
        <f xml:space="preserve"> $H$10395</f>
        <v>&lt;flags count_in_cargo="0" count_in_hoarder="0" count_in_map="1" count_in_player="0" crafted="1" deloot="0"/&gt;</v>
      </c>
      <c r="B10403" t="s">
        <v>943</v>
      </c>
    </row>
    <row r="10404" spans="1:8" x14ac:dyDescent="0.25">
      <c r="A10404" t="str">
        <f>"&lt;category name=" &amp;"""" &amp;$C$10395&amp;"""/&gt;"</f>
        <v>&lt;category name="food"/&gt;</v>
      </c>
      <c r="B10404" t="s">
        <v>943</v>
      </c>
    </row>
    <row r="10405" spans="1:8" x14ac:dyDescent="0.25">
      <c r="A10405" t="s">
        <v>22</v>
      </c>
      <c r="B10405" t="s">
        <v>943</v>
      </c>
    </row>
    <row r="10406" spans="1:8" x14ac:dyDescent="0.25">
      <c r="A10406" t="s">
        <v>2196</v>
      </c>
      <c r="B10406" t="s">
        <v>3452</v>
      </c>
      <c r="C10406" t="s">
        <v>426</v>
      </c>
      <c r="D10406">
        <v>40</v>
      </c>
      <c r="E10406">
        <v>7200</v>
      </c>
      <c r="F10406">
        <v>0</v>
      </c>
      <c r="G10406">
        <v>20</v>
      </c>
      <c r="H10406" t="s">
        <v>19</v>
      </c>
    </row>
    <row r="10407" spans="1:8" x14ac:dyDescent="0.25">
      <c r="A10407" t="str">
        <f>"&lt;nominal&gt;" &amp;$D$10406&amp;"&lt;/nominal&gt;"</f>
        <v>&lt;nominal&gt;40&lt;/nominal&gt;</v>
      </c>
      <c r="B10407" t="s">
        <v>3452</v>
      </c>
    </row>
    <row r="10408" spans="1:8" x14ac:dyDescent="0.25">
      <c r="A10408" t="str">
        <f>"&lt;lifetime&gt;" &amp;$E$10406&amp;"&lt;/lifetime&gt;"</f>
        <v>&lt;lifetime&gt;7200&lt;/lifetime&gt;</v>
      </c>
      <c r="B10408" t="s">
        <v>3452</v>
      </c>
    </row>
    <row r="10409" spans="1:8" x14ac:dyDescent="0.25">
      <c r="A10409" t="str">
        <f>"&lt;restock&gt;" &amp;$F$10406&amp;"&lt;/restock&gt;"</f>
        <v>&lt;restock&gt;0&lt;/restock&gt;</v>
      </c>
      <c r="B10409" t="s">
        <v>3452</v>
      </c>
    </row>
    <row r="10410" spans="1:8" x14ac:dyDescent="0.25">
      <c r="A10410" t="str">
        <f>"&lt;min&gt;" &amp;$G$10406&amp;"&lt;/min&gt;"</f>
        <v>&lt;min&gt;20&lt;/min&gt;</v>
      </c>
      <c r="B10410" t="s">
        <v>3452</v>
      </c>
    </row>
    <row r="10411" spans="1:8" x14ac:dyDescent="0.25">
      <c r="A10411" t="s">
        <v>16</v>
      </c>
      <c r="B10411" t="s">
        <v>3452</v>
      </c>
    </row>
    <row r="10412" spans="1:8" x14ac:dyDescent="0.25">
      <c r="A10412" t="s">
        <v>17</v>
      </c>
      <c r="B10412" t="s">
        <v>3452</v>
      </c>
    </row>
    <row r="10413" spans="1:8" x14ac:dyDescent="0.25">
      <c r="A10413" t="s">
        <v>18</v>
      </c>
      <c r="B10413" t="s">
        <v>3452</v>
      </c>
    </row>
    <row r="10414" spans="1:8" x14ac:dyDescent="0.25">
      <c r="A10414" t="str">
        <f xml:space="preserve"> $H$10406</f>
        <v>&lt;flags count_in_cargo="0" count_in_hoarder="0" count_in_map="1" count_in_player="0" crafted="0" deloot="0"/&gt;</v>
      </c>
      <c r="B10414" t="s">
        <v>3452</v>
      </c>
    </row>
    <row r="10415" spans="1:8" x14ac:dyDescent="0.25">
      <c r="A10415" t="str">
        <f>"&lt;category name=" &amp;"""" &amp;$C$10406&amp;"""/&gt;"</f>
        <v>&lt;category name="tools"/&gt;</v>
      </c>
      <c r="B10415" t="s">
        <v>3452</v>
      </c>
    </row>
    <row r="10416" spans="1:8" x14ac:dyDescent="0.25">
      <c r="A10416" t="s">
        <v>25</v>
      </c>
      <c r="B10416" t="s">
        <v>3452</v>
      </c>
    </row>
    <row r="10417" spans="1:8" x14ac:dyDescent="0.25">
      <c r="A10417" t="s">
        <v>55</v>
      </c>
      <c r="B10417" t="s">
        <v>3452</v>
      </c>
    </row>
    <row r="10418" spans="1:8" x14ac:dyDescent="0.25">
      <c r="A10418" t="s">
        <v>22</v>
      </c>
      <c r="B10418" t="s">
        <v>3452</v>
      </c>
    </row>
    <row r="10419" spans="1:8" x14ac:dyDescent="0.25">
      <c r="A10419" t="s">
        <v>2197</v>
      </c>
      <c r="B10419" t="s">
        <v>944</v>
      </c>
      <c r="C10419" t="s">
        <v>403</v>
      </c>
      <c r="D10419">
        <v>10</v>
      </c>
      <c r="E10419">
        <v>5600</v>
      </c>
      <c r="F10419">
        <v>0</v>
      </c>
      <c r="G10419">
        <v>5</v>
      </c>
      <c r="H10419" t="s">
        <v>19</v>
      </c>
    </row>
    <row r="10420" spans="1:8" x14ac:dyDescent="0.25">
      <c r="A10420" t="str">
        <f>"&lt;nominal&gt;" &amp;$D$10419&amp;"&lt;/nominal&gt;"</f>
        <v>&lt;nominal&gt;10&lt;/nominal&gt;</v>
      </c>
      <c r="B10420" t="s">
        <v>944</v>
      </c>
    </row>
    <row r="10421" spans="1:8" x14ac:dyDescent="0.25">
      <c r="A10421" t="str">
        <f>"&lt;lifetime&gt;" &amp;$E$10419&amp;"&lt;/lifetime&gt;"</f>
        <v>&lt;lifetime&gt;5600&lt;/lifetime&gt;</v>
      </c>
      <c r="B10421" t="s">
        <v>944</v>
      </c>
    </row>
    <row r="10422" spans="1:8" x14ac:dyDescent="0.25">
      <c r="A10422" t="str">
        <f>"&lt;restock&gt;" &amp;$F$10419&amp;"&lt;/restock&gt;"</f>
        <v>&lt;restock&gt;0&lt;/restock&gt;</v>
      </c>
      <c r="B10422" t="s">
        <v>944</v>
      </c>
    </row>
    <row r="10423" spans="1:8" x14ac:dyDescent="0.25">
      <c r="A10423" t="str">
        <f>"&lt;min&gt;" &amp;$G$10419&amp;"&lt;/min&gt;"</f>
        <v>&lt;min&gt;5&lt;/min&gt;</v>
      </c>
      <c r="B10423" t="s">
        <v>944</v>
      </c>
    </row>
    <row r="10424" spans="1:8" x14ac:dyDescent="0.25">
      <c r="A10424" t="s">
        <v>16</v>
      </c>
      <c r="B10424" t="s">
        <v>944</v>
      </c>
    </row>
    <row r="10425" spans="1:8" x14ac:dyDescent="0.25">
      <c r="A10425" t="s">
        <v>17</v>
      </c>
      <c r="B10425" t="s">
        <v>944</v>
      </c>
    </row>
    <row r="10426" spans="1:8" x14ac:dyDescent="0.25">
      <c r="A10426" t="s">
        <v>18</v>
      </c>
      <c r="B10426" t="s">
        <v>944</v>
      </c>
    </row>
    <row r="10427" spans="1:8" x14ac:dyDescent="0.25">
      <c r="A10427" t="str">
        <f xml:space="preserve"> $H$10419</f>
        <v>&lt;flags count_in_cargo="0" count_in_hoarder="0" count_in_map="1" count_in_player="0" crafted="0" deloot="0"/&gt;</v>
      </c>
      <c r="B10427" t="s">
        <v>944</v>
      </c>
    </row>
    <row r="10428" spans="1:8" x14ac:dyDescent="0.25">
      <c r="A10428" t="str">
        <f>"&lt;category name=" &amp;"""" &amp;$C$10419&amp;"""/&gt;"</f>
        <v>&lt;category name="clothes"/&gt;</v>
      </c>
      <c r="B10428" t="s">
        <v>944</v>
      </c>
    </row>
    <row r="10429" spans="1:8" x14ac:dyDescent="0.25">
      <c r="A10429" t="s">
        <v>29</v>
      </c>
      <c r="B10429" t="s">
        <v>944</v>
      </c>
    </row>
    <row r="10430" spans="1:8" x14ac:dyDescent="0.25">
      <c r="A10430" t="s">
        <v>30</v>
      </c>
      <c r="B10430" t="s">
        <v>944</v>
      </c>
    </row>
    <row r="10431" spans="1:8" x14ac:dyDescent="0.25">
      <c r="A10431" t="s">
        <v>31</v>
      </c>
      <c r="B10431" t="s">
        <v>944</v>
      </c>
    </row>
    <row r="10432" spans="1:8" x14ac:dyDescent="0.25">
      <c r="A10432" t="s">
        <v>307</v>
      </c>
      <c r="B10432" t="s">
        <v>944</v>
      </c>
    </row>
    <row r="10433" spans="1:8" x14ac:dyDescent="0.25">
      <c r="A10433" t="s">
        <v>22</v>
      </c>
      <c r="B10433" t="s">
        <v>944</v>
      </c>
    </row>
    <row r="10434" spans="1:8" x14ac:dyDescent="0.25">
      <c r="A10434" t="s">
        <v>2198</v>
      </c>
      <c r="B10434" t="s">
        <v>945</v>
      </c>
      <c r="C10434" t="s">
        <v>426</v>
      </c>
      <c r="D10434">
        <v>80</v>
      </c>
      <c r="E10434">
        <v>7200</v>
      </c>
      <c r="F10434">
        <v>0</v>
      </c>
      <c r="G10434">
        <v>60</v>
      </c>
      <c r="H10434" t="s">
        <v>19</v>
      </c>
    </row>
    <row r="10435" spans="1:8" x14ac:dyDescent="0.25">
      <c r="A10435" t="str">
        <f>"&lt;nominal&gt;" &amp;$D$10434&amp;"&lt;/nominal&gt;"</f>
        <v>&lt;nominal&gt;80&lt;/nominal&gt;</v>
      </c>
      <c r="B10435" t="s">
        <v>945</v>
      </c>
    </row>
    <row r="10436" spans="1:8" x14ac:dyDescent="0.25">
      <c r="A10436" t="str">
        <f>"&lt;lifetime&gt;" &amp;$E$10434&amp;"&lt;/lifetime&gt;"</f>
        <v>&lt;lifetime&gt;7200&lt;/lifetime&gt;</v>
      </c>
      <c r="B10436" t="s">
        <v>945</v>
      </c>
    </row>
    <row r="10437" spans="1:8" x14ac:dyDescent="0.25">
      <c r="A10437" t="str">
        <f>"&lt;restock&gt;" &amp;$F$10434&amp;"&lt;/restock&gt;"</f>
        <v>&lt;restock&gt;0&lt;/restock&gt;</v>
      </c>
      <c r="B10437" t="s">
        <v>945</v>
      </c>
    </row>
    <row r="10438" spans="1:8" x14ac:dyDescent="0.25">
      <c r="A10438" t="str">
        <f>"&lt;min&gt;" &amp;$G$10434&amp;"&lt;/min&gt;"</f>
        <v>&lt;min&gt;60&lt;/min&gt;</v>
      </c>
      <c r="B10438" t="s">
        <v>945</v>
      </c>
    </row>
    <row r="10439" spans="1:8" x14ac:dyDescent="0.25">
      <c r="A10439" t="s">
        <v>16</v>
      </c>
      <c r="B10439" t="s">
        <v>945</v>
      </c>
    </row>
    <row r="10440" spans="1:8" x14ac:dyDescent="0.25">
      <c r="A10440" t="s">
        <v>17</v>
      </c>
      <c r="B10440" t="s">
        <v>945</v>
      </c>
    </row>
    <row r="10441" spans="1:8" x14ac:dyDescent="0.25">
      <c r="A10441" t="s">
        <v>18</v>
      </c>
      <c r="B10441" t="s">
        <v>945</v>
      </c>
    </row>
    <row r="10442" spans="1:8" x14ac:dyDescent="0.25">
      <c r="A10442" t="str">
        <f xml:space="preserve"> $H$10434</f>
        <v>&lt;flags count_in_cargo="0" count_in_hoarder="0" count_in_map="1" count_in_player="0" crafted="0" deloot="0"/&gt;</v>
      </c>
      <c r="B10442" t="s">
        <v>945</v>
      </c>
    </row>
    <row r="10443" spans="1:8" x14ac:dyDescent="0.25">
      <c r="A10443" t="str">
        <f>"&lt;category name=" &amp;"""" &amp;$C$10434&amp;"""/&gt;"</f>
        <v>&lt;category name="tools"/&gt;</v>
      </c>
      <c r="B10443" t="s">
        <v>945</v>
      </c>
    </row>
    <row r="10444" spans="1:8" x14ac:dyDescent="0.25">
      <c r="A10444" t="s">
        <v>55</v>
      </c>
      <c r="B10444" t="s">
        <v>945</v>
      </c>
    </row>
    <row r="10445" spans="1:8" x14ac:dyDescent="0.25">
      <c r="A10445" t="s">
        <v>22</v>
      </c>
      <c r="B10445" t="s">
        <v>945</v>
      </c>
    </row>
    <row r="10446" spans="1:8" x14ac:dyDescent="0.25">
      <c r="A10446" t="s">
        <v>2199</v>
      </c>
      <c r="B10446" t="s">
        <v>946</v>
      </c>
      <c r="C10446" t="s">
        <v>8</v>
      </c>
      <c r="D10446">
        <v>10</v>
      </c>
      <c r="E10446">
        <v>7200</v>
      </c>
      <c r="F10446">
        <v>0</v>
      </c>
      <c r="G10446">
        <v>5</v>
      </c>
      <c r="H10446" t="s">
        <v>19</v>
      </c>
    </row>
    <row r="10447" spans="1:8" x14ac:dyDescent="0.25">
      <c r="A10447" t="str">
        <f>"&lt;nominal&gt;" &amp;$D$10446&amp;"&lt;/nominal&gt;"</f>
        <v>&lt;nominal&gt;10&lt;/nominal&gt;</v>
      </c>
      <c r="B10447" t="s">
        <v>946</v>
      </c>
    </row>
    <row r="10448" spans="1:8" x14ac:dyDescent="0.25">
      <c r="A10448" t="str">
        <f>"&lt;lifetime&gt;" &amp;$E$10446&amp;"&lt;/lifetime&gt;"</f>
        <v>&lt;lifetime&gt;7200&lt;/lifetime&gt;</v>
      </c>
      <c r="B10448" t="s">
        <v>946</v>
      </c>
    </row>
    <row r="10449" spans="1:8" x14ac:dyDescent="0.25">
      <c r="A10449" t="str">
        <f>"&lt;restock&gt;" &amp;$F$10446&amp;"&lt;/restock&gt;"</f>
        <v>&lt;restock&gt;0&lt;/restock&gt;</v>
      </c>
      <c r="B10449" t="s">
        <v>946</v>
      </c>
    </row>
    <row r="10450" spans="1:8" x14ac:dyDescent="0.25">
      <c r="A10450" t="str">
        <f>"&lt;min&gt;" &amp;$G$10446&amp;"&lt;/min&gt;"</f>
        <v>&lt;min&gt;5&lt;/min&gt;</v>
      </c>
      <c r="B10450" t="s">
        <v>946</v>
      </c>
    </row>
    <row r="10451" spans="1:8" x14ac:dyDescent="0.25">
      <c r="A10451" t="s">
        <v>16</v>
      </c>
      <c r="B10451" t="s">
        <v>946</v>
      </c>
    </row>
    <row r="10452" spans="1:8" x14ac:dyDescent="0.25">
      <c r="A10452" t="s">
        <v>17</v>
      </c>
      <c r="B10452" t="s">
        <v>946</v>
      </c>
    </row>
    <row r="10453" spans="1:8" x14ac:dyDescent="0.25">
      <c r="A10453" t="s">
        <v>18</v>
      </c>
      <c r="B10453" t="s">
        <v>946</v>
      </c>
    </row>
    <row r="10454" spans="1:8" x14ac:dyDescent="0.25">
      <c r="A10454" t="str">
        <f xml:space="preserve"> $H$10446</f>
        <v>&lt;flags count_in_cargo="0" count_in_hoarder="0" count_in_map="1" count_in_player="0" crafted="0" deloot="0"/&gt;</v>
      </c>
      <c r="B10454" t="s">
        <v>946</v>
      </c>
    </row>
    <row r="10455" spans="1:8" x14ac:dyDescent="0.25">
      <c r="A10455" t="str">
        <f>"&lt;category name=" &amp;"""" &amp;$C$10446&amp;"""/&gt;"</f>
        <v>&lt;category name="weapons"/&gt;</v>
      </c>
      <c r="B10455" t="s">
        <v>946</v>
      </c>
    </row>
    <row r="10456" spans="1:8" x14ac:dyDescent="0.25">
      <c r="A10456" t="s">
        <v>29</v>
      </c>
      <c r="B10456" t="s">
        <v>946</v>
      </c>
    </row>
    <row r="10457" spans="1:8" x14ac:dyDescent="0.25">
      <c r="A10457" t="s">
        <v>173</v>
      </c>
      <c r="B10457" t="s">
        <v>946</v>
      </c>
    </row>
    <row r="10458" spans="1:8" x14ac:dyDescent="0.25">
      <c r="A10458" t="s">
        <v>22</v>
      </c>
      <c r="B10458" t="s">
        <v>946</v>
      </c>
    </row>
    <row r="10459" spans="1:8" x14ac:dyDescent="0.25">
      <c r="A10459" t="s">
        <v>2200</v>
      </c>
      <c r="B10459" t="s">
        <v>3453</v>
      </c>
      <c r="C10459" t="s">
        <v>399</v>
      </c>
      <c r="D10459">
        <v>0</v>
      </c>
      <c r="E10459">
        <v>1800</v>
      </c>
      <c r="F10459">
        <v>0</v>
      </c>
      <c r="G10459">
        <v>0</v>
      </c>
      <c r="H10459" t="s">
        <v>62</v>
      </c>
    </row>
    <row r="10460" spans="1:8" x14ac:dyDescent="0.25">
      <c r="A10460" t="str">
        <f>"&lt;nominal&gt;" &amp;$D$10459&amp;"&lt;/nominal&gt;"</f>
        <v>&lt;nominal&gt;0&lt;/nominal&gt;</v>
      </c>
      <c r="B10460" t="s">
        <v>3453</v>
      </c>
    </row>
    <row r="10461" spans="1:8" x14ac:dyDescent="0.25">
      <c r="A10461" t="str">
        <f>"&lt;lifetime&gt;" &amp;$E$10459&amp;"&lt;/lifetime&gt;"</f>
        <v>&lt;lifetime&gt;1800&lt;/lifetime&gt;</v>
      </c>
      <c r="B10461" t="s">
        <v>3453</v>
      </c>
    </row>
    <row r="10462" spans="1:8" x14ac:dyDescent="0.25">
      <c r="A10462" t="str">
        <f>"&lt;restock&gt;" &amp;$F$10459&amp;"&lt;/restock&gt;"</f>
        <v>&lt;restock&gt;0&lt;/restock&gt;</v>
      </c>
      <c r="B10462" t="s">
        <v>3453</v>
      </c>
    </row>
    <row r="10463" spans="1:8" x14ac:dyDescent="0.25">
      <c r="A10463" t="str">
        <f>"&lt;min&gt;" &amp;$G$10459&amp;"&lt;/min&gt;"</f>
        <v>&lt;min&gt;0&lt;/min&gt;</v>
      </c>
      <c r="B10463" t="s">
        <v>3453</v>
      </c>
    </row>
    <row r="10464" spans="1:8" x14ac:dyDescent="0.25">
      <c r="A10464" t="s">
        <v>16</v>
      </c>
      <c r="B10464" t="s">
        <v>3453</v>
      </c>
    </row>
    <row r="10465" spans="1:8" x14ac:dyDescent="0.25">
      <c r="A10465" t="s">
        <v>17</v>
      </c>
      <c r="B10465" t="s">
        <v>3453</v>
      </c>
    </row>
    <row r="10466" spans="1:8" x14ac:dyDescent="0.25">
      <c r="A10466" t="s">
        <v>18</v>
      </c>
      <c r="B10466" t="s">
        <v>3453</v>
      </c>
    </row>
    <row r="10467" spans="1:8" x14ac:dyDescent="0.25">
      <c r="A10467" t="str">
        <f xml:space="preserve"> $H$10459</f>
        <v>&lt;flags count_in_cargo="0" count_in_hoarder="0" count_in_map="1" count_in_player="0" crafted="1" deloot="0"/&gt;</v>
      </c>
      <c r="B10467" t="s">
        <v>3453</v>
      </c>
    </row>
    <row r="10468" spans="1:8" x14ac:dyDescent="0.25">
      <c r="A10468" t="str">
        <f>"&lt;category name=" &amp;"""" &amp;$C$10459&amp;"""/&gt;"</f>
        <v>&lt;category name="food"/&gt;</v>
      </c>
      <c r="B10468" t="s">
        <v>3453</v>
      </c>
    </row>
    <row r="10469" spans="1:8" x14ac:dyDescent="0.25">
      <c r="A10469" t="s">
        <v>22</v>
      </c>
      <c r="B10469" t="s">
        <v>3453</v>
      </c>
    </row>
    <row r="10470" spans="1:8" x14ac:dyDescent="0.25">
      <c r="A10470" t="s">
        <v>2201</v>
      </c>
      <c r="B10470" t="s">
        <v>3454</v>
      </c>
      <c r="C10470" t="s">
        <v>399</v>
      </c>
      <c r="D10470">
        <v>0</v>
      </c>
      <c r="E10470">
        <v>21600</v>
      </c>
      <c r="F10470">
        <v>0</v>
      </c>
      <c r="G10470">
        <v>0</v>
      </c>
      <c r="H10470" t="s">
        <v>62</v>
      </c>
    </row>
    <row r="10471" spans="1:8" x14ac:dyDescent="0.25">
      <c r="A10471" t="str">
        <f>"&lt;nominal&gt;" &amp;$D$10470&amp;"&lt;/nominal&gt;"</f>
        <v>&lt;nominal&gt;0&lt;/nominal&gt;</v>
      </c>
      <c r="B10471" t="s">
        <v>3454</v>
      </c>
    </row>
    <row r="10472" spans="1:8" x14ac:dyDescent="0.25">
      <c r="A10472" t="str">
        <f>"&lt;lifetime&gt;" &amp;$E$10470&amp;"&lt;/lifetime&gt;"</f>
        <v>&lt;lifetime&gt;21600&lt;/lifetime&gt;</v>
      </c>
      <c r="B10472" t="s">
        <v>3454</v>
      </c>
    </row>
    <row r="10473" spans="1:8" x14ac:dyDescent="0.25">
      <c r="A10473" t="str">
        <f>"&lt;restock&gt;" &amp;$F$10470&amp;"&lt;/restock&gt;"</f>
        <v>&lt;restock&gt;0&lt;/restock&gt;</v>
      </c>
      <c r="B10473" t="s">
        <v>3454</v>
      </c>
    </row>
    <row r="10474" spans="1:8" x14ac:dyDescent="0.25">
      <c r="A10474" t="str">
        <f>"&lt;min&gt;" &amp;$G$10470&amp;"&lt;/min&gt;"</f>
        <v>&lt;min&gt;0&lt;/min&gt;</v>
      </c>
      <c r="B10474" t="s">
        <v>3454</v>
      </c>
    </row>
    <row r="10475" spans="1:8" x14ac:dyDescent="0.25">
      <c r="A10475" t="s">
        <v>16</v>
      </c>
      <c r="B10475" t="s">
        <v>3454</v>
      </c>
    </row>
    <row r="10476" spans="1:8" x14ac:dyDescent="0.25">
      <c r="A10476" t="s">
        <v>17</v>
      </c>
      <c r="B10476" t="s">
        <v>3454</v>
      </c>
    </row>
    <row r="10477" spans="1:8" x14ac:dyDescent="0.25">
      <c r="A10477" t="s">
        <v>18</v>
      </c>
      <c r="B10477" t="s">
        <v>3454</v>
      </c>
    </row>
    <row r="10478" spans="1:8" x14ac:dyDescent="0.25">
      <c r="A10478" t="str">
        <f xml:space="preserve"> $H$10470</f>
        <v>&lt;flags count_in_cargo="0" count_in_hoarder="0" count_in_map="1" count_in_player="0" crafted="1" deloot="0"/&gt;</v>
      </c>
      <c r="B10478" t="s">
        <v>3454</v>
      </c>
    </row>
    <row r="10479" spans="1:8" x14ac:dyDescent="0.25">
      <c r="A10479" t="str">
        <f>"&lt;category name=" &amp;"""" &amp;$C$10470&amp;"""/&gt;"</f>
        <v>&lt;category name="food"/&gt;</v>
      </c>
      <c r="B10479" t="s">
        <v>3454</v>
      </c>
    </row>
    <row r="10480" spans="1:8" x14ac:dyDescent="0.25">
      <c r="A10480" t="s">
        <v>22</v>
      </c>
      <c r="B10480" t="s">
        <v>3454</v>
      </c>
    </row>
    <row r="10481" spans="1:8" x14ac:dyDescent="0.25">
      <c r="A10481" t="s">
        <v>2202</v>
      </c>
      <c r="B10481" t="s">
        <v>3455</v>
      </c>
      <c r="C10481" t="s">
        <v>399</v>
      </c>
      <c r="D10481">
        <v>0</v>
      </c>
      <c r="E10481">
        <v>21600</v>
      </c>
      <c r="F10481">
        <v>0</v>
      </c>
      <c r="G10481">
        <v>0</v>
      </c>
      <c r="H10481" t="s">
        <v>62</v>
      </c>
    </row>
    <row r="10482" spans="1:8" x14ac:dyDescent="0.25">
      <c r="A10482" t="str">
        <f>"&lt;nominal&gt;" &amp;$D$10481&amp;"&lt;/nominal&gt;"</f>
        <v>&lt;nominal&gt;0&lt;/nominal&gt;</v>
      </c>
      <c r="B10482" t="s">
        <v>3455</v>
      </c>
    </row>
    <row r="10483" spans="1:8" x14ac:dyDescent="0.25">
      <c r="A10483" t="str">
        <f>"&lt;lifetime&gt;" &amp;$E$10481&amp;"&lt;/lifetime&gt;"</f>
        <v>&lt;lifetime&gt;21600&lt;/lifetime&gt;</v>
      </c>
      <c r="B10483" t="s">
        <v>3455</v>
      </c>
    </row>
    <row r="10484" spans="1:8" x14ac:dyDescent="0.25">
      <c r="A10484" t="str">
        <f>"&lt;restock&gt;" &amp;$F$10481&amp;"&lt;/restock&gt;"</f>
        <v>&lt;restock&gt;0&lt;/restock&gt;</v>
      </c>
      <c r="B10484" t="s">
        <v>3455</v>
      </c>
    </row>
    <row r="10485" spans="1:8" x14ac:dyDescent="0.25">
      <c r="A10485" t="str">
        <f>"&lt;min&gt;" &amp;$G$10481&amp;"&lt;/min&gt;"</f>
        <v>&lt;min&gt;0&lt;/min&gt;</v>
      </c>
      <c r="B10485" t="s">
        <v>3455</v>
      </c>
    </row>
    <row r="10486" spans="1:8" x14ac:dyDescent="0.25">
      <c r="A10486" t="s">
        <v>16</v>
      </c>
      <c r="B10486" t="s">
        <v>3455</v>
      </c>
    </row>
    <row r="10487" spans="1:8" x14ac:dyDescent="0.25">
      <c r="A10487" t="s">
        <v>17</v>
      </c>
      <c r="B10487" t="s">
        <v>3455</v>
      </c>
    </row>
    <row r="10488" spans="1:8" x14ac:dyDescent="0.25">
      <c r="A10488" t="s">
        <v>18</v>
      </c>
      <c r="B10488" t="s">
        <v>3455</v>
      </c>
    </row>
    <row r="10489" spans="1:8" x14ac:dyDescent="0.25">
      <c r="A10489" t="str">
        <f xml:space="preserve"> $H$10481</f>
        <v>&lt;flags count_in_cargo="0" count_in_hoarder="0" count_in_map="1" count_in_player="0" crafted="1" deloot="0"/&gt;</v>
      </c>
      <c r="B10489" t="s">
        <v>3455</v>
      </c>
    </row>
    <row r="10490" spans="1:8" x14ac:dyDescent="0.25">
      <c r="A10490" t="str">
        <f>"&lt;category name=" &amp;"""" &amp;$C$10481&amp;"""/&gt;"</f>
        <v>&lt;category name="food"/&gt;</v>
      </c>
      <c r="B10490" t="s">
        <v>3455</v>
      </c>
    </row>
    <row r="10491" spans="1:8" x14ac:dyDescent="0.25">
      <c r="A10491" t="s">
        <v>22</v>
      </c>
      <c r="B10491" t="s">
        <v>3455</v>
      </c>
    </row>
    <row r="10492" spans="1:8" x14ac:dyDescent="0.25">
      <c r="A10492" t="s">
        <v>2203</v>
      </c>
      <c r="B10492" t="s">
        <v>3456</v>
      </c>
      <c r="C10492" t="s">
        <v>399</v>
      </c>
      <c r="D10492">
        <v>0</v>
      </c>
      <c r="E10492">
        <v>21600</v>
      </c>
      <c r="F10492">
        <v>0</v>
      </c>
      <c r="G10492">
        <v>0</v>
      </c>
      <c r="H10492" t="s">
        <v>62</v>
      </c>
    </row>
    <row r="10493" spans="1:8" x14ac:dyDescent="0.25">
      <c r="A10493" t="str">
        <f>"&lt;nominal&gt;" &amp;$D$10492&amp;"&lt;/nominal&gt;"</f>
        <v>&lt;nominal&gt;0&lt;/nominal&gt;</v>
      </c>
      <c r="B10493" t="s">
        <v>3456</v>
      </c>
    </row>
    <row r="10494" spans="1:8" x14ac:dyDescent="0.25">
      <c r="A10494" t="str">
        <f>"&lt;lifetime&gt;" &amp;$E$10492&amp;"&lt;/lifetime&gt;"</f>
        <v>&lt;lifetime&gt;21600&lt;/lifetime&gt;</v>
      </c>
      <c r="B10494" t="s">
        <v>3456</v>
      </c>
    </row>
    <row r="10495" spans="1:8" x14ac:dyDescent="0.25">
      <c r="A10495" t="str">
        <f>"&lt;restock&gt;" &amp;$F$10492&amp;"&lt;/restock&gt;"</f>
        <v>&lt;restock&gt;0&lt;/restock&gt;</v>
      </c>
      <c r="B10495" t="s">
        <v>3456</v>
      </c>
    </row>
    <row r="10496" spans="1:8" x14ac:dyDescent="0.25">
      <c r="A10496" t="str">
        <f>"&lt;min&gt;" &amp;$G$10492&amp;"&lt;/min&gt;"</f>
        <v>&lt;min&gt;0&lt;/min&gt;</v>
      </c>
      <c r="B10496" t="s">
        <v>3456</v>
      </c>
    </row>
    <row r="10497" spans="1:8" x14ac:dyDescent="0.25">
      <c r="A10497" t="s">
        <v>16</v>
      </c>
      <c r="B10497" t="s">
        <v>3456</v>
      </c>
    </row>
    <row r="10498" spans="1:8" x14ac:dyDescent="0.25">
      <c r="A10498" t="s">
        <v>17</v>
      </c>
      <c r="B10498" t="s">
        <v>3456</v>
      </c>
    </row>
    <row r="10499" spans="1:8" x14ac:dyDescent="0.25">
      <c r="A10499" t="s">
        <v>18</v>
      </c>
      <c r="B10499" t="s">
        <v>3456</v>
      </c>
    </row>
    <row r="10500" spans="1:8" x14ac:dyDescent="0.25">
      <c r="A10500" t="str">
        <f xml:space="preserve"> $H$10492</f>
        <v>&lt;flags count_in_cargo="0" count_in_hoarder="0" count_in_map="1" count_in_player="0" crafted="1" deloot="0"/&gt;</v>
      </c>
      <c r="B10500" t="s">
        <v>3456</v>
      </c>
    </row>
    <row r="10501" spans="1:8" x14ac:dyDescent="0.25">
      <c r="A10501" t="str">
        <f>"&lt;category name=" &amp;"""" &amp;$C$10492&amp;"""/&gt;"</f>
        <v>&lt;category name="food"/&gt;</v>
      </c>
      <c r="B10501" t="s">
        <v>3456</v>
      </c>
    </row>
    <row r="10502" spans="1:8" x14ac:dyDescent="0.25">
      <c r="A10502" t="s">
        <v>22</v>
      </c>
      <c r="B10502" t="s">
        <v>3456</v>
      </c>
    </row>
    <row r="10503" spans="1:8" x14ac:dyDescent="0.25">
      <c r="A10503" t="s">
        <v>2204</v>
      </c>
      <c r="B10503" t="s">
        <v>3457</v>
      </c>
      <c r="C10503" t="s">
        <v>399</v>
      </c>
      <c r="D10503">
        <v>0</v>
      </c>
      <c r="E10503">
        <v>21600</v>
      </c>
      <c r="F10503">
        <v>0</v>
      </c>
      <c r="G10503">
        <v>0</v>
      </c>
      <c r="H10503" t="s">
        <v>62</v>
      </c>
    </row>
    <row r="10504" spans="1:8" x14ac:dyDescent="0.25">
      <c r="A10504" t="str">
        <f>"&lt;nominal&gt;" &amp;$D$10503&amp;"&lt;/nominal&gt;"</f>
        <v>&lt;nominal&gt;0&lt;/nominal&gt;</v>
      </c>
      <c r="B10504" t="s">
        <v>3457</v>
      </c>
    </row>
    <row r="10505" spans="1:8" x14ac:dyDescent="0.25">
      <c r="A10505" t="str">
        <f>"&lt;lifetime&gt;" &amp;$E$10503&amp;"&lt;/lifetime&gt;"</f>
        <v>&lt;lifetime&gt;21600&lt;/lifetime&gt;</v>
      </c>
      <c r="B10505" t="s">
        <v>3457</v>
      </c>
    </row>
    <row r="10506" spans="1:8" x14ac:dyDescent="0.25">
      <c r="A10506" t="str">
        <f>"&lt;restock&gt;" &amp;$F$10503&amp;"&lt;/restock&gt;"</f>
        <v>&lt;restock&gt;0&lt;/restock&gt;</v>
      </c>
      <c r="B10506" t="s">
        <v>3457</v>
      </c>
    </row>
    <row r="10507" spans="1:8" x14ac:dyDescent="0.25">
      <c r="A10507" t="str">
        <f>"&lt;min&gt;" &amp;$G$10503&amp;"&lt;/min&gt;"</f>
        <v>&lt;min&gt;0&lt;/min&gt;</v>
      </c>
      <c r="B10507" t="s">
        <v>3457</v>
      </c>
    </row>
    <row r="10508" spans="1:8" x14ac:dyDescent="0.25">
      <c r="A10508" t="s">
        <v>16</v>
      </c>
      <c r="B10508" t="s">
        <v>3457</v>
      </c>
    </row>
    <row r="10509" spans="1:8" x14ac:dyDescent="0.25">
      <c r="A10509" t="s">
        <v>17</v>
      </c>
      <c r="B10509" t="s">
        <v>3457</v>
      </c>
    </row>
    <row r="10510" spans="1:8" x14ac:dyDescent="0.25">
      <c r="A10510" t="s">
        <v>18</v>
      </c>
      <c r="B10510" t="s">
        <v>3457</v>
      </c>
    </row>
    <row r="10511" spans="1:8" x14ac:dyDescent="0.25">
      <c r="A10511" t="str">
        <f xml:space="preserve"> $H$10503</f>
        <v>&lt;flags count_in_cargo="0" count_in_hoarder="0" count_in_map="1" count_in_player="0" crafted="1" deloot="0"/&gt;</v>
      </c>
      <c r="B10511" t="s">
        <v>3457</v>
      </c>
    </row>
    <row r="10512" spans="1:8" x14ac:dyDescent="0.25">
      <c r="A10512" t="str">
        <f>"&lt;category name=" &amp;"""" &amp;$C$10503&amp;"""/&gt;"</f>
        <v>&lt;category name="food"/&gt;</v>
      </c>
      <c r="B10512" t="s">
        <v>3457</v>
      </c>
    </row>
    <row r="10513" spans="1:8" x14ac:dyDescent="0.25">
      <c r="A10513" t="s">
        <v>22</v>
      </c>
      <c r="B10513" t="s">
        <v>3457</v>
      </c>
    </row>
    <row r="10514" spans="1:8" x14ac:dyDescent="0.25">
      <c r="A10514" t="s">
        <v>2205</v>
      </c>
      <c r="B10514" t="s">
        <v>3458</v>
      </c>
      <c r="C10514" t="s">
        <v>399</v>
      </c>
      <c r="D10514">
        <v>0</v>
      </c>
      <c r="E10514">
        <v>21600</v>
      </c>
      <c r="F10514">
        <v>0</v>
      </c>
      <c r="G10514">
        <v>0</v>
      </c>
      <c r="H10514" t="s">
        <v>62</v>
      </c>
    </row>
    <row r="10515" spans="1:8" x14ac:dyDescent="0.25">
      <c r="A10515" t="str">
        <f>"&lt;nominal&gt;" &amp;$D$10514&amp;"&lt;/nominal&gt;"</f>
        <v>&lt;nominal&gt;0&lt;/nominal&gt;</v>
      </c>
      <c r="B10515" t="s">
        <v>3458</v>
      </c>
    </row>
    <row r="10516" spans="1:8" x14ac:dyDescent="0.25">
      <c r="A10516" t="str">
        <f>"&lt;lifetime&gt;" &amp;$E$10514&amp;"&lt;/lifetime&gt;"</f>
        <v>&lt;lifetime&gt;21600&lt;/lifetime&gt;</v>
      </c>
      <c r="B10516" t="s">
        <v>3458</v>
      </c>
    </row>
    <row r="10517" spans="1:8" x14ac:dyDescent="0.25">
      <c r="A10517" t="str">
        <f>"&lt;restock&gt;" &amp;$F$10514&amp;"&lt;/restock&gt;"</f>
        <v>&lt;restock&gt;0&lt;/restock&gt;</v>
      </c>
      <c r="B10517" t="s">
        <v>3458</v>
      </c>
    </row>
    <row r="10518" spans="1:8" x14ac:dyDescent="0.25">
      <c r="A10518" t="str">
        <f>"&lt;min&gt;" &amp;$G$10514&amp;"&lt;/min&gt;"</f>
        <v>&lt;min&gt;0&lt;/min&gt;</v>
      </c>
      <c r="B10518" t="s">
        <v>3458</v>
      </c>
    </row>
    <row r="10519" spans="1:8" x14ac:dyDescent="0.25">
      <c r="A10519" t="s">
        <v>16</v>
      </c>
      <c r="B10519" t="s">
        <v>3458</v>
      </c>
    </row>
    <row r="10520" spans="1:8" x14ac:dyDescent="0.25">
      <c r="A10520" t="s">
        <v>17</v>
      </c>
      <c r="B10520" t="s">
        <v>3458</v>
      </c>
    </row>
    <row r="10521" spans="1:8" x14ac:dyDescent="0.25">
      <c r="A10521" t="s">
        <v>18</v>
      </c>
      <c r="B10521" t="s">
        <v>3458</v>
      </c>
    </row>
    <row r="10522" spans="1:8" x14ac:dyDescent="0.25">
      <c r="A10522" t="str">
        <f xml:space="preserve"> $H$10514</f>
        <v>&lt;flags count_in_cargo="0" count_in_hoarder="0" count_in_map="1" count_in_player="0" crafted="1" deloot="0"/&gt;</v>
      </c>
      <c r="B10522" t="s">
        <v>3458</v>
      </c>
    </row>
    <row r="10523" spans="1:8" x14ac:dyDescent="0.25">
      <c r="A10523" t="str">
        <f>"&lt;category name=" &amp;"""" &amp;$C$10514&amp;"""/&gt;"</f>
        <v>&lt;category name="food"/&gt;</v>
      </c>
      <c r="B10523" t="s">
        <v>3458</v>
      </c>
    </row>
    <row r="10524" spans="1:8" x14ac:dyDescent="0.25">
      <c r="A10524" t="s">
        <v>22</v>
      </c>
      <c r="B10524" t="s">
        <v>3458</v>
      </c>
    </row>
    <row r="10525" spans="1:8" x14ac:dyDescent="0.25">
      <c r="A10525" t="s">
        <v>2206</v>
      </c>
      <c r="B10525" t="s">
        <v>947</v>
      </c>
      <c r="C10525" t="s">
        <v>403</v>
      </c>
      <c r="D10525">
        <v>10</v>
      </c>
      <c r="E10525">
        <v>7200</v>
      </c>
      <c r="F10525">
        <v>0</v>
      </c>
      <c r="G10525">
        <v>5</v>
      </c>
      <c r="H10525" t="s">
        <v>19</v>
      </c>
    </row>
    <row r="10526" spans="1:8" x14ac:dyDescent="0.25">
      <c r="A10526" t="str">
        <f>"&lt;nominal&gt;" &amp;$D$10525&amp;"&lt;/nominal&gt;"</f>
        <v>&lt;nominal&gt;10&lt;/nominal&gt;</v>
      </c>
      <c r="B10526" t="s">
        <v>947</v>
      </c>
    </row>
    <row r="10527" spans="1:8" x14ac:dyDescent="0.25">
      <c r="A10527" t="str">
        <f>"&lt;lifetime&gt;" &amp;$E$10525&amp;"&lt;/lifetime&gt;"</f>
        <v>&lt;lifetime&gt;7200&lt;/lifetime&gt;</v>
      </c>
      <c r="B10527" t="s">
        <v>947</v>
      </c>
    </row>
    <row r="10528" spans="1:8" x14ac:dyDescent="0.25">
      <c r="A10528" t="str">
        <f>"&lt;restock&gt;" &amp;$F$10525&amp;"&lt;/restock&gt;"</f>
        <v>&lt;restock&gt;0&lt;/restock&gt;</v>
      </c>
      <c r="B10528" t="s">
        <v>947</v>
      </c>
    </row>
    <row r="10529" spans="1:8" x14ac:dyDescent="0.25">
      <c r="A10529" t="str">
        <f>"&lt;min&gt;" &amp;$G$10525&amp;"&lt;/min&gt;"</f>
        <v>&lt;min&gt;5&lt;/min&gt;</v>
      </c>
      <c r="B10529" t="s">
        <v>947</v>
      </c>
    </row>
    <row r="10530" spans="1:8" x14ac:dyDescent="0.25">
      <c r="A10530" t="s">
        <v>16</v>
      </c>
      <c r="B10530" t="s">
        <v>947</v>
      </c>
    </row>
    <row r="10531" spans="1:8" x14ac:dyDescent="0.25">
      <c r="A10531" t="s">
        <v>17</v>
      </c>
      <c r="B10531" t="s">
        <v>947</v>
      </c>
    </row>
    <row r="10532" spans="1:8" x14ac:dyDescent="0.25">
      <c r="A10532" t="s">
        <v>18</v>
      </c>
      <c r="B10532" t="s">
        <v>947</v>
      </c>
    </row>
    <row r="10533" spans="1:8" x14ac:dyDescent="0.25">
      <c r="A10533" t="str">
        <f xml:space="preserve"> $H$10525</f>
        <v>&lt;flags count_in_cargo="0" count_in_hoarder="0" count_in_map="1" count_in_player="0" crafted="0" deloot="0"/&gt;</v>
      </c>
      <c r="B10533" t="s">
        <v>947</v>
      </c>
    </row>
    <row r="10534" spans="1:8" x14ac:dyDescent="0.25">
      <c r="A10534" t="str">
        <f>"&lt;category name=" &amp;"""" &amp;$C$10525&amp;"""/&gt;"</f>
        <v>&lt;category name="clothes"/&gt;</v>
      </c>
      <c r="B10534" t="s">
        <v>947</v>
      </c>
    </row>
    <row r="10535" spans="1:8" x14ac:dyDescent="0.25">
      <c r="A10535" t="s">
        <v>20</v>
      </c>
      <c r="B10535" t="s">
        <v>947</v>
      </c>
    </row>
    <row r="10536" spans="1:8" x14ac:dyDescent="0.25">
      <c r="A10536" t="s">
        <v>29</v>
      </c>
      <c r="B10536" t="s">
        <v>947</v>
      </c>
    </row>
    <row r="10537" spans="1:8" x14ac:dyDescent="0.25">
      <c r="A10537" t="s">
        <v>22</v>
      </c>
      <c r="B10537" t="s">
        <v>947</v>
      </c>
    </row>
    <row r="10538" spans="1:8" x14ac:dyDescent="0.25">
      <c r="A10538" t="s">
        <v>2207</v>
      </c>
      <c r="B10538" t="s">
        <v>948</v>
      </c>
      <c r="C10538" t="s">
        <v>403</v>
      </c>
      <c r="D10538">
        <v>10</v>
      </c>
      <c r="E10538">
        <v>7200</v>
      </c>
      <c r="F10538">
        <v>0</v>
      </c>
      <c r="G10538">
        <v>5</v>
      </c>
      <c r="H10538" t="s">
        <v>19</v>
      </c>
    </row>
    <row r="10539" spans="1:8" x14ac:dyDescent="0.25">
      <c r="A10539" t="str">
        <f>"&lt;nominal&gt;" &amp;$D$10538&amp;"&lt;/nominal&gt;"</f>
        <v>&lt;nominal&gt;10&lt;/nominal&gt;</v>
      </c>
      <c r="B10539" t="s">
        <v>948</v>
      </c>
    </row>
    <row r="10540" spans="1:8" x14ac:dyDescent="0.25">
      <c r="A10540" t="str">
        <f>"&lt;lifetime&gt;" &amp;$E$10538&amp;"&lt;/lifetime&gt;"</f>
        <v>&lt;lifetime&gt;7200&lt;/lifetime&gt;</v>
      </c>
      <c r="B10540" t="s">
        <v>948</v>
      </c>
    </row>
    <row r="10541" spans="1:8" x14ac:dyDescent="0.25">
      <c r="A10541" t="str">
        <f>"&lt;restock&gt;" &amp;$F$10538&amp;"&lt;/restock&gt;"</f>
        <v>&lt;restock&gt;0&lt;/restock&gt;</v>
      </c>
      <c r="B10541" t="s">
        <v>948</v>
      </c>
    </row>
    <row r="10542" spans="1:8" x14ac:dyDescent="0.25">
      <c r="A10542" t="str">
        <f>"&lt;min&gt;" &amp;$G$10538&amp;"&lt;/min&gt;"</f>
        <v>&lt;min&gt;5&lt;/min&gt;</v>
      </c>
      <c r="B10542" t="s">
        <v>948</v>
      </c>
    </row>
    <row r="10543" spans="1:8" x14ac:dyDescent="0.25">
      <c r="A10543" t="s">
        <v>16</v>
      </c>
      <c r="B10543" t="s">
        <v>948</v>
      </c>
    </row>
    <row r="10544" spans="1:8" x14ac:dyDescent="0.25">
      <c r="A10544" t="s">
        <v>17</v>
      </c>
      <c r="B10544" t="s">
        <v>948</v>
      </c>
    </row>
    <row r="10545" spans="1:8" x14ac:dyDescent="0.25">
      <c r="A10545" t="s">
        <v>18</v>
      </c>
      <c r="B10545" t="s">
        <v>948</v>
      </c>
    </row>
    <row r="10546" spans="1:8" x14ac:dyDescent="0.25">
      <c r="A10546" t="str">
        <f xml:space="preserve"> $H$10538</f>
        <v>&lt;flags count_in_cargo="0" count_in_hoarder="0" count_in_map="1" count_in_player="0" crafted="0" deloot="0"/&gt;</v>
      </c>
      <c r="B10546" t="s">
        <v>948</v>
      </c>
    </row>
    <row r="10547" spans="1:8" x14ac:dyDescent="0.25">
      <c r="A10547" t="str">
        <f>"&lt;category name=" &amp;"""" &amp;$C$10538&amp;"""/&gt;"</f>
        <v>&lt;category name="clothes"/&gt;</v>
      </c>
      <c r="B10547" t="s">
        <v>948</v>
      </c>
    </row>
    <row r="10548" spans="1:8" x14ac:dyDescent="0.25">
      <c r="A10548" t="s">
        <v>20</v>
      </c>
      <c r="B10548" t="s">
        <v>948</v>
      </c>
    </row>
    <row r="10549" spans="1:8" x14ac:dyDescent="0.25">
      <c r="A10549" t="s">
        <v>29</v>
      </c>
      <c r="B10549" t="s">
        <v>948</v>
      </c>
    </row>
    <row r="10550" spans="1:8" x14ac:dyDescent="0.25">
      <c r="A10550" t="s">
        <v>22</v>
      </c>
      <c r="B10550" t="s">
        <v>948</v>
      </c>
    </row>
    <row r="10551" spans="1:8" x14ac:dyDescent="0.25">
      <c r="A10551" t="s">
        <v>2208</v>
      </c>
      <c r="B10551" t="s">
        <v>949</v>
      </c>
      <c r="C10551" t="s">
        <v>403</v>
      </c>
      <c r="D10551">
        <v>8</v>
      </c>
      <c r="E10551">
        <v>2700</v>
      </c>
      <c r="F10551">
        <v>0</v>
      </c>
      <c r="G10551">
        <v>4</v>
      </c>
      <c r="H10551" t="s">
        <v>19</v>
      </c>
    </row>
    <row r="10552" spans="1:8" x14ac:dyDescent="0.25">
      <c r="A10552" t="str">
        <f>"&lt;nominal&gt;" &amp;$D$10551&amp;"&lt;/nominal&gt;"</f>
        <v>&lt;nominal&gt;8&lt;/nominal&gt;</v>
      </c>
      <c r="B10552" t="s">
        <v>949</v>
      </c>
    </row>
    <row r="10553" spans="1:8" x14ac:dyDescent="0.25">
      <c r="A10553" t="str">
        <f>"&lt;lifetime&gt;" &amp;$E$10551&amp;"&lt;/lifetime&gt;"</f>
        <v>&lt;lifetime&gt;2700&lt;/lifetime&gt;</v>
      </c>
      <c r="B10553" t="s">
        <v>949</v>
      </c>
    </row>
    <row r="10554" spans="1:8" x14ac:dyDescent="0.25">
      <c r="A10554" t="str">
        <f>"&lt;restock&gt;" &amp;$F$10551&amp;"&lt;/restock&gt;"</f>
        <v>&lt;restock&gt;0&lt;/restock&gt;</v>
      </c>
      <c r="B10554" t="s">
        <v>949</v>
      </c>
    </row>
    <row r="10555" spans="1:8" x14ac:dyDescent="0.25">
      <c r="A10555" t="str">
        <f>"&lt;min&gt;" &amp;$G$10551&amp;"&lt;/min&gt;"</f>
        <v>&lt;min&gt;4&lt;/min&gt;</v>
      </c>
      <c r="B10555" t="s">
        <v>949</v>
      </c>
    </row>
    <row r="10556" spans="1:8" x14ac:dyDescent="0.25">
      <c r="A10556" t="s">
        <v>16</v>
      </c>
      <c r="B10556" t="s">
        <v>949</v>
      </c>
    </row>
    <row r="10557" spans="1:8" x14ac:dyDescent="0.25">
      <c r="A10557" t="s">
        <v>17</v>
      </c>
      <c r="B10557" t="s">
        <v>949</v>
      </c>
    </row>
    <row r="10558" spans="1:8" x14ac:dyDescent="0.25">
      <c r="A10558" t="s">
        <v>18</v>
      </c>
      <c r="B10558" t="s">
        <v>949</v>
      </c>
    </row>
    <row r="10559" spans="1:8" x14ac:dyDescent="0.25">
      <c r="A10559" t="str">
        <f xml:space="preserve"> $H$10551</f>
        <v>&lt;flags count_in_cargo="0" count_in_hoarder="0" count_in_map="1" count_in_player="0" crafted="0" deloot="0"/&gt;</v>
      </c>
      <c r="B10559" t="s">
        <v>949</v>
      </c>
    </row>
    <row r="10560" spans="1:8" x14ac:dyDescent="0.25">
      <c r="A10560" t="str">
        <f>"&lt;category name=" &amp;"""" &amp;$C$10551&amp;"""/&gt;"</f>
        <v>&lt;category name="clothes"/&gt;</v>
      </c>
      <c r="B10560" t="s">
        <v>949</v>
      </c>
    </row>
    <row r="10561" spans="1:8" x14ac:dyDescent="0.25">
      <c r="A10561" t="s">
        <v>29</v>
      </c>
      <c r="B10561" t="s">
        <v>949</v>
      </c>
    </row>
    <row r="10562" spans="1:8" x14ac:dyDescent="0.25">
      <c r="A10562" t="s">
        <v>31</v>
      </c>
      <c r="B10562" t="s">
        <v>949</v>
      </c>
    </row>
    <row r="10563" spans="1:8" x14ac:dyDescent="0.25">
      <c r="A10563" t="s">
        <v>307</v>
      </c>
      <c r="B10563" t="s">
        <v>949</v>
      </c>
    </row>
    <row r="10564" spans="1:8" x14ac:dyDescent="0.25">
      <c r="A10564" t="s">
        <v>22</v>
      </c>
      <c r="B10564" t="s">
        <v>949</v>
      </c>
    </row>
    <row r="10565" spans="1:8" x14ac:dyDescent="0.25">
      <c r="A10565" t="s">
        <v>2209</v>
      </c>
      <c r="B10565" t="s">
        <v>3006</v>
      </c>
      <c r="C10565" t="s">
        <v>399</v>
      </c>
      <c r="D10565">
        <v>0</v>
      </c>
      <c r="E10565">
        <v>900</v>
      </c>
      <c r="F10565">
        <v>0</v>
      </c>
      <c r="G10565">
        <v>0</v>
      </c>
      <c r="H10565" t="s">
        <v>62</v>
      </c>
    </row>
    <row r="10566" spans="1:8" x14ac:dyDescent="0.25">
      <c r="A10566" t="str">
        <f>"&lt;nominal&gt;" &amp;$D$10565&amp;"&lt;/nominal&gt;"</f>
        <v>&lt;nominal&gt;0&lt;/nominal&gt;</v>
      </c>
      <c r="B10566" t="s">
        <v>3006</v>
      </c>
    </row>
    <row r="10567" spans="1:8" x14ac:dyDescent="0.25">
      <c r="A10567" t="str">
        <f>"&lt;lifetime&gt;" &amp;$E$10565&amp;"&lt;/lifetime&gt;"</f>
        <v>&lt;lifetime&gt;900&lt;/lifetime&gt;</v>
      </c>
      <c r="B10567" t="s">
        <v>3006</v>
      </c>
    </row>
    <row r="10568" spans="1:8" x14ac:dyDescent="0.25">
      <c r="A10568" t="str">
        <f>"&lt;restock&gt;" &amp;$F$10565&amp;"&lt;/restock&gt;"</f>
        <v>&lt;restock&gt;0&lt;/restock&gt;</v>
      </c>
      <c r="B10568" t="s">
        <v>3006</v>
      </c>
    </row>
    <row r="10569" spans="1:8" x14ac:dyDescent="0.25">
      <c r="A10569" t="str">
        <f>"&lt;min&gt;" &amp;$G$10565&amp;"&lt;/min&gt;"</f>
        <v>&lt;min&gt;0&lt;/min&gt;</v>
      </c>
      <c r="B10569" t="s">
        <v>3006</v>
      </c>
    </row>
    <row r="10570" spans="1:8" x14ac:dyDescent="0.25">
      <c r="A10570" t="s">
        <v>16</v>
      </c>
      <c r="B10570" t="s">
        <v>3006</v>
      </c>
    </row>
    <row r="10571" spans="1:8" x14ac:dyDescent="0.25">
      <c r="A10571" t="s">
        <v>17</v>
      </c>
      <c r="B10571" t="s">
        <v>3006</v>
      </c>
    </row>
    <row r="10572" spans="1:8" x14ac:dyDescent="0.25">
      <c r="A10572" t="s">
        <v>18</v>
      </c>
      <c r="B10572" t="s">
        <v>3006</v>
      </c>
    </row>
    <row r="10573" spans="1:8" x14ac:dyDescent="0.25">
      <c r="A10573" t="str">
        <f xml:space="preserve"> $H$10565</f>
        <v>&lt;flags count_in_cargo="0" count_in_hoarder="0" count_in_map="1" count_in_player="0" crafted="1" deloot="0"/&gt;</v>
      </c>
      <c r="B10573" t="s">
        <v>3006</v>
      </c>
    </row>
    <row r="10574" spans="1:8" x14ac:dyDescent="0.25">
      <c r="A10574" t="str">
        <f>"&lt;category name=" &amp;"""" &amp;$C$10565&amp;"""/&gt;"</f>
        <v>&lt;category name="food"/&gt;</v>
      </c>
      <c r="B10574" t="s">
        <v>3006</v>
      </c>
    </row>
    <row r="10575" spans="1:8" x14ac:dyDescent="0.25">
      <c r="A10575" t="s">
        <v>22</v>
      </c>
      <c r="B10575" t="s">
        <v>3006</v>
      </c>
    </row>
    <row r="10576" spans="1:8" x14ac:dyDescent="0.25">
      <c r="A10576" t="s">
        <v>2210</v>
      </c>
      <c r="B10576" t="s">
        <v>950</v>
      </c>
      <c r="C10576" t="s">
        <v>426</v>
      </c>
      <c r="D10576">
        <v>70</v>
      </c>
      <c r="E10576">
        <v>7200</v>
      </c>
      <c r="F10576">
        <v>0</v>
      </c>
      <c r="G10576">
        <v>50</v>
      </c>
      <c r="H10576" t="s">
        <v>19</v>
      </c>
    </row>
    <row r="10577" spans="1:8" x14ac:dyDescent="0.25">
      <c r="A10577" t="str">
        <f>"&lt;nominal&gt;" &amp;$D$10576&amp;"&lt;/nominal&gt;"</f>
        <v>&lt;nominal&gt;70&lt;/nominal&gt;</v>
      </c>
      <c r="B10577" t="s">
        <v>950</v>
      </c>
    </row>
    <row r="10578" spans="1:8" x14ac:dyDescent="0.25">
      <c r="A10578" t="str">
        <f>"&lt;lifetime&gt;" &amp;$E$10576&amp;"&lt;/lifetime&gt;"</f>
        <v>&lt;lifetime&gt;7200&lt;/lifetime&gt;</v>
      </c>
      <c r="B10578" t="s">
        <v>950</v>
      </c>
    </row>
    <row r="10579" spans="1:8" x14ac:dyDescent="0.25">
      <c r="A10579" t="str">
        <f>"&lt;restock&gt;" &amp;$F$10576&amp;"&lt;/restock&gt;"</f>
        <v>&lt;restock&gt;0&lt;/restock&gt;</v>
      </c>
      <c r="B10579" t="s">
        <v>950</v>
      </c>
    </row>
    <row r="10580" spans="1:8" x14ac:dyDescent="0.25">
      <c r="A10580" t="str">
        <f>"&lt;min&gt;" &amp;$G$10576&amp;"&lt;/min&gt;"</f>
        <v>&lt;min&gt;50&lt;/min&gt;</v>
      </c>
      <c r="B10580" t="s">
        <v>950</v>
      </c>
    </row>
    <row r="10581" spans="1:8" x14ac:dyDescent="0.25">
      <c r="A10581" t="s">
        <v>16</v>
      </c>
      <c r="B10581" t="s">
        <v>950</v>
      </c>
    </row>
    <row r="10582" spans="1:8" x14ac:dyDescent="0.25">
      <c r="A10582" t="s">
        <v>17</v>
      </c>
      <c r="B10582" t="s">
        <v>950</v>
      </c>
    </row>
    <row r="10583" spans="1:8" x14ac:dyDescent="0.25">
      <c r="A10583" t="s">
        <v>18</v>
      </c>
      <c r="B10583" t="s">
        <v>950</v>
      </c>
    </row>
    <row r="10584" spans="1:8" x14ac:dyDescent="0.25">
      <c r="A10584" t="str">
        <f xml:space="preserve"> $H$10576</f>
        <v>&lt;flags count_in_cargo="0" count_in_hoarder="0" count_in_map="1" count_in_player="0" crafted="0" deloot="0"/&gt;</v>
      </c>
      <c r="B10584" t="s">
        <v>950</v>
      </c>
    </row>
    <row r="10585" spans="1:8" x14ac:dyDescent="0.25">
      <c r="A10585" t="str">
        <f>"&lt;category name=" &amp;"""" &amp;$C$10576&amp;"""/&gt;"</f>
        <v>&lt;category name="tools"/&gt;</v>
      </c>
      <c r="B10585" t="s">
        <v>950</v>
      </c>
    </row>
    <row r="10586" spans="1:8" x14ac:dyDescent="0.25">
      <c r="A10586" t="s">
        <v>55</v>
      </c>
      <c r="B10586" t="s">
        <v>950</v>
      </c>
    </row>
    <row r="10587" spans="1:8" x14ac:dyDescent="0.25">
      <c r="A10587" t="s">
        <v>56</v>
      </c>
      <c r="B10587" t="s">
        <v>950</v>
      </c>
    </row>
    <row r="10588" spans="1:8" x14ac:dyDescent="0.25">
      <c r="A10588" t="s">
        <v>40</v>
      </c>
      <c r="B10588" t="s">
        <v>950</v>
      </c>
    </row>
    <row r="10589" spans="1:8" x14ac:dyDescent="0.25">
      <c r="A10589" t="s">
        <v>22</v>
      </c>
      <c r="B10589" t="s">
        <v>950</v>
      </c>
    </row>
    <row r="10590" spans="1:8" x14ac:dyDescent="0.25">
      <c r="A10590" t="s">
        <v>2211</v>
      </c>
      <c r="B10590" t="s">
        <v>3007</v>
      </c>
      <c r="C10590" t="s">
        <v>399</v>
      </c>
      <c r="D10590">
        <v>0</v>
      </c>
      <c r="E10590">
        <v>900</v>
      </c>
      <c r="F10590">
        <v>0</v>
      </c>
      <c r="G10590">
        <v>0</v>
      </c>
      <c r="H10590" t="s">
        <v>62</v>
      </c>
    </row>
    <row r="10591" spans="1:8" x14ac:dyDescent="0.25">
      <c r="A10591" t="str">
        <f>"&lt;nominal&gt;" &amp;$D$10590&amp;"&lt;/nominal&gt;"</f>
        <v>&lt;nominal&gt;0&lt;/nominal&gt;</v>
      </c>
      <c r="B10591" t="s">
        <v>3007</v>
      </c>
    </row>
    <row r="10592" spans="1:8" x14ac:dyDescent="0.25">
      <c r="A10592" t="str">
        <f>"&lt;lifetime&gt;" &amp;$E$10590&amp;"&lt;/lifetime&gt;"</f>
        <v>&lt;lifetime&gt;900&lt;/lifetime&gt;</v>
      </c>
      <c r="B10592" t="s">
        <v>3007</v>
      </c>
    </row>
    <row r="10593" spans="1:8" x14ac:dyDescent="0.25">
      <c r="A10593" t="str">
        <f>"&lt;restock&gt;" &amp;$F$10590&amp;"&lt;/restock&gt;"</f>
        <v>&lt;restock&gt;0&lt;/restock&gt;</v>
      </c>
      <c r="B10593" t="s">
        <v>3007</v>
      </c>
    </row>
    <row r="10594" spans="1:8" x14ac:dyDescent="0.25">
      <c r="A10594" t="str">
        <f>"&lt;min&gt;" &amp;$G$10590&amp;"&lt;/min&gt;"</f>
        <v>&lt;min&gt;0&lt;/min&gt;</v>
      </c>
      <c r="B10594" t="s">
        <v>3007</v>
      </c>
    </row>
    <row r="10595" spans="1:8" x14ac:dyDescent="0.25">
      <c r="A10595" t="s">
        <v>16</v>
      </c>
      <c r="B10595" t="s">
        <v>3007</v>
      </c>
    </row>
    <row r="10596" spans="1:8" x14ac:dyDescent="0.25">
      <c r="A10596" t="s">
        <v>17</v>
      </c>
      <c r="B10596" t="s">
        <v>3007</v>
      </c>
    </row>
    <row r="10597" spans="1:8" x14ac:dyDescent="0.25">
      <c r="A10597" t="s">
        <v>18</v>
      </c>
      <c r="B10597" t="s">
        <v>3007</v>
      </c>
    </row>
    <row r="10598" spans="1:8" x14ac:dyDescent="0.25">
      <c r="A10598" t="str">
        <f xml:space="preserve"> $H$10590</f>
        <v>&lt;flags count_in_cargo="0" count_in_hoarder="0" count_in_map="1" count_in_player="0" crafted="1" deloot="0"/&gt;</v>
      </c>
      <c r="B10598" t="s">
        <v>3007</v>
      </c>
    </row>
    <row r="10599" spans="1:8" x14ac:dyDescent="0.25">
      <c r="A10599" t="str">
        <f>"&lt;category name=" &amp;"""" &amp;$C$10590&amp;"""/&gt;"</f>
        <v>&lt;category name="food"/&gt;</v>
      </c>
      <c r="B10599" t="s">
        <v>3007</v>
      </c>
    </row>
    <row r="10600" spans="1:8" x14ac:dyDescent="0.25">
      <c r="A10600" t="s">
        <v>22</v>
      </c>
      <c r="B10600" t="s">
        <v>3007</v>
      </c>
    </row>
    <row r="10601" spans="1:8" x14ac:dyDescent="0.25">
      <c r="A10601" t="s">
        <v>2212</v>
      </c>
      <c r="B10601" t="s">
        <v>951</v>
      </c>
      <c r="C10601" t="s">
        <v>403</v>
      </c>
      <c r="D10601">
        <v>10</v>
      </c>
      <c r="E10601">
        <v>1800</v>
      </c>
      <c r="F10601">
        <v>0</v>
      </c>
      <c r="G10601">
        <v>5</v>
      </c>
      <c r="H10601" t="s">
        <v>19</v>
      </c>
    </row>
    <row r="10602" spans="1:8" x14ac:dyDescent="0.25">
      <c r="A10602" t="str">
        <f>"&lt;nominal&gt;" &amp;$D$10601&amp;"&lt;/nominal&gt;"</f>
        <v>&lt;nominal&gt;10&lt;/nominal&gt;</v>
      </c>
      <c r="B10602" t="s">
        <v>951</v>
      </c>
    </row>
    <row r="10603" spans="1:8" x14ac:dyDescent="0.25">
      <c r="A10603" t="str">
        <f>"&lt;lifetime&gt;" &amp;$E$10601&amp;"&lt;/lifetime&gt;"</f>
        <v>&lt;lifetime&gt;1800&lt;/lifetime&gt;</v>
      </c>
      <c r="B10603" t="s">
        <v>951</v>
      </c>
    </row>
    <row r="10604" spans="1:8" x14ac:dyDescent="0.25">
      <c r="A10604" t="str">
        <f>"&lt;restock&gt;" &amp;$F$10601&amp;"&lt;/restock&gt;"</f>
        <v>&lt;restock&gt;0&lt;/restock&gt;</v>
      </c>
      <c r="B10604" t="s">
        <v>951</v>
      </c>
    </row>
    <row r="10605" spans="1:8" x14ac:dyDescent="0.25">
      <c r="A10605" t="str">
        <f>"&lt;min&gt;" &amp;$G$10601&amp;"&lt;/min&gt;"</f>
        <v>&lt;min&gt;5&lt;/min&gt;</v>
      </c>
      <c r="B10605" t="s">
        <v>951</v>
      </c>
    </row>
    <row r="10606" spans="1:8" x14ac:dyDescent="0.25">
      <c r="A10606" t="s">
        <v>16</v>
      </c>
      <c r="B10606" t="s">
        <v>951</v>
      </c>
    </row>
    <row r="10607" spans="1:8" x14ac:dyDescent="0.25">
      <c r="A10607" t="s">
        <v>17</v>
      </c>
      <c r="B10607" t="s">
        <v>951</v>
      </c>
    </row>
    <row r="10608" spans="1:8" x14ac:dyDescent="0.25">
      <c r="A10608" t="s">
        <v>18</v>
      </c>
      <c r="B10608" t="s">
        <v>951</v>
      </c>
    </row>
    <row r="10609" spans="1:8" x14ac:dyDescent="0.25">
      <c r="A10609" t="str">
        <f xml:space="preserve"> $H$10601</f>
        <v>&lt;flags count_in_cargo="0" count_in_hoarder="0" count_in_map="1" count_in_player="0" crafted="0" deloot="0"/&gt;</v>
      </c>
      <c r="B10609" t="s">
        <v>951</v>
      </c>
    </row>
    <row r="10610" spans="1:8" x14ac:dyDescent="0.25">
      <c r="A10610" t="str">
        <f>"&lt;category name=" &amp;"""" &amp;$C$10601&amp;"""/&gt;"</f>
        <v>&lt;category name="clothes"/&gt;</v>
      </c>
      <c r="B10610" t="s">
        <v>951</v>
      </c>
    </row>
    <row r="10611" spans="1:8" x14ac:dyDescent="0.25">
      <c r="A10611" t="s">
        <v>20</v>
      </c>
      <c r="B10611" t="s">
        <v>951</v>
      </c>
    </row>
    <row r="10612" spans="1:8" x14ac:dyDescent="0.25">
      <c r="A10612" t="s">
        <v>173</v>
      </c>
      <c r="B10612" t="s">
        <v>951</v>
      </c>
    </row>
    <row r="10613" spans="1:8" x14ac:dyDescent="0.25">
      <c r="A10613" t="s">
        <v>22</v>
      </c>
      <c r="B10613" t="s">
        <v>951</v>
      </c>
    </row>
    <row r="10614" spans="1:8" x14ac:dyDescent="0.25">
      <c r="A10614" t="s">
        <v>2213</v>
      </c>
      <c r="B10614" t="s">
        <v>952</v>
      </c>
      <c r="C10614" t="s">
        <v>403</v>
      </c>
      <c r="D10614">
        <v>20</v>
      </c>
      <c r="E10614">
        <v>3600</v>
      </c>
      <c r="F10614">
        <v>0</v>
      </c>
      <c r="G10614">
        <v>10</v>
      </c>
      <c r="H10614" t="s">
        <v>19</v>
      </c>
    </row>
    <row r="10615" spans="1:8" x14ac:dyDescent="0.25">
      <c r="A10615" t="str">
        <f>"&lt;nominal&gt;" &amp;$D$10614&amp;"&lt;/nominal&gt;"</f>
        <v>&lt;nominal&gt;20&lt;/nominal&gt;</v>
      </c>
      <c r="B10615" t="s">
        <v>952</v>
      </c>
    </row>
    <row r="10616" spans="1:8" x14ac:dyDescent="0.25">
      <c r="A10616" t="str">
        <f>"&lt;lifetime&gt;" &amp;$E$10614&amp;"&lt;/lifetime&gt;"</f>
        <v>&lt;lifetime&gt;3600&lt;/lifetime&gt;</v>
      </c>
      <c r="B10616" t="s">
        <v>952</v>
      </c>
    </row>
    <row r="10617" spans="1:8" x14ac:dyDescent="0.25">
      <c r="A10617" t="str">
        <f>"&lt;restock&gt;" &amp;$F$10614&amp;"&lt;/restock&gt;"</f>
        <v>&lt;restock&gt;0&lt;/restock&gt;</v>
      </c>
      <c r="B10617" t="s">
        <v>952</v>
      </c>
    </row>
    <row r="10618" spans="1:8" x14ac:dyDescent="0.25">
      <c r="A10618" t="str">
        <f>"&lt;min&gt;" &amp;$G$10614&amp;"&lt;/min&gt;"</f>
        <v>&lt;min&gt;10&lt;/min&gt;</v>
      </c>
      <c r="B10618" t="s">
        <v>952</v>
      </c>
    </row>
    <row r="10619" spans="1:8" x14ac:dyDescent="0.25">
      <c r="A10619" t="s">
        <v>16</v>
      </c>
      <c r="B10619" t="s">
        <v>952</v>
      </c>
    </row>
    <row r="10620" spans="1:8" x14ac:dyDescent="0.25">
      <c r="A10620" t="s">
        <v>17</v>
      </c>
      <c r="B10620" t="s">
        <v>952</v>
      </c>
    </row>
    <row r="10621" spans="1:8" x14ac:dyDescent="0.25">
      <c r="A10621" t="s">
        <v>18</v>
      </c>
      <c r="B10621" t="s">
        <v>952</v>
      </c>
    </row>
    <row r="10622" spans="1:8" x14ac:dyDescent="0.25">
      <c r="A10622" t="str">
        <f xml:space="preserve"> $H$10614</f>
        <v>&lt;flags count_in_cargo="0" count_in_hoarder="0" count_in_map="1" count_in_player="0" crafted="0" deloot="0"/&gt;</v>
      </c>
      <c r="B10622" t="s">
        <v>952</v>
      </c>
    </row>
    <row r="10623" spans="1:8" x14ac:dyDescent="0.25">
      <c r="A10623" t="str">
        <f>"&lt;category name=" &amp;"""" &amp;$C$10614&amp;"""/&gt;"</f>
        <v>&lt;category name="clothes"/&gt;</v>
      </c>
      <c r="B10623" t="s">
        <v>952</v>
      </c>
    </row>
    <row r="10624" spans="1:8" x14ac:dyDescent="0.25">
      <c r="A10624" t="s">
        <v>173</v>
      </c>
      <c r="B10624" t="s">
        <v>952</v>
      </c>
    </row>
    <row r="10625" spans="1:8" x14ac:dyDescent="0.25">
      <c r="A10625" t="s">
        <v>22</v>
      </c>
      <c r="B10625" t="s">
        <v>952</v>
      </c>
    </row>
    <row r="10626" spans="1:8" x14ac:dyDescent="0.25">
      <c r="A10626" t="s">
        <v>2214</v>
      </c>
      <c r="B10626" t="s">
        <v>953</v>
      </c>
      <c r="C10626" t="s">
        <v>403</v>
      </c>
      <c r="D10626">
        <v>15</v>
      </c>
      <c r="E10626">
        <v>3600</v>
      </c>
      <c r="F10626">
        <v>0</v>
      </c>
      <c r="G10626">
        <v>5</v>
      </c>
      <c r="H10626" t="s">
        <v>19</v>
      </c>
    </row>
    <row r="10627" spans="1:8" x14ac:dyDescent="0.25">
      <c r="A10627" t="str">
        <f>"&lt;nominal&gt;" &amp;$D$10626&amp;"&lt;/nominal&gt;"</f>
        <v>&lt;nominal&gt;15&lt;/nominal&gt;</v>
      </c>
      <c r="B10627" t="s">
        <v>953</v>
      </c>
    </row>
    <row r="10628" spans="1:8" x14ac:dyDescent="0.25">
      <c r="A10628" t="str">
        <f>"&lt;lifetime&gt;" &amp;$E$10626&amp;"&lt;/lifetime&gt;"</f>
        <v>&lt;lifetime&gt;3600&lt;/lifetime&gt;</v>
      </c>
      <c r="B10628" t="s">
        <v>953</v>
      </c>
    </row>
    <row r="10629" spans="1:8" x14ac:dyDescent="0.25">
      <c r="A10629" t="str">
        <f>"&lt;restock&gt;" &amp;$F$10626&amp;"&lt;/restock&gt;"</f>
        <v>&lt;restock&gt;0&lt;/restock&gt;</v>
      </c>
      <c r="B10629" t="s">
        <v>953</v>
      </c>
    </row>
    <row r="10630" spans="1:8" x14ac:dyDescent="0.25">
      <c r="A10630" t="str">
        <f>"&lt;min&gt;" &amp;$G$10626&amp;"&lt;/min&gt;"</f>
        <v>&lt;min&gt;5&lt;/min&gt;</v>
      </c>
      <c r="B10630" t="s">
        <v>953</v>
      </c>
    </row>
    <row r="10631" spans="1:8" x14ac:dyDescent="0.25">
      <c r="A10631" t="s">
        <v>16</v>
      </c>
      <c r="B10631" t="s">
        <v>953</v>
      </c>
    </row>
    <row r="10632" spans="1:8" x14ac:dyDescent="0.25">
      <c r="A10632" t="s">
        <v>17</v>
      </c>
      <c r="B10632" t="s">
        <v>953</v>
      </c>
    </row>
    <row r="10633" spans="1:8" x14ac:dyDescent="0.25">
      <c r="A10633" t="s">
        <v>18</v>
      </c>
      <c r="B10633" t="s">
        <v>953</v>
      </c>
    </row>
    <row r="10634" spans="1:8" x14ac:dyDescent="0.25">
      <c r="A10634" t="str">
        <f xml:space="preserve"> $H$10626</f>
        <v>&lt;flags count_in_cargo="0" count_in_hoarder="0" count_in_map="1" count_in_player="0" crafted="0" deloot="0"/&gt;</v>
      </c>
      <c r="B10634" t="s">
        <v>953</v>
      </c>
    </row>
    <row r="10635" spans="1:8" x14ac:dyDescent="0.25">
      <c r="A10635" t="str">
        <f>"&lt;category name=" &amp;"""" &amp;$C$10626&amp;"""/&gt;"</f>
        <v>&lt;category name="clothes"/&gt;</v>
      </c>
      <c r="B10635" t="s">
        <v>953</v>
      </c>
    </row>
    <row r="10636" spans="1:8" x14ac:dyDescent="0.25">
      <c r="A10636" t="s">
        <v>173</v>
      </c>
      <c r="B10636" t="s">
        <v>953</v>
      </c>
    </row>
    <row r="10637" spans="1:8" x14ac:dyDescent="0.25">
      <c r="A10637" t="s">
        <v>22</v>
      </c>
      <c r="B10637" t="s">
        <v>953</v>
      </c>
    </row>
    <row r="10638" spans="1:8" x14ac:dyDescent="0.25">
      <c r="A10638" t="s">
        <v>2215</v>
      </c>
      <c r="B10638" t="s">
        <v>954</v>
      </c>
      <c r="C10638" t="s">
        <v>403</v>
      </c>
      <c r="D10638">
        <v>20</v>
      </c>
      <c r="E10638">
        <v>3600</v>
      </c>
      <c r="F10638">
        <v>0</v>
      </c>
      <c r="G10638">
        <v>10</v>
      </c>
      <c r="H10638" t="s">
        <v>19</v>
      </c>
    </row>
    <row r="10639" spans="1:8" x14ac:dyDescent="0.25">
      <c r="A10639" t="str">
        <f>"&lt;nominal&gt;" &amp;$D$10638&amp;"&lt;/nominal&gt;"</f>
        <v>&lt;nominal&gt;20&lt;/nominal&gt;</v>
      </c>
      <c r="B10639" t="s">
        <v>954</v>
      </c>
    </row>
    <row r="10640" spans="1:8" x14ac:dyDescent="0.25">
      <c r="A10640" t="str">
        <f>"&lt;lifetime&gt;" &amp;$E$10638&amp;"&lt;/lifetime&gt;"</f>
        <v>&lt;lifetime&gt;3600&lt;/lifetime&gt;</v>
      </c>
      <c r="B10640" t="s">
        <v>954</v>
      </c>
    </row>
    <row r="10641" spans="1:8" x14ac:dyDescent="0.25">
      <c r="A10641" t="str">
        <f>"&lt;restock&gt;" &amp;$F$10638&amp;"&lt;/restock&gt;"</f>
        <v>&lt;restock&gt;0&lt;/restock&gt;</v>
      </c>
      <c r="B10641" t="s">
        <v>954</v>
      </c>
    </row>
    <row r="10642" spans="1:8" x14ac:dyDescent="0.25">
      <c r="A10642" t="str">
        <f>"&lt;min&gt;" &amp;$G$10638&amp;"&lt;/min&gt;"</f>
        <v>&lt;min&gt;10&lt;/min&gt;</v>
      </c>
      <c r="B10642" t="s">
        <v>954</v>
      </c>
    </row>
    <row r="10643" spans="1:8" x14ac:dyDescent="0.25">
      <c r="A10643" t="s">
        <v>16</v>
      </c>
      <c r="B10643" t="s">
        <v>954</v>
      </c>
    </row>
    <row r="10644" spans="1:8" x14ac:dyDescent="0.25">
      <c r="A10644" t="s">
        <v>17</v>
      </c>
      <c r="B10644" t="s">
        <v>954</v>
      </c>
    </row>
    <row r="10645" spans="1:8" x14ac:dyDescent="0.25">
      <c r="A10645" t="s">
        <v>18</v>
      </c>
      <c r="B10645" t="s">
        <v>954</v>
      </c>
    </row>
    <row r="10646" spans="1:8" x14ac:dyDescent="0.25">
      <c r="A10646" t="str">
        <f xml:space="preserve"> $H$10638</f>
        <v>&lt;flags count_in_cargo="0" count_in_hoarder="0" count_in_map="1" count_in_player="0" crafted="0" deloot="0"/&gt;</v>
      </c>
      <c r="B10646" t="s">
        <v>954</v>
      </c>
    </row>
    <row r="10647" spans="1:8" x14ac:dyDescent="0.25">
      <c r="A10647" t="str">
        <f>"&lt;category name=" &amp;"""" &amp;$C$10638&amp;"""/&gt;"</f>
        <v>&lt;category name="clothes"/&gt;</v>
      </c>
      <c r="B10647" t="s">
        <v>954</v>
      </c>
    </row>
    <row r="10648" spans="1:8" x14ac:dyDescent="0.25">
      <c r="A10648" t="s">
        <v>173</v>
      </c>
      <c r="B10648" t="s">
        <v>954</v>
      </c>
    </row>
    <row r="10649" spans="1:8" x14ac:dyDescent="0.25">
      <c r="A10649" t="s">
        <v>22</v>
      </c>
      <c r="B10649" t="s">
        <v>954</v>
      </c>
    </row>
    <row r="10650" spans="1:8" x14ac:dyDescent="0.25">
      <c r="A10650" t="s">
        <v>2216</v>
      </c>
      <c r="B10650" t="s">
        <v>955</v>
      </c>
      <c r="C10650" t="s">
        <v>403</v>
      </c>
      <c r="D10650">
        <v>15</v>
      </c>
      <c r="E10650">
        <v>3600</v>
      </c>
      <c r="F10650">
        <v>0</v>
      </c>
      <c r="G10650">
        <v>5</v>
      </c>
      <c r="H10650" t="s">
        <v>19</v>
      </c>
    </row>
    <row r="10651" spans="1:8" x14ac:dyDescent="0.25">
      <c r="A10651" t="str">
        <f>"&lt;nominal&gt;" &amp;$D$10650&amp;"&lt;/nominal&gt;"</f>
        <v>&lt;nominal&gt;15&lt;/nominal&gt;</v>
      </c>
      <c r="B10651" t="s">
        <v>955</v>
      </c>
    </row>
    <row r="10652" spans="1:8" x14ac:dyDescent="0.25">
      <c r="A10652" t="str">
        <f>"&lt;lifetime&gt;" &amp;$E$10650&amp;"&lt;/lifetime&gt;"</f>
        <v>&lt;lifetime&gt;3600&lt;/lifetime&gt;</v>
      </c>
      <c r="B10652" t="s">
        <v>955</v>
      </c>
    </row>
    <row r="10653" spans="1:8" x14ac:dyDescent="0.25">
      <c r="A10653" t="str">
        <f>"&lt;restock&gt;" &amp;$F$10650&amp;"&lt;/restock&gt;"</f>
        <v>&lt;restock&gt;0&lt;/restock&gt;</v>
      </c>
      <c r="B10653" t="s">
        <v>955</v>
      </c>
    </row>
    <row r="10654" spans="1:8" x14ac:dyDescent="0.25">
      <c r="A10654" t="str">
        <f>"&lt;min&gt;" &amp;$G$10650&amp;"&lt;/min&gt;"</f>
        <v>&lt;min&gt;5&lt;/min&gt;</v>
      </c>
      <c r="B10654" t="s">
        <v>955</v>
      </c>
    </row>
    <row r="10655" spans="1:8" x14ac:dyDescent="0.25">
      <c r="A10655" t="s">
        <v>16</v>
      </c>
      <c r="B10655" t="s">
        <v>955</v>
      </c>
    </row>
    <row r="10656" spans="1:8" x14ac:dyDescent="0.25">
      <c r="A10656" t="s">
        <v>17</v>
      </c>
      <c r="B10656" t="s">
        <v>955</v>
      </c>
    </row>
    <row r="10657" spans="1:8" x14ac:dyDescent="0.25">
      <c r="A10657" t="s">
        <v>18</v>
      </c>
      <c r="B10657" t="s">
        <v>955</v>
      </c>
    </row>
    <row r="10658" spans="1:8" x14ac:dyDescent="0.25">
      <c r="A10658" t="str">
        <f xml:space="preserve"> $H$10650</f>
        <v>&lt;flags count_in_cargo="0" count_in_hoarder="0" count_in_map="1" count_in_player="0" crafted="0" deloot="0"/&gt;</v>
      </c>
      <c r="B10658" t="s">
        <v>955</v>
      </c>
    </row>
    <row r="10659" spans="1:8" x14ac:dyDescent="0.25">
      <c r="A10659" t="str">
        <f>"&lt;category name=" &amp;"""" &amp;$C$10650&amp;"""/&gt;"</f>
        <v>&lt;category name="clothes"/&gt;</v>
      </c>
      <c r="B10659" t="s">
        <v>955</v>
      </c>
    </row>
    <row r="10660" spans="1:8" x14ac:dyDescent="0.25">
      <c r="A10660" t="s">
        <v>173</v>
      </c>
      <c r="B10660" t="s">
        <v>955</v>
      </c>
    </row>
    <row r="10661" spans="1:8" x14ac:dyDescent="0.25">
      <c r="A10661" t="s">
        <v>22</v>
      </c>
      <c r="B10661" t="s">
        <v>955</v>
      </c>
    </row>
    <row r="10662" spans="1:8" x14ac:dyDescent="0.25">
      <c r="A10662" t="s">
        <v>2217</v>
      </c>
      <c r="B10662" t="s">
        <v>956</v>
      </c>
      <c r="C10662" t="s">
        <v>403</v>
      </c>
      <c r="D10662">
        <v>20</v>
      </c>
      <c r="E10662">
        <v>5600</v>
      </c>
      <c r="F10662">
        <v>0</v>
      </c>
      <c r="G10662">
        <v>10</v>
      </c>
      <c r="H10662" t="s">
        <v>19</v>
      </c>
    </row>
    <row r="10663" spans="1:8" x14ac:dyDescent="0.25">
      <c r="A10663" t="str">
        <f>"&lt;nominal&gt;" &amp;$D$10662&amp;"&lt;/nominal&gt;"</f>
        <v>&lt;nominal&gt;20&lt;/nominal&gt;</v>
      </c>
      <c r="B10663" t="s">
        <v>956</v>
      </c>
    </row>
    <row r="10664" spans="1:8" x14ac:dyDescent="0.25">
      <c r="A10664" t="str">
        <f>"&lt;lifetime&gt;" &amp;$E$10662&amp;"&lt;/lifetime&gt;"</f>
        <v>&lt;lifetime&gt;5600&lt;/lifetime&gt;</v>
      </c>
      <c r="B10664" t="s">
        <v>956</v>
      </c>
    </row>
    <row r="10665" spans="1:8" x14ac:dyDescent="0.25">
      <c r="A10665" t="str">
        <f>"&lt;restock&gt;" &amp;$F$10662&amp;"&lt;/restock&gt;"</f>
        <v>&lt;restock&gt;0&lt;/restock&gt;</v>
      </c>
      <c r="B10665" t="s">
        <v>956</v>
      </c>
    </row>
    <row r="10666" spans="1:8" x14ac:dyDescent="0.25">
      <c r="A10666" t="str">
        <f>"&lt;min&gt;" &amp;$G$10662&amp;"&lt;/min&gt;"</f>
        <v>&lt;min&gt;10&lt;/min&gt;</v>
      </c>
      <c r="B10666" t="s">
        <v>956</v>
      </c>
    </row>
    <row r="10667" spans="1:8" x14ac:dyDescent="0.25">
      <c r="A10667" t="s">
        <v>16</v>
      </c>
      <c r="B10667" t="s">
        <v>956</v>
      </c>
    </row>
    <row r="10668" spans="1:8" x14ac:dyDescent="0.25">
      <c r="A10668" t="s">
        <v>17</v>
      </c>
      <c r="B10668" t="s">
        <v>956</v>
      </c>
    </row>
    <row r="10669" spans="1:8" x14ac:dyDescent="0.25">
      <c r="A10669" t="s">
        <v>18</v>
      </c>
      <c r="B10669" t="s">
        <v>956</v>
      </c>
    </row>
    <row r="10670" spans="1:8" x14ac:dyDescent="0.25">
      <c r="A10670" t="str">
        <f xml:space="preserve"> $H$10662</f>
        <v>&lt;flags count_in_cargo="0" count_in_hoarder="0" count_in_map="1" count_in_player="0" crafted="0" deloot="0"/&gt;</v>
      </c>
      <c r="B10670" t="s">
        <v>956</v>
      </c>
    </row>
    <row r="10671" spans="1:8" x14ac:dyDescent="0.25">
      <c r="A10671" t="str">
        <f>"&lt;category name=" &amp;"""" &amp;$C$10662&amp;"""/&gt;"</f>
        <v>&lt;category name="clothes"/&gt;</v>
      </c>
      <c r="B10671" t="s">
        <v>956</v>
      </c>
    </row>
    <row r="10672" spans="1:8" x14ac:dyDescent="0.25">
      <c r="A10672" t="s">
        <v>173</v>
      </c>
      <c r="B10672" t="s">
        <v>956</v>
      </c>
    </row>
    <row r="10673" spans="1:8" x14ac:dyDescent="0.25">
      <c r="A10673" t="s">
        <v>22</v>
      </c>
      <c r="B10673" t="s">
        <v>956</v>
      </c>
    </row>
    <row r="10674" spans="1:8" x14ac:dyDescent="0.25">
      <c r="A10674" t="s">
        <v>2218</v>
      </c>
      <c r="B10674" t="s">
        <v>957</v>
      </c>
      <c r="C10674" t="s">
        <v>426</v>
      </c>
      <c r="D10674">
        <v>40</v>
      </c>
      <c r="E10674">
        <v>7200</v>
      </c>
      <c r="F10674">
        <v>0</v>
      </c>
      <c r="G10674">
        <v>30</v>
      </c>
      <c r="H10674" t="s">
        <v>19</v>
      </c>
    </row>
    <row r="10675" spans="1:8" x14ac:dyDescent="0.25">
      <c r="A10675" t="str">
        <f>"&lt;nominal&gt;" &amp;$D$10674&amp;"&lt;/nominal&gt;"</f>
        <v>&lt;nominal&gt;40&lt;/nominal&gt;</v>
      </c>
      <c r="B10675" t="s">
        <v>957</v>
      </c>
    </row>
    <row r="10676" spans="1:8" x14ac:dyDescent="0.25">
      <c r="A10676" t="str">
        <f>"&lt;lifetime&gt;" &amp;$E$10674&amp;"&lt;/lifetime&gt;"</f>
        <v>&lt;lifetime&gt;7200&lt;/lifetime&gt;</v>
      </c>
      <c r="B10676" t="s">
        <v>957</v>
      </c>
    </row>
    <row r="10677" spans="1:8" x14ac:dyDescent="0.25">
      <c r="A10677" t="str">
        <f>"&lt;restock&gt;" &amp;$F$10674&amp;"&lt;/restock&gt;"</f>
        <v>&lt;restock&gt;0&lt;/restock&gt;</v>
      </c>
      <c r="B10677" t="s">
        <v>957</v>
      </c>
    </row>
    <row r="10678" spans="1:8" x14ac:dyDescent="0.25">
      <c r="A10678" t="str">
        <f>"&lt;min&gt;" &amp;$G$10674&amp;"&lt;/min&gt;"</f>
        <v>&lt;min&gt;30&lt;/min&gt;</v>
      </c>
      <c r="B10678" t="s">
        <v>957</v>
      </c>
    </row>
    <row r="10679" spans="1:8" x14ac:dyDescent="0.25">
      <c r="A10679" t="s">
        <v>16</v>
      </c>
      <c r="B10679" t="s">
        <v>957</v>
      </c>
    </row>
    <row r="10680" spans="1:8" x14ac:dyDescent="0.25">
      <c r="A10680" t="s">
        <v>17</v>
      </c>
      <c r="B10680" t="s">
        <v>957</v>
      </c>
    </row>
    <row r="10681" spans="1:8" x14ac:dyDescent="0.25">
      <c r="A10681" t="s">
        <v>18</v>
      </c>
      <c r="B10681" t="s">
        <v>957</v>
      </c>
    </row>
    <row r="10682" spans="1:8" x14ac:dyDescent="0.25">
      <c r="A10682" t="str">
        <f xml:space="preserve"> $H$10674</f>
        <v>&lt;flags count_in_cargo="0" count_in_hoarder="0" count_in_map="1" count_in_player="0" crafted="0" deloot="0"/&gt;</v>
      </c>
      <c r="B10682" t="s">
        <v>957</v>
      </c>
    </row>
    <row r="10683" spans="1:8" x14ac:dyDescent="0.25">
      <c r="A10683" t="str">
        <f>"&lt;category name=" &amp;"""" &amp;$C$10674&amp;"""/&gt;"</f>
        <v>&lt;category name="tools"/&gt;</v>
      </c>
      <c r="B10683" t="s">
        <v>957</v>
      </c>
    </row>
    <row r="10684" spans="1:8" x14ac:dyDescent="0.25">
      <c r="A10684" t="s">
        <v>55</v>
      </c>
      <c r="B10684" t="s">
        <v>957</v>
      </c>
    </row>
    <row r="10685" spans="1:8" x14ac:dyDescent="0.25">
      <c r="A10685" t="s">
        <v>67</v>
      </c>
      <c r="B10685" t="s">
        <v>957</v>
      </c>
    </row>
    <row r="10686" spans="1:8" x14ac:dyDescent="0.25">
      <c r="A10686" t="s">
        <v>22</v>
      </c>
      <c r="B10686" t="s">
        <v>957</v>
      </c>
    </row>
    <row r="10687" spans="1:8" x14ac:dyDescent="0.25">
      <c r="A10687" t="s">
        <v>2219</v>
      </c>
      <c r="B10687" t="s">
        <v>958</v>
      </c>
      <c r="C10687" t="s">
        <v>426</v>
      </c>
      <c r="D10687">
        <v>40</v>
      </c>
      <c r="E10687">
        <v>7200</v>
      </c>
      <c r="F10687">
        <v>0</v>
      </c>
      <c r="G10687">
        <v>30</v>
      </c>
      <c r="H10687" t="s">
        <v>19</v>
      </c>
    </row>
    <row r="10688" spans="1:8" x14ac:dyDescent="0.25">
      <c r="A10688" t="str">
        <f>"&lt;nominal&gt;" &amp;$D$10687&amp;"&lt;/nominal&gt;"</f>
        <v>&lt;nominal&gt;40&lt;/nominal&gt;</v>
      </c>
      <c r="B10688" t="s">
        <v>958</v>
      </c>
    </row>
    <row r="10689" spans="1:8" x14ac:dyDescent="0.25">
      <c r="A10689" t="str">
        <f>"&lt;lifetime&gt;" &amp;$E$10687&amp;"&lt;/lifetime&gt;"</f>
        <v>&lt;lifetime&gt;7200&lt;/lifetime&gt;</v>
      </c>
      <c r="B10689" t="s">
        <v>958</v>
      </c>
    </row>
    <row r="10690" spans="1:8" x14ac:dyDescent="0.25">
      <c r="A10690" t="str">
        <f>"&lt;restock&gt;" &amp;$F$10687&amp;"&lt;/restock&gt;"</f>
        <v>&lt;restock&gt;0&lt;/restock&gt;</v>
      </c>
      <c r="B10690" t="s">
        <v>958</v>
      </c>
    </row>
    <row r="10691" spans="1:8" x14ac:dyDescent="0.25">
      <c r="A10691" t="str">
        <f>"&lt;min&gt;" &amp;$G$10687&amp;"&lt;/min&gt;"</f>
        <v>&lt;min&gt;30&lt;/min&gt;</v>
      </c>
      <c r="B10691" t="s">
        <v>958</v>
      </c>
    </row>
    <row r="10692" spans="1:8" x14ac:dyDescent="0.25">
      <c r="A10692" t="s">
        <v>16</v>
      </c>
      <c r="B10692" t="s">
        <v>958</v>
      </c>
    </row>
    <row r="10693" spans="1:8" x14ac:dyDescent="0.25">
      <c r="A10693" t="s">
        <v>17</v>
      </c>
      <c r="B10693" t="s">
        <v>958</v>
      </c>
    </row>
    <row r="10694" spans="1:8" x14ac:dyDescent="0.25">
      <c r="A10694" t="s">
        <v>18</v>
      </c>
      <c r="B10694" t="s">
        <v>958</v>
      </c>
    </row>
    <row r="10695" spans="1:8" x14ac:dyDescent="0.25">
      <c r="A10695" t="str">
        <f xml:space="preserve"> $H$10687</f>
        <v>&lt;flags count_in_cargo="0" count_in_hoarder="0" count_in_map="1" count_in_player="0" crafted="0" deloot="0"/&gt;</v>
      </c>
      <c r="B10695" t="s">
        <v>958</v>
      </c>
    </row>
    <row r="10696" spans="1:8" x14ac:dyDescent="0.25">
      <c r="A10696" t="str">
        <f>"&lt;category name=" &amp;"""" &amp;$C$10687&amp;"""/&gt;"</f>
        <v>&lt;category name="tools"/&gt;</v>
      </c>
      <c r="B10696" t="s">
        <v>958</v>
      </c>
    </row>
    <row r="10697" spans="1:8" x14ac:dyDescent="0.25">
      <c r="A10697" t="s">
        <v>40</v>
      </c>
      <c r="B10697" t="s">
        <v>958</v>
      </c>
    </row>
    <row r="10698" spans="1:8" x14ac:dyDescent="0.25">
      <c r="A10698" t="s">
        <v>67</v>
      </c>
      <c r="B10698" t="s">
        <v>958</v>
      </c>
    </row>
    <row r="10699" spans="1:8" x14ac:dyDescent="0.25">
      <c r="A10699" t="s">
        <v>22</v>
      </c>
      <c r="B10699" t="s">
        <v>958</v>
      </c>
    </row>
    <row r="10700" spans="1:8" x14ac:dyDescent="0.25">
      <c r="A10700" t="s">
        <v>2220</v>
      </c>
      <c r="B10700" t="s">
        <v>959</v>
      </c>
      <c r="C10700" t="s">
        <v>426</v>
      </c>
      <c r="D10700">
        <v>80</v>
      </c>
      <c r="E10700">
        <v>7200</v>
      </c>
      <c r="F10700">
        <v>1800</v>
      </c>
      <c r="G10700">
        <v>60</v>
      </c>
      <c r="H10700" t="s">
        <v>19</v>
      </c>
    </row>
    <row r="10701" spans="1:8" x14ac:dyDescent="0.25">
      <c r="A10701" t="str">
        <f>"&lt;nominal&gt;" &amp;$D$10700&amp;"&lt;/nominal&gt;"</f>
        <v>&lt;nominal&gt;80&lt;/nominal&gt;</v>
      </c>
      <c r="B10701" t="s">
        <v>959</v>
      </c>
    </row>
    <row r="10702" spans="1:8" x14ac:dyDescent="0.25">
      <c r="A10702" t="str">
        <f>"&lt;lifetime&gt;" &amp;$E$10700&amp;"&lt;/lifetime&gt;"</f>
        <v>&lt;lifetime&gt;7200&lt;/lifetime&gt;</v>
      </c>
      <c r="B10702" t="s">
        <v>959</v>
      </c>
    </row>
    <row r="10703" spans="1:8" x14ac:dyDescent="0.25">
      <c r="A10703" t="str">
        <f>"&lt;restock&gt;" &amp;$F$10700&amp;"&lt;/restock&gt;"</f>
        <v>&lt;restock&gt;1800&lt;/restock&gt;</v>
      </c>
      <c r="B10703" t="s">
        <v>959</v>
      </c>
    </row>
    <row r="10704" spans="1:8" x14ac:dyDescent="0.25">
      <c r="A10704" t="str">
        <f>"&lt;min&gt;" &amp;$G$10700&amp;"&lt;/min&gt;"</f>
        <v>&lt;min&gt;60&lt;/min&gt;</v>
      </c>
      <c r="B10704" t="s">
        <v>959</v>
      </c>
    </row>
    <row r="10705" spans="1:8" x14ac:dyDescent="0.25">
      <c r="A10705" t="s">
        <v>16</v>
      </c>
      <c r="B10705" t="s">
        <v>959</v>
      </c>
    </row>
    <row r="10706" spans="1:8" x14ac:dyDescent="0.25">
      <c r="A10706" t="s">
        <v>17</v>
      </c>
      <c r="B10706" t="s">
        <v>959</v>
      </c>
    </row>
    <row r="10707" spans="1:8" x14ac:dyDescent="0.25">
      <c r="A10707" t="s">
        <v>18</v>
      </c>
      <c r="B10707" t="s">
        <v>959</v>
      </c>
    </row>
    <row r="10708" spans="1:8" x14ac:dyDescent="0.25">
      <c r="A10708" t="str">
        <f xml:space="preserve"> $H$10700</f>
        <v>&lt;flags count_in_cargo="0" count_in_hoarder="0" count_in_map="1" count_in_player="0" crafted="0" deloot="0"/&gt;</v>
      </c>
      <c r="B10708" t="s">
        <v>959</v>
      </c>
    </row>
    <row r="10709" spans="1:8" x14ac:dyDescent="0.25">
      <c r="A10709" t="str">
        <f>"&lt;category name=" &amp;"""" &amp;$C$10700&amp;"""/&gt;"</f>
        <v>&lt;category name="tools"/&gt;</v>
      </c>
      <c r="B10709" t="s">
        <v>959</v>
      </c>
    </row>
    <row r="10710" spans="1:8" x14ac:dyDescent="0.25">
      <c r="A10710" t="s">
        <v>20</v>
      </c>
      <c r="B10710" t="s">
        <v>959</v>
      </c>
    </row>
    <row r="10711" spans="1:8" x14ac:dyDescent="0.25">
      <c r="A10711" t="s">
        <v>39</v>
      </c>
      <c r="B10711" t="s">
        <v>959</v>
      </c>
    </row>
    <row r="10712" spans="1:8" x14ac:dyDescent="0.25">
      <c r="A10712" t="s">
        <v>40</v>
      </c>
      <c r="B10712" t="s">
        <v>959</v>
      </c>
    </row>
    <row r="10713" spans="1:8" x14ac:dyDescent="0.25">
      <c r="A10713" t="s">
        <v>22</v>
      </c>
      <c r="B10713" t="s">
        <v>959</v>
      </c>
    </row>
    <row r="10714" spans="1:8" x14ac:dyDescent="0.25">
      <c r="A10714" t="s">
        <v>2221</v>
      </c>
      <c r="B10714" t="s">
        <v>960</v>
      </c>
      <c r="C10714" t="s">
        <v>399</v>
      </c>
      <c r="D10714">
        <v>2</v>
      </c>
      <c r="E10714">
        <v>3600</v>
      </c>
      <c r="F10714">
        <v>0</v>
      </c>
      <c r="G10714">
        <v>1</v>
      </c>
      <c r="H10714" t="s">
        <v>19</v>
      </c>
    </row>
    <row r="10715" spans="1:8" x14ac:dyDescent="0.25">
      <c r="A10715" t="str">
        <f>"&lt;nominal&gt;" &amp;$D$10714&amp;"&lt;/nominal&gt;"</f>
        <v>&lt;nominal&gt;2&lt;/nominal&gt;</v>
      </c>
      <c r="B10715" t="s">
        <v>960</v>
      </c>
    </row>
    <row r="10716" spans="1:8" x14ac:dyDescent="0.25">
      <c r="A10716" t="str">
        <f>"&lt;lifetime&gt;" &amp;$E$10714&amp;"&lt;/lifetime&gt;"</f>
        <v>&lt;lifetime&gt;3600&lt;/lifetime&gt;</v>
      </c>
      <c r="B10716" t="s">
        <v>960</v>
      </c>
    </row>
    <row r="10717" spans="1:8" x14ac:dyDescent="0.25">
      <c r="A10717" t="str">
        <f>"&lt;restock&gt;" &amp;$F$10714&amp;"&lt;/restock&gt;"</f>
        <v>&lt;restock&gt;0&lt;/restock&gt;</v>
      </c>
      <c r="B10717" t="s">
        <v>960</v>
      </c>
    </row>
    <row r="10718" spans="1:8" x14ac:dyDescent="0.25">
      <c r="A10718" t="str">
        <f>"&lt;min&gt;" &amp;$G$10714&amp;"&lt;/min&gt;"</f>
        <v>&lt;min&gt;1&lt;/min&gt;</v>
      </c>
      <c r="B10718" t="s">
        <v>960</v>
      </c>
    </row>
    <row r="10719" spans="1:8" x14ac:dyDescent="0.25">
      <c r="A10719" t="s">
        <v>16</v>
      </c>
      <c r="B10719" t="s">
        <v>960</v>
      </c>
    </row>
    <row r="10720" spans="1:8" x14ac:dyDescent="0.25">
      <c r="A10720" t="s">
        <v>17</v>
      </c>
      <c r="B10720" t="s">
        <v>960</v>
      </c>
    </row>
    <row r="10721" spans="1:8" x14ac:dyDescent="0.25">
      <c r="A10721" t="s">
        <v>18</v>
      </c>
      <c r="B10721" t="s">
        <v>960</v>
      </c>
    </row>
    <row r="10722" spans="1:8" x14ac:dyDescent="0.25">
      <c r="A10722" t="str">
        <f xml:space="preserve"> $H$10714</f>
        <v>&lt;flags count_in_cargo="0" count_in_hoarder="0" count_in_map="1" count_in_player="0" crafted="0" deloot="0"/&gt;</v>
      </c>
      <c r="B10722" t="s">
        <v>960</v>
      </c>
    </row>
    <row r="10723" spans="1:8" x14ac:dyDescent="0.25">
      <c r="A10723" t="str">
        <f>"&lt;category name=" &amp;"""" &amp;$C$10714&amp;"""/&gt;"</f>
        <v>&lt;category name="food"/&gt;</v>
      </c>
      <c r="B10723" t="s">
        <v>960</v>
      </c>
    </row>
    <row r="10724" spans="1:8" x14ac:dyDescent="0.25">
      <c r="A10724" t="s">
        <v>20</v>
      </c>
      <c r="B10724" t="s">
        <v>960</v>
      </c>
    </row>
    <row r="10725" spans="1:8" x14ac:dyDescent="0.25">
      <c r="A10725" t="s">
        <v>56</v>
      </c>
      <c r="B10725" t="s">
        <v>960</v>
      </c>
    </row>
    <row r="10726" spans="1:8" x14ac:dyDescent="0.25">
      <c r="A10726" t="s">
        <v>40</v>
      </c>
      <c r="B10726" t="s">
        <v>960</v>
      </c>
    </row>
    <row r="10727" spans="1:8" x14ac:dyDescent="0.25">
      <c r="A10727" t="s">
        <v>22</v>
      </c>
      <c r="B10727" t="s">
        <v>960</v>
      </c>
    </row>
    <row r="10728" spans="1:8" x14ac:dyDescent="0.25">
      <c r="A10728" t="s">
        <v>2222</v>
      </c>
      <c r="B10728" t="s">
        <v>961</v>
      </c>
      <c r="C10728" t="s">
        <v>399</v>
      </c>
      <c r="D10728">
        <v>2</v>
      </c>
      <c r="E10728">
        <v>3600</v>
      </c>
      <c r="F10728">
        <v>0</v>
      </c>
      <c r="G10728">
        <v>1</v>
      </c>
      <c r="H10728" t="s">
        <v>19</v>
      </c>
    </row>
    <row r="10729" spans="1:8" x14ac:dyDescent="0.25">
      <c r="A10729" t="str">
        <f>"&lt;nominal&gt;" &amp;$D$10728&amp;"&lt;/nominal&gt;"</f>
        <v>&lt;nominal&gt;2&lt;/nominal&gt;</v>
      </c>
      <c r="B10729" t="s">
        <v>961</v>
      </c>
    </row>
    <row r="10730" spans="1:8" x14ac:dyDescent="0.25">
      <c r="A10730" t="str">
        <f>"&lt;lifetime&gt;" &amp;$E$10728&amp;"&lt;/lifetime&gt;"</f>
        <v>&lt;lifetime&gt;3600&lt;/lifetime&gt;</v>
      </c>
      <c r="B10730" t="s">
        <v>961</v>
      </c>
    </row>
    <row r="10731" spans="1:8" x14ac:dyDescent="0.25">
      <c r="A10731" t="str">
        <f>"&lt;restock&gt;" &amp;$F$10728&amp;"&lt;/restock&gt;"</f>
        <v>&lt;restock&gt;0&lt;/restock&gt;</v>
      </c>
      <c r="B10731" t="s">
        <v>961</v>
      </c>
    </row>
    <row r="10732" spans="1:8" x14ac:dyDescent="0.25">
      <c r="A10732" t="str">
        <f>"&lt;min&gt;" &amp;$G$10728&amp;"&lt;/min&gt;"</f>
        <v>&lt;min&gt;1&lt;/min&gt;</v>
      </c>
      <c r="B10732" t="s">
        <v>961</v>
      </c>
    </row>
    <row r="10733" spans="1:8" x14ac:dyDescent="0.25">
      <c r="A10733" t="s">
        <v>1457</v>
      </c>
      <c r="B10733" t="s">
        <v>961</v>
      </c>
    </row>
    <row r="10734" spans="1:8" x14ac:dyDescent="0.25">
      <c r="A10734" t="s">
        <v>321</v>
      </c>
      <c r="B10734" t="s">
        <v>961</v>
      </c>
    </row>
    <row r="10735" spans="1:8" x14ac:dyDescent="0.25">
      <c r="A10735" t="s">
        <v>18</v>
      </c>
      <c r="B10735" t="s">
        <v>961</v>
      </c>
    </row>
    <row r="10736" spans="1:8" x14ac:dyDescent="0.25">
      <c r="A10736" t="str">
        <f xml:space="preserve"> $H$10728</f>
        <v>&lt;flags count_in_cargo="0" count_in_hoarder="0" count_in_map="1" count_in_player="0" crafted="0" deloot="0"/&gt;</v>
      </c>
      <c r="B10736" t="s">
        <v>961</v>
      </c>
    </row>
    <row r="10737" spans="1:8" x14ac:dyDescent="0.25">
      <c r="A10737" t="str">
        <f>"&lt;category name=" &amp;"""" &amp;$C$10728&amp;"""/&gt;"</f>
        <v>&lt;category name="food"/&gt;</v>
      </c>
      <c r="B10737" t="s">
        <v>961</v>
      </c>
    </row>
    <row r="10738" spans="1:8" x14ac:dyDescent="0.25">
      <c r="A10738" t="s">
        <v>20</v>
      </c>
      <c r="B10738" t="s">
        <v>961</v>
      </c>
    </row>
    <row r="10739" spans="1:8" x14ac:dyDescent="0.25">
      <c r="A10739" t="s">
        <v>39</v>
      </c>
      <c r="B10739" t="s">
        <v>961</v>
      </c>
    </row>
    <row r="10740" spans="1:8" x14ac:dyDescent="0.25">
      <c r="A10740" t="s">
        <v>40</v>
      </c>
      <c r="B10740" t="s">
        <v>961</v>
      </c>
    </row>
    <row r="10741" spans="1:8" x14ac:dyDescent="0.25">
      <c r="A10741" t="s">
        <v>67</v>
      </c>
      <c r="B10741" t="s">
        <v>961</v>
      </c>
    </row>
    <row r="10742" spans="1:8" x14ac:dyDescent="0.25">
      <c r="A10742" t="s">
        <v>82</v>
      </c>
      <c r="B10742" t="s">
        <v>961</v>
      </c>
    </row>
    <row r="10743" spans="1:8" x14ac:dyDescent="0.25">
      <c r="A10743" t="s">
        <v>30</v>
      </c>
      <c r="B10743" t="s">
        <v>961</v>
      </c>
    </row>
    <row r="10744" spans="1:8" x14ac:dyDescent="0.25">
      <c r="A10744" t="s">
        <v>31</v>
      </c>
      <c r="B10744" t="s">
        <v>961</v>
      </c>
    </row>
    <row r="10745" spans="1:8" x14ac:dyDescent="0.25">
      <c r="A10745" t="s">
        <v>22</v>
      </c>
      <c r="B10745" t="s">
        <v>961</v>
      </c>
    </row>
    <row r="10746" spans="1:8" x14ac:dyDescent="0.25">
      <c r="A10746" t="s">
        <v>2223</v>
      </c>
      <c r="B10746" t="s">
        <v>962</v>
      </c>
      <c r="C10746" t="s">
        <v>426</v>
      </c>
      <c r="D10746">
        <v>80</v>
      </c>
      <c r="E10746">
        <v>604800</v>
      </c>
      <c r="F10746">
        <v>0</v>
      </c>
      <c r="G10746">
        <v>50</v>
      </c>
      <c r="H10746" t="s">
        <v>19</v>
      </c>
    </row>
    <row r="10747" spans="1:8" x14ac:dyDescent="0.25">
      <c r="A10747" t="str">
        <f>"&lt;nominal&gt;" &amp;$D$10746&amp;"&lt;/nominal&gt;"</f>
        <v>&lt;nominal&gt;80&lt;/nominal&gt;</v>
      </c>
      <c r="B10747" t="s">
        <v>962</v>
      </c>
    </row>
    <row r="10748" spans="1:8" x14ac:dyDescent="0.25">
      <c r="A10748" t="str">
        <f>"&lt;lifetime&gt;" &amp;$E$10746&amp;"&lt;/lifetime&gt;"</f>
        <v>&lt;lifetime&gt;604800&lt;/lifetime&gt;</v>
      </c>
      <c r="B10748" t="s">
        <v>962</v>
      </c>
    </row>
    <row r="10749" spans="1:8" x14ac:dyDescent="0.25">
      <c r="A10749" t="str">
        <f>"&lt;restock&gt;" &amp;$F$10746&amp;"&lt;/restock&gt;"</f>
        <v>&lt;restock&gt;0&lt;/restock&gt;</v>
      </c>
      <c r="B10749" t="s">
        <v>962</v>
      </c>
    </row>
    <row r="10750" spans="1:8" x14ac:dyDescent="0.25">
      <c r="A10750" t="str">
        <f>"&lt;min&gt;" &amp;$G$10746&amp;"&lt;/min&gt;"</f>
        <v>&lt;min&gt;50&lt;/min&gt;</v>
      </c>
      <c r="B10750" t="s">
        <v>962</v>
      </c>
    </row>
    <row r="10751" spans="1:8" x14ac:dyDescent="0.25">
      <c r="A10751" t="s">
        <v>16</v>
      </c>
      <c r="B10751" t="s">
        <v>962</v>
      </c>
    </row>
    <row r="10752" spans="1:8" x14ac:dyDescent="0.25">
      <c r="A10752" t="s">
        <v>17</v>
      </c>
      <c r="B10752" t="s">
        <v>962</v>
      </c>
    </row>
    <row r="10753" spans="1:8" x14ac:dyDescent="0.25">
      <c r="A10753" t="s">
        <v>18</v>
      </c>
      <c r="B10753" t="s">
        <v>962</v>
      </c>
    </row>
    <row r="10754" spans="1:8" x14ac:dyDescent="0.25">
      <c r="A10754" t="str">
        <f xml:space="preserve"> $H$10746</f>
        <v>&lt;flags count_in_cargo="0" count_in_hoarder="0" count_in_map="1" count_in_player="0" crafted="0" deloot="0"/&gt;</v>
      </c>
      <c r="B10754" t="s">
        <v>962</v>
      </c>
    </row>
    <row r="10755" spans="1:8" x14ac:dyDescent="0.25">
      <c r="A10755" t="str">
        <f>"&lt;category name=" &amp;"""" &amp;$C$10746&amp;"""/&gt;"</f>
        <v>&lt;category name="tools"/&gt;</v>
      </c>
      <c r="B10755" t="s">
        <v>962</v>
      </c>
    </row>
    <row r="10756" spans="1:8" x14ac:dyDescent="0.25">
      <c r="A10756" t="s">
        <v>55</v>
      </c>
      <c r="B10756" t="s">
        <v>962</v>
      </c>
    </row>
    <row r="10757" spans="1:8" x14ac:dyDescent="0.25">
      <c r="A10757" t="s">
        <v>22</v>
      </c>
      <c r="B10757" t="s">
        <v>962</v>
      </c>
    </row>
    <row r="10758" spans="1:8" x14ac:dyDescent="0.25">
      <c r="A10758" t="s">
        <v>2224</v>
      </c>
      <c r="B10758" t="s">
        <v>963</v>
      </c>
      <c r="C10758" t="s">
        <v>403</v>
      </c>
      <c r="D10758">
        <v>15</v>
      </c>
      <c r="E10758">
        <v>5600</v>
      </c>
      <c r="F10758">
        <v>0</v>
      </c>
      <c r="G10758">
        <v>5</v>
      </c>
      <c r="H10758" t="s">
        <v>19</v>
      </c>
    </row>
    <row r="10759" spans="1:8" x14ac:dyDescent="0.25">
      <c r="A10759" t="str">
        <f>"&lt;nominal&gt;" &amp;$D$10758&amp;"&lt;/nominal&gt;"</f>
        <v>&lt;nominal&gt;15&lt;/nominal&gt;</v>
      </c>
      <c r="B10759" t="s">
        <v>963</v>
      </c>
    </row>
    <row r="10760" spans="1:8" x14ac:dyDescent="0.25">
      <c r="A10760" t="str">
        <f>"&lt;lifetime&gt;" &amp;$E$10758&amp;"&lt;/lifetime&gt;"</f>
        <v>&lt;lifetime&gt;5600&lt;/lifetime&gt;</v>
      </c>
      <c r="B10760" t="s">
        <v>963</v>
      </c>
    </row>
    <row r="10761" spans="1:8" x14ac:dyDescent="0.25">
      <c r="A10761" t="str">
        <f>"&lt;restock&gt;" &amp;$F$10758&amp;"&lt;/restock&gt;"</f>
        <v>&lt;restock&gt;0&lt;/restock&gt;</v>
      </c>
      <c r="B10761" t="s">
        <v>963</v>
      </c>
    </row>
    <row r="10762" spans="1:8" x14ac:dyDescent="0.25">
      <c r="A10762" t="str">
        <f>"&lt;min&gt;" &amp;$G$10758&amp;"&lt;/min&gt;"</f>
        <v>&lt;min&gt;5&lt;/min&gt;</v>
      </c>
      <c r="B10762" t="s">
        <v>963</v>
      </c>
    </row>
    <row r="10763" spans="1:8" x14ac:dyDescent="0.25">
      <c r="A10763" t="s">
        <v>16</v>
      </c>
      <c r="B10763" t="s">
        <v>963</v>
      </c>
    </row>
    <row r="10764" spans="1:8" x14ac:dyDescent="0.25">
      <c r="A10764" t="s">
        <v>17</v>
      </c>
      <c r="B10764" t="s">
        <v>963</v>
      </c>
    </row>
    <row r="10765" spans="1:8" x14ac:dyDescent="0.25">
      <c r="A10765" t="s">
        <v>18</v>
      </c>
      <c r="B10765" t="s">
        <v>963</v>
      </c>
    </row>
    <row r="10766" spans="1:8" x14ac:dyDescent="0.25">
      <c r="A10766" t="str">
        <f xml:space="preserve"> $H$10758</f>
        <v>&lt;flags count_in_cargo="0" count_in_hoarder="0" count_in_map="1" count_in_player="0" crafted="0" deloot="0"/&gt;</v>
      </c>
      <c r="B10766" t="s">
        <v>963</v>
      </c>
    </row>
    <row r="10767" spans="1:8" x14ac:dyDescent="0.25">
      <c r="A10767" t="str">
        <f>"&lt;category name=" &amp;"""" &amp;$C$10758&amp;"""/&gt;"</f>
        <v>&lt;category name="clothes"/&gt;</v>
      </c>
      <c r="B10767" t="s">
        <v>963</v>
      </c>
    </row>
    <row r="10768" spans="1:8" x14ac:dyDescent="0.25">
      <c r="A10768" t="s">
        <v>173</v>
      </c>
      <c r="B10768" t="s">
        <v>963</v>
      </c>
    </row>
    <row r="10769" spans="1:8" x14ac:dyDescent="0.25">
      <c r="A10769" t="s">
        <v>39</v>
      </c>
      <c r="B10769" t="s">
        <v>963</v>
      </c>
    </row>
    <row r="10770" spans="1:8" x14ac:dyDescent="0.25">
      <c r="A10770" t="s">
        <v>31</v>
      </c>
      <c r="B10770" t="s">
        <v>963</v>
      </c>
    </row>
    <row r="10771" spans="1:8" x14ac:dyDescent="0.25">
      <c r="A10771" t="s">
        <v>307</v>
      </c>
      <c r="B10771" t="s">
        <v>963</v>
      </c>
    </row>
    <row r="10772" spans="1:8" x14ac:dyDescent="0.25">
      <c r="A10772" t="s">
        <v>22</v>
      </c>
      <c r="B10772" t="s">
        <v>963</v>
      </c>
    </row>
    <row r="10773" spans="1:8" x14ac:dyDescent="0.25">
      <c r="A10773" t="s">
        <v>2225</v>
      </c>
      <c r="B10773" t="s">
        <v>964</v>
      </c>
      <c r="C10773" t="s">
        <v>403</v>
      </c>
      <c r="D10773">
        <v>15</v>
      </c>
      <c r="E10773">
        <v>5600</v>
      </c>
      <c r="F10773">
        <v>0</v>
      </c>
      <c r="G10773">
        <v>5</v>
      </c>
      <c r="H10773" t="s">
        <v>19</v>
      </c>
    </row>
    <row r="10774" spans="1:8" x14ac:dyDescent="0.25">
      <c r="A10774" t="str">
        <f>"&lt;nominal&gt;" &amp;$D$10773&amp;"&lt;/nominal&gt;"</f>
        <v>&lt;nominal&gt;15&lt;/nominal&gt;</v>
      </c>
      <c r="B10774" t="s">
        <v>964</v>
      </c>
    </row>
    <row r="10775" spans="1:8" x14ac:dyDescent="0.25">
      <c r="A10775" t="str">
        <f>"&lt;lifetime&gt;" &amp;$E$10773&amp;"&lt;/lifetime&gt;"</f>
        <v>&lt;lifetime&gt;5600&lt;/lifetime&gt;</v>
      </c>
      <c r="B10775" t="s">
        <v>964</v>
      </c>
    </row>
    <row r="10776" spans="1:8" x14ac:dyDescent="0.25">
      <c r="A10776" t="str">
        <f>"&lt;restock&gt;" &amp;$F$10773&amp;"&lt;/restock&gt;"</f>
        <v>&lt;restock&gt;0&lt;/restock&gt;</v>
      </c>
      <c r="B10776" t="s">
        <v>964</v>
      </c>
    </row>
    <row r="10777" spans="1:8" x14ac:dyDescent="0.25">
      <c r="A10777" t="str">
        <f>"&lt;min&gt;" &amp;$G$10773&amp;"&lt;/min&gt;"</f>
        <v>&lt;min&gt;5&lt;/min&gt;</v>
      </c>
      <c r="B10777" t="s">
        <v>964</v>
      </c>
    </row>
    <row r="10778" spans="1:8" x14ac:dyDescent="0.25">
      <c r="A10778" t="s">
        <v>16</v>
      </c>
      <c r="B10778" t="s">
        <v>964</v>
      </c>
    </row>
    <row r="10779" spans="1:8" x14ac:dyDescent="0.25">
      <c r="A10779" t="s">
        <v>17</v>
      </c>
      <c r="B10779" t="s">
        <v>964</v>
      </c>
    </row>
    <row r="10780" spans="1:8" x14ac:dyDescent="0.25">
      <c r="A10780" t="s">
        <v>18</v>
      </c>
      <c r="B10780" t="s">
        <v>964</v>
      </c>
    </row>
    <row r="10781" spans="1:8" x14ac:dyDescent="0.25">
      <c r="A10781" t="str">
        <f xml:space="preserve"> $H$10773</f>
        <v>&lt;flags count_in_cargo="0" count_in_hoarder="0" count_in_map="1" count_in_player="0" crafted="0" deloot="0"/&gt;</v>
      </c>
      <c r="B10781" t="s">
        <v>964</v>
      </c>
    </row>
    <row r="10782" spans="1:8" x14ac:dyDescent="0.25">
      <c r="A10782" t="str">
        <f>"&lt;category name=" &amp;"""" &amp;$C$10773&amp;"""/&gt;"</f>
        <v>&lt;category name="clothes"/&gt;</v>
      </c>
      <c r="B10782" t="s">
        <v>964</v>
      </c>
    </row>
    <row r="10783" spans="1:8" x14ac:dyDescent="0.25">
      <c r="A10783" t="s">
        <v>173</v>
      </c>
      <c r="B10783" t="s">
        <v>964</v>
      </c>
    </row>
    <row r="10784" spans="1:8" x14ac:dyDescent="0.25">
      <c r="A10784" t="s">
        <v>39</v>
      </c>
      <c r="B10784" t="s">
        <v>964</v>
      </c>
    </row>
    <row r="10785" spans="1:8" x14ac:dyDescent="0.25">
      <c r="A10785" t="s">
        <v>31</v>
      </c>
      <c r="B10785" t="s">
        <v>964</v>
      </c>
    </row>
    <row r="10786" spans="1:8" x14ac:dyDescent="0.25">
      <c r="A10786" t="s">
        <v>307</v>
      </c>
      <c r="B10786" t="s">
        <v>964</v>
      </c>
    </row>
    <row r="10787" spans="1:8" x14ac:dyDescent="0.25">
      <c r="A10787" t="s">
        <v>22</v>
      </c>
      <c r="B10787" t="s">
        <v>964</v>
      </c>
    </row>
    <row r="10788" spans="1:8" x14ac:dyDescent="0.25">
      <c r="A10788" t="s">
        <v>2226</v>
      </c>
      <c r="B10788" t="s">
        <v>965</v>
      </c>
      <c r="C10788" t="s">
        <v>403</v>
      </c>
      <c r="D10788">
        <v>5</v>
      </c>
      <c r="E10788">
        <v>5600</v>
      </c>
      <c r="F10788">
        <v>0</v>
      </c>
      <c r="G10788">
        <v>3</v>
      </c>
      <c r="H10788" t="s">
        <v>19</v>
      </c>
    </row>
    <row r="10789" spans="1:8" x14ac:dyDescent="0.25">
      <c r="A10789" t="str">
        <f>"&lt;nominal&gt;" &amp;$D$10788&amp;"&lt;/nominal&gt;"</f>
        <v>&lt;nominal&gt;5&lt;/nominal&gt;</v>
      </c>
      <c r="B10789" t="s">
        <v>965</v>
      </c>
    </row>
    <row r="10790" spans="1:8" x14ac:dyDescent="0.25">
      <c r="A10790" t="str">
        <f>"&lt;lifetime&gt;" &amp;$E$10788&amp;"&lt;/lifetime&gt;"</f>
        <v>&lt;lifetime&gt;5600&lt;/lifetime&gt;</v>
      </c>
      <c r="B10790" t="s">
        <v>965</v>
      </c>
    </row>
    <row r="10791" spans="1:8" x14ac:dyDescent="0.25">
      <c r="A10791" t="str">
        <f>"&lt;restock&gt;" &amp;$F$10788&amp;"&lt;/restock&gt;"</f>
        <v>&lt;restock&gt;0&lt;/restock&gt;</v>
      </c>
      <c r="B10791" t="s">
        <v>965</v>
      </c>
    </row>
    <row r="10792" spans="1:8" x14ac:dyDescent="0.25">
      <c r="A10792" t="str">
        <f>"&lt;min&gt;" &amp;$G$10788&amp;"&lt;/min&gt;"</f>
        <v>&lt;min&gt;3&lt;/min&gt;</v>
      </c>
      <c r="B10792" t="s">
        <v>965</v>
      </c>
    </row>
    <row r="10793" spans="1:8" x14ac:dyDescent="0.25">
      <c r="A10793" t="s">
        <v>16</v>
      </c>
      <c r="B10793" t="s">
        <v>965</v>
      </c>
    </row>
    <row r="10794" spans="1:8" x14ac:dyDescent="0.25">
      <c r="A10794" t="s">
        <v>17</v>
      </c>
      <c r="B10794" t="s">
        <v>965</v>
      </c>
    </row>
    <row r="10795" spans="1:8" x14ac:dyDescent="0.25">
      <c r="A10795" t="s">
        <v>18</v>
      </c>
      <c r="B10795" t="s">
        <v>965</v>
      </c>
    </row>
    <row r="10796" spans="1:8" x14ac:dyDescent="0.25">
      <c r="A10796" t="str">
        <f xml:space="preserve"> $H$10788</f>
        <v>&lt;flags count_in_cargo="0" count_in_hoarder="0" count_in_map="1" count_in_player="0" crafted="0" deloot="0"/&gt;</v>
      </c>
      <c r="B10796" t="s">
        <v>965</v>
      </c>
    </row>
    <row r="10797" spans="1:8" x14ac:dyDescent="0.25">
      <c r="A10797" t="str">
        <f>"&lt;category name=" &amp;"""" &amp;$C$10788&amp;"""/&gt;"</f>
        <v>&lt;category name="clothes"/&gt;</v>
      </c>
      <c r="B10797" t="s">
        <v>965</v>
      </c>
    </row>
    <row r="10798" spans="1:8" x14ac:dyDescent="0.25">
      <c r="A10798" t="s">
        <v>1857</v>
      </c>
      <c r="B10798" t="s">
        <v>965</v>
      </c>
    </row>
    <row r="10799" spans="1:8" x14ac:dyDescent="0.25">
      <c r="A10799" t="s">
        <v>22</v>
      </c>
      <c r="B10799" t="s">
        <v>965</v>
      </c>
    </row>
    <row r="10800" spans="1:8" x14ac:dyDescent="0.25">
      <c r="A10800" t="s">
        <v>2227</v>
      </c>
      <c r="B10800" t="s">
        <v>966</v>
      </c>
      <c r="C10800" t="s">
        <v>403</v>
      </c>
      <c r="D10800">
        <v>5</v>
      </c>
      <c r="E10800">
        <v>5600</v>
      </c>
      <c r="F10800">
        <v>0</v>
      </c>
      <c r="G10800">
        <v>3</v>
      </c>
      <c r="H10800" t="s">
        <v>19</v>
      </c>
    </row>
    <row r="10801" spans="1:8" x14ac:dyDescent="0.25">
      <c r="A10801" t="str">
        <f>"&lt;nominal&gt;" &amp;$D$10800&amp;"&lt;/nominal&gt;"</f>
        <v>&lt;nominal&gt;5&lt;/nominal&gt;</v>
      </c>
      <c r="B10801" t="s">
        <v>966</v>
      </c>
    </row>
    <row r="10802" spans="1:8" x14ac:dyDescent="0.25">
      <c r="A10802" t="str">
        <f>"&lt;lifetime&gt;" &amp;$E$10800&amp;"&lt;/lifetime&gt;"</f>
        <v>&lt;lifetime&gt;5600&lt;/lifetime&gt;</v>
      </c>
      <c r="B10802" t="s">
        <v>966</v>
      </c>
    </row>
    <row r="10803" spans="1:8" x14ac:dyDescent="0.25">
      <c r="A10803" t="str">
        <f>"&lt;restock&gt;" &amp;$F$10800&amp;"&lt;/restock&gt;"</f>
        <v>&lt;restock&gt;0&lt;/restock&gt;</v>
      </c>
      <c r="B10803" t="s">
        <v>966</v>
      </c>
    </row>
    <row r="10804" spans="1:8" x14ac:dyDescent="0.25">
      <c r="A10804" t="str">
        <f>"&lt;min&gt;" &amp;$G$10800&amp;"&lt;/min&gt;"</f>
        <v>&lt;min&gt;3&lt;/min&gt;</v>
      </c>
      <c r="B10804" t="s">
        <v>966</v>
      </c>
    </row>
    <row r="10805" spans="1:8" x14ac:dyDescent="0.25">
      <c r="A10805" t="s">
        <v>16</v>
      </c>
      <c r="B10805" t="s">
        <v>966</v>
      </c>
    </row>
    <row r="10806" spans="1:8" x14ac:dyDescent="0.25">
      <c r="A10806" t="s">
        <v>17</v>
      </c>
      <c r="B10806" t="s">
        <v>966</v>
      </c>
    </row>
    <row r="10807" spans="1:8" x14ac:dyDescent="0.25">
      <c r="A10807" t="s">
        <v>18</v>
      </c>
      <c r="B10807" t="s">
        <v>966</v>
      </c>
    </row>
    <row r="10808" spans="1:8" x14ac:dyDescent="0.25">
      <c r="A10808" t="str">
        <f xml:space="preserve"> $H$10800</f>
        <v>&lt;flags count_in_cargo="0" count_in_hoarder="0" count_in_map="1" count_in_player="0" crafted="0" deloot="0"/&gt;</v>
      </c>
      <c r="B10808" t="s">
        <v>966</v>
      </c>
    </row>
    <row r="10809" spans="1:8" x14ac:dyDescent="0.25">
      <c r="A10809" t="str">
        <f>"&lt;category name=" &amp;"""" &amp;$C$10800&amp;"""/&gt;"</f>
        <v>&lt;category name="clothes"/&gt;</v>
      </c>
      <c r="B10809" t="s">
        <v>966</v>
      </c>
    </row>
    <row r="10810" spans="1:8" x14ac:dyDescent="0.25">
      <c r="A10810" t="s">
        <v>1857</v>
      </c>
      <c r="B10810" t="s">
        <v>966</v>
      </c>
    </row>
    <row r="10811" spans="1:8" x14ac:dyDescent="0.25">
      <c r="A10811" t="s">
        <v>22</v>
      </c>
      <c r="B10811" t="s">
        <v>966</v>
      </c>
    </row>
    <row r="10812" spans="1:8" x14ac:dyDescent="0.25">
      <c r="A10812" t="s">
        <v>2228</v>
      </c>
      <c r="B10812" t="s">
        <v>967</v>
      </c>
      <c r="C10812" t="s">
        <v>403</v>
      </c>
      <c r="D10812">
        <v>5</v>
      </c>
      <c r="E10812">
        <v>5600</v>
      </c>
      <c r="F10812">
        <v>0</v>
      </c>
      <c r="G10812">
        <v>3</v>
      </c>
      <c r="H10812" t="s">
        <v>19</v>
      </c>
    </row>
    <row r="10813" spans="1:8" x14ac:dyDescent="0.25">
      <c r="A10813" t="str">
        <f>"&lt;nominal&gt;" &amp;$D$10812&amp;"&lt;/nominal&gt;"</f>
        <v>&lt;nominal&gt;5&lt;/nominal&gt;</v>
      </c>
      <c r="B10813" t="s">
        <v>967</v>
      </c>
    </row>
    <row r="10814" spans="1:8" x14ac:dyDescent="0.25">
      <c r="A10814" t="str">
        <f>"&lt;lifetime&gt;" &amp;$E$10812&amp;"&lt;/lifetime&gt;"</f>
        <v>&lt;lifetime&gt;5600&lt;/lifetime&gt;</v>
      </c>
      <c r="B10814" t="s">
        <v>967</v>
      </c>
    </row>
    <row r="10815" spans="1:8" x14ac:dyDescent="0.25">
      <c r="A10815" t="str">
        <f>"&lt;restock&gt;" &amp;$F$10812&amp;"&lt;/restock&gt;"</f>
        <v>&lt;restock&gt;0&lt;/restock&gt;</v>
      </c>
      <c r="B10815" t="s">
        <v>967</v>
      </c>
    </row>
    <row r="10816" spans="1:8" x14ac:dyDescent="0.25">
      <c r="A10816" t="str">
        <f>"&lt;min&gt;" &amp;$G$10812&amp;"&lt;/min&gt;"</f>
        <v>&lt;min&gt;3&lt;/min&gt;</v>
      </c>
      <c r="B10816" t="s">
        <v>967</v>
      </c>
    </row>
    <row r="10817" spans="1:8" x14ac:dyDescent="0.25">
      <c r="A10817" t="s">
        <v>16</v>
      </c>
      <c r="B10817" t="s">
        <v>967</v>
      </c>
    </row>
    <row r="10818" spans="1:8" x14ac:dyDescent="0.25">
      <c r="A10818" t="s">
        <v>17</v>
      </c>
      <c r="B10818" t="s">
        <v>967</v>
      </c>
    </row>
    <row r="10819" spans="1:8" x14ac:dyDescent="0.25">
      <c r="A10819" t="s">
        <v>18</v>
      </c>
      <c r="B10819" t="s">
        <v>967</v>
      </c>
    </row>
    <row r="10820" spans="1:8" x14ac:dyDescent="0.25">
      <c r="A10820" t="str">
        <f xml:space="preserve"> $H$10812</f>
        <v>&lt;flags count_in_cargo="0" count_in_hoarder="0" count_in_map="1" count_in_player="0" crafted="0" deloot="0"/&gt;</v>
      </c>
      <c r="B10820" t="s">
        <v>967</v>
      </c>
    </row>
    <row r="10821" spans="1:8" x14ac:dyDescent="0.25">
      <c r="A10821" t="str">
        <f>"&lt;category name=" &amp;"""" &amp;$C$10812&amp;"""/&gt;"</f>
        <v>&lt;category name="clothes"/&gt;</v>
      </c>
      <c r="B10821" t="s">
        <v>967</v>
      </c>
    </row>
    <row r="10822" spans="1:8" x14ac:dyDescent="0.25">
      <c r="A10822" t="s">
        <v>1857</v>
      </c>
      <c r="B10822" t="s">
        <v>967</v>
      </c>
    </row>
    <row r="10823" spans="1:8" x14ac:dyDescent="0.25">
      <c r="A10823" t="s">
        <v>22</v>
      </c>
      <c r="B10823" t="s">
        <v>967</v>
      </c>
    </row>
    <row r="10824" spans="1:8" x14ac:dyDescent="0.25">
      <c r="A10824" t="s">
        <v>2229</v>
      </c>
      <c r="B10824" t="s">
        <v>3008</v>
      </c>
      <c r="C10824" t="s">
        <v>399</v>
      </c>
      <c r="D10824">
        <v>0</v>
      </c>
      <c r="E10824">
        <v>3600</v>
      </c>
      <c r="F10824">
        <v>0</v>
      </c>
      <c r="G10824">
        <v>0</v>
      </c>
      <c r="H10824" t="s">
        <v>62</v>
      </c>
    </row>
    <row r="10825" spans="1:8" x14ac:dyDescent="0.25">
      <c r="A10825" t="str">
        <f>"&lt;nominal&gt;" &amp;$D$10824&amp;"&lt;/nominal&gt;"</f>
        <v>&lt;nominal&gt;0&lt;/nominal&gt;</v>
      </c>
      <c r="B10825" t="s">
        <v>3008</v>
      </c>
    </row>
    <row r="10826" spans="1:8" x14ac:dyDescent="0.25">
      <c r="A10826" t="str">
        <f>"&lt;lifetime&gt;" &amp;$E$10824&amp;"&lt;/lifetime&gt;"</f>
        <v>&lt;lifetime&gt;3600&lt;/lifetime&gt;</v>
      </c>
      <c r="B10826" t="s">
        <v>3008</v>
      </c>
    </row>
    <row r="10827" spans="1:8" x14ac:dyDescent="0.25">
      <c r="A10827" t="str">
        <f>"&lt;restock&gt;" &amp;$F$10824&amp;"&lt;/restock&gt;"</f>
        <v>&lt;restock&gt;0&lt;/restock&gt;</v>
      </c>
      <c r="B10827" t="s">
        <v>3008</v>
      </c>
    </row>
    <row r="10828" spans="1:8" x14ac:dyDescent="0.25">
      <c r="A10828" t="str">
        <f>"&lt;min&gt;" &amp;$G$10824&amp;"&lt;/min&gt;"</f>
        <v>&lt;min&gt;0&lt;/min&gt;</v>
      </c>
      <c r="B10828" t="s">
        <v>3008</v>
      </c>
    </row>
    <row r="10829" spans="1:8" x14ac:dyDescent="0.25">
      <c r="A10829" t="s">
        <v>16</v>
      </c>
      <c r="B10829" t="s">
        <v>3008</v>
      </c>
    </row>
    <row r="10830" spans="1:8" x14ac:dyDescent="0.25">
      <c r="A10830" t="s">
        <v>17</v>
      </c>
      <c r="B10830" t="s">
        <v>3008</v>
      </c>
    </row>
    <row r="10831" spans="1:8" x14ac:dyDescent="0.25">
      <c r="A10831" t="s">
        <v>18</v>
      </c>
      <c r="B10831" t="s">
        <v>3008</v>
      </c>
    </row>
    <row r="10832" spans="1:8" x14ac:dyDescent="0.25">
      <c r="A10832" t="str">
        <f xml:space="preserve"> $H$10824</f>
        <v>&lt;flags count_in_cargo="0" count_in_hoarder="0" count_in_map="1" count_in_player="0" crafted="1" deloot="0"/&gt;</v>
      </c>
      <c r="B10832" t="s">
        <v>3008</v>
      </c>
    </row>
    <row r="10833" spans="1:8" x14ac:dyDescent="0.25">
      <c r="A10833" t="str">
        <f>"&lt;category name=" &amp;"""" &amp;$C$10824&amp;"""/&gt;"</f>
        <v>&lt;category name="food"/&gt;</v>
      </c>
      <c r="B10833" t="s">
        <v>3008</v>
      </c>
    </row>
    <row r="10834" spans="1:8" x14ac:dyDescent="0.25">
      <c r="A10834" t="s">
        <v>22</v>
      </c>
      <c r="B10834" t="s">
        <v>3008</v>
      </c>
    </row>
    <row r="10835" spans="1:8" x14ac:dyDescent="0.25">
      <c r="A10835" t="s">
        <v>2230</v>
      </c>
      <c r="B10835" t="s">
        <v>3459</v>
      </c>
      <c r="C10835" t="s">
        <v>403</v>
      </c>
      <c r="D10835">
        <v>0</v>
      </c>
      <c r="E10835">
        <v>3</v>
      </c>
      <c r="F10835">
        <v>0</v>
      </c>
      <c r="G10835">
        <v>0</v>
      </c>
      <c r="H10835" t="s">
        <v>19</v>
      </c>
    </row>
    <row r="10836" spans="1:8" x14ac:dyDescent="0.25">
      <c r="A10836" t="str">
        <f>"&lt;nominal&gt;" &amp;$D$10835&amp;"&lt;/nominal&gt;"</f>
        <v>&lt;nominal&gt;0&lt;/nominal&gt;</v>
      </c>
      <c r="B10836" t="s">
        <v>3459</v>
      </c>
    </row>
    <row r="10837" spans="1:8" x14ac:dyDescent="0.25">
      <c r="A10837" t="str">
        <f>"&lt;lifetime&gt;" &amp;$E$10835&amp;"&lt;/lifetime&gt;"</f>
        <v>&lt;lifetime&gt;3&lt;/lifetime&gt;</v>
      </c>
      <c r="B10837" t="s">
        <v>3459</v>
      </c>
    </row>
    <row r="10838" spans="1:8" x14ac:dyDescent="0.25">
      <c r="A10838" t="str">
        <f>"&lt;restock&gt;" &amp;$F$10835&amp;"&lt;/restock&gt;"</f>
        <v>&lt;restock&gt;0&lt;/restock&gt;</v>
      </c>
      <c r="B10838" t="s">
        <v>3459</v>
      </c>
    </row>
    <row r="10839" spans="1:8" x14ac:dyDescent="0.25">
      <c r="A10839" t="str">
        <f>"&lt;min&gt;" &amp;$G$10835&amp;"&lt;/min&gt;"</f>
        <v>&lt;min&gt;0&lt;/min&gt;</v>
      </c>
      <c r="B10839" t="s">
        <v>3459</v>
      </c>
    </row>
    <row r="10840" spans="1:8" x14ac:dyDescent="0.25">
      <c r="A10840" t="s">
        <v>16</v>
      </c>
      <c r="B10840" t="s">
        <v>3459</v>
      </c>
    </row>
    <row r="10841" spans="1:8" x14ac:dyDescent="0.25">
      <c r="A10841" t="s">
        <v>17</v>
      </c>
      <c r="B10841" t="s">
        <v>3459</v>
      </c>
    </row>
    <row r="10842" spans="1:8" x14ac:dyDescent="0.25">
      <c r="A10842" t="s">
        <v>18</v>
      </c>
      <c r="B10842" t="s">
        <v>3459</v>
      </c>
    </row>
    <row r="10843" spans="1:8" x14ac:dyDescent="0.25">
      <c r="A10843" t="str">
        <f xml:space="preserve"> $H$10835</f>
        <v>&lt;flags count_in_cargo="0" count_in_hoarder="0" count_in_map="1" count_in_player="0" crafted="0" deloot="0"/&gt;</v>
      </c>
      <c r="B10843" t="s">
        <v>3459</v>
      </c>
    </row>
    <row r="10844" spans="1:8" x14ac:dyDescent="0.25">
      <c r="A10844" t="str">
        <f>"&lt;category name=" &amp;"""" &amp;$C$10835&amp;"""/&gt;"</f>
        <v>&lt;category name="clothes"/&gt;</v>
      </c>
      <c r="B10844" t="s">
        <v>3459</v>
      </c>
    </row>
    <row r="10845" spans="1:8" x14ac:dyDescent="0.25">
      <c r="A10845" t="s">
        <v>56</v>
      </c>
      <c r="B10845" t="s">
        <v>3459</v>
      </c>
    </row>
    <row r="10846" spans="1:8" x14ac:dyDescent="0.25">
      <c r="A10846" t="s">
        <v>30</v>
      </c>
      <c r="B10846" t="s">
        <v>3459</v>
      </c>
    </row>
    <row r="10847" spans="1:8" x14ac:dyDescent="0.25">
      <c r="A10847" t="s">
        <v>31</v>
      </c>
      <c r="B10847" t="s">
        <v>3459</v>
      </c>
    </row>
    <row r="10848" spans="1:8" x14ac:dyDescent="0.25">
      <c r="A10848" t="s">
        <v>22</v>
      </c>
      <c r="B10848" t="s">
        <v>3459</v>
      </c>
    </row>
    <row r="10849" spans="1:8" x14ac:dyDescent="0.25">
      <c r="A10849" t="s">
        <v>2231</v>
      </c>
      <c r="B10849" t="s">
        <v>3009</v>
      </c>
      <c r="C10849" t="s">
        <v>403</v>
      </c>
      <c r="D10849">
        <v>0</v>
      </c>
      <c r="E10849">
        <v>3600</v>
      </c>
      <c r="F10849">
        <v>0</v>
      </c>
      <c r="G10849">
        <v>0</v>
      </c>
      <c r="H10849" t="s">
        <v>62</v>
      </c>
    </row>
    <row r="10850" spans="1:8" x14ac:dyDescent="0.25">
      <c r="A10850" t="str">
        <f>"&lt;nominal&gt;" &amp;$D$10849&amp;"&lt;/nominal&gt;"</f>
        <v>&lt;nominal&gt;0&lt;/nominal&gt;</v>
      </c>
      <c r="B10850" t="s">
        <v>3009</v>
      </c>
    </row>
    <row r="10851" spans="1:8" x14ac:dyDescent="0.25">
      <c r="A10851" t="str">
        <f>"&lt;lifetime&gt;" &amp;$E$10849&amp;"&lt;/lifetime&gt;"</f>
        <v>&lt;lifetime&gt;3600&lt;/lifetime&gt;</v>
      </c>
      <c r="B10851" t="s">
        <v>3009</v>
      </c>
    </row>
    <row r="10852" spans="1:8" x14ac:dyDescent="0.25">
      <c r="A10852" t="str">
        <f>"&lt;restock&gt;" &amp;$F$10849&amp;"&lt;/restock&gt;"</f>
        <v>&lt;restock&gt;0&lt;/restock&gt;</v>
      </c>
      <c r="B10852" t="s">
        <v>3009</v>
      </c>
    </row>
    <row r="10853" spans="1:8" x14ac:dyDescent="0.25">
      <c r="A10853" t="str">
        <f>"&lt;min&gt;" &amp;$G$10849&amp;"&lt;/min&gt;"</f>
        <v>&lt;min&gt;0&lt;/min&gt;</v>
      </c>
      <c r="B10853" t="s">
        <v>3009</v>
      </c>
    </row>
    <row r="10854" spans="1:8" x14ac:dyDescent="0.25">
      <c r="A10854" t="s">
        <v>16</v>
      </c>
      <c r="B10854" t="s">
        <v>3009</v>
      </c>
    </row>
    <row r="10855" spans="1:8" x14ac:dyDescent="0.25">
      <c r="A10855" t="s">
        <v>17</v>
      </c>
      <c r="B10855" t="s">
        <v>3009</v>
      </c>
    </row>
    <row r="10856" spans="1:8" x14ac:dyDescent="0.25">
      <c r="A10856" t="s">
        <v>18</v>
      </c>
      <c r="B10856" t="s">
        <v>3009</v>
      </c>
    </row>
    <row r="10857" spans="1:8" x14ac:dyDescent="0.25">
      <c r="A10857" t="str">
        <f xml:space="preserve"> $H$10849</f>
        <v>&lt;flags count_in_cargo="0" count_in_hoarder="0" count_in_map="1" count_in_player="0" crafted="1" deloot="0"/&gt;</v>
      </c>
      <c r="B10857" t="s">
        <v>3009</v>
      </c>
    </row>
    <row r="10858" spans="1:8" x14ac:dyDescent="0.25">
      <c r="A10858" t="str">
        <f>"&lt;category name=" &amp;"""" &amp;$C$10849&amp;"""/&gt;"</f>
        <v>&lt;category name="clothes"/&gt;</v>
      </c>
      <c r="B10858" t="s">
        <v>3009</v>
      </c>
    </row>
    <row r="10859" spans="1:8" x14ac:dyDescent="0.25">
      <c r="A10859" t="s">
        <v>22</v>
      </c>
      <c r="B10859" t="s">
        <v>3009</v>
      </c>
    </row>
    <row r="10860" spans="1:8" x14ac:dyDescent="0.25">
      <c r="A10860" t="s">
        <v>2232</v>
      </c>
      <c r="B10860" t="s">
        <v>968</v>
      </c>
      <c r="C10860" t="s">
        <v>399</v>
      </c>
      <c r="D10860">
        <v>10</v>
      </c>
      <c r="E10860">
        <v>3600</v>
      </c>
      <c r="F10860">
        <v>0</v>
      </c>
      <c r="G10860">
        <v>5</v>
      </c>
      <c r="H10860" t="s">
        <v>19</v>
      </c>
    </row>
    <row r="10861" spans="1:8" x14ac:dyDescent="0.25">
      <c r="A10861" t="str">
        <f>"&lt;nominal&gt;" &amp;$D$10860&amp;"&lt;/nominal&gt;"</f>
        <v>&lt;nominal&gt;10&lt;/nominal&gt;</v>
      </c>
      <c r="B10861" t="s">
        <v>968</v>
      </c>
    </row>
    <row r="10862" spans="1:8" x14ac:dyDescent="0.25">
      <c r="A10862" t="str">
        <f>"&lt;lifetime&gt;" &amp;$E$10860&amp;"&lt;/lifetime&gt;"</f>
        <v>&lt;lifetime&gt;3600&lt;/lifetime&gt;</v>
      </c>
      <c r="B10862" t="s">
        <v>968</v>
      </c>
    </row>
    <row r="10863" spans="1:8" x14ac:dyDescent="0.25">
      <c r="A10863" t="str">
        <f>"&lt;restock&gt;" &amp;$F$10860&amp;"&lt;/restock&gt;"</f>
        <v>&lt;restock&gt;0&lt;/restock&gt;</v>
      </c>
      <c r="B10863" t="s">
        <v>968</v>
      </c>
    </row>
    <row r="10864" spans="1:8" x14ac:dyDescent="0.25">
      <c r="A10864" t="str">
        <f>"&lt;min&gt;" &amp;$G$10860&amp;"&lt;/min&gt;"</f>
        <v>&lt;min&gt;5&lt;/min&gt;</v>
      </c>
      <c r="B10864" t="s">
        <v>968</v>
      </c>
    </row>
    <row r="10865" spans="1:8" x14ac:dyDescent="0.25">
      <c r="A10865" t="s">
        <v>16</v>
      </c>
      <c r="B10865" t="s">
        <v>968</v>
      </c>
    </row>
    <row r="10866" spans="1:8" x14ac:dyDescent="0.25">
      <c r="A10866" t="s">
        <v>17</v>
      </c>
      <c r="B10866" t="s">
        <v>968</v>
      </c>
    </row>
    <row r="10867" spans="1:8" x14ac:dyDescent="0.25">
      <c r="A10867" t="s">
        <v>18</v>
      </c>
      <c r="B10867" t="s">
        <v>968</v>
      </c>
    </row>
    <row r="10868" spans="1:8" x14ac:dyDescent="0.25">
      <c r="A10868" t="str">
        <f xml:space="preserve"> $H$10860</f>
        <v>&lt;flags count_in_cargo="0" count_in_hoarder="0" count_in_map="1" count_in_player="0" crafted="0" deloot="0"/&gt;</v>
      </c>
      <c r="B10868" t="s">
        <v>968</v>
      </c>
    </row>
    <row r="10869" spans="1:8" x14ac:dyDescent="0.25">
      <c r="A10869" t="str">
        <f>"&lt;category name=" &amp;"""" &amp;$C$10860&amp;"""/&gt;"</f>
        <v>&lt;category name="food"/&gt;</v>
      </c>
      <c r="B10869" t="s">
        <v>968</v>
      </c>
    </row>
    <row r="10870" spans="1:8" x14ac:dyDescent="0.25">
      <c r="A10870" t="s">
        <v>56</v>
      </c>
      <c r="B10870" t="s">
        <v>968</v>
      </c>
    </row>
    <row r="10871" spans="1:8" x14ac:dyDescent="0.25">
      <c r="A10871" t="s">
        <v>67</v>
      </c>
      <c r="B10871" t="s">
        <v>968</v>
      </c>
    </row>
    <row r="10872" spans="1:8" x14ac:dyDescent="0.25">
      <c r="A10872" t="s">
        <v>22</v>
      </c>
      <c r="B10872" t="s">
        <v>968</v>
      </c>
    </row>
    <row r="10873" spans="1:8" x14ac:dyDescent="0.25">
      <c r="A10873" t="s">
        <v>2233</v>
      </c>
      <c r="B10873" t="s">
        <v>969</v>
      </c>
      <c r="C10873" t="s">
        <v>426</v>
      </c>
      <c r="D10873">
        <v>50</v>
      </c>
      <c r="E10873">
        <v>10800</v>
      </c>
      <c r="F10873">
        <v>1800</v>
      </c>
      <c r="G10873">
        <v>30</v>
      </c>
      <c r="H10873" t="s">
        <v>19</v>
      </c>
    </row>
    <row r="10874" spans="1:8" x14ac:dyDescent="0.25">
      <c r="A10874" t="str">
        <f>"&lt;nominal&gt;" &amp;$D$10873&amp;"&lt;/nominal&gt;"</f>
        <v>&lt;nominal&gt;50&lt;/nominal&gt;</v>
      </c>
      <c r="B10874" t="s">
        <v>969</v>
      </c>
    </row>
    <row r="10875" spans="1:8" x14ac:dyDescent="0.25">
      <c r="A10875" t="str">
        <f>"&lt;lifetime&gt;" &amp;$E$10873&amp;"&lt;/lifetime&gt;"</f>
        <v>&lt;lifetime&gt;10800&lt;/lifetime&gt;</v>
      </c>
      <c r="B10875" t="s">
        <v>969</v>
      </c>
    </row>
    <row r="10876" spans="1:8" x14ac:dyDescent="0.25">
      <c r="A10876" t="str">
        <f>"&lt;restock&gt;" &amp;$F$10873&amp;"&lt;/restock&gt;"</f>
        <v>&lt;restock&gt;1800&lt;/restock&gt;</v>
      </c>
      <c r="B10876" t="s">
        <v>969</v>
      </c>
    </row>
    <row r="10877" spans="1:8" x14ac:dyDescent="0.25">
      <c r="A10877" t="str">
        <f>"&lt;min&gt;" &amp;$G$10873&amp;"&lt;/min&gt;"</f>
        <v>&lt;min&gt;30&lt;/min&gt;</v>
      </c>
      <c r="B10877" t="s">
        <v>969</v>
      </c>
    </row>
    <row r="10878" spans="1:8" x14ac:dyDescent="0.25">
      <c r="A10878" t="s">
        <v>16</v>
      </c>
      <c r="B10878" t="s">
        <v>969</v>
      </c>
    </row>
    <row r="10879" spans="1:8" x14ac:dyDescent="0.25">
      <c r="A10879" t="s">
        <v>17</v>
      </c>
      <c r="B10879" t="s">
        <v>969</v>
      </c>
    </row>
    <row r="10880" spans="1:8" x14ac:dyDescent="0.25">
      <c r="A10880" t="s">
        <v>18</v>
      </c>
      <c r="B10880" t="s">
        <v>969</v>
      </c>
    </row>
    <row r="10881" spans="1:8" x14ac:dyDescent="0.25">
      <c r="A10881" t="str">
        <f xml:space="preserve"> $H$10873</f>
        <v>&lt;flags count_in_cargo="0" count_in_hoarder="0" count_in_map="1" count_in_player="0" crafted="0" deloot="0"/&gt;</v>
      </c>
      <c r="B10881" t="s">
        <v>969</v>
      </c>
    </row>
    <row r="10882" spans="1:8" x14ac:dyDescent="0.25">
      <c r="A10882" t="str">
        <f>"&lt;category name=" &amp;"""" &amp;$C$10873&amp;"""/&gt;"</f>
        <v>&lt;category name="tools"/&gt;</v>
      </c>
      <c r="B10882" t="s">
        <v>969</v>
      </c>
    </row>
    <row r="10883" spans="1:8" x14ac:dyDescent="0.25">
      <c r="A10883" t="s">
        <v>20</v>
      </c>
      <c r="B10883" t="s">
        <v>969</v>
      </c>
    </row>
    <row r="10884" spans="1:8" x14ac:dyDescent="0.25">
      <c r="A10884" t="s">
        <v>21</v>
      </c>
      <c r="B10884" t="s">
        <v>969</v>
      </c>
    </row>
    <row r="10885" spans="1:8" x14ac:dyDescent="0.25">
      <c r="A10885" t="s">
        <v>67</v>
      </c>
      <c r="B10885" t="s">
        <v>969</v>
      </c>
    </row>
    <row r="10886" spans="1:8" x14ac:dyDescent="0.25">
      <c r="A10886" t="s">
        <v>22</v>
      </c>
      <c r="B10886" t="s">
        <v>969</v>
      </c>
    </row>
    <row r="10887" spans="1:8" x14ac:dyDescent="0.25">
      <c r="A10887" t="s">
        <v>2234</v>
      </c>
      <c r="B10887" t="s">
        <v>970</v>
      </c>
      <c r="C10887" t="s">
        <v>403</v>
      </c>
      <c r="D10887">
        <v>25</v>
      </c>
      <c r="E10887">
        <v>5600</v>
      </c>
      <c r="F10887">
        <v>0</v>
      </c>
      <c r="G10887">
        <v>15</v>
      </c>
      <c r="H10887" t="s">
        <v>19</v>
      </c>
    </row>
    <row r="10888" spans="1:8" x14ac:dyDescent="0.25">
      <c r="A10888" t="str">
        <f>"&lt;nominal&gt;" &amp;$D$10887&amp;"&lt;/nominal&gt;"</f>
        <v>&lt;nominal&gt;25&lt;/nominal&gt;</v>
      </c>
      <c r="B10888" t="s">
        <v>970</v>
      </c>
    </row>
    <row r="10889" spans="1:8" x14ac:dyDescent="0.25">
      <c r="A10889" t="str">
        <f>"&lt;lifetime&gt;" &amp;$E$10887&amp;"&lt;/lifetime&gt;"</f>
        <v>&lt;lifetime&gt;5600&lt;/lifetime&gt;</v>
      </c>
      <c r="B10889" t="s">
        <v>970</v>
      </c>
    </row>
    <row r="10890" spans="1:8" x14ac:dyDescent="0.25">
      <c r="A10890" t="str">
        <f>"&lt;restock&gt;" &amp;$F$10887&amp;"&lt;/restock&gt;"</f>
        <v>&lt;restock&gt;0&lt;/restock&gt;</v>
      </c>
      <c r="B10890" t="s">
        <v>970</v>
      </c>
    </row>
    <row r="10891" spans="1:8" x14ac:dyDescent="0.25">
      <c r="A10891" t="str">
        <f>"&lt;min&gt;" &amp;$G$10887&amp;"&lt;/min&gt;"</f>
        <v>&lt;min&gt;15&lt;/min&gt;</v>
      </c>
      <c r="B10891" t="s">
        <v>970</v>
      </c>
    </row>
    <row r="10892" spans="1:8" x14ac:dyDescent="0.25">
      <c r="A10892" t="s">
        <v>16</v>
      </c>
      <c r="B10892" t="s">
        <v>970</v>
      </c>
    </row>
    <row r="10893" spans="1:8" x14ac:dyDescent="0.25">
      <c r="A10893" t="s">
        <v>17</v>
      </c>
      <c r="B10893" t="s">
        <v>970</v>
      </c>
    </row>
    <row r="10894" spans="1:8" x14ac:dyDescent="0.25">
      <c r="A10894" t="s">
        <v>18</v>
      </c>
      <c r="B10894" t="s">
        <v>970</v>
      </c>
    </row>
    <row r="10895" spans="1:8" x14ac:dyDescent="0.25">
      <c r="A10895" t="str">
        <f xml:space="preserve"> $H$10887</f>
        <v>&lt;flags count_in_cargo="0" count_in_hoarder="0" count_in_map="1" count_in_player="0" crafted="0" deloot="0"/&gt;</v>
      </c>
      <c r="B10895" t="s">
        <v>970</v>
      </c>
    </row>
    <row r="10896" spans="1:8" x14ac:dyDescent="0.25">
      <c r="A10896" t="str">
        <f>"&lt;category name=" &amp;"""" &amp;$C$10887&amp;"""/&gt;"</f>
        <v>&lt;category name="clothes"/&gt;</v>
      </c>
      <c r="B10896" t="s">
        <v>970</v>
      </c>
    </row>
    <row r="10897" spans="1:8" x14ac:dyDescent="0.25">
      <c r="A10897" t="s">
        <v>39</v>
      </c>
      <c r="B10897" t="s">
        <v>970</v>
      </c>
    </row>
    <row r="10898" spans="1:8" x14ac:dyDescent="0.25">
      <c r="A10898" t="s">
        <v>40</v>
      </c>
      <c r="B10898" t="s">
        <v>970</v>
      </c>
    </row>
    <row r="10899" spans="1:8" x14ac:dyDescent="0.25">
      <c r="A10899" t="s">
        <v>31</v>
      </c>
      <c r="B10899" t="s">
        <v>970</v>
      </c>
    </row>
    <row r="10900" spans="1:8" x14ac:dyDescent="0.25">
      <c r="A10900" t="s">
        <v>307</v>
      </c>
      <c r="B10900" t="s">
        <v>970</v>
      </c>
    </row>
    <row r="10901" spans="1:8" x14ac:dyDescent="0.25">
      <c r="A10901" t="s">
        <v>22</v>
      </c>
      <c r="B10901" t="s">
        <v>970</v>
      </c>
    </row>
    <row r="10902" spans="1:8" x14ac:dyDescent="0.25">
      <c r="A10902" t="s">
        <v>2235</v>
      </c>
      <c r="B10902" t="s">
        <v>971</v>
      </c>
      <c r="C10902" t="s">
        <v>403</v>
      </c>
      <c r="D10902">
        <v>25</v>
      </c>
      <c r="E10902">
        <v>5600</v>
      </c>
      <c r="F10902">
        <v>0</v>
      </c>
      <c r="G10902">
        <v>15</v>
      </c>
      <c r="H10902" t="s">
        <v>19</v>
      </c>
    </row>
    <row r="10903" spans="1:8" x14ac:dyDescent="0.25">
      <c r="A10903" t="str">
        <f>"&lt;nominal&gt;" &amp;$D$10902&amp;"&lt;/nominal&gt;"</f>
        <v>&lt;nominal&gt;25&lt;/nominal&gt;</v>
      </c>
      <c r="B10903" t="s">
        <v>971</v>
      </c>
    </row>
    <row r="10904" spans="1:8" x14ac:dyDescent="0.25">
      <c r="A10904" t="str">
        <f>"&lt;lifetime&gt;" &amp;$E$10902&amp;"&lt;/lifetime&gt;"</f>
        <v>&lt;lifetime&gt;5600&lt;/lifetime&gt;</v>
      </c>
      <c r="B10904" t="s">
        <v>971</v>
      </c>
    </row>
    <row r="10905" spans="1:8" x14ac:dyDescent="0.25">
      <c r="A10905" t="str">
        <f>"&lt;restock&gt;" &amp;$F$10902&amp;"&lt;/restock&gt;"</f>
        <v>&lt;restock&gt;0&lt;/restock&gt;</v>
      </c>
      <c r="B10905" t="s">
        <v>971</v>
      </c>
    </row>
    <row r="10906" spans="1:8" x14ac:dyDescent="0.25">
      <c r="A10906" t="str">
        <f>"&lt;min&gt;" &amp;$G$10902&amp;"&lt;/min&gt;"</f>
        <v>&lt;min&gt;15&lt;/min&gt;</v>
      </c>
      <c r="B10906" t="s">
        <v>971</v>
      </c>
    </row>
    <row r="10907" spans="1:8" x14ac:dyDescent="0.25">
      <c r="A10907" t="s">
        <v>16</v>
      </c>
      <c r="B10907" t="s">
        <v>971</v>
      </c>
    </row>
    <row r="10908" spans="1:8" x14ac:dyDescent="0.25">
      <c r="A10908" t="s">
        <v>17</v>
      </c>
      <c r="B10908" t="s">
        <v>971</v>
      </c>
    </row>
    <row r="10909" spans="1:8" x14ac:dyDescent="0.25">
      <c r="A10909" t="s">
        <v>18</v>
      </c>
      <c r="B10909" t="s">
        <v>971</v>
      </c>
    </row>
    <row r="10910" spans="1:8" x14ac:dyDescent="0.25">
      <c r="A10910" t="str">
        <f xml:space="preserve"> $H$10902</f>
        <v>&lt;flags count_in_cargo="0" count_in_hoarder="0" count_in_map="1" count_in_player="0" crafted="0" deloot="0"/&gt;</v>
      </c>
      <c r="B10910" t="s">
        <v>971</v>
      </c>
    </row>
    <row r="10911" spans="1:8" x14ac:dyDescent="0.25">
      <c r="A10911" t="str">
        <f>"&lt;category name=" &amp;"""" &amp;$C$10902&amp;"""/&gt;"</f>
        <v>&lt;category name="clothes"/&gt;</v>
      </c>
      <c r="B10911" t="s">
        <v>971</v>
      </c>
    </row>
    <row r="10912" spans="1:8" x14ac:dyDescent="0.25">
      <c r="A10912" t="s">
        <v>39</v>
      </c>
      <c r="B10912" t="s">
        <v>971</v>
      </c>
    </row>
    <row r="10913" spans="1:8" x14ac:dyDescent="0.25">
      <c r="A10913" t="s">
        <v>40</v>
      </c>
      <c r="B10913" t="s">
        <v>971</v>
      </c>
    </row>
    <row r="10914" spans="1:8" x14ac:dyDescent="0.25">
      <c r="A10914" t="s">
        <v>31</v>
      </c>
      <c r="B10914" t="s">
        <v>971</v>
      </c>
    </row>
    <row r="10915" spans="1:8" x14ac:dyDescent="0.25">
      <c r="A10915" t="s">
        <v>307</v>
      </c>
      <c r="B10915" t="s">
        <v>971</v>
      </c>
    </row>
    <row r="10916" spans="1:8" x14ac:dyDescent="0.25">
      <c r="A10916" t="s">
        <v>22</v>
      </c>
      <c r="B10916" t="s">
        <v>971</v>
      </c>
    </row>
    <row r="10917" spans="1:8" x14ac:dyDescent="0.25">
      <c r="A10917" t="s">
        <v>2236</v>
      </c>
      <c r="B10917" t="s">
        <v>972</v>
      </c>
      <c r="C10917" t="s">
        <v>403</v>
      </c>
      <c r="D10917">
        <v>10</v>
      </c>
      <c r="E10917">
        <v>5600</v>
      </c>
      <c r="F10917">
        <v>0</v>
      </c>
      <c r="G10917">
        <v>5</v>
      </c>
      <c r="H10917" t="s">
        <v>19</v>
      </c>
    </row>
    <row r="10918" spans="1:8" x14ac:dyDescent="0.25">
      <c r="A10918" t="str">
        <f>"&lt;nominal&gt;" &amp;$D$10917&amp;"&lt;/nominal&gt;"</f>
        <v>&lt;nominal&gt;10&lt;/nominal&gt;</v>
      </c>
      <c r="B10918" t="s">
        <v>972</v>
      </c>
    </row>
    <row r="10919" spans="1:8" x14ac:dyDescent="0.25">
      <c r="A10919" t="str">
        <f>"&lt;lifetime&gt;" &amp;$E$10917&amp;"&lt;/lifetime&gt;"</f>
        <v>&lt;lifetime&gt;5600&lt;/lifetime&gt;</v>
      </c>
      <c r="B10919" t="s">
        <v>972</v>
      </c>
    </row>
    <row r="10920" spans="1:8" x14ac:dyDescent="0.25">
      <c r="A10920" t="str">
        <f>"&lt;restock&gt;" &amp;$F$10917&amp;"&lt;/restock&gt;"</f>
        <v>&lt;restock&gt;0&lt;/restock&gt;</v>
      </c>
      <c r="B10920" t="s">
        <v>972</v>
      </c>
    </row>
    <row r="10921" spans="1:8" x14ac:dyDescent="0.25">
      <c r="A10921" t="str">
        <f>"&lt;min&gt;" &amp;$G$10917&amp;"&lt;/min&gt;"</f>
        <v>&lt;min&gt;5&lt;/min&gt;</v>
      </c>
      <c r="B10921" t="s">
        <v>972</v>
      </c>
    </row>
    <row r="10922" spans="1:8" x14ac:dyDescent="0.25">
      <c r="A10922" t="s">
        <v>16</v>
      </c>
      <c r="B10922" t="s">
        <v>972</v>
      </c>
    </row>
    <row r="10923" spans="1:8" x14ac:dyDescent="0.25">
      <c r="A10923" t="s">
        <v>17</v>
      </c>
      <c r="B10923" t="s">
        <v>972</v>
      </c>
    </row>
    <row r="10924" spans="1:8" x14ac:dyDescent="0.25">
      <c r="A10924" t="s">
        <v>18</v>
      </c>
      <c r="B10924" t="s">
        <v>972</v>
      </c>
    </row>
    <row r="10925" spans="1:8" x14ac:dyDescent="0.25">
      <c r="A10925" t="str">
        <f xml:space="preserve"> $H$10917</f>
        <v>&lt;flags count_in_cargo="0" count_in_hoarder="0" count_in_map="1" count_in_player="0" crafted="0" deloot="0"/&gt;</v>
      </c>
      <c r="B10925" t="s">
        <v>972</v>
      </c>
    </row>
    <row r="10926" spans="1:8" x14ac:dyDescent="0.25">
      <c r="A10926" t="str">
        <f>"&lt;category name=" &amp;"""" &amp;$C$10917&amp;"""/&gt;"</f>
        <v>&lt;category name="clothes"/&gt;</v>
      </c>
      <c r="B10926" t="s">
        <v>972</v>
      </c>
    </row>
    <row r="10927" spans="1:8" x14ac:dyDescent="0.25">
      <c r="A10927" t="s">
        <v>39</v>
      </c>
      <c r="B10927" t="s">
        <v>972</v>
      </c>
    </row>
    <row r="10928" spans="1:8" x14ac:dyDescent="0.25">
      <c r="A10928" t="s">
        <v>40</v>
      </c>
      <c r="B10928" t="s">
        <v>972</v>
      </c>
    </row>
    <row r="10929" spans="1:8" x14ac:dyDescent="0.25">
      <c r="A10929" t="s">
        <v>31</v>
      </c>
      <c r="B10929" t="s">
        <v>972</v>
      </c>
    </row>
    <row r="10930" spans="1:8" x14ac:dyDescent="0.25">
      <c r="A10930" t="s">
        <v>307</v>
      </c>
      <c r="B10930" t="s">
        <v>972</v>
      </c>
    </row>
    <row r="10931" spans="1:8" x14ac:dyDescent="0.25">
      <c r="A10931" t="s">
        <v>22</v>
      </c>
      <c r="B10931" t="s">
        <v>972</v>
      </c>
    </row>
    <row r="10932" spans="1:8" x14ac:dyDescent="0.25">
      <c r="A10932" t="s">
        <v>2237</v>
      </c>
      <c r="B10932" t="s">
        <v>973</v>
      </c>
      <c r="C10932" t="s">
        <v>403</v>
      </c>
      <c r="D10932">
        <v>25</v>
      </c>
      <c r="E10932">
        <v>5600</v>
      </c>
      <c r="F10932">
        <v>0</v>
      </c>
      <c r="G10932">
        <v>15</v>
      </c>
      <c r="H10932" t="s">
        <v>19</v>
      </c>
    </row>
    <row r="10933" spans="1:8" x14ac:dyDescent="0.25">
      <c r="A10933" t="str">
        <f>"&lt;nominal&gt;" &amp;$D$10932&amp;"&lt;/nominal&gt;"</f>
        <v>&lt;nominal&gt;25&lt;/nominal&gt;</v>
      </c>
      <c r="B10933" t="s">
        <v>973</v>
      </c>
    </row>
    <row r="10934" spans="1:8" x14ac:dyDescent="0.25">
      <c r="A10934" t="str">
        <f>"&lt;lifetime&gt;" &amp;$E$10932&amp;"&lt;/lifetime&gt;"</f>
        <v>&lt;lifetime&gt;5600&lt;/lifetime&gt;</v>
      </c>
      <c r="B10934" t="s">
        <v>973</v>
      </c>
    </row>
    <row r="10935" spans="1:8" x14ac:dyDescent="0.25">
      <c r="A10935" t="str">
        <f>"&lt;restock&gt;" &amp;$F$10932&amp;"&lt;/restock&gt;"</f>
        <v>&lt;restock&gt;0&lt;/restock&gt;</v>
      </c>
      <c r="B10935" t="s">
        <v>973</v>
      </c>
    </row>
    <row r="10936" spans="1:8" x14ac:dyDescent="0.25">
      <c r="A10936" t="str">
        <f>"&lt;min&gt;" &amp;$G$10932&amp;"&lt;/min&gt;"</f>
        <v>&lt;min&gt;15&lt;/min&gt;</v>
      </c>
      <c r="B10936" t="s">
        <v>973</v>
      </c>
    </row>
    <row r="10937" spans="1:8" x14ac:dyDescent="0.25">
      <c r="A10937" t="s">
        <v>16</v>
      </c>
      <c r="B10937" t="s">
        <v>973</v>
      </c>
    </row>
    <row r="10938" spans="1:8" x14ac:dyDescent="0.25">
      <c r="A10938" t="s">
        <v>17</v>
      </c>
      <c r="B10938" t="s">
        <v>973</v>
      </c>
    </row>
    <row r="10939" spans="1:8" x14ac:dyDescent="0.25">
      <c r="A10939" t="s">
        <v>18</v>
      </c>
      <c r="B10939" t="s">
        <v>973</v>
      </c>
    </row>
    <row r="10940" spans="1:8" x14ac:dyDescent="0.25">
      <c r="A10940" t="str">
        <f xml:space="preserve"> $H$10932</f>
        <v>&lt;flags count_in_cargo="0" count_in_hoarder="0" count_in_map="1" count_in_player="0" crafted="0" deloot="0"/&gt;</v>
      </c>
      <c r="B10940" t="s">
        <v>973</v>
      </c>
    </row>
    <row r="10941" spans="1:8" x14ac:dyDescent="0.25">
      <c r="A10941" t="str">
        <f>"&lt;category name=" &amp;"""" &amp;$C$10932&amp;"""/&gt;"</f>
        <v>&lt;category name="clothes"/&gt;</v>
      </c>
      <c r="B10941" t="s">
        <v>973</v>
      </c>
    </row>
    <row r="10942" spans="1:8" x14ac:dyDescent="0.25">
      <c r="A10942" t="s">
        <v>39</v>
      </c>
      <c r="B10942" t="s">
        <v>973</v>
      </c>
    </row>
    <row r="10943" spans="1:8" x14ac:dyDescent="0.25">
      <c r="A10943" t="s">
        <v>40</v>
      </c>
      <c r="B10943" t="s">
        <v>973</v>
      </c>
    </row>
    <row r="10944" spans="1:8" x14ac:dyDescent="0.25">
      <c r="A10944" t="s">
        <v>31</v>
      </c>
      <c r="B10944" t="s">
        <v>973</v>
      </c>
    </row>
    <row r="10945" spans="1:8" x14ac:dyDescent="0.25">
      <c r="A10945" t="s">
        <v>307</v>
      </c>
      <c r="B10945" t="s">
        <v>973</v>
      </c>
    </row>
    <row r="10946" spans="1:8" x14ac:dyDescent="0.25">
      <c r="A10946" t="s">
        <v>22</v>
      </c>
      <c r="B10946" t="s">
        <v>973</v>
      </c>
    </row>
    <row r="10947" spans="1:8" x14ac:dyDescent="0.25">
      <c r="A10947" t="s">
        <v>2238</v>
      </c>
      <c r="B10947" t="s">
        <v>974</v>
      </c>
      <c r="C10947" t="s">
        <v>403</v>
      </c>
      <c r="D10947">
        <v>25</v>
      </c>
      <c r="E10947">
        <v>5600</v>
      </c>
      <c r="F10947">
        <v>0</v>
      </c>
      <c r="G10947">
        <v>15</v>
      </c>
      <c r="H10947" t="s">
        <v>19</v>
      </c>
    </row>
    <row r="10948" spans="1:8" x14ac:dyDescent="0.25">
      <c r="A10948" t="str">
        <f>"&lt;nominal&gt;" &amp;$D$10947&amp;"&lt;/nominal&gt;"</f>
        <v>&lt;nominal&gt;25&lt;/nominal&gt;</v>
      </c>
      <c r="B10948" t="s">
        <v>974</v>
      </c>
    </row>
    <row r="10949" spans="1:8" x14ac:dyDescent="0.25">
      <c r="A10949" t="str">
        <f>"&lt;lifetime&gt;" &amp;$E$10947&amp;"&lt;/lifetime&gt;"</f>
        <v>&lt;lifetime&gt;5600&lt;/lifetime&gt;</v>
      </c>
      <c r="B10949" t="s">
        <v>974</v>
      </c>
    </row>
    <row r="10950" spans="1:8" x14ac:dyDescent="0.25">
      <c r="A10950" t="str">
        <f>"&lt;restock&gt;" &amp;$F$10947&amp;"&lt;/restock&gt;"</f>
        <v>&lt;restock&gt;0&lt;/restock&gt;</v>
      </c>
      <c r="B10950" t="s">
        <v>974</v>
      </c>
    </row>
    <row r="10951" spans="1:8" x14ac:dyDescent="0.25">
      <c r="A10951" t="str">
        <f>"&lt;min&gt;" &amp;$G$10947&amp;"&lt;/min&gt;"</f>
        <v>&lt;min&gt;15&lt;/min&gt;</v>
      </c>
      <c r="B10951" t="s">
        <v>974</v>
      </c>
    </row>
    <row r="10952" spans="1:8" x14ac:dyDescent="0.25">
      <c r="A10952" t="s">
        <v>16</v>
      </c>
      <c r="B10952" t="s">
        <v>974</v>
      </c>
    </row>
    <row r="10953" spans="1:8" x14ac:dyDescent="0.25">
      <c r="A10953" t="s">
        <v>17</v>
      </c>
      <c r="B10953" t="s">
        <v>974</v>
      </c>
    </row>
    <row r="10954" spans="1:8" x14ac:dyDescent="0.25">
      <c r="A10954" t="s">
        <v>18</v>
      </c>
      <c r="B10954" t="s">
        <v>974</v>
      </c>
    </row>
    <row r="10955" spans="1:8" x14ac:dyDescent="0.25">
      <c r="A10955" t="str">
        <f xml:space="preserve"> $H$10947</f>
        <v>&lt;flags count_in_cargo="0" count_in_hoarder="0" count_in_map="1" count_in_player="0" crafted="0" deloot="0"/&gt;</v>
      </c>
      <c r="B10955" t="s">
        <v>974</v>
      </c>
    </row>
    <row r="10956" spans="1:8" x14ac:dyDescent="0.25">
      <c r="A10956" t="str">
        <f>"&lt;category name=" &amp;"""" &amp;$C$10947&amp;"""/&gt;"</f>
        <v>&lt;category name="clothes"/&gt;</v>
      </c>
      <c r="B10956" t="s">
        <v>974</v>
      </c>
    </row>
    <row r="10957" spans="1:8" x14ac:dyDescent="0.25">
      <c r="A10957" t="s">
        <v>39</v>
      </c>
      <c r="B10957" t="s">
        <v>974</v>
      </c>
    </row>
    <row r="10958" spans="1:8" x14ac:dyDescent="0.25">
      <c r="A10958" t="s">
        <v>40</v>
      </c>
      <c r="B10958" t="s">
        <v>974</v>
      </c>
    </row>
    <row r="10959" spans="1:8" x14ac:dyDescent="0.25">
      <c r="A10959" t="s">
        <v>31</v>
      </c>
      <c r="B10959" t="s">
        <v>974</v>
      </c>
    </row>
    <row r="10960" spans="1:8" x14ac:dyDescent="0.25">
      <c r="A10960" t="s">
        <v>307</v>
      </c>
      <c r="B10960" t="s">
        <v>974</v>
      </c>
    </row>
    <row r="10961" spans="1:8" x14ac:dyDescent="0.25">
      <c r="A10961" t="s">
        <v>22</v>
      </c>
      <c r="B10961" t="s">
        <v>974</v>
      </c>
    </row>
    <row r="10962" spans="1:8" x14ac:dyDescent="0.25">
      <c r="A10962" t="s">
        <v>2239</v>
      </c>
      <c r="B10962" t="s">
        <v>975</v>
      </c>
      <c r="C10962" t="s">
        <v>403</v>
      </c>
      <c r="D10962">
        <v>25</v>
      </c>
      <c r="E10962">
        <v>5600</v>
      </c>
      <c r="F10962">
        <v>0</v>
      </c>
      <c r="G10962">
        <v>15</v>
      </c>
      <c r="H10962" t="s">
        <v>19</v>
      </c>
    </row>
    <row r="10963" spans="1:8" x14ac:dyDescent="0.25">
      <c r="A10963" t="str">
        <f>"&lt;nominal&gt;" &amp;$D$10962&amp;"&lt;/nominal&gt;"</f>
        <v>&lt;nominal&gt;25&lt;/nominal&gt;</v>
      </c>
      <c r="B10963" t="s">
        <v>975</v>
      </c>
    </row>
    <row r="10964" spans="1:8" x14ac:dyDescent="0.25">
      <c r="A10964" t="str">
        <f>"&lt;lifetime&gt;" &amp;$E$10962&amp;"&lt;/lifetime&gt;"</f>
        <v>&lt;lifetime&gt;5600&lt;/lifetime&gt;</v>
      </c>
      <c r="B10964" t="s">
        <v>975</v>
      </c>
    </row>
    <row r="10965" spans="1:8" x14ac:dyDescent="0.25">
      <c r="A10965" t="str">
        <f>"&lt;restock&gt;" &amp;$F$10962&amp;"&lt;/restock&gt;"</f>
        <v>&lt;restock&gt;0&lt;/restock&gt;</v>
      </c>
      <c r="B10965" t="s">
        <v>975</v>
      </c>
    </row>
    <row r="10966" spans="1:8" x14ac:dyDescent="0.25">
      <c r="A10966" t="str">
        <f>"&lt;min&gt;" &amp;$G$10962&amp;"&lt;/min&gt;"</f>
        <v>&lt;min&gt;15&lt;/min&gt;</v>
      </c>
      <c r="B10966" t="s">
        <v>975</v>
      </c>
    </row>
    <row r="10967" spans="1:8" x14ac:dyDescent="0.25">
      <c r="A10967" t="s">
        <v>16</v>
      </c>
      <c r="B10967" t="s">
        <v>975</v>
      </c>
    </row>
    <row r="10968" spans="1:8" x14ac:dyDescent="0.25">
      <c r="A10968" t="s">
        <v>17</v>
      </c>
      <c r="B10968" t="s">
        <v>975</v>
      </c>
    </row>
    <row r="10969" spans="1:8" x14ac:dyDescent="0.25">
      <c r="A10969" t="s">
        <v>18</v>
      </c>
      <c r="B10969" t="s">
        <v>975</v>
      </c>
    </row>
    <row r="10970" spans="1:8" x14ac:dyDescent="0.25">
      <c r="A10970" t="str">
        <f xml:space="preserve"> $H$10962</f>
        <v>&lt;flags count_in_cargo="0" count_in_hoarder="0" count_in_map="1" count_in_player="0" crafted="0" deloot="0"/&gt;</v>
      </c>
      <c r="B10970" t="s">
        <v>975</v>
      </c>
    </row>
    <row r="10971" spans="1:8" x14ac:dyDescent="0.25">
      <c r="A10971" t="str">
        <f>"&lt;category name=" &amp;"""" &amp;$C$10962&amp;"""/&gt;"</f>
        <v>&lt;category name="clothes"/&gt;</v>
      </c>
      <c r="B10971" t="s">
        <v>975</v>
      </c>
    </row>
    <row r="10972" spans="1:8" x14ac:dyDescent="0.25">
      <c r="A10972" t="s">
        <v>39</v>
      </c>
      <c r="B10972" t="s">
        <v>975</v>
      </c>
    </row>
    <row r="10973" spans="1:8" x14ac:dyDescent="0.25">
      <c r="A10973" t="s">
        <v>40</v>
      </c>
      <c r="B10973" t="s">
        <v>975</v>
      </c>
    </row>
    <row r="10974" spans="1:8" x14ac:dyDescent="0.25">
      <c r="A10974" t="s">
        <v>31</v>
      </c>
      <c r="B10974" t="s">
        <v>975</v>
      </c>
    </row>
    <row r="10975" spans="1:8" x14ac:dyDescent="0.25">
      <c r="A10975" t="s">
        <v>307</v>
      </c>
      <c r="B10975" t="s">
        <v>975</v>
      </c>
    </row>
    <row r="10976" spans="1:8" x14ac:dyDescent="0.25">
      <c r="A10976" t="s">
        <v>22</v>
      </c>
      <c r="B10976" t="s">
        <v>975</v>
      </c>
    </row>
    <row r="10977" spans="1:8" x14ac:dyDescent="0.25">
      <c r="A10977" t="s">
        <v>2240</v>
      </c>
      <c r="B10977" t="s">
        <v>976</v>
      </c>
      <c r="C10977" t="s">
        <v>403</v>
      </c>
      <c r="D10977">
        <v>25</v>
      </c>
      <c r="E10977">
        <v>5600</v>
      </c>
      <c r="F10977">
        <v>0</v>
      </c>
      <c r="G10977">
        <v>15</v>
      </c>
      <c r="H10977" t="s">
        <v>19</v>
      </c>
    </row>
    <row r="10978" spans="1:8" x14ac:dyDescent="0.25">
      <c r="A10978" t="str">
        <f>"&lt;nominal&gt;" &amp;$D$10977&amp;"&lt;/nominal&gt;"</f>
        <v>&lt;nominal&gt;25&lt;/nominal&gt;</v>
      </c>
      <c r="B10978" t="s">
        <v>976</v>
      </c>
    </row>
    <row r="10979" spans="1:8" x14ac:dyDescent="0.25">
      <c r="A10979" t="str">
        <f>"&lt;lifetime&gt;" &amp;$E$10977&amp;"&lt;/lifetime&gt;"</f>
        <v>&lt;lifetime&gt;5600&lt;/lifetime&gt;</v>
      </c>
      <c r="B10979" t="s">
        <v>976</v>
      </c>
    </row>
    <row r="10980" spans="1:8" x14ac:dyDescent="0.25">
      <c r="A10980" t="str">
        <f>"&lt;restock&gt;" &amp;$F$10977&amp;"&lt;/restock&gt;"</f>
        <v>&lt;restock&gt;0&lt;/restock&gt;</v>
      </c>
      <c r="B10980" t="s">
        <v>976</v>
      </c>
    </row>
    <row r="10981" spans="1:8" x14ac:dyDescent="0.25">
      <c r="A10981" t="str">
        <f>"&lt;min&gt;" &amp;$G$10977&amp;"&lt;/min&gt;"</f>
        <v>&lt;min&gt;15&lt;/min&gt;</v>
      </c>
      <c r="B10981" t="s">
        <v>976</v>
      </c>
    </row>
    <row r="10982" spans="1:8" x14ac:dyDescent="0.25">
      <c r="A10982" t="s">
        <v>16</v>
      </c>
      <c r="B10982" t="s">
        <v>976</v>
      </c>
    </row>
    <row r="10983" spans="1:8" x14ac:dyDescent="0.25">
      <c r="A10983" t="s">
        <v>17</v>
      </c>
      <c r="B10983" t="s">
        <v>976</v>
      </c>
    </row>
    <row r="10984" spans="1:8" x14ac:dyDescent="0.25">
      <c r="A10984" t="s">
        <v>18</v>
      </c>
      <c r="B10984" t="s">
        <v>976</v>
      </c>
    </row>
    <row r="10985" spans="1:8" x14ac:dyDescent="0.25">
      <c r="A10985" t="str">
        <f xml:space="preserve"> $H$10977</f>
        <v>&lt;flags count_in_cargo="0" count_in_hoarder="0" count_in_map="1" count_in_player="0" crafted="0" deloot="0"/&gt;</v>
      </c>
      <c r="B10985" t="s">
        <v>976</v>
      </c>
    </row>
    <row r="10986" spans="1:8" x14ac:dyDescent="0.25">
      <c r="A10986" t="str">
        <f>"&lt;category name=" &amp;"""" &amp;$C$10977&amp;"""/&gt;"</f>
        <v>&lt;category name="clothes"/&gt;</v>
      </c>
      <c r="B10986" t="s">
        <v>976</v>
      </c>
    </row>
    <row r="10987" spans="1:8" x14ac:dyDescent="0.25">
      <c r="A10987" t="s">
        <v>39</v>
      </c>
      <c r="B10987" t="s">
        <v>976</v>
      </c>
    </row>
    <row r="10988" spans="1:8" x14ac:dyDescent="0.25">
      <c r="A10988" t="s">
        <v>40</v>
      </c>
      <c r="B10988" t="s">
        <v>976</v>
      </c>
    </row>
    <row r="10989" spans="1:8" x14ac:dyDescent="0.25">
      <c r="A10989" t="s">
        <v>31</v>
      </c>
      <c r="B10989" t="s">
        <v>976</v>
      </c>
    </row>
    <row r="10990" spans="1:8" x14ac:dyDescent="0.25">
      <c r="A10990" t="s">
        <v>307</v>
      </c>
      <c r="B10990" t="s">
        <v>976</v>
      </c>
    </row>
    <row r="10991" spans="1:8" x14ac:dyDescent="0.25">
      <c r="A10991" t="s">
        <v>22</v>
      </c>
      <c r="B10991" t="s">
        <v>976</v>
      </c>
    </row>
    <row r="10992" spans="1:8" x14ac:dyDescent="0.25">
      <c r="A10992" t="s">
        <v>2241</v>
      </c>
      <c r="B10992" t="s">
        <v>977</v>
      </c>
      <c r="C10992" t="s">
        <v>403</v>
      </c>
      <c r="D10992">
        <v>25</v>
      </c>
      <c r="E10992">
        <v>5600</v>
      </c>
      <c r="F10992">
        <v>0</v>
      </c>
      <c r="G10992">
        <v>15</v>
      </c>
      <c r="H10992" t="s">
        <v>19</v>
      </c>
    </row>
    <row r="10993" spans="1:8" x14ac:dyDescent="0.25">
      <c r="A10993" t="str">
        <f>"&lt;nominal&gt;" &amp;$D$10992&amp;"&lt;/nominal&gt;"</f>
        <v>&lt;nominal&gt;25&lt;/nominal&gt;</v>
      </c>
      <c r="B10993" t="s">
        <v>977</v>
      </c>
    </row>
    <row r="10994" spans="1:8" x14ac:dyDescent="0.25">
      <c r="A10994" t="str">
        <f>"&lt;lifetime&gt;" &amp;$E$10992&amp;"&lt;/lifetime&gt;"</f>
        <v>&lt;lifetime&gt;5600&lt;/lifetime&gt;</v>
      </c>
      <c r="B10994" t="s">
        <v>977</v>
      </c>
    </row>
    <row r="10995" spans="1:8" x14ac:dyDescent="0.25">
      <c r="A10995" t="str">
        <f>"&lt;restock&gt;" &amp;$F$10992&amp;"&lt;/restock&gt;"</f>
        <v>&lt;restock&gt;0&lt;/restock&gt;</v>
      </c>
      <c r="B10995" t="s">
        <v>977</v>
      </c>
    </row>
    <row r="10996" spans="1:8" x14ac:dyDescent="0.25">
      <c r="A10996" t="str">
        <f>"&lt;min&gt;" &amp;$G$10992&amp;"&lt;/min&gt;"</f>
        <v>&lt;min&gt;15&lt;/min&gt;</v>
      </c>
      <c r="B10996" t="s">
        <v>977</v>
      </c>
    </row>
    <row r="10997" spans="1:8" x14ac:dyDescent="0.25">
      <c r="A10997" t="s">
        <v>16</v>
      </c>
      <c r="B10997" t="s">
        <v>977</v>
      </c>
    </row>
    <row r="10998" spans="1:8" x14ac:dyDescent="0.25">
      <c r="A10998" t="s">
        <v>17</v>
      </c>
      <c r="B10998" t="s">
        <v>977</v>
      </c>
    </row>
    <row r="10999" spans="1:8" x14ac:dyDescent="0.25">
      <c r="A10999" t="s">
        <v>18</v>
      </c>
      <c r="B10999" t="s">
        <v>977</v>
      </c>
    </row>
    <row r="11000" spans="1:8" x14ac:dyDescent="0.25">
      <c r="A11000" t="str">
        <f xml:space="preserve"> $H$10992</f>
        <v>&lt;flags count_in_cargo="0" count_in_hoarder="0" count_in_map="1" count_in_player="0" crafted="0" deloot="0"/&gt;</v>
      </c>
      <c r="B11000" t="s">
        <v>977</v>
      </c>
    </row>
    <row r="11001" spans="1:8" x14ac:dyDescent="0.25">
      <c r="A11001" t="str">
        <f>"&lt;category name=" &amp;"""" &amp;$C$10992&amp;"""/&gt;"</f>
        <v>&lt;category name="clothes"/&gt;</v>
      </c>
      <c r="B11001" t="s">
        <v>977</v>
      </c>
    </row>
    <row r="11002" spans="1:8" x14ac:dyDescent="0.25">
      <c r="A11002" t="s">
        <v>39</v>
      </c>
      <c r="B11002" t="s">
        <v>977</v>
      </c>
    </row>
    <row r="11003" spans="1:8" x14ac:dyDescent="0.25">
      <c r="A11003" t="s">
        <v>40</v>
      </c>
      <c r="B11003" t="s">
        <v>977</v>
      </c>
    </row>
    <row r="11004" spans="1:8" x14ac:dyDescent="0.25">
      <c r="A11004" t="s">
        <v>31</v>
      </c>
      <c r="B11004" t="s">
        <v>977</v>
      </c>
    </row>
    <row r="11005" spans="1:8" x14ac:dyDescent="0.25">
      <c r="A11005" t="s">
        <v>307</v>
      </c>
      <c r="B11005" t="s">
        <v>977</v>
      </c>
    </row>
    <row r="11006" spans="1:8" x14ac:dyDescent="0.25">
      <c r="A11006" t="s">
        <v>22</v>
      </c>
      <c r="B11006" t="s">
        <v>977</v>
      </c>
    </row>
    <row r="11007" spans="1:8" x14ac:dyDescent="0.25">
      <c r="A11007" t="s">
        <v>2242</v>
      </c>
      <c r="B11007" t="s">
        <v>978</v>
      </c>
      <c r="C11007" t="s">
        <v>644</v>
      </c>
      <c r="D11007">
        <v>10</v>
      </c>
      <c r="E11007">
        <v>7200</v>
      </c>
      <c r="F11007">
        <v>0</v>
      </c>
      <c r="G11007">
        <v>5</v>
      </c>
      <c r="H11007" t="s">
        <v>19</v>
      </c>
    </row>
    <row r="11008" spans="1:8" x14ac:dyDescent="0.25">
      <c r="A11008" t="str">
        <f>"&lt;nominal&gt;" &amp;$D$11007&amp;"&lt;/nominal&gt;"</f>
        <v>&lt;nominal&gt;10&lt;/nominal&gt;</v>
      </c>
      <c r="B11008" t="s">
        <v>978</v>
      </c>
    </row>
    <row r="11009" spans="1:8" x14ac:dyDescent="0.25">
      <c r="A11009" t="str">
        <f>"&lt;lifetime&gt;" &amp;$E$11007&amp;"&lt;/lifetime&gt;"</f>
        <v>&lt;lifetime&gt;7200&lt;/lifetime&gt;</v>
      </c>
      <c r="B11009" t="s">
        <v>978</v>
      </c>
    </row>
    <row r="11010" spans="1:8" x14ac:dyDescent="0.25">
      <c r="A11010" t="str">
        <f>"&lt;restock&gt;" &amp;$F$11007&amp;"&lt;/restock&gt;"</f>
        <v>&lt;restock&gt;0&lt;/restock&gt;</v>
      </c>
      <c r="B11010" t="s">
        <v>978</v>
      </c>
    </row>
    <row r="11011" spans="1:8" x14ac:dyDescent="0.25">
      <c r="A11011" t="str">
        <f>"&lt;min&gt;" &amp;$G$11007&amp;"&lt;/min&gt;"</f>
        <v>&lt;min&gt;5&lt;/min&gt;</v>
      </c>
      <c r="B11011" t="s">
        <v>978</v>
      </c>
    </row>
    <row r="11012" spans="1:8" x14ac:dyDescent="0.25">
      <c r="A11012" t="s">
        <v>16</v>
      </c>
      <c r="B11012" t="s">
        <v>978</v>
      </c>
    </row>
    <row r="11013" spans="1:8" x14ac:dyDescent="0.25">
      <c r="A11013" t="s">
        <v>17</v>
      </c>
      <c r="B11013" t="s">
        <v>978</v>
      </c>
    </row>
    <row r="11014" spans="1:8" x14ac:dyDescent="0.25">
      <c r="A11014" t="s">
        <v>18</v>
      </c>
      <c r="B11014" t="s">
        <v>978</v>
      </c>
    </row>
    <row r="11015" spans="1:8" x14ac:dyDescent="0.25">
      <c r="A11015" t="str">
        <f xml:space="preserve"> $H$11007</f>
        <v>&lt;flags count_in_cargo="0" count_in_hoarder="0" count_in_map="1" count_in_player="0" crafted="0" deloot="0"/&gt;</v>
      </c>
      <c r="B11015" t="s">
        <v>978</v>
      </c>
    </row>
    <row r="11016" spans="1:8" x14ac:dyDescent="0.25">
      <c r="A11016" t="str">
        <f>"&lt;category name=" &amp;"""" &amp;$C$11007&amp;"""/&gt;"</f>
        <v>&lt;category name="explosives"/&gt;</v>
      </c>
      <c r="B11016" t="s">
        <v>978</v>
      </c>
    </row>
    <row r="11017" spans="1:8" x14ac:dyDescent="0.25">
      <c r="A11017" t="s">
        <v>29</v>
      </c>
      <c r="B11017" t="s">
        <v>978</v>
      </c>
    </row>
    <row r="11018" spans="1:8" x14ac:dyDescent="0.25">
      <c r="A11018" t="s">
        <v>173</v>
      </c>
      <c r="B11018" t="s">
        <v>978</v>
      </c>
    </row>
    <row r="11019" spans="1:8" x14ac:dyDescent="0.25">
      <c r="A11019" t="s">
        <v>22</v>
      </c>
      <c r="B11019" t="s">
        <v>978</v>
      </c>
    </row>
    <row r="11020" spans="1:8" x14ac:dyDescent="0.25">
      <c r="A11020" t="s">
        <v>2243</v>
      </c>
      <c r="B11020" t="s">
        <v>979</v>
      </c>
      <c r="C11020" t="s">
        <v>644</v>
      </c>
      <c r="D11020">
        <v>10</v>
      </c>
      <c r="E11020">
        <v>7200</v>
      </c>
      <c r="F11020">
        <v>0</v>
      </c>
      <c r="G11020">
        <v>5</v>
      </c>
      <c r="H11020" t="s">
        <v>19</v>
      </c>
    </row>
    <row r="11021" spans="1:8" x14ac:dyDescent="0.25">
      <c r="A11021" t="str">
        <f>"&lt;nominal&gt;" &amp;$D$11020&amp;"&lt;/nominal&gt;"</f>
        <v>&lt;nominal&gt;10&lt;/nominal&gt;</v>
      </c>
      <c r="B11021" t="s">
        <v>979</v>
      </c>
    </row>
    <row r="11022" spans="1:8" x14ac:dyDescent="0.25">
      <c r="A11022" t="str">
        <f>"&lt;lifetime&gt;" &amp;$E$11020&amp;"&lt;/lifetime&gt;"</f>
        <v>&lt;lifetime&gt;7200&lt;/lifetime&gt;</v>
      </c>
      <c r="B11022" t="s">
        <v>979</v>
      </c>
    </row>
    <row r="11023" spans="1:8" x14ac:dyDescent="0.25">
      <c r="A11023" t="str">
        <f>"&lt;restock&gt;" &amp;$F$11020&amp;"&lt;/restock&gt;"</f>
        <v>&lt;restock&gt;0&lt;/restock&gt;</v>
      </c>
      <c r="B11023" t="s">
        <v>979</v>
      </c>
    </row>
    <row r="11024" spans="1:8" x14ac:dyDescent="0.25">
      <c r="A11024" t="str">
        <f>"&lt;min&gt;" &amp;$G$11020&amp;"&lt;/min&gt;"</f>
        <v>&lt;min&gt;5&lt;/min&gt;</v>
      </c>
      <c r="B11024" t="s">
        <v>979</v>
      </c>
    </row>
    <row r="11025" spans="1:8" x14ac:dyDescent="0.25">
      <c r="A11025" t="s">
        <v>16</v>
      </c>
      <c r="B11025" t="s">
        <v>979</v>
      </c>
    </row>
    <row r="11026" spans="1:8" x14ac:dyDescent="0.25">
      <c r="A11026" t="s">
        <v>17</v>
      </c>
      <c r="B11026" t="s">
        <v>979</v>
      </c>
    </row>
    <row r="11027" spans="1:8" x14ac:dyDescent="0.25">
      <c r="A11027" t="s">
        <v>18</v>
      </c>
      <c r="B11027" t="s">
        <v>979</v>
      </c>
    </row>
    <row r="11028" spans="1:8" x14ac:dyDescent="0.25">
      <c r="A11028" t="str">
        <f xml:space="preserve"> $H$11020</f>
        <v>&lt;flags count_in_cargo="0" count_in_hoarder="0" count_in_map="1" count_in_player="0" crafted="0" deloot="0"/&gt;</v>
      </c>
      <c r="B11028" t="s">
        <v>979</v>
      </c>
    </row>
    <row r="11029" spans="1:8" x14ac:dyDescent="0.25">
      <c r="A11029" t="str">
        <f>"&lt;category name=" &amp;"""" &amp;$C$11020&amp;"""/&gt;"</f>
        <v>&lt;category name="explosives"/&gt;</v>
      </c>
      <c r="B11029" t="s">
        <v>979</v>
      </c>
    </row>
    <row r="11030" spans="1:8" x14ac:dyDescent="0.25">
      <c r="A11030" t="s">
        <v>29</v>
      </c>
      <c r="B11030" t="s">
        <v>979</v>
      </c>
    </row>
    <row r="11031" spans="1:8" x14ac:dyDescent="0.25">
      <c r="A11031" t="s">
        <v>173</v>
      </c>
      <c r="B11031" t="s">
        <v>979</v>
      </c>
    </row>
    <row r="11032" spans="1:8" x14ac:dyDescent="0.25">
      <c r="A11032" t="s">
        <v>22</v>
      </c>
      <c r="B11032" t="s">
        <v>979</v>
      </c>
    </row>
    <row r="11033" spans="1:8" x14ac:dyDescent="0.25">
      <c r="A11033" t="s">
        <v>2244</v>
      </c>
      <c r="B11033" t="s">
        <v>980</v>
      </c>
      <c r="C11033" t="s">
        <v>644</v>
      </c>
      <c r="D11033">
        <v>15</v>
      </c>
      <c r="E11033">
        <v>7200</v>
      </c>
      <c r="F11033">
        <v>0</v>
      </c>
      <c r="G11033">
        <v>5</v>
      </c>
      <c r="H11033" t="s">
        <v>19</v>
      </c>
    </row>
    <row r="11034" spans="1:8" x14ac:dyDescent="0.25">
      <c r="A11034" t="str">
        <f>"&lt;nominal&gt;" &amp;$D$11033&amp;"&lt;/nominal&gt;"</f>
        <v>&lt;nominal&gt;15&lt;/nominal&gt;</v>
      </c>
      <c r="B11034" t="s">
        <v>980</v>
      </c>
    </row>
    <row r="11035" spans="1:8" x14ac:dyDescent="0.25">
      <c r="A11035" t="str">
        <f>"&lt;lifetime&gt;" &amp;$E$11033&amp;"&lt;/lifetime&gt;"</f>
        <v>&lt;lifetime&gt;7200&lt;/lifetime&gt;</v>
      </c>
      <c r="B11035" t="s">
        <v>980</v>
      </c>
    </row>
    <row r="11036" spans="1:8" x14ac:dyDescent="0.25">
      <c r="A11036" t="str">
        <f>"&lt;restock&gt;" &amp;$F$11033&amp;"&lt;/restock&gt;"</f>
        <v>&lt;restock&gt;0&lt;/restock&gt;</v>
      </c>
      <c r="B11036" t="s">
        <v>980</v>
      </c>
    </row>
    <row r="11037" spans="1:8" x14ac:dyDescent="0.25">
      <c r="A11037" t="str">
        <f>"&lt;min&gt;" &amp;$G$11033&amp;"&lt;/min&gt;"</f>
        <v>&lt;min&gt;5&lt;/min&gt;</v>
      </c>
      <c r="B11037" t="s">
        <v>980</v>
      </c>
    </row>
    <row r="11038" spans="1:8" x14ac:dyDescent="0.25">
      <c r="A11038" t="s">
        <v>16</v>
      </c>
      <c r="B11038" t="s">
        <v>980</v>
      </c>
    </row>
    <row r="11039" spans="1:8" x14ac:dyDescent="0.25">
      <c r="A11039" t="s">
        <v>17</v>
      </c>
      <c r="B11039" t="s">
        <v>980</v>
      </c>
    </row>
    <row r="11040" spans="1:8" x14ac:dyDescent="0.25">
      <c r="A11040" t="s">
        <v>18</v>
      </c>
      <c r="B11040" t="s">
        <v>980</v>
      </c>
    </row>
    <row r="11041" spans="1:8" x14ac:dyDescent="0.25">
      <c r="A11041" t="str">
        <f xml:space="preserve"> $H$11033</f>
        <v>&lt;flags count_in_cargo="0" count_in_hoarder="0" count_in_map="1" count_in_player="0" crafted="0" deloot="0"/&gt;</v>
      </c>
      <c r="B11041" t="s">
        <v>980</v>
      </c>
    </row>
    <row r="11042" spans="1:8" x14ac:dyDescent="0.25">
      <c r="A11042" t="str">
        <f>"&lt;category name=" &amp;"""" &amp;$C$11033&amp;"""/&gt;"</f>
        <v>&lt;category name="explosives"/&gt;</v>
      </c>
      <c r="B11042" t="s">
        <v>980</v>
      </c>
    </row>
    <row r="11043" spans="1:8" x14ac:dyDescent="0.25">
      <c r="A11043" t="s">
        <v>29</v>
      </c>
      <c r="B11043" t="s">
        <v>980</v>
      </c>
    </row>
    <row r="11044" spans="1:8" x14ac:dyDescent="0.25">
      <c r="A11044" t="s">
        <v>22</v>
      </c>
      <c r="B11044" t="s">
        <v>980</v>
      </c>
    </row>
    <row r="11045" spans="1:8" x14ac:dyDescent="0.25">
      <c r="A11045" t="s">
        <v>2245</v>
      </c>
      <c r="B11045" t="s">
        <v>981</v>
      </c>
      <c r="C11045" t="s">
        <v>403</v>
      </c>
      <c r="D11045">
        <v>15</v>
      </c>
      <c r="E11045">
        <v>1800</v>
      </c>
      <c r="F11045">
        <v>0</v>
      </c>
      <c r="G11045">
        <v>5</v>
      </c>
      <c r="H11045" t="s">
        <v>19</v>
      </c>
    </row>
    <row r="11046" spans="1:8" x14ac:dyDescent="0.25">
      <c r="A11046" t="str">
        <f>"&lt;nominal&gt;" &amp;$D$11045&amp;"&lt;/nominal&gt;"</f>
        <v>&lt;nominal&gt;15&lt;/nominal&gt;</v>
      </c>
      <c r="B11046" t="s">
        <v>981</v>
      </c>
    </row>
    <row r="11047" spans="1:8" x14ac:dyDescent="0.25">
      <c r="A11047" t="str">
        <f>"&lt;lifetime&gt;" &amp;$E$11045&amp;"&lt;/lifetime&gt;"</f>
        <v>&lt;lifetime&gt;1800&lt;/lifetime&gt;</v>
      </c>
      <c r="B11047" t="s">
        <v>981</v>
      </c>
    </row>
    <row r="11048" spans="1:8" x14ac:dyDescent="0.25">
      <c r="A11048" t="str">
        <f>"&lt;restock&gt;" &amp;$F$11045&amp;"&lt;/restock&gt;"</f>
        <v>&lt;restock&gt;0&lt;/restock&gt;</v>
      </c>
      <c r="B11048" t="s">
        <v>981</v>
      </c>
    </row>
    <row r="11049" spans="1:8" x14ac:dyDescent="0.25">
      <c r="A11049" t="str">
        <f>"&lt;min&gt;" &amp;$G$11045&amp;"&lt;/min&gt;"</f>
        <v>&lt;min&gt;5&lt;/min&gt;</v>
      </c>
      <c r="B11049" t="s">
        <v>981</v>
      </c>
    </row>
    <row r="11050" spans="1:8" x14ac:dyDescent="0.25">
      <c r="A11050" t="s">
        <v>16</v>
      </c>
      <c r="B11050" t="s">
        <v>981</v>
      </c>
    </row>
    <row r="11051" spans="1:8" x14ac:dyDescent="0.25">
      <c r="A11051" t="s">
        <v>17</v>
      </c>
      <c r="B11051" t="s">
        <v>981</v>
      </c>
    </row>
    <row r="11052" spans="1:8" x14ac:dyDescent="0.25">
      <c r="A11052" t="s">
        <v>18</v>
      </c>
      <c r="B11052" t="s">
        <v>981</v>
      </c>
    </row>
    <row r="11053" spans="1:8" x14ac:dyDescent="0.25">
      <c r="A11053" t="str">
        <f xml:space="preserve"> $H$11045</f>
        <v>&lt;flags count_in_cargo="0" count_in_hoarder="0" count_in_map="1" count_in_player="0" crafted="0" deloot="0"/&gt;</v>
      </c>
      <c r="B11053" t="s">
        <v>981</v>
      </c>
    </row>
    <row r="11054" spans="1:8" x14ac:dyDescent="0.25">
      <c r="A11054" t="str">
        <f>"&lt;category name=" &amp;"""" &amp;$C$11045&amp;"""/&gt;"</f>
        <v>&lt;category name="clothes"/&gt;</v>
      </c>
      <c r="B11054" t="s">
        <v>981</v>
      </c>
    </row>
    <row r="11055" spans="1:8" x14ac:dyDescent="0.25">
      <c r="A11055" t="s">
        <v>20</v>
      </c>
      <c r="B11055" t="s">
        <v>981</v>
      </c>
    </row>
    <row r="11056" spans="1:8" x14ac:dyDescent="0.25">
      <c r="A11056" t="s">
        <v>55</v>
      </c>
      <c r="B11056" t="s">
        <v>981</v>
      </c>
    </row>
    <row r="11057" spans="1:8" x14ac:dyDescent="0.25">
      <c r="A11057" t="s">
        <v>56</v>
      </c>
      <c r="B11057" t="s">
        <v>981</v>
      </c>
    </row>
    <row r="11058" spans="1:8" x14ac:dyDescent="0.25">
      <c r="A11058" t="s">
        <v>39</v>
      </c>
      <c r="B11058" t="s">
        <v>981</v>
      </c>
    </row>
    <row r="11059" spans="1:8" x14ac:dyDescent="0.25">
      <c r="A11059" t="s">
        <v>40</v>
      </c>
      <c r="B11059" t="s">
        <v>981</v>
      </c>
    </row>
    <row r="11060" spans="1:8" x14ac:dyDescent="0.25">
      <c r="A11060" t="s">
        <v>22</v>
      </c>
      <c r="B11060" t="s">
        <v>981</v>
      </c>
    </row>
    <row r="11061" spans="1:8" x14ac:dyDescent="0.25">
      <c r="A11061" t="s">
        <v>2246</v>
      </c>
      <c r="B11061" t="s">
        <v>982</v>
      </c>
      <c r="C11061" t="s">
        <v>403</v>
      </c>
      <c r="D11061">
        <v>15</v>
      </c>
      <c r="E11061">
        <v>1800</v>
      </c>
      <c r="F11061">
        <v>0</v>
      </c>
      <c r="G11061">
        <v>5</v>
      </c>
      <c r="H11061" t="s">
        <v>19</v>
      </c>
    </row>
    <row r="11062" spans="1:8" x14ac:dyDescent="0.25">
      <c r="A11062" t="str">
        <f>"&lt;nominal&gt;" &amp;$D$11061&amp;"&lt;/nominal&gt;"</f>
        <v>&lt;nominal&gt;15&lt;/nominal&gt;</v>
      </c>
      <c r="B11062" t="s">
        <v>982</v>
      </c>
    </row>
    <row r="11063" spans="1:8" x14ac:dyDescent="0.25">
      <c r="A11063" t="str">
        <f>"&lt;lifetime&gt;" &amp;$E$11061&amp;"&lt;/lifetime&gt;"</f>
        <v>&lt;lifetime&gt;1800&lt;/lifetime&gt;</v>
      </c>
      <c r="B11063" t="s">
        <v>982</v>
      </c>
    </row>
    <row r="11064" spans="1:8" x14ac:dyDescent="0.25">
      <c r="A11064" t="str">
        <f>"&lt;restock&gt;" &amp;$F$11061&amp;"&lt;/restock&gt;"</f>
        <v>&lt;restock&gt;0&lt;/restock&gt;</v>
      </c>
      <c r="B11064" t="s">
        <v>982</v>
      </c>
    </row>
    <row r="11065" spans="1:8" x14ac:dyDescent="0.25">
      <c r="A11065" t="str">
        <f>"&lt;min&gt;" &amp;$G$11061&amp;"&lt;/min&gt;"</f>
        <v>&lt;min&gt;5&lt;/min&gt;</v>
      </c>
      <c r="B11065" t="s">
        <v>982</v>
      </c>
    </row>
    <row r="11066" spans="1:8" x14ac:dyDescent="0.25">
      <c r="A11066" t="s">
        <v>16</v>
      </c>
      <c r="B11066" t="s">
        <v>982</v>
      </c>
    </row>
    <row r="11067" spans="1:8" x14ac:dyDescent="0.25">
      <c r="A11067" t="s">
        <v>17</v>
      </c>
      <c r="B11067" t="s">
        <v>982</v>
      </c>
    </row>
    <row r="11068" spans="1:8" x14ac:dyDescent="0.25">
      <c r="A11068" t="s">
        <v>18</v>
      </c>
      <c r="B11068" t="s">
        <v>982</v>
      </c>
    </row>
    <row r="11069" spans="1:8" x14ac:dyDescent="0.25">
      <c r="A11069" t="str">
        <f xml:space="preserve"> $H$11061</f>
        <v>&lt;flags count_in_cargo="0" count_in_hoarder="0" count_in_map="1" count_in_player="0" crafted="0" deloot="0"/&gt;</v>
      </c>
      <c r="B11069" t="s">
        <v>982</v>
      </c>
    </row>
    <row r="11070" spans="1:8" x14ac:dyDescent="0.25">
      <c r="A11070" t="str">
        <f>"&lt;category name=" &amp;"""" &amp;$C$11061&amp;"""/&gt;"</f>
        <v>&lt;category name="clothes"/&gt;</v>
      </c>
      <c r="B11070" t="s">
        <v>982</v>
      </c>
    </row>
    <row r="11071" spans="1:8" x14ac:dyDescent="0.25">
      <c r="A11071" t="s">
        <v>20</v>
      </c>
      <c r="B11071" t="s">
        <v>982</v>
      </c>
    </row>
    <row r="11072" spans="1:8" x14ac:dyDescent="0.25">
      <c r="A11072" t="s">
        <v>55</v>
      </c>
      <c r="B11072" t="s">
        <v>982</v>
      </c>
    </row>
    <row r="11073" spans="1:8" x14ac:dyDescent="0.25">
      <c r="A11073" t="s">
        <v>56</v>
      </c>
      <c r="B11073" t="s">
        <v>982</v>
      </c>
    </row>
    <row r="11074" spans="1:8" x14ac:dyDescent="0.25">
      <c r="A11074" t="s">
        <v>39</v>
      </c>
      <c r="B11074" t="s">
        <v>982</v>
      </c>
    </row>
    <row r="11075" spans="1:8" x14ac:dyDescent="0.25">
      <c r="A11075" t="s">
        <v>40</v>
      </c>
      <c r="B11075" t="s">
        <v>982</v>
      </c>
    </row>
    <row r="11076" spans="1:8" x14ac:dyDescent="0.25">
      <c r="A11076" t="s">
        <v>22</v>
      </c>
      <c r="B11076" t="s">
        <v>982</v>
      </c>
    </row>
    <row r="11077" spans="1:8" x14ac:dyDescent="0.25">
      <c r="A11077" t="s">
        <v>2247</v>
      </c>
      <c r="B11077" t="s">
        <v>983</v>
      </c>
      <c r="C11077" t="s">
        <v>403</v>
      </c>
      <c r="D11077">
        <v>15</v>
      </c>
      <c r="E11077">
        <v>1800</v>
      </c>
      <c r="F11077">
        <v>0</v>
      </c>
      <c r="G11077">
        <v>5</v>
      </c>
      <c r="H11077" t="s">
        <v>19</v>
      </c>
    </row>
    <row r="11078" spans="1:8" x14ac:dyDescent="0.25">
      <c r="A11078" t="str">
        <f>"&lt;nominal&gt;" &amp;$D$11077&amp;"&lt;/nominal&gt;"</f>
        <v>&lt;nominal&gt;15&lt;/nominal&gt;</v>
      </c>
      <c r="B11078" t="s">
        <v>983</v>
      </c>
    </row>
    <row r="11079" spans="1:8" x14ac:dyDescent="0.25">
      <c r="A11079" t="str">
        <f>"&lt;lifetime&gt;" &amp;$E$11077&amp;"&lt;/lifetime&gt;"</f>
        <v>&lt;lifetime&gt;1800&lt;/lifetime&gt;</v>
      </c>
      <c r="B11079" t="s">
        <v>983</v>
      </c>
    </row>
    <row r="11080" spans="1:8" x14ac:dyDescent="0.25">
      <c r="A11080" t="str">
        <f>"&lt;restock&gt;" &amp;$F$11077&amp;"&lt;/restock&gt;"</f>
        <v>&lt;restock&gt;0&lt;/restock&gt;</v>
      </c>
      <c r="B11080" t="s">
        <v>983</v>
      </c>
    </row>
    <row r="11081" spans="1:8" x14ac:dyDescent="0.25">
      <c r="A11081" t="str">
        <f>"&lt;min&gt;" &amp;$G$11077&amp;"&lt;/min&gt;"</f>
        <v>&lt;min&gt;5&lt;/min&gt;</v>
      </c>
      <c r="B11081" t="s">
        <v>983</v>
      </c>
    </row>
    <row r="11082" spans="1:8" x14ac:dyDescent="0.25">
      <c r="A11082" t="s">
        <v>16</v>
      </c>
      <c r="B11082" t="s">
        <v>983</v>
      </c>
    </row>
    <row r="11083" spans="1:8" x14ac:dyDescent="0.25">
      <c r="A11083" t="s">
        <v>17</v>
      </c>
      <c r="B11083" t="s">
        <v>983</v>
      </c>
    </row>
    <row r="11084" spans="1:8" x14ac:dyDescent="0.25">
      <c r="A11084" t="s">
        <v>18</v>
      </c>
      <c r="B11084" t="s">
        <v>983</v>
      </c>
    </row>
    <row r="11085" spans="1:8" x14ac:dyDescent="0.25">
      <c r="A11085" t="str">
        <f xml:space="preserve"> $H$11077</f>
        <v>&lt;flags count_in_cargo="0" count_in_hoarder="0" count_in_map="1" count_in_player="0" crafted="0" deloot="0"/&gt;</v>
      </c>
      <c r="B11085" t="s">
        <v>983</v>
      </c>
    </row>
    <row r="11086" spans="1:8" x14ac:dyDescent="0.25">
      <c r="A11086" t="str">
        <f>"&lt;category name=" &amp;"""" &amp;$C$11077&amp;"""/&gt;"</f>
        <v>&lt;category name="clothes"/&gt;</v>
      </c>
      <c r="B11086" t="s">
        <v>983</v>
      </c>
    </row>
    <row r="11087" spans="1:8" x14ac:dyDescent="0.25">
      <c r="A11087" t="s">
        <v>20</v>
      </c>
      <c r="B11087" t="s">
        <v>983</v>
      </c>
    </row>
    <row r="11088" spans="1:8" x14ac:dyDescent="0.25">
      <c r="A11088" t="s">
        <v>55</v>
      </c>
      <c r="B11088" t="s">
        <v>983</v>
      </c>
    </row>
    <row r="11089" spans="1:8" x14ac:dyDescent="0.25">
      <c r="A11089" t="s">
        <v>56</v>
      </c>
      <c r="B11089" t="s">
        <v>983</v>
      </c>
    </row>
    <row r="11090" spans="1:8" x14ac:dyDescent="0.25">
      <c r="A11090" t="s">
        <v>39</v>
      </c>
      <c r="B11090" t="s">
        <v>983</v>
      </c>
    </row>
    <row r="11091" spans="1:8" x14ac:dyDescent="0.25">
      <c r="A11091" t="s">
        <v>40</v>
      </c>
      <c r="B11091" t="s">
        <v>983</v>
      </c>
    </row>
    <row r="11092" spans="1:8" x14ac:dyDescent="0.25">
      <c r="A11092" t="s">
        <v>22</v>
      </c>
      <c r="B11092" t="s">
        <v>983</v>
      </c>
    </row>
    <row r="11093" spans="1:8" x14ac:dyDescent="0.25">
      <c r="A11093" t="s">
        <v>2248</v>
      </c>
      <c r="B11093" t="s">
        <v>984</v>
      </c>
      <c r="C11093" t="s">
        <v>403</v>
      </c>
      <c r="D11093">
        <v>15</v>
      </c>
      <c r="E11093">
        <v>1800</v>
      </c>
      <c r="F11093">
        <v>0</v>
      </c>
      <c r="G11093">
        <v>5</v>
      </c>
      <c r="H11093" t="s">
        <v>19</v>
      </c>
    </row>
    <row r="11094" spans="1:8" x14ac:dyDescent="0.25">
      <c r="A11094" t="str">
        <f>"&lt;nominal&gt;" &amp;$D$11093&amp;"&lt;/nominal&gt;"</f>
        <v>&lt;nominal&gt;15&lt;/nominal&gt;</v>
      </c>
      <c r="B11094" t="s">
        <v>984</v>
      </c>
    </row>
    <row r="11095" spans="1:8" x14ac:dyDescent="0.25">
      <c r="A11095" t="str">
        <f>"&lt;lifetime&gt;" &amp;$E$11093&amp;"&lt;/lifetime&gt;"</f>
        <v>&lt;lifetime&gt;1800&lt;/lifetime&gt;</v>
      </c>
      <c r="B11095" t="s">
        <v>984</v>
      </c>
    </row>
    <row r="11096" spans="1:8" x14ac:dyDescent="0.25">
      <c r="A11096" t="str">
        <f>"&lt;restock&gt;" &amp;$F$11093&amp;"&lt;/restock&gt;"</f>
        <v>&lt;restock&gt;0&lt;/restock&gt;</v>
      </c>
      <c r="B11096" t="s">
        <v>984</v>
      </c>
    </row>
    <row r="11097" spans="1:8" x14ac:dyDescent="0.25">
      <c r="A11097" t="str">
        <f>"&lt;min&gt;" &amp;$G$11093&amp;"&lt;/min&gt;"</f>
        <v>&lt;min&gt;5&lt;/min&gt;</v>
      </c>
      <c r="B11097" t="s">
        <v>984</v>
      </c>
    </row>
    <row r="11098" spans="1:8" x14ac:dyDescent="0.25">
      <c r="A11098" t="s">
        <v>16</v>
      </c>
      <c r="B11098" t="s">
        <v>984</v>
      </c>
    </row>
    <row r="11099" spans="1:8" x14ac:dyDescent="0.25">
      <c r="A11099" t="s">
        <v>17</v>
      </c>
      <c r="B11099" t="s">
        <v>984</v>
      </c>
    </row>
    <row r="11100" spans="1:8" x14ac:dyDescent="0.25">
      <c r="A11100" t="s">
        <v>18</v>
      </c>
      <c r="B11100" t="s">
        <v>984</v>
      </c>
    </row>
    <row r="11101" spans="1:8" x14ac:dyDescent="0.25">
      <c r="A11101" t="str">
        <f xml:space="preserve"> $H$11093</f>
        <v>&lt;flags count_in_cargo="0" count_in_hoarder="0" count_in_map="1" count_in_player="0" crafted="0" deloot="0"/&gt;</v>
      </c>
      <c r="B11101" t="s">
        <v>984</v>
      </c>
    </row>
    <row r="11102" spans="1:8" x14ac:dyDescent="0.25">
      <c r="A11102" t="str">
        <f>"&lt;category name=" &amp;"""" &amp;$C$11093&amp;"""/&gt;"</f>
        <v>&lt;category name="clothes"/&gt;</v>
      </c>
      <c r="B11102" t="s">
        <v>984</v>
      </c>
    </row>
    <row r="11103" spans="1:8" x14ac:dyDescent="0.25">
      <c r="A11103" t="s">
        <v>20</v>
      </c>
      <c r="B11103" t="s">
        <v>984</v>
      </c>
    </row>
    <row r="11104" spans="1:8" x14ac:dyDescent="0.25">
      <c r="A11104" t="s">
        <v>55</v>
      </c>
      <c r="B11104" t="s">
        <v>984</v>
      </c>
    </row>
    <row r="11105" spans="1:8" x14ac:dyDescent="0.25">
      <c r="A11105" t="s">
        <v>56</v>
      </c>
      <c r="B11105" t="s">
        <v>984</v>
      </c>
    </row>
    <row r="11106" spans="1:8" x14ac:dyDescent="0.25">
      <c r="A11106" t="s">
        <v>39</v>
      </c>
      <c r="B11106" t="s">
        <v>984</v>
      </c>
    </row>
    <row r="11107" spans="1:8" x14ac:dyDescent="0.25">
      <c r="A11107" t="s">
        <v>40</v>
      </c>
      <c r="B11107" t="s">
        <v>984</v>
      </c>
    </row>
    <row r="11108" spans="1:8" x14ac:dyDescent="0.25">
      <c r="A11108" t="s">
        <v>22</v>
      </c>
      <c r="B11108" t="s">
        <v>984</v>
      </c>
    </row>
    <row r="11109" spans="1:8" x14ac:dyDescent="0.25">
      <c r="A11109" t="s">
        <v>2249</v>
      </c>
      <c r="B11109" t="s">
        <v>985</v>
      </c>
      <c r="C11109" t="s">
        <v>403</v>
      </c>
      <c r="D11109">
        <v>15</v>
      </c>
      <c r="E11109">
        <v>1800</v>
      </c>
      <c r="F11109">
        <v>0</v>
      </c>
      <c r="G11109">
        <v>5</v>
      </c>
      <c r="H11109" t="s">
        <v>19</v>
      </c>
    </row>
    <row r="11110" spans="1:8" x14ac:dyDescent="0.25">
      <c r="A11110" t="str">
        <f>"&lt;nominal&gt;" &amp;$D$11109&amp;"&lt;/nominal&gt;"</f>
        <v>&lt;nominal&gt;15&lt;/nominal&gt;</v>
      </c>
      <c r="B11110" t="s">
        <v>985</v>
      </c>
    </row>
    <row r="11111" spans="1:8" x14ac:dyDescent="0.25">
      <c r="A11111" t="str">
        <f>"&lt;lifetime&gt;" &amp;$E$11109&amp;"&lt;/lifetime&gt;"</f>
        <v>&lt;lifetime&gt;1800&lt;/lifetime&gt;</v>
      </c>
      <c r="B11111" t="s">
        <v>985</v>
      </c>
    </row>
    <row r="11112" spans="1:8" x14ac:dyDescent="0.25">
      <c r="A11112" t="str">
        <f>"&lt;restock&gt;" &amp;$F$11109&amp;"&lt;/restock&gt;"</f>
        <v>&lt;restock&gt;0&lt;/restock&gt;</v>
      </c>
      <c r="B11112" t="s">
        <v>985</v>
      </c>
    </row>
    <row r="11113" spans="1:8" x14ac:dyDescent="0.25">
      <c r="A11113" t="str">
        <f>"&lt;min&gt;" &amp;$G$11109&amp;"&lt;/min&gt;"</f>
        <v>&lt;min&gt;5&lt;/min&gt;</v>
      </c>
      <c r="B11113" t="s">
        <v>985</v>
      </c>
    </row>
    <row r="11114" spans="1:8" x14ac:dyDescent="0.25">
      <c r="A11114" t="s">
        <v>16</v>
      </c>
      <c r="B11114" t="s">
        <v>985</v>
      </c>
    </row>
    <row r="11115" spans="1:8" x14ac:dyDescent="0.25">
      <c r="A11115" t="s">
        <v>17</v>
      </c>
      <c r="B11115" t="s">
        <v>985</v>
      </c>
    </row>
    <row r="11116" spans="1:8" x14ac:dyDescent="0.25">
      <c r="A11116" t="s">
        <v>18</v>
      </c>
      <c r="B11116" t="s">
        <v>985</v>
      </c>
    </row>
    <row r="11117" spans="1:8" x14ac:dyDescent="0.25">
      <c r="A11117" t="str">
        <f xml:space="preserve"> $H$11109</f>
        <v>&lt;flags count_in_cargo="0" count_in_hoarder="0" count_in_map="1" count_in_player="0" crafted="0" deloot="0"/&gt;</v>
      </c>
      <c r="B11117" t="s">
        <v>985</v>
      </c>
    </row>
    <row r="11118" spans="1:8" x14ac:dyDescent="0.25">
      <c r="A11118" t="str">
        <f>"&lt;category name=" &amp;"""" &amp;$C$11109&amp;"""/&gt;"</f>
        <v>&lt;category name="clothes"/&gt;</v>
      </c>
      <c r="B11118" t="s">
        <v>985</v>
      </c>
    </row>
    <row r="11119" spans="1:8" x14ac:dyDescent="0.25">
      <c r="A11119" t="s">
        <v>20</v>
      </c>
      <c r="B11119" t="s">
        <v>985</v>
      </c>
    </row>
    <row r="11120" spans="1:8" x14ac:dyDescent="0.25">
      <c r="A11120" t="s">
        <v>55</v>
      </c>
      <c r="B11120" t="s">
        <v>985</v>
      </c>
    </row>
    <row r="11121" spans="1:8" x14ac:dyDescent="0.25">
      <c r="A11121" t="s">
        <v>56</v>
      </c>
      <c r="B11121" t="s">
        <v>985</v>
      </c>
    </row>
    <row r="11122" spans="1:8" x14ac:dyDescent="0.25">
      <c r="A11122" t="s">
        <v>39</v>
      </c>
      <c r="B11122" t="s">
        <v>985</v>
      </c>
    </row>
    <row r="11123" spans="1:8" x14ac:dyDescent="0.25">
      <c r="A11123" t="s">
        <v>40</v>
      </c>
      <c r="B11123" t="s">
        <v>985</v>
      </c>
    </row>
    <row r="11124" spans="1:8" x14ac:dyDescent="0.25">
      <c r="A11124" t="s">
        <v>22</v>
      </c>
      <c r="B11124" t="s">
        <v>985</v>
      </c>
    </row>
    <row r="11125" spans="1:8" x14ac:dyDescent="0.25">
      <c r="A11125" t="s">
        <v>2250</v>
      </c>
      <c r="B11125" t="s">
        <v>3460</v>
      </c>
      <c r="C11125" t="s">
        <v>403</v>
      </c>
      <c r="D11125">
        <v>0</v>
      </c>
      <c r="E11125">
        <v>7200</v>
      </c>
      <c r="F11125">
        <v>0</v>
      </c>
      <c r="G11125">
        <v>0</v>
      </c>
      <c r="H11125" t="s">
        <v>62</v>
      </c>
    </row>
    <row r="11126" spans="1:8" x14ac:dyDescent="0.25">
      <c r="A11126" t="str">
        <f>"&lt;nominal&gt;" &amp;$D$11125&amp;"&lt;/nominal&gt;"</f>
        <v>&lt;nominal&gt;0&lt;/nominal&gt;</v>
      </c>
      <c r="B11126" t="s">
        <v>3460</v>
      </c>
    </row>
    <row r="11127" spans="1:8" x14ac:dyDescent="0.25">
      <c r="A11127" t="str">
        <f>"&lt;lifetime&gt;" &amp;$E$11125&amp;"&lt;/lifetime&gt;"</f>
        <v>&lt;lifetime&gt;7200&lt;/lifetime&gt;</v>
      </c>
      <c r="B11127" t="s">
        <v>3460</v>
      </c>
    </row>
    <row r="11128" spans="1:8" x14ac:dyDescent="0.25">
      <c r="A11128" t="str">
        <f>"&lt;restock&gt;" &amp;$F$11125&amp;"&lt;/restock&gt;"</f>
        <v>&lt;restock&gt;0&lt;/restock&gt;</v>
      </c>
      <c r="B11128" t="s">
        <v>3460</v>
      </c>
    </row>
    <row r="11129" spans="1:8" x14ac:dyDescent="0.25">
      <c r="A11129" t="str">
        <f>"&lt;min&gt;" &amp;$G$11125&amp;"&lt;/min&gt;"</f>
        <v>&lt;min&gt;0&lt;/min&gt;</v>
      </c>
      <c r="B11129" t="s">
        <v>3460</v>
      </c>
    </row>
    <row r="11130" spans="1:8" x14ac:dyDescent="0.25">
      <c r="A11130" t="s">
        <v>16</v>
      </c>
      <c r="B11130" t="s">
        <v>3460</v>
      </c>
    </row>
    <row r="11131" spans="1:8" x14ac:dyDescent="0.25">
      <c r="A11131" t="s">
        <v>17</v>
      </c>
      <c r="B11131" t="s">
        <v>3460</v>
      </c>
    </row>
    <row r="11132" spans="1:8" x14ac:dyDescent="0.25">
      <c r="A11132" t="s">
        <v>18</v>
      </c>
      <c r="B11132" t="s">
        <v>3460</v>
      </c>
    </row>
    <row r="11133" spans="1:8" x14ac:dyDescent="0.25">
      <c r="A11133" t="str">
        <f xml:space="preserve"> $H$11125</f>
        <v>&lt;flags count_in_cargo="0" count_in_hoarder="0" count_in_map="1" count_in_player="0" crafted="1" deloot="0"/&gt;</v>
      </c>
      <c r="B11133" t="s">
        <v>3460</v>
      </c>
    </row>
    <row r="11134" spans="1:8" x14ac:dyDescent="0.25">
      <c r="A11134" t="str">
        <f>"&lt;category name=" &amp;"""" &amp;$C$11125&amp;"""/&gt;"</f>
        <v>&lt;category name="clothes"/&gt;</v>
      </c>
      <c r="B11134" t="s">
        <v>3460</v>
      </c>
    </row>
    <row r="11135" spans="1:8" x14ac:dyDescent="0.25">
      <c r="A11135" t="s">
        <v>22</v>
      </c>
      <c r="B11135" t="s">
        <v>3460</v>
      </c>
    </row>
    <row r="11136" spans="1:8" x14ac:dyDescent="0.25">
      <c r="A11136" t="s">
        <v>2251</v>
      </c>
      <c r="B11136" t="s">
        <v>986</v>
      </c>
      <c r="C11136" t="s">
        <v>403</v>
      </c>
      <c r="D11136">
        <v>25</v>
      </c>
      <c r="E11136">
        <v>5600</v>
      </c>
      <c r="F11136">
        <v>0</v>
      </c>
      <c r="G11136">
        <v>15</v>
      </c>
      <c r="H11136" t="s">
        <v>19</v>
      </c>
    </row>
    <row r="11137" spans="1:2" x14ac:dyDescent="0.25">
      <c r="A11137" t="str">
        <f>"&lt;nominal&gt;" &amp;$D$11136&amp;"&lt;/nominal&gt;"</f>
        <v>&lt;nominal&gt;25&lt;/nominal&gt;</v>
      </c>
      <c r="B11137" t="s">
        <v>986</v>
      </c>
    </row>
    <row r="11138" spans="1:2" x14ac:dyDescent="0.25">
      <c r="A11138" t="str">
        <f>"&lt;lifetime&gt;" &amp;$E$11136&amp;"&lt;/lifetime&gt;"</f>
        <v>&lt;lifetime&gt;5600&lt;/lifetime&gt;</v>
      </c>
      <c r="B11138" t="s">
        <v>986</v>
      </c>
    </row>
    <row r="11139" spans="1:2" x14ac:dyDescent="0.25">
      <c r="A11139" t="str">
        <f>"&lt;restock&gt;" &amp;$F$11136&amp;"&lt;/restock&gt;"</f>
        <v>&lt;restock&gt;0&lt;/restock&gt;</v>
      </c>
      <c r="B11139" t="s">
        <v>986</v>
      </c>
    </row>
    <row r="11140" spans="1:2" x14ac:dyDescent="0.25">
      <c r="A11140" t="str">
        <f>"&lt;min&gt;" &amp;$G$11136&amp;"&lt;/min&gt;"</f>
        <v>&lt;min&gt;15&lt;/min&gt;</v>
      </c>
      <c r="B11140" t="s">
        <v>986</v>
      </c>
    </row>
    <row r="11141" spans="1:2" x14ac:dyDescent="0.25">
      <c r="A11141" t="s">
        <v>16</v>
      </c>
      <c r="B11141" t="s">
        <v>986</v>
      </c>
    </row>
    <row r="11142" spans="1:2" x14ac:dyDescent="0.25">
      <c r="A11142" t="s">
        <v>17</v>
      </c>
      <c r="B11142" t="s">
        <v>986</v>
      </c>
    </row>
    <row r="11143" spans="1:2" x14ac:dyDescent="0.25">
      <c r="A11143" t="s">
        <v>18</v>
      </c>
      <c r="B11143" t="s">
        <v>986</v>
      </c>
    </row>
    <row r="11144" spans="1:2" x14ac:dyDescent="0.25">
      <c r="A11144" t="str">
        <f xml:space="preserve"> $H$11136</f>
        <v>&lt;flags count_in_cargo="0" count_in_hoarder="0" count_in_map="1" count_in_player="0" crafted="0" deloot="0"/&gt;</v>
      </c>
      <c r="B11144" t="s">
        <v>986</v>
      </c>
    </row>
    <row r="11145" spans="1:2" x14ac:dyDescent="0.25">
      <c r="A11145" t="str">
        <f>"&lt;category name=" &amp;"""" &amp;$C$11136&amp;"""/&gt;"</f>
        <v>&lt;category name="clothes"/&gt;</v>
      </c>
      <c r="B11145" t="s">
        <v>986</v>
      </c>
    </row>
    <row r="11146" spans="1:2" x14ac:dyDescent="0.25">
      <c r="A11146" t="s">
        <v>1616</v>
      </c>
      <c r="B11146" t="s">
        <v>986</v>
      </c>
    </row>
    <row r="11147" spans="1:2" x14ac:dyDescent="0.25">
      <c r="A11147" t="s">
        <v>39</v>
      </c>
      <c r="B11147" t="s">
        <v>986</v>
      </c>
    </row>
    <row r="11148" spans="1:2" x14ac:dyDescent="0.25">
      <c r="A11148" t="s">
        <v>40</v>
      </c>
      <c r="B11148" t="s">
        <v>986</v>
      </c>
    </row>
    <row r="11149" spans="1:2" x14ac:dyDescent="0.25">
      <c r="A11149" t="s">
        <v>30</v>
      </c>
      <c r="B11149" t="s">
        <v>986</v>
      </c>
    </row>
    <row r="11150" spans="1:2" x14ac:dyDescent="0.25">
      <c r="A11150" t="s">
        <v>31</v>
      </c>
      <c r="B11150" t="s">
        <v>986</v>
      </c>
    </row>
    <row r="11151" spans="1:2" x14ac:dyDescent="0.25">
      <c r="A11151" t="s">
        <v>307</v>
      </c>
      <c r="B11151" t="s">
        <v>986</v>
      </c>
    </row>
    <row r="11152" spans="1:2" x14ac:dyDescent="0.25">
      <c r="A11152" t="s">
        <v>22</v>
      </c>
      <c r="B11152" t="s">
        <v>986</v>
      </c>
    </row>
    <row r="11153" spans="1:8" x14ac:dyDescent="0.25">
      <c r="A11153" t="s">
        <v>2252</v>
      </c>
      <c r="B11153" t="s">
        <v>987</v>
      </c>
      <c r="C11153" t="s">
        <v>403</v>
      </c>
      <c r="D11153">
        <v>30</v>
      </c>
      <c r="E11153">
        <v>5600</v>
      </c>
      <c r="F11153">
        <v>0</v>
      </c>
      <c r="G11153">
        <v>20</v>
      </c>
      <c r="H11153" t="s">
        <v>19</v>
      </c>
    </row>
    <row r="11154" spans="1:8" x14ac:dyDescent="0.25">
      <c r="A11154" t="str">
        <f>"&lt;nominal&gt;" &amp;$D$11153&amp;"&lt;/nominal&gt;"</f>
        <v>&lt;nominal&gt;30&lt;/nominal&gt;</v>
      </c>
      <c r="B11154" t="s">
        <v>987</v>
      </c>
    </row>
    <row r="11155" spans="1:8" x14ac:dyDescent="0.25">
      <c r="A11155" t="str">
        <f>"&lt;lifetime&gt;" &amp;$E$11153&amp;"&lt;/lifetime&gt;"</f>
        <v>&lt;lifetime&gt;5600&lt;/lifetime&gt;</v>
      </c>
      <c r="B11155" t="s">
        <v>987</v>
      </c>
    </row>
    <row r="11156" spans="1:8" x14ac:dyDescent="0.25">
      <c r="A11156" t="str">
        <f>"&lt;restock&gt;" &amp;$F$11153&amp;"&lt;/restock&gt;"</f>
        <v>&lt;restock&gt;0&lt;/restock&gt;</v>
      </c>
      <c r="B11156" t="s">
        <v>987</v>
      </c>
    </row>
    <row r="11157" spans="1:8" x14ac:dyDescent="0.25">
      <c r="A11157" t="str">
        <f>"&lt;min&gt;" &amp;$G$11153&amp;"&lt;/min&gt;"</f>
        <v>&lt;min&gt;20&lt;/min&gt;</v>
      </c>
      <c r="B11157" t="s">
        <v>987</v>
      </c>
    </row>
    <row r="11158" spans="1:8" x14ac:dyDescent="0.25">
      <c r="A11158" t="s">
        <v>16</v>
      </c>
      <c r="B11158" t="s">
        <v>987</v>
      </c>
    </row>
    <row r="11159" spans="1:8" x14ac:dyDescent="0.25">
      <c r="A11159" t="s">
        <v>17</v>
      </c>
      <c r="B11159" t="s">
        <v>987</v>
      </c>
    </row>
    <row r="11160" spans="1:8" x14ac:dyDescent="0.25">
      <c r="A11160" t="s">
        <v>18</v>
      </c>
      <c r="B11160" t="s">
        <v>987</v>
      </c>
    </row>
    <row r="11161" spans="1:8" x14ac:dyDescent="0.25">
      <c r="A11161" t="str">
        <f xml:space="preserve"> $H$11153</f>
        <v>&lt;flags count_in_cargo="0" count_in_hoarder="0" count_in_map="1" count_in_player="0" crafted="0" deloot="0"/&gt;</v>
      </c>
      <c r="B11161" t="s">
        <v>987</v>
      </c>
    </row>
    <row r="11162" spans="1:8" x14ac:dyDescent="0.25">
      <c r="A11162" t="str">
        <f>"&lt;category name=" &amp;"""" &amp;$C$11153&amp;"""/&gt;"</f>
        <v>&lt;category name="clothes"/&gt;</v>
      </c>
      <c r="B11162" t="s">
        <v>987</v>
      </c>
    </row>
    <row r="11163" spans="1:8" x14ac:dyDescent="0.25">
      <c r="A11163" t="s">
        <v>1616</v>
      </c>
      <c r="B11163" t="s">
        <v>987</v>
      </c>
    </row>
    <row r="11164" spans="1:8" x14ac:dyDescent="0.25">
      <c r="A11164" t="s">
        <v>39</v>
      </c>
      <c r="B11164" t="s">
        <v>987</v>
      </c>
    </row>
    <row r="11165" spans="1:8" x14ac:dyDescent="0.25">
      <c r="A11165" t="s">
        <v>40</v>
      </c>
      <c r="B11165" t="s">
        <v>987</v>
      </c>
    </row>
    <row r="11166" spans="1:8" x14ac:dyDescent="0.25">
      <c r="A11166" t="s">
        <v>30</v>
      </c>
      <c r="B11166" t="s">
        <v>987</v>
      </c>
    </row>
    <row r="11167" spans="1:8" x14ac:dyDescent="0.25">
      <c r="A11167" t="s">
        <v>31</v>
      </c>
      <c r="B11167" t="s">
        <v>987</v>
      </c>
    </row>
    <row r="11168" spans="1:8" x14ac:dyDescent="0.25">
      <c r="A11168" t="s">
        <v>307</v>
      </c>
      <c r="B11168" t="s">
        <v>987</v>
      </c>
    </row>
    <row r="11169" spans="1:8" x14ac:dyDescent="0.25">
      <c r="A11169" t="s">
        <v>22</v>
      </c>
      <c r="B11169" t="s">
        <v>987</v>
      </c>
    </row>
    <row r="11170" spans="1:8" x14ac:dyDescent="0.25">
      <c r="A11170" t="s">
        <v>2253</v>
      </c>
      <c r="B11170" t="s">
        <v>988</v>
      </c>
      <c r="C11170" t="s">
        <v>403</v>
      </c>
      <c r="D11170">
        <v>25</v>
      </c>
      <c r="E11170">
        <v>5600</v>
      </c>
      <c r="F11170">
        <v>0</v>
      </c>
      <c r="G11170">
        <v>15</v>
      </c>
      <c r="H11170" t="s">
        <v>19</v>
      </c>
    </row>
    <row r="11171" spans="1:8" x14ac:dyDescent="0.25">
      <c r="A11171" t="str">
        <f>"&lt;nominal&gt;" &amp;$D$11170&amp;"&lt;/nominal&gt;"</f>
        <v>&lt;nominal&gt;25&lt;/nominal&gt;</v>
      </c>
      <c r="B11171" t="s">
        <v>988</v>
      </c>
    </row>
    <row r="11172" spans="1:8" x14ac:dyDescent="0.25">
      <c r="A11172" t="str">
        <f>"&lt;lifetime&gt;" &amp;$E$11170&amp;"&lt;/lifetime&gt;"</f>
        <v>&lt;lifetime&gt;5600&lt;/lifetime&gt;</v>
      </c>
      <c r="B11172" t="s">
        <v>988</v>
      </c>
    </row>
    <row r="11173" spans="1:8" x14ac:dyDescent="0.25">
      <c r="A11173" t="str">
        <f>"&lt;restock&gt;" &amp;$F$11170&amp;"&lt;/restock&gt;"</f>
        <v>&lt;restock&gt;0&lt;/restock&gt;</v>
      </c>
      <c r="B11173" t="s">
        <v>988</v>
      </c>
    </row>
    <row r="11174" spans="1:8" x14ac:dyDescent="0.25">
      <c r="A11174" t="str">
        <f>"&lt;min&gt;" &amp;$G$11170&amp;"&lt;/min&gt;"</f>
        <v>&lt;min&gt;15&lt;/min&gt;</v>
      </c>
      <c r="B11174" t="s">
        <v>988</v>
      </c>
    </row>
    <row r="11175" spans="1:8" x14ac:dyDescent="0.25">
      <c r="A11175" t="s">
        <v>16</v>
      </c>
      <c r="B11175" t="s">
        <v>988</v>
      </c>
    </row>
    <row r="11176" spans="1:8" x14ac:dyDescent="0.25">
      <c r="A11176" t="s">
        <v>17</v>
      </c>
      <c r="B11176" t="s">
        <v>988</v>
      </c>
    </row>
    <row r="11177" spans="1:8" x14ac:dyDescent="0.25">
      <c r="A11177" t="s">
        <v>18</v>
      </c>
      <c r="B11177" t="s">
        <v>988</v>
      </c>
    </row>
    <row r="11178" spans="1:8" x14ac:dyDescent="0.25">
      <c r="A11178" t="str">
        <f xml:space="preserve"> $H$11170</f>
        <v>&lt;flags count_in_cargo="0" count_in_hoarder="0" count_in_map="1" count_in_player="0" crafted="0" deloot="0"/&gt;</v>
      </c>
      <c r="B11178" t="s">
        <v>988</v>
      </c>
    </row>
    <row r="11179" spans="1:8" x14ac:dyDescent="0.25">
      <c r="A11179" t="str">
        <f>"&lt;category name=" &amp;"""" &amp;$C$11170&amp;"""/&gt;"</f>
        <v>&lt;category name="clothes"/&gt;</v>
      </c>
      <c r="B11179" t="s">
        <v>988</v>
      </c>
    </row>
    <row r="11180" spans="1:8" x14ac:dyDescent="0.25">
      <c r="A11180" t="s">
        <v>1616</v>
      </c>
      <c r="B11180" t="s">
        <v>988</v>
      </c>
    </row>
    <row r="11181" spans="1:8" x14ac:dyDescent="0.25">
      <c r="A11181" t="s">
        <v>39</v>
      </c>
      <c r="B11181" t="s">
        <v>988</v>
      </c>
    </row>
    <row r="11182" spans="1:8" x14ac:dyDescent="0.25">
      <c r="A11182" t="s">
        <v>40</v>
      </c>
      <c r="B11182" t="s">
        <v>988</v>
      </c>
    </row>
    <row r="11183" spans="1:8" x14ac:dyDescent="0.25">
      <c r="A11183" t="s">
        <v>30</v>
      </c>
      <c r="B11183" t="s">
        <v>988</v>
      </c>
    </row>
    <row r="11184" spans="1:8" x14ac:dyDescent="0.25">
      <c r="A11184" t="s">
        <v>31</v>
      </c>
      <c r="B11184" t="s">
        <v>988</v>
      </c>
    </row>
    <row r="11185" spans="1:8" x14ac:dyDescent="0.25">
      <c r="A11185" t="s">
        <v>307</v>
      </c>
      <c r="B11185" t="s">
        <v>988</v>
      </c>
    </row>
    <row r="11186" spans="1:8" x14ac:dyDescent="0.25">
      <c r="A11186" t="s">
        <v>22</v>
      </c>
      <c r="B11186" t="s">
        <v>988</v>
      </c>
    </row>
    <row r="11187" spans="1:8" x14ac:dyDescent="0.25">
      <c r="A11187" t="s">
        <v>2254</v>
      </c>
      <c r="B11187" t="s">
        <v>989</v>
      </c>
      <c r="C11187" t="s">
        <v>403</v>
      </c>
      <c r="D11187">
        <v>30</v>
      </c>
      <c r="E11187">
        <v>5600</v>
      </c>
      <c r="F11187">
        <v>0</v>
      </c>
      <c r="G11187">
        <v>20</v>
      </c>
      <c r="H11187" t="s">
        <v>19</v>
      </c>
    </row>
    <row r="11188" spans="1:8" x14ac:dyDescent="0.25">
      <c r="A11188" t="str">
        <f>"&lt;nominal&gt;" &amp;$D$11187&amp;"&lt;/nominal&gt;"</f>
        <v>&lt;nominal&gt;30&lt;/nominal&gt;</v>
      </c>
      <c r="B11188" t="s">
        <v>989</v>
      </c>
    </row>
    <row r="11189" spans="1:8" x14ac:dyDescent="0.25">
      <c r="A11189" t="str">
        <f>"&lt;lifetime&gt;" &amp;$E$11187&amp;"&lt;/lifetime&gt;"</f>
        <v>&lt;lifetime&gt;5600&lt;/lifetime&gt;</v>
      </c>
      <c r="B11189" t="s">
        <v>989</v>
      </c>
    </row>
    <row r="11190" spans="1:8" x14ac:dyDescent="0.25">
      <c r="A11190" t="str">
        <f>"&lt;restock&gt;" &amp;$F$11187&amp;"&lt;/restock&gt;"</f>
        <v>&lt;restock&gt;0&lt;/restock&gt;</v>
      </c>
      <c r="B11190" t="s">
        <v>989</v>
      </c>
    </row>
    <row r="11191" spans="1:8" x14ac:dyDescent="0.25">
      <c r="A11191" t="str">
        <f>"&lt;min&gt;" &amp;$G$11187&amp;"&lt;/min&gt;"</f>
        <v>&lt;min&gt;20&lt;/min&gt;</v>
      </c>
      <c r="B11191" t="s">
        <v>989</v>
      </c>
    </row>
    <row r="11192" spans="1:8" x14ac:dyDescent="0.25">
      <c r="A11192" t="s">
        <v>16</v>
      </c>
      <c r="B11192" t="s">
        <v>989</v>
      </c>
    </row>
    <row r="11193" spans="1:8" x14ac:dyDescent="0.25">
      <c r="A11193" t="s">
        <v>17</v>
      </c>
      <c r="B11193" t="s">
        <v>989</v>
      </c>
    </row>
    <row r="11194" spans="1:8" x14ac:dyDescent="0.25">
      <c r="A11194" t="s">
        <v>18</v>
      </c>
      <c r="B11194" t="s">
        <v>989</v>
      </c>
    </row>
    <row r="11195" spans="1:8" x14ac:dyDescent="0.25">
      <c r="A11195" t="str">
        <f xml:space="preserve"> $H$11187</f>
        <v>&lt;flags count_in_cargo="0" count_in_hoarder="0" count_in_map="1" count_in_player="0" crafted="0" deloot="0"/&gt;</v>
      </c>
      <c r="B11195" t="s">
        <v>989</v>
      </c>
    </row>
    <row r="11196" spans="1:8" x14ac:dyDescent="0.25">
      <c r="A11196" t="str">
        <f>"&lt;category name=" &amp;"""" &amp;$C$11187&amp;"""/&gt;"</f>
        <v>&lt;category name="clothes"/&gt;</v>
      </c>
      <c r="B11196" t="s">
        <v>989</v>
      </c>
    </row>
    <row r="11197" spans="1:8" x14ac:dyDescent="0.25">
      <c r="A11197" t="s">
        <v>1616</v>
      </c>
      <c r="B11197" t="s">
        <v>989</v>
      </c>
    </row>
    <row r="11198" spans="1:8" x14ac:dyDescent="0.25">
      <c r="A11198" t="s">
        <v>39</v>
      </c>
      <c r="B11198" t="s">
        <v>989</v>
      </c>
    </row>
    <row r="11199" spans="1:8" x14ac:dyDescent="0.25">
      <c r="A11199" t="s">
        <v>40</v>
      </c>
      <c r="B11199" t="s">
        <v>989</v>
      </c>
    </row>
    <row r="11200" spans="1:8" x14ac:dyDescent="0.25">
      <c r="A11200" t="s">
        <v>30</v>
      </c>
      <c r="B11200" t="s">
        <v>989</v>
      </c>
    </row>
    <row r="11201" spans="1:8" x14ac:dyDescent="0.25">
      <c r="A11201" t="s">
        <v>31</v>
      </c>
      <c r="B11201" t="s">
        <v>989</v>
      </c>
    </row>
    <row r="11202" spans="1:8" x14ac:dyDescent="0.25">
      <c r="A11202" t="s">
        <v>307</v>
      </c>
      <c r="B11202" t="s">
        <v>989</v>
      </c>
    </row>
    <row r="11203" spans="1:8" x14ac:dyDescent="0.25">
      <c r="A11203" t="s">
        <v>22</v>
      </c>
      <c r="B11203" t="s">
        <v>989</v>
      </c>
    </row>
    <row r="11204" spans="1:8" x14ac:dyDescent="0.25">
      <c r="A11204" t="s">
        <v>2255</v>
      </c>
      <c r="B11204" t="s">
        <v>990</v>
      </c>
      <c r="C11204" t="s">
        <v>403</v>
      </c>
      <c r="D11204">
        <v>30</v>
      </c>
      <c r="E11204">
        <v>5600</v>
      </c>
      <c r="F11204">
        <v>0</v>
      </c>
      <c r="G11204">
        <v>20</v>
      </c>
      <c r="H11204" t="s">
        <v>19</v>
      </c>
    </row>
    <row r="11205" spans="1:8" x14ac:dyDescent="0.25">
      <c r="A11205" t="str">
        <f>"&lt;nominal&gt;" &amp;$D$11204&amp;"&lt;/nominal&gt;"</f>
        <v>&lt;nominal&gt;30&lt;/nominal&gt;</v>
      </c>
      <c r="B11205" t="s">
        <v>990</v>
      </c>
    </row>
    <row r="11206" spans="1:8" x14ac:dyDescent="0.25">
      <c r="A11206" t="str">
        <f>"&lt;lifetime&gt;" &amp;$E$11204&amp;"&lt;/lifetime&gt;"</f>
        <v>&lt;lifetime&gt;5600&lt;/lifetime&gt;</v>
      </c>
      <c r="B11206" t="s">
        <v>990</v>
      </c>
    </row>
    <row r="11207" spans="1:8" x14ac:dyDescent="0.25">
      <c r="A11207" t="str">
        <f>"&lt;restock&gt;" &amp;$F$11204&amp;"&lt;/restock&gt;"</f>
        <v>&lt;restock&gt;0&lt;/restock&gt;</v>
      </c>
      <c r="B11207" t="s">
        <v>990</v>
      </c>
    </row>
    <row r="11208" spans="1:8" x14ac:dyDescent="0.25">
      <c r="A11208" t="str">
        <f>"&lt;min&gt;" &amp;$G$11204&amp;"&lt;/min&gt;"</f>
        <v>&lt;min&gt;20&lt;/min&gt;</v>
      </c>
      <c r="B11208" t="s">
        <v>990</v>
      </c>
    </row>
    <row r="11209" spans="1:8" x14ac:dyDescent="0.25">
      <c r="A11209" t="s">
        <v>16</v>
      </c>
      <c r="B11209" t="s">
        <v>990</v>
      </c>
    </row>
    <row r="11210" spans="1:8" x14ac:dyDescent="0.25">
      <c r="A11210" t="s">
        <v>17</v>
      </c>
      <c r="B11210" t="s">
        <v>990</v>
      </c>
    </row>
    <row r="11211" spans="1:8" x14ac:dyDescent="0.25">
      <c r="A11211" t="s">
        <v>18</v>
      </c>
      <c r="B11211" t="s">
        <v>990</v>
      </c>
    </row>
    <row r="11212" spans="1:8" x14ac:dyDescent="0.25">
      <c r="A11212" t="str">
        <f xml:space="preserve"> $H$11204</f>
        <v>&lt;flags count_in_cargo="0" count_in_hoarder="0" count_in_map="1" count_in_player="0" crafted="0" deloot="0"/&gt;</v>
      </c>
      <c r="B11212" t="s">
        <v>990</v>
      </c>
    </row>
    <row r="11213" spans="1:8" x14ac:dyDescent="0.25">
      <c r="A11213" t="str">
        <f>"&lt;category name=" &amp;"""" &amp;$C$11204&amp;"""/&gt;"</f>
        <v>&lt;category name="clothes"/&gt;</v>
      </c>
      <c r="B11213" t="s">
        <v>990</v>
      </c>
    </row>
    <row r="11214" spans="1:8" x14ac:dyDescent="0.25">
      <c r="A11214" t="s">
        <v>1616</v>
      </c>
      <c r="B11214" t="s">
        <v>990</v>
      </c>
    </row>
    <row r="11215" spans="1:8" x14ac:dyDescent="0.25">
      <c r="A11215" t="s">
        <v>39</v>
      </c>
      <c r="B11215" t="s">
        <v>990</v>
      </c>
    </row>
    <row r="11216" spans="1:8" x14ac:dyDescent="0.25">
      <c r="A11216" t="s">
        <v>40</v>
      </c>
      <c r="B11216" t="s">
        <v>990</v>
      </c>
    </row>
    <row r="11217" spans="1:8" x14ac:dyDescent="0.25">
      <c r="A11217" t="s">
        <v>30</v>
      </c>
      <c r="B11217" t="s">
        <v>990</v>
      </c>
    </row>
    <row r="11218" spans="1:8" x14ac:dyDescent="0.25">
      <c r="A11218" t="s">
        <v>31</v>
      </c>
      <c r="B11218" t="s">
        <v>990</v>
      </c>
    </row>
    <row r="11219" spans="1:8" x14ac:dyDescent="0.25">
      <c r="A11219" t="s">
        <v>307</v>
      </c>
      <c r="B11219" t="s">
        <v>990</v>
      </c>
    </row>
    <row r="11220" spans="1:8" x14ac:dyDescent="0.25">
      <c r="A11220" t="s">
        <v>22</v>
      </c>
      <c r="B11220" t="s">
        <v>990</v>
      </c>
    </row>
    <row r="11221" spans="1:8" x14ac:dyDescent="0.25">
      <c r="A11221" t="s">
        <v>2256</v>
      </c>
      <c r="B11221" t="s">
        <v>991</v>
      </c>
      <c r="C11221" t="s">
        <v>403</v>
      </c>
      <c r="D11221">
        <v>30</v>
      </c>
      <c r="E11221">
        <v>5600</v>
      </c>
      <c r="F11221">
        <v>0</v>
      </c>
      <c r="G11221">
        <v>20</v>
      </c>
      <c r="H11221" t="s">
        <v>19</v>
      </c>
    </row>
    <row r="11222" spans="1:8" x14ac:dyDescent="0.25">
      <c r="A11222" t="str">
        <f>"&lt;nominal&gt;" &amp;$D$11221&amp;"&lt;/nominal&gt;"</f>
        <v>&lt;nominal&gt;30&lt;/nominal&gt;</v>
      </c>
      <c r="B11222" t="s">
        <v>991</v>
      </c>
    </row>
    <row r="11223" spans="1:8" x14ac:dyDescent="0.25">
      <c r="A11223" t="str">
        <f>"&lt;lifetime&gt;" &amp;$E$11221&amp;"&lt;/lifetime&gt;"</f>
        <v>&lt;lifetime&gt;5600&lt;/lifetime&gt;</v>
      </c>
      <c r="B11223" t="s">
        <v>991</v>
      </c>
    </row>
    <row r="11224" spans="1:8" x14ac:dyDescent="0.25">
      <c r="A11224" t="str">
        <f>"&lt;restock&gt;" &amp;$F$11221&amp;"&lt;/restock&gt;"</f>
        <v>&lt;restock&gt;0&lt;/restock&gt;</v>
      </c>
      <c r="B11224" t="s">
        <v>991</v>
      </c>
    </row>
    <row r="11225" spans="1:8" x14ac:dyDescent="0.25">
      <c r="A11225" t="str">
        <f>"&lt;min&gt;" &amp;$G$11221&amp;"&lt;/min&gt;"</f>
        <v>&lt;min&gt;20&lt;/min&gt;</v>
      </c>
      <c r="B11225" t="s">
        <v>991</v>
      </c>
    </row>
    <row r="11226" spans="1:8" x14ac:dyDescent="0.25">
      <c r="A11226" t="s">
        <v>16</v>
      </c>
      <c r="B11226" t="s">
        <v>991</v>
      </c>
    </row>
    <row r="11227" spans="1:8" x14ac:dyDescent="0.25">
      <c r="A11227" t="s">
        <v>17</v>
      </c>
      <c r="B11227" t="s">
        <v>991</v>
      </c>
    </row>
    <row r="11228" spans="1:8" x14ac:dyDescent="0.25">
      <c r="A11228" t="s">
        <v>18</v>
      </c>
      <c r="B11228" t="s">
        <v>991</v>
      </c>
    </row>
    <row r="11229" spans="1:8" x14ac:dyDescent="0.25">
      <c r="A11229" t="str">
        <f xml:space="preserve"> $H$11221</f>
        <v>&lt;flags count_in_cargo="0" count_in_hoarder="0" count_in_map="1" count_in_player="0" crafted="0" deloot="0"/&gt;</v>
      </c>
      <c r="B11229" t="s">
        <v>991</v>
      </c>
    </row>
    <row r="11230" spans="1:8" x14ac:dyDescent="0.25">
      <c r="A11230" t="str">
        <f>"&lt;category name=" &amp;"""" &amp;$C$11221&amp;"""/&gt;"</f>
        <v>&lt;category name="clothes"/&gt;</v>
      </c>
      <c r="B11230" t="s">
        <v>991</v>
      </c>
    </row>
    <row r="11231" spans="1:8" x14ac:dyDescent="0.25">
      <c r="A11231" t="s">
        <v>1616</v>
      </c>
      <c r="B11231" t="s">
        <v>991</v>
      </c>
    </row>
    <row r="11232" spans="1:8" x14ac:dyDescent="0.25">
      <c r="A11232" t="s">
        <v>39</v>
      </c>
      <c r="B11232" t="s">
        <v>991</v>
      </c>
    </row>
    <row r="11233" spans="1:8" x14ac:dyDescent="0.25">
      <c r="A11233" t="s">
        <v>40</v>
      </c>
      <c r="B11233" t="s">
        <v>991</v>
      </c>
    </row>
    <row r="11234" spans="1:8" x14ac:dyDescent="0.25">
      <c r="A11234" t="s">
        <v>30</v>
      </c>
      <c r="B11234" t="s">
        <v>991</v>
      </c>
    </row>
    <row r="11235" spans="1:8" x14ac:dyDescent="0.25">
      <c r="A11235" t="s">
        <v>31</v>
      </c>
      <c r="B11235" t="s">
        <v>991</v>
      </c>
    </row>
    <row r="11236" spans="1:8" x14ac:dyDescent="0.25">
      <c r="A11236" t="s">
        <v>307</v>
      </c>
      <c r="B11236" t="s">
        <v>991</v>
      </c>
    </row>
    <row r="11237" spans="1:8" x14ac:dyDescent="0.25">
      <c r="A11237" t="s">
        <v>22</v>
      </c>
      <c r="B11237" t="s">
        <v>991</v>
      </c>
    </row>
    <row r="11238" spans="1:8" x14ac:dyDescent="0.25">
      <c r="A11238" t="s">
        <v>2257</v>
      </c>
      <c r="B11238" t="s">
        <v>992</v>
      </c>
      <c r="C11238" t="s">
        <v>403</v>
      </c>
      <c r="D11238">
        <v>30</v>
      </c>
      <c r="E11238">
        <v>5600</v>
      </c>
      <c r="F11238">
        <v>0</v>
      </c>
      <c r="G11238">
        <v>20</v>
      </c>
      <c r="H11238" t="s">
        <v>19</v>
      </c>
    </row>
    <row r="11239" spans="1:8" x14ac:dyDescent="0.25">
      <c r="A11239" t="str">
        <f>"&lt;nominal&gt;" &amp;$D$11238&amp;"&lt;/nominal&gt;"</f>
        <v>&lt;nominal&gt;30&lt;/nominal&gt;</v>
      </c>
      <c r="B11239" t="s">
        <v>992</v>
      </c>
    </row>
    <row r="11240" spans="1:8" x14ac:dyDescent="0.25">
      <c r="A11240" t="str">
        <f>"&lt;lifetime&gt;" &amp;$E$11238&amp;"&lt;/lifetime&gt;"</f>
        <v>&lt;lifetime&gt;5600&lt;/lifetime&gt;</v>
      </c>
      <c r="B11240" t="s">
        <v>992</v>
      </c>
    </row>
    <row r="11241" spans="1:8" x14ac:dyDescent="0.25">
      <c r="A11241" t="str">
        <f>"&lt;restock&gt;" &amp;$F$11238&amp;"&lt;/restock&gt;"</f>
        <v>&lt;restock&gt;0&lt;/restock&gt;</v>
      </c>
      <c r="B11241" t="s">
        <v>992</v>
      </c>
    </row>
    <row r="11242" spans="1:8" x14ac:dyDescent="0.25">
      <c r="A11242" t="str">
        <f>"&lt;min&gt;" &amp;$G$11238&amp;"&lt;/min&gt;"</f>
        <v>&lt;min&gt;20&lt;/min&gt;</v>
      </c>
      <c r="B11242" t="s">
        <v>992</v>
      </c>
    </row>
    <row r="11243" spans="1:8" x14ac:dyDescent="0.25">
      <c r="A11243" t="s">
        <v>16</v>
      </c>
      <c r="B11243" t="s">
        <v>992</v>
      </c>
    </row>
    <row r="11244" spans="1:8" x14ac:dyDescent="0.25">
      <c r="A11244" t="s">
        <v>17</v>
      </c>
      <c r="B11244" t="s">
        <v>992</v>
      </c>
    </row>
    <row r="11245" spans="1:8" x14ac:dyDescent="0.25">
      <c r="A11245" t="s">
        <v>18</v>
      </c>
      <c r="B11245" t="s">
        <v>992</v>
      </c>
    </row>
    <row r="11246" spans="1:8" x14ac:dyDescent="0.25">
      <c r="A11246" t="str">
        <f xml:space="preserve"> $H$11238</f>
        <v>&lt;flags count_in_cargo="0" count_in_hoarder="0" count_in_map="1" count_in_player="0" crafted="0" deloot="0"/&gt;</v>
      </c>
      <c r="B11246" t="s">
        <v>992</v>
      </c>
    </row>
    <row r="11247" spans="1:8" x14ac:dyDescent="0.25">
      <c r="A11247" t="str">
        <f>"&lt;category name=" &amp;"""" &amp;$C$11238&amp;"""/&gt;"</f>
        <v>&lt;category name="clothes"/&gt;</v>
      </c>
      <c r="B11247" t="s">
        <v>992</v>
      </c>
    </row>
    <row r="11248" spans="1:8" x14ac:dyDescent="0.25">
      <c r="A11248" t="s">
        <v>1616</v>
      </c>
      <c r="B11248" t="s">
        <v>992</v>
      </c>
    </row>
    <row r="11249" spans="1:8" x14ac:dyDescent="0.25">
      <c r="A11249" t="s">
        <v>39</v>
      </c>
      <c r="B11249" t="s">
        <v>992</v>
      </c>
    </row>
    <row r="11250" spans="1:8" x14ac:dyDescent="0.25">
      <c r="A11250" t="s">
        <v>40</v>
      </c>
      <c r="B11250" t="s">
        <v>992</v>
      </c>
    </row>
    <row r="11251" spans="1:8" x14ac:dyDescent="0.25">
      <c r="A11251" t="s">
        <v>30</v>
      </c>
      <c r="B11251" t="s">
        <v>992</v>
      </c>
    </row>
    <row r="11252" spans="1:8" x14ac:dyDescent="0.25">
      <c r="A11252" t="s">
        <v>31</v>
      </c>
      <c r="B11252" t="s">
        <v>992</v>
      </c>
    </row>
    <row r="11253" spans="1:8" x14ac:dyDescent="0.25">
      <c r="A11253" t="s">
        <v>307</v>
      </c>
      <c r="B11253" t="s">
        <v>992</v>
      </c>
    </row>
    <row r="11254" spans="1:8" x14ac:dyDescent="0.25">
      <c r="A11254" t="s">
        <v>22</v>
      </c>
      <c r="B11254" t="s">
        <v>992</v>
      </c>
    </row>
    <row r="11255" spans="1:8" x14ac:dyDescent="0.25">
      <c r="A11255" t="s">
        <v>2258</v>
      </c>
      <c r="B11255" t="s">
        <v>993</v>
      </c>
      <c r="C11255" t="s">
        <v>426</v>
      </c>
      <c r="D11255">
        <v>60</v>
      </c>
      <c r="E11255">
        <v>7200</v>
      </c>
      <c r="F11255">
        <v>0</v>
      </c>
      <c r="G11255">
        <v>40</v>
      </c>
      <c r="H11255" t="s">
        <v>19</v>
      </c>
    </row>
    <row r="11256" spans="1:8" x14ac:dyDescent="0.25">
      <c r="A11256" t="str">
        <f>"&lt;nominal&gt;" &amp;$D$11255&amp;"&lt;/nominal&gt;"</f>
        <v>&lt;nominal&gt;60&lt;/nominal&gt;</v>
      </c>
      <c r="B11256" t="s">
        <v>993</v>
      </c>
    </row>
    <row r="11257" spans="1:8" x14ac:dyDescent="0.25">
      <c r="A11257" t="str">
        <f>"&lt;lifetime&gt;" &amp;$E$11255&amp;"&lt;/lifetime&gt;"</f>
        <v>&lt;lifetime&gt;7200&lt;/lifetime&gt;</v>
      </c>
      <c r="B11257" t="s">
        <v>993</v>
      </c>
    </row>
    <row r="11258" spans="1:8" x14ac:dyDescent="0.25">
      <c r="A11258" t="str">
        <f>"&lt;restock&gt;" &amp;$F$11255&amp;"&lt;/restock&gt;"</f>
        <v>&lt;restock&gt;0&lt;/restock&gt;</v>
      </c>
      <c r="B11258" t="s">
        <v>993</v>
      </c>
    </row>
    <row r="11259" spans="1:8" x14ac:dyDescent="0.25">
      <c r="A11259" t="str">
        <f>"&lt;min&gt;" &amp;$G$11255&amp;"&lt;/min&gt;"</f>
        <v>&lt;min&gt;40&lt;/min&gt;</v>
      </c>
      <c r="B11259" t="s">
        <v>993</v>
      </c>
    </row>
    <row r="11260" spans="1:8" x14ac:dyDescent="0.25">
      <c r="A11260" t="s">
        <v>16</v>
      </c>
      <c r="B11260" t="s">
        <v>993</v>
      </c>
    </row>
    <row r="11261" spans="1:8" x14ac:dyDescent="0.25">
      <c r="A11261" t="s">
        <v>17</v>
      </c>
      <c r="B11261" t="s">
        <v>993</v>
      </c>
    </row>
    <row r="11262" spans="1:8" x14ac:dyDescent="0.25">
      <c r="A11262" t="s">
        <v>18</v>
      </c>
      <c r="B11262" t="s">
        <v>993</v>
      </c>
    </row>
    <row r="11263" spans="1:8" x14ac:dyDescent="0.25">
      <c r="A11263" t="str">
        <f xml:space="preserve"> $H$11255</f>
        <v>&lt;flags count_in_cargo="0" count_in_hoarder="0" count_in_map="1" count_in_player="0" crafted="0" deloot="0"/&gt;</v>
      </c>
      <c r="B11263" t="s">
        <v>993</v>
      </c>
    </row>
    <row r="11264" spans="1:8" x14ac:dyDescent="0.25">
      <c r="A11264" t="str">
        <f>"&lt;category name=" &amp;"""" &amp;$C$11255&amp;"""/&gt;"</f>
        <v>&lt;category name="tools"/&gt;</v>
      </c>
      <c r="B11264" t="s">
        <v>993</v>
      </c>
    </row>
    <row r="11265" spans="1:8" x14ac:dyDescent="0.25">
      <c r="A11265" t="s">
        <v>20</v>
      </c>
      <c r="B11265" t="s">
        <v>993</v>
      </c>
    </row>
    <row r="11266" spans="1:8" x14ac:dyDescent="0.25">
      <c r="A11266" t="s">
        <v>29</v>
      </c>
      <c r="B11266" t="s">
        <v>993</v>
      </c>
    </row>
    <row r="11267" spans="1:8" x14ac:dyDescent="0.25">
      <c r="A11267" t="s">
        <v>173</v>
      </c>
      <c r="B11267" t="s">
        <v>993</v>
      </c>
    </row>
    <row r="11268" spans="1:8" x14ac:dyDescent="0.25">
      <c r="A11268" t="s">
        <v>55</v>
      </c>
      <c r="B11268" t="s">
        <v>993</v>
      </c>
    </row>
    <row r="11269" spans="1:8" x14ac:dyDescent="0.25">
      <c r="A11269" t="s">
        <v>67</v>
      </c>
      <c r="B11269" t="s">
        <v>993</v>
      </c>
    </row>
    <row r="11270" spans="1:8" x14ac:dyDescent="0.25">
      <c r="A11270" t="s">
        <v>22</v>
      </c>
      <c r="B11270" t="s">
        <v>993</v>
      </c>
    </row>
    <row r="11271" spans="1:8" x14ac:dyDescent="0.25">
      <c r="A11271" t="s">
        <v>2259</v>
      </c>
      <c r="B11271" t="s">
        <v>994</v>
      </c>
      <c r="C11271" t="s">
        <v>8</v>
      </c>
      <c r="D11271">
        <v>10</v>
      </c>
      <c r="E11271">
        <v>14400</v>
      </c>
      <c r="F11271">
        <v>0</v>
      </c>
      <c r="G11271">
        <v>5</v>
      </c>
      <c r="H11271" t="s">
        <v>19</v>
      </c>
    </row>
    <row r="11272" spans="1:8" x14ac:dyDescent="0.25">
      <c r="A11272" t="str">
        <f>"&lt;nominal&gt;" &amp;$D$11271&amp;"&lt;/nominal&gt;"</f>
        <v>&lt;nominal&gt;10&lt;/nominal&gt;</v>
      </c>
      <c r="B11272" t="s">
        <v>994</v>
      </c>
    </row>
    <row r="11273" spans="1:8" x14ac:dyDescent="0.25">
      <c r="A11273" t="str">
        <f>"&lt;lifetime&gt;" &amp;$E$11271&amp;"&lt;/lifetime&gt;"</f>
        <v>&lt;lifetime&gt;14400&lt;/lifetime&gt;</v>
      </c>
      <c r="B11273" t="s">
        <v>994</v>
      </c>
    </row>
    <row r="11274" spans="1:8" x14ac:dyDescent="0.25">
      <c r="A11274" t="str">
        <f>"&lt;restock&gt;" &amp;$F$11271&amp;"&lt;/restock&gt;"</f>
        <v>&lt;restock&gt;0&lt;/restock&gt;</v>
      </c>
      <c r="B11274" t="s">
        <v>994</v>
      </c>
    </row>
    <row r="11275" spans="1:8" x14ac:dyDescent="0.25">
      <c r="A11275" t="str">
        <f>"&lt;min&gt;" &amp;$G$11271&amp;"&lt;/min&gt;"</f>
        <v>&lt;min&gt;5&lt;/min&gt;</v>
      </c>
      <c r="B11275" t="s">
        <v>994</v>
      </c>
    </row>
    <row r="11276" spans="1:8" x14ac:dyDescent="0.25">
      <c r="A11276" t="s">
        <v>16</v>
      </c>
      <c r="B11276" t="s">
        <v>994</v>
      </c>
    </row>
    <row r="11277" spans="1:8" x14ac:dyDescent="0.25">
      <c r="A11277" t="s">
        <v>17</v>
      </c>
      <c r="B11277" t="s">
        <v>994</v>
      </c>
    </row>
    <row r="11278" spans="1:8" x14ac:dyDescent="0.25">
      <c r="A11278" t="s">
        <v>18</v>
      </c>
      <c r="B11278" t="s">
        <v>994</v>
      </c>
    </row>
    <row r="11279" spans="1:8" x14ac:dyDescent="0.25">
      <c r="A11279" t="str">
        <f xml:space="preserve"> $H$11271</f>
        <v>&lt;flags count_in_cargo="0" count_in_hoarder="0" count_in_map="1" count_in_player="0" crafted="0" deloot="0"/&gt;</v>
      </c>
      <c r="B11279" t="s">
        <v>994</v>
      </c>
    </row>
    <row r="11280" spans="1:8" x14ac:dyDescent="0.25">
      <c r="A11280" t="str">
        <f>"&lt;category name=" &amp;"""" &amp;$C$11271&amp;"""/&gt;"</f>
        <v>&lt;category name="weapons"/&gt;</v>
      </c>
      <c r="B11280" t="s">
        <v>994</v>
      </c>
    </row>
    <row r="11281" spans="1:8" x14ac:dyDescent="0.25">
      <c r="A11281" t="s">
        <v>29</v>
      </c>
      <c r="B11281" t="s">
        <v>994</v>
      </c>
    </row>
    <row r="11282" spans="1:8" x14ac:dyDescent="0.25">
      <c r="A11282" t="s">
        <v>82</v>
      </c>
      <c r="B11282" t="s">
        <v>994</v>
      </c>
    </row>
    <row r="11283" spans="1:8" x14ac:dyDescent="0.25">
      <c r="A11283" t="s">
        <v>30</v>
      </c>
      <c r="B11283" t="s">
        <v>994</v>
      </c>
    </row>
    <row r="11284" spans="1:8" x14ac:dyDescent="0.25">
      <c r="A11284" t="s">
        <v>31</v>
      </c>
      <c r="B11284" t="s">
        <v>994</v>
      </c>
    </row>
    <row r="11285" spans="1:8" x14ac:dyDescent="0.25">
      <c r="A11285" t="s">
        <v>22</v>
      </c>
      <c r="B11285" t="s">
        <v>994</v>
      </c>
    </row>
    <row r="11286" spans="1:8" x14ac:dyDescent="0.25">
      <c r="A11286" t="s">
        <v>2260</v>
      </c>
      <c r="B11286" t="s">
        <v>3461</v>
      </c>
      <c r="C11286" t="s">
        <v>403</v>
      </c>
      <c r="D11286">
        <v>0</v>
      </c>
      <c r="E11286">
        <v>7200</v>
      </c>
      <c r="F11286">
        <v>0</v>
      </c>
      <c r="G11286">
        <v>0</v>
      </c>
      <c r="H11286" t="s">
        <v>19</v>
      </c>
    </row>
    <row r="11287" spans="1:8" x14ac:dyDescent="0.25">
      <c r="A11287" t="str">
        <f>"&lt;nominal&gt;" &amp;$D$11286&amp;"&lt;/nominal&gt;"</f>
        <v>&lt;nominal&gt;0&lt;/nominal&gt;</v>
      </c>
      <c r="B11287" t="s">
        <v>3461</v>
      </c>
    </row>
    <row r="11288" spans="1:8" x14ac:dyDescent="0.25">
      <c r="A11288" t="str">
        <f>"&lt;lifetime&gt;" &amp;$E$11286&amp;"&lt;/lifetime&gt;"</f>
        <v>&lt;lifetime&gt;7200&lt;/lifetime&gt;</v>
      </c>
      <c r="B11288" t="s">
        <v>3461</v>
      </c>
    </row>
    <row r="11289" spans="1:8" x14ac:dyDescent="0.25">
      <c r="A11289" t="str">
        <f>"&lt;restock&gt;" &amp;$F$11286&amp;"&lt;/restock&gt;"</f>
        <v>&lt;restock&gt;0&lt;/restock&gt;</v>
      </c>
      <c r="B11289" t="s">
        <v>3461</v>
      </c>
    </row>
    <row r="11290" spans="1:8" x14ac:dyDescent="0.25">
      <c r="A11290" t="str">
        <f>"&lt;min&gt;" &amp;$G$11286&amp;"&lt;/min&gt;"</f>
        <v>&lt;min&gt;0&lt;/min&gt;</v>
      </c>
      <c r="B11290" t="s">
        <v>3461</v>
      </c>
    </row>
    <row r="11291" spans="1:8" x14ac:dyDescent="0.25">
      <c r="A11291" t="s">
        <v>16</v>
      </c>
      <c r="B11291" t="s">
        <v>3461</v>
      </c>
    </row>
    <row r="11292" spans="1:8" x14ac:dyDescent="0.25">
      <c r="A11292" t="s">
        <v>17</v>
      </c>
      <c r="B11292" t="s">
        <v>3461</v>
      </c>
    </row>
    <row r="11293" spans="1:8" x14ac:dyDescent="0.25">
      <c r="A11293" t="s">
        <v>18</v>
      </c>
      <c r="B11293" t="s">
        <v>3461</v>
      </c>
    </row>
    <row r="11294" spans="1:8" x14ac:dyDescent="0.25">
      <c r="A11294" t="str">
        <f xml:space="preserve"> $H$11286</f>
        <v>&lt;flags count_in_cargo="0" count_in_hoarder="0" count_in_map="1" count_in_player="0" crafted="0" deloot="0"/&gt;</v>
      </c>
      <c r="B11294" t="s">
        <v>3461</v>
      </c>
    </row>
    <row r="11295" spans="1:8" x14ac:dyDescent="0.25">
      <c r="A11295" t="str">
        <f>"&lt;category name=" &amp;"""" &amp;$C$11286&amp;"""/&gt;"</f>
        <v>&lt;category name="clothes"/&gt;</v>
      </c>
      <c r="B11295" t="s">
        <v>3461</v>
      </c>
    </row>
    <row r="11296" spans="1:8" x14ac:dyDescent="0.25">
      <c r="A11296" t="s">
        <v>55</v>
      </c>
      <c r="B11296" t="s">
        <v>3461</v>
      </c>
    </row>
    <row r="11297" spans="1:8" x14ac:dyDescent="0.25">
      <c r="A11297" t="s">
        <v>22</v>
      </c>
      <c r="B11297" t="s">
        <v>3461</v>
      </c>
    </row>
    <row r="11298" spans="1:8" x14ac:dyDescent="0.25">
      <c r="A11298" t="s">
        <v>2261</v>
      </c>
      <c r="B11298" t="s">
        <v>995</v>
      </c>
      <c r="C11298" t="s">
        <v>399</v>
      </c>
      <c r="D11298">
        <v>2</v>
      </c>
      <c r="E11298">
        <v>3600</v>
      </c>
      <c r="F11298">
        <v>0</v>
      </c>
      <c r="G11298">
        <v>1</v>
      </c>
      <c r="H11298" t="s">
        <v>19</v>
      </c>
    </row>
    <row r="11299" spans="1:8" x14ac:dyDescent="0.25">
      <c r="A11299" t="str">
        <f>"&lt;nominal&gt;" &amp;$D$11298&amp;"&lt;/nominal&gt;"</f>
        <v>&lt;nominal&gt;2&lt;/nominal&gt;</v>
      </c>
      <c r="B11299" t="s">
        <v>995</v>
      </c>
    </row>
    <row r="11300" spans="1:8" x14ac:dyDescent="0.25">
      <c r="A11300" t="str">
        <f>"&lt;lifetime&gt;" &amp;$E$11298&amp;"&lt;/lifetime&gt;"</f>
        <v>&lt;lifetime&gt;3600&lt;/lifetime&gt;</v>
      </c>
      <c r="B11300" t="s">
        <v>995</v>
      </c>
    </row>
    <row r="11301" spans="1:8" x14ac:dyDescent="0.25">
      <c r="A11301" t="str">
        <f>"&lt;restock&gt;" &amp;$F$11298&amp;"&lt;/restock&gt;"</f>
        <v>&lt;restock&gt;0&lt;/restock&gt;</v>
      </c>
      <c r="B11301" t="s">
        <v>995</v>
      </c>
    </row>
    <row r="11302" spans="1:8" x14ac:dyDescent="0.25">
      <c r="A11302" t="str">
        <f>"&lt;min&gt;" &amp;$G$11298&amp;"&lt;/min&gt;"</f>
        <v>&lt;min&gt;1&lt;/min&gt;</v>
      </c>
      <c r="B11302" t="s">
        <v>995</v>
      </c>
    </row>
    <row r="11303" spans="1:8" x14ac:dyDescent="0.25">
      <c r="A11303" t="s">
        <v>1457</v>
      </c>
      <c r="B11303" t="s">
        <v>995</v>
      </c>
    </row>
    <row r="11304" spans="1:8" x14ac:dyDescent="0.25">
      <c r="A11304" t="s">
        <v>321</v>
      </c>
      <c r="B11304" t="s">
        <v>995</v>
      </c>
    </row>
    <row r="11305" spans="1:8" x14ac:dyDescent="0.25">
      <c r="A11305" t="s">
        <v>18</v>
      </c>
      <c r="B11305" t="s">
        <v>995</v>
      </c>
    </row>
    <row r="11306" spans="1:8" x14ac:dyDescent="0.25">
      <c r="A11306" t="str">
        <f xml:space="preserve"> $H$11298</f>
        <v>&lt;flags count_in_cargo="0" count_in_hoarder="0" count_in_map="1" count_in_player="0" crafted="0" deloot="0"/&gt;</v>
      </c>
      <c r="B11306" t="s">
        <v>995</v>
      </c>
    </row>
    <row r="11307" spans="1:8" x14ac:dyDescent="0.25">
      <c r="A11307" t="str">
        <f>"&lt;category name=" &amp;"""" &amp;$C$11298&amp;"""/&gt;"</f>
        <v>&lt;category name="food"/&gt;</v>
      </c>
      <c r="B11307" t="s">
        <v>995</v>
      </c>
    </row>
    <row r="11308" spans="1:8" x14ac:dyDescent="0.25">
      <c r="A11308" t="s">
        <v>20</v>
      </c>
      <c r="B11308" t="s">
        <v>995</v>
      </c>
    </row>
    <row r="11309" spans="1:8" x14ac:dyDescent="0.25">
      <c r="A11309" t="s">
        <v>39</v>
      </c>
      <c r="B11309" t="s">
        <v>995</v>
      </c>
    </row>
    <row r="11310" spans="1:8" x14ac:dyDescent="0.25">
      <c r="A11310" t="s">
        <v>40</v>
      </c>
      <c r="B11310" t="s">
        <v>995</v>
      </c>
    </row>
    <row r="11311" spans="1:8" x14ac:dyDescent="0.25">
      <c r="A11311" t="s">
        <v>82</v>
      </c>
      <c r="B11311" t="s">
        <v>995</v>
      </c>
    </row>
    <row r="11312" spans="1:8" x14ac:dyDescent="0.25">
      <c r="A11312" t="s">
        <v>30</v>
      </c>
      <c r="B11312" t="s">
        <v>995</v>
      </c>
    </row>
    <row r="11313" spans="1:8" x14ac:dyDescent="0.25">
      <c r="A11313" t="s">
        <v>31</v>
      </c>
      <c r="B11313" t="s">
        <v>995</v>
      </c>
    </row>
    <row r="11314" spans="1:8" x14ac:dyDescent="0.25">
      <c r="A11314" t="s">
        <v>22</v>
      </c>
      <c r="B11314" t="s">
        <v>995</v>
      </c>
    </row>
    <row r="11315" spans="1:8" x14ac:dyDescent="0.25">
      <c r="A11315" t="s">
        <v>2262</v>
      </c>
      <c r="B11315" t="s">
        <v>996</v>
      </c>
      <c r="C11315" t="s">
        <v>403</v>
      </c>
      <c r="D11315">
        <v>20</v>
      </c>
      <c r="E11315">
        <v>5600</v>
      </c>
      <c r="F11315">
        <v>0</v>
      </c>
      <c r="G11315">
        <v>10</v>
      </c>
      <c r="H11315" t="s">
        <v>19</v>
      </c>
    </row>
    <row r="11316" spans="1:8" x14ac:dyDescent="0.25">
      <c r="A11316" t="str">
        <f>"&lt;nominal&gt;" &amp;$D$11315&amp;"&lt;/nominal&gt;"</f>
        <v>&lt;nominal&gt;20&lt;/nominal&gt;</v>
      </c>
      <c r="B11316" t="s">
        <v>996</v>
      </c>
    </row>
    <row r="11317" spans="1:8" x14ac:dyDescent="0.25">
      <c r="A11317" t="str">
        <f>"&lt;lifetime&gt;" &amp;$E$11315&amp;"&lt;/lifetime&gt;"</f>
        <v>&lt;lifetime&gt;5600&lt;/lifetime&gt;</v>
      </c>
      <c r="B11317" t="s">
        <v>996</v>
      </c>
    </row>
    <row r="11318" spans="1:8" x14ac:dyDescent="0.25">
      <c r="A11318" t="str">
        <f>"&lt;restock&gt;" &amp;$F$11315&amp;"&lt;/restock&gt;"</f>
        <v>&lt;restock&gt;0&lt;/restock&gt;</v>
      </c>
      <c r="B11318" t="s">
        <v>996</v>
      </c>
    </row>
    <row r="11319" spans="1:8" x14ac:dyDescent="0.25">
      <c r="A11319" t="str">
        <f>"&lt;min&gt;" &amp;$G$11315&amp;"&lt;/min&gt;"</f>
        <v>&lt;min&gt;10&lt;/min&gt;</v>
      </c>
      <c r="B11319" t="s">
        <v>996</v>
      </c>
    </row>
    <row r="11320" spans="1:8" x14ac:dyDescent="0.25">
      <c r="A11320" t="s">
        <v>16</v>
      </c>
      <c r="B11320" t="s">
        <v>996</v>
      </c>
    </row>
    <row r="11321" spans="1:8" x14ac:dyDescent="0.25">
      <c r="A11321" t="s">
        <v>17</v>
      </c>
      <c r="B11321" t="s">
        <v>996</v>
      </c>
    </row>
    <row r="11322" spans="1:8" x14ac:dyDescent="0.25">
      <c r="A11322" t="s">
        <v>18</v>
      </c>
      <c r="B11322" t="s">
        <v>996</v>
      </c>
    </row>
    <row r="11323" spans="1:8" x14ac:dyDescent="0.25">
      <c r="A11323" t="str">
        <f xml:space="preserve"> $H$11315</f>
        <v>&lt;flags count_in_cargo="0" count_in_hoarder="0" count_in_map="1" count_in_player="0" crafted="0" deloot="0"/&gt;</v>
      </c>
      <c r="B11323" t="s">
        <v>996</v>
      </c>
    </row>
    <row r="11324" spans="1:8" x14ac:dyDescent="0.25">
      <c r="A11324" t="str">
        <f>"&lt;category name=" &amp;"""" &amp;$C$11315&amp;"""/&gt;"</f>
        <v>&lt;category name="clothes"/&gt;</v>
      </c>
      <c r="B11324" t="s">
        <v>996</v>
      </c>
    </row>
    <row r="11325" spans="1:8" x14ac:dyDescent="0.25">
      <c r="A11325" t="s">
        <v>39</v>
      </c>
      <c r="B11325" t="s">
        <v>996</v>
      </c>
    </row>
    <row r="11326" spans="1:8" x14ac:dyDescent="0.25">
      <c r="A11326" t="s">
        <v>22</v>
      </c>
      <c r="B11326" t="s">
        <v>996</v>
      </c>
    </row>
    <row r="11327" spans="1:8" x14ac:dyDescent="0.25">
      <c r="A11327" t="s">
        <v>2263</v>
      </c>
      <c r="B11327" t="s">
        <v>997</v>
      </c>
      <c r="C11327" t="s">
        <v>426</v>
      </c>
      <c r="D11327">
        <v>40</v>
      </c>
      <c r="E11327">
        <v>7200</v>
      </c>
      <c r="F11327">
        <v>0</v>
      </c>
      <c r="G11327">
        <v>26</v>
      </c>
      <c r="H11327" t="s">
        <v>19</v>
      </c>
    </row>
    <row r="11328" spans="1:8" x14ac:dyDescent="0.25">
      <c r="A11328" t="str">
        <f>"&lt;nominal&gt;" &amp;$D$11327&amp;"&lt;/nominal&gt;"</f>
        <v>&lt;nominal&gt;40&lt;/nominal&gt;</v>
      </c>
      <c r="B11328" t="s">
        <v>997</v>
      </c>
    </row>
    <row r="11329" spans="1:8" x14ac:dyDescent="0.25">
      <c r="A11329" t="str">
        <f>"&lt;lifetime&gt;" &amp;$E$11327&amp;"&lt;/lifetime&gt;"</f>
        <v>&lt;lifetime&gt;7200&lt;/lifetime&gt;</v>
      </c>
      <c r="B11329" t="s">
        <v>997</v>
      </c>
    </row>
    <row r="11330" spans="1:8" x14ac:dyDescent="0.25">
      <c r="A11330" t="str">
        <f>"&lt;restock&gt;" &amp;$F$11327&amp;"&lt;/restock&gt;"</f>
        <v>&lt;restock&gt;0&lt;/restock&gt;</v>
      </c>
      <c r="B11330" t="s">
        <v>997</v>
      </c>
    </row>
    <row r="11331" spans="1:8" x14ac:dyDescent="0.25">
      <c r="A11331" t="str">
        <f>"&lt;min&gt;" &amp;$G$11327&amp;"&lt;/min&gt;"</f>
        <v>&lt;min&gt;26&lt;/min&gt;</v>
      </c>
      <c r="B11331" t="s">
        <v>997</v>
      </c>
    </row>
    <row r="11332" spans="1:8" x14ac:dyDescent="0.25">
      <c r="A11332" t="s">
        <v>16</v>
      </c>
      <c r="B11332" t="s">
        <v>997</v>
      </c>
    </row>
    <row r="11333" spans="1:8" x14ac:dyDescent="0.25">
      <c r="A11333" t="s">
        <v>17</v>
      </c>
      <c r="B11333" t="s">
        <v>997</v>
      </c>
    </row>
    <row r="11334" spans="1:8" x14ac:dyDescent="0.25">
      <c r="A11334" t="s">
        <v>18</v>
      </c>
      <c r="B11334" t="s">
        <v>997</v>
      </c>
    </row>
    <row r="11335" spans="1:8" x14ac:dyDescent="0.25">
      <c r="A11335" t="str">
        <f xml:space="preserve"> $H$11327</f>
        <v>&lt;flags count_in_cargo="0" count_in_hoarder="0" count_in_map="1" count_in_player="0" crafted="0" deloot="0"/&gt;</v>
      </c>
      <c r="B11335" t="s">
        <v>997</v>
      </c>
    </row>
    <row r="11336" spans="1:8" x14ac:dyDescent="0.25">
      <c r="A11336" t="str">
        <f>"&lt;category name=" &amp;"""" &amp;$C$11327&amp;"""/&gt;"</f>
        <v>&lt;category name="tools"/&gt;</v>
      </c>
      <c r="B11336" t="s">
        <v>997</v>
      </c>
    </row>
    <row r="11337" spans="1:8" x14ac:dyDescent="0.25">
      <c r="A11337" t="s">
        <v>29</v>
      </c>
      <c r="B11337" t="s">
        <v>997</v>
      </c>
    </row>
    <row r="11338" spans="1:8" x14ac:dyDescent="0.25">
      <c r="A11338" t="s">
        <v>173</v>
      </c>
      <c r="B11338" t="s">
        <v>997</v>
      </c>
    </row>
    <row r="11339" spans="1:8" x14ac:dyDescent="0.25">
      <c r="A11339" t="s">
        <v>30</v>
      </c>
      <c r="B11339" t="s">
        <v>997</v>
      </c>
    </row>
    <row r="11340" spans="1:8" x14ac:dyDescent="0.25">
      <c r="A11340" t="s">
        <v>31</v>
      </c>
      <c r="B11340" t="s">
        <v>997</v>
      </c>
    </row>
    <row r="11341" spans="1:8" x14ac:dyDescent="0.25">
      <c r="A11341" t="s">
        <v>307</v>
      </c>
      <c r="B11341" t="s">
        <v>997</v>
      </c>
    </row>
    <row r="11342" spans="1:8" x14ac:dyDescent="0.25">
      <c r="A11342" t="s">
        <v>22</v>
      </c>
      <c r="B11342" t="s">
        <v>997</v>
      </c>
    </row>
    <row r="11343" spans="1:8" x14ac:dyDescent="0.25">
      <c r="A11343" t="s">
        <v>2264</v>
      </c>
      <c r="B11343" t="s">
        <v>998</v>
      </c>
      <c r="C11343" t="s">
        <v>426</v>
      </c>
      <c r="D11343">
        <v>100</v>
      </c>
      <c r="E11343">
        <v>7200</v>
      </c>
      <c r="F11343">
        <v>0</v>
      </c>
      <c r="G11343">
        <v>80</v>
      </c>
      <c r="H11343" t="s">
        <v>19</v>
      </c>
    </row>
    <row r="11344" spans="1:8" x14ac:dyDescent="0.25">
      <c r="A11344" t="str">
        <f>"&lt;nominal&gt;" &amp;$D$11343&amp;"&lt;/nominal&gt;"</f>
        <v>&lt;nominal&gt;100&lt;/nominal&gt;</v>
      </c>
      <c r="B11344" t="s">
        <v>998</v>
      </c>
    </row>
    <row r="11345" spans="1:8" x14ac:dyDescent="0.25">
      <c r="A11345" t="str">
        <f>"&lt;lifetime&gt;" &amp;$E$11343&amp;"&lt;/lifetime&gt;"</f>
        <v>&lt;lifetime&gt;7200&lt;/lifetime&gt;</v>
      </c>
      <c r="B11345" t="s">
        <v>998</v>
      </c>
    </row>
    <row r="11346" spans="1:8" x14ac:dyDescent="0.25">
      <c r="A11346" t="str">
        <f>"&lt;restock&gt;" &amp;$F$11343&amp;"&lt;/restock&gt;"</f>
        <v>&lt;restock&gt;0&lt;/restock&gt;</v>
      </c>
      <c r="B11346" t="s">
        <v>998</v>
      </c>
    </row>
    <row r="11347" spans="1:8" x14ac:dyDescent="0.25">
      <c r="A11347" t="str">
        <f>"&lt;min&gt;" &amp;$G$11343&amp;"&lt;/min&gt;"</f>
        <v>&lt;min&gt;80&lt;/min&gt;</v>
      </c>
      <c r="B11347" t="s">
        <v>998</v>
      </c>
    </row>
    <row r="11348" spans="1:8" x14ac:dyDescent="0.25">
      <c r="A11348" t="s">
        <v>16</v>
      </c>
      <c r="B11348" t="s">
        <v>998</v>
      </c>
    </row>
    <row r="11349" spans="1:8" x14ac:dyDescent="0.25">
      <c r="A11349" t="s">
        <v>17</v>
      </c>
      <c r="B11349" t="s">
        <v>998</v>
      </c>
    </row>
    <row r="11350" spans="1:8" x14ac:dyDescent="0.25">
      <c r="A11350" t="s">
        <v>18</v>
      </c>
      <c r="B11350" t="s">
        <v>998</v>
      </c>
    </row>
    <row r="11351" spans="1:8" x14ac:dyDescent="0.25">
      <c r="A11351" t="str">
        <f xml:space="preserve"> $H$11343</f>
        <v>&lt;flags count_in_cargo="0" count_in_hoarder="0" count_in_map="1" count_in_player="0" crafted="0" deloot="0"/&gt;</v>
      </c>
      <c r="B11351" t="s">
        <v>998</v>
      </c>
    </row>
    <row r="11352" spans="1:8" x14ac:dyDescent="0.25">
      <c r="A11352" t="str">
        <f>"&lt;category name=" &amp;"""" &amp;$C$11343&amp;"""/&gt;"</f>
        <v>&lt;category name="tools"/&gt;</v>
      </c>
      <c r="B11352" t="s">
        <v>998</v>
      </c>
    </row>
    <row r="11353" spans="1:8" x14ac:dyDescent="0.25">
      <c r="A11353" t="s">
        <v>55</v>
      </c>
      <c r="B11353" t="s">
        <v>998</v>
      </c>
    </row>
    <row r="11354" spans="1:8" x14ac:dyDescent="0.25">
      <c r="A11354" t="s">
        <v>56</v>
      </c>
      <c r="B11354" t="s">
        <v>998</v>
      </c>
    </row>
    <row r="11355" spans="1:8" x14ac:dyDescent="0.25">
      <c r="A11355" t="s">
        <v>22</v>
      </c>
      <c r="B11355" t="s">
        <v>998</v>
      </c>
    </row>
    <row r="11356" spans="1:8" x14ac:dyDescent="0.25">
      <c r="A11356" t="s">
        <v>2265</v>
      </c>
      <c r="B11356" t="s">
        <v>999</v>
      </c>
      <c r="C11356" t="s">
        <v>8</v>
      </c>
      <c r="D11356">
        <v>20</v>
      </c>
      <c r="E11356">
        <v>10800</v>
      </c>
      <c r="F11356">
        <v>0</v>
      </c>
      <c r="G11356">
        <v>10</v>
      </c>
      <c r="H11356" t="s">
        <v>19</v>
      </c>
    </row>
    <row r="11357" spans="1:8" x14ac:dyDescent="0.25">
      <c r="A11357" t="str">
        <f>"&lt;nominal&gt;" &amp;$D$11356&amp;"&lt;/nominal&gt;"</f>
        <v>&lt;nominal&gt;20&lt;/nominal&gt;</v>
      </c>
      <c r="B11357" t="s">
        <v>999</v>
      </c>
    </row>
    <row r="11358" spans="1:8" x14ac:dyDescent="0.25">
      <c r="A11358" t="str">
        <f>"&lt;lifetime&gt;" &amp;$E$11356&amp;"&lt;/lifetime&gt;"</f>
        <v>&lt;lifetime&gt;10800&lt;/lifetime&gt;</v>
      </c>
      <c r="B11358" t="s">
        <v>999</v>
      </c>
    </row>
    <row r="11359" spans="1:8" x14ac:dyDescent="0.25">
      <c r="A11359" t="str">
        <f>"&lt;restock&gt;" &amp;$F$11356&amp;"&lt;/restock&gt;"</f>
        <v>&lt;restock&gt;0&lt;/restock&gt;</v>
      </c>
      <c r="B11359" t="s">
        <v>999</v>
      </c>
    </row>
    <row r="11360" spans="1:8" x14ac:dyDescent="0.25">
      <c r="A11360" t="str">
        <f>"&lt;min&gt;" &amp;$G$11356&amp;"&lt;/min&gt;"</f>
        <v>&lt;min&gt;10&lt;/min&gt;</v>
      </c>
      <c r="B11360" t="s">
        <v>999</v>
      </c>
    </row>
    <row r="11361" spans="1:8" x14ac:dyDescent="0.25">
      <c r="A11361" t="s">
        <v>16</v>
      </c>
      <c r="B11361" t="s">
        <v>999</v>
      </c>
    </row>
    <row r="11362" spans="1:8" x14ac:dyDescent="0.25">
      <c r="A11362" t="s">
        <v>17</v>
      </c>
      <c r="B11362" t="s">
        <v>999</v>
      </c>
    </row>
    <row r="11363" spans="1:8" x14ac:dyDescent="0.25">
      <c r="A11363" t="s">
        <v>18</v>
      </c>
      <c r="B11363" t="s">
        <v>999</v>
      </c>
    </row>
    <row r="11364" spans="1:8" x14ac:dyDescent="0.25">
      <c r="A11364" t="str">
        <f xml:space="preserve"> $H$11356</f>
        <v>&lt;flags count_in_cargo="0" count_in_hoarder="0" count_in_map="1" count_in_player="0" crafted="0" deloot="0"/&gt;</v>
      </c>
      <c r="B11364" t="s">
        <v>999</v>
      </c>
    </row>
    <row r="11365" spans="1:8" x14ac:dyDescent="0.25">
      <c r="A11365" t="str">
        <f>"&lt;category name=" &amp;"""" &amp;$C$11356&amp;"""/&gt;"</f>
        <v>&lt;category name="weapons"/&gt;</v>
      </c>
      <c r="B11365" t="s">
        <v>999</v>
      </c>
    </row>
    <row r="11366" spans="1:8" x14ac:dyDescent="0.25">
      <c r="A11366" t="s">
        <v>29</v>
      </c>
      <c r="B11366" t="s">
        <v>999</v>
      </c>
    </row>
    <row r="11367" spans="1:8" x14ac:dyDescent="0.25">
      <c r="A11367" t="s">
        <v>30</v>
      </c>
      <c r="B11367" t="s">
        <v>999</v>
      </c>
    </row>
    <row r="11368" spans="1:8" x14ac:dyDescent="0.25">
      <c r="A11368" t="s">
        <v>31</v>
      </c>
      <c r="B11368" t="s">
        <v>999</v>
      </c>
    </row>
    <row r="11369" spans="1:8" x14ac:dyDescent="0.25">
      <c r="A11369" t="s">
        <v>22</v>
      </c>
      <c r="B11369" t="s">
        <v>999</v>
      </c>
    </row>
    <row r="11370" spans="1:8" x14ac:dyDescent="0.25">
      <c r="A11370" t="s">
        <v>2266</v>
      </c>
      <c r="B11370" t="s">
        <v>1000</v>
      </c>
      <c r="C11370" t="s">
        <v>8</v>
      </c>
      <c r="D11370">
        <v>10</v>
      </c>
      <c r="E11370">
        <v>14400</v>
      </c>
      <c r="F11370">
        <v>0</v>
      </c>
      <c r="G11370">
        <v>5</v>
      </c>
      <c r="H11370" t="s">
        <v>19</v>
      </c>
    </row>
    <row r="11371" spans="1:8" x14ac:dyDescent="0.25">
      <c r="A11371" t="str">
        <f>"&lt;nominal&gt;" &amp;$D$11370&amp;"&lt;/nominal&gt;"</f>
        <v>&lt;nominal&gt;10&lt;/nominal&gt;</v>
      </c>
      <c r="B11371" t="s">
        <v>1000</v>
      </c>
    </row>
    <row r="11372" spans="1:8" x14ac:dyDescent="0.25">
      <c r="A11372" t="str">
        <f>"&lt;lifetime&gt;" &amp;$E$11370&amp;"&lt;/lifetime&gt;"</f>
        <v>&lt;lifetime&gt;14400&lt;/lifetime&gt;</v>
      </c>
      <c r="B11372" t="s">
        <v>1000</v>
      </c>
    </row>
    <row r="11373" spans="1:8" x14ac:dyDescent="0.25">
      <c r="A11373" t="str">
        <f>"&lt;restock&gt;" &amp;$F$11370&amp;"&lt;/restock&gt;"</f>
        <v>&lt;restock&gt;0&lt;/restock&gt;</v>
      </c>
      <c r="B11373" t="s">
        <v>1000</v>
      </c>
    </row>
    <row r="11374" spans="1:8" x14ac:dyDescent="0.25">
      <c r="A11374" t="str">
        <f>"&lt;min&gt;" &amp;$G$11370&amp;"&lt;/min&gt;"</f>
        <v>&lt;min&gt;5&lt;/min&gt;</v>
      </c>
      <c r="B11374" t="s">
        <v>1000</v>
      </c>
    </row>
    <row r="11375" spans="1:8" x14ac:dyDescent="0.25">
      <c r="A11375" t="s">
        <v>16</v>
      </c>
      <c r="B11375" t="s">
        <v>1000</v>
      </c>
    </row>
    <row r="11376" spans="1:8" x14ac:dyDescent="0.25">
      <c r="A11376" t="s">
        <v>17</v>
      </c>
      <c r="B11376" t="s">
        <v>1000</v>
      </c>
    </row>
    <row r="11377" spans="1:8" x14ac:dyDescent="0.25">
      <c r="A11377" t="s">
        <v>18</v>
      </c>
      <c r="B11377" t="s">
        <v>1000</v>
      </c>
    </row>
    <row r="11378" spans="1:8" x14ac:dyDescent="0.25">
      <c r="A11378" t="str">
        <f xml:space="preserve"> $H$11370</f>
        <v>&lt;flags count_in_cargo="0" count_in_hoarder="0" count_in_map="1" count_in_player="0" crafted="0" deloot="0"/&gt;</v>
      </c>
      <c r="B11378" t="s">
        <v>1000</v>
      </c>
    </row>
    <row r="11379" spans="1:8" x14ac:dyDescent="0.25">
      <c r="A11379" t="str">
        <f>"&lt;category name=" &amp;"""" &amp;$C$11370&amp;"""/&gt;"</f>
        <v>&lt;category name="weapons"/&gt;</v>
      </c>
      <c r="B11379" t="s">
        <v>1000</v>
      </c>
    </row>
    <row r="11380" spans="1:8" x14ac:dyDescent="0.25">
      <c r="A11380" t="s">
        <v>29</v>
      </c>
      <c r="B11380" t="s">
        <v>1000</v>
      </c>
    </row>
    <row r="11381" spans="1:8" x14ac:dyDescent="0.25">
      <c r="A11381" t="s">
        <v>30</v>
      </c>
      <c r="B11381" t="s">
        <v>1000</v>
      </c>
    </row>
    <row r="11382" spans="1:8" x14ac:dyDescent="0.25">
      <c r="A11382" t="s">
        <v>31</v>
      </c>
      <c r="B11382" t="s">
        <v>1000</v>
      </c>
    </row>
    <row r="11383" spans="1:8" x14ac:dyDescent="0.25">
      <c r="A11383" t="s">
        <v>22</v>
      </c>
      <c r="B11383" t="s">
        <v>1000</v>
      </c>
    </row>
    <row r="11384" spans="1:8" x14ac:dyDescent="0.25">
      <c r="A11384" t="s">
        <v>2267</v>
      </c>
      <c r="B11384" t="s">
        <v>1001</v>
      </c>
      <c r="C11384" t="s">
        <v>8</v>
      </c>
      <c r="D11384">
        <v>5</v>
      </c>
      <c r="E11384">
        <v>7200</v>
      </c>
      <c r="F11384">
        <v>14400</v>
      </c>
      <c r="G11384">
        <v>2</v>
      </c>
      <c r="H11384" t="s">
        <v>28</v>
      </c>
    </row>
    <row r="11385" spans="1:8" x14ac:dyDescent="0.25">
      <c r="A11385" t="str">
        <f>"&lt;nominal&gt;" &amp;$D$11384&amp;"&lt;/nominal&gt;"</f>
        <v>&lt;nominal&gt;5&lt;/nominal&gt;</v>
      </c>
      <c r="B11385" t="s">
        <v>1001</v>
      </c>
    </row>
    <row r="11386" spans="1:8" x14ac:dyDescent="0.25">
      <c r="A11386" t="str">
        <f>"&lt;lifetime&gt;" &amp;$E$11384&amp;"&lt;/lifetime&gt;"</f>
        <v>&lt;lifetime&gt;7200&lt;/lifetime&gt;</v>
      </c>
      <c r="B11386" t="s">
        <v>1001</v>
      </c>
    </row>
    <row r="11387" spans="1:8" x14ac:dyDescent="0.25">
      <c r="A11387" t="str">
        <f>"&lt;restock&gt;" &amp;$F$11384&amp;"&lt;/restock&gt;"</f>
        <v>&lt;restock&gt;14400&lt;/restock&gt;</v>
      </c>
      <c r="B11387" t="s">
        <v>1001</v>
      </c>
    </row>
    <row r="11388" spans="1:8" x14ac:dyDescent="0.25">
      <c r="A11388" t="str">
        <f>"&lt;min&gt;" &amp;$G$11384&amp;"&lt;/min&gt;"</f>
        <v>&lt;min&gt;2&lt;/min&gt;</v>
      </c>
      <c r="B11388" t="s">
        <v>1001</v>
      </c>
    </row>
    <row r="11389" spans="1:8" x14ac:dyDescent="0.25">
      <c r="A11389" t="s">
        <v>16</v>
      </c>
      <c r="B11389" t="s">
        <v>1001</v>
      </c>
    </row>
    <row r="11390" spans="1:8" x14ac:dyDescent="0.25">
      <c r="A11390" t="s">
        <v>17</v>
      </c>
      <c r="B11390" t="s">
        <v>1001</v>
      </c>
    </row>
    <row r="11391" spans="1:8" x14ac:dyDescent="0.25">
      <c r="A11391" t="s">
        <v>18</v>
      </c>
      <c r="B11391" t="s">
        <v>1001</v>
      </c>
    </row>
    <row r="11392" spans="1:8" x14ac:dyDescent="0.25">
      <c r="A11392" t="str">
        <f xml:space="preserve"> $H$11384</f>
        <v>&lt;flags count_in_cargo="1" count_in_hoarder="1" count_in_map="1" count_in_player="1" crafted="0" deloot="1"/&gt;</v>
      </c>
      <c r="B11392" t="s">
        <v>1001</v>
      </c>
    </row>
    <row r="11393" spans="1:8" x14ac:dyDescent="0.25">
      <c r="A11393" t="str">
        <f>"&lt;category name=" &amp;"""" &amp;$C$11384&amp;"""/&gt;"</f>
        <v>&lt;category name="weapons"/&gt;</v>
      </c>
      <c r="B11393" t="s">
        <v>1001</v>
      </c>
    </row>
    <row r="11394" spans="1:8" x14ac:dyDescent="0.25">
      <c r="A11394" t="s">
        <v>29</v>
      </c>
      <c r="B11394" t="s">
        <v>1001</v>
      </c>
    </row>
    <row r="11395" spans="1:8" x14ac:dyDescent="0.25">
      <c r="A11395" t="s">
        <v>307</v>
      </c>
      <c r="B11395" t="s">
        <v>1001</v>
      </c>
    </row>
    <row r="11396" spans="1:8" x14ac:dyDescent="0.25">
      <c r="A11396" t="s">
        <v>22</v>
      </c>
      <c r="B11396" t="s">
        <v>1001</v>
      </c>
    </row>
    <row r="11397" spans="1:8" x14ac:dyDescent="0.25">
      <c r="A11397" t="s">
        <v>2268</v>
      </c>
      <c r="B11397" t="s">
        <v>1002</v>
      </c>
      <c r="C11397" t="s">
        <v>8</v>
      </c>
      <c r="D11397">
        <v>10</v>
      </c>
      <c r="E11397">
        <v>7200</v>
      </c>
      <c r="F11397">
        <v>1800</v>
      </c>
      <c r="G11397">
        <v>5</v>
      </c>
      <c r="H11397" t="s">
        <v>19</v>
      </c>
    </row>
    <row r="11398" spans="1:8" x14ac:dyDescent="0.25">
      <c r="A11398" t="str">
        <f>"&lt;nominal&gt;" &amp;$D$11397&amp;"&lt;/nominal&gt;"</f>
        <v>&lt;nominal&gt;10&lt;/nominal&gt;</v>
      </c>
      <c r="B11398" t="s">
        <v>1002</v>
      </c>
    </row>
    <row r="11399" spans="1:8" x14ac:dyDescent="0.25">
      <c r="A11399" t="str">
        <f>"&lt;lifetime&gt;" &amp;$E$11397&amp;"&lt;/lifetime&gt;"</f>
        <v>&lt;lifetime&gt;7200&lt;/lifetime&gt;</v>
      </c>
      <c r="B11399" t="s">
        <v>1002</v>
      </c>
    </row>
    <row r="11400" spans="1:8" x14ac:dyDescent="0.25">
      <c r="A11400" t="str">
        <f>"&lt;restock&gt;" &amp;$F$11397&amp;"&lt;/restock&gt;"</f>
        <v>&lt;restock&gt;1800&lt;/restock&gt;</v>
      </c>
      <c r="B11400" t="s">
        <v>1002</v>
      </c>
    </row>
    <row r="11401" spans="1:8" x14ac:dyDescent="0.25">
      <c r="A11401" t="str">
        <f>"&lt;min&gt;" &amp;$G$11397&amp;"&lt;/min&gt;"</f>
        <v>&lt;min&gt;5&lt;/min&gt;</v>
      </c>
      <c r="B11401" t="s">
        <v>1002</v>
      </c>
    </row>
    <row r="11402" spans="1:8" x14ac:dyDescent="0.25">
      <c r="A11402" t="s">
        <v>16</v>
      </c>
      <c r="B11402" t="s">
        <v>1002</v>
      </c>
    </row>
    <row r="11403" spans="1:8" x14ac:dyDescent="0.25">
      <c r="A11403" t="s">
        <v>17</v>
      </c>
      <c r="B11403" t="s">
        <v>1002</v>
      </c>
    </row>
    <row r="11404" spans="1:8" x14ac:dyDescent="0.25">
      <c r="A11404" t="s">
        <v>18</v>
      </c>
      <c r="B11404" t="s">
        <v>1002</v>
      </c>
    </row>
    <row r="11405" spans="1:8" x14ac:dyDescent="0.25">
      <c r="A11405" t="str">
        <f xml:space="preserve"> $H$11397</f>
        <v>&lt;flags count_in_cargo="0" count_in_hoarder="0" count_in_map="1" count_in_player="0" crafted="0" deloot="0"/&gt;</v>
      </c>
      <c r="B11405" t="s">
        <v>1002</v>
      </c>
    </row>
    <row r="11406" spans="1:8" x14ac:dyDescent="0.25">
      <c r="A11406" t="str">
        <f>"&lt;category name=" &amp;"""" &amp;$C$11397&amp;"""/&gt;"</f>
        <v>&lt;category name="weapons"/&gt;</v>
      </c>
      <c r="B11406" t="s">
        <v>1002</v>
      </c>
    </row>
    <row r="11407" spans="1:8" x14ac:dyDescent="0.25">
      <c r="A11407" t="s">
        <v>29</v>
      </c>
      <c r="B11407" t="s">
        <v>1002</v>
      </c>
    </row>
    <row r="11408" spans="1:8" x14ac:dyDescent="0.25">
      <c r="A11408" t="s">
        <v>31</v>
      </c>
      <c r="B11408" t="s">
        <v>1002</v>
      </c>
    </row>
    <row r="11409" spans="1:8" x14ac:dyDescent="0.25">
      <c r="A11409" t="s">
        <v>307</v>
      </c>
      <c r="B11409" t="s">
        <v>1002</v>
      </c>
    </row>
    <row r="11410" spans="1:8" x14ac:dyDescent="0.25">
      <c r="A11410" t="s">
        <v>22</v>
      </c>
      <c r="B11410" t="s">
        <v>1002</v>
      </c>
    </row>
    <row r="11411" spans="1:8" x14ac:dyDescent="0.25">
      <c r="A11411" t="s">
        <v>2269</v>
      </c>
      <c r="B11411" t="s">
        <v>1003</v>
      </c>
      <c r="C11411" t="s">
        <v>8</v>
      </c>
      <c r="D11411">
        <v>5</v>
      </c>
      <c r="E11411">
        <v>7200</v>
      </c>
      <c r="F11411">
        <v>0</v>
      </c>
      <c r="G11411">
        <v>2</v>
      </c>
      <c r="H11411" t="s">
        <v>19</v>
      </c>
    </row>
    <row r="11412" spans="1:8" x14ac:dyDescent="0.25">
      <c r="A11412" t="str">
        <f>"&lt;nominal&gt;" &amp;$D$11411&amp;"&lt;/nominal&gt;"</f>
        <v>&lt;nominal&gt;5&lt;/nominal&gt;</v>
      </c>
      <c r="B11412" t="s">
        <v>1003</v>
      </c>
    </row>
    <row r="11413" spans="1:8" x14ac:dyDescent="0.25">
      <c r="A11413" t="str">
        <f>"&lt;lifetime&gt;" &amp;$E$11411&amp;"&lt;/lifetime&gt;"</f>
        <v>&lt;lifetime&gt;7200&lt;/lifetime&gt;</v>
      </c>
      <c r="B11413" t="s">
        <v>1003</v>
      </c>
    </row>
    <row r="11414" spans="1:8" x14ac:dyDescent="0.25">
      <c r="A11414" t="str">
        <f>"&lt;restock&gt;" &amp;$F$11411&amp;"&lt;/restock&gt;"</f>
        <v>&lt;restock&gt;0&lt;/restock&gt;</v>
      </c>
      <c r="B11414" t="s">
        <v>1003</v>
      </c>
    </row>
    <row r="11415" spans="1:8" x14ac:dyDescent="0.25">
      <c r="A11415" t="str">
        <f>"&lt;min&gt;" &amp;$G$11411&amp;"&lt;/min&gt;"</f>
        <v>&lt;min&gt;2&lt;/min&gt;</v>
      </c>
      <c r="B11415" t="s">
        <v>1003</v>
      </c>
    </row>
    <row r="11416" spans="1:8" x14ac:dyDescent="0.25">
      <c r="A11416" t="s">
        <v>16</v>
      </c>
      <c r="B11416" t="s">
        <v>1003</v>
      </c>
    </row>
    <row r="11417" spans="1:8" x14ac:dyDescent="0.25">
      <c r="A11417" t="s">
        <v>17</v>
      </c>
      <c r="B11417" t="s">
        <v>1003</v>
      </c>
    </row>
    <row r="11418" spans="1:8" x14ac:dyDescent="0.25">
      <c r="A11418" t="s">
        <v>18</v>
      </c>
      <c r="B11418" t="s">
        <v>1003</v>
      </c>
    </row>
    <row r="11419" spans="1:8" x14ac:dyDescent="0.25">
      <c r="A11419" t="str">
        <f xml:space="preserve"> $H$11411</f>
        <v>&lt;flags count_in_cargo="0" count_in_hoarder="0" count_in_map="1" count_in_player="0" crafted="0" deloot="0"/&gt;</v>
      </c>
      <c r="B11419" t="s">
        <v>1003</v>
      </c>
    </row>
    <row r="11420" spans="1:8" x14ac:dyDescent="0.25">
      <c r="A11420" t="str">
        <f>"&lt;category name=" &amp;"""" &amp;$C$11411&amp;"""/&gt;"</f>
        <v>&lt;category name="weapons"/&gt;</v>
      </c>
      <c r="B11420" t="s">
        <v>1003</v>
      </c>
    </row>
    <row r="11421" spans="1:8" x14ac:dyDescent="0.25">
      <c r="A11421" t="s">
        <v>29</v>
      </c>
      <c r="B11421" t="s">
        <v>1003</v>
      </c>
    </row>
    <row r="11422" spans="1:8" x14ac:dyDescent="0.25">
      <c r="A11422" t="s">
        <v>22</v>
      </c>
      <c r="B11422" t="s">
        <v>1003</v>
      </c>
    </row>
    <row r="11423" spans="1:8" x14ac:dyDescent="0.25">
      <c r="A11423" t="s">
        <v>2270</v>
      </c>
      <c r="B11423" t="s">
        <v>1004</v>
      </c>
      <c r="C11423" t="s">
        <v>426</v>
      </c>
      <c r="D11423">
        <v>25</v>
      </c>
      <c r="E11423">
        <v>7200</v>
      </c>
      <c r="F11423">
        <v>0</v>
      </c>
      <c r="G11423">
        <v>15</v>
      </c>
      <c r="H11423" t="s">
        <v>19</v>
      </c>
    </row>
    <row r="11424" spans="1:8" x14ac:dyDescent="0.25">
      <c r="A11424" t="str">
        <f>"&lt;nominal&gt;" &amp;$D$11423&amp;"&lt;/nominal&gt;"</f>
        <v>&lt;nominal&gt;25&lt;/nominal&gt;</v>
      </c>
      <c r="B11424" t="s">
        <v>1004</v>
      </c>
    </row>
    <row r="11425" spans="1:8" x14ac:dyDescent="0.25">
      <c r="A11425" t="str">
        <f>"&lt;lifetime&gt;" &amp;$E$11423&amp;"&lt;/lifetime&gt;"</f>
        <v>&lt;lifetime&gt;7200&lt;/lifetime&gt;</v>
      </c>
      <c r="B11425" t="s">
        <v>1004</v>
      </c>
    </row>
    <row r="11426" spans="1:8" x14ac:dyDescent="0.25">
      <c r="A11426" t="str">
        <f>"&lt;restock&gt;" &amp;$F$11423&amp;"&lt;/restock&gt;"</f>
        <v>&lt;restock&gt;0&lt;/restock&gt;</v>
      </c>
      <c r="B11426" t="s">
        <v>1004</v>
      </c>
    </row>
    <row r="11427" spans="1:8" x14ac:dyDescent="0.25">
      <c r="A11427" t="str">
        <f>"&lt;min&gt;" &amp;$G$11423&amp;"&lt;/min&gt;"</f>
        <v>&lt;min&gt;15&lt;/min&gt;</v>
      </c>
      <c r="B11427" t="s">
        <v>1004</v>
      </c>
    </row>
    <row r="11428" spans="1:8" x14ac:dyDescent="0.25">
      <c r="A11428" t="s">
        <v>16</v>
      </c>
      <c r="B11428" t="s">
        <v>1004</v>
      </c>
    </row>
    <row r="11429" spans="1:8" x14ac:dyDescent="0.25">
      <c r="A11429" t="s">
        <v>17</v>
      </c>
      <c r="B11429" t="s">
        <v>1004</v>
      </c>
    </row>
    <row r="11430" spans="1:8" x14ac:dyDescent="0.25">
      <c r="A11430" t="s">
        <v>18</v>
      </c>
      <c r="B11430" t="s">
        <v>1004</v>
      </c>
    </row>
    <row r="11431" spans="1:8" x14ac:dyDescent="0.25">
      <c r="A11431" t="str">
        <f xml:space="preserve"> $H$11423</f>
        <v>&lt;flags count_in_cargo="0" count_in_hoarder="0" count_in_map="1" count_in_player="0" crafted="0" deloot="0"/&gt;</v>
      </c>
      <c r="B11431" t="s">
        <v>1004</v>
      </c>
    </row>
    <row r="11432" spans="1:8" x14ac:dyDescent="0.25">
      <c r="A11432" t="str">
        <f>"&lt;category name=" &amp;"""" &amp;$C$11423&amp;"""/&gt;"</f>
        <v>&lt;category name="tools"/&gt;</v>
      </c>
      <c r="B11432" t="s">
        <v>1004</v>
      </c>
    </row>
    <row r="11433" spans="1:8" x14ac:dyDescent="0.25">
      <c r="A11433" t="s">
        <v>20</v>
      </c>
      <c r="B11433" t="s">
        <v>1004</v>
      </c>
    </row>
    <row r="11434" spans="1:8" x14ac:dyDescent="0.25">
      <c r="A11434" t="s">
        <v>21</v>
      </c>
      <c r="B11434" t="s">
        <v>1004</v>
      </c>
    </row>
    <row r="11435" spans="1:8" x14ac:dyDescent="0.25">
      <c r="A11435" t="s">
        <v>22</v>
      </c>
      <c r="B11435" t="s">
        <v>1004</v>
      </c>
    </row>
    <row r="11436" spans="1:8" x14ac:dyDescent="0.25">
      <c r="A11436" t="s">
        <v>2271</v>
      </c>
      <c r="B11436" t="s">
        <v>3462</v>
      </c>
      <c r="C11436" t="s">
        <v>426</v>
      </c>
      <c r="D11436">
        <v>0</v>
      </c>
      <c r="E11436">
        <v>7200</v>
      </c>
      <c r="F11436">
        <v>0</v>
      </c>
      <c r="G11436">
        <v>0</v>
      </c>
      <c r="H11436" t="s">
        <v>62</v>
      </c>
    </row>
    <row r="11437" spans="1:8" x14ac:dyDescent="0.25">
      <c r="A11437" t="str">
        <f>"&lt;nominal&gt;" &amp;$D$11436&amp;"&lt;/nominal&gt;"</f>
        <v>&lt;nominal&gt;0&lt;/nominal&gt;</v>
      </c>
      <c r="B11437" t="s">
        <v>3462</v>
      </c>
    </row>
    <row r="11438" spans="1:8" x14ac:dyDescent="0.25">
      <c r="A11438" t="str">
        <f>"&lt;lifetime&gt;" &amp;$E$11436&amp;"&lt;/lifetime&gt;"</f>
        <v>&lt;lifetime&gt;7200&lt;/lifetime&gt;</v>
      </c>
      <c r="B11438" t="s">
        <v>3462</v>
      </c>
    </row>
    <row r="11439" spans="1:8" x14ac:dyDescent="0.25">
      <c r="A11439" t="str">
        <f>"&lt;restock&gt;" &amp;$F$11436&amp;"&lt;/restock&gt;"</f>
        <v>&lt;restock&gt;0&lt;/restock&gt;</v>
      </c>
      <c r="B11439" t="s">
        <v>3462</v>
      </c>
    </row>
    <row r="11440" spans="1:8" x14ac:dyDescent="0.25">
      <c r="A11440" t="str">
        <f>"&lt;min&gt;" &amp;$G$11436&amp;"&lt;/min&gt;"</f>
        <v>&lt;min&gt;0&lt;/min&gt;</v>
      </c>
      <c r="B11440" t="s">
        <v>3462</v>
      </c>
    </row>
    <row r="11441" spans="1:8" x14ac:dyDescent="0.25">
      <c r="A11441" t="s">
        <v>16</v>
      </c>
      <c r="B11441" t="s">
        <v>3462</v>
      </c>
    </row>
    <row r="11442" spans="1:8" x14ac:dyDescent="0.25">
      <c r="A11442" t="s">
        <v>17</v>
      </c>
      <c r="B11442" t="s">
        <v>3462</v>
      </c>
    </row>
    <row r="11443" spans="1:8" x14ac:dyDescent="0.25">
      <c r="A11443" t="s">
        <v>18</v>
      </c>
      <c r="B11443" t="s">
        <v>3462</v>
      </c>
    </row>
    <row r="11444" spans="1:8" x14ac:dyDescent="0.25">
      <c r="A11444" t="str">
        <f xml:space="preserve"> $H$11436</f>
        <v>&lt;flags count_in_cargo="0" count_in_hoarder="0" count_in_map="1" count_in_player="0" crafted="1" deloot="0"/&gt;</v>
      </c>
      <c r="B11444" t="s">
        <v>3462</v>
      </c>
    </row>
    <row r="11445" spans="1:8" x14ac:dyDescent="0.25">
      <c r="A11445" t="str">
        <f>"&lt;category name=" &amp;"""" &amp;$C$11436&amp;"""/&gt;"</f>
        <v>&lt;category name="tools"/&gt;</v>
      </c>
      <c r="B11445" t="s">
        <v>3462</v>
      </c>
    </row>
    <row r="11446" spans="1:8" x14ac:dyDescent="0.25">
      <c r="A11446" t="s">
        <v>22</v>
      </c>
      <c r="B11446" t="s">
        <v>3462</v>
      </c>
    </row>
    <row r="11447" spans="1:8" x14ac:dyDescent="0.25">
      <c r="A11447" t="s">
        <v>2272</v>
      </c>
      <c r="B11447" t="s">
        <v>3010</v>
      </c>
      <c r="C11447" t="s">
        <v>426</v>
      </c>
      <c r="D11447">
        <v>0</v>
      </c>
      <c r="E11447">
        <v>1800</v>
      </c>
      <c r="F11447">
        <v>0</v>
      </c>
      <c r="G11447">
        <v>0</v>
      </c>
      <c r="H11447" t="s">
        <v>62</v>
      </c>
    </row>
    <row r="11448" spans="1:8" x14ac:dyDescent="0.25">
      <c r="A11448" t="str">
        <f>"&lt;nominal&gt;" &amp;$D$11447&amp;"&lt;/nominal&gt;"</f>
        <v>&lt;nominal&gt;0&lt;/nominal&gt;</v>
      </c>
      <c r="B11448" t="s">
        <v>3010</v>
      </c>
    </row>
    <row r="11449" spans="1:8" x14ac:dyDescent="0.25">
      <c r="A11449" t="str">
        <f>"&lt;lifetime&gt;" &amp;$E$11447&amp;"&lt;/lifetime&gt;"</f>
        <v>&lt;lifetime&gt;1800&lt;/lifetime&gt;</v>
      </c>
      <c r="B11449" t="s">
        <v>3010</v>
      </c>
    </row>
    <row r="11450" spans="1:8" x14ac:dyDescent="0.25">
      <c r="A11450" t="str">
        <f>"&lt;restock&gt;" &amp;$F$11447&amp;"&lt;/restock&gt;"</f>
        <v>&lt;restock&gt;0&lt;/restock&gt;</v>
      </c>
      <c r="B11450" t="s">
        <v>3010</v>
      </c>
    </row>
    <row r="11451" spans="1:8" x14ac:dyDescent="0.25">
      <c r="A11451" t="str">
        <f>"&lt;min&gt;" &amp;$G$11447&amp;"&lt;/min&gt;"</f>
        <v>&lt;min&gt;0&lt;/min&gt;</v>
      </c>
      <c r="B11451" t="s">
        <v>3010</v>
      </c>
    </row>
    <row r="11452" spans="1:8" x14ac:dyDescent="0.25">
      <c r="A11452" t="s">
        <v>16</v>
      </c>
      <c r="B11452" t="s">
        <v>3010</v>
      </c>
    </row>
    <row r="11453" spans="1:8" x14ac:dyDescent="0.25">
      <c r="A11453" t="s">
        <v>17</v>
      </c>
      <c r="B11453" t="s">
        <v>3010</v>
      </c>
    </row>
    <row r="11454" spans="1:8" x14ac:dyDescent="0.25">
      <c r="A11454" t="s">
        <v>18</v>
      </c>
      <c r="B11454" t="s">
        <v>3010</v>
      </c>
    </row>
    <row r="11455" spans="1:8" x14ac:dyDescent="0.25">
      <c r="A11455" t="str">
        <f xml:space="preserve"> $H$11447</f>
        <v>&lt;flags count_in_cargo="0" count_in_hoarder="0" count_in_map="1" count_in_player="0" crafted="1" deloot="0"/&gt;</v>
      </c>
      <c r="B11455" t="s">
        <v>3010</v>
      </c>
    </row>
    <row r="11456" spans="1:8" x14ac:dyDescent="0.25">
      <c r="A11456" t="str">
        <f>"&lt;category name=" &amp;"""" &amp;$C$11447&amp;"""/&gt;"</f>
        <v>&lt;category name="tools"/&gt;</v>
      </c>
      <c r="B11456" t="s">
        <v>3010</v>
      </c>
    </row>
    <row r="11457" spans="1:8" x14ac:dyDescent="0.25">
      <c r="A11457" t="s">
        <v>22</v>
      </c>
      <c r="B11457" t="s">
        <v>3010</v>
      </c>
    </row>
    <row r="11458" spans="1:8" x14ac:dyDescent="0.25">
      <c r="A11458" t="s">
        <v>2273</v>
      </c>
      <c r="B11458" t="s">
        <v>3463</v>
      </c>
      <c r="C11458" t="s">
        <v>403</v>
      </c>
      <c r="D11458">
        <v>0</v>
      </c>
      <c r="E11458">
        <v>7200</v>
      </c>
      <c r="F11458">
        <v>0</v>
      </c>
      <c r="G11458">
        <v>30</v>
      </c>
      <c r="H11458" t="s">
        <v>19</v>
      </c>
    </row>
    <row r="11459" spans="1:8" x14ac:dyDescent="0.25">
      <c r="A11459" t="str">
        <f>"&lt;nominal&gt;" &amp;$D$11458&amp;"&lt;/nominal&gt;"</f>
        <v>&lt;nominal&gt;0&lt;/nominal&gt;</v>
      </c>
      <c r="B11459" t="s">
        <v>3463</v>
      </c>
    </row>
    <row r="11460" spans="1:8" x14ac:dyDescent="0.25">
      <c r="A11460" t="str">
        <f>"&lt;lifetime&gt;" &amp;$E$11458&amp;"&lt;/lifetime&gt;"</f>
        <v>&lt;lifetime&gt;7200&lt;/lifetime&gt;</v>
      </c>
      <c r="B11460" t="s">
        <v>3463</v>
      </c>
    </row>
    <row r="11461" spans="1:8" x14ac:dyDescent="0.25">
      <c r="A11461" t="str">
        <f>"&lt;restock&gt;" &amp;$F$11458&amp;"&lt;/restock&gt;"</f>
        <v>&lt;restock&gt;0&lt;/restock&gt;</v>
      </c>
      <c r="B11461" t="s">
        <v>3463</v>
      </c>
    </row>
    <row r="11462" spans="1:8" x14ac:dyDescent="0.25">
      <c r="A11462" t="str">
        <f>"&lt;min&gt;" &amp;$G$11458&amp;"&lt;/min&gt;"</f>
        <v>&lt;min&gt;30&lt;/min&gt;</v>
      </c>
      <c r="B11462" t="s">
        <v>3463</v>
      </c>
    </row>
    <row r="11463" spans="1:8" x14ac:dyDescent="0.25">
      <c r="A11463" t="s">
        <v>16</v>
      </c>
      <c r="B11463" t="s">
        <v>3463</v>
      </c>
    </row>
    <row r="11464" spans="1:8" x14ac:dyDescent="0.25">
      <c r="A11464" t="s">
        <v>17</v>
      </c>
      <c r="B11464" t="s">
        <v>3463</v>
      </c>
    </row>
    <row r="11465" spans="1:8" x14ac:dyDescent="0.25">
      <c r="A11465" t="s">
        <v>18</v>
      </c>
      <c r="B11465" t="s">
        <v>3463</v>
      </c>
    </row>
    <row r="11466" spans="1:8" x14ac:dyDescent="0.25">
      <c r="A11466" t="str">
        <f xml:space="preserve"> $H$11458</f>
        <v>&lt;flags count_in_cargo="0" count_in_hoarder="0" count_in_map="1" count_in_player="0" crafted="0" deloot="0"/&gt;</v>
      </c>
      <c r="B11466" t="s">
        <v>3463</v>
      </c>
    </row>
    <row r="11467" spans="1:8" x14ac:dyDescent="0.25">
      <c r="A11467" t="str">
        <f>"&lt;category name=" &amp;"""" &amp;$C$11458&amp;"""/&gt;"</f>
        <v>&lt;category name="clothes"/&gt;</v>
      </c>
      <c r="B11467" t="s">
        <v>3463</v>
      </c>
    </row>
    <row r="11468" spans="1:8" x14ac:dyDescent="0.25">
      <c r="A11468" t="s">
        <v>20</v>
      </c>
      <c r="B11468" t="s">
        <v>3463</v>
      </c>
    </row>
    <row r="11469" spans="1:8" x14ac:dyDescent="0.25">
      <c r="A11469" t="s">
        <v>39</v>
      </c>
      <c r="B11469" t="s">
        <v>3463</v>
      </c>
    </row>
    <row r="11470" spans="1:8" x14ac:dyDescent="0.25">
      <c r="A11470" t="s">
        <v>40</v>
      </c>
      <c r="B11470" t="s">
        <v>3463</v>
      </c>
    </row>
    <row r="11471" spans="1:8" x14ac:dyDescent="0.25">
      <c r="A11471" t="s">
        <v>82</v>
      </c>
      <c r="B11471" t="s">
        <v>3463</v>
      </c>
    </row>
    <row r="11472" spans="1:8" x14ac:dyDescent="0.25">
      <c r="A11472" t="s">
        <v>30</v>
      </c>
      <c r="B11472" t="s">
        <v>3463</v>
      </c>
    </row>
    <row r="11473" spans="1:8" x14ac:dyDescent="0.25">
      <c r="A11473" t="s">
        <v>22</v>
      </c>
      <c r="B11473" t="s">
        <v>3463</v>
      </c>
    </row>
    <row r="11474" spans="1:8" x14ac:dyDescent="0.25">
      <c r="A11474" t="s">
        <v>2274</v>
      </c>
      <c r="B11474" t="s">
        <v>3464</v>
      </c>
      <c r="C11474" t="s">
        <v>403</v>
      </c>
      <c r="D11474">
        <v>0</v>
      </c>
      <c r="E11474">
        <v>7200</v>
      </c>
      <c r="F11474">
        <v>0</v>
      </c>
      <c r="G11474">
        <v>30</v>
      </c>
      <c r="H11474" t="s">
        <v>19</v>
      </c>
    </row>
    <row r="11475" spans="1:8" x14ac:dyDescent="0.25">
      <c r="A11475" t="str">
        <f>"&lt;nominal&gt;" &amp;$D$11474&amp;"&lt;/nominal&gt;"</f>
        <v>&lt;nominal&gt;0&lt;/nominal&gt;</v>
      </c>
      <c r="B11475" t="s">
        <v>3464</v>
      </c>
    </row>
    <row r="11476" spans="1:8" x14ac:dyDescent="0.25">
      <c r="A11476" t="str">
        <f>"&lt;lifetime&gt;" &amp;$E$11474&amp;"&lt;/lifetime&gt;"</f>
        <v>&lt;lifetime&gt;7200&lt;/lifetime&gt;</v>
      </c>
      <c r="B11476" t="s">
        <v>3464</v>
      </c>
    </row>
    <row r="11477" spans="1:8" x14ac:dyDescent="0.25">
      <c r="A11477" t="str">
        <f>"&lt;restock&gt;" &amp;$F$11474&amp;"&lt;/restock&gt;"</f>
        <v>&lt;restock&gt;0&lt;/restock&gt;</v>
      </c>
      <c r="B11477" t="s">
        <v>3464</v>
      </c>
    </row>
    <row r="11478" spans="1:8" x14ac:dyDescent="0.25">
      <c r="A11478" t="str">
        <f>"&lt;min&gt;" &amp;$G$11474&amp;"&lt;/min&gt;"</f>
        <v>&lt;min&gt;30&lt;/min&gt;</v>
      </c>
      <c r="B11478" t="s">
        <v>3464</v>
      </c>
    </row>
    <row r="11479" spans="1:8" x14ac:dyDescent="0.25">
      <c r="A11479" t="s">
        <v>16</v>
      </c>
      <c r="B11479" t="s">
        <v>3464</v>
      </c>
    </row>
    <row r="11480" spans="1:8" x14ac:dyDescent="0.25">
      <c r="A11480" t="s">
        <v>17</v>
      </c>
      <c r="B11480" t="s">
        <v>3464</v>
      </c>
    </row>
    <row r="11481" spans="1:8" x14ac:dyDescent="0.25">
      <c r="A11481" t="s">
        <v>18</v>
      </c>
      <c r="B11481" t="s">
        <v>3464</v>
      </c>
    </row>
    <row r="11482" spans="1:8" x14ac:dyDescent="0.25">
      <c r="A11482" t="str">
        <f xml:space="preserve"> $H$11474</f>
        <v>&lt;flags count_in_cargo="0" count_in_hoarder="0" count_in_map="1" count_in_player="0" crafted="0" deloot="0"/&gt;</v>
      </c>
      <c r="B11482" t="s">
        <v>3464</v>
      </c>
    </row>
    <row r="11483" spans="1:8" x14ac:dyDescent="0.25">
      <c r="A11483" t="str">
        <f>"&lt;category name=" &amp;"""" &amp;$C$11474&amp;"""/&gt;"</f>
        <v>&lt;category name="clothes"/&gt;</v>
      </c>
      <c r="B11483" t="s">
        <v>3464</v>
      </c>
    </row>
    <row r="11484" spans="1:8" x14ac:dyDescent="0.25">
      <c r="A11484" t="s">
        <v>20</v>
      </c>
      <c r="B11484" t="s">
        <v>3464</v>
      </c>
    </row>
    <row r="11485" spans="1:8" x14ac:dyDescent="0.25">
      <c r="A11485" t="s">
        <v>39</v>
      </c>
      <c r="B11485" t="s">
        <v>3464</v>
      </c>
    </row>
    <row r="11486" spans="1:8" x14ac:dyDescent="0.25">
      <c r="A11486" t="s">
        <v>40</v>
      </c>
      <c r="B11486" t="s">
        <v>3464</v>
      </c>
    </row>
    <row r="11487" spans="1:8" x14ac:dyDescent="0.25">
      <c r="A11487" t="s">
        <v>31</v>
      </c>
      <c r="B11487" t="s">
        <v>3464</v>
      </c>
    </row>
    <row r="11488" spans="1:8" x14ac:dyDescent="0.25">
      <c r="A11488" t="s">
        <v>307</v>
      </c>
      <c r="B11488" t="s">
        <v>3464</v>
      </c>
    </row>
    <row r="11489" spans="1:8" x14ac:dyDescent="0.25">
      <c r="A11489" t="s">
        <v>22</v>
      </c>
      <c r="B11489" t="s">
        <v>3464</v>
      </c>
    </row>
    <row r="11490" spans="1:8" x14ac:dyDescent="0.25">
      <c r="A11490" t="s">
        <v>2275</v>
      </c>
      <c r="B11490" t="s">
        <v>1005</v>
      </c>
      <c r="C11490" t="s">
        <v>399</v>
      </c>
      <c r="D11490">
        <v>2</v>
      </c>
      <c r="E11490">
        <v>7200</v>
      </c>
      <c r="F11490">
        <v>0</v>
      </c>
      <c r="G11490">
        <v>1</v>
      </c>
      <c r="H11490" t="s">
        <v>19</v>
      </c>
    </row>
    <row r="11491" spans="1:8" x14ac:dyDescent="0.25">
      <c r="A11491" t="str">
        <f>"&lt;nominal&gt;" &amp;$D$11490&amp;"&lt;/nominal&gt;"</f>
        <v>&lt;nominal&gt;2&lt;/nominal&gt;</v>
      </c>
      <c r="B11491" t="s">
        <v>1005</v>
      </c>
    </row>
    <row r="11492" spans="1:8" x14ac:dyDescent="0.25">
      <c r="A11492" t="str">
        <f>"&lt;lifetime&gt;" &amp;$E$11490&amp;"&lt;/lifetime&gt;"</f>
        <v>&lt;lifetime&gt;7200&lt;/lifetime&gt;</v>
      </c>
      <c r="B11492" t="s">
        <v>1005</v>
      </c>
    </row>
    <row r="11493" spans="1:8" x14ac:dyDescent="0.25">
      <c r="A11493" t="str">
        <f>"&lt;restock&gt;" &amp;$F$11490&amp;"&lt;/restock&gt;"</f>
        <v>&lt;restock&gt;0&lt;/restock&gt;</v>
      </c>
      <c r="B11493" t="s">
        <v>1005</v>
      </c>
    </row>
    <row r="11494" spans="1:8" x14ac:dyDescent="0.25">
      <c r="A11494" t="str">
        <f>"&lt;min&gt;" &amp;$G$11490&amp;"&lt;/min&gt;"</f>
        <v>&lt;min&gt;1&lt;/min&gt;</v>
      </c>
      <c r="B11494" t="s">
        <v>1005</v>
      </c>
    </row>
    <row r="11495" spans="1:8" x14ac:dyDescent="0.25">
      <c r="A11495" t="s">
        <v>16</v>
      </c>
      <c r="B11495" t="s">
        <v>1005</v>
      </c>
    </row>
    <row r="11496" spans="1:8" x14ac:dyDescent="0.25">
      <c r="A11496" t="s">
        <v>17</v>
      </c>
      <c r="B11496" t="s">
        <v>1005</v>
      </c>
    </row>
    <row r="11497" spans="1:8" x14ac:dyDescent="0.25">
      <c r="A11497" t="s">
        <v>18</v>
      </c>
      <c r="B11497" t="s">
        <v>1005</v>
      </c>
    </row>
    <row r="11498" spans="1:8" x14ac:dyDescent="0.25">
      <c r="A11498" t="str">
        <f xml:space="preserve"> $H$11490</f>
        <v>&lt;flags count_in_cargo="0" count_in_hoarder="0" count_in_map="1" count_in_player="0" crafted="0" deloot="0"/&gt;</v>
      </c>
      <c r="B11498" t="s">
        <v>1005</v>
      </c>
    </row>
    <row r="11499" spans="1:8" x14ac:dyDescent="0.25">
      <c r="A11499" t="str">
        <f>"&lt;category name=" &amp;"""" &amp;$C$11490&amp;"""/&gt;"</f>
        <v>&lt;category name="food"/&gt;</v>
      </c>
      <c r="B11499" t="s">
        <v>1005</v>
      </c>
    </row>
    <row r="11500" spans="1:8" x14ac:dyDescent="0.25">
      <c r="A11500" t="s">
        <v>20</v>
      </c>
      <c r="B11500" t="s">
        <v>1005</v>
      </c>
    </row>
    <row r="11501" spans="1:8" x14ac:dyDescent="0.25">
      <c r="A11501" t="s">
        <v>82</v>
      </c>
      <c r="B11501" t="s">
        <v>1005</v>
      </c>
    </row>
    <row r="11502" spans="1:8" x14ac:dyDescent="0.25">
      <c r="A11502" t="s">
        <v>30</v>
      </c>
      <c r="B11502" t="s">
        <v>1005</v>
      </c>
    </row>
    <row r="11503" spans="1:8" x14ac:dyDescent="0.25">
      <c r="A11503" t="s">
        <v>31</v>
      </c>
      <c r="B11503" t="s">
        <v>1005</v>
      </c>
    </row>
    <row r="11504" spans="1:8" x14ac:dyDescent="0.25">
      <c r="A11504" t="s">
        <v>22</v>
      </c>
      <c r="B11504" t="s">
        <v>1005</v>
      </c>
    </row>
    <row r="11505" spans="1:8" x14ac:dyDescent="0.25">
      <c r="A11505" t="s">
        <v>2276</v>
      </c>
      <c r="B11505" t="s">
        <v>3465</v>
      </c>
      <c r="C11505" t="s">
        <v>399</v>
      </c>
      <c r="D11505">
        <v>0</v>
      </c>
      <c r="E11505">
        <v>3600</v>
      </c>
      <c r="F11505">
        <v>0</v>
      </c>
      <c r="G11505">
        <v>0</v>
      </c>
      <c r="H11505" t="s">
        <v>62</v>
      </c>
    </row>
    <row r="11506" spans="1:8" x14ac:dyDescent="0.25">
      <c r="A11506" t="str">
        <f>"&lt;nominal&gt;" &amp;$D$11505&amp;"&lt;/nominal&gt;"</f>
        <v>&lt;nominal&gt;0&lt;/nominal&gt;</v>
      </c>
      <c r="B11506" t="s">
        <v>3465</v>
      </c>
    </row>
    <row r="11507" spans="1:8" x14ac:dyDescent="0.25">
      <c r="A11507" t="str">
        <f>"&lt;lifetime&gt;" &amp;$E$11505&amp;"&lt;/lifetime&gt;"</f>
        <v>&lt;lifetime&gt;3600&lt;/lifetime&gt;</v>
      </c>
      <c r="B11507" t="s">
        <v>3465</v>
      </c>
    </row>
    <row r="11508" spans="1:8" x14ac:dyDescent="0.25">
      <c r="A11508" t="str">
        <f>"&lt;restock&gt;" &amp;$F$11505&amp;"&lt;/restock&gt;"</f>
        <v>&lt;restock&gt;0&lt;/restock&gt;</v>
      </c>
      <c r="B11508" t="s">
        <v>3465</v>
      </c>
    </row>
    <row r="11509" spans="1:8" x14ac:dyDescent="0.25">
      <c r="A11509" t="str">
        <f>"&lt;min&gt;" &amp;$G$11505&amp;"&lt;/min&gt;"</f>
        <v>&lt;min&gt;0&lt;/min&gt;</v>
      </c>
      <c r="B11509" t="s">
        <v>3465</v>
      </c>
    </row>
    <row r="11510" spans="1:8" x14ac:dyDescent="0.25">
      <c r="A11510" t="s">
        <v>16</v>
      </c>
      <c r="B11510" t="s">
        <v>3465</v>
      </c>
    </row>
    <row r="11511" spans="1:8" x14ac:dyDescent="0.25">
      <c r="A11511" t="s">
        <v>17</v>
      </c>
      <c r="B11511" t="s">
        <v>3465</v>
      </c>
    </row>
    <row r="11512" spans="1:8" x14ac:dyDescent="0.25">
      <c r="A11512" t="s">
        <v>18</v>
      </c>
      <c r="B11512" t="s">
        <v>3465</v>
      </c>
    </row>
    <row r="11513" spans="1:8" x14ac:dyDescent="0.25">
      <c r="A11513" t="str">
        <f xml:space="preserve"> $H$11505</f>
        <v>&lt;flags count_in_cargo="0" count_in_hoarder="0" count_in_map="1" count_in_player="0" crafted="1" deloot="0"/&gt;</v>
      </c>
      <c r="B11513" t="s">
        <v>3465</v>
      </c>
    </row>
    <row r="11514" spans="1:8" x14ac:dyDescent="0.25">
      <c r="A11514" t="str">
        <f>"&lt;category name=" &amp;"""" &amp;$C$11505&amp;"""/&gt;"</f>
        <v>&lt;category name="food"/&gt;</v>
      </c>
      <c r="B11514" t="s">
        <v>3465</v>
      </c>
    </row>
    <row r="11515" spans="1:8" x14ac:dyDescent="0.25">
      <c r="A11515" t="s">
        <v>22</v>
      </c>
      <c r="B11515" t="s">
        <v>3465</v>
      </c>
    </row>
    <row r="11516" spans="1:8" x14ac:dyDescent="0.25">
      <c r="A11516" t="s">
        <v>2277</v>
      </c>
      <c r="B11516" t="s">
        <v>3011</v>
      </c>
      <c r="C11516" t="s">
        <v>8</v>
      </c>
      <c r="D11516">
        <v>0</v>
      </c>
      <c r="E11516">
        <v>7200</v>
      </c>
      <c r="F11516">
        <v>0</v>
      </c>
      <c r="G11516">
        <v>0</v>
      </c>
      <c r="H11516" t="s">
        <v>62</v>
      </c>
    </row>
    <row r="11517" spans="1:8" x14ac:dyDescent="0.25">
      <c r="A11517" t="str">
        <f>"&lt;nominal&gt;" &amp;$D$11516&amp;"&lt;/nominal&gt;"</f>
        <v>&lt;nominal&gt;0&lt;/nominal&gt;</v>
      </c>
      <c r="B11517" t="s">
        <v>3011</v>
      </c>
    </row>
    <row r="11518" spans="1:8" x14ac:dyDescent="0.25">
      <c r="A11518" t="str">
        <f>"&lt;lifetime&gt;" &amp;$E$11516&amp;"&lt;/lifetime&gt;"</f>
        <v>&lt;lifetime&gt;7200&lt;/lifetime&gt;</v>
      </c>
      <c r="B11518" t="s">
        <v>3011</v>
      </c>
    </row>
    <row r="11519" spans="1:8" x14ac:dyDescent="0.25">
      <c r="A11519" t="str">
        <f>"&lt;restock&gt;" &amp;$F$11516&amp;"&lt;/restock&gt;"</f>
        <v>&lt;restock&gt;0&lt;/restock&gt;</v>
      </c>
      <c r="B11519" t="s">
        <v>3011</v>
      </c>
    </row>
    <row r="11520" spans="1:8" x14ac:dyDescent="0.25">
      <c r="A11520" t="str">
        <f>"&lt;min&gt;" &amp;$G$11516&amp;"&lt;/min&gt;"</f>
        <v>&lt;min&gt;0&lt;/min&gt;</v>
      </c>
      <c r="B11520" t="s">
        <v>3011</v>
      </c>
    </row>
    <row r="11521" spans="1:8" x14ac:dyDescent="0.25">
      <c r="A11521" t="s">
        <v>16</v>
      </c>
      <c r="B11521" t="s">
        <v>3011</v>
      </c>
    </row>
    <row r="11522" spans="1:8" x14ac:dyDescent="0.25">
      <c r="A11522" t="s">
        <v>17</v>
      </c>
      <c r="B11522" t="s">
        <v>3011</v>
      </c>
    </row>
    <row r="11523" spans="1:8" x14ac:dyDescent="0.25">
      <c r="A11523" t="s">
        <v>18</v>
      </c>
      <c r="B11523" t="s">
        <v>3011</v>
      </c>
    </row>
    <row r="11524" spans="1:8" x14ac:dyDescent="0.25">
      <c r="A11524" t="str">
        <f xml:space="preserve"> $H$11516</f>
        <v>&lt;flags count_in_cargo="0" count_in_hoarder="0" count_in_map="1" count_in_player="0" crafted="1" deloot="0"/&gt;</v>
      </c>
      <c r="B11524" t="s">
        <v>3011</v>
      </c>
    </row>
    <row r="11525" spans="1:8" x14ac:dyDescent="0.25">
      <c r="A11525" t="str">
        <f>"&lt;category name=" &amp;"""" &amp;$C$11516&amp;"""/&gt;"</f>
        <v>&lt;category name="weapons"/&gt;</v>
      </c>
      <c r="B11525" t="s">
        <v>3011</v>
      </c>
    </row>
    <row r="11526" spans="1:8" x14ac:dyDescent="0.25">
      <c r="A11526" t="s">
        <v>22</v>
      </c>
      <c r="B11526" t="s">
        <v>3011</v>
      </c>
    </row>
    <row r="11527" spans="1:8" x14ac:dyDescent="0.25">
      <c r="A11527" t="s">
        <v>2278</v>
      </c>
      <c r="B11527" t="s">
        <v>3012</v>
      </c>
      <c r="C11527" t="s">
        <v>8</v>
      </c>
      <c r="D11527">
        <v>0</v>
      </c>
      <c r="E11527">
        <v>7200</v>
      </c>
      <c r="F11527">
        <v>0</v>
      </c>
      <c r="G11527">
        <v>0</v>
      </c>
      <c r="H11527" t="s">
        <v>62</v>
      </c>
    </row>
    <row r="11528" spans="1:8" x14ac:dyDescent="0.25">
      <c r="A11528" t="str">
        <f>"&lt;nominal&gt;" &amp;$D$11527&amp;"&lt;/nominal&gt;"</f>
        <v>&lt;nominal&gt;0&lt;/nominal&gt;</v>
      </c>
      <c r="B11528" t="s">
        <v>3012</v>
      </c>
    </row>
    <row r="11529" spans="1:8" x14ac:dyDescent="0.25">
      <c r="A11529" t="str">
        <f>"&lt;lifetime&gt;" &amp;$E$11527&amp;"&lt;/lifetime&gt;"</f>
        <v>&lt;lifetime&gt;7200&lt;/lifetime&gt;</v>
      </c>
      <c r="B11529" t="s">
        <v>3012</v>
      </c>
    </row>
    <row r="11530" spans="1:8" x14ac:dyDescent="0.25">
      <c r="A11530" t="str">
        <f>"&lt;restock&gt;" &amp;$F$11527&amp;"&lt;/restock&gt;"</f>
        <v>&lt;restock&gt;0&lt;/restock&gt;</v>
      </c>
      <c r="B11530" t="s">
        <v>3012</v>
      </c>
    </row>
    <row r="11531" spans="1:8" x14ac:dyDescent="0.25">
      <c r="A11531" t="str">
        <f>"&lt;min&gt;" &amp;$G$11527&amp;"&lt;/min&gt;"</f>
        <v>&lt;min&gt;0&lt;/min&gt;</v>
      </c>
      <c r="B11531" t="s">
        <v>3012</v>
      </c>
    </row>
    <row r="11532" spans="1:8" x14ac:dyDescent="0.25">
      <c r="A11532" t="s">
        <v>16</v>
      </c>
      <c r="B11532" t="s">
        <v>3012</v>
      </c>
    </row>
    <row r="11533" spans="1:8" x14ac:dyDescent="0.25">
      <c r="A11533" t="s">
        <v>17</v>
      </c>
      <c r="B11533" t="s">
        <v>3012</v>
      </c>
    </row>
    <row r="11534" spans="1:8" x14ac:dyDescent="0.25">
      <c r="A11534" t="s">
        <v>18</v>
      </c>
      <c r="B11534" t="s">
        <v>3012</v>
      </c>
    </row>
    <row r="11535" spans="1:8" x14ac:dyDescent="0.25">
      <c r="A11535" t="str">
        <f xml:space="preserve"> $H$11527</f>
        <v>&lt;flags count_in_cargo="0" count_in_hoarder="0" count_in_map="1" count_in_player="0" crafted="1" deloot="0"/&gt;</v>
      </c>
      <c r="B11535" t="s">
        <v>3012</v>
      </c>
    </row>
    <row r="11536" spans="1:8" x14ac:dyDescent="0.25">
      <c r="A11536" t="str">
        <f>"&lt;category name=" &amp;"""" &amp;$C$11527&amp;"""/&gt;"</f>
        <v>&lt;category name="weapons"/&gt;</v>
      </c>
      <c r="B11536" t="s">
        <v>3012</v>
      </c>
    </row>
    <row r="11537" spans="1:8" x14ac:dyDescent="0.25">
      <c r="A11537" t="s">
        <v>22</v>
      </c>
      <c r="B11537" t="s">
        <v>3012</v>
      </c>
    </row>
    <row r="11538" spans="1:8" x14ac:dyDescent="0.25">
      <c r="A11538" t="s">
        <v>2279</v>
      </c>
      <c r="B11538" t="s">
        <v>3013</v>
      </c>
      <c r="C11538" t="s">
        <v>8</v>
      </c>
      <c r="D11538">
        <v>0</v>
      </c>
      <c r="E11538">
        <v>7200</v>
      </c>
      <c r="F11538">
        <v>0</v>
      </c>
      <c r="G11538">
        <v>0</v>
      </c>
      <c r="H11538" t="s">
        <v>62</v>
      </c>
    </row>
    <row r="11539" spans="1:8" x14ac:dyDescent="0.25">
      <c r="A11539" t="str">
        <f>"&lt;nominal&gt;" &amp;$D$11538&amp;"&lt;/nominal&gt;"</f>
        <v>&lt;nominal&gt;0&lt;/nominal&gt;</v>
      </c>
      <c r="B11539" t="s">
        <v>3013</v>
      </c>
    </row>
    <row r="11540" spans="1:8" x14ac:dyDescent="0.25">
      <c r="A11540" t="str">
        <f>"&lt;lifetime&gt;" &amp;$E$11538&amp;"&lt;/lifetime&gt;"</f>
        <v>&lt;lifetime&gt;7200&lt;/lifetime&gt;</v>
      </c>
      <c r="B11540" t="s">
        <v>3013</v>
      </c>
    </row>
    <row r="11541" spans="1:8" x14ac:dyDescent="0.25">
      <c r="A11541" t="str">
        <f>"&lt;restock&gt;" &amp;$F$11538&amp;"&lt;/restock&gt;"</f>
        <v>&lt;restock&gt;0&lt;/restock&gt;</v>
      </c>
      <c r="B11541" t="s">
        <v>3013</v>
      </c>
    </row>
    <row r="11542" spans="1:8" x14ac:dyDescent="0.25">
      <c r="A11542" t="str">
        <f>"&lt;min&gt;" &amp;$G$11538&amp;"&lt;/min&gt;"</f>
        <v>&lt;min&gt;0&lt;/min&gt;</v>
      </c>
      <c r="B11542" t="s">
        <v>3013</v>
      </c>
    </row>
    <row r="11543" spans="1:8" x14ac:dyDescent="0.25">
      <c r="A11543" t="s">
        <v>16</v>
      </c>
      <c r="B11543" t="s">
        <v>3013</v>
      </c>
    </row>
    <row r="11544" spans="1:8" x14ac:dyDescent="0.25">
      <c r="A11544" t="s">
        <v>17</v>
      </c>
      <c r="B11544" t="s">
        <v>3013</v>
      </c>
    </row>
    <row r="11545" spans="1:8" x14ac:dyDescent="0.25">
      <c r="A11545" t="s">
        <v>18</v>
      </c>
      <c r="B11545" t="s">
        <v>3013</v>
      </c>
    </row>
    <row r="11546" spans="1:8" x14ac:dyDescent="0.25">
      <c r="A11546" t="str">
        <f xml:space="preserve"> $H$11538</f>
        <v>&lt;flags count_in_cargo="0" count_in_hoarder="0" count_in_map="1" count_in_player="0" crafted="1" deloot="0"/&gt;</v>
      </c>
      <c r="B11546" t="s">
        <v>3013</v>
      </c>
    </row>
    <row r="11547" spans="1:8" x14ac:dyDescent="0.25">
      <c r="A11547" t="str">
        <f>"&lt;category name=" &amp;"""" &amp;$C$11538&amp;"""/&gt;"</f>
        <v>&lt;category name="weapons"/&gt;</v>
      </c>
      <c r="B11547" t="s">
        <v>3013</v>
      </c>
    </row>
    <row r="11548" spans="1:8" x14ac:dyDescent="0.25">
      <c r="A11548" t="s">
        <v>22</v>
      </c>
      <c r="B11548" t="s">
        <v>3013</v>
      </c>
    </row>
    <row r="11549" spans="1:8" x14ac:dyDescent="0.25">
      <c r="A11549" t="s">
        <v>2280</v>
      </c>
      <c r="B11549" t="s">
        <v>3014</v>
      </c>
      <c r="C11549" t="s">
        <v>8</v>
      </c>
      <c r="D11549">
        <v>0</v>
      </c>
      <c r="E11549">
        <v>7200</v>
      </c>
      <c r="F11549">
        <v>0</v>
      </c>
      <c r="G11549">
        <v>0</v>
      </c>
      <c r="H11549" t="s">
        <v>62</v>
      </c>
    </row>
    <row r="11550" spans="1:8" x14ac:dyDescent="0.25">
      <c r="A11550" t="str">
        <f>"&lt;nominal&gt;" &amp;$D$11549&amp;"&lt;/nominal&gt;"</f>
        <v>&lt;nominal&gt;0&lt;/nominal&gt;</v>
      </c>
      <c r="B11550" t="s">
        <v>3014</v>
      </c>
    </row>
    <row r="11551" spans="1:8" x14ac:dyDescent="0.25">
      <c r="A11551" t="str">
        <f>"&lt;lifetime&gt;" &amp;$E$11549&amp;"&lt;/lifetime&gt;"</f>
        <v>&lt;lifetime&gt;7200&lt;/lifetime&gt;</v>
      </c>
      <c r="B11551" t="s">
        <v>3014</v>
      </c>
    </row>
    <row r="11552" spans="1:8" x14ac:dyDescent="0.25">
      <c r="A11552" t="str">
        <f>"&lt;restock&gt;" &amp;$F$11549&amp;"&lt;/restock&gt;"</f>
        <v>&lt;restock&gt;0&lt;/restock&gt;</v>
      </c>
      <c r="B11552" t="s">
        <v>3014</v>
      </c>
    </row>
    <row r="11553" spans="1:8" x14ac:dyDescent="0.25">
      <c r="A11553" t="str">
        <f>"&lt;min&gt;" &amp;$G$11549&amp;"&lt;/min&gt;"</f>
        <v>&lt;min&gt;0&lt;/min&gt;</v>
      </c>
      <c r="B11553" t="s">
        <v>3014</v>
      </c>
    </row>
    <row r="11554" spans="1:8" x14ac:dyDescent="0.25">
      <c r="A11554" t="s">
        <v>16</v>
      </c>
      <c r="B11554" t="s">
        <v>3014</v>
      </c>
    </row>
    <row r="11555" spans="1:8" x14ac:dyDescent="0.25">
      <c r="A11555" t="s">
        <v>17</v>
      </c>
      <c r="B11555" t="s">
        <v>3014</v>
      </c>
    </row>
    <row r="11556" spans="1:8" x14ac:dyDescent="0.25">
      <c r="A11556" t="s">
        <v>18</v>
      </c>
      <c r="B11556" t="s">
        <v>3014</v>
      </c>
    </row>
    <row r="11557" spans="1:8" x14ac:dyDescent="0.25">
      <c r="A11557" t="str">
        <f xml:space="preserve"> $H$11549</f>
        <v>&lt;flags count_in_cargo="0" count_in_hoarder="0" count_in_map="1" count_in_player="0" crafted="1" deloot="0"/&gt;</v>
      </c>
      <c r="B11557" t="s">
        <v>3014</v>
      </c>
    </row>
    <row r="11558" spans="1:8" x14ac:dyDescent="0.25">
      <c r="A11558" t="str">
        <f>"&lt;category name=" &amp;"""" &amp;$C$11549&amp;"""/&gt;"</f>
        <v>&lt;category name="weapons"/&gt;</v>
      </c>
      <c r="B11558" t="s">
        <v>3014</v>
      </c>
    </row>
    <row r="11559" spans="1:8" x14ac:dyDescent="0.25">
      <c r="A11559" t="s">
        <v>22</v>
      </c>
      <c r="B11559" t="s">
        <v>3014</v>
      </c>
    </row>
    <row r="11560" spans="1:8" x14ac:dyDescent="0.25">
      <c r="A11560" t="s">
        <v>2281</v>
      </c>
      <c r="B11560" t="s">
        <v>3015</v>
      </c>
      <c r="C11560" t="s">
        <v>8</v>
      </c>
      <c r="D11560">
        <v>0</v>
      </c>
      <c r="E11560">
        <v>7200</v>
      </c>
      <c r="F11560">
        <v>0</v>
      </c>
      <c r="G11560">
        <v>0</v>
      </c>
      <c r="H11560" t="s">
        <v>62</v>
      </c>
    </row>
    <row r="11561" spans="1:8" x14ac:dyDescent="0.25">
      <c r="A11561" t="str">
        <f>"&lt;nominal&gt;" &amp;$D$11560&amp;"&lt;/nominal&gt;"</f>
        <v>&lt;nominal&gt;0&lt;/nominal&gt;</v>
      </c>
      <c r="B11561" t="s">
        <v>3015</v>
      </c>
    </row>
    <row r="11562" spans="1:8" x14ac:dyDescent="0.25">
      <c r="A11562" t="str">
        <f>"&lt;lifetime&gt;" &amp;$E$11560&amp;"&lt;/lifetime&gt;"</f>
        <v>&lt;lifetime&gt;7200&lt;/lifetime&gt;</v>
      </c>
      <c r="B11562" t="s">
        <v>3015</v>
      </c>
    </row>
    <row r="11563" spans="1:8" x14ac:dyDescent="0.25">
      <c r="A11563" t="str">
        <f>"&lt;restock&gt;" &amp;$F$11560&amp;"&lt;/restock&gt;"</f>
        <v>&lt;restock&gt;0&lt;/restock&gt;</v>
      </c>
      <c r="B11563" t="s">
        <v>3015</v>
      </c>
    </row>
    <row r="11564" spans="1:8" x14ac:dyDescent="0.25">
      <c r="A11564" t="str">
        <f>"&lt;min&gt;" &amp;$G$11560&amp;"&lt;/min&gt;"</f>
        <v>&lt;min&gt;0&lt;/min&gt;</v>
      </c>
      <c r="B11564" t="s">
        <v>3015</v>
      </c>
    </row>
    <row r="11565" spans="1:8" x14ac:dyDescent="0.25">
      <c r="A11565" t="s">
        <v>16</v>
      </c>
      <c r="B11565" t="s">
        <v>3015</v>
      </c>
    </row>
    <row r="11566" spans="1:8" x14ac:dyDescent="0.25">
      <c r="A11566" t="s">
        <v>17</v>
      </c>
      <c r="B11566" t="s">
        <v>3015</v>
      </c>
    </row>
    <row r="11567" spans="1:8" x14ac:dyDescent="0.25">
      <c r="A11567" t="s">
        <v>18</v>
      </c>
      <c r="B11567" t="s">
        <v>3015</v>
      </c>
    </row>
    <row r="11568" spans="1:8" x14ac:dyDescent="0.25">
      <c r="A11568" t="str">
        <f xml:space="preserve"> $H$11560</f>
        <v>&lt;flags count_in_cargo="0" count_in_hoarder="0" count_in_map="1" count_in_player="0" crafted="1" deloot="0"/&gt;</v>
      </c>
      <c r="B11568" t="s">
        <v>3015</v>
      </c>
    </row>
    <row r="11569" spans="1:8" x14ac:dyDescent="0.25">
      <c r="A11569" t="str">
        <f>"&lt;category name=" &amp;"""" &amp;$C$11560&amp;"""/&gt;"</f>
        <v>&lt;category name="weapons"/&gt;</v>
      </c>
      <c r="B11569" t="s">
        <v>3015</v>
      </c>
    </row>
    <row r="11570" spans="1:8" x14ac:dyDescent="0.25">
      <c r="A11570" t="s">
        <v>22</v>
      </c>
      <c r="B11570" t="s">
        <v>3015</v>
      </c>
    </row>
    <row r="11571" spans="1:8" x14ac:dyDescent="0.25">
      <c r="A11571" t="s">
        <v>2282</v>
      </c>
      <c r="B11571" t="s">
        <v>3016</v>
      </c>
      <c r="C11571" t="s">
        <v>8</v>
      </c>
      <c r="D11571">
        <v>0</v>
      </c>
      <c r="E11571">
        <v>7200</v>
      </c>
      <c r="F11571">
        <v>0</v>
      </c>
      <c r="G11571">
        <v>0</v>
      </c>
      <c r="H11571" t="s">
        <v>62</v>
      </c>
    </row>
    <row r="11572" spans="1:8" x14ac:dyDescent="0.25">
      <c r="A11572" t="str">
        <f>"&lt;nominal&gt;" &amp;$D$11571&amp;"&lt;/nominal&gt;"</f>
        <v>&lt;nominal&gt;0&lt;/nominal&gt;</v>
      </c>
      <c r="B11572" t="s">
        <v>3016</v>
      </c>
    </row>
    <row r="11573" spans="1:8" x14ac:dyDescent="0.25">
      <c r="A11573" t="str">
        <f>"&lt;lifetime&gt;" &amp;$E$11571&amp;"&lt;/lifetime&gt;"</f>
        <v>&lt;lifetime&gt;7200&lt;/lifetime&gt;</v>
      </c>
      <c r="B11573" t="s">
        <v>3016</v>
      </c>
    </row>
    <row r="11574" spans="1:8" x14ac:dyDescent="0.25">
      <c r="A11574" t="str">
        <f>"&lt;restock&gt;" &amp;$F$11571&amp;"&lt;/restock&gt;"</f>
        <v>&lt;restock&gt;0&lt;/restock&gt;</v>
      </c>
      <c r="B11574" t="s">
        <v>3016</v>
      </c>
    </row>
    <row r="11575" spans="1:8" x14ac:dyDescent="0.25">
      <c r="A11575" t="str">
        <f>"&lt;min&gt;" &amp;$G$11571&amp;"&lt;/min&gt;"</f>
        <v>&lt;min&gt;0&lt;/min&gt;</v>
      </c>
      <c r="B11575" t="s">
        <v>3016</v>
      </c>
    </row>
    <row r="11576" spans="1:8" x14ac:dyDescent="0.25">
      <c r="A11576" t="s">
        <v>16</v>
      </c>
      <c r="B11576" t="s">
        <v>3016</v>
      </c>
    </row>
    <row r="11577" spans="1:8" x14ac:dyDescent="0.25">
      <c r="A11577" t="s">
        <v>17</v>
      </c>
      <c r="B11577" t="s">
        <v>3016</v>
      </c>
    </row>
    <row r="11578" spans="1:8" x14ac:dyDescent="0.25">
      <c r="A11578" t="s">
        <v>18</v>
      </c>
      <c r="B11578" t="s">
        <v>3016</v>
      </c>
    </row>
    <row r="11579" spans="1:8" x14ac:dyDescent="0.25">
      <c r="A11579" t="str">
        <f xml:space="preserve"> $H$11571</f>
        <v>&lt;flags count_in_cargo="0" count_in_hoarder="0" count_in_map="1" count_in_player="0" crafted="1" deloot="0"/&gt;</v>
      </c>
      <c r="B11579" t="s">
        <v>3016</v>
      </c>
    </row>
    <row r="11580" spans="1:8" x14ac:dyDescent="0.25">
      <c r="A11580" t="str">
        <f>"&lt;category name=" &amp;"""" &amp;$C$11571&amp;"""/&gt;"</f>
        <v>&lt;category name="weapons"/&gt;</v>
      </c>
      <c r="B11580" t="s">
        <v>3016</v>
      </c>
    </row>
    <row r="11581" spans="1:8" x14ac:dyDescent="0.25">
      <c r="A11581" t="s">
        <v>22</v>
      </c>
      <c r="B11581" t="s">
        <v>3016</v>
      </c>
    </row>
    <row r="11582" spans="1:8" x14ac:dyDescent="0.25">
      <c r="A11582" t="s">
        <v>2283</v>
      </c>
      <c r="B11582" t="s">
        <v>1006</v>
      </c>
      <c r="C11582" t="s">
        <v>426</v>
      </c>
      <c r="D11582">
        <v>50</v>
      </c>
      <c r="E11582">
        <v>7200</v>
      </c>
      <c r="F11582">
        <v>0</v>
      </c>
      <c r="G11582">
        <v>30</v>
      </c>
      <c r="H11582" t="s">
        <v>19</v>
      </c>
    </row>
    <row r="11583" spans="1:8" x14ac:dyDescent="0.25">
      <c r="A11583" t="str">
        <f>"&lt;nominal&gt;" &amp;$D$11582&amp;"&lt;/nominal&gt;"</f>
        <v>&lt;nominal&gt;50&lt;/nominal&gt;</v>
      </c>
      <c r="B11583" t="s">
        <v>1006</v>
      </c>
    </row>
    <row r="11584" spans="1:8" x14ac:dyDescent="0.25">
      <c r="A11584" t="str">
        <f>"&lt;lifetime&gt;" &amp;$E$11582&amp;"&lt;/lifetime&gt;"</f>
        <v>&lt;lifetime&gt;7200&lt;/lifetime&gt;</v>
      </c>
      <c r="B11584" t="s">
        <v>1006</v>
      </c>
    </row>
    <row r="11585" spans="1:8" x14ac:dyDescent="0.25">
      <c r="A11585" t="str">
        <f>"&lt;restock&gt;" &amp;$F$11582&amp;"&lt;/restock&gt;"</f>
        <v>&lt;restock&gt;0&lt;/restock&gt;</v>
      </c>
      <c r="B11585" t="s">
        <v>1006</v>
      </c>
    </row>
    <row r="11586" spans="1:8" x14ac:dyDescent="0.25">
      <c r="A11586" t="str">
        <f>"&lt;min&gt;" &amp;$G$11582&amp;"&lt;/min&gt;"</f>
        <v>&lt;min&gt;30&lt;/min&gt;</v>
      </c>
      <c r="B11586" t="s">
        <v>1006</v>
      </c>
    </row>
    <row r="11587" spans="1:8" x14ac:dyDescent="0.25">
      <c r="A11587" t="s">
        <v>16</v>
      </c>
      <c r="B11587" t="s">
        <v>1006</v>
      </c>
    </row>
    <row r="11588" spans="1:8" x14ac:dyDescent="0.25">
      <c r="A11588" t="s">
        <v>17</v>
      </c>
      <c r="B11588" t="s">
        <v>1006</v>
      </c>
    </row>
    <row r="11589" spans="1:8" x14ac:dyDescent="0.25">
      <c r="A11589" t="s">
        <v>18</v>
      </c>
      <c r="B11589" t="s">
        <v>1006</v>
      </c>
    </row>
    <row r="11590" spans="1:8" x14ac:dyDescent="0.25">
      <c r="A11590" t="str">
        <f xml:space="preserve"> $H$11582</f>
        <v>&lt;flags count_in_cargo="0" count_in_hoarder="0" count_in_map="1" count_in_player="0" crafted="0" deloot="0"/&gt;</v>
      </c>
      <c r="B11590" t="s">
        <v>1006</v>
      </c>
    </row>
    <row r="11591" spans="1:8" x14ac:dyDescent="0.25">
      <c r="A11591" t="str">
        <f>"&lt;category name=" &amp;"""" &amp;$C$11582&amp;"""/&gt;"</f>
        <v>&lt;category name="tools"/&gt;</v>
      </c>
      <c r="B11591" t="s">
        <v>1006</v>
      </c>
    </row>
    <row r="11592" spans="1:8" x14ac:dyDescent="0.25">
      <c r="A11592" t="s">
        <v>55</v>
      </c>
      <c r="B11592" t="s">
        <v>1006</v>
      </c>
    </row>
    <row r="11593" spans="1:8" x14ac:dyDescent="0.25">
      <c r="A11593" t="s">
        <v>56</v>
      </c>
      <c r="B11593" t="s">
        <v>1006</v>
      </c>
    </row>
    <row r="11594" spans="1:8" x14ac:dyDescent="0.25">
      <c r="A11594" t="s">
        <v>40</v>
      </c>
      <c r="B11594" t="s">
        <v>1006</v>
      </c>
    </row>
    <row r="11595" spans="1:8" x14ac:dyDescent="0.25">
      <c r="A11595" t="s">
        <v>22</v>
      </c>
      <c r="B11595" t="s">
        <v>1006</v>
      </c>
    </row>
    <row r="11596" spans="1:8" x14ac:dyDescent="0.25">
      <c r="A11596" t="s">
        <v>2284</v>
      </c>
      <c r="B11596" t="s">
        <v>1007</v>
      </c>
      <c r="C11596" t="s">
        <v>426</v>
      </c>
      <c r="D11596">
        <v>20</v>
      </c>
      <c r="E11596">
        <v>3888000</v>
      </c>
      <c r="F11596">
        <v>0</v>
      </c>
      <c r="G11596">
        <v>10</v>
      </c>
      <c r="H11596" t="s">
        <v>2285</v>
      </c>
    </row>
    <row r="11597" spans="1:8" x14ac:dyDescent="0.25">
      <c r="A11597" t="str">
        <f>"&lt;nominal&gt;" &amp;$D$11596&amp;"&lt;/nominal&gt;"</f>
        <v>&lt;nominal&gt;20&lt;/nominal&gt;</v>
      </c>
      <c r="B11597" t="s">
        <v>1007</v>
      </c>
    </row>
    <row r="11598" spans="1:8" x14ac:dyDescent="0.25">
      <c r="A11598" t="str">
        <f>"&lt;lifetime&gt;" &amp;$E$11596&amp;"&lt;/lifetime&gt;"</f>
        <v>&lt;lifetime&gt;3888000&lt;/lifetime&gt;</v>
      </c>
      <c r="B11598" t="s">
        <v>1007</v>
      </c>
    </row>
    <row r="11599" spans="1:8" x14ac:dyDescent="0.25">
      <c r="A11599" t="str">
        <f>"&lt;restock&gt;" &amp;$F$11596&amp;"&lt;/restock&gt;"</f>
        <v>&lt;restock&gt;0&lt;/restock&gt;</v>
      </c>
      <c r="B11599" t="s">
        <v>1007</v>
      </c>
    </row>
    <row r="11600" spans="1:8" x14ac:dyDescent="0.25">
      <c r="A11600" t="str">
        <f>"&lt;min&gt;" &amp;$G$11596&amp;"&lt;/min&gt;"</f>
        <v>&lt;min&gt;10&lt;/min&gt;</v>
      </c>
      <c r="B11600" t="s">
        <v>1007</v>
      </c>
    </row>
    <row r="11601" spans="1:8" x14ac:dyDescent="0.25">
      <c r="A11601" t="s">
        <v>16</v>
      </c>
      <c r="B11601" t="s">
        <v>1007</v>
      </c>
    </row>
    <row r="11602" spans="1:8" x14ac:dyDescent="0.25">
      <c r="A11602" t="s">
        <v>17</v>
      </c>
      <c r="B11602" t="s">
        <v>1007</v>
      </c>
    </row>
    <row r="11603" spans="1:8" x14ac:dyDescent="0.25">
      <c r="A11603" t="s">
        <v>18</v>
      </c>
      <c r="B11603" t="s">
        <v>1007</v>
      </c>
    </row>
    <row r="11604" spans="1:8" x14ac:dyDescent="0.25">
      <c r="A11604" t="str">
        <f xml:space="preserve"> $H$11596</f>
        <v>&lt;flags count_in_cargo="0" count_in_hoarder="0" count_in_map="1" count_in_player="1" crafted="0" deloot="0"/&gt;</v>
      </c>
      <c r="B11604" t="s">
        <v>1007</v>
      </c>
    </row>
    <row r="11605" spans="1:8" x14ac:dyDescent="0.25">
      <c r="A11605" t="str">
        <f>"&lt;category name=" &amp;"""" &amp;$C$11596&amp;"""/&gt;"</f>
        <v>&lt;category name="tools"/&gt;</v>
      </c>
      <c r="B11605" t="s">
        <v>1007</v>
      </c>
    </row>
    <row r="11606" spans="1:8" x14ac:dyDescent="0.25">
      <c r="A11606" t="s">
        <v>55</v>
      </c>
      <c r="B11606" t="s">
        <v>1007</v>
      </c>
    </row>
    <row r="11607" spans="1:8" x14ac:dyDescent="0.25">
      <c r="A11607" t="s">
        <v>56</v>
      </c>
      <c r="B11607" t="s">
        <v>1007</v>
      </c>
    </row>
    <row r="11608" spans="1:8" x14ac:dyDescent="0.25">
      <c r="A11608" t="s">
        <v>1616</v>
      </c>
      <c r="B11608" t="s">
        <v>1007</v>
      </c>
    </row>
    <row r="11609" spans="1:8" x14ac:dyDescent="0.25">
      <c r="A11609" t="s">
        <v>67</v>
      </c>
      <c r="B11609" t="s">
        <v>1007</v>
      </c>
    </row>
    <row r="11610" spans="1:8" x14ac:dyDescent="0.25">
      <c r="A11610" t="s">
        <v>22</v>
      </c>
      <c r="B11610" t="s">
        <v>1007</v>
      </c>
    </row>
    <row r="11611" spans="1:8" x14ac:dyDescent="0.25">
      <c r="A11611" t="s">
        <v>2286</v>
      </c>
      <c r="B11611" t="s">
        <v>1008</v>
      </c>
      <c r="D11611">
        <v>0</v>
      </c>
      <c r="E11611">
        <v>3888000</v>
      </c>
      <c r="F11611">
        <v>1800</v>
      </c>
      <c r="G11611">
        <v>0</v>
      </c>
      <c r="H11611" t="s">
        <v>19</v>
      </c>
    </row>
    <row r="11612" spans="1:8" x14ac:dyDescent="0.25">
      <c r="A11612" t="str">
        <f>"&lt;nominal&gt;" &amp;$D$11611&amp;"&lt;/nominal&gt;"</f>
        <v>&lt;nominal&gt;0&lt;/nominal&gt;</v>
      </c>
      <c r="B11612" t="s">
        <v>1008</v>
      </c>
    </row>
    <row r="11613" spans="1:8" x14ac:dyDescent="0.25">
      <c r="A11613" t="str">
        <f>"&lt;lifetime&gt;" &amp;$E$11611&amp;"&lt;/lifetime&gt;"</f>
        <v>&lt;lifetime&gt;3888000&lt;/lifetime&gt;</v>
      </c>
      <c r="B11613" t="s">
        <v>1008</v>
      </c>
    </row>
    <row r="11614" spans="1:8" x14ac:dyDescent="0.25">
      <c r="A11614" t="str">
        <f>"&lt;restock&gt;" &amp;$F$11611&amp;"&lt;/restock&gt;"</f>
        <v>&lt;restock&gt;1800&lt;/restock&gt;</v>
      </c>
      <c r="B11614" t="s">
        <v>1008</v>
      </c>
    </row>
    <row r="11615" spans="1:8" x14ac:dyDescent="0.25">
      <c r="A11615" t="str">
        <f>"&lt;min&gt;" &amp;$G$11611&amp;"&lt;/min&gt;"</f>
        <v>&lt;min&gt;0&lt;/min&gt;</v>
      </c>
      <c r="B11615" t="s">
        <v>1008</v>
      </c>
    </row>
    <row r="11616" spans="1:8" x14ac:dyDescent="0.25">
      <c r="A11616" t="s">
        <v>16</v>
      </c>
      <c r="B11616" t="s">
        <v>1008</v>
      </c>
    </row>
    <row r="11617" spans="1:8" x14ac:dyDescent="0.25">
      <c r="A11617" t="s">
        <v>17</v>
      </c>
      <c r="B11617" t="s">
        <v>1008</v>
      </c>
    </row>
    <row r="11618" spans="1:8" x14ac:dyDescent="0.25">
      <c r="A11618" t="s">
        <v>18</v>
      </c>
      <c r="B11618" t="s">
        <v>1008</v>
      </c>
    </row>
    <row r="11619" spans="1:8" x14ac:dyDescent="0.25">
      <c r="A11619" t="str">
        <f xml:space="preserve"> $H$11611</f>
        <v>&lt;flags count_in_cargo="0" count_in_hoarder="0" count_in_map="1" count_in_player="0" crafted="0" deloot="0"/&gt;</v>
      </c>
      <c r="B11619" t="s">
        <v>1008</v>
      </c>
    </row>
    <row r="11620" spans="1:8" x14ac:dyDescent="0.25">
      <c r="A11620" t="s">
        <v>22</v>
      </c>
      <c r="B11620" t="s">
        <v>1008</v>
      </c>
    </row>
    <row r="11621" spans="1:8" x14ac:dyDescent="0.25">
      <c r="A11621" t="s">
        <v>2287</v>
      </c>
      <c r="B11621" t="s">
        <v>1009</v>
      </c>
      <c r="C11621" t="s">
        <v>426</v>
      </c>
      <c r="D11621">
        <v>2</v>
      </c>
      <c r="E11621">
        <v>2700</v>
      </c>
      <c r="F11621">
        <v>0</v>
      </c>
      <c r="G11621">
        <v>1</v>
      </c>
      <c r="H11621" t="s">
        <v>19</v>
      </c>
    </row>
    <row r="11622" spans="1:8" x14ac:dyDescent="0.25">
      <c r="A11622" t="str">
        <f>"&lt;nominal&gt;" &amp;$D$11621&amp;"&lt;/nominal&gt;"</f>
        <v>&lt;nominal&gt;2&lt;/nominal&gt;</v>
      </c>
      <c r="B11622" t="s">
        <v>1009</v>
      </c>
    </row>
    <row r="11623" spans="1:8" x14ac:dyDescent="0.25">
      <c r="A11623" t="str">
        <f>"&lt;lifetime&gt;" &amp;$E$11621&amp;"&lt;/lifetime&gt;"</f>
        <v>&lt;lifetime&gt;2700&lt;/lifetime&gt;</v>
      </c>
      <c r="B11623" t="s">
        <v>1009</v>
      </c>
    </row>
    <row r="11624" spans="1:8" x14ac:dyDescent="0.25">
      <c r="A11624" t="str">
        <f>"&lt;restock&gt;" &amp;$F$11621&amp;"&lt;/restock&gt;"</f>
        <v>&lt;restock&gt;0&lt;/restock&gt;</v>
      </c>
      <c r="B11624" t="s">
        <v>1009</v>
      </c>
    </row>
    <row r="11625" spans="1:8" x14ac:dyDescent="0.25">
      <c r="A11625" t="str">
        <f>"&lt;min&gt;" &amp;$G$11621&amp;"&lt;/min&gt;"</f>
        <v>&lt;min&gt;1&lt;/min&gt;</v>
      </c>
      <c r="B11625" t="s">
        <v>1009</v>
      </c>
    </row>
    <row r="11626" spans="1:8" x14ac:dyDescent="0.25">
      <c r="A11626" t="s">
        <v>16</v>
      </c>
      <c r="B11626" t="s">
        <v>1009</v>
      </c>
    </row>
    <row r="11627" spans="1:8" x14ac:dyDescent="0.25">
      <c r="A11627" t="s">
        <v>17</v>
      </c>
      <c r="B11627" t="s">
        <v>1009</v>
      </c>
    </row>
    <row r="11628" spans="1:8" x14ac:dyDescent="0.25">
      <c r="A11628" t="s">
        <v>18</v>
      </c>
      <c r="B11628" t="s">
        <v>1009</v>
      </c>
    </row>
    <row r="11629" spans="1:8" x14ac:dyDescent="0.25">
      <c r="A11629" t="str">
        <f xml:space="preserve"> $H$11621</f>
        <v>&lt;flags count_in_cargo="0" count_in_hoarder="0" count_in_map="1" count_in_player="0" crafted="0" deloot="0"/&gt;</v>
      </c>
      <c r="B11629" t="s">
        <v>1009</v>
      </c>
    </row>
    <row r="11630" spans="1:8" x14ac:dyDescent="0.25">
      <c r="A11630" t="str">
        <f>"&lt;category name=" &amp;"""" &amp;$C$11621&amp;"""/&gt;"</f>
        <v>&lt;category name="tools"/&gt;</v>
      </c>
      <c r="B11630" t="s">
        <v>1009</v>
      </c>
    </row>
    <row r="11631" spans="1:8" x14ac:dyDescent="0.25">
      <c r="A11631" t="s">
        <v>25</v>
      </c>
      <c r="B11631" t="s">
        <v>1009</v>
      </c>
    </row>
    <row r="11632" spans="1:8" x14ac:dyDescent="0.25">
      <c r="A11632" t="s">
        <v>55</v>
      </c>
      <c r="B11632" t="s">
        <v>1009</v>
      </c>
    </row>
    <row r="11633" spans="1:8" x14ac:dyDescent="0.25">
      <c r="A11633" t="s">
        <v>22</v>
      </c>
      <c r="B11633" t="s">
        <v>1009</v>
      </c>
    </row>
    <row r="11634" spans="1:8" x14ac:dyDescent="0.25">
      <c r="A11634" t="s">
        <v>2288</v>
      </c>
      <c r="B11634" t="s">
        <v>1010</v>
      </c>
      <c r="C11634" t="s">
        <v>426</v>
      </c>
      <c r="D11634">
        <v>2</v>
      </c>
      <c r="E11634">
        <v>2700</v>
      </c>
      <c r="F11634">
        <v>0</v>
      </c>
      <c r="G11634">
        <v>1</v>
      </c>
      <c r="H11634" t="s">
        <v>19</v>
      </c>
    </row>
    <row r="11635" spans="1:8" x14ac:dyDescent="0.25">
      <c r="A11635" t="str">
        <f>"&lt;nominal&gt;" &amp;$D$11634&amp;"&lt;/nominal&gt;"</f>
        <v>&lt;nominal&gt;2&lt;/nominal&gt;</v>
      </c>
      <c r="B11635" t="s">
        <v>1010</v>
      </c>
    </row>
    <row r="11636" spans="1:8" x14ac:dyDescent="0.25">
      <c r="A11636" t="str">
        <f>"&lt;lifetime&gt;" &amp;$E$11634&amp;"&lt;/lifetime&gt;"</f>
        <v>&lt;lifetime&gt;2700&lt;/lifetime&gt;</v>
      </c>
      <c r="B11636" t="s">
        <v>1010</v>
      </c>
    </row>
    <row r="11637" spans="1:8" x14ac:dyDescent="0.25">
      <c r="A11637" t="str">
        <f>"&lt;restock&gt;" &amp;$F$11634&amp;"&lt;/restock&gt;"</f>
        <v>&lt;restock&gt;0&lt;/restock&gt;</v>
      </c>
      <c r="B11637" t="s">
        <v>1010</v>
      </c>
    </row>
    <row r="11638" spans="1:8" x14ac:dyDescent="0.25">
      <c r="A11638" t="str">
        <f>"&lt;min&gt;" &amp;$G$11634&amp;"&lt;/min&gt;"</f>
        <v>&lt;min&gt;1&lt;/min&gt;</v>
      </c>
      <c r="B11638" t="s">
        <v>1010</v>
      </c>
    </row>
    <row r="11639" spans="1:8" x14ac:dyDescent="0.25">
      <c r="A11639" t="s">
        <v>16</v>
      </c>
      <c r="B11639" t="s">
        <v>1010</v>
      </c>
    </row>
    <row r="11640" spans="1:8" x14ac:dyDescent="0.25">
      <c r="A11640" t="s">
        <v>17</v>
      </c>
      <c r="B11640" t="s">
        <v>1010</v>
      </c>
    </row>
    <row r="11641" spans="1:8" x14ac:dyDescent="0.25">
      <c r="A11641" t="s">
        <v>18</v>
      </c>
      <c r="B11641" t="s">
        <v>1010</v>
      </c>
    </row>
    <row r="11642" spans="1:8" x14ac:dyDescent="0.25">
      <c r="A11642" t="str">
        <f xml:space="preserve"> $H$11634</f>
        <v>&lt;flags count_in_cargo="0" count_in_hoarder="0" count_in_map="1" count_in_player="0" crafted="0" deloot="0"/&gt;</v>
      </c>
      <c r="B11642" t="s">
        <v>1010</v>
      </c>
    </row>
    <row r="11643" spans="1:8" x14ac:dyDescent="0.25">
      <c r="A11643" t="str">
        <f>"&lt;category name=" &amp;"""" &amp;$C$11634&amp;"""/&gt;"</f>
        <v>&lt;category name="tools"/&gt;</v>
      </c>
      <c r="B11643" t="s">
        <v>1010</v>
      </c>
    </row>
    <row r="11644" spans="1:8" x14ac:dyDescent="0.25">
      <c r="A11644" t="s">
        <v>25</v>
      </c>
      <c r="B11644" t="s">
        <v>1010</v>
      </c>
    </row>
    <row r="11645" spans="1:8" x14ac:dyDescent="0.25">
      <c r="A11645" t="s">
        <v>55</v>
      </c>
      <c r="B11645" t="s">
        <v>1010</v>
      </c>
    </row>
    <row r="11646" spans="1:8" x14ac:dyDescent="0.25">
      <c r="A11646" t="s">
        <v>22</v>
      </c>
      <c r="B11646" t="s">
        <v>1010</v>
      </c>
    </row>
    <row r="11647" spans="1:8" x14ac:dyDescent="0.25">
      <c r="A11647" t="s">
        <v>2289</v>
      </c>
      <c r="B11647" t="s">
        <v>1011</v>
      </c>
      <c r="C11647" t="s">
        <v>426</v>
      </c>
      <c r="D11647">
        <v>2</v>
      </c>
      <c r="E11647">
        <v>2700</v>
      </c>
      <c r="F11647">
        <v>0</v>
      </c>
      <c r="G11647">
        <v>1</v>
      </c>
      <c r="H11647" t="s">
        <v>19</v>
      </c>
    </row>
    <row r="11648" spans="1:8" x14ac:dyDescent="0.25">
      <c r="A11648" t="str">
        <f>"&lt;nominal&gt;" &amp;$D$11647&amp;"&lt;/nominal&gt;"</f>
        <v>&lt;nominal&gt;2&lt;/nominal&gt;</v>
      </c>
      <c r="B11648" t="s">
        <v>1011</v>
      </c>
    </row>
    <row r="11649" spans="1:8" x14ac:dyDescent="0.25">
      <c r="A11649" t="str">
        <f>"&lt;lifetime&gt;" &amp;$E$11647&amp;"&lt;/lifetime&gt;"</f>
        <v>&lt;lifetime&gt;2700&lt;/lifetime&gt;</v>
      </c>
      <c r="B11649" t="s">
        <v>1011</v>
      </c>
    </row>
    <row r="11650" spans="1:8" x14ac:dyDescent="0.25">
      <c r="A11650" t="str">
        <f>"&lt;restock&gt;" &amp;$F$11647&amp;"&lt;/restock&gt;"</f>
        <v>&lt;restock&gt;0&lt;/restock&gt;</v>
      </c>
      <c r="B11650" t="s">
        <v>1011</v>
      </c>
    </row>
    <row r="11651" spans="1:8" x14ac:dyDescent="0.25">
      <c r="A11651" t="str">
        <f>"&lt;min&gt;" &amp;$G$11647&amp;"&lt;/min&gt;"</f>
        <v>&lt;min&gt;1&lt;/min&gt;</v>
      </c>
      <c r="B11651" t="s">
        <v>1011</v>
      </c>
    </row>
    <row r="11652" spans="1:8" x14ac:dyDescent="0.25">
      <c r="A11652" t="s">
        <v>16</v>
      </c>
      <c r="B11652" t="s">
        <v>1011</v>
      </c>
    </row>
    <row r="11653" spans="1:8" x14ac:dyDescent="0.25">
      <c r="A11653" t="s">
        <v>17</v>
      </c>
      <c r="B11653" t="s">
        <v>1011</v>
      </c>
    </row>
    <row r="11654" spans="1:8" x14ac:dyDescent="0.25">
      <c r="A11654" t="s">
        <v>18</v>
      </c>
      <c r="B11654" t="s">
        <v>1011</v>
      </c>
    </row>
    <row r="11655" spans="1:8" x14ac:dyDescent="0.25">
      <c r="A11655" t="str">
        <f xml:space="preserve"> $H$11647</f>
        <v>&lt;flags count_in_cargo="0" count_in_hoarder="0" count_in_map="1" count_in_player="0" crafted="0" deloot="0"/&gt;</v>
      </c>
      <c r="B11655" t="s">
        <v>1011</v>
      </c>
    </row>
    <row r="11656" spans="1:8" x14ac:dyDescent="0.25">
      <c r="A11656" t="str">
        <f>"&lt;category name=" &amp;"""" &amp;$C$11647&amp;"""/&gt;"</f>
        <v>&lt;category name="tools"/&gt;</v>
      </c>
      <c r="B11656" t="s">
        <v>1011</v>
      </c>
    </row>
    <row r="11657" spans="1:8" x14ac:dyDescent="0.25">
      <c r="A11657" t="s">
        <v>25</v>
      </c>
      <c r="B11657" t="s">
        <v>1011</v>
      </c>
    </row>
    <row r="11658" spans="1:8" x14ac:dyDescent="0.25">
      <c r="A11658" t="s">
        <v>55</v>
      </c>
      <c r="B11658" t="s">
        <v>1011</v>
      </c>
    </row>
    <row r="11659" spans="1:8" x14ac:dyDescent="0.25">
      <c r="A11659" t="s">
        <v>22</v>
      </c>
      <c r="B11659" t="s">
        <v>1011</v>
      </c>
    </row>
    <row r="11660" spans="1:8" x14ac:dyDescent="0.25">
      <c r="A11660" t="s">
        <v>2290</v>
      </c>
      <c r="B11660" t="s">
        <v>1012</v>
      </c>
      <c r="C11660" t="s">
        <v>426</v>
      </c>
      <c r="D11660">
        <v>2</v>
      </c>
      <c r="E11660">
        <v>2700</v>
      </c>
      <c r="F11660">
        <v>0</v>
      </c>
      <c r="G11660">
        <v>1</v>
      </c>
      <c r="H11660" t="s">
        <v>19</v>
      </c>
    </row>
    <row r="11661" spans="1:8" x14ac:dyDescent="0.25">
      <c r="A11661" t="str">
        <f>"&lt;nominal&gt;" &amp;$D$11660&amp;"&lt;/nominal&gt;"</f>
        <v>&lt;nominal&gt;2&lt;/nominal&gt;</v>
      </c>
      <c r="B11661" t="s">
        <v>1012</v>
      </c>
    </row>
    <row r="11662" spans="1:8" x14ac:dyDescent="0.25">
      <c r="A11662" t="str">
        <f>"&lt;lifetime&gt;" &amp;$E$11660&amp;"&lt;/lifetime&gt;"</f>
        <v>&lt;lifetime&gt;2700&lt;/lifetime&gt;</v>
      </c>
      <c r="B11662" t="s">
        <v>1012</v>
      </c>
    </row>
    <row r="11663" spans="1:8" x14ac:dyDescent="0.25">
      <c r="A11663" t="str">
        <f>"&lt;restock&gt;" &amp;$F$11660&amp;"&lt;/restock&gt;"</f>
        <v>&lt;restock&gt;0&lt;/restock&gt;</v>
      </c>
      <c r="B11663" t="s">
        <v>1012</v>
      </c>
    </row>
    <row r="11664" spans="1:8" x14ac:dyDescent="0.25">
      <c r="A11664" t="str">
        <f>"&lt;min&gt;" &amp;$G$11660&amp;"&lt;/min&gt;"</f>
        <v>&lt;min&gt;1&lt;/min&gt;</v>
      </c>
      <c r="B11664" t="s">
        <v>1012</v>
      </c>
    </row>
    <row r="11665" spans="1:8" x14ac:dyDescent="0.25">
      <c r="A11665" t="s">
        <v>16</v>
      </c>
      <c r="B11665" t="s">
        <v>1012</v>
      </c>
    </row>
    <row r="11666" spans="1:8" x14ac:dyDescent="0.25">
      <c r="A11666" t="s">
        <v>17</v>
      </c>
      <c r="B11666" t="s">
        <v>1012</v>
      </c>
    </row>
    <row r="11667" spans="1:8" x14ac:dyDescent="0.25">
      <c r="A11667" t="s">
        <v>18</v>
      </c>
      <c r="B11667" t="s">
        <v>1012</v>
      </c>
    </row>
    <row r="11668" spans="1:8" x14ac:dyDescent="0.25">
      <c r="A11668" t="str">
        <f xml:space="preserve"> $H$11660</f>
        <v>&lt;flags count_in_cargo="0" count_in_hoarder="0" count_in_map="1" count_in_player="0" crafted="0" deloot="0"/&gt;</v>
      </c>
      <c r="B11668" t="s">
        <v>1012</v>
      </c>
    </row>
    <row r="11669" spans="1:8" x14ac:dyDescent="0.25">
      <c r="A11669" t="str">
        <f>"&lt;category name=" &amp;"""" &amp;$C$11660&amp;"""/&gt;"</f>
        <v>&lt;category name="tools"/&gt;</v>
      </c>
      <c r="B11669" t="s">
        <v>1012</v>
      </c>
    </row>
    <row r="11670" spans="1:8" x14ac:dyDescent="0.25">
      <c r="A11670" t="s">
        <v>25</v>
      </c>
      <c r="B11670" t="s">
        <v>1012</v>
      </c>
    </row>
    <row r="11671" spans="1:8" x14ac:dyDescent="0.25">
      <c r="A11671" t="s">
        <v>55</v>
      </c>
      <c r="B11671" t="s">
        <v>1012</v>
      </c>
    </row>
    <row r="11672" spans="1:8" x14ac:dyDescent="0.25">
      <c r="A11672" t="s">
        <v>22</v>
      </c>
      <c r="B11672" t="s">
        <v>1012</v>
      </c>
    </row>
    <row r="11673" spans="1:8" x14ac:dyDescent="0.25">
      <c r="A11673" t="s">
        <v>2291</v>
      </c>
      <c r="B11673" t="s">
        <v>1013</v>
      </c>
      <c r="C11673" t="s">
        <v>426</v>
      </c>
      <c r="D11673">
        <v>2</v>
      </c>
      <c r="E11673">
        <v>2700</v>
      </c>
      <c r="F11673">
        <v>0</v>
      </c>
      <c r="G11673">
        <v>1</v>
      </c>
      <c r="H11673" t="s">
        <v>19</v>
      </c>
    </row>
    <row r="11674" spans="1:8" x14ac:dyDescent="0.25">
      <c r="A11674" t="str">
        <f>"&lt;nominal&gt;" &amp;$D$11673&amp;"&lt;/nominal&gt;"</f>
        <v>&lt;nominal&gt;2&lt;/nominal&gt;</v>
      </c>
      <c r="B11674" t="s">
        <v>1013</v>
      </c>
    </row>
    <row r="11675" spans="1:8" x14ac:dyDescent="0.25">
      <c r="A11675" t="str">
        <f>"&lt;lifetime&gt;" &amp;$E$11673&amp;"&lt;/lifetime&gt;"</f>
        <v>&lt;lifetime&gt;2700&lt;/lifetime&gt;</v>
      </c>
      <c r="B11675" t="s">
        <v>1013</v>
      </c>
    </row>
    <row r="11676" spans="1:8" x14ac:dyDescent="0.25">
      <c r="A11676" t="str">
        <f>"&lt;restock&gt;" &amp;$F$11673&amp;"&lt;/restock&gt;"</f>
        <v>&lt;restock&gt;0&lt;/restock&gt;</v>
      </c>
      <c r="B11676" t="s">
        <v>1013</v>
      </c>
    </row>
    <row r="11677" spans="1:8" x14ac:dyDescent="0.25">
      <c r="A11677" t="str">
        <f>"&lt;min&gt;" &amp;$G$11673&amp;"&lt;/min&gt;"</f>
        <v>&lt;min&gt;1&lt;/min&gt;</v>
      </c>
      <c r="B11677" t="s">
        <v>1013</v>
      </c>
    </row>
    <row r="11678" spans="1:8" x14ac:dyDescent="0.25">
      <c r="A11678" t="s">
        <v>16</v>
      </c>
      <c r="B11678" t="s">
        <v>1013</v>
      </c>
    </row>
    <row r="11679" spans="1:8" x14ac:dyDescent="0.25">
      <c r="A11679" t="s">
        <v>17</v>
      </c>
      <c r="B11679" t="s">
        <v>1013</v>
      </c>
    </row>
    <row r="11680" spans="1:8" x14ac:dyDescent="0.25">
      <c r="A11680" t="s">
        <v>18</v>
      </c>
      <c r="B11680" t="s">
        <v>1013</v>
      </c>
    </row>
    <row r="11681" spans="1:8" x14ac:dyDescent="0.25">
      <c r="A11681" t="str">
        <f xml:space="preserve"> $H$11673</f>
        <v>&lt;flags count_in_cargo="0" count_in_hoarder="0" count_in_map="1" count_in_player="0" crafted="0" deloot="0"/&gt;</v>
      </c>
      <c r="B11681" t="s">
        <v>1013</v>
      </c>
    </row>
    <row r="11682" spans="1:8" x14ac:dyDescent="0.25">
      <c r="A11682" t="str">
        <f>"&lt;category name=" &amp;"""" &amp;$C$11673&amp;"""/&gt;"</f>
        <v>&lt;category name="tools"/&gt;</v>
      </c>
      <c r="B11682" t="s">
        <v>1013</v>
      </c>
    </row>
    <row r="11683" spans="1:8" x14ac:dyDescent="0.25">
      <c r="A11683" t="s">
        <v>25</v>
      </c>
      <c r="B11683" t="s">
        <v>1013</v>
      </c>
    </row>
    <row r="11684" spans="1:8" x14ac:dyDescent="0.25">
      <c r="A11684" t="s">
        <v>55</v>
      </c>
      <c r="B11684" t="s">
        <v>1013</v>
      </c>
    </row>
    <row r="11685" spans="1:8" x14ac:dyDescent="0.25">
      <c r="A11685" t="s">
        <v>22</v>
      </c>
      <c r="B11685" t="s">
        <v>1013</v>
      </c>
    </row>
    <row r="11686" spans="1:8" x14ac:dyDescent="0.25">
      <c r="A11686" t="s">
        <v>2292</v>
      </c>
      <c r="B11686" t="s">
        <v>1014</v>
      </c>
      <c r="C11686" t="s">
        <v>426</v>
      </c>
      <c r="D11686">
        <v>2</v>
      </c>
      <c r="E11686">
        <v>2700</v>
      </c>
      <c r="F11686">
        <v>0</v>
      </c>
      <c r="G11686">
        <v>1</v>
      </c>
      <c r="H11686" t="s">
        <v>19</v>
      </c>
    </row>
    <row r="11687" spans="1:8" x14ac:dyDescent="0.25">
      <c r="A11687" t="str">
        <f>"&lt;nominal&gt;" &amp;$D$11686&amp;"&lt;/nominal&gt;"</f>
        <v>&lt;nominal&gt;2&lt;/nominal&gt;</v>
      </c>
      <c r="B11687" t="s">
        <v>1014</v>
      </c>
    </row>
    <row r="11688" spans="1:8" x14ac:dyDescent="0.25">
      <c r="A11688" t="str">
        <f>"&lt;lifetime&gt;" &amp;$E$11686&amp;"&lt;/lifetime&gt;"</f>
        <v>&lt;lifetime&gt;2700&lt;/lifetime&gt;</v>
      </c>
      <c r="B11688" t="s">
        <v>1014</v>
      </c>
    </row>
    <row r="11689" spans="1:8" x14ac:dyDescent="0.25">
      <c r="A11689" t="str">
        <f>"&lt;restock&gt;" &amp;$F$11686&amp;"&lt;/restock&gt;"</f>
        <v>&lt;restock&gt;0&lt;/restock&gt;</v>
      </c>
      <c r="B11689" t="s">
        <v>1014</v>
      </c>
    </row>
    <row r="11690" spans="1:8" x14ac:dyDescent="0.25">
      <c r="A11690" t="str">
        <f>"&lt;min&gt;" &amp;$G$11686&amp;"&lt;/min&gt;"</f>
        <v>&lt;min&gt;1&lt;/min&gt;</v>
      </c>
      <c r="B11690" t="s">
        <v>1014</v>
      </c>
    </row>
    <row r="11691" spans="1:8" x14ac:dyDescent="0.25">
      <c r="A11691" t="s">
        <v>16</v>
      </c>
      <c r="B11691" t="s">
        <v>1014</v>
      </c>
    </row>
    <row r="11692" spans="1:8" x14ac:dyDescent="0.25">
      <c r="A11692" t="s">
        <v>17</v>
      </c>
      <c r="B11692" t="s">
        <v>1014</v>
      </c>
    </row>
    <row r="11693" spans="1:8" x14ac:dyDescent="0.25">
      <c r="A11693" t="s">
        <v>18</v>
      </c>
      <c r="B11693" t="s">
        <v>1014</v>
      </c>
    </row>
    <row r="11694" spans="1:8" x14ac:dyDescent="0.25">
      <c r="A11694" t="str">
        <f xml:space="preserve"> $H$11686</f>
        <v>&lt;flags count_in_cargo="0" count_in_hoarder="0" count_in_map="1" count_in_player="0" crafted="0" deloot="0"/&gt;</v>
      </c>
      <c r="B11694" t="s">
        <v>1014</v>
      </c>
    </row>
    <row r="11695" spans="1:8" x14ac:dyDescent="0.25">
      <c r="A11695" t="str">
        <f>"&lt;category name=" &amp;"""" &amp;$C$11686&amp;"""/&gt;"</f>
        <v>&lt;category name="tools"/&gt;</v>
      </c>
      <c r="B11695" t="s">
        <v>1014</v>
      </c>
    </row>
    <row r="11696" spans="1:8" x14ac:dyDescent="0.25">
      <c r="A11696" t="s">
        <v>25</v>
      </c>
      <c r="B11696" t="s">
        <v>1014</v>
      </c>
    </row>
    <row r="11697" spans="1:8" x14ac:dyDescent="0.25">
      <c r="A11697" t="s">
        <v>55</v>
      </c>
      <c r="B11697" t="s">
        <v>1014</v>
      </c>
    </row>
    <row r="11698" spans="1:8" x14ac:dyDescent="0.25">
      <c r="A11698" t="s">
        <v>22</v>
      </c>
      <c r="B11698" t="s">
        <v>1014</v>
      </c>
    </row>
    <row r="11699" spans="1:8" x14ac:dyDescent="0.25">
      <c r="A11699" t="s">
        <v>2293</v>
      </c>
      <c r="B11699" t="s">
        <v>1015</v>
      </c>
      <c r="C11699" t="s">
        <v>426</v>
      </c>
      <c r="D11699">
        <v>2</v>
      </c>
      <c r="E11699">
        <v>2700</v>
      </c>
      <c r="F11699">
        <v>0</v>
      </c>
      <c r="G11699">
        <v>1</v>
      </c>
      <c r="H11699" t="s">
        <v>19</v>
      </c>
    </row>
    <row r="11700" spans="1:8" x14ac:dyDescent="0.25">
      <c r="A11700" t="str">
        <f>"&lt;nominal&gt;" &amp;$D$11699&amp;"&lt;/nominal&gt;"</f>
        <v>&lt;nominal&gt;2&lt;/nominal&gt;</v>
      </c>
      <c r="B11700" t="s">
        <v>1015</v>
      </c>
    </row>
    <row r="11701" spans="1:8" x14ac:dyDescent="0.25">
      <c r="A11701" t="str">
        <f>"&lt;lifetime&gt;" &amp;$E$11699&amp;"&lt;/lifetime&gt;"</f>
        <v>&lt;lifetime&gt;2700&lt;/lifetime&gt;</v>
      </c>
      <c r="B11701" t="s">
        <v>1015</v>
      </c>
    </row>
    <row r="11702" spans="1:8" x14ac:dyDescent="0.25">
      <c r="A11702" t="str">
        <f>"&lt;restock&gt;" &amp;$F$11699&amp;"&lt;/restock&gt;"</f>
        <v>&lt;restock&gt;0&lt;/restock&gt;</v>
      </c>
      <c r="B11702" t="s">
        <v>1015</v>
      </c>
    </row>
    <row r="11703" spans="1:8" x14ac:dyDescent="0.25">
      <c r="A11703" t="str">
        <f>"&lt;min&gt;" &amp;$G$11699&amp;"&lt;/min&gt;"</f>
        <v>&lt;min&gt;1&lt;/min&gt;</v>
      </c>
      <c r="B11703" t="s">
        <v>1015</v>
      </c>
    </row>
    <row r="11704" spans="1:8" x14ac:dyDescent="0.25">
      <c r="A11704" t="s">
        <v>16</v>
      </c>
      <c r="B11704" t="s">
        <v>1015</v>
      </c>
    </row>
    <row r="11705" spans="1:8" x14ac:dyDescent="0.25">
      <c r="A11705" t="s">
        <v>17</v>
      </c>
      <c r="B11705" t="s">
        <v>1015</v>
      </c>
    </row>
    <row r="11706" spans="1:8" x14ac:dyDescent="0.25">
      <c r="A11706" t="s">
        <v>18</v>
      </c>
      <c r="B11706" t="s">
        <v>1015</v>
      </c>
    </row>
    <row r="11707" spans="1:8" x14ac:dyDescent="0.25">
      <c r="A11707" t="str">
        <f xml:space="preserve"> $H$11699</f>
        <v>&lt;flags count_in_cargo="0" count_in_hoarder="0" count_in_map="1" count_in_player="0" crafted="0" deloot="0"/&gt;</v>
      </c>
      <c r="B11707" t="s">
        <v>1015</v>
      </c>
    </row>
    <row r="11708" spans="1:8" x14ac:dyDescent="0.25">
      <c r="A11708" t="str">
        <f>"&lt;category name=" &amp;"""" &amp;$C$11699&amp;"""/&gt;"</f>
        <v>&lt;category name="tools"/&gt;</v>
      </c>
      <c r="B11708" t="s">
        <v>1015</v>
      </c>
    </row>
    <row r="11709" spans="1:8" x14ac:dyDescent="0.25">
      <c r="A11709" t="s">
        <v>25</v>
      </c>
      <c r="B11709" t="s">
        <v>1015</v>
      </c>
    </row>
    <row r="11710" spans="1:8" x14ac:dyDescent="0.25">
      <c r="A11710" t="s">
        <v>55</v>
      </c>
      <c r="B11710" t="s">
        <v>1015</v>
      </c>
    </row>
    <row r="11711" spans="1:8" x14ac:dyDescent="0.25">
      <c r="A11711" t="s">
        <v>22</v>
      </c>
      <c r="B11711" t="s">
        <v>1015</v>
      </c>
    </row>
    <row r="11712" spans="1:8" x14ac:dyDescent="0.25">
      <c r="A11712" t="s">
        <v>2294</v>
      </c>
      <c r="B11712" t="s">
        <v>1016</v>
      </c>
      <c r="C11712" t="s">
        <v>426</v>
      </c>
      <c r="D11712">
        <v>2</v>
      </c>
      <c r="E11712">
        <v>2700</v>
      </c>
      <c r="F11712">
        <v>0</v>
      </c>
      <c r="G11712">
        <v>1</v>
      </c>
      <c r="H11712" t="s">
        <v>19</v>
      </c>
    </row>
    <row r="11713" spans="1:8" x14ac:dyDescent="0.25">
      <c r="A11713" t="str">
        <f>"&lt;nominal&gt;" &amp;$D$11712&amp;"&lt;/nominal&gt;"</f>
        <v>&lt;nominal&gt;2&lt;/nominal&gt;</v>
      </c>
      <c r="B11713" t="s">
        <v>1016</v>
      </c>
    </row>
    <row r="11714" spans="1:8" x14ac:dyDescent="0.25">
      <c r="A11714" t="str">
        <f>"&lt;lifetime&gt;" &amp;$E$11712&amp;"&lt;/lifetime&gt;"</f>
        <v>&lt;lifetime&gt;2700&lt;/lifetime&gt;</v>
      </c>
      <c r="B11714" t="s">
        <v>1016</v>
      </c>
    </row>
    <row r="11715" spans="1:8" x14ac:dyDescent="0.25">
      <c r="A11715" t="str">
        <f>"&lt;restock&gt;" &amp;$F$11712&amp;"&lt;/restock&gt;"</f>
        <v>&lt;restock&gt;0&lt;/restock&gt;</v>
      </c>
      <c r="B11715" t="s">
        <v>1016</v>
      </c>
    </row>
    <row r="11716" spans="1:8" x14ac:dyDescent="0.25">
      <c r="A11716" t="str">
        <f>"&lt;min&gt;" &amp;$G$11712&amp;"&lt;/min&gt;"</f>
        <v>&lt;min&gt;1&lt;/min&gt;</v>
      </c>
      <c r="B11716" t="s">
        <v>1016</v>
      </c>
    </row>
    <row r="11717" spans="1:8" x14ac:dyDescent="0.25">
      <c r="A11717" t="s">
        <v>16</v>
      </c>
      <c r="B11717" t="s">
        <v>1016</v>
      </c>
    </row>
    <row r="11718" spans="1:8" x14ac:dyDescent="0.25">
      <c r="A11718" t="s">
        <v>17</v>
      </c>
      <c r="B11718" t="s">
        <v>1016</v>
      </c>
    </row>
    <row r="11719" spans="1:8" x14ac:dyDescent="0.25">
      <c r="A11719" t="s">
        <v>18</v>
      </c>
      <c r="B11719" t="s">
        <v>1016</v>
      </c>
    </row>
    <row r="11720" spans="1:8" x14ac:dyDescent="0.25">
      <c r="A11720" t="str">
        <f xml:space="preserve"> $H$11712</f>
        <v>&lt;flags count_in_cargo="0" count_in_hoarder="0" count_in_map="1" count_in_player="0" crafted="0" deloot="0"/&gt;</v>
      </c>
      <c r="B11720" t="s">
        <v>1016</v>
      </c>
    </row>
    <row r="11721" spans="1:8" x14ac:dyDescent="0.25">
      <c r="A11721" t="str">
        <f>"&lt;category name=" &amp;"""" &amp;$C$11712&amp;"""/&gt;"</f>
        <v>&lt;category name="tools"/&gt;</v>
      </c>
      <c r="B11721" t="s">
        <v>1016</v>
      </c>
    </row>
    <row r="11722" spans="1:8" x14ac:dyDescent="0.25">
      <c r="A11722" t="s">
        <v>25</v>
      </c>
      <c r="B11722" t="s">
        <v>1016</v>
      </c>
    </row>
    <row r="11723" spans="1:8" x14ac:dyDescent="0.25">
      <c r="A11723" t="s">
        <v>55</v>
      </c>
      <c r="B11723" t="s">
        <v>1016</v>
      </c>
    </row>
    <row r="11724" spans="1:8" x14ac:dyDescent="0.25">
      <c r="A11724" t="s">
        <v>22</v>
      </c>
      <c r="B11724" t="s">
        <v>1016</v>
      </c>
    </row>
    <row r="11725" spans="1:8" x14ac:dyDescent="0.25">
      <c r="A11725" t="s">
        <v>2295</v>
      </c>
      <c r="B11725" t="s">
        <v>1017</v>
      </c>
      <c r="C11725" t="s">
        <v>426</v>
      </c>
      <c r="D11725">
        <v>2</v>
      </c>
      <c r="E11725">
        <v>2700</v>
      </c>
      <c r="F11725">
        <v>0</v>
      </c>
      <c r="G11725">
        <v>1</v>
      </c>
      <c r="H11725" t="s">
        <v>19</v>
      </c>
    </row>
    <row r="11726" spans="1:8" x14ac:dyDescent="0.25">
      <c r="A11726" t="str">
        <f>"&lt;nominal&gt;" &amp;$D$11725&amp;"&lt;/nominal&gt;"</f>
        <v>&lt;nominal&gt;2&lt;/nominal&gt;</v>
      </c>
      <c r="B11726" t="s">
        <v>1017</v>
      </c>
    </row>
    <row r="11727" spans="1:8" x14ac:dyDescent="0.25">
      <c r="A11727" t="str">
        <f>"&lt;lifetime&gt;" &amp;$E$11725&amp;"&lt;/lifetime&gt;"</f>
        <v>&lt;lifetime&gt;2700&lt;/lifetime&gt;</v>
      </c>
      <c r="B11727" t="s">
        <v>1017</v>
      </c>
    </row>
    <row r="11728" spans="1:8" x14ac:dyDescent="0.25">
      <c r="A11728" t="str">
        <f>"&lt;restock&gt;" &amp;$F$11725&amp;"&lt;/restock&gt;"</f>
        <v>&lt;restock&gt;0&lt;/restock&gt;</v>
      </c>
      <c r="B11728" t="s">
        <v>1017</v>
      </c>
    </row>
    <row r="11729" spans="1:8" x14ac:dyDescent="0.25">
      <c r="A11729" t="str">
        <f>"&lt;min&gt;" &amp;$G$11725&amp;"&lt;/min&gt;"</f>
        <v>&lt;min&gt;1&lt;/min&gt;</v>
      </c>
      <c r="B11729" t="s">
        <v>1017</v>
      </c>
    </row>
    <row r="11730" spans="1:8" x14ac:dyDescent="0.25">
      <c r="A11730" t="s">
        <v>16</v>
      </c>
      <c r="B11730" t="s">
        <v>1017</v>
      </c>
    </row>
    <row r="11731" spans="1:8" x14ac:dyDescent="0.25">
      <c r="A11731" t="s">
        <v>17</v>
      </c>
      <c r="B11731" t="s">
        <v>1017</v>
      </c>
    </row>
    <row r="11732" spans="1:8" x14ac:dyDescent="0.25">
      <c r="A11732" t="s">
        <v>18</v>
      </c>
      <c r="B11732" t="s">
        <v>1017</v>
      </c>
    </row>
    <row r="11733" spans="1:8" x14ac:dyDescent="0.25">
      <c r="A11733" t="str">
        <f xml:space="preserve"> $H$11725</f>
        <v>&lt;flags count_in_cargo="0" count_in_hoarder="0" count_in_map="1" count_in_player="0" crafted="0" deloot="0"/&gt;</v>
      </c>
      <c r="B11733" t="s">
        <v>1017</v>
      </c>
    </row>
    <row r="11734" spans="1:8" x14ac:dyDescent="0.25">
      <c r="A11734" t="str">
        <f>"&lt;category name=" &amp;"""" &amp;$C$11725&amp;"""/&gt;"</f>
        <v>&lt;category name="tools"/&gt;</v>
      </c>
      <c r="B11734" t="s">
        <v>1017</v>
      </c>
    </row>
    <row r="11735" spans="1:8" x14ac:dyDescent="0.25">
      <c r="A11735" t="s">
        <v>25</v>
      </c>
      <c r="B11735" t="s">
        <v>1017</v>
      </c>
    </row>
    <row r="11736" spans="1:8" x14ac:dyDescent="0.25">
      <c r="A11736" t="s">
        <v>55</v>
      </c>
      <c r="B11736" t="s">
        <v>1017</v>
      </c>
    </row>
    <row r="11737" spans="1:8" x14ac:dyDescent="0.25">
      <c r="A11737" t="s">
        <v>22</v>
      </c>
      <c r="B11737" t="s">
        <v>1017</v>
      </c>
    </row>
    <row r="11738" spans="1:8" x14ac:dyDescent="0.25">
      <c r="A11738" t="s">
        <v>2296</v>
      </c>
      <c r="B11738" t="s">
        <v>1018</v>
      </c>
      <c r="C11738" t="s">
        <v>426</v>
      </c>
      <c r="D11738">
        <v>2</v>
      </c>
      <c r="E11738">
        <v>2700</v>
      </c>
      <c r="F11738">
        <v>0</v>
      </c>
      <c r="G11738">
        <v>1</v>
      </c>
      <c r="H11738" t="s">
        <v>19</v>
      </c>
    </row>
    <row r="11739" spans="1:8" x14ac:dyDescent="0.25">
      <c r="A11739" t="str">
        <f>"&lt;nominal&gt;" &amp;$D$11738&amp;"&lt;/nominal&gt;"</f>
        <v>&lt;nominal&gt;2&lt;/nominal&gt;</v>
      </c>
      <c r="B11739" t="s">
        <v>1018</v>
      </c>
    </row>
    <row r="11740" spans="1:8" x14ac:dyDescent="0.25">
      <c r="A11740" t="str">
        <f>"&lt;lifetime&gt;" &amp;$E$11738&amp;"&lt;/lifetime&gt;"</f>
        <v>&lt;lifetime&gt;2700&lt;/lifetime&gt;</v>
      </c>
      <c r="B11740" t="s">
        <v>1018</v>
      </c>
    </row>
    <row r="11741" spans="1:8" x14ac:dyDescent="0.25">
      <c r="A11741" t="str">
        <f>"&lt;restock&gt;" &amp;$F$11738&amp;"&lt;/restock&gt;"</f>
        <v>&lt;restock&gt;0&lt;/restock&gt;</v>
      </c>
      <c r="B11741" t="s">
        <v>1018</v>
      </c>
    </row>
    <row r="11742" spans="1:8" x14ac:dyDescent="0.25">
      <c r="A11742" t="str">
        <f>"&lt;min&gt;" &amp;$G$11738&amp;"&lt;/min&gt;"</f>
        <v>&lt;min&gt;1&lt;/min&gt;</v>
      </c>
      <c r="B11742" t="s">
        <v>1018</v>
      </c>
    </row>
    <row r="11743" spans="1:8" x14ac:dyDescent="0.25">
      <c r="A11743" t="s">
        <v>16</v>
      </c>
      <c r="B11743" t="s">
        <v>1018</v>
      </c>
    </row>
    <row r="11744" spans="1:8" x14ac:dyDescent="0.25">
      <c r="A11744" t="s">
        <v>17</v>
      </c>
      <c r="B11744" t="s">
        <v>1018</v>
      </c>
    </row>
    <row r="11745" spans="1:8" x14ac:dyDescent="0.25">
      <c r="A11745" t="s">
        <v>18</v>
      </c>
      <c r="B11745" t="s">
        <v>1018</v>
      </c>
    </row>
    <row r="11746" spans="1:8" x14ac:dyDescent="0.25">
      <c r="A11746" t="str">
        <f xml:space="preserve"> $H$11738</f>
        <v>&lt;flags count_in_cargo="0" count_in_hoarder="0" count_in_map="1" count_in_player="0" crafted="0" deloot="0"/&gt;</v>
      </c>
      <c r="B11746" t="s">
        <v>1018</v>
      </c>
    </row>
    <row r="11747" spans="1:8" x14ac:dyDescent="0.25">
      <c r="A11747" t="str">
        <f>"&lt;category name=" &amp;"""" &amp;$C$11738&amp;"""/&gt;"</f>
        <v>&lt;category name="tools"/&gt;</v>
      </c>
      <c r="B11747" t="s">
        <v>1018</v>
      </c>
    </row>
    <row r="11748" spans="1:8" x14ac:dyDescent="0.25">
      <c r="A11748" t="s">
        <v>25</v>
      </c>
      <c r="B11748" t="s">
        <v>1018</v>
      </c>
    </row>
    <row r="11749" spans="1:8" x14ac:dyDescent="0.25">
      <c r="A11749" t="s">
        <v>55</v>
      </c>
      <c r="B11749" t="s">
        <v>1018</v>
      </c>
    </row>
    <row r="11750" spans="1:8" x14ac:dyDescent="0.25">
      <c r="A11750" t="s">
        <v>22</v>
      </c>
      <c r="B11750" t="s">
        <v>1018</v>
      </c>
    </row>
    <row r="11751" spans="1:8" x14ac:dyDescent="0.25">
      <c r="A11751" t="s">
        <v>2297</v>
      </c>
      <c r="B11751" t="s">
        <v>1019</v>
      </c>
      <c r="C11751" t="s">
        <v>426</v>
      </c>
      <c r="D11751">
        <v>2</v>
      </c>
      <c r="E11751">
        <v>2700</v>
      </c>
      <c r="F11751">
        <v>0</v>
      </c>
      <c r="G11751">
        <v>1</v>
      </c>
      <c r="H11751" t="s">
        <v>19</v>
      </c>
    </row>
    <row r="11752" spans="1:8" x14ac:dyDescent="0.25">
      <c r="A11752" t="str">
        <f>"&lt;nominal&gt;" &amp;$D$11751&amp;"&lt;/nominal&gt;"</f>
        <v>&lt;nominal&gt;2&lt;/nominal&gt;</v>
      </c>
      <c r="B11752" t="s">
        <v>1019</v>
      </c>
    </row>
    <row r="11753" spans="1:8" x14ac:dyDescent="0.25">
      <c r="A11753" t="str">
        <f>"&lt;lifetime&gt;" &amp;$E$11751&amp;"&lt;/lifetime&gt;"</f>
        <v>&lt;lifetime&gt;2700&lt;/lifetime&gt;</v>
      </c>
      <c r="B11753" t="s">
        <v>1019</v>
      </c>
    </row>
    <row r="11754" spans="1:8" x14ac:dyDescent="0.25">
      <c r="A11754" t="str">
        <f>"&lt;restock&gt;" &amp;$F$11751&amp;"&lt;/restock&gt;"</f>
        <v>&lt;restock&gt;0&lt;/restock&gt;</v>
      </c>
      <c r="B11754" t="s">
        <v>1019</v>
      </c>
    </row>
    <row r="11755" spans="1:8" x14ac:dyDescent="0.25">
      <c r="A11755" t="str">
        <f>"&lt;min&gt;" &amp;$G$11751&amp;"&lt;/min&gt;"</f>
        <v>&lt;min&gt;1&lt;/min&gt;</v>
      </c>
      <c r="B11755" t="s">
        <v>1019</v>
      </c>
    </row>
    <row r="11756" spans="1:8" x14ac:dyDescent="0.25">
      <c r="A11756" t="s">
        <v>16</v>
      </c>
      <c r="B11756" t="s">
        <v>1019</v>
      </c>
    </row>
    <row r="11757" spans="1:8" x14ac:dyDescent="0.25">
      <c r="A11757" t="s">
        <v>17</v>
      </c>
      <c r="B11757" t="s">
        <v>1019</v>
      </c>
    </row>
    <row r="11758" spans="1:8" x14ac:dyDescent="0.25">
      <c r="A11758" t="s">
        <v>18</v>
      </c>
      <c r="B11758" t="s">
        <v>1019</v>
      </c>
    </row>
    <row r="11759" spans="1:8" x14ac:dyDescent="0.25">
      <c r="A11759" t="str">
        <f xml:space="preserve"> $H$11751</f>
        <v>&lt;flags count_in_cargo="0" count_in_hoarder="0" count_in_map="1" count_in_player="0" crafted="0" deloot="0"/&gt;</v>
      </c>
      <c r="B11759" t="s">
        <v>1019</v>
      </c>
    </row>
    <row r="11760" spans="1:8" x14ac:dyDescent="0.25">
      <c r="A11760" t="str">
        <f>"&lt;category name=" &amp;"""" &amp;$C$11751&amp;"""/&gt;"</f>
        <v>&lt;category name="tools"/&gt;</v>
      </c>
      <c r="B11760" t="s">
        <v>1019</v>
      </c>
    </row>
    <row r="11761" spans="1:8" x14ac:dyDescent="0.25">
      <c r="A11761" t="s">
        <v>25</v>
      </c>
      <c r="B11761" t="s">
        <v>1019</v>
      </c>
    </row>
    <row r="11762" spans="1:8" x14ac:dyDescent="0.25">
      <c r="A11762" t="s">
        <v>55</v>
      </c>
      <c r="B11762" t="s">
        <v>1019</v>
      </c>
    </row>
    <row r="11763" spans="1:8" x14ac:dyDescent="0.25">
      <c r="A11763" t="s">
        <v>22</v>
      </c>
      <c r="B11763" t="s">
        <v>1019</v>
      </c>
    </row>
    <row r="11764" spans="1:8" x14ac:dyDescent="0.25">
      <c r="A11764" t="s">
        <v>2298</v>
      </c>
      <c r="B11764" t="s">
        <v>1020</v>
      </c>
      <c r="C11764" t="s">
        <v>426</v>
      </c>
      <c r="D11764">
        <v>2</v>
      </c>
      <c r="E11764">
        <v>2700</v>
      </c>
      <c r="F11764">
        <v>0</v>
      </c>
      <c r="G11764">
        <v>1</v>
      </c>
      <c r="H11764" t="s">
        <v>19</v>
      </c>
    </row>
    <row r="11765" spans="1:8" x14ac:dyDescent="0.25">
      <c r="A11765" t="str">
        <f>"&lt;nominal&gt;" &amp;$D$11764&amp;"&lt;/nominal&gt;"</f>
        <v>&lt;nominal&gt;2&lt;/nominal&gt;</v>
      </c>
      <c r="B11765" t="s">
        <v>1020</v>
      </c>
    </row>
    <row r="11766" spans="1:8" x14ac:dyDescent="0.25">
      <c r="A11766" t="str">
        <f>"&lt;lifetime&gt;" &amp;$E$11764&amp;"&lt;/lifetime&gt;"</f>
        <v>&lt;lifetime&gt;2700&lt;/lifetime&gt;</v>
      </c>
      <c r="B11766" t="s">
        <v>1020</v>
      </c>
    </row>
    <row r="11767" spans="1:8" x14ac:dyDescent="0.25">
      <c r="A11767" t="str">
        <f>"&lt;restock&gt;" &amp;$F$11764&amp;"&lt;/restock&gt;"</f>
        <v>&lt;restock&gt;0&lt;/restock&gt;</v>
      </c>
      <c r="B11767" t="s">
        <v>1020</v>
      </c>
    </row>
    <row r="11768" spans="1:8" x14ac:dyDescent="0.25">
      <c r="A11768" t="str">
        <f>"&lt;min&gt;" &amp;$G$11764&amp;"&lt;/min&gt;"</f>
        <v>&lt;min&gt;1&lt;/min&gt;</v>
      </c>
      <c r="B11768" t="s">
        <v>1020</v>
      </c>
    </row>
    <row r="11769" spans="1:8" x14ac:dyDescent="0.25">
      <c r="A11769" t="s">
        <v>16</v>
      </c>
      <c r="B11769" t="s">
        <v>1020</v>
      </c>
    </row>
    <row r="11770" spans="1:8" x14ac:dyDescent="0.25">
      <c r="A11770" t="s">
        <v>17</v>
      </c>
      <c r="B11770" t="s">
        <v>1020</v>
      </c>
    </row>
    <row r="11771" spans="1:8" x14ac:dyDescent="0.25">
      <c r="A11771" t="s">
        <v>18</v>
      </c>
      <c r="B11771" t="s">
        <v>1020</v>
      </c>
    </row>
    <row r="11772" spans="1:8" x14ac:dyDescent="0.25">
      <c r="A11772" t="str">
        <f xml:space="preserve"> $H$11764</f>
        <v>&lt;flags count_in_cargo="0" count_in_hoarder="0" count_in_map="1" count_in_player="0" crafted="0" deloot="0"/&gt;</v>
      </c>
      <c r="B11772" t="s">
        <v>1020</v>
      </c>
    </row>
    <row r="11773" spans="1:8" x14ac:dyDescent="0.25">
      <c r="A11773" t="str">
        <f>"&lt;category name=" &amp;"""" &amp;$C$11764&amp;"""/&gt;"</f>
        <v>&lt;category name="tools"/&gt;</v>
      </c>
      <c r="B11773" t="s">
        <v>1020</v>
      </c>
    </row>
    <row r="11774" spans="1:8" x14ac:dyDescent="0.25">
      <c r="A11774" t="s">
        <v>25</v>
      </c>
      <c r="B11774" t="s">
        <v>1020</v>
      </c>
    </row>
    <row r="11775" spans="1:8" x14ac:dyDescent="0.25">
      <c r="A11775" t="s">
        <v>55</v>
      </c>
      <c r="B11775" t="s">
        <v>1020</v>
      </c>
    </row>
    <row r="11776" spans="1:8" x14ac:dyDescent="0.25">
      <c r="A11776" t="s">
        <v>22</v>
      </c>
      <c r="B11776" t="s">
        <v>1020</v>
      </c>
    </row>
    <row r="11777" spans="1:8" x14ac:dyDescent="0.25">
      <c r="A11777" t="s">
        <v>2299</v>
      </c>
      <c r="B11777" t="s">
        <v>1021</v>
      </c>
      <c r="D11777">
        <v>0</v>
      </c>
      <c r="E11777">
        <v>3888000</v>
      </c>
      <c r="F11777">
        <v>1800</v>
      </c>
      <c r="G11777">
        <v>0</v>
      </c>
      <c r="H11777" t="s">
        <v>19</v>
      </c>
    </row>
    <row r="11778" spans="1:8" x14ac:dyDescent="0.25">
      <c r="A11778" t="str">
        <f>"&lt;nominal&gt;" &amp;$D$11777&amp;"&lt;/nominal&gt;"</f>
        <v>&lt;nominal&gt;0&lt;/nominal&gt;</v>
      </c>
      <c r="B11778" t="s">
        <v>1021</v>
      </c>
    </row>
    <row r="11779" spans="1:8" x14ac:dyDescent="0.25">
      <c r="A11779" t="str">
        <f>"&lt;lifetime&gt;" &amp;$E$11777&amp;"&lt;/lifetime&gt;"</f>
        <v>&lt;lifetime&gt;3888000&lt;/lifetime&gt;</v>
      </c>
      <c r="B11779" t="s">
        <v>1021</v>
      </c>
    </row>
    <row r="11780" spans="1:8" x14ac:dyDescent="0.25">
      <c r="A11780" t="str">
        <f>"&lt;restock&gt;" &amp;$F$11777&amp;"&lt;/restock&gt;"</f>
        <v>&lt;restock&gt;1800&lt;/restock&gt;</v>
      </c>
      <c r="B11780" t="s">
        <v>1021</v>
      </c>
    </row>
    <row r="11781" spans="1:8" x14ac:dyDescent="0.25">
      <c r="A11781" t="str">
        <f>"&lt;min&gt;" &amp;$G$11777&amp;"&lt;/min&gt;"</f>
        <v>&lt;min&gt;0&lt;/min&gt;</v>
      </c>
      <c r="B11781" t="s">
        <v>1021</v>
      </c>
    </row>
    <row r="11782" spans="1:8" x14ac:dyDescent="0.25">
      <c r="A11782" t="s">
        <v>16</v>
      </c>
      <c r="B11782" t="s">
        <v>1021</v>
      </c>
    </row>
    <row r="11783" spans="1:8" x14ac:dyDescent="0.25">
      <c r="A11783" t="s">
        <v>17</v>
      </c>
      <c r="B11783" t="s">
        <v>1021</v>
      </c>
    </row>
    <row r="11784" spans="1:8" x14ac:dyDescent="0.25">
      <c r="A11784" t="s">
        <v>18</v>
      </c>
      <c r="B11784" t="s">
        <v>1021</v>
      </c>
    </row>
    <row r="11785" spans="1:8" x14ac:dyDescent="0.25">
      <c r="A11785" t="str">
        <f xml:space="preserve"> $H$11777</f>
        <v>&lt;flags count_in_cargo="0" count_in_hoarder="0" count_in_map="1" count_in_player="0" crafted="0" deloot="0"/&gt;</v>
      </c>
      <c r="B11785" t="s">
        <v>1021</v>
      </c>
    </row>
    <row r="11786" spans="1:8" x14ac:dyDescent="0.25">
      <c r="A11786" t="s">
        <v>22</v>
      </c>
      <c r="B11786" t="s">
        <v>1021</v>
      </c>
    </row>
    <row r="11787" spans="1:8" x14ac:dyDescent="0.25">
      <c r="A11787" t="s">
        <v>2300</v>
      </c>
      <c r="B11787" t="s">
        <v>1022</v>
      </c>
      <c r="C11787" t="s">
        <v>426</v>
      </c>
      <c r="D11787">
        <v>2</v>
      </c>
      <c r="E11787">
        <v>2700</v>
      </c>
      <c r="F11787">
        <v>0</v>
      </c>
      <c r="G11787">
        <v>1</v>
      </c>
      <c r="H11787" t="s">
        <v>19</v>
      </c>
    </row>
    <row r="11788" spans="1:8" x14ac:dyDescent="0.25">
      <c r="A11788" t="str">
        <f>"&lt;nominal&gt;" &amp;$D$11787&amp;"&lt;/nominal&gt;"</f>
        <v>&lt;nominal&gt;2&lt;/nominal&gt;</v>
      </c>
      <c r="B11788" t="s">
        <v>1022</v>
      </c>
    </row>
    <row r="11789" spans="1:8" x14ac:dyDescent="0.25">
      <c r="A11789" t="str">
        <f>"&lt;lifetime&gt;" &amp;$E$11787&amp;"&lt;/lifetime&gt;"</f>
        <v>&lt;lifetime&gt;2700&lt;/lifetime&gt;</v>
      </c>
      <c r="B11789" t="s">
        <v>1022</v>
      </c>
    </row>
    <row r="11790" spans="1:8" x14ac:dyDescent="0.25">
      <c r="A11790" t="str">
        <f>"&lt;restock&gt;" &amp;$F$11787&amp;"&lt;/restock&gt;"</f>
        <v>&lt;restock&gt;0&lt;/restock&gt;</v>
      </c>
      <c r="B11790" t="s">
        <v>1022</v>
      </c>
    </row>
    <row r="11791" spans="1:8" x14ac:dyDescent="0.25">
      <c r="A11791" t="str">
        <f>"&lt;min&gt;" &amp;$G$11787&amp;"&lt;/min&gt;"</f>
        <v>&lt;min&gt;1&lt;/min&gt;</v>
      </c>
      <c r="B11791" t="s">
        <v>1022</v>
      </c>
    </row>
    <row r="11792" spans="1:8" x14ac:dyDescent="0.25">
      <c r="A11792" t="s">
        <v>16</v>
      </c>
      <c r="B11792" t="s">
        <v>1022</v>
      </c>
    </row>
    <row r="11793" spans="1:8" x14ac:dyDescent="0.25">
      <c r="A11793" t="s">
        <v>17</v>
      </c>
      <c r="B11793" t="s">
        <v>1022</v>
      </c>
    </row>
    <row r="11794" spans="1:8" x14ac:dyDescent="0.25">
      <c r="A11794" t="s">
        <v>18</v>
      </c>
      <c r="B11794" t="s">
        <v>1022</v>
      </c>
    </row>
    <row r="11795" spans="1:8" x14ac:dyDescent="0.25">
      <c r="A11795" t="str">
        <f xml:space="preserve"> $H$11787</f>
        <v>&lt;flags count_in_cargo="0" count_in_hoarder="0" count_in_map="1" count_in_player="0" crafted="0" deloot="0"/&gt;</v>
      </c>
      <c r="B11795" t="s">
        <v>1022</v>
      </c>
    </row>
    <row r="11796" spans="1:8" x14ac:dyDescent="0.25">
      <c r="A11796" t="str">
        <f>"&lt;category name=" &amp;"""" &amp;$C$11787&amp;"""/&gt;"</f>
        <v>&lt;category name="tools"/&gt;</v>
      </c>
      <c r="B11796" t="s">
        <v>1022</v>
      </c>
    </row>
    <row r="11797" spans="1:8" x14ac:dyDescent="0.25">
      <c r="A11797" t="s">
        <v>25</v>
      </c>
      <c r="B11797" t="s">
        <v>1022</v>
      </c>
    </row>
    <row r="11798" spans="1:8" x14ac:dyDescent="0.25">
      <c r="A11798" t="s">
        <v>55</v>
      </c>
      <c r="B11798" t="s">
        <v>1022</v>
      </c>
    </row>
    <row r="11799" spans="1:8" x14ac:dyDescent="0.25">
      <c r="A11799" t="s">
        <v>22</v>
      </c>
      <c r="B11799" t="s">
        <v>1022</v>
      </c>
    </row>
    <row r="11800" spans="1:8" x14ac:dyDescent="0.25">
      <c r="A11800" t="s">
        <v>2301</v>
      </c>
      <c r="B11800" t="s">
        <v>1023</v>
      </c>
      <c r="C11800" t="s">
        <v>426</v>
      </c>
      <c r="D11800">
        <v>2</v>
      </c>
      <c r="E11800">
        <v>2700</v>
      </c>
      <c r="F11800">
        <v>0</v>
      </c>
      <c r="G11800">
        <v>1</v>
      </c>
      <c r="H11800" t="s">
        <v>19</v>
      </c>
    </row>
    <row r="11801" spans="1:8" x14ac:dyDescent="0.25">
      <c r="A11801" t="str">
        <f>"&lt;nominal&gt;" &amp;$D$11800&amp;"&lt;/nominal&gt;"</f>
        <v>&lt;nominal&gt;2&lt;/nominal&gt;</v>
      </c>
      <c r="B11801" t="s">
        <v>1023</v>
      </c>
    </row>
    <row r="11802" spans="1:8" x14ac:dyDescent="0.25">
      <c r="A11802" t="str">
        <f>"&lt;lifetime&gt;" &amp;$E$11800&amp;"&lt;/lifetime&gt;"</f>
        <v>&lt;lifetime&gt;2700&lt;/lifetime&gt;</v>
      </c>
      <c r="B11802" t="s">
        <v>1023</v>
      </c>
    </row>
    <row r="11803" spans="1:8" x14ac:dyDescent="0.25">
      <c r="A11803" t="str">
        <f>"&lt;restock&gt;" &amp;$F$11800&amp;"&lt;/restock&gt;"</f>
        <v>&lt;restock&gt;0&lt;/restock&gt;</v>
      </c>
      <c r="B11803" t="s">
        <v>1023</v>
      </c>
    </row>
    <row r="11804" spans="1:8" x14ac:dyDescent="0.25">
      <c r="A11804" t="str">
        <f>"&lt;min&gt;" &amp;$G$11800&amp;"&lt;/min&gt;"</f>
        <v>&lt;min&gt;1&lt;/min&gt;</v>
      </c>
      <c r="B11804" t="s">
        <v>1023</v>
      </c>
    </row>
    <row r="11805" spans="1:8" x14ac:dyDescent="0.25">
      <c r="A11805" t="s">
        <v>16</v>
      </c>
      <c r="B11805" t="s">
        <v>1023</v>
      </c>
    </row>
    <row r="11806" spans="1:8" x14ac:dyDescent="0.25">
      <c r="A11806" t="s">
        <v>17</v>
      </c>
      <c r="B11806" t="s">
        <v>1023</v>
      </c>
    </row>
    <row r="11807" spans="1:8" x14ac:dyDescent="0.25">
      <c r="A11807" t="s">
        <v>18</v>
      </c>
      <c r="B11807" t="s">
        <v>1023</v>
      </c>
    </row>
    <row r="11808" spans="1:8" x14ac:dyDescent="0.25">
      <c r="A11808" t="str">
        <f xml:space="preserve"> $H$11800</f>
        <v>&lt;flags count_in_cargo="0" count_in_hoarder="0" count_in_map="1" count_in_player="0" crafted="0" deloot="0"/&gt;</v>
      </c>
      <c r="B11808" t="s">
        <v>1023</v>
      </c>
    </row>
    <row r="11809" spans="1:8" x14ac:dyDescent="0.25">
      <c r="A11809" t="str">
        <f>"&lt;category name=" &amp;"""" &amp;$C$11800&amp;"""/&gt;"</f>
        <v>&lt;category name="tools"/&gt;</v>
      </c>
      <c r="B11809" t="s">
        <v>1023</v>
      </c>
    </row>
    <row r="11810" spans="1:8" x14ac:dyDescent="0.25">
      <c r="A11810" t="s">
        <v>25</v>
      </c>
      <c r="B11810" t="s">
        <v>1023</v>
      </c>
    </row>
    <row r="11811" spans="1:8" x14ac:dyDescent="0.25">
      <c r="A11811" t="s">
        <v>55</v>
      </c>
      <c r="B11811" t="s">
        <v>1023</v>
      </c>
    </row>
    <row r="11812" spans="1:8" x14ac:dyDescent="0.25">
      <c r="A11812" t="s">
        <v>22</v>
      </c>
      <c r="B11812" t="s">
        <v>1023</v>
      </c>
    </row>
    <row r="11813" spans="1:8" x14ac:dyDescent="0.25">
      <c r="A11813" t="s">
        <v>2302</v>
      </c>
      <c r="B11813" t="s">
        <v>1024</v>
      </c>
      <c r="C11813" t="s">
        <v>426</v>
      </c>
      <c r="D11813">
        <v>2</v>
      </c>
      <c r="E11813">
        <v>2700</v>
      </c>
      <c r="F11813">
        <v>0</v>
      </c>
      <c r="G11813">
        <v>1</v>
      </c>
      <c r="H11813" t="s">
        <v>19</v>
      </c>
    </row>
    <row r="11814" spans="1:8" x14ac:dyDescent="0.25">
      <c r="A11814" t="str">
        <f>"&lt;nominal&gt;" &amp;$D$11813&amp;"&lt;/nominal&gt;"</f>
        <v>&lt;nominal&gt;2&lt;/nominal&gt;</v>
      </c>
      <c r="B11814" t="s">
        <v>1024</v>
      </c>
    </row>
    <row r="11815" spans="1:8" x14ac:dyDescent="0.25">
      <c r="A11815" t="str">
        <f>"&lt;lifetime&gt;" &amp;$E$11813&amp;"&lt;/lifetime&gt;"</f>
        <v>&lt;lifetime&gt;2700&lt;/lifetime&gt;</v>
      </c>
      <c r="B11815" t="s">
        <v>1024</v>
      </c>
    </row>
    <row r="11816" spans="1:8" x14ac:dyDescent="0.25">
      <c r="A11816" t="str">
        <f>"&lt;restock&gt;" &amp;$F$11813&amp;"&lt;/restock&gt;"</f>
        <v>&lt;restock&gt;0&lt;/restock&gt;</v>
      </c>
      <c r="B11816" t="s">
        <v>1024</v>
      </c>
    </row>
    <row r="11817" spans="1:8" x14ac:dyDescent="0.25">
      <c r="A11817" t="str">
        <f>"&lt;min&gt;" &amp;$G$11813&amp;"&lt;/min&gt;"</f>
        <v>&lt;min&gt;1&lt;/min&gt;</v>
      </c>
      <c r="B11817" t="s">
        <v>1024</v>
      </c>
    </row>
    <row r="11818" spans="1:8" x14ac:dyDescent="0.25">
      <c r="A11818" t="s">
        <v>16</v>
      </c>
      <c r="B11818" t="s">
        <v>1024</v>
      </c>
    </row>
    <row r="11819" spans="1:8" x14ac:dyDescent="0.25">
      <c r="A11819" t="s">
        <v>17</v>
      </c>
      <c r="B11819" t="s">
        <v>1024</v>
      </c>
    </row>
    <row r="11820" spans="1:8" x14ac:dyDescent="0.25">
      <c r="A11820" t="s">
        <v>18</v>
      </c>
      <c r="B11820" t="s">
        <v>1024</v>
      </c>
    </row>
    <row r="11821" spans="1:8" x14ac:dyDescent="0.25">
      <c r="A11821" t="str">
        <f xml:space="preserve"> $H$11813</f>
        <v>&lt;flags count_in_cargo="0" count_in_hoarder="0" count_in_map="1" count_in_player="0" crafted="0" deloot="0"/&gt;</v>
      </c>
      <c r="B11821" t="s">
        <v>1024</v>
      </c>
    </row>
    <row r="11822" spans="1:8" x14ac:dyDescent="0.25">
      <c r="A11822" t="str">
        <f>"&lt;category name=" &amp;"""" &amp;$C$11813&amp;"""/&gt;"</f>
        <v>&lt;category name="tools"/&gt;</v>
      </c>
      <c r="B11822" t="s">
        <v>1024</v>
      </c>
    </row>
    <row r="11823" spans="1:8" x14ac:dyDescent="0.25">
      <c r="A11823" t="s">
        <v>25</v>
      </c>
      <c r="B11823" t="s">
        <v>1024</v>
      </c>
    </row>
    <row r="11824" spans="1:8" x14ac:dyDescent="0.25">
      <c r="A11824" t="s">
        <v>55</v>
      </c>
      <c r="B11824" t="s">
        <v>1024</v>
      </c>
    </row>
    <row r="11825" spans="1:8" x14ac:dyDescent="0.25">
      <c r="A11825" t="s">
        <v>22</v>
      </c>
      <c r="B11825" t="s">
        <v>1024</v>
      </c>
    </row>
    <row r="11826" spans="1:8" x14ac:dyDescent="0.25">
      <c r="A11826" t="s">
        <v>2303</v>
      </c>
      <c r="B11826" t="s">
        <v>1025</v>
      </c>
      <c r="D11826">
        <v>0</v>
      </c>
      <c r="E11826">
        <v>3888000</v>
      </c>
      <c r="F11826">
        <v>1800</v>
      </c>
      <c r="G11826">
        <v>0</v>
      </c>
      <c r="H11826" t="s">
        <v>19</v>
      </c>
    </row>
    <row r="11827" spans="1:8" x14ac:dyDescent="0.25">
      <c r="A11827" t="str">
        <f>"&lt;nominal&gt;" &amp;$D$11826&amp;"&lt;/nominal&gt;"</f>
        <v>&lt;nominal&gt;0&lt;/nominal&gt;</v>
      </c>
      <c r="B11827" t="s">
        <v>1025</v>
      </c>
    </row>
    <row r="11828" spans="1:8" x14ac:dyDescent="0.25">
      <c r="A11828" t="str">
        <f>"&lt;lifetime&gt;" &amp;$E$11826&amp;"&lt;/lifetime&gt;"</f>
        <v>&lt;lifetime&gt;3888000&lt;/lifetime&gt;</v>
      </c>
      <c r="B11828" t="s">
        <v>1025</v>
      </c>
    </row>
    <row r="11829" spans="1:8" x14ac:dyDescent="0.25">
      <c r="A11829" t="str">
        <f>"&lt;restock&gt;" &amp;$F$11826&amp;"&lt;/restock&gt;"</f>
        <v>&lt;restock&gt;1800&lt;/restock&gt;</v>
      </c>
      <c r="B11829" t="s">
        <v>1025</v>
      </c>
    </row>
    <row r="11830" spans="1:8" x14ac:dyDescent="0.25">
      <c r="A11830" t="str">
        <f>"&lt;min&gt;" &amp;$G$11826&amp;"&lt;/min&gt;"</f>
        <v>&lt;min&gt;0&lt;/min&gt;</v>
      </c>
      <c r="B11830" t="s">
        <v>1025</v>
      </c>
    </row>
    <row r="11831" spans="1:8" x14ac:dyDescent="0.25">
      <c r="A11831" t="s">
        <v>16</v>
      </c>
      <c r="B11831" t="s">
        <v>1025</v>
      </c>
    </row>
    <row r="11832" spans="1:8" x14ac:dyDescent="0.25">
      <c r="A11832" t="s">
        <v>17</v>
      </c>
      <c r="B11832" t="s">
        <v>1025</v>
      </c>
    </row>
    <row r="11833" spans="1:8" x14ac:dyDescent="0.25">
      <c r="A11833" t="s">
        <v>18</v>
      </c>
      <c r="B11833" t="s">
        <v>1025</v>
      </c>
    </row>
    <row r="11834" spans="1:8" x14ac:dyDescent="0.25">
      <c r="A11834" t="str">
        <f xml:space="preserve"> $H$11826</f>
        <v>&lt;flags count_in_cargo="0" count_in_hoarder="0" count_in_map="1" count_in_player="0" crafted="0" deloot="0"/&gt;</v>
      </c>
      <c r="B11834" t="s">
        <v>1025</v>
      </c>
    </row>
    <row r="11835" spans="1:8" x14ac:dyDescent="0.25">
      <c r="A11835" t="s">
        <v>22</v>
      </c>
      <c r="B11835" t="s">
        <v>1025</v>
      </c>
    </row>
    <row r="11836" spans="1:8" x14ac:dyDescent="0.25">
      <c r="A11836" t="s">
        <v>2304</v>
      </c>
      <c r="B11836" t="s">
        <v>1026</v>
      </c>
      <c r="C11836" t="s">
        <v>426</v>
      </c>
      <c r="D11836">
        <v>2</v>
      </c>
      <c r="E11836">
        <v>2700</v>
      </c>
      <c r="F11836">
        <v>0</v>
      </c>
      <c r="G11836">
        <v>1</v>
      </c>
      <c r="H11836" t="s">
        <v>19</v>
      </c>
    </row>
    <row r="11837" spans="1:8" x14ac:dyDescent="0.25">
      <c r="A11837" t="str">
        <f>"&lt;nominal&gt;" &amp;$D$11836&amp;"&lt;/nominal&gt;"</f>
        <v>&lt;nominal&gt;2&lt;/nominal&gt;</v>
      </c>
      <c r="B11837" t="s">
        <v>1026</v>
      </c>
    </row>
    <row r="11838" spans="1:8" x14ac:dyDescent="0.25">
      <c r="A11838" t="str">
        <f>"&lt;lifetime&gt;" &amp;$E$11836&amp;"&lt;/lifetime&gt;"</f>
        <v>&lt;lifetime&gt;2700&lt;/lifetime&gt;</v>
      </c>
      <c r="B11838" t="s">
        <v>1026</v>
      </c>
    </row>
    <row r="11839" spans="1:8" x14ac:dyDescent="0.25">
      <c r="A11839" t="str">
        <f>"&lt;restock&gt;" &amp;$F$11836&amp;"&lt;/restock&gt;"</f>
        <v>&lt;restock&gt;0&lt;/restock&gt;</v>
      </c>
      <c r="B11839" t="s">
        <v>1026</v>
      </c>
    </row>
    <row r="11840" spans="1:8" x14ac:dyDescent="0.25">
      <c r="A11840" t="str">
        <f>"&lt;min&gt;" &amp;$G$11836&amp;"&lt;/min&gt;"</f>
        <v>&lt;min&gt;1&lt;/min&gt;</v>
      </c>
      <c r="B11840" t="s">
        <v>1026</v>
      </c>
    </row>
    <row r="11841" spans="1:8" x14ac:dyDescent="0.25">
      <c r="A11841" t="s">
        <v>16</v>
      </c>
      <c r="B11841" t="s">
        <v>1026</v>
      </c>
    </row>
    <row r="11842" spans="1:8" x14ac:dyDescent="0.25">
      <c r="A11842" t="s">
        <v>17</v>
      </c>
      <c r="B11842" t="s">
        <v>1026</v>
      </c>
    </row>
    <row r="11843" spans="1:8" x14ac:dyDescent="0.25">
      <c r="A11843" t="s">
        <v>18</v>
      </c>
      <c r="B11843" t="s">
        <v>1026</v>
      </c>
    </row>
    <row r="11844" spans="1:8" x14ac:dyDescent="0.25">
      <c r="A11844" t="str">
        <f xml:space="preserve"> $H$11836</f>
        <v>&lt;flags count_in_cargo="0" count_in_hoarder="0" count_in_map="1" count_in_player="0" crafted="0" deloot="0"/&gt;</v>
      </c>
      <c r="B11844" t="s">
        <v>1026</v>
      </c>
    </row>
    <row r="11845" spans="1:8" x14ac:dyDescent="0.25">
      <c r="A11845" t="str">
        <f>"&lt;category name=" &amp;"""" &amp;$C$11836&amp;"""/&gt;"</f>
        <v>&lt;category name="tools"/&gt;</v>
      </c>
      <c r="B11845" t="s">
        <v>1026</v>
      </c>
    </row>
    <row r="11846" spans="1:8" x14ac:dyDescent="0.25">
      <c r="A11846" t="s">
        <v>25</v>
      </c>
      <c r="B11846" t="s">
        <v>1026</v>
      </c>
    </row>
    <row r="11847" spans="1:8" x14ac:dyDescent="0.25">
      <c r="A11847" t="s">
        <v>55</v>
      </c>
      <c r="B11847" t="s">
        <v>1026</v>
      </c>
    </row>
    <row r="11848" spans="1:8" x14ac:dyDescent="0.25">
      <c r="A11848" t="s">
        <v>22</v>
      </c>
      <c r="B11848" t="s">
        <v>1026</v>
      </c>
    </row>
    <row r="11849" spans="1:8" x14ac:dyDescent="0.25">
      <c r="A11849" t="s">
        <v>2305</v>
      </c>
      <c r="B11849" t="s">
        <v>1027</v>
      </c>
      <c r="C11849" t="s">
        <v>426</v>
      </c>
      <c r="D11849">
        <v>2</v>
      </c>
      <c r="E11849">
        <v>2700</v>
      </c>
      <c r="F11849">
        <v>0</v>
      </c>
      <c r="G11849">
        <v>1</v>
      </c>
      <c r="H11849" t="s">
        <v>19</v>
      </c>
    </row>
    <row r="11850" spans="1:8" x14ac:dyDescent="0.25">
      <c r="A11850" t="str">
        <f>"&lt;nominal&gt;" &amp;$D$11849&amp;"&lt;/nominal&gt;"</f>
        <v>&lt;nominal&gt;2&lt;/nominal&gt;</v>
      </c>
      <c r="B11850" t="s">
        <v>1027</v>
      </c>
    </row>
    <row r="11851" spans="1:8" x14ac:dyDescent="0.25">
      <c r="A11851" t="str">
        <f>"&lt;lifetime&gt;" &amp;$E$11849&amp;"&lt;/lifetime&gt;"</f>
        <v>&lt;lifetime&gt;2700&lt;/lifetime&gt;</v>
      </c>
      <c r="B11851" t="s">
        <v>1027</v>
      </c>
    </row>
    <row r="11852" spans="1:8" x14ac:dyDescent="0.25">
      <c r="A11852" t="str">
        <f>"&lt;restock&gt;" &amp;$F$11849&amp;"&lt;/restock&gt;"</f>
        <v>&lt;restock&gt;0&lt;/restock&gt;</v>
      </c>
      <c r="B11852" t="s">
        <v>1027</v>
      </c>
    </row>
    <row r="11853" spans="1:8" x14ac:dyDescent="0.25">
      <c r="A11853" t="str">
        <f>"&lt;min&gt;" &amp;$G$11849&amp;"&lt;/min&gt;"</f>
        <v>&lt;min&gt;1&lt;/min&gt;</v>
      </c>
      <c r="B11853" t="s">
        <v>1027</v>
      </c>
    </row>
    <row r="11854" spans="1:8" x14ac:dyDescent="0.25">
      <c r="A11854" t="s">
        <v>16</v>
      </c>
      <c r="B11854" t="s">
        <v>1027</v>
      </c>
    </row>
    <row r="11855" spans="1:8" x14ac:dyDescent="0.25">
      <c r="A11855" t="s">
        <v>17</v>
      </c>
      <c r="B11855" t="s">
        <v>1027</v>
      </c>
    </row>
    <row r="11856" spans="1:8" x14ac:dyDescent="0.25">
      <c r="A11856" t="s">
        <v>18</v>
      </c>
      <c r="B11856" t="s">
        <v>1027</v>
      </c>
    </row>
    <row r="11857" spans="1:8" x14ac:dyDescent="0.25">
      <c r="A11857" t="str">
        <f xml:space="preserve"> $H$11849</f>
        <v>&lt;flags count_in_cargo="0" count_in_hoarder="0" count_in_map="1" count_in_player="0" crafted="0" deloot="0"/&gt;</v>
      </c>
      <c r="B11857" t="s">
        <v>1027</v>
      </c>
    </row>
    <row r="11858" spans="1:8" x14ac:dyDescent="0.25">
      <c r="A11858" t="str">
        <f>"&lt;category name=" &amp;"""" &amp;$C$11849&amp;"""/&gt;"</f>
        <v>&lt;category name="tools"/&gt;</v>
      </c>
      <c r="B11858" t="s">
        <v>1027</v>
      </c>
    </row>
    <row r="11859" spans="1:8" x14ac:dyDescent="0.25">
      <c r="A11859" t="s">
        <v>25</v>
      </c>
      <c r="B11859" t="s">
        <v>1027</v>
      </c>
    </row>
    <row r="11860" spans="1:8" x14ac:dyDescent="0.25">
      <c r="A11860" t="s">
        <v>55</v>
      </c>
      <c r="B11860" t="s">
        <v>1027</v>
      </c>
    </row>
    <row r="11861" spans="1:8" x14ac:dyDescent="0.25">
      <c r="A11861" t="s">
        <v>22</v>
      </c>
      <c r="B11861" t="s">
        <v>1027</v>
      </c>
    </row>
    <row r="11862" spans="1:8" x14ac:dyDescent="0.25">
      <c r="A11862" t="s">
        <v>2306</v>
      </c>
      <c r="B11862" t="s">
        <v>1028</v>
      </c>
      <c r="C11862" t="s">
        <v>426</v>
      </c>
      <c r="D11862">
        <v>2</v>
      </c>
      <c r="E11862">
        <v>2700</v>
      </c>
      <c r="F11862">
        <v>0</v>
      </c>
      <c r="G11862">
        <v>1</v>
      </c>
      <c r="H11862" t="s">
        <v>19</v>
      </c>
    </row>
    <row r="11863" spans="1:8" x14ac:dyDescent="0.25">
      <c r="A11863" t="str">
        <f>"&lt;nominal&gt;" &amp;$D$11862&amp;"&lt;/nominal&gt;"</f>
        <v>&lt;nominal&gt;2&lt;/nominal&gt;</v>
      </c>
      <c r="B11863" t="s">
        <v>1028</v>
      </c>
    </row>
    <row r="11864" spans="1:8" x14ac:dyDescent="0.25">
      <c r="A11864" t="str">
        <f>"&lt;lifetime&gt;" &amp;$E$11862&amp;"&lt;/lifetime&gt;"</f>
        <v>&lt;lifetime&gt;2700&lt;/lifetime&gt;</v>
      </c>
      <c r="B11864" t="s">
        <v>1028</v>
      </c>
    </row>
    <row r="11865" spans="1:8" x14ac:dyDescent="0.25">
      <c r="A11865" t="str">
        <f>"&lt;restock&gt;" &amp;$F$11862&amp;"&lt;/restock&gt;"</f>
        <v>&lt;restock&gt;0&lt;/restock&gt;</v>
      </c>
      <c r="B11865" t="s">
        <v>1028</v>
      </c>
    </row>
    <row r="11866" spans="1:8" x14ac:dyDescent="0.25">
      <c r="A11866" t="str">
        <f>"&lt;min&gt;" &amp;$G$11862&amp;"&lt;/min&gt;"</f>
        <v>&lt;min&gt;1&lt;/min&gt;</v>
      </c>
      <c r="B11866" t="s">
        <v>1028</v>
      </c>
    </row>
    <row r="11867" spans="1:8" x14ac:dyDescent="0.25">
      <c r="A11867" t="s">
        <v>16</v>
      </c>
      <c r="B11867" t="s">
        <v>1028</v>
      </c>
    </row>
    <row r="11868" spans="1:8" x14ac:dyDescent="0.25">
      <c r="A11868" t="s">
        <v>17</v>
      </c>
      <c r="B11868" t="s">
        <v>1028</v>
      </c>
    </row>
    <row r="11869" spans="1:8" x14ac:dyDescent="0.25">
      <c r="A11869" t="s">
        <v>18</v>
      </c>
      <c r="B11869" t="s">
        <v>1028</v>
      </c>
    </row>
    <row r="11870" spans="1:8" x14ac:dyDescent="0.25">
      <c r="A11870" t="str">
        <f xml:space="preserve"> $H$11862</f>
        <v>&lt;flags count_in_cargo="0" count_in_hoarder="0" count_in_map="1" count_in_player="0" crafted="0" deloot="0"/&gt;</v>
      </c>
      <c r="B11870" t="s">
        <v>1028</v>
      </c>
    </row>
    <row r="11871" spans="1:8" x14ac:dyDescent="0.25">
      <c r="A11871" t="str">
        <f>"&lt;category name=" &amp;"""" &amp;$C$11862&amp;"""/&gt;"</f>
        <v>&lt;category name="tools"/&gt;</v>
      </c>
      <c r="B11871" t="s">
        <v>1028</v>
      </c>
    </row>
    <row r="11872" spans="1:8" x14ac:dyDescent="0.25">
      <c r="A11872" t="s">
        <v>25</v>
      </c>
      <c r="B11872" t="s">
        <v>1028</v>
      </c>
    </row>
    <row r="11873" spans="1:8" x14ac:dyDescent="0.25">
      <c r="A11873" t="s">
        <v>55</v>
      </c>
      <c r="B11873" t="s">
        <v>1028</v>
      </c>
    </row>
    <row r="11874" spans="1:8" x14ac:dyDescent="0.25">
      <c r="A11874" t="s">
        <v>22</v>
      </c>
      <c r="B11874" t="s">
        <v>1028</v>
      </c>
    </row>
    <row r="11875" spans="1:8" x14ac:dyDescent="0.25">
      <c r="A11875" t="s">
        <v>2307</v>
      </c>
      <c r="B11875" t="s">
        <v>1029</v>
      </c>
      <c r="C11875" t="s">
        <v>426</v>
      </c>
      <c r="D11875">
        <v>2</v>
      </c>
      <c r="E11875">
        <v>2700</v>
      </c>
      <c r="F11875">
        <v>0</v>
      </c>
      <c r="G11875">
        <v>1</v>
      </c>
      <c r="H11875" t="s">
        <v>19</v>
      </c>
    </row>
    <row r="11876" spans="1:8" x14ac:dyDescent="0.25">
      <c r="A11876" t="str">
        <f>"&lt;nominal&gt;" &amp;$D$11875&amp;"&lt;/nominal&gt;"</f>
        <v>&lt;nominal&gt;2&lt;/nominal&gt;</v>
      </c>
      <c r="B11876" t="s">
        <v>1029</v>
      </c>
    </row>
    <row r="11877" spans="1:8" x14ac:dyDescent="0.25">
      <c r="A11877" t="str">
        <f>"&lt;lifetime&gt;" &amp;$E$11875&amp;"&lt;/lifetime&gt;"</f>
        <v>&lt;lifetime&gt;2700&lt;/lifetime&gt;</v>
      </c>
      <c r="B11877" t="s">
        <v>1029</v>
      </c>
    </row>
    <row r="11878" spans="1:8" x14ac:dyDescent="0.25">
      <c r="A11878" t="str">
        <f>"&lt;restock&gt;" &amp;$F$11875&amp;"&lt;/restock&gt;"</f>
        <v>&lt;restock&gt;0&lt;/restock&gt;</v>
      </c>
      <c r="B11878" t="s">
        <v>1029</v>
      </c>
    </row>
    <row r="11879" spans="1:8" x14ac:dyDescent="0.25">
      <c r="A11879" t="str">
        <f>"&lt;min&gt;" &amp;$G$11875&amp;"&lt;/min&gt;"</f>
        <v>&lt;min&gt;1&lt;/min&gt;</v>
      </c>
      <c r="B11879" t="s">
        <v>1029</v>
      </c>
    </row>
    <row r="11880" spans="1:8" x14ac:dyDescent="0.25">
      <c r="A11880" t="s">
        <v>16</v>
      </c>
      <c r="B11880" t="s">
        <v>1029</v>
      </c>
    </row>
    <row r="11881" spans="1:8" x14ac:dyDescent="0.25">
      <c r="A11881" t="s">
        <v>17</v>
      </c>
      <c r="B11881" t="s">
        <v>1029</v>
      </c>
    </row>
    <row r="11882" spans="1:8" x14ac:dyDescent="0.25">
      <c r="A11882" t="s">
        <v>18</v>
      </c>
      <c r="B11882" t="s">
        <v>1029</v>
      </c>
    </row>
    <row r="11883" spans="1:8" x14ac:dyDescent="0.25">
      <c r="A11883" t="str">
        <f xml:space="preserve"> $H$11875</f>
        <v>&lt;flags count_in_cargo="0" count_in_hoarder="0" count_in_map="1" count_in_player="0" crafted="0" deloot="0"/&gt;</v>
      </c>
      <c r="B11883" t="s">
        <v>1029</v>
      </c>
    </row>
    <row r="11884" spans="1:8" x14ac:dyDescent="0.25">
      <c r="A11884" t="str">
        <f>"&lt;category name=" &amp;"""" &amp;$C$11875&amp;"""/&gt;"</f>
        <v>&lt;category name="tools"/&gt;</v>
      </c>
      <c r="B11884" t="s">
        <v>1029</v>
      </c>
    </row>
    <row r="11885" spans="1:8" x14ac:dyDescent="0.25">
      <c r="A11885" t="s">
        <v>25</v>
      </c>
      <c r="B11885" t="s">
        <v>1029</v>
      </c>
    </row>
    <row r="11886" spans="1:8" x14ac:dyDescent="0.25">
      <c r="A11886" t="s">
        <v>55</v>
      </c>
      <c r="B11886" t="s">
        <v>1029</v>
      </c>
    </row>
    <row r="11887" spans="1:8" x14ac:dyDescent="0.25">
      <c r="A11887" t="s">
        <v>22</v>
      </c>
      <c r="B11887" t="s">
        <v>1029</v>
      </c>
    </row>
    <row r="11888" spans="1:8" x14ac:dyDescent="0.25">
      <c r="A11888" t="s">
        <v>2308</v>
      </c>
      <c r="B11888" t="s">
        <v>3466</v>
      </c>
      <c r="C11888" t="s">
        <v>426</v>
      </c>
      <c r="D11888">
        <v>0</v>
      </c>
      <c r="E11888">
        <v>1800</v>
      </c>
      <c r="F11888">
        <v>0</v>
      </c>
      <c r="G11888">
        <v>0</v>
      </c>
      <c r="H11888" t="s">
        <v>62</v>
      </c>
    </row>
    <row r="11889" spans="1:8" x14ac:dyDescent="0.25">
      <c r="A11889" t="str">
        <f>"&lt;nominal&gt;" &amp;$D$11888&amp;"&lt;/nominal&gt;"</f>
        <v>&lt;nominal&gt;0&lt;/nominal&gt;</v>
      </c>
      <c r="B11889" t="s">
        <v>3466</v>
      </c>
    </row>
    <row r="11890" spans="1:8" x14ac:dyDescent="0.25">
      <c r="A11890" t="str">
        <f>"&lt;lifetime&gt;" &amp;$E$11888&amp;"&lt;/lifetime&gt;"</f>
        <v>&lt;lifetime&gt;1800&lt;/lifetime&gt;</v>
      </c>
      <c r="B11890" t="s">
        <v>3466</v>
      </c>
    </row>
    <row r="11891" spans="1:8" x14ac:dyDescent="0.25">
      <c r="A11891" t="str">
        <f>"&lt;restock&gt;" &amp;$F$11888&amp;"&lt;/restock&gt;"</f>
        <v>&lt;restock&gt;0&lt;/restock&gt;</v>
      </c>
      <c r="B11891" t="s">
        <v>3466</v>
      </c>
    </row>
    <row r="11892" spans="1:8" x14ac:dyDescent="0.25">
      <c r="A11892" t="str">
        <f>"&lt;min&gt;" &amp;$G$11888&amp;"&lt;/min&gt;"</f>
        <v>&lt;min&gt;0&lt;/min&gt;</v>
      </c>
      <c r="B11892" t="s">
        <v>3466</v>
      </c>
    </row>
    <row r="11893" spans="1:8" x14ac:dyDescent="0.25">
      <c r="A11893" t="s">
        <v>16</v>
      </c>
      <c r="B11893" t="s">
        <v>3466</v>
      </c>
    </row>
    <row r="11894" spans="1:8" x14ac:dyDescent="0.25">
      <c r="A11894" t="s">
        <v>17</v>
      </c>
      <c r="B11894" t="s">
        <v>3466</v>
      </c>
    </row>
    <row r="11895" spans="1:8" x14ac:dyDescent="0.25">
      <c r="A11895" t="s">
        <v>18</v>
      </c>
      <c r="B11895" t="s">
        <v>3466</v>
      </c>
    </row>
    <row r="11896" spans="1:8" x14ac:dyDescent="0.25">
      <c r="A11896" t="str">
        <f xml:space="preserve"> $H$11888</f>
        <v>&lt;flags count_in_cargo="0" count_in_hoarder="0" count_in_map="1" count_in_player="0" crafted="1" deloot="0"/&gt;</v>
      </c>
      <c r="B11896" t="s">
        <v>3466</v>
      </c>
    </row>
    <row r="11897" spans="1:8" x14ac:dyDescent="0.25">
      <c r="A11897" t="str">
        <f>"&lt;category name=" &amp;"""" &amp;$C$11888&amp;"""/&gt;"</f>
        <v>&lt;category name="tools"/&gt;</v>
      </c>
      <c r="B11897" t="s">
        <v>3466</v>
      </c>
    </row>
    <row r="11898" spans="1:8" x14ac:dyDescent="0.25">
      <c r="A11898" t="s">
        <v>22</v>
      </c>
      <c r="B11898" t="s">
        <v>3466</v>
      </c>
    </row>
    <row r="11899" spans="1:8" x14ac:dyDescent="0.25">
      <c r="A11899" t="s">
        <v>2309</v>
      </c>
      <c r="B11899" t="s">
        <v>1030</v>
      </c>
      <c r="C11899" t="s">
        <v>426</v>
      </c>
      <c r="D11899">
        <v>80</v>
      </c>
      <c r="E11899">
        <v>7200</v>
      </c>
      <c r="F11899">
        <v>0</v>
      </c>
      <c r="G11899">
        <v>60</v>
      </c>
      <c r="H11899" t="s">
        <v>19</v>
      </c>
    </row>
    <row r="11900" spans="1:8" x14ac:dyDescent="0.25">
      <c r="A11900" t="str">
        <f>"&lt;nominal&gt;" &amp;$D$11899&amp;"&lt;/nominal&gt;"</f>
        <v>&lt;nominal&gt;80&lt;/nominal&gt;</v>
      </c>
      <c r="B11900" t="s">
        <v>1030</v>
      </c>
    </row>
    <row r="11901" spans="1:8" x14ac:dyDescent="0.25">
      <c r="A11901" t="str">
        <f>"&lt;lifetime&gt;" &amp;$E$11899&amp;"&lt;/lifetime&gt;"</f>
        <v>&lt;lifetime&gt;7200&lt;/lifetime&gt;</v>
      </c>
      <c r="B11901" t="s">
        <v>1030</v>
      </c>
    </row>
    <row r="11902" spans="1:8" x14ac:dyDescent="0.25">
      <c r="A11902" t="str">
        <f>"&lt;restock&gt;" &amp;$F$11899&amp;"&lt;/restock&gt;"</f>
        <v>&lt;restock&gt;0&lt;/restock&gt;</v>
      </c>
      <c r="B11902" t="s">
        <v>1030</v>
      </c>
    </row>
    <row r="11903" spans="1:8" x14ac:dyDescent="0.25">
      <c r="A11903" t="str">
        <f>"&lt;min&gt;" &amp;$G$11899&amp;"&lt;/min&gt;"</f>
        <v>&lt;min&gt;60&lt;/min&gt;</v>
      </c>
      <c r="B11903" t="s">
        <v>1030</v>
      </c>
    </row>
    <row r="11904" spans="1:8" x14ac:dyDescent="0.25">
      <c r="A11904" t="s">
        <v>16</v>
      </c>
      <c r="B11904" t="s">
        <v>1030</v>
      </c>
    </row>
    <row r="11905" spans="1:8" x14ac:dyDescent="0.25">
      <c r="A11905" t="s">
        <v>17</v>
      </c>
      <c r="B11905" t="s">
        <v>1030</v>
      </c>
    </row>
    <row r="11906" spans="1:8" x14ac:dyDescent="0.25">
      <c r="A11906" t="s">
        <v>18</v>
      </c>
      <c r="B11906" t="s">
        <v>1030</v>
      </c>
    </row>
    <row r="11907" spans="1:8" x14ac:dyDescent="0.25">
      <c r="A11907" t="str">
        <f xml:space="preserve"> $H$11899</f>
        <v>&lt;flags count_in_cargo="0" count_in_hoarder="0" count_in_map="1" count_in_player="0" crafted="0" deloot="0"/&gt;</v>
      </c>
      <c r="B11907" t="s">
        <v>1030</v>
      </c>
    </row>
    <row r="11908" spans="1:8" x14ac:dyDescent="0.25">
      <c r="A11908" t="str">
        <f>"&lt;category name=" &amp;"""" &amp;$C$11899&amp;"""/&gt;"</f>
        <v>&lt;category name="tools"/&gt;</v>
      </c>
      <c r="B11908" t="s">
        <v>1030</v>
      </c>
    </row>
    <row r="11909" spans="1:8" x14ac:dyDescent="0.25">
      <c r="A11909" t="s">
        <v>20</v>
      </c>
      <c r="B11909" t="s">
        <v>1030</v>
      </c>
    </row>
    <row r="11910" spans="1:8" x14ac:dyDescent="0.25">
      <c r="A11910" t="s">
        <v>39</v>
      </c>
      <c r="B11910" t="s">
        <v>1030</v>
      </c>
    </row>
    <row r="11911" spans="1:8" x14ac:dyDescent="0.25">
      <c r="A11911" t="s">
        <v>40</v>
      </c>
      <c r="B11911" t="s">
        <v>1030</v>
      </c>
    </row>
    <row r="11912" spans="1:8" x14ac:dyDescent="0.25">
      <c r="A11912" t="s">
        <v>22</v>
      </c>
      <c r="B11912" t="s">
        <v>1030</v>
      </c>
    </row>
    <row r="11913" spans="1:8" x14ac:dyDescent="0.25">
      <c r="A11913" t="s">
        <v>2310</v>
      </c>
      <c r="B11913" t="s">
        <v>1031</v>
      </c>
      <c r="C11913" t="s">
        <v>426</v>
      </c>
      <c r="D11913">
        <v>0</v>
      </c>
      <c r="E11913">
        <v>10800</v>
      </c>
      <c r="F11913">
        <v>0</v>
      </c>
      <c r="G11913">
        <v>0</v>
      </c>
      <c r="H11913" t="s">
        <v>62</v>
      </c>
    </row>
    <row r="11914" spans="1:8" x14ac:dyDescent="0.25">
      <c r="A11914" t="str">
        <f>"&lt;nominal&gt;" &amp;$D$11913&amp;"&lt;/nominal&gt;"</f>
        <v>&lt;nominal&gt;0&lt;/nominal&gt;</v>
      </c>
      <c r="B11914" t="s">
        <v>1031</v>
      </c>
    </row>
    <row r="11915" spans="1:8" x14ac:dyDescent="0.25">
      <c r="A11915" t="str">
        <f>"&lt;lifetime&gt;" &amp;$E$11913&amp;"&lt;/lifetime&gt;"</f>
        <v>&lt;lifetime&gt;10800&lt;/lifetime&gt;</v>
      </c>
      <c r="B11915" t="s">
        <v>1031</v>
      </c>
    </row>
    <row r="11916" spans="1:8" x14ac:dyDescent="0.25">
      <c r="A11916" t="str">
        <f>"&lt;restock&gt;" &amp;$F$11913&amp;"&lt;/restock&gt;"</f>
        <v>&lt;restock&gt;0&lt;/restock&gt;</v>
      </c>
      <c r="B11916" t="s">
        <v>1031</v>
      </c>
    </row>
    <row r="11917" spans="1:8" x14ac:dyDescent="0.25">
      <c r="A11917" t="str">
        <f>"&lt;min&gt;" &amp;$G$11913&amp;"&lt;/min&gt;"</f>
        <v>&lt;min&gt;0&lt;/min&gt;</v>
      </c>
      <c r="B11917" t="s">
        <v>1031</v>
      </c>
    </row>
    <row r="11918" spans="1:8" x14ac:dyDescent="0.25">
      <c r="A11918" t="s">
        <v>16</v>
      </c>
      <c r="B11918" t="s">
        <v>1031</v>
      </c>
    </row>
    <row r="11919" spans="1:8" x14ac:dyDescent="0.25">
      <c r="A11919" t="s">
        <v>17</v>
      </c>
      <c r="B11919" t="s">
        <v>1031</v>
      </c>
    </row>
    <row r="11920" spans="1:8" x14ac:dyDescent="0.25">
      <c r="A11920" t="s">
        <v>18</v>
      </c>
      <c r="B11920" t="s">
        <v>1031</v>
      </c>
    </row>
    <row r="11921" spans="1:8" x14ac:dyDescent="0.25">
      <c r="A11921" t="str">
        <f xml:space="preserve"> $H$11913</f>
        <v>&lt;flags count_in_cargo="0" count_in_hoarder="0" count_in_map="1" count_in_player="0" crafted="1" deloot="0"/&gt;</v>
      </c>
      <c r="B11921" t="s">
        <v>1031</v>
      </c>
    </row>
    <row r="11922" spans="1:8" x14ac:dyDescent="0.25">
      <c r="A11922" t="str">
        <f>"&lt;category name=" &amp;"""" &amp;$C$11913&amp;"""/&gt;"</f>
        <v>&lt;category name="tools"/&gt;</v>
      </c>
      <c r="B11922" t="s">
        <v>1031</v>
      </c>
    </row>
    <row r="11923" spans="1:8" x14ac:dyDescent="0.25">
      <c r="A11923" t="s">
        <v>22</v>
      </c>
      <c r="B11923" t="s">
        <v>1031</v>
      </c>
    </row>
    <row r="11924" spans="1:8" x14ac:dyDescent="0.25">
      <c r="A11924" t="s">
        <v>2311</v>
      </c>
      <c r="B11924" t="s">
        <v>1032</v>
      </c>
      <c r="C11924" t="s">
        <v>399</v>
      </c>
      <c r="D11924">
        <v>0</v>
      </c>
      <c r="E11924">
        <v>7200</v>
      </c>
      <c r="F11924">
        <v>0</v>
      </c>
      <c r="G11924">
        <v>0</v>
      </c>
      <c r="H11924" t="s">
        <v>62</v>
      </c>
    </row>
    <row r="11925" spans="1:8" x14ac:dyDescent="0.25">
      <c r="A11925" t="str">
        <f>"&lt;nominal&gt;" &amp;$D$11924&amp;"&lt;/nominal&gt;"</f>
        <v>&lt;nominal&gt;0&lt;/nominal&gt;</v>
      </c>
      <c r="B11925" t="s">
        <v>1032</v>
      </c>
    </row>
    <row r="11926" spans="1:8" x14ac:dyDescent="0.25">
      <c r="A11926" t="str">
        <f>"&lt;lifetime&gt;" &amp;$E$11924&amp;"&lt;/lifetime&gt;"</f>
        <v>&lt;lifetime&gt;7200&lt;/lifetime&gt;</v>
      </c>
      <c r="B11926" t="s">
        <v>1032</v>
      </c>
    </row>
    <row r="11927" spans="1:8" x14ac:dyDescent="0.25">
      <c r="A11927" t="str">
        <f>"&lt;restock&gt;" &amp;$F$11924&amp;"&lt;/restock&gt;"</f>
        <v>&lt;restock&gt;0&lt;/restock&gt;</v>
      </c>
      <c r="B11927" t="s">
        <v>1032</v>
      </c>
    </row>
    <row r="11928" spans="1:8" x14ac:dyDescent="0.25">
      <c r="A11928" t="str">
        <f>"&lt;min&gt;" &amp;$G$11924&amp;"&lt;/min&gt;"</f>
        <v>&lt;min&gt;0&lt;/min&gt;</v>
      </c>
      <c r="B11928" t="s">
        <v>1032</v>
      </c>
    </row>
    <row r="11929" spans="1:8" x14ac:dyDescent="0.25">
      <c r="A11929" t="s">
        <v>16</v>
      </c>
      <c r="B11929" t="s">
        <v>1032</v>
      </c>
    </row>
    <row r="11930" spans="1:8" x14ac:dyDescent="0.25">
      <c r="A11930" t="s">
        <v>17</v>
      </c>
      <c r="B11930" t="s">
        <v>1032</v>
      </c>
    </row>
    <row r="11931" spans="1:8" x14ac:dyDescent="0.25">
      <c r="A11931" t="s">
        <v>18</v>
      </c>
      <c r="B11931" t="s">
        <v>1032</v>
      </c>
    </row>
    <row r="11932" spans="1:8" x14ac:dyDescent="0.25">
      <c r="A11932" t="str">
        <f xml:space="preserve"> $H$11924</f>
        <v>&lt;flags count_in_cargo="0" count_in_hoarder="0" count_in_map="1" count_in_player="0" crafted="1" deloot="0"/&gt;</v>
      </c>
      <c r="B11932" t="s">
        <v>1032</v>
      </c>
    </row>
    <row r="11933" spans="1:8" x14ac:dyDescent="0.25">
      <c r="A11933" t="str">
        <f>"&lt;category name=" &amp;"""" &amp;$C$11924&amp;"""/&gt;"</f>
        <v>&lt;category name="food"/&gt;</v>
      </c>
      <c r="B11933" t="s">
        <v>1032</v>
      </c>
    </row>
    <row r="11934" spans="1:8" x14ac:dyDescent="0.25">
      <c r="A11934" t="s">
        <v>22</v>
      </c>
      <c r="B11934" t="s">
        <v>1032</v>
      </c>
    </row>
    <row r="11935" spans="1:8" x14ac:dyDescent="0.25">
      <c r="A11935" t="s">
        <v>2312</v>
      </c>
      <c r="B11935" t="s">
        <v>1033</v>
      </c>
      <c r="C11935" t="s">
        <v>403</v>
      </c>
      <c r="D11935">
        <v>30</v>
      </c>
      <c r="E11935">
        <v>5600</v>
      </c>
      <c r="F11935">
        <v>0</v>
      </c>
      <c r="G11935">
        <v>20</v>
      </c>
      <c r="H11935" t="s">
        <v>19</v>
      </c>
    </row>
    <row r="11936" spans="1:8" x14ac:dyDescent="0.25">
      <c r="A11936" t="str">
        <f>"&lt;nominal&gt;" &amp;$D$11935&amp;"&lt;/nominal&gt;"</f>
        <v>&lt;nominal&gt;30&lt;/nominal&gt;</v>
      </c>
      <c r="B11936" t="s">
        <v>1033</v>
      </c>
    </row>
    <row r="11937" spans="1:8" x14ac:dyDescent="0.25">
      <c r="A11937" t="str">
        <f>"&lt;lifetime&gt;" &amp;$E$11935&amp;"&lt;/lifetime&gt;"</f>
        <v>&lt;lifetime&gt;5600&lt;/lifetime&gt;</v>
      </c>
      <c r="B11937" t="s">
        <v>1033</v>
      </c>
    </row>
    <row r="11938" spans="1:8" x14ac:dyDescent="0.25">
      <c r="A11938" t="str">
        <f>"&lt;restock&gt;" &amp;$F$11935&amp;"&lt;/restock&gt;"</f>
        <v>&lt;restock&gt;0&lt;/restock&gt;</v>
      </c>
      <c r="B11938" t="s">
        <v>1033</v>
      </c>
    </row>
    <row r="11939" spans="1:8" x14ac:dyDescent="0.25">
      <c r="A11939" t="str">
        <f>"&lt;min&gt;" &amp;$G$11935&amp;"&lt;/min&gt;"</f>
        <v>&lt;min&gt;20&lt;/min&gt;</v>
      </c>
      <c r="B11939" t="s">
        <v>1033</v>
      </c>
    </row>
    <row r="11940" spans="1:8" x14ac:dyDescent="0.25">
      <c r="A11940" t="s">
        <v>16</v>
      </c>
      <c r="B11940" t="s">
        <v>1033</v>
      </c>
    </row>
    <row r="11941" spans="1:8" x14ac:dyDescent="0.25">
      <c r="A11941" t="s">
        <v>17</v>
      </c>
      <c r="B11941" t="s">
        <v>1033</v>
      </c>
    </row>
    <row r="11942" spans="1:8" x14ac:dyDescent="0.25">
      <c r="A11942" t="s">
        <v>18</v>
      </c>
      <c r="B11942" t="s">
        <v>1033</v>
      </c>
    </row>
    <row r="11943" spans="1:8" x14ac:dyDescent="0.25">
      <c r="A11943" t="str">
        <f xml:space="preserve"> $H$11935</f>
        <v>&lt;flags count_in_cargo="0" count_in_hoarder="0" count_in_map="1" count_in_player="0" crafted="0" deloot="0"/&gt;</v>
      </c>
      <c r="B11943" t="s">
        <v>1033</v>
      </c>
    </row>
    <row r="11944" spans="1:8" x14ac:dyDescent="0.25">
      <c r="A11944" t="str">
        <f>"&lt;category name=" &amp;"""" &amp;$C$11935&amp;"""/&gt;"</f>
        <v>&lt;category name="clothes"/&gt;</v>
      </c>
      <c r="B11944" t="s">
        <v>1033</v>
      </c>
    </row>
    <row r="11945" spans="1:8" x14ac:dyDescent="0.25">
      <c r="A11945" t="s">
        <v>39</v>
      </c>
      <c r="B11945" t="s">
        <v>1033</v>
      </c>
    </row>
    <row r="11946" spans="1:8" x14ac:dyDescent="0.25">
      <c r="A11946" t="s">
        <v>40</v>
      </c>
      <c r="B11946" t="s">
        <v>1033</v>
      </c>
    </row>
    <row r="11947" spans="1:8" x14ac:dyDescent="0.25">
      <c r="A11947" t="s">
        <v>22</v>
      </c>
      <c r="B11947" t="s">
        <v>1033</v>
      </c>
    </row>
    <row r="11948" spans="1:8" x14ac:dyDescent="0.25">
      <c r="A11948" t="s">
        <v>2313</v>
      </c>
      <c r="B11948" t="s">
        <v>1034</v>
      </c>
      <c r="C11948" t="s">
        <v>403</v>
      </c>
      <c r="D11948">
        <v>30</v>
      </c>
      <c r="E11948">
        <v>5600</v>
      </c>
      <c r="F11948">
        <v>0</v>
      </c>
      <c r="G11948">
        <v>20</v>
      </c>
      <c r="H11948" t="s">
        <v>19</v>
      </c>
    </row>
    <row r="11949" spans="1:8" x14ac:dyDescent="0.25">
      <c r="A11949" t="str">
        <f>"&lt;nominal&gt;" &amp;$D$11948&amp;"&lt;/nominal&gt;"</f>
        <v>&lt;nominal&gt;30&lt;/nominal&gt;</v>
      </c>
      <c r="B11949" t="s">
        <v>1034</v>
      </c>
    </row>
    <row r="11950" spans="1:8" x14ac:dyDescent="0.25">
      <c r="A11950" t="str">
        <f>"&lt;lifetime&gt;" &amp;$E$11948&amp;"&lt;/lifetime&gt;"</f>
        <v>&lt;lifetime&gt;5600&lt;/lifetime&gt;</v>
      </c>
      <c r="B11950" t="s">
        <v>1034</v>
      </c>
    </row>
    <row r="11951" spans="1:8" x14ac:dyDescent="0.25">
      <c r="A11951" t="str">
        <f>"&lt;restock&gt;" &amp;$F$11948&amp;"&lt;/restock&gt;"</f>
        <v>&lt;restock&gt;0&lt;/restock&gt;</v>
      </c>
      <c r="B11951" t="s">
        <v>1034</v>
      </c>
    </row>
    <row r="11952" spans="1:8" x14ac:dyDescent="0.25">
      <c r="A11952" t="str">
        <f>"&lt;min&gt;" &amp;$G$11948&amp;"&lt;/min&gt;"</f>
        <v>&lt;min&gt;20&lt;/min&gt;</v>
      </c>
      <c r="B11952" t="s">
        <v>1034</v>
      </c>
    </row>
    <row r="11953" spans="1:8" x14ac:dyDescent="0.25">
      <c r="A11953" t="s">
        <v>16</v>
      </c>
      <c r="B11953" t="s">
        <v>1034</v>
      </c>
    </row>
    <row r="11954" spans="1:8" x14ac:dyDescent="0.25">
      <c r="A11954" t="s">
        <v>17</v>
      </c>
      <c r="B11954" t="s">
        <v>1034</v>
      </c>
    </row>
    <row r="11955" spans="1:8" x14ac:dyDescent="0.25">
      <c r="A11955" t="s">
        <v>18</v>
      </c>
      <c r="B11955" t="s">
        <v>1034</v>
      </c>
    </row>
    <row r="11956" spans="1:8" x14ac:dyDescent="0.25">
      <c r="A11956" t="str">
        <f xml:space="preserve"> $H$11948</f>
        <v>&lt;flags count_in_cargo="0" count_in_hoarder="0" count_in_map="1" count_in_player="0" crafted="0" deloot="0"/&gt;</v>
      </c>
      <c r="B11956" t="s">
        <v>1034</v>
      </c>
    </row>
    <row r="11957" spans="1:8" x14ac:dyDescent="0.25">
      <c r="A11957" t="str">
        <f>"&lt;category name=" &amp;"""" &amp;$C$11948&amp;"""/&gt;"</f>
        <v>&lt;category name="clothes"/&gt;</v>
      </c>
      <c r="B11957" t="s">
        <v>1034</v>
      </c>
    </row>
    <row r="11958" spans="1:8" x14ac:dyDescent="0.25">
      <c r="A11958" t="s">
        <v>39</v>
      </c>
      <c r="B11958" t="s">
        <v>1034</v>
      </c>
    </row>
    <row r="11959" spans="1:8" x14ac:dyDescent="0.25">
      <c r="A11959" t="s">
        <v>40</v>
      </c>
      <c r="B11959" t="s">
        <v>1034</v>
      </c>
    </row>
    <row r="11960" spans="1:8" x14ac:dyDescent="0.25">
      <c r="A11960" t="s">
        <v>22</v>
      </c>
      <c r="B11960" t="s">
        <v>1034</v>
      </c>
    </row>
    <row r="11961" spans="1:8" x14ac:dyDescent="0.25">
      <c r="A11961" t="s">
        <v>2314</v>
      </c>
      <c r="B11961" t="s">
        <v>1035</v>
      </c>
      <c r="C11961" t="s">
        <v>403</v>
      </c>
      <c r="D11961">
        <v>30</v>
      </c>
      <c r="E11961">
        <v>5600</v>
      </c>
      <c r="F11961">
        <v>0</v>
      </c>
      <c r="G11961">
        <v>20</v>
      </c>
      <c r="H11961" t="s">
        <v>19</v>
      </c>
    </row>
    <row r="11962" spans="1:8" x14ac:dyDescent="0.25">
      <c r="A11962" t="str">
        <f>"&lt;nominal&gt;" &amp;$D$11961&amp;"&lt;/nominal&gt;"</f>
        <v>&lt;nominal&gt;30&lt;/nominal&gt;</v>
      </c>
      <c r="B11962" t="s">
        <v>1035</v>
      </c>
    </row>
    <row r="11963" spans="1:8" x14ac:dyDescent="0.25">
      <c r="A11963" t="str">
        <f>"&lt;lifetime&gt;" &amp;$E$11961&amp;"&lt;/lifetime&gt;"</f>
        <v>&lt;lifetime&gt;5600&lt;/lifetime&gt;</v>
      </c>
      <c r="B11963" t="s">
        <v>1035</v>
      </c>
    </row>
    <row r="11964" spans="1:8" x14ac:dyDescent="0.25">
      <c r="A11964" t="str">
        <f>"&lt;restock&gt;" &amp;$F$11961&amp;"&lt;/restock&gt;"</f>
        <v>&lt;restock&gt;0&lt;/restock&gt;</v>
      </c>
      <c r="B11964" t="s">
        <v>1035</v>
      </c>
    </row>
    <row r="11965" spans="1:8" x14ac:dyDescent="0.25">
      <c r="A11965" t="str">
        <f>"&lt;min&gt;" &amp;$G$11961&amp;"&lt;/min&gt;"</f>
        <v>&lt;min&gt;20&lt;/min&gt;</v>
      </c>
      <c r="B11965" t="s">
        <v>1035</v>
      </c>
    </row>
    <row r="11966" spans="1:8" x14ac:dyDescent="0.25">
      <c r="A11966" t="s">
        <v>16</v>
      </c>
      <c r="B11966" t="s">
        <v>1035</v>
      </c>
    </row>
    <row r="11967" spans="1:8" x14ac:dyDescent="0.25">
      <c r="A11967" t="s">
        <v>17</v>
      </c>
      <c r="B11967" t="s">
        <v>1035</v>
      </c>
    </row>
    <row r="11968" spans="1:8" x14ac:dyDescent="0.25">
      <c r="A11968" t="s">
        <v>18</v>
      </c>
      <c r="B11968" t="s">
        <v>1035</v>
      </c>
    </row>
    <row r="11969" spans="1:8" x14ac:dyDescent="0.25">
      <c r="A11969" t="str">
        <f xml:space="preserve"> $H$11961</f>
        <v>&lt;flags count_in_cargo="0" count_in_hoarder="0" count_in_map="1" count_in_player="0" crafted="0" deloot="0"/&gt;</v>
      </c>
      <c r="B11969" t="s">
        <v>1035</v>
      </c>
    </row>
    <row r="11970" spans="1:8" x14ac:dyDescent="0.25">
      <c r="A11970" t="str">
        <f>"&lt;category name=" &amp;"""" &amp;$C$11961&amp;"""/&gt;"</f>
        <v>&lt;category name="clothes"/&gt;</v>
      </c>
      <c r="B11970" t="s">
        <v>1035</v>
      </c>
    </row>
    <row r="11971" spans="1:8" x14ac:dyDescent="0.25">
      <c r="A11971" t="s">
        <v>39</v>
      </c>
      <c r="B11971" t="s">
        <v>1035</v>
      </c>
    </row>
    <row r="11972" spans="1:8" x14ac:dyDescent="0.25">
      <c r="A11972" t="s">
        <v>40</v>
      </c>
      <c r="B11972" t="s">
        <v>1035</v>
      </c>
    </row>
    <row r="11973" spans="1:8" x14ac:dyDescent="0.25">
      <c r="A11973" t="s">
        <v>22</v>
      </c>
      <c r="B11973" t="s">
        <v>1035</v>
      </c>
    </row>
    <row r="11974" spans="1:8" x14ac:dyDescent="0.25">
      <c r="A11974" t="s">
        <v>2315</v>
      </c>
      <c r="B11974" t="s">
        <v>1036</v>
      </c>
      <c r="C11974" t="s">
        <v>403</v>
      </c>
      <c r="D11974">
        <v>30</v>
      </c>
      <c r="E11974">
        <v>5600</v>
      </c>
      <c r="F11974">
        <v>0</v>
      </c>
      <c r="G11974">
        <v>20</v>
      </c>
      <c r="H11974" t="s">
        <v>19</v>
      </c>
    </row>
    <row r="11975" spans="1:8" x14ac:dyDescent="0.25">
      <c r="A11975" t="str">
        <f>"&lt;nominal&gt;" &amp;$D$11974&amp;"&lt;/nominal&gt;"</f>
        <v>&lt;nominal&gt;30&lt;/nominal&gt;</v>
      </c>
      <c r="B11975" t="s">
        <v>1036</v>
      </c>
    </row>
    <row r="11976" spans="1:8" x14ac:dyDescent="0.25">
      <c r="A11976" t="str">
        <f>"&lt;lifetime&gt;" &amp;$E$11974&amp;"&lt;/lifetime&gt;"</f>
        <v>&lt;lifetime&gt;5600&lt;/lifetime&gt;</v>
      </c>
      <c r="B11976" t="s">
        <v>1036</v>
      </c>
    </row>
    <row r="11977" spans="1:8" x14ac:dyDescent="0.25">
      <c r="A11977" t="str">
        <f>"&lt;restock&gt;" &amp;$F$11974&amp;"&lt;/restock&gt;"</f>
        <v>&lt;restock&gt;0&lt;/restock&gt;</v>
      </c>
      <c r="B11977" t="s">
        <v>1036</v>
      </c>
    </row>
    <row r="11978" spans="1:8" x14ac:dyDescent="0.25">
      <c r="A11978" t="str">
        <f>"&lt;min&gt;" &amp;$G$11974&amp;"&lt;/min&gt;"</f>
        <v>&lt;min&gt;20&lt;/min&gt;</v>
      </c>
      <c r="B11978" t="s">
        <v>1036</v>
      </c>
    </row>
    <row r="11979" spans="1:8" x14ac:dyDescent="0.25">
      <c r="A11979" t="s">
        <v>16</v>
      </c>
      <c r="B11979" t="s">
        <v>1036</v>
      </c>
    </row>
    <row r="11980" spans="1:8" x14ac:dyDescent="0.25">
      <c r="A11980" t="s">
        <v>17</v>
      </c>
      <c r="B11980" t="s">
        <v>1036</v>
      </c>
    </row>
    <row r="11981" spans="1:8" x14ac:dyDescent="0.25">
      <c r="A11981" t="s">
        <v>18</v>
      </c>
      <c r="B11981" t="s">
        <v>1036</v>
      </c>
    </row>
    <row r="11982" spans="1:8" x14ac:dyDescent="0.25">
      <c r="A11982" t="str">
        <f xml:space="preserve"> $H$11974</f>
        <v>&lt;flags count_in_cargo="0" count_in_hoarder="0" count_in_map="1" count_in_player="0" crafted="0" deloot="0"/&gt;</v>
      </c>
      <c r="B11982" t="s">
        <v>1036</v>
      </c>
    </row>
    <row r="11983" spans="1:8" x14ac:dyDescent="0.25">
      <c r="A11983" t="str">
        <f>"&lt;category name=" &amp;"""" &amp;$C$11974&amp;"""/&gt;"</f>
        <v>&lt;category name="clothes"/&gt;</v>
      </c>
      <c r="B11983" t="s">
        <v>1036</v>
      </c>
    </row>
    <row r="11984" spans="1:8" x14ac:dyDescent="0.25">
      <c r="A11984" t="s">
        <v>39</v>
      </c>
      <c r="B11984" t="s">
        <v>1036</v>
      </c>
    </row>
    <row r="11985" spans="1:8" x14ac:dyDescent="0.25">
      <c r="A11985" t="s">
        <v>40</v>
      </c>
      <c r="B11985" t="s">
        <v>1036</v>
      </c>
    </row>
    <row r="11986" spans="1:8" x14ac:dyDescent="0.25">
      <c r="A11986" t="s">
        <v>22</v>
      </c>
      <c r="B11986" t="s">
        <v>1036</v>
      </c>
    </row>
    <row r="11987" spans="1:8" x14ac:dyDescent="0.25">
      <c r="A11987" t="s">
        <v>2316</v>
      </c>
      <c r="B11987" t="s">
        <v>1037</v>
      </c>
      <c r="C11987" t="s">
        <v>403</v>
      </c>
      <c r="D11987">
        <v>30</v>
      </c>
      <c r="E11987">
        <v>5600</v>
      </c>
      <c r="F11987">
        <v>0</v>
      </c>
      <c r="G11987">
        <v>20</v>
      </c>
      <c r="H11987" t="s">
        <v>19</v>
      </c>
    </row>
    <row r="11988" spans="1:8" x14ac:dyDescent="0.25">
      <c r="A11988" t="str">
        <f>"&lt;nominal&gt;" &amp;$D$11987&amp;"&lt;/nominal&gt;"</f>
        <v>&lt;nominal&gt;30&lt;/nominal&gt;</v>
      </c>
      <c r="B11988" t="s">
        <v>1037</v>
      </c>
    </row>
    <row r="11989" spans="1:8" x14ac:dyDescent="0.25">
      <c r="A11989" t="str">
        <f>"&lt;lifetime&gt;" &amp;$E$11987&amp;"&lt;/lifetime&gt;"</f>
        <v>&lt;lifetime&gt;5600&lt;/lifetime&gt;</v>
      </c>
      <c r="B11989" t="s">
        <v>1037</v>
      </c>
    </row>
    <row r="11990" spans="1:8" x14ac:dyDescent="0.25">
      <c r="A11990" t="str">
        <f>"&lt;restock&gt;" &amp;$F$11987&amp;"&lt;/restock&gt;"</f>
        <v>&lt;restock&gt;0&lt;/restock&gt;</v>
      </c>
      <c r="B11990" t="s">
        <v>1037</v>
      </c>
    </row>
    <row r="11991" spans="1:8" x14ac:dyDescent="0.25">
      <c r="A11991" t="str">
        <f>"&lt;min&gt;" &amp;$G$11987&amp;"&lt;/min&gt;"</f>
        <v>&lt;min&gt;20&lt;/min&gt;</v>
      </c>
      <c r="B11991" t="s">
        <v>1037</v>
      </c>
    </row>
    <row r="11992" spans="1:8" x14ac:dyDescent="0.25">
      <c r="A11992" t="s">
        <v>16</v>
      </c>
      <c r="B11992" t="s">
        <v>1037</v>
      </c>
    </row>
    <row r="11993" spans="1:8" x14ac:dyDescent="0.25">
      <c r="A11993" t="s">
        <v>17</v>
      </c>
      <c r="B11993" t="s">
        <v>1037</v>
      </c>
    </row>
    <row r="11994" spans="1:8" x14ac:dyDescent="0.25">
      <c r="A11994" t="s">
        <v>18</v>
      </c>
      <c r="B11994" t="s">
        <v>1037</v>
      </c>
    </row>
    <row r="11995" spans="1:8" x14ac:dyDescent="0.25">
      <c r="A11995" t="str">
        <f xml:space="preserve"> $H$11987</f>
        <v>&lt;flags count_in_cargo="0" count_in_hoarder="0" count_in_map="1" count_in_player="0" crafted="0" deloot="0"/&gt;</v>
      </c>
      <c r="B11995" t="s">
        <v>1037</v>
      </c>
    </row>
    <row r="11996" spans="1:8" x14ac:dyDescent="0.25">
      <c r="A11996" t="str">
        <f>"&lt;category name=" &amp;"""" &amp;$C$11987&amp;"""/&gt;"</f>
        <v>&lt;category name="clothes"/&gt;</v>
      </c>
      <c r="B11996" t="s">
        <v>1037</v>
      </c>
    </row>
    <row r="11997" spans="1:8" x14ac:dyDescent="0.25">
      <c r="A11997" t="s">
        <v>39</v>
      </c>
      <c r="B11997" t="s">
        <v>1037</v>
      </c>
    </row>
    <row r="11998" spans="1:8" x14ac:dyDescent="0.25">
      <c r="A11998" t="s">
        <v>40</v>
      </c>
      <c r="B11998" t="s">
        <v>1037</v>
      </c>
    </row>
    <row r="11999" spans="1:8" x14ac:dyDescent="0.25">
      <c r="A11999" t="s">
        <v>22</v>
      </c>
      <c r="B11999" t="s">
        <v>1037</v>
      </c>
    </row>
    <row r="12000" spans="1:8" x14ac:dyDescent="0.25">
      <c r="A12000" t="s">
        <v>2317</v>
      </c>
      <c r="B12000" t="s">
        <v>1038</v>
      </c>
      <c r="C12000" t="s">
        <v>403</v>
      </c>
      <c r="D12000">
        <v>30</v>
      </c>
      <c r="E12000">
        <v>5600</v>
      </c>
      <c r="F12000">
        <v>0</v>
      </c>
      <c r="G12000">
        <v>20</v>
      </c>
      <c r="H12000" t="s">
        <v>19</v>
      </c>
    </row>
    <row r="12001" spans="1:8" x14ac:dyDescent="0.25">
      <c r="A12001" t="str">
        <f>"&lt;nominal&gt;" &amp;$D$12000&amp;"&lt;/nominal&gt;"</f>
        <v>&lt;nominal&gt;30&lt;/nominal&gt;</v>
      </c>
      <c r="B12001" t="s">
        <v>1038</v>
      </c>
    </row>
    <row r="12002" spans="1:8" x14ac:dyDescent="0.25">
      <c r="A12002" t="str">
        <f>"&lt;lifetime&gt;" &amp;$E$12000&amp;"&lt;/lifetime&gt;"</f>
        <v>&lt;lifetime&gt;5600&lt;/lifetime&gt;</v>
      </c>
      <c r="B12002" t="s">
        <v>1038</v>
      </c>
    </row>
    <row r="12003" spans="1:8" x14ac:dyDescent="0.25">
      <c r="A12003" t="str">
        <f>"&lt;restock&gt;" &amp;$F$12000&amp;"&lt;/restock&gt;"</f>
        <v>&lt;restock&gt;0&lt;/restock&gt;</v>
      </c>
      <c r="B12003" t="s">
        <v>1038</v>
      </c>
    </row>
    <row r="12004" spans="1:8" x14ac:dyDescent="0.25">
      <c r="A12004" t="str">
        <f>"&lt;min&gt;" &amp;$G$12000&amp;"&lt;/min&gt;"</f>
        <v>&lt;min&gt;20&lt;/min&gt;</v>
      </c>
      <c r="B12004" t="s">
        <v>1038</v>
      </c>
    </row>
    <row r="12005" spans="1:8" x14ac:dyDescent="0.25">
      <c r="A12005" t="s">
        <v>16</v>
      </c>
      <c r="B12005" t="s">
        <v>1038</v>
      </c>
    </row>
    <row r="12006" spans="1:8" x14ac:dyDescent="0.25">
      <c r="A12006" t="s">
        <v>17</v>
      </c>
      <c r="B12006" t="s">
        <v>1038</v>
      </c>
    </row>
    <row r="12007" spans="1:8" x14ac:dyDescent="0.25">
      <c r="A12007" t="s">
        <v>18</v>
      </c>
      <c r="B12007" t="s">
        <v>1038</v>
      </c>
    </row>
    <row r="12008" spans="1:8" x14ac:dyDescent="0.25">
      <c r="A12008" t="str">
        <f xml:space="preserve"> $H$12000</f>
        <v>&lt;flags count_in_cargo="0" count_in_hoarder="0" count_in_map="1" count_in_player="0" crafted="0" deloot="0"/&gt;</v>
      </c>
      <c r="B12008" t="s">
        <v>1038</v>
      </c>
    </row>
    <row r="12009" spans="1:8" x14ac:dyDescent="0.25">
      <c r="A12009" t="str">
        <f>"&lt;category name=" &amp;"""" &amp;$C$12000&amp;"""/&gt;"</f>
        <v>&lt;category name="clothes"/&gt;</v>
      </c>
      <c r="B12009" t="s">
        <v>1038</v>
      </c>
    </row>
    <row r="12010" spans="1:8" x14ac:dyDescent="0.25">
      <c r="A12010" t="s">
        <v>39</v>
      </c>
      <c r="B12010" t="s">
        <v>1038</v>
      </c>
    </row>
    <row r="12011" spans="1:8" x14ac:dyDescent="0.25">
      <c r="A12011" t="s">
        <v>40</v>
      </c>
      <c r="B12011" t="s">
        <v>1038</v>
      </c>
    </row>
    <row r="12012" spans="1:8" x14ac:dyDescent="0.25">
      <c r="A12012" t="s">
        <v>22</v>
      </c>
      <c r="B12012" t="s">
        <v>1038</v>
      </c>
    </row>
    <row r="12013" spans="1:8" x14ac:dyDescent="0.25">
      <c r="A12013" t="s">
        <v>2318</v>
      </c>
      <c r="B12013" t="s">
        <v>1039</v>
      </c>
      <c r="C12013" t="s">
        <v>403</v>
      </c>
      <c r="D12013">
        <v>20</v>
      </c>
      <c r="E12013">
        <v>1800</v>
      </c>
      <c r="F12013">
        <v>0</v>
      </c>
      <c r="G12013">
        <v>10</v>
      </c>
      <c r="H12013" t="s">
        <v>19</v>
      </c>
    </row>
    <row r="12014" spans="1:8" x14ac:dyDescent="0.25">
      <c r="A12014" t="str">
        <f>"&lt;nominal&gt;" &amp;$D$12013&amp;"&lt;/nominal&gt;"</f>
        <v>&lt;nominal&gt;20&lt;/nominal&gt;</v>
      </c>
      <c r="B12014" t="s">
        <v>1039</v>
      </c>
    </row>
    <row r="12015" spans="1:8" x14ac:dyDescent="0.25">
      <c r="A12015" t="str">
        <f>"&lt;lifetime&gt;" &amp;$E$12013&amp;"&lt;/lifetime&gt;"</f>
        <v>&lt;lifetime&gt;1800&lt;/lifetime&gt;</v>
      </c>
      <c r="B12015" t="s">
        <v>1039</v>
      </c>
    </row>
    <row r="12016" spans="1:8" x14ac:dyDescent="0.25">
      <c r="A12016" t="str">
        <f>"&lt;restock&gt;" &amp;$F$12013&amp;"&lt;/restock&gt;"</f>
        <v>&lt;restock&gt;0&lt;/restock&gt;</v>
      </c>
      <c r="B12016" t="s">
        <v>1039</v>
      </c>
    </row>
    <row r="12017" spans="1:8" x14ac:dyDescent="0.25">
      <c r="A12017" t="str">
        <f>"&lt;min&gt;" &amp;$G$12013&amp;"&lt;/min&gt;"</f>
        <v>&lt;min&gt;10&lt;/min&gt;</v>
      </c>
      <c r="B12017" t="s">
        <v>1039</v>
      </c>
    </row>
    <row r="12018" spans="1:8" x14ac:dyDescent="0.25">
      <c r="A12018" t="s">
        <v>16</v>
      </c>
      <c r="B12018" t="s">
        <v>1039</v>
      </c>
    </row>
    <row r="12019" spans="1:8" x14ac:dyDescent="0.25">
      <c r="A12019" t="s">
        <v>17</v>
      </c>
      <c r="B12019" t="s">
        <v>1039</v>
      </c>
    </row>
    <row r="12020" spans="1:8" x14ac:dyDescent="0.25">
      <c r="A12020" t="s">
        <v>18</v>
      </c>
      <c r="B12020" t="s">
        <v>1039</v>
      </c>
    </row>
    <row r="12021" spans="1:8" x14ac:dyDescent="0.25">
      <c r="A12021" t="str">
        <f xml:space="preserve"> $H$12013</f>
        <v>&lt;flags count_in_cargo="0" count_in_hoarder="0" count_in_map="1" count_in_player="0" crafted="0" deloot="0"/&gt;</v>
      </c>
      <c r="B12021" t="s">
        <v>1039</v>
      </c>
    </row>
    <row r="12022" spans="1:8" x14ac:dyDescent="0.25">
      <c r="A12022" t="str">
        <f>"&lt;category name=" &amp;"""" &amp;$C$12013&amp;"""/&gt;"</f>
        <v>&lt;category name="clothes"/&gt;</v>
      </c>
      <c r="B12022" t="s">
        <v>1039</v>
      </c>
    </row>
    <row r="12023" spans="1:8" x14ac:dyDescent="0.25">
      <c r="A12023" t="s">
        <v>39</v>
      </c>
      <c r="B12023" t="s">
        <v>1039</v>
      </c>
    </row>
    <row r="12024" spans="1:8" x14ac:dyDescent="0.25">
      <c r="A12024" t="s">
        <v>40</v>
      </c>
      <c r="B12024" t="s">
        <v>1039</v>
      </c>
    </row>
    <row r="12025" spans="1:8" x14ac:dyDescent="0.25">
      <c r="A12025" t="s">
        <v>22</v>
      </c>
      <c r="B12025" t="s">
        <v>1039</v>
      </c>
    </row>
    <row r="12026" spans="1:8" x14ac:dyDescent="0.25">
      <c r="A12026" t="s">
        <v>2319</v>
      </c>
      <c r="B12026" t="s">
        <v>1040</v>
      </c>
      <c r="C12026" t="s">
        <v>403</v>
      </c>
      <c r="D12026">
        <v>20</v>
      </c>
      <c r="E12026">
        <v>1800</v>
      </c>
      <c r="F12026">
        <v>0</v>
      </c>
      <c r="G12026">
        <v>10</v>
      </c>
      <c r="H12026" t="s">
        <v>19</v>
      </c>
    </row>
    <row r="12027" spans="1:8" x14ac:dyDescent="0.25">
      <c r="A12027" t="str">
        <f>"&lt;nominal&gt;" &amp;$D$12026&amp;"&lt;/nominal&gt;"</f>
        <v>&lt;nominal&gt;20&lt;/nominal&gt;</v>
      </c>
      <c r="B12027" t="s">
        <v>1040</v>
      </c>
    </row>
    <row r="12028" spans="1:8" x14ac:dyDescent="0.25">
      <c r="A12028" t="str">
        <f>"&lt;lifetime&gt;" &amp;$E$12026&amp;"&lt;/lifetime&gt;"</f>
        <v>&lt;lifetime&gt;1800&lt;/lifetime&gt;</v>
      </c>
      <c r="B12028" t="s">
        <v>1040</v>
      </c>
    </row>
    <row r="12029" spans="1:8" x14ac:dyDescent="0.25">
      <c r="A12029" t="str">
        <f>"&lt;restock&gt;" &amp;$F$12026&amp;"&lt;/restock&gt;"</f>
        <v>&lt;restock&gt;0&lt;/restock&gt;</v>
      </c>
      <c r="B12029" t="s">
        <v>1040</v>
      </c>
    </row>
    <row r="12030" spans="1:8" x14ac:dyDescent="0.25">
      <c r="A12030" t="str">
        <f>"&lt;min&gt;" &amp;$G$12026&amp;"&lt;/min&gt;"</f>
        <v>&lt;min&gt;10&lt;/min&gt;</v>
      </c>
      <c r="B12030" t="s">
        <v>1040</v>
      </c>
    </row>
    <row r="12031" spans="1:8" x14ac:dyDescent="0.25">
      <c r="A12031" t="s">
        <v>16</v>
      </c>
      <c r="B12031" t="s">
        <v>1040</v>
      </c>
    </row>
    <row r="12032" spans="1:8" x14ac:dyDescent="0.25">
      <c r="A12032" t="s">
        <v>17</v>
      </c>
      <c r="B12032" t="s">
        <v>1040</v>
      </c>
    </row>
    <row r="12033" spans="1:8" x14ac:dyDescent="0.25">
      <c r="A12033" t="s">
        <v>18</v>
      </c>
      <c r="B12033" t="s">
        <v>1040</v>
      </c>
    </row>
    <row r="12034" spans="1:8" x14ac:dyDescent="0.25">
      <c r="A12034" t="str">
        <f xml:space="preserve"> $H$12026</f>
        <v>&lt;flags count_in_cargo="0" count_in_hoarder="0" count_in_map="1" count_in_player="0" crafted="0" deloot="0"/&gt;</v>
      </c>
      <c r="B12034" t="s">
        <v>1040</v>
      </c>
    </row>
    <row r="12035" spans="1:8" x14ac:dyDescent="0.25">
      <c r="A12035" t="str">
        <f>"&lt;category name=" &amp;"""" &amp;$C$12026&amp;"""/&gt;"</f>
        <v>&lt;category name="clothes"/&gt;</v>
      </c>
      <c r="B12035" t="s">
        <v>1040</v>
      </c>
    </row>
    <row r="12036" spans="1:8" x14ac:dyDescent="0.25">
      <c r="A12036" t="s">
        <v>39</v>
      </c>
      <c r="B12036" t="s">
        <v>1040</v>
      </c>
    </row>
    <row r="12037" spans="1:8" x14ac:dyDescent="0.25">
      <c r="A12037" t="s">
        <v>40</v>
      </c>
      <c r="B12037" t="s">
        <v>1040</v>
      </c>
    </row>
    <row r="12038" spans="1:8" x14ac:dyDescent="0.25">
      <c r="A12038" t="s">
        <v>22</v>
      </c>
      <c r="B12038" t="s">
        <v>1040</v>
      </c>
    </row>
    <row r="12039" spans="1:8" x14ac:dyDescent="0.25">
      <c r="A12039" t="s">
        <v>2320</v>
      </c>
      <c r="B12039" t="s">
        <v>1041</v>
      </c>
      <c r="C12039" t="s">
        <v>403</v>
      </c>
      <c r="D12039">
        <v>20</v>
      </c>
      <c r="E12039">
        <v>1800</v>
      </c>
      <c r="F12039">
        <v>0</v>
      </c>
      <c r="G12039">
        <v>10</v>
      </c>
      <c r="H12039" t="s">
        <v>19</v>
      </c>
    </row>
    <row r="12040" spans="1:8" x14ac:dyDescent="0.25">
      <c r="A12040" t="str">
        <f>"&lt;nominal&gt;" &amp;$D$12039&amp;"&lt;/nominal&gt;"</f>
        <v>&lt;nominal&gt;20&lt;/nominal&gt;</v>
      </c>
      <c r="B12040" t="s">
        <v>1041</v>
      </c>
    </row>
    <row r="12041" spans="1:8" x14ac:dyDescent="0.25">
      <c r="A12041" t="str">
        <f>"&lt;lifetime&gt;" &amp;$E$12039&amp;"&lt;/lifetime&gt;"</f>
        <v>&lt;lifetime&gt;1800&lt;/lifetime&gt;</v>
      </c>
      <c r="B12041" t="s">
        <v>1041</v>
      </c>
    </row>
    <row r="12042" spans="1:8" x14ac:dyDescent="0.25">
      <c r="A12042" t="str">
        <f>"&lt;restock&gt;" &amp;$F$12039&amp;"&lt;/restock&gt;"</f>
        <v>&lt;restock&gt;0&lt;/restock&gt;</v>
      </c>
      <c r="B12042" t="s">
        <v>1041</v>
      </c>
    </row>
    <row r="12043" spans="1:8" x14ac:dyDescent="0.25">
      <c r="A12043" t="str">
        <f>"&lt;min&gt;" &amp;$G$12039&amp;"&lt;/min&gt;"</f>
        <v>&lt;min&gt;10&lt;/min&gt;</v>
      </c>
      <c r="B12043" t="s">
        <v>1041</v>
      </c>
    </row>
    <row r="12044" spans="1:8" x14ac:dyDescent="0.25">
      <c r="A12044" t="s">
        <v>16</v>
      </c>
      <c r="B12044" t="s">
        <v>1041</v>
      </c>
    </row>
    <row r="12045" spans="1:8" x14ac:dyDescent="0.25">
      <c r="A12045" t="s">
        <v>17</v>
      </c>
      <c r="B12045" t="s">
        <v>1041</v>
      </c>
    </row>
    <row r="12046" spans="1:8" x14ac:dyDescent="0.25">
      <c r="A12046" t="s">
        <v>18</v>
      </c>
      <c r="B12046" t="s">
        <v>1041</v>
      </c>
    </row>
    <row r="12047" spans="1:8" x14ac:dyDescent="0.25">
      <c r="A12047" t="str">
        <f xml:space="preserve"> $H$12039</f>
        <v>&lt;flags count_in_cargo="0" count_in_hoarder="0" count_in_map="1" count_in_player="0" crafted="0" deloot="0"/&gt;</v>
      </c>
      <c r="B12047" t="s">
        <v>1041</v>
      </c>
    </row>
    <row r="12048" spans="1:8" x14ac:dyDescent="0.25">
      <c r="A12048" t="str">
        <f>"&lt;category name=" &amp;"""" &amp;$C$12039&amp;"""/&gt;"</f>
        <v>&lt;category name="clothes"/&gt;</v>
      </c>
      <c r="B12048" t="s">
        <v>1041</v>
      </c>
    </row>
    <row r="12049" spans="1:8" x14ac:dyDescent="0.25">
      <c r="A12049" t="s">
        <v>39</v>
      </c>
      <c r="B12049" t="s">
        <v>1041</v>
      </c>
    </row>
    <row r="12050" spans="1:8" x14ac:dyDescent="0.25">
      <c r="A12050" t="s">
        <v>40</v>
      </c>
      <c r="B12050" t="s">
        <v>1041</v>
      </c>
    </row>
    <row r="12051" spans="1:8" x14ac:dyDescent="0.25">
      <c r="A12051" t="s">
        <v>22</v>
      </c>
      <c r="B12051" t="s">
        <v>1041</v>
      </c>
    </row>
    <row r="12052" spans="1:8" x14ac:dyDescent="0.25">
      <c r="A12052" t="s">
        <v>2321</v>
      </c>
      <c r="B12052" t="s">
        <v>1042</v>
      </c>
      <c r="C12052" t="s">
        <v>403</v>
      </c>
      <c r="D12052">
        <v>20</v>
      </c>
      <c r="E12052">
        <v>1800</v>
      </c>
      <c r="F12052">
        <v>0</v>
      </c>
      <c r="G12052">
        <v>10</v>
      </c>
      <c r="H12052" t="s">
        <v>19</v>
      </c>
    </row>
    <row r="12053" spans="1:8" x14ac:dyDescent="0.25">
      <c r="A12053" t="str">
        <f>"&lt;nominal&gt;" &amp;$D$12052&amp;"&lt;/nominal&gt;"</f>
        <v>&lt;nominal&gt;20&lt;/nominal&gt;</v>
      </c>
      <c r="B12053" t="s">
        <v>1042</v>
      </c>
    </row>
    <row r="12054" spans="1:8" x14ac:dyDescent="0.25">
      <c r="A12054" t="str">
        <f>"&lt;lifetime&gt;" &amp;$E$12052&amp;"&lt;/lifetime&gt;"</f>
        <v>&lt;lifetime&gt;1800&lt;/lifetime&gt;</v>
      </c>
      <c r="B12054" t="s">
        <v>1042</v>
      </c>
    </row>
    <row r="12055" spans="1:8" x14ac:dyDescent="0.25">
      <c r="A12055" t="str">
        <f>"&lt;restock&gt;" &amp;$F$12052&amp;"&lt;/restock&gt;"</f>
        <v>&lt;restock&gt;0&lt;/restock&gt;</v>
      </c>
      <c r="B12055" t="s">
        <v>1042</v>
      </c>
    </row>
    <row r="12056" spans="1:8" x14ac:dyDescent="0.25">
      <c r="A12056" t="str">
        <f>"&lt;min&gt;" &amp;$G$12052&amp;"&lt;/min&gt;"</f>
        <v>&lt;min&gt;10&lt;/min&gt;</v>
      </c>
      <c r="B12056" t="s">
        <v>1042</v>
      </c>
    </row>
    <row r="12057" spans="1:8" x14ac:dyDescent="0.25">
      <c r="A12057" t="s">
        <v>16</v>
      </c>
      <c r="B12057" t="s">
        <v>1042</v>
      </c>
    </row>
    <row r="12058" spans="1:8" x14ac:dyDescent="0.25">
      <c r="A12058" t="s">
        <v>17</v>
      </c>
      <c r="B12058" t="s">
        <v>1042</v>
      </c>
    </row>
    <row r="12059" spans="1:8" x14ac:dyDescent="0.25">
      <c r="A12059" t="s">
        <v>18</v>
      </c>
      <c r="B12059" t="s">
        <v>1042</v>
      </c>
    </row>
    <row r="12060" spans="1:8" x14ac:dyDescent="0.25">
      <c r="A12060" t="str">
        <f xml:space="preserve"> $H$12052</f>
        <v>&lt;flags count_in_cargo="0" count_in_hoarder="0" count_in_map="1" count_in_player="0" crafted="0" deloot="0"/&gt;</v>
      </c>
      <c r="B12060" t="s">
        <v>1042</v>
      </c>
    </row>
    <row r="12061" spans="1:8" x14ac:dyDescent="0.25">
      <c r="A12061" t="str">
        <f>"&lt;category name=" &amp;"""" &amp;$C$12052&amp;"""/&gt;"</f>
        <v>&lt;category name="clothes"/&gt;</v>
      </c>
      <c r="B12061" t="s">
        <v>1042</v>
      </c>
    </row>
    <row r="12062" spans="1:8" x14ac:dyDescent="0.25">
      <c r="A12062" t="s">
        <v>39</v>
      </c>
      <c r="B12062" t="s">
        <v>1042</v>
      </c>
    </row>
    <row r="12063" spans="1:8" x14ac:dyDescent="0.25">
      <c r="A12063" t="s">
        <v>40</v>
      </c>
      <c r="B12063" t="s">
        <v>1042</v>
      </c>
    </row>
    <row r="12064" spans="1:8" x14ac:dyDescent="0.25">
      <c r="A12064" t="s">
        <v>22</v>
      </c>
      <c r="B12064" t="s">
        <v>1042</v>
      </c>
    </row>
    <row r="12065" spans="1:8" x14ac:dyDescent="0.25">
      <c r="A12065" t="s">
        <v>2322</v>
      </c>
      <c r="B12065" t="s">
        <v>1043</v>
      </c>
      <c r="C12065" t="s">
        <v>403</v>
      </c>
      <c r="D12065">
        <v>20</v>
      </c>
      <c r="E12065">
        <v>1800</v>
      </c>
      <c r="F12065">
        <v>0</v>
      </c>
      <c r="G12065">
        <v>10</v>
      </c>
      <c r="H12065" t="s">
        <v>19</v>
      </c>
    </row>
    <row r="12066" spans="1:8" x14ac:dyDescent="0.25">
      <c r="A12066" t="str">
        <f>"&lt;nominal&gt;" &amp;$D$12065&amp;"&lt;/nominal&gt;"</f>
        <v>&lt;nominal&gt;20&lt;/nominal&gt;</v>
      </c>
      <c r="B12066" t="s">
        <v>1043</v>
      </c>
    </row>
    <row r="12067" spans="1:8" x14ac:dyDescent="0.25">
      <c r="A12067" t="str">
        <f>"&lt;lifetime&gt;" &amp;$E$12065&amp;"&lt;/lifetime&gt;"</f>
        <v>&lt;lifetime&gt;1800&lt;/lifetime&gt;</v>
      </c>
      <c r="B12067" t="s">
        <v>1043</v>
      </c>
    </row>
    <row r="12068" spans="1:8" x14ac:dyDescent="0.25">
      <c r="A12068" t="str">
        <f>"&lt;restock&gt;" &amp;$F$12065&amp;"&lt;/restock&gt;"</f>
        <v>&lt;restock&gt;0&lt;/restock&gt;</v>
      </c>
      <c r="B12068" t="s">
        <v>1043</v>
      </c>
    </row>
    <row r="12069" spans="1:8" x14ac:dyDescent="0.25">
      <c r="A12069" t="str">
        <f>"&lt;min&gt;" &amp;$G$12065&amp;"&lt;/min&gt;"</f>
        <v>&lt;min&gt;10&lt;/min&gt;</v>
      </c>
      <c r="B12069" t="s">
        <v>1043</v>
      </c>
    </row>
    <row r="12070" spans="1:8" x14ac:dyDescent="0.25">
      <c r="A12070" t="s">
        <v>16</v>
      </c>
      <c r="B12070" t="s">
        <v>1043</v>
      </c>
    </row>
    <row r="12071" spans="1:8" x14ac:dyDescent="0.25">
      <c r="A12071" t="s">
        <v>17</v>
      </c>
      <c r="B12071" t="s">
        <v>1043</v>
      </c>
    </row>
    <row r="12072" spans="1:8" x14ac:dyDescent="0.25">
      <c r="A12072" t="s">
        <v>18</v>
      </c>
      <c r="B12072" t="s">
        <v>1043</v>
      </c>
    </row>
    <row r="12073" spans="1:8" x14ac:dyDescent="0.25">
      <c r="A12073" t="str">
        <f xml:space="preserve"> $H$12065</f>
        <v>&lt;flags count_in_cargo="0" count_in_hoarder="0" count_in_map="1" count_in_player="0" crafted="0" deloot="0"/&gt;</v>
      </c>
      <c r="B12073" t="s">
        <v>1043</v>
      </c>
    </row>
    <row r="12074" spans="1:8" x14ac:dyDescent="0.25">
      <c r="A12074" t="str">
        <f>"&lt;category name=" &amp;"""" &amp;$C$12065&amp;"""/&gt;"</f>
        <v>&lt;category name="clothes"/&gt;</v>
      </c>
      <c r="B12074" t="s">
        <v>1043</v>
      </c>
    </row>
    <row r="12075" spans="1:8" x14ac:dyDescent="0.25">
      <c r="A12075" t="s">
        <v>39</v>
      </c>
      <c r="B12075" t="s">
        <v>1043</v>
      </c>
    </row>
    <row r="12076" spans="1:8" x14ac:dyDescent="0.25">
      <c r="A12076" t="s">
        <v>40</v>
      </c>
      <c r="B12076" t="s">
        <v>1043</v>
      </c>
    </row>
    <row r="12077" spans="1:8" x14ac:dyDescent="0.25">
      <c r="A12077" t="s">
        <v>22</v>
      </c>
      <c r="B12077" t="s">
        <v>1043</v>
      </c>
    </row>
    <row r="12078" spans="1:8" x14ac:dyDescent="0.25">
      <c r="A12078" t="s">
        <v>2323</v>
      </c>
      <c r="B12078" t="s">
        <v>1044</v>
      </c>
      <c r="C12078" t="s">
        <v>403</v>
      </c>
      <c r="D12078">
        <v>20</v>
      </c>
      <c r="E12078">
        <v>1800</v>
      </c>
      <c r="F12078">
        <v>0</v>
      </c>
      <c r="G12078">
        <v>10</v>
      </c>
      <c r="H12078" t="s">
        <v>19</v>
      </c>
    </row>
    <row r="12079" spans="1:8" x14ac:dyDescent="0.25">
      <c r="A12079" t="str">
        <f>"&lt;nominal&gt;" &amp;$D$12078&amp;"&lt;/nominal&gt;"</f>
        <v>&lt;nominal&gt;20&lt;/nominal&gt;</v>
      </c>
      <c r="B12079" t="s">
        <v>1044</v>
      </c>
    </row>
    <row r="12080" spans="1:8" x14ac:dyDescent="0.25">
      <c r="A12080" t="str">
        <f>"&lt;lifetime&gt;" &amp;$E$12078&amp;"&lt;/lifetime&gt;"</f>
        <v>&lt;lifetime&gt;1800&lt;/lifetime&gt;</v>
      </c>
      <c r="B12080" t="s">
        <v>1044</v>
      </c>
    </row>
    <row r="12081" spans="1:8" x14ac:dyDescent="0.25">
      <c r="A12081" t="str">
        <f>"&lt;restock&gt;" &amp;$F$12078&amp;"&lt;/restock&gt;"</f>
        <v>&lt;restock&gt;0&lt;/restock&gt;</v>
      </c>
      <c r="B12081" t="s">
        <v>1044</v>
      </c>
    </row>
    <row r="12082" spans="1:8" x14ac:dyDescent="0.25">
      <c r="A12082" t="str">
        <f>"&lt;min&gt;" &amp;$G$12078&amp;"&lt;/min&gt;"</f>
        <v>&lt;min&gt;10&lt;/min&gt;</v>
      </c>
      <c r="B12082" t="s">
        <v>1044</v>
      </c>
    </row>
    <row r="12083" spans="1:8" x14ac:dyDescent="0.25">
      <c r="A12083" t="s">
        <v>16</v>
      </c>
      <c r="B12083" t="s">
        <v>1044</v>
      </c>
    </row>
    <row r="12084" spans="1:8" x14ac:dyDescent="0.25">
      <c r="A12084" t="s">
        <v>17</v>
      </c>
      <c r="B12084" t="s">
        <v>1044</v>
      </c>
    </row>
    <row r="12085" spans="1:8" x14ac:dyDescent="0.25">
      <c r="A12085" t="s">
        <v>18</v>
      </c>
      <c r="B12085" t="s">
        <v>1044</v>
      </c>
    </row>
    <row r="12086" spans="1:8" x14ac:dyDescent="0.25">
      <c r="A12086" t="str">
        <f xml:space="preserve"> $H$12078</f>
        <v>&lt;flags count_in_cargo="0" count_in_hoarder="0" count_in_map="1" count_in_player="0" crafted="0" deloot="0"/&gt;</v>
      </c>
      <c r="B12086" t="s">
        <v>1044</v>
      </c>
    </row>
    <row r="12087" spans="1:8" x14ac:dyDescent="0.25">
      <c r="A12087" t="str">
        <f>"&lt;category name=" &amp;"""" &amp;$C$12078&amp;"""/&gt;"</f>
        <v>&lt;category name="clothes"/&gt;</v>
      </c>
      <c r="B12087" t="s">
        <v>1044</v>
      </c>
    </row>
    <row r="12088" spans="1:8" x14ac:dyDescent="0.25">
      <c r="A12088" t="s">
        <v>39</v>
      </c>
      <c r="B12088" t="s">
        <v>1044</v>
      </c>
    </row>
    <row r="12089" spans="1:8" x14ac:dyDescent="0.25">
      <c r="A12089" t="s">
        <v>40</v>
      </c>
      <c r="B12089" t="s">
        <v>1044</v>
      </c>
    </row>
    <row r="12090" spans="1:8" x14ac:dyDescent="0.25">
      <c r="A12090" t="s">
        <v>22</v>
      </c>
      <c r="B12090" t="s">
        <v>1044</v>
      </c>
    </row>
    <row r="12091" spans="1:8" x14ac:dyDescent="0.25">
      <c r="A12091" t="s">
        <v>2324</v>
      </c>
      <c r="B12091" t="s">
        <v>1045</v>
      </c>
      <c r="C12091" t="s">
        <v>426</v>
      </c>
      <c r="D12091">
        <v>70</v>
      </c>
      <c r="E12091">
        <v>7200</v>
      </c>
      <c r="F12091">
        <v>0</v>
      </c>
      <c r="G12091">
        <v>50</v>
      </c>
      <c r="H12091" t="s">
        <v>19</v>
      </c>
    </row>
    <row r="12092" spans="1:8" x14ac:dyDescent="0.25">
      <c r="A12092" t="str">
        <f>"&lt;nominal&gt;" &amp;$D$12091&amp;"&lt;/nominal&gt;"</f>
        <v>&lt;nominal&gt;70&lt;/nominal&gt;</v>
      </c>
      <c r="B12092" t="s">
        <v>1045</v>
      </c>
    </row>
    <row r="12093" spans="1:8" x14ac:dyDescent="0.25">
      <c r="A12093" t="str">
        <f>"&lt;lifetime&gt;" &amp;$E$12091&amp;"&lt;/lifetime&gt;"</f>
        <v>&lt;lifetime&gt;7200&lt;/lifetime&gt;</v>
      </c>
      <c r="B12093" t="s">
        <v>1045</v>
      </c>
    </row>
    <row r="12094" spans="1:8" x14ac:dyDescent="0.25">
      <c r="A12094" t="str">
        <f>"&lt;restock&gt;" &amp;$F$12091&amp;"&lt;/restock&gt;"</f>
        <v>&lt;restock&gt;0&lt;/restock&gt;</v>
      </c>
      <c r="B12094" t="s">
        <v>1045</v>
      </c>
    </row>
    <row r="12095" spans="1:8" x14ac:dyDescent="0.25">
      <c r="A12095" t="str">
        <f>"&lt;min&gt;" &amp;$G$12091&amp;"&lt;/min&gt;"</f>
        <v>&lt;min&gt;50&lt;/min&gt;</v>
      </c>
      <c r="B12095" t="s">
        <v>1045</v>
      </c>
    </row>
    <row r="12096" spans="1:8" x14ac:dyDescent="0.25">
      <c r="A12096" t="s">
        <v>16</v>
      </c>
      <c r="B12096" t="s">
        <v>1045</v>
      </c>
    </row>
    <row r="12097" spans="1:8" x14ac:dyDescent="0.25">
      <c r="A12097" t="s">
        <v>17</v>
      </c>
      <c r="B12097" t="s">
        <v>1045</v>
      </c>
    </row>
    <row r="12098" spans="1:8" x14ac:dyDescent="0.25">
      <c r="A12098" t="s">
        <v>18</v>
      </c>
      <c r="B12098" t="s">
        <v>1045</v>
      </c>
    </row>
    <row r="12099" spans="1:8" x14ac:dyDescent="0.25">
      <c r="A12099" t="str">
        <f xml:space="preserve"> $H$12091</f>
        <v>&lt;flags count_in_cargo="0" count_in_hoarder="0" count_in_map="1" count_in_player="0" crafted="0" deloot="0"/&gt;</v>
      </c>
      <c r="B12099" t="s">
        <v>1045</v>
      </c>
    </row>
    <row r="12100" spans="1:8" x14ac:dyDescent="0.25">
      <c r="A12100" t="str">
        <f>"&lt;category name=" &amp;"""" &amp;$C$12091&amp;"""/&gt;"</f>
        <v>&lt;category name="tools"/&gt;</v>
      </c>
      <c r="B12100" t="s">
        <v>1045</v>
      </c>
    </row>
    <row r="12101" spans="1:8" x14ac:dyDescent="0.25">
      <c r="A12101" t="s">
        <v>25</v>
      </c>
      <c r="B12101" t="s">
        <v>1045</v>
      </c>
    </row>
    <row r="12102" spans="1:8" x14ac:dyDescent="0.25">
      <c r="A12102" t="s">
        <v>55</v>
      </c>
      <c r="B12102" t="s">
        <v>1045</v>
      </c>
    </row>
    <row r="12103" spans="1:8" x14ac:dyDescent="0.25">
      <c r="A12103" t="s">
        <v>56</v>
      </c>
      <c r="B12103" t="s">
        <v>1045</v>
      </c>
    </row>
    <row r="12104" spans="1:8" x14ac:dyDescent="0.25">
      <c r="A12104" t="s">
        <v>22</v>
      </c>
      <c r="B12104" t="s">
        <v>1045</v>
      </c>
    </row>
    <row r="12105" spans="1:8" x14ac:dyDescent="0.25">
      <c r="A12105" t="s">
        <v>2325</v>
      </c>
      <c r="B12105" t="s">
        <v>1046</v>
      </c>
      <c r="C12105" t="s">
        <v>403</v>
      </c>
      <c r="D12105">
        <v>30</v>
      </c>
      <c r="E12105">
        <v>5600</v>
      </c>
      <c r="F12105">
        <v>0</v>
      </c>
      <c r="G12105">
        <v>20</v>
      </c>
      <c r="H12105" t="s">
        <v>19</v>
      </c>
    </row>
    <row r="12106" spans="1:8" x14ac:dyDescent="0.25">
      <c r="A12106" t="str">
        <f>"&lt;nominal&gt;" &amp;$D$12105&amp;"&lt;/nominal&gt;"</f>
        <v>&lt;nominal&gt;30&lt;/nominal&gt;</v>
      </c>
      <c r="B12106" t="s">
        <v>1046</v>
      </c>
    </row>
    <row r="12107" spans="1:8" x14ac:dyDescent="0.25">
      <c r="A12107" t="str">
        <f>"&lt;lifetime&gt;" &amp;$E$12105&amp;"&lt;/lifetime&gt;"</f>
        <v>&lt;lifetime&gt;5600&lt;/lifetime&gt;</v>
      </c>
      <c r="B12107" t="s">
        <v>1046</v>
      </c>
    </row>
    <row r="12108" spans="1:8" x14ac:dyDescent="0.25">
      <c r="A12108" t="str">
        <f>"&lt;restock&gt;" &amp;$F$12105&amp;"&lt;/restock&gt;"</f>
        <v>&lt;restock&gt;0&lt;/restock&gt;</v>
      </c>
      <c r="B12108" t="s">
        <v>1046</v>
      </c>
    </row>
    <row r="12109" spans="1:8" x14ac:dyDescent="0.25">
      <c r="A12109" t="str">
        <f>"&lt;min&gt;" &amp;$G$12105&amp;"&lt;/min&gt;"</f>
        <v>&lt;min&gt;20&lt;/min&gt;</v>
      </c>
      <c r="B12109" t="s">
        <v>1046</v>
      </c>
    </row>
    <row r="12110" spans="1:8" x14ac:dyDescent="0.25">
      <c r="A12110" t="s">
        <v>16</v>
      </c>
      <c r="B12110" t="s">
        <v>1046</v>
      </c>
    </row>
    <row r="12111" spans="1:8" x14ac:dyDescent="0.25">
      <c r="A12111" t="s">
        <v>17</v>
      </c>
      <c r="B12111" t="s">
        <v>1046</v>
      </c>
    </row>
    <row r="12112" spans="1:8" x14ac:dyDescent="0.25">
      <c r="A12112" t="s">
        <v>18</v>
      </c>
      <c r="B12112" t="s">
        <v>1046</v>
      </c>
    </row>
    <row r="12113" spans="1:8" x14ac:dyDescent="0.25">
      <c r="A12113" t="str">
        <f xml:space="preserve"> $H$12105</f>
        <v>&lt;flags count_in_cargo="0" count_in_hoarder="0" count_in_map="1" count_in_player="0" crafted="0" deloot="0"/&gt;</v>
      </c>
      <c r="B12113" t="s">
        <v>1046</v>
      </c>
    </row>
    <row r="12114" spans="1:8" x14ac:dyDescent="0.25">
      <c r="A12114" t="str">
        <f>"&lt;category name=" &amp;"""" &amp;$C$12105&amp;"""/&gt;"</f>
        <v>&lt;category name="clothes"/&gt;</v>
      </c>
      <c r="B12114" t="s">
        <v>1046</v>
      </c>
    </row>
    <row r="12115" spans="1:8" x14ac:dyDescent="0.25">
      <c r="A12115" t="s">
        <v>39</v>
      </c>
      <c r="B12115" t="s">
        <v>1046</v>
      </c>
    </row>
    <row r="12116" spans="1:8" x14ac:dyDescent="0.25">
      <c r="A12116" t="s">
        <v>40</v>
      </c>
      <c r="B12116" t="s">
        <v>1046</v>
      </c>
    </row>
    <row r="12117" spans="1:8" x14ac:dyDescent="0.25">
      <c r="A12117" t="s">
        <v>30</v>
      </c>
      <c r="B12117" t="s">
        <v>1046</v>
      </c>
    </row>
    <row r="12118" spans="1:8" x14ac:dyDescent="0.25">
      <c r="A12118" t="s">
        <v>31</v>
      </c>
      <c r="B12118" t="s">
        <v>1046</v>
      </c>
    </row>
    <row r="12119" spans="1:8" x14ac:dyDescent="0.25">
      <c r="A12119" t="s">
        <v>307</v>
      </c>
      <c r="B12119" t="s">
        <v>1046</v>
      </c>
    </row>
    <row r="12120" spans="1:8" x14ac:dyDescent="0.25">
      <c r="A12120" t="s">
        <v>22</v>
      </c>
      <c r="B12120" t="s">
        <v>1046</v>
      </c>
    </row>
    <row r="12121" spans="1:8" x14ac:dyDescent="0.25">
      <c r="A12121" t="s">
        <v>2326</v>
      </c>
      <c r="B12121" t="s">
        <v>1047</v>
      </c>
      <c r="C12121" t="s">
        <v>403</v>
      </c>
      <c r="D12121">
        <v>30</v>
      </c>
      <c r="E12121">
        <v>5600</v>
      </c>
      <c r="F12121">
        <v>0</v>
      </c>
      <c r="G12121">
        <v>20</v>
      </c>
      <c r="H12121" t="s">
        <v>19</v>
      </c>
    </row>
    <row r="12122" spans="1:8" x14ac:dyDescent="0.25">
      <c r="A12122" t="str">
        <f>"&lt;nominal&gt;" &amp;$D$12121&amp;"&lt;/nominal&gt;"</f>
        <v>&lt;nominal&gt;30&lt;/nominal&gt;</v>
      </c>
      <c r="B12122" t="s">
        <v>1047</v>
      </c>
    </row>
    <row r="12123" spans="1:8" x14ac:dyDescent="0.25">
      <c r="A12123" t="str">
        <f>"&lt;lifetime&gt;" &amp;$E$12121&amp;"&lt;/lifetime&gt;"</f>
        <v>&lt;lifetime&gt;5600&lt;/lifetime&gt;</v>
      </c>
      <c r="B12123" t="s">
        <v>1047</v>
      </c>
    </row>
    <row r="12124" spans="1:8" x14ac:dyDescent="0.25">
      <c r="A12124" t="str">
        <f>"&lt;restock&gt;" &amp;$F$12121&amp;"&lt;/restock&gt;"</f>
        <v>&lt;restock&gt;0&lt;/restock&gt;</v>
      </c>
      <c r="B12124" t="s">
        <v>1047</v>
      </c>
    </row>
    <row r="12125" spans="1:8" x14ac:dyDescent="0.25">
      <c r="A12125" t="str">
        <f>"&lt;min&gt;" &amp;$G$12121&amp;"&lt;/min&gt;"</f>
        <v>&lt;min&gt;20&lt;/min&gt;</v>
      </c>
      <c r="B12125" t="s">
        <v>1047</v>
      </c>
    </row>
    <row r="12126" spans="1:8" x14ac:dyDescent="0.25">
      <c r="A12126" t="s">
        <v>16</v>
      </c>
      <c r="B12126" t="s">
        <v>1047</v>
      </c>
    </row>
    <row r="12127" spans="1:8" x14ac:dyDescent="0.25">
      <c r="A12127" t="s">
        <v>17</v>
      </c>
      <c r="B12127" t="s">
        <v>1047</v>
      </c>
    </row>
    <row r="12128" spans="1:8" x14ac:dyDescent="0.25">
      <c r="A12128" t="s">
        <v>18</v>
      </c>
      <c r="B12128" t="s">
        <v>1047</v>
      </c>
    </row>
    <row r="12129" spans="1:8" x14ac:dyDescent="0.25">
      <c r="A12129" t="str">
        <f xml:space="preserve"> $H$12121</f>
        <v>&lt;flags count_in_cargo="0" count_in_hoarder="0" count_in_map="1" count_in_player="0" crafted="0" deloot="0"/&gt;</v>
      </c>
      <c r="B12129" t="s">
        <v>1047</v>
      </c>
    </row>
    <row r="12130" spans="1:8" x14ac:dyDescent="0.25">
      <c r="A12130" t="str">
        <f>"&lt;category name=" &amp;"""" &amp;$C$12121&amp;"""/&gt;"</f>
        <v>&lt;category name="clothes"/&gt;</v>
      </c>
      <c r="B12130" t="s">
        <v>1047</v>
      </c>
    </row>
    <row r="12131" spans="1:8" x14ac:dyDescent="0.25">
      <c r="A12131" t="s">
        <v>39</v>
      </c>
      <c r="B12131" t="s">
        <v>1047</v>
      </c>
    </row>
    <row r="12132" spans="1:8" x14ac:dyDescent="0.25">
      <c r="A12132" t="s">
        <v>40</v>
      </c>
      <c r="B12132" t="s">
        <v>1047</v>
      </c>
    </row>
    <row r="12133" spans="1:8" x14ac:dyDescent="0.25">
      <c r="A12133" t="s">
        <v>30</v>
      </c>
      <c r="B12133" t="s">
        <v>1047</v>
      </c>
    </row>
    <row r="12134" spans="1:8" x14ac:dyDescent="0.25">
      <c r="A12134" t="s">
        <v>31</v>
      </c>
      <c r="B12134" t="s">
        <v>1047</v>
      </c>
    </row>
    <row r="12135" spans="1:8" x14ac:dyDescent="0.25">
      <c r="A12135" t="s">
        <v>307</v>
      </c>
      <c r="B12135" t="s">
        <v>1047</v>
      </c>
    </row>
    <row r="12136" spans="1:8" x14ac:dyDescent="0.25">
      <c r="A12136" t="s">
        <v>22</v>
      </c>
      <c r="B12136" t="s">
        <v>1047</v>
      </c>
    </row>
    <row r="12137" spans="1:8" x14ac:dyDescent="0.25">
      <c r="A12137" t="s">
        <v>2327</v>
      </c>
      <c r="B12137" t="s">
        <v>1048</v>
      </c>
      <c r="C12137" t="s">
        <v>403</v>
      </c>
      <c r="D12137">
        <v>30</v>
      </c>
      <c r="E12137">
        <v>5600</v>
      </c>
      <c r="F12137">
        <v>0</v>
      </c>
      <c r="G12137">
        <v>20</v>
      </c>
      <c r="H12137" t="s">
        <v>19</v>
      </c>
    </row>
    <row r="12138" spans="1:8" x14ac:dyDescent="0.25">
      <c r="A12138" t="str">
        <f>"&lt;nominal&gt;" &amp;$D$12137&amp;"&lt;/nominal&gt;"</f>
        <v>&lt;nominal&gt;30&lt;/nominal&gt;</v>
      </c>
      <c r="B12138" t="s">
        <v>1048</v>
      </c>
    </row>
    <row r="12139" spans="1:8" x14ac:dyDescent="0.25">
      <c r="A12139" t="str">
        <f>"&lt;lifetime&gt;" &amp;$E$12137&amp;"&lt;/lifetime&gt;"</f>
        <v>&lt;lifetime&gt;5600&lt;/lifetime&gt;</v>
      </c>
      <c r="B12139" t="s">
        <v>1048</v>
      </c>
    </row>
    <row r="12140" spans="1:8" x14ac:dyDescent="0.25">
      <c r="A12140" t="str">
        <f>"&lt;restock&gt;" &amp;$F$12137&amp;"&lt;/restock&gt;"</f>
        <v>&lt;restock&gt;0&lt;/restock&gt;</v>
      </c>
      <c r="B12140" t="s">
        <v>1048</v>
      </c>
    </row>
    <row r="12141" spans="1:8" x14ac:dyDescent="0.25">
      <c r="A12141" t="str">
        <f>"&lt;min&gt;" &amp;$G$12137&amp;"&lt;/min&gt;"</f>
        <v>&lt;min&gt;20&lt;/min&gt;</v>
      </c>
      <c r="B12141" t="s">
        <v>1048</v>
      </c>
    </row>
    <row r="12142" spans="1:8" x14ac:dyDescent="0.25">
      <c r="A12142" t="s">
        <v>16</v>
      </c>
      <c r="B12142" t="s">
        <v>1048</v>
      </c>
    </row>
    <row r="12143" spans="1:8" x14ac:dyDescent="0.25">
      <c r="A12143" t="s">
        <v>17</v>
      </c>
      <c r="B12143" t="s">
        <v>1048</v>
      </c>
    </row>
    <row r="12144" spans="1:8" x14ac:dyDescent="0.25">
      <c r="A12144" t="s">
        <v>18</v>
      </c>
      <c r="B12144" t="s">
        <v>1048</v>
      </c>
    </row>
    <row r="12145" spans="1:8" x14ac:dyDescent="0.25">
      <c r="A12145" t="str">
        <f xml:space="preserve"> $H$12137</f>
        <v>&lt;flags count_in_cargo="0" count_in_hoarder="0" count_in_map="1" count_in_player="0" crafted="0" deloot="0"/&gt;</v>
      </c>
      <c r="B12145" t="s">
        <v>1048</v>
      </c>
    </row>
    <row r="12146" spans="1:8" x14ac:dyDescent="0.25">
      <c r="A12146" t="str">
        <f>"&lt;category name=" &amp;"""" &amp;$C$12137&amp;"""/&gt;"</f>
        <v>&lt;category name="clothes"/&gt;</v>
      </c>
      <c r="B12146" t="s">
        <v>1048</v>
      </c>
    </row>
    <row r="12147" spans="1:8" x14ac:dyDescent="0.25">
      <c r="A12147" t="s">
        <v>39</v>
      </c>
      <c r="B12147" t="s">
        <v>1048</v>
      </c>
    </row>
    <row r="12148" spans="1:8" x14ac:dyDescent="0.25">
      <c r="A12148" t="s">
        <v>40</v>
      </c>
      <c r="B12148" t="s">
        <v>1048</v>
      </c>
    </row>
    <row r="12149" spans="1:8" x14ac:dyDescent="0.25">
      <c r="A12149" t="s">
        <v>30</v>
      </c>
      <c r="B12149" t="s">
        <v>1048</v>
      </c>
    </row>
    <row r="12150" spans="1:8" x14ac:dyDescent="0.25">
      <c r="A12150" t="s">
        <v>31</v>
      </c>
      <c r="B12150" t="s">
        <v>1048</v>
      </c>
    </row>
    <row r="12151" spans="1:8" x14ac:dyDescent="0.25">
      <c r="A12151" t="s">
        <v>307</v>
      </c>
      <c r="B12151" t="s">
        <v>1048</v>
      </c>
    </row>
    <row r="12152" spans="1:8" x14ac:dyDescent="0.25">
      <c r="A12152" t="s">
        <v>22</v>
      </c>
      <c r="B12152" t="s">
        <v>1048</v>
      </c>
    </row>
    <row r="12153" spans="1:8" x14ac:dyDescent="0.25">
      <c r="A12153" t="s">
        <v>2328</v>
      </c>
      <c r="B12153" t="s">
        <v>1049</v>
      </c>
      <c r="C12153" t="s">
        <v>403</v>
      </c>
      <c r="D12153">
        <v>30</v>
      </c>
      <c r="E12153">
        <v>5600</v>
      </c>
      <c r="F12153">
        <v>0</v>
      </c>
      <c r="G12153">
        <v>20</v>
      </c>
      <c r="H12153" t="s">
        <v>19</v>
      </c>
    </row>
    <row r="12154" spans="1:8" x14ac:dyDescent="0.25">
      <c r="A12154" t="str">
        <f>"&lt;nominal&gt;" &amp;$D$12153&amp;"&lt;/nominal&gt;"</f>
        <v>&lt;nominal&gt;30&lt;/nominal&gt;</v>
      </c>
      <c r="B12154" t="s">
        <v>1049</v>
      </c>
    </row>
    <row r="12155" spans="1:8" x14ac:dyDescent="0.25">
      <c r="A12155" t="str">
        <f>"&lt;lifetime&gt;" &amp;$E$12153&amp;"&lt;/lifetime&gt;"</f>
        <v>&lt;lifetime&gt;5600&lt;/lifetime&gt;</v>
      </c>
      <c r="B12155" t="s">
        <v>1049</v>
      </c>
    </row>
    <row r="12156" spans="1:8" x14ac:dyDescent="0.25">
      <c r="A12156" t="str">
        <f>"&lt;restock&gt;" &amp;$F$12153&amp;"&lt;/restock&gt;"</f>
        <v>&lt;restock&gt;0&lt;/restock&gt;</v>
      </c>
      <c r="B12156" t="s">
        <v>1049</v>
      </c>
    </row>
    <row r="12157" spans="1:8" x14ac:dyDescent="0.25">
      <c r="A12157" t="str">
        <f>"&lt;min&gt;" &amp;$G$12153&amp;"&lt;/min&gt;"</f>
        <v>&lt;min&gt;20&lt;/min&gt;</v>
      </c>
      <c r="B12157" t="s">
        <v>1049</v>
      </c>
    </row>
    <row r="12158" spans="1:8" x14ac:dyDescent="0.25">
      <c r="A12158" t="s">
        <v>16</v>
      </c>
      <c r="B12158" t="s">
        <v>1049</v>
      </c>
    </row>
    <row r="12159" spans="1:8" x14ac:dyDescent="0.25">
      <c r="A12159" t="s">
        <v>17</v>
      </c>
      <c r="B12159" t="s">
        <v>1049</v>
      </c>
    </row>
    <row r="12160" spans="1:8" x14ac:dyDescent="0.25">
      <c r="A12160" t="s">
        <v>18</v>
      </c>
      <c r="B12160" t="s">
        <v>1049</v>
      </c>
    </row>
    <row r="12161" spans="1:8" x14ac:dyDescent="0.25">
      <c r="A12161" t="str">
        <f xml:space="preserve"> $H$12153</f>
        <v>&lt;flags count_in_cargo="0" count_in_hoarder="0" count_in_map="1" count_in_player="0" crafted="0" deloot="0"/&gt;</v>
      </c>
      <c r="B12161" t="s">
        <v>1049</v>
      </c>
    </row>
    <row r="12162" spans="1:8" x14ac:dyDescent="0.25">
      <c r="A12162" t="str">
        <f>"&lt;category name=" &amp;"""" &amp;$C$12153&amp;"""/&gt;"</f>
        <v>&lt;category name="clothes"/&gt;</v>
      </c>
      <c r="B12162" t="s">
        <v>1049</v>
      </c>
    </row>
    <row r="12163" spans="1:8" x14ac:dyDescent="0.25">
      <c r="A12163" t="s">
        <v>39</v>
      </c>
      <c r="B12163" t="s">
        <v>1049</v>
      </c>
    </row>
    <row r="12164" spans="1:8" x14ac:dyDescent="0.25">
      <c r="A12164" t="s">
        <v>40</v>
      </c>
      <c r="B12164" t="s">
        <v>1049</v>
      </c>
    </row>
    <row r="12165" spans="1:8" x14ac:dyDescent="0.25">
      <c r="A12165" t="s">
        <v>30</v>
      </c>
      <c r="B12165" t="s">
        <v>1049</v>
      </c>
    </row>
    <row r="12166" spans="1:8" x14ac:dyDescent="0.25">
      <c r="A12166" t="s">
        <v>31</v>
      </c>
      <c r="B12166" t="s">
        <v>1049</v>
      </c>
    </row>
    <row r="12167" spans="1:8" x14ac:dyDescent="0.25">
      <c r="A12167" t="s">
        <v>307</v>
      </c>
      <c r="B12167" t="s">
        <v>1049</v>
      </c>
    </row>
    <row r="12168" spans="1:8" x14ac:dyDescent="0.25">
      <c r="A12168" t="s">
        <v>22</v>
      </c>
      <c r="B12168" t="s">
        <v>1049</v>
      </c>
    </row>
    <row r="12169" spans="1:8" x14ac:dyDescent="0.25">
      <c r="A12169" t="s">
        <v>2329</v>
      </c>
      <c r="B12169" t="s">
        <v>1050</v>
      </c>
      <c r="C12169" t="s">
        <v>403</v>
      </c>
      <c r="D12169">
        <v>30</v>
      </c>
      <c r="E12169">
        <v>5600</v>
      </c>
      <c r="F12169">
        <v>0</v>
      </c>
      <c r="G12169">
        <v>20</v>
      </c>
      <c r="H12169" t="s">
        <v>19</v>
      </c>
    </row>
    <row r="12170" spans="1:8" x14ac:dyDescent="0.25">
      <c r="A12170" t="str">
        <f>"&lt;nominal&gt;" &amp;$D$12169&amp;"&lt;/nominal&gt;"</f>
        <v>&lt;nominal&gt;30&lt;/nominal&gt;</v>
      </c>
      <c r="B12170" t="s">
        <v>1050</v>
      </c>
    </row>
    <row r="12171" spans="1:8" x14ac:dyDescent="0.25">
      <c r="A12171" t="str">
        <f>"&lt;lifetime&gt;" &amp;$E$12169&amp;"&lt;/lifetime&gt;"</f>
        <v>&lt;lifetime&gt;5600&lt;/lifetime&gt;</v>
      </c>
      <c r="B12171" t="s">
        <v>1050</v>
      </c>
    </row>
    <row r="12172" spans="1:8" x14ac:dyDescent="0.25">
      <c r="A12172" t="str">
        <f>"&lt;restock&gt;" &amp;$F$12169&amp;"&lt;/restock&gt;"</f>
        <v>&lt;restock&gt;0&lt;/restock&gt;</v>
      </c>
      <c r="B12172" t="s">
        <v>1050</v>
      </c>
    </row>
    <row r="12173" spans="1:8" x14ac:dyDescent="0.25">
      <c r="A12173" t="str">
        <f>"&lt;min&gt;" &amp;$G$12169&amp;"&lt;/min&gt;"</f>
        <v>&lt;min&gt;20&lt;/min&gt;</v>
      </c>
      <c r="B12173" t="s">
        <v>1050</v>
      </c>
    </row>
    <row r="12174" spans="1:8" x14ac:dyDescent="0.25">
      <c r="A12174" t="s">
        <v>16</v>
      </c>
      <c r="B12174" t="s">
        <v>1050</v>
      </c>
    </row>
    <row r="12175" spans="1:8" x14ac:dyDescent="0.25">
      <c r="A12175" t="s">
        <v>17</v>
      </c>
      <c r="B12175" t="s">
        <v>1050</v>
      </c>
    </row>
    <row r="12176" spans="1:8" x14ac:dyDescent="0.25">
      <c r="A12176" t="s">
        <v>18</v>
      </c>
      <c r="B12176" t="s">
        <v>1050</v>
      </c>
    </row>
    <row r="12177" spans="1:8" x14ac:dyDescent="0.25">
      <c r="A12177" t="str">
        <f xml:space="preserve"> $H$12169</f>
        <v>&lt;flags count_in_cargo="0" count_in_hoarder="0" count_in_map="1" count_in_player="0" crafted="0" deloot="0"/&gt;</v>
      </c>
      <c r="B12177" t="s">
        <v>1050</v>
      </c>
    </row>
    <row r="12178" spans="1:8" x14ac:dyDescent="0.25">
      <c r="A12178" t="str">
        <f>"&lt;category name=" &amp;"""" &amp;$C$12169&amp;"""/&gt;"</f>
        <v>&lt;category name="clothes"/&gt;</v>
      </c>
      <c r="B12178" t="s">
        <v>1050</v>
      </c>
    </row>
    <row r="12179" spans="1:8" x14ac:dyDescent="0.25">
      <c r="A12179" t="s">
        <v>39</v>
      </c>
      <c r="B12179" t="s">
        <v>1050</v>
      </c>
    </row>
    <row r="12180" spans="1:8" x14ac:dyDescent="0.25">
      <c r="A12180" t="s">
        <v>40</v>
      </c>
      <c r="B12180" t="s">
        <v>1050</v>
      </c>
    </row>
    <row r="12181" spans="1:8" x14ac:dyDescent="0.25">
      <c r="A12181" t="s">
        <v>30</v>
      </c>
      <c r="B12181" t="s">
        <v>1050</v>
      </c>
    </row>
    <row r="12182" spans="1:8" x14ac:dyDescent="0.25">
      <c r="A12182" t="s">
        <v>31</v>
      </c>
      <c r="B12182" t="s">
        <v>1050</v>
      </c>
    </row>
    <row r="12183" spans="1:8" x14ac:dyDescent="0.25">
      <c r="A12183" t="s">
        <v>307</v>
      </c>
      <c r="B12183" t="s">
        <v>1050</v>
      </c>
    </row>
    <row r="12184" spans="1:8" x14ac:dyDescent="0.25">
      <c r="A12184" t="s">
        <v>22</v>
      </c>
      <c r="B12184" t="s">
        <v>1050</v>
      </c>
    </row>
    <row r="12185" spans="1:8" x14ac:dyDescent="0.25">
      <c r="A12185" t="s">
        <v>2330</v>
      </c>
      <c r="B12185" t="s">
        <v>1051</v>
      </c>
      <c r="C12185" t="s">
        <v>403</v>
      </c>
      <c r="D12185">
        <v>30</v>
      </c>
      <c r="E12185">
        <v>2700</v>
      </c>
      <c r="F12185">
        <v>0</v>
      </c>
      <c r="G12185">
        <v>20</v>
      </c>
      <c r="H12185" t="s">
        <v>19</v>
      </c>
    </row>
    <row r="12186" spans="1:8" x14ac:dyDescent="0.25">
      <c r="A12186" t="str">
        <f>"&lt;nominal&gt;" &amp;$D$12185&amp;"&lt;/nominal&gt;"</f>
        <v>&lt;nominal&gt;30&lt;/nominal&gt;</v>
      </c>
      <c r="B12186" t="s">
        <v>1051</v>
      </c>
    </row>
    <row r="12187" spans="1:8" x14ac:dyDescent="0.25">
      <c r="A12187" t="str">
        <f>"&lt;lifetime&gt;" &amp;$E$12185&amp;"&lt;/lifetime&gt;"</f>
        <v>&lt;lifetime&gt;2700&lt;/lifetime&gt;</v>
      </c>
      <c r="B12187" t="s">
        <v>1051</v>
      </c>
    </row>
    <row r="12188" spans="1:8" x14ac:dyDescent="0.25">
      <c r="A12188" t="str">
        <f>"&lt;restock&gt;" &amp;$F$12185&amp;"&lt;/restock&gt;"</f>
        <v>&lt;restock&gt;0&lt;/restock&gt;</v>
      </c>
      <c r="B12188" t="s">
        <v>1051</v>
      </c>
    </row>
    <row r="12189" spans="1:8" x14ac:dyDescent="0.25">
      <c r="A12189" t="str">
        <f>"&lt;min&gt;" &amp;$G$12185&amp;"&lt;/min&gt;"</f>
        <v>&lt;min&gt;20&lt;/min&gt;</v>
      </c>
      <c r="B12189" t="s">
        <v>1051</v>
      </c>
    </row>
    <row r="12190" spans="1:8" x14ac:dyDescent="0.25">
      <c r="A12190" t="s">
        <v>16</v>
      </c>
      <c r="B12190" t="s">
        <v>1051</v>
      </c>
    </row>
    <row r="12191" spans="1:8" x14ac:dyDescent="0.25">
      <c r="A12191" t="s">
        <v>17</v>
      </c>
      <c r="B12191" t="s">
        <v>1051</v>
      </c>
    </row>
    <row r="12192" spans="1:8" x14ac:dyDescent="0.25">
      <c r="A12192" t="s">
        <v>18</v>
      </c>
      <c r="B12192" t="s">
        <v>1051</v>
      </c>
    </row>
    <row r="12193" spans="1:8" x14ac:dyDescent="0.25">
      <c r="A12193" t="str">
        <f xml:space="preserve"> $H$12185</f>
        <v>&lt;flags count_in_cargo="0" count_in_hoarder="0" count_in_map="1" count_in_player="0" crafted="0" deloot="0"/&gt;</v>
      </c>
      <c r="B12193" t="s">
        <v>1051</v>
      </c>
    </row>
    <row r="12194" spans="1:8" x14ac:dyDescent="0.25">
      <c r="A12194" t="str">
        <f>"&lt;category name=" &amp;"""" &amp;$C$12185&amp;"""/&gt;"</f>
        <v>&lt;category name="clothes"/&gt;</v>
      </c>
      <c r="B12194" t="s">
        <v>1051</v>
      </c>
    </row>
    <row r="12195" spans="1:8" x14ac:dyDescent="0.25">
      <c r="A12195" t="s">
        <v>39</v>
      </c>
      <c r="B12195" t="s">
        <v>1051</v>
      </c>
    </row>
    <row r="12196" spans="1:8" x14ac:dyDescent="0.25">
      <c r="A12196" t="s">
        <v>40</v>
      </c>
      <c r="B12196" t="s">
        <v>1051</v>
      </c>
    </row>
    <row r="12197" spans="1:8" x14ac:dyDescent="0.25">
      <c r="A12197" t="s">
        <v>22</v>
      </c>
      <c r="B12197" t="s">
        <v>1051</v>
      </c>
    </row>
    <row r="12198" spans="1:8" x14ac:dyDescent="0.25">
      <c r="A12198" t="s">
        <v>2331</v>
      </c>
      <c r="B12198" t="s">
        <v>1052</v>
      </c>
      <c r="C12198" t="s">
        <v>403</v>
      </c>
      <c r="D12198">
        <v>30</v>
      </c>
      <c r="E12198">
        <v>2700</v>
      </c>
      <c r="F12198">
        <v>0</v>
      </c>
      <c r="G12198">
        <v>20</v>
      </c>
      <c r="H12198" t="s">
        <v>19</v>
      </c>
    </row>
    <row r="12199" spans="1:8" x14ac:dyDescent="0.25">
      <c r="A12199" t="str">
        <f>"&lt;nominal&gt;" &amp;$D$12198&amp;"&lt;/nominal&gt;"</f>
        <v>&lt;nominal&gt;30&lt;/nominal&gt;</v>
      </c>
      <c r="B12199" t="s">
        <v>1052</v>
      </c>
    </row>
    <row r="12200" spans="1:8" x14ac:dyDescent="0.25">
      <c r="A12200" t="str">
        <f>"&lt;lifetime&gt;" &amp;$E$12198&amp;"&lt;/lifetime&gt;"</f>
        <v>&lt;lifetime&gt;2700&lt;/lifetime&gt;</v>
      </c>
      <c r="B12200" t="s">
        <v>1052</v>
      </c>
    </row>
    <row r="12201" spans="1:8" x14ac:dyDescent="0.25">
      <c r="A12201" t="str">
        <f>"&lt;restock&gt;" &amp;$F$12198&amp;"&lt;/restock&gt;"</f>
        <v>&lt;restock&gt;0&lt;/restock&gt;</v>
      </c>
      <c r="B12201" t="s">
        <v>1052</v>
      </c>
    </row>
    <row r="12202" spans="1:8" x14ac:dyDescent="0.25">
      <c r="A12202" t="str">
        <f>"&lt;min&gt;" &amp;$G$12198&amp;"&lt;/min&gt;"</f>
        <v>&lt;min&gt;20&lt;/min&gt;</v>
      </c>
      <c r="B12202" t="s">
        <v>1052</v>
      </c>
    </row>
    <row r="12203" spans="1:8" x14ac:dyDescent="0.25">
      <c r="A12203" t="s">
        <v>16</v>
      </c>
      <c r="B12203" t="s">
        <v>1052</v>
      </c>
    </row>
    <row r="12204" spans="1:8" x14ac:dyDescent="0.25">
      <c r="A12204" t="s">
        <v>17</v>
      </c>
      <c r="B12204" t="s">
        <v>1052</v>
      </c>
    </row>
    <row r="12205" spans="1:8" x14ac:dyDescent="0.25">
      <c r="A12205" t="s">
        <v>18</v>
      </c>
      <c r="B12205" t="s">
        <v>1052</v>
      </c>
    </row>
    <row r="12206" spans="1:8" x14ac:dyDescent="0.25">
      <c r="A12206" t="str">
        <f xml:space="preserve"> $H$12198</f>
        <v>&lt;flags count_in_cargo="0" count_in_hoarder="0" count_in_map="1" count_in_player="0" crafted="0" deloot="0"/&gt;</v>
      </c>
      <c r="B12206" t="s">
        <v>1052</v>
      </c>
    </row>
    <row r="12207" spans="1:8" x14ac:dyDescent="0.25">
      <c r="A12207" t="str">
        <f>"&lt;category name=" &amp;"""" &amp;$C$12198&amp;"""/&gt;"</f>
        <v>&lt;category name="clothes"/&gt;</v>
      </c>
      <c r="B12207" t="s">
        <v>1052</v>
      </c>
    </row>
    <row r="12208" spans="1:8" x14ac:dyDescent="0.25">
      <c r="A12208" t="s">
        <v>39</v>
      </c>
      <c r="B12208" t="s">
        <v>1052</v>
      </c>
    </row>
    <row r="12209" spans="1:8" x14ac:dyDescent="0.25">
      <c r="A12209" t="s">
        <v>40</v>
      </c>
      <c r="B12209" t="s">
        <v>1052</v>
      </c>
    </row>
    <row r="12210" spans="1:8" x14ac:dyDescent="0.25">
      <c r="A12210" t="s">
        <v>22</v>
      </c>
      <c r="B12210" t="s">
        <v>1052</v>
      </c>
    </row>
    <row r="12211" spans="1:8" x14ac:dyDescent="0.25">
      <c r="A12211" t="s">
        <v>2332</v>
      </c>
      <c r="B12211" t="s">
        <v>1053</v>
      </c>
      <c r="C12211" t="s">
        <v>403</v>
      </c>
      <c r="D12211">
        <v>30</v>
      </c>
      <c r="E12211">
        <v>2700</v>
      </c>
      <c r="F12211">
        <v>0</v>
      </c>
      <c r="G12211">
        <v>20</v>
      </c>
      <c r="H12211" t="s">
        <v>19</v>
      </c>
    </row>
    <row r="12212" spans="1:8" x14ac:dyDescent="0.25">
      <c r="A12212" t="str">
        <f>"&lt;nominal&gt;" &amp;$D$12211&amp;"&lt;/nominal&gt;"</f>
        <v>&lt;nominal&gt;30&lt;/nominal&gt;</v>
      </c>
      <c r="B12212" t="s">
        <v>1053</v>
      </c>
    </row>
    <row r="12213" spans="1:8" x14ac:dyDescent="0.25">
      <c r="A12213" t="str">
        <f>"&lt;lifetime&gt;" &amp;$E$12211&amp;"&lt;/lifetime&gt;"</f>
        <v>&lt;lifetime&gt;2700&lt;/lifetime&gt;</v>
      </c>
      <c r="B12213" t="s">
        <v>1053</v>
      </c>
    </row>
    <row r="12214" spans="1:8" x14ac:dyDescent="0.25">
      <c r="A12214" t="str">
        <f>"&lt;restock&gt;" &amp;$F$12211&amp;"&lt;/restock&gt;"</f>
        <v>&lt;restock&gt;0&lt;/restock&gt;</v>
      </c>
      <c r="B12214" t="s">
        <v>1053</v>
      </c>
    </row>
    <row r="12215" spans="1:8" x14ac:dyDescent="0.25">
      <c r="A12215" t="str">
        <f>"&lt;min&gt;" &amp;$G$12211&amp;"&lt;/min&gt;"</f>
        <v>&lt;min&gt;20&lt;/min&gt;</v>
      </c>
      <c r="B12215" t="s">
        <v>1053</v>
      </c>
    </row>
    <row r="12216" spans="1:8" x14ac:dyDescent="0.25">
      <c r="A12216" t="s">
        <v>16</v>
      </c>
      <c r="B12216" t="s">
        <v>1053</v>
      </c>
    </row>
    <row r="12217" spans="1:8" x14ac:dyDescent="0.25">
      <c r="A12217" t="s">
        <v>17</v>
      </c>
      <c r="B12217" t="s">
        <v>1053</v>
      </c>
    </row>
    <row r="12218" spans="1:8" x14ac:dyDescent="0.25">
      <c r="A12218" t="s">
        <v>18</v>
      </c>
      <c r="B12218" t="s">
        <v>1053</v>
      </c>
    </row>
    <row r="12219" spans="1:8" x14ac:dyDescent="0.25">
      <c r="A12219" t="str">
        <f xml:space="preserve"> $H$12211</f>
        <v>&lt;flags count_in_cargo="0" count_in_hoarder="0" count_in_map="1" count_in_player="0" crafted="0" deloot="0"/&gt;</v>
      </c>
      <c r="B12219" t="s">
        <v>1053</v>
      </c>
    </row>
    <row r="12220" spans="1:8" x14ac:dyDescent="0.25">
      <c r="A12220" t="str">
        <f>"&lt;category name=" &amp;"""" &amp;$C$12211&amp;"""/&gt;"</f>
        <v>&lt;category name="clothes"/&gt;</v>
      </c>
      <c r="B12220" t="s">
        <v>1053</v>
      </c>
    </row>
    <row r="12221" spans="1:8" x14ac:dyDescent="0.25">
      <c r="A12221" t="s">
        <v>39</v>
      </c>
      <c r="B12221" t="s">
        <v>1053</v>
      </c>
    </row>
    <row r="12222" spans="1:8" x14ac:dyDescent="0.25">
      <c r="A12222" t="s">
        <v>40</v>
      </c>
      <c r="B12222" t="s">
        <v>1053</v>
      </c>
    </row>
    <row r="12223" spans="1:8" x14ac:dyDescent="0.25">
      <c r="A12223" t="s">
        <v>22</v>
      </c>
      <c r="B12223" t="s">
        <v>1053</v>
      </c>
    </row>
    <row r="12224" spans="1:8" x14ac:dyDescent="0.25">
      <c r="A12224" t="s">
        <v>2333</v>
      </c>
      <c r="B12224" t="s">
        <v>1054</v>
      </c>
      <c r="C12224" t="s">
        <v>403</v>
      </c>
      <c r="D12224">
        <v>30</v>
      </c>
      <c r="E12224">
        <v>2700</v>
      </c>
      <c r="F12224">
        <v>0</v>
      </c>
      <c r="G12224">
        <v>20</v>
      </c>
      <c r="H12224" t="s">
        <v>19</v>
      </c>
    </row>
    <row r="12225" spans="1:8" x14ac:dyDescent="0.25">
      <c r="A12225" t="str">
        <f>"&lt;nominal&gt;" &amp;$D$12224&amp;"&lt;/nominal&gt;"</f>
        <v>&lt;nominal&gt;30&lt;/nominal&gt;</v>
      </c>
      <c r="B12225" t="s">
        <v>1054</v>
      </c>
    </row>
    <row r="12226" spans="1:8" x14ac:dyDescent="0.25">
      <c r="A12226" t="str">
        <f>"&lt;lifetime&gt;" &amp;$E$12224&amp;"&lt;/lifetime&gt;"</f>
        <v>&lt;lifetime&gt;2700&lt;/lifetime&gt;</v>
      </c>
      <c r="B12226" t="s">
        <v>1054</v>
      </c>
    </row>
    <row r="12227" spans="1:8" x14ac:dyDescent="0.25">
      <c r="A12227" t="str">
        <f>"&lt;restock&gt;" &amp;$F$12224&amp;"&lt;/restock&gt;"</f>
        <v>&lt;restock&gt;0&lt;/restock&gt;</v>
      </c>
      <c r="B12227" t="s">
        <v>1054</v>
      </c>
    </row>
    <row r="12228" spans="1:8" x14ac:dyDescent="0.25">
      <c r="A12228" t="str">
        <f>"&lt;min&gt;" &amp;$G$12224&amp;"&lt;/min&gt;"</f>
        <v>&lt;min&gt;20&lt;/min&gt;</v>
      </c>
      <c r="B12228" t="s">
        <v>1054</v>
      </c>
    </row>
    <row r="12229" spans="1:8" x14ac:dyDescent="0.25">
      <c r="A12229" t="s">
        <v>16</v>
      </c>
      <c r="B12229" t="s">
        <v>1054</v>
      </c>
    </row>
    <row r="12230" spans="1:8" x14ac:dyDescent="0.25">
      <c r="A12230" t="s">
        <v>17</v>
      </c>
      <c r="B12230" t="s">
        <v>1054</v>
      </c>
    </row>
    <row r="12231" spans="1:8" x14ac:dyDescent="0.25">
      <c r="A12231" t="s">
        <v>18</v>
      </c>
      <c r="B12231" t="s">
        <v>1054</v>
      </c>
    </row>
    <row r="12232" spans="1:8" x14ac:dyDescent="0.25">
      <c r="A12232" t="str">
        <f xml:space="preserve"> $H$12224</f>
        <v>&lt;flags count_in_cargo="0" count_in_hoarder="0" count_in_map="1" count_in_player="0" crafted="0" deloot="0"/&gt;</v>
      </c>
      <c r="B12232" t="s">
        <v>1054</v>
      </c>
    </row>
    <row r="12233" spans="1:8" x14ac:dyDescent="0.25">
      <c r="A12233" t="str">
        <f>"&lt;category name=" &amp;"""" &amp;$C$12224&amp;"""/&gt;"</f>
        <v>&lt;category name="clothes"/&gt;</v>
      </c>
      <c r="B12233" t="s">
        <v>1054</v>
      </c>
    </row>
    <row r="12234" spans="1:8" x14ac:dyDescent="0.25">
      <c r="A12234" t="s">
        <v>39</v>
      </c>
      <c r="B12234" t="s">
        <v>1054</v>
      </c>
    </row>
    <row r="12235" spans="1:8" x14ac:dyDescent="0.25">
      <c r="A12235" t="s">
        <v>40</v>
      </c>
      <c r="B12235" t="s">
        <v>1054</v>
      </c>
    </row>
    <row r="12236" spans="1:8" x14ac:dyDescent="0.25">
      <c r="A12236" t="s">
        <v>22</v>
      </c>
      <c r="B12236" t="s">
        <v>1054</v>
      </c>
    </row>
    <row r="12237" spans="1:8" x14ac:dyDescent="0.25">
      <c r="A12237" t="s">
        <v>2334</v>
      </c>
      <c r="B12237" t="s">
        <v>1055</v>
      </c>
      <c r="C12237" t="s">
        <v>403</v>
      </c>
      <c r="D12237">
        <v>20</v>
      </c>
      <c r="E12237">
        <v>5600</v>
      </c>
      <c r="F12237">
        <v>0</v>
      </c>
      <c r="G12237">
        <v>10</v>
      </c>
      <c r="H12237" t="s">
        <v>19</v>
      </c>
    </row>
    <row r="12238" spans="1:8" x14ac:dyDescent="0.25">
      <c r="A12238" t="str">
        <f>"&lt;nominal&gt;" &amp;$D$12237&amp;"&lt;/nominal&gt;"</f>
        <v>&lt;nominal&gt;20&lt;/nominal&gt;</v>
      </c>
      <c r="B12238" t="s">
        <v>1055</v>
      </c>
    </row>
    <row r="12239" spans="1:8" x14ac:dyDescent="0.25">
      <c r="A12239" t="str">
        <f>"&lt;lifetime&gt;" &amp;$E$12237&amp;"&lt;/lifetime&gt;"</f>
        <v>&lt;lifetime&gt;5600&lt;/lifetime&gt;</v>
      </c>
      <c r="B12239" t="s">
        <v>1055</v>
      </c>
    </row>
    <row r="12240" spans="1:8" x14ac:dyDescent="0.25">
      <c r="A12240" t="str">
        <f>"&lt;restock&gt;" &amp;$F$12237&amp;"&lt;/restock&gt;"</f>
        <v>&lt;restock&gt;0&lt;/restock&gt;</v>
      </c>
      <c r="B12240" t="s">
        <v>1055</v>
      </c>
    </row>
    <row r="12241" spans="1:8" x14ac:dyDescent="0.25">
      <c r="A12241" t="str">
        <f>"&lt;min&gt;" &amp;$G$12237&amp;"&lt;/min&gt;"</f>
        <v>&lt;min&gt;10&lt;/min&gt;</v>
      </c>
      <c r="B12241" t="s">
        <v>1055</v>
      </c>
    </row>
    <row r="12242" spans="1:8" x14ac:dyDescent="0.25">
      <c r="A12242" t="s">
        <v>16</v>
      </c>
      <c r="B12242" t="s">
        <v>1055</v>
      </c>
    </row>
    <row r="12243" spans="1:8" x14ac:dyDescent="0.25">
      <c r="A12243" t="s">
        <v>17</v>
      </c>
      <c r="B12243" t="s">
        <v>1055</v>
      </c>
    </row>
    <row r="12244" spans="1:8" x14ac:dyDescent="0.25">
      <c r="A12244" t="s">
        <v>18</v>
      </c>
      <c r="B12244" t="s">
        <v>1055</v>
      </c>
    </row>
    <row r="12245" spans="1:8" x14ac:dyDescent="0.25">
      <c r="A12245" t="str">
        <f xml:space="preserve"> $H$12237</f>
        <v>&lt;flags count_in_cargo="0" count_in_hoarder="0" count_in_map="1" count_in_player="0" crafted="0" deloot="0"/&gt;</v>
      </c>
      <c r="B12245" t="s">
        <v>1055</v>
      </c>
    </row>
    <row r="12246" spans="1:8" x14ac:dyDescent="0.25">
      <c r="A12246" t="str">
        <f>"&lt;category name=" &amp;"""" &amp;$C$12237&amp;"""/&gt;"</f>
        <v>&lt;category name="clothes"/&gt;</v>
      </c>
      <c r="B12246" t="s">
        <v>1055</v>
      </c>
    </row>
    <row r="12247" spans="1:8" x14ac:dyDescent="0.25">
      <c r="A12247" t="s">
        <v>39</v>
      </c>
      <c r="B12247" t="s">
        <v>1055</v>
      </c>
    </row>
    <row r="12248" spans="1:8" x14ac:dyDescent="0.25">
      <c r="A12248" t="s">
        <v>22</v>
      </c>
      <c r="B12248" t="s">
        <v>1055</v>
      </c>
    </row>
    <row r="12249" spans="1:8" x14ac:dyDescent="0.25">
      <c r="A12249" t="s">
        <v>2335</v>
      </c>
      <c r="B12249" t="s">
        <v>1056</v>
      </c>
      <c r="C12249" t="s">
        <v>403</v>
      </c>
      <c r="D12249">
        <v>20</v>
      </c>
      <c r="E12249">
        <v>5600</v>
      </c>
      <c r="F12249">
        <v>0</v>
      </c>
      <c r="G12249">
        <v>10</v>
      </c>
      <c r="H12249" t="s">
        <v>19</v>
      </c>
    </row>
    <row r="12250" spans="1:8" x14ac:dyDescent="0.25">
      <c r="A12250" t="str">
        <f>"&lt;nominal&gt;" &amp;$D$12249&amp;"&lt;/nominal&gt;"</f>
        <v>&lt;nominal&gt;20&lt;/nominal&gt;</v>
      </c>
      <c r="B12250" t="s">
        <v>1056</v>
      </c>
    </row>
    <row r="12251" spans="1:8" x14ac:dyDescent="0.25">
      <c r="A12251" t="str">
        <f>"&lt;lifetime&gt;" &amp;$E$12249&amp;"&lt;/lifetime&gt;"</f>
        <v>&lt;lifetime&gt;5600&lt;/lifetime&gt;</v>
      </c>
      <c r="B12251" t="s">
        <v>1056</v>
      </c>
    </row>
    <row r="12252" spans="1:8" x14ac:dyDescent="0.25">
      <c r="A12252" t="str">
        <f>"&lt;restock&gt;" &amp;$F$12249&amp;"&lt;/restock&gt;"</f>
        <v>&lt;restock&gt;0&lt;/restock&gt;</v>
      </c>
      <c r="B12252" t="s">
        <v>1056</v>
      </c>
    </row>
    <row r="12253" spans="1:8" x14ac:dyDescent="0.25">
      <c r="A12253" t="str">
        <f>"&lt;min&gt;" &amp;$G$12249&amp;"&lt;/min&gt;"</f>
        <v>&lt;min&gt;10&lt;/min&gt;</v>
      </c>
      <c r="B12253" t="s">
        <v>1056</v>
      </c>
    </row>
    <row r="12254" spans="1:8" x14ac:dyDescent="0.25">
      <c r="A12254" t="s">
        <v>16</v>
      </c>
      <c r="B12254" t="s">
        <v>1056</v>
      </c>
    </row>
    <row r="12255" spans="1:8" x14ac:dyDescent="0.25">
      <c r="A12255" t="s">
        <v>17</v>
      </c>
      <c r="B12255" t="s">
        <v>1056</v>
      </c>
    </row>
    <row r="12256" spans="1:8" x14ac:dyDescent="0.25">
      <c r="A12256" t="s">
        <v>18</v>
      </c>
      <c r="B12256" t="s">
        <v>1056</v>
      </c>
    </row>
    <row r="12257" spans="1:8" x14ac:dyDescent="0.25">
      <c r="A12257" t="str">
        <f xml:space="preserve"> $H$12249</f>
        <v>&lt;flags count_in_cargo="0" count_in_hoarder="0" count_in_map="1" count_in_player="0" crafted="0" deloot="0"/&gt;</v>
      </c>
      <c r="B12257" t="s">
        <v>1056</v>
      </c>
    </row>
    <row r="12258" spans="1:8" x14ac:dyDescent="0.25">
      <c r="A12258" t="str">
        <f>"&lt;category name=" &amp;"""" &amp;$C$12249&amp;"""/&gt;"</f>
        <v>&lt;category name="clothes"/&gt;</v>
      </c>
      <c r="B12258" t="s">
        <v>1056</v>
      </c>
    </row>
    <row r="12259" spans="1:8" x14ac:dyDescent="0.25">
      <c r="A12259" t="s">
        <v>39</v>
      </c>
      <c r="B12259" t="s">
        <v>1056</v>
      </c>
    </row>
    <row r="12260" spans="1:8" x14ac:dyDescent="0.25">
      <c r="A12260" t="s">
        <v>22</v>
      </c>
      <c r="B12260" t="s">
        <v>1056</v>
      </c>
    </row>
    <row r="12261" spans="1:8" x14ac:dyDescent="0.25">
      <c r="A12261" t="s">
        <v>2336</v>
      </c>
      <c r="B12261" t="s">
        <v>1057</v>
      </c>
      <c r="C12261" t="s">
        <v>403</v>
      </c>
      <c r="D12261">
        <v>20</v>
      </c>
      <c r="E12261">
        <v>5600</v>
      </c>
      <c r="F12261">
        <v>0</v>
      </c>
      <c r="G12261">
        <v>10</v>
      </c>
      <c r="H12261" t="s">
        <v>19</v>
      </c>
    </row>
    <row r="12262" spans="1:8" x14ac:dyDescent="0.25">
      <c r="A12262" t="str">
        <f>"&lt;nominal&gt;" &amp;$D$12261&amp;"&lt;/nominal&gt;"</f>
        <v>&lt;nominal&gt;20&lt;/nominal&gt;</v>
      </c>
      <c r="B12262" t="s">
        <v>1057</v>
      </c>
    </row>
    <row r="12263" spans="1:8" x14ac:dyDescent="0.25">
      <c r="A12263" t="str">
        <f>"&lt;lifetime&gt;" &amp;$E$12261&amp;"&lt;/lifetime&gt;"</f>
        <v>&lt;lifetime&gt;5600&lt;/lifetime&gt;</v>
      </c>
      <c r="B12263" t="s">
        <v>1057</v>
      </c>
    </row>
    <row r="12264" spans="1:8" x14ac:dyDescent="0.25">
      <c r="A12264" t="str">
        <f>"&lt;restock&gt;" &amp;$F$12261&amp;"&lt;/restock&gt;"</f>
        <v>&lt;restock&gt;0&lt;/restock&gt;</v>
      </c>
      <c r="B12264" t="s">
        <v>1057</v>
      </c>
    </row>
    <row r="12265" spans="1:8" x14ac:dyDescent="0.25">
      <c r="A12265" t="str">
        <f>"&lt;min&gt;" &amp;$G$12261&amp;"&lt;/min&gt;"</f>
        <v>&lt;min&gt;10&lt;/min&gt;</v>
      </c>
      <c r="B12265" t="s">
        <v>1057</v>
      </c>
    </row>
    <row r="12266" spans="1:8" x14ac:dyDescent="0.25">
      <c r="A12266" t="s">
        <v>16</v>
      </c>
      <c r="B12266" t="s">
        <v>1057</v>
      </c>
    </row>
    <row r="12267" spans="1:8" x14ac:dyDescent="0.25">
      <c r="A12267" t="s">
        <v>17</v>
      </c>
      <c r="B12267" t="s">
        <v>1057</v>
      </c>
    </row>
    <row r="12268" spans="1:8" x14ac:dyDescent="0.25">
      <c r="A12268" t="s">
        <v>18</v>
      </c>
      <c r="B12268" t="s">
        <v>1057</v>
      </c>
    </row>
    <row r="12269" spans="1:8" x14ac:dyDescent="0.25">
      <c r="A12269" t="str">
        <f xml:space="preserve"> $H$12261</f>
        <v>&lt;flags count_in_cargo="0" count_in_hoarder="0" count_in_map="1" count_in_player="0" crafted="0" deloot="0"/&gt;</v>
      </c>
      <c r="B12269" t="s">
        <v>1057</v>
      </c>
    </row>
    <row r="12270" spans="1:8" x14ac:dyDescent="0.25">
      <c r="A12270" t="str">
        <f>"&lt;category name=" &amp;"""" &amp;$C$12261&amp;"""/&gt;"</f>
        <v>&lt;category name="clothes"/&gt;</v>
      </c>
      <c r="B12270" t="s">
        <v>1057</v>
      </c>
    </row>
    <row r="12271" spans="1:8" x14ac:dyDescent="0.25">
      <c r="A12271" t="s">
        <v>39</v>
      </c>
      <c r="B12271" t="s">
        <v>1057</v>
      </c>
    </row>
    <row r="12272" spans="1:8" x14ac:dyDescent="0.25">
      <c r="A12272" t="s">
        <v>22</v>
      </c>
      <c r="B12272" t="s">
        <v>1057</v>
      </c>
    </row>
    <row r="12273" spans="1:8" x14ac:dyDescent="0.25">
      <c r="A12273" t="s">
        <v>2337</v>
      </c>
      <c r="B12273" t="s">
        <v>1058</v>
      </c>
      <c r="C12273" t="s">
        <v>403</v>
      </c>
      <c r="D12273">
        <v>20</v>
      </c>
      <c r="E12273">
        <v>5600</v>
      </c>
      <c r="F12273">
        <v>0</v>
      </c>
      <c r="G12273">
        <v>10</v>
      </c>
      <c r="H12273" t="s">
        <v>19</v>
      </c>
    </row>
    <row r="12274" spans="1:8" x14ac:dyDescent="0.25">
      <c r="A12274" t="str">
        <f>"&lt;nominal&gt;" &amp;$D$12273&amp;"&lt;/nominal&gt;"</f>
        <v>&lt;nominal&gt;20&lt;/nominal&gt;</v>
      </c>
      <c r="B12274" t="s">
        <v>1058</v>
      </c>
    </row>
    <row r="12275" spans="1:8" x14ac:dyDescent="0.25">
      <c r="A12275" t="str">
        <f>"&lt;lifetime&gt;" &amp;$E$12273&amp;"&lt;/lifetime&gt;"</f>
        <v>&lt;lifetime&gt;5600&lt;/lifetime&gt;</v>
      </c>
      <c r="B12275" t="s">
        <v>1058</v>
      </c>
    </row>
    <row r="12276" spans="1:8" x14ac:dyDescent="0.25">
      <c r="A12276" t="str">
        <f>"&lt;restock&gt;" &amp;$F$12273&amp;"&lt;/restock&gt;"</f>
        <v>&lt;restock&gt;0&lt;/restock&gt;</v>
      </c>
      <c r="B12276" t="s">
        <v>1058</v>
      </c>
    </row>
    <row r="12277" spans="1:8" x14ac:dyDescent="0.25">
      <c r="A12277" t="str">
        <f>"&lt;min&gt;" &amp;$G$12273&amp;"&lt;/min&gt;"</f>
        <v>&lt;min&gt;10&lt;/min&gt;</v>
      </c>
      <c r="B12277" t="s">
        <v>1058</v>
      </c>
    </row>
    <row r="12278" spans="1:8" x14ac:dyDescent="0.25">
      <c r="A12278" t="s">
        <v>16</v>
      </c>
      <c r="B12278" t="s">
        <v>1058</v>
      </c>
    </row>
    <row r="12279" spans="1:8" x14ac:dyDescent="0.25">
      <c r="A12279" t="s">
        <v>17</v>
      </c>
      <c r="B12279" t="s">
        <v>1058</v>
      </c>
    </row>
    <row r="12280" spans="1:8" x14ac:dyDescent="0.25">
      <c r="A12280" t="s">
        <v>18</v>
      </c>
      <c r="B12280" t="s">
        <v>1058</v>
      </c>
    </row>
    <row r="12281" spans="1:8" x14ac:dyDescent="0.25">
      <c r="A12281" t="str">
        <f xml:space="preserve"> $H$12273</f>
        <v>&lt;flags count_in_cargo="0" count_in_hoarder="0" count_in_map="1" count_in_player="0" crafted="0" deloot="0"/&gt;</v>
      </c>
      <c r="B12281" t="s">
        <v>1058</v>
      </c>
    </row>
    <row r="12282" spans="1:8" x14ac:dyDescent="0.25">
      <c r="A12282" t="str">
        <f>"&lt;category name=" &amp;"""" &amp;$C$12273&amp;"""/&gt;"</f>
        <v>&lt;category name="clothes"/&gt;</v>
      </c>
      <c r="B12282" t="s">
        <v>1058</v>
      </c>
    </row>
    <row r="12283" spans="1:8" x14ac:dyDescent="0.25">
      <c r="A12283" t="s">
        <v>39</v>
      </c>
      <c r="B12283" t="s">
        <v>1058</v>
      </c>
    </row>
    <row r="12284" spans="1:8" x14ac:dyDescent="0.25">
      <c r="A12284" t="s">
        <v>22</v>
      </c>
      <c r="B12284" t="s">
        <v>1058</v>
      </c>
    </row>
    <row r="12285" spans="1:8" x14ac:dyDescent="0.25">
      <c r="A12285" t="s">
        <v>2338</v>
      </c>
      <c r="B12285" t="s">
        <v>1059</v>
      </c>
      <c r="C12285" t="s">
        <v>403</v>
      </c>
      <c r="D12285">
        <v>20</v>
      </c>
      <c r="E12285">
        <v>5600</v>
      </c>
      <c r="F12285">
        <v>0</v>
      </c>
      <c r="G12285">
        <v>10</v>
      </c>
      <c r="H12285" t="s">
        <v>19</v>
      </c>
    </row>
    <row r="12286" spans="1:8" x14ac:dyDescent="0.25">
      <c r="A12286" t="str">
        <f>"&lt;nominal&gt;" &amp;$D$12285&amp;"&lt;/nominal&gt;"</f>
        <v>&lt;nominal&gt;20&lt;/nominal&gt;</v>
      </c>
      <c r="B12286" t="s">
        <v>1059</v>
      </c>
    </row>
    <row r="12287" spans="1:8" x14ac:dyDescent="0.25">
      <c r="A12287" t="str">
        <f>"&lt;lifetime&gt;" &amp;$E$12285&amp;"&lt;/lifetime&gt;"</f>
        <v>&lt;lifetime&gt;5600&lt;/lifetime&gt;</v>
      </c>
      <c r="B12287" t="s">
        <v>1059</v>
      </c>
    </row>
    <row r="12288" spans="1:8" x14ac:dyDescent="0.25">
      <c r="A12288" t="str">
        <f>"&lt;restock&gt;" &amp;$F$12285&amp;"&lt;/restock&gt;"</f>
        <v>&lt;restock&gt;0&lt;/restock&gt;</v>
      </c>
      <c r="B12288" t="s">
        <v>1059</v>
      </c>
    </row>
    <row r="12289" spans="1:8" x14ac:dyDescent="0.25">
      <c r="A12289" t="str">
        <f>"&lt;min&gt;" &amp;$G$12285&amp;"&lt;/min&gt;"</f>
        <v>&lt;min&gt;10&lt;/min&gt;</v>
      </c>
      <c r="B12289" t="s">
        <v>1059</v>
      </c>
    </row>
    <row r="12290" spans="1:8" x14ac:dyDescent="0.25">
      <c r="A12290" t="s">
        <v>16</v>
      </c>
      <c r="B12290" t="s">
        <v>1059</v>
      </c>
    </row>
    <row r="12291" spans="1:8" x14ac:dyDescent="0.25">
      <c r="A12291" t="s">
        <v>17</v>
      </c>
      <c r="B12291" t="s">
        <v>1059</v>
      </c>
    </row>
    <row r="12292" spans="1:8" x14ac:dyDescent="0.25">
      <c r="A12292" t="s">
        <v>18</v>
      </c>
      <c r="B12292" t="s">
        <v>1059</v>
      </c>
    </row>
    <row r="12293" spans="1:8" x14ac:dyDescent="0.25">
      <c r="A12293" t="str">
        <f xml:space="preserve"> $H$12285</f>
        <v>&lt;flags count_in_cargo="0" count_in_hoarder="0" count_in_map="1" count_in_player="0" crafted="0" deloot="0"/&gt;</v>
      </c>
      <c r="B12293" t="s">
        <v>1059</v>
      </c>
    </row>
    <row r="12294" spans="1:8" x14ac:dyDescent="0.25">
      <c r="A12294" t="str">
        <f>"&lt;category name=" &amp;"""" &amp;$C$12285&amp;"""/&gt;"</f>
        <v>&lt;category name="clothes"/&gt;</v>
      </c>
      <c r="B12294" t="s">
        <v>1059</v>
      </c>
    </row>
    <row r="12295" spans="1:8" x14ac:dyDescent="0.25">
      <c r="A12295" t="s">
        <v>39</v>
      </c>
      <c r="B12295" t="s">
        <v>1059</v>
      </c>
    </row>
    <row r="12296" spans="1:8" x14ac:dyDescent="0.25">
      <c r="A12296" t="s">
        <v>22</v>
      </c>
      <c r="B12296" t="s">
        <v>1059</v>
      </c>
    </row>
    <row r="12297" spans="1:8" x14ac:dyDescent="0.25">
      <c r="A12297" t="s">
        <v>2339</v>
      </c>
      <c r="B12297" t="s">
        <v>1060</v>
      </c>
      <c r="C12297" t="s">
        <v>403</v>
      </c>
      <c r="D12297">
        <v>5</v>
      </c>
      <c r="E12297">
        <v>5600</v>
      </c>
      <c r="F12297">
        <v>0</v>
      </c>
      <c r="G12297">
        <v>3</v>
      </c>
      <c r="H12297" t="s">
        <v>19</v>
      </c>
    </row>
    <row r="12298" spans="1:8" x14ac:dyDescent="0.25">
      <c r="A12298" t="str">
        <f>"&lt;nominal&gt;" &amp;$D$12297&amp;"&lt;/nominal&gt;"</f>
        <v>&lt;nominal&gt;5&lt;/nominal&gt;</v>
      </c>
      <c r="B12298" t="s">
        <v>1060</v>
      </c>
    </row>
    <row r="12299" spans="1:8" x14ac:dyDescent="0.25">
      <c r="A12299" t="str">
        <f>"&lt;lifetime&gt;" &amp;$E$12297&amp;"&lt;/lifetime&gt;"</f>
        <v>&lt;lifetime&gt;5600&lt;/lifetime&gt;</v>
      </c>
      <c r="B12299" t="s">
        <v>1060</v>
      </c>
    </row>
    <row r="12300" spans="1:8" x14ac:dyDescent="0.25">
      <c r="A12300" t="str">
        <f>"&lt;restock&gt;" &amp;$F$12297&amp;"&lt;/restock&gt;"</f>
        <v>&lt;restock&gt;0&lt;/restock&gt;</v>
      </c>
      <c r="B12300" t="s">
        <v>1060</v>
      </c>
    </row>
    <row r="12301" spans="1:8" x14ac:dyDescent="0.25">
      <c r="A12301" t="str">
        <f>"&lt;min&gt;" &amp;$G$12297&amp;"&lt;/min&gt;"</f>
        <v>&lt;min&gt;3&lt;/min&gt;</v>
      </c>
      <c r="B12301" t="s">
        <v>1060</v>
      </c>
    </row>
    <row r="12302" spans="1:8" x14ac:dyDescent="0.25">
      <c r="A12302" t="s">
        <v>16</v>
      </c>
      <c r="B12302" t="s">
        <v>1060</v>
      </c>
    </row>
    <row r="12303" spans="1:8" x14ac:dyDescent="0.25">
      <c r="A12303" t="s">
        <v>17</v>
      </c>
      <c r="B12303" t="s">
        <v>1060</v>
      </c>
    </row>
    <row r="12304" spans="1:8" x14ac:dyDescent="0.25">
      <c r="A12304" t="s">
        <v>18</v>
      </c>
      <c r="B12304" t="s">
        <v>1060</v>
      </c>
    </row>
    <row r="12305" spans="1:8" x14ac:dyDescent="0.25">
      <c r="A12305" t="str">
        <f xml:space="preserve"> $H$12297</f>
        <v>&lt;flags count_in_cargo="0" count_in_hoarder="0" count_in_map="1" count_in_player="0" crafted="0" deloot="0"/&gt;</v>
      </c>
      <c r="B12305" t="s">
        <v>1060</v>
      </c>
    </row>
    <row r="12306" spans="1:8" x14ac:dyDescent="0.25">
      <c r="A12306" t="str">
        <f>"&lt;category name=" &amp;"""" &amp;$C$12297&amp;"""/&gt;"</f>
        <v>&lt;category name="clothes"/&gt;</v>
      </c>
      <c r="B12306" t="s">
        <v>1060</v>
      </c>
    </row>
    <row r="12307" spans="1:8" x14ac:dyDescent="0.25">
      <c r="A12307" t="s">
        <v>39</v>
      </c>
      <c r="B12307" t="s">
        <v>1060</v>
      </c>
    </row>
    <row r="12308" spans="1:8" x14ac:dyDescent="0.25">
      <c r="A12308" t="s">
        <v>22</v>
      </c>
      <c r="B12308" t="s">
        <v>1060</v>
      </c>
    </row>
    <row r="12309" spans="1:8" x14ac:dyDescent="0.25">
      <c r="A12309" t="s">
        <v>2340</v>
      </c>
      <c r="B12309" t="s">
        <v>1061</v>
      </c>
      <c r="C12309" t="s">
        <v>403</v>
      </c>
      <c r="D12309">
        <v>20</v>
      </c>
      <c r="E12309">
        <v>5600</v>
      </c>
      <c r="F12309">
        <v>0</v>
      </c>
      <c r="G12309">
        <v>10</v>
      </c>
      <c r="H12309" t="s">
        <v>19</v>
      </c>
    </row>
    <row r="12310" spans="1:8" x14ac:dyDescent="0.25">
      <c r="A12310" t="str">
        <f>"&lt;nominal&gt;" &amp;$D$12309&amp;"&lt;/nominal&gt;"</f>
        <v>&lt;nominal&gt;20&lt;/nominal&gt;</v>
      </c>
      <c r="B12310" t="s">
        <v>1061</v>
      </c>
    </row>
    <row r="12311" spans="1:8" x14ac:dyDescent="0.25">
      <c r="A12311" t="str">
        <f>"&lt;lifetime&gt;" &amp;$E$12309&amp;"&lt;/lifetime&gt;"</f>
        <v>&lt;lifetime&gt;5600&lt;/lifetime&gt;</v>
      </c>
      <c r="B12311" t="s">
        <v>1061</v>
      </c>
    </row>
    <row r="12312" spans="1:8" x14ac:dyDescent="0.25">
      <c r="A12312" t="str">
        <f>"&lt;restock&gt;" &amp;$F$12309&amp;"&lt;/restock&gt;"</f>
        <v>&lt;restock&gt;0&lt;/restock&gt;</v>
      </c>
      <c r="B12312" t="s">
        <v>1061</v>
      </c>
    </row>
    <row r="12313" spans="1:8" x14ac:dyDescent="0.25">
      <c r="A12313" t="str">
        <f>"&lt;min&gt;" &amp;$G$12309&amp;"&lt;/min&gt;"</f>
        <v>&lt;min&gt;10&lt;/min&gt;</v>
      </c>
      <c r="B12313" t="s">
        <v>1061</v>
      </c>
    </row>
    <row r="12314" spans="1:8" x14ac:dyDescent="0.25">
      <c r="A12314" t="s">
        <v>16</v>
      </c>
      <c r="B12314" t="s">
        <v>1061</v>
      </c>
    </row>
    <row r="12315" spans="1:8" x14ac:dyDescent="0.25">
      <c r="A12315" t="s">
        <v>17</v>
      </c>
      <c r="B12315" t="s">
        <v>1061</v>
      </c>
    </row>
    <row r="12316" spans="1:8" x14ac:dyDescent="0.25">
      <c r="A12316" t="s">
        <v>18</v>
      </c>
      <c r="B12316" t="s">
        <v>1061</v>
      </c>
    </row>
    <row r="12317" spans="1:8" x14ac:dyDescent="0.25">
      <c r="A12317" t="str">
        <f xml:space="preserve"> $H$12309</f>
        <v>&lt;flags count_in_cargo="0" count_in_hoarder="0" count_in_map="1" count_in_player="0" crafted="0" deloot="0"/&gt;</v>
      </c>
      <c r="B12317" t="s">
        <v>1061</v>
      </c>
    </row>
    <row r="12318" spans="1:8" x14ac:dyDescent="0.25">
      <c r="A12318" t="str">
        <f>"&lt;category name=" &amp;"""" &amp;$C$12309&amp;"""/&gt;"</f>
        <v>&lt;category name="clothes"/&gt;</v>
      </c>
      <c r="B12318" t="s">
        <v>1061</v>
      </c>
    </row>
    <row r="12319" spans="1:8" x14ac:dyDescent="0.25">
      <c r="A12319" t="s">
        <v>39</v>
      </c>
      <c r="B12319" t="s">
        <v>1061</v>
      </c>
    </row>
    <row r="12320" spans="1:8" x14ac:dyDescent="0.25">
      <c r="A12320" t="s">
        <v>22</v>
      </c>
      <c r="B12320" t="s">
        <v>1061</v>
      </c>
    </row>
    <row r="12321" spans="1:8" x14ac:dyDescent="0.25">
      <c r="A12321" t="s">
        <v>2341</v>
      </c>
      <c r="B12321" t="s">
        <v>1062</v>
      </c>
      <c r="C12321" t="s">
        <v>403</v>
      </c>
      <c r="D12321">
        <v>20</v>
      </c>
      <c r="E12321">
        <v>5600</v>
      </c>
      <c r="F12321">
        <v>0</v>
      </c>
      <c r="G12321">
        <v>10</v>
      </c>
      <c r="H12321" t="s">
        <v>19</v>
      </c>
    </row>
    <row r="12322" spans="1:8" x14ac:dyDescent="0.25">
      <c r="A12322" t="str">
        <f>"&lt;nominal&gt;" &amp;$D$12321&amp;"&lt;/nominal&gt;"</f>
        <v>&lt;nominal&gt;20&lt;/nominal&gt;</v>
      </c>
      <c r="B12322" t="s">
        <v>1062</v>
      </c>
    </row>
    <row r="12323" spans="1:8" x14ac:dyDescent="0.25">
      <c r="A12323" t="str">
        <f>"&lt;lifetime&gt;" &amp;$E$12321&amp;"&lt;/lifetime&gt;"</f>
        <v>&lt;lifetime&gt;5600&lt;/lifetime&gt;</v>
      </c>
      <c r="B12323" t="s">
        <v>1062</v>
      </c>
    </row>
    <row r="12324" spans="1:8" x14ac:dyDescent="0.25">
      <c r="A12324" t="str">
        <f>"&lt;restock&gt;" &amp;$F$12321&amp;"&lt;/restock&gt;"</f>
        <v>&lt;restock&gt;0&lt;/restock&gt;</v>
      </c>
      <c r="B12324" t="s">
        <v>1062</v>
      </c>
    </row>
    <row r="12325" spans="1:8" x14ac:dyDescent="0.25">
      <c r="A12325" t="str">
        <f>"&lt;min&gt;" &amp;$G$12321&amp;"&lt;/min&gt;"</f>
        <v>&lt;min&gt;10&lt;/min&gt;</v>
      </c>
      <c r="B12325" t="s">
        <v>1062</v>
      </c>
    </row>
    <row r="12326" spans="1:8" x14ac:dyDescent="0.25">
      <c r="A12326" t="s">
        <v>16</v>
      </c>
      <c r="B12326" t="s">
        <v>1062</v>
      </c>
    </row>
    <row r="12327" spans="1:8" x14ac:dyDescent="0.25">
      <c r="A12327" t="s">
        <v>17</v>
      </c>
      <c r="B12327" t="s">
        <v>1062</v>
      </c>
    </row>
    <row r="12328" spans="1:8" x14ac:dyDescent="0.25">
      <c r="A12328" t="s">
        <v>18</v>
      </c>
      <c r="B12328" t="s">
        <v>1062</v>
      </c>
    </row>
    <row r="12329" spans="1:8" x14ac:dyDescent="0.25">
      <c r="A12329" t="str">
        <f xml:space="preserve"> $H$12321</f>
        <v>&lt;flags count_in_cargo="0" count_in_hoarder="0" count_in_map="1" count_in_player="0" crafted="0" deloot="0"/&gt;</v>
      </c>
      <c r="B12329" t="s">
        <v>1062</v>
      </c>
    </row>
    <row r="12330" spans="1:8" x14ac:dyDescent="0.25">
      <c r="A12330" t="str">
        <f>"&lt;category name=" &amp;"""" &amp;$C$12321&amp;"""/&gt;"</f>
        <v>&lt;category name="clothes"/&gt;</v>
      </c>
      <c r="B12330" t="s">
        <v>1062</v>
      </c>
    </row>
    <row r="12331" spans="1:8" x14ac:dyDescent="0.25">
      <c r="A12331" t="s">
        <v>39</v>
      </c>
      <c r="B12331" t="s">
        <v>1062</v>
      </c>
    </row>
    <row r="12332" spans="1:8" x14ac:dyDescent="0.25">
      <c r="A12332" t="s">
        <v>22</v>
      </c>
      <c r="B12332" t="s">
        <v>1062</v>
      </c>
    </row>
    <row r="12333" spans="1:8" x14ac:dyDescent="0.25">
      <c r="A12333" t="s">
        <v>2342</v>
      </c>
      <c r="B12333" t="s">
        <v>1063</v>
      </c>
      <c r="C12333" t="s">
        <v>426</v>
      </c>
      <c r="D12333">
        <v>70</v>
      </c>
      <c r="E12333">
        <v>7200</v>
      </c>
      <c r="F12333">
        <v>0</v>
      </c>
      <c r="G12333">
        <v>50</v>
      </c>
      <c r="H12333" t="s">
        <v>19</v>
      </c>
    </row>
    <row r="12334" spans="1:8" x14ac:dyDescent="0.25">
      <c r="A12334" t="str">
        <f>"&lt;nominal&gt;" &amp;$D$12333&amp;"&lt;/nominal&gt;"</f>
        <v>&lt;nominal&gt;70&lt;/nominal&gt;</v>
      </c>
      <c r="B12334" t="s">
        <v>1063</v>
      </c>
    </row>
    <row r="12335" spans="1:8" x14ac:dyDescent="0.25">
      <c r="A12335" t="str">
        <f>"&lt;lifetime&gt;" &amp;$E$12333&amp;"&lt;/lifetime&gt;"</f>
        <v>&lt;lifetime&gt;7200&lt;/lifetime&gt;</v>
      </c>
      <c r="B12335" t="s">
        <v>1063</v>
      </c>
    </row>
    <row r="12336" spans="1:8" x14ac:dyDescent="0.25">
      <c r="A12336" t="str">
        <f>"&lt;restock&gt;" &amp;$F$12333&amp;"&lt;/restock&gt;"</f>
        <v>&lt;restock&gt;0&lt;/restock&gt;</v>
      </c>
      <c r="B12336" t="s">
        <v>1063</v>
      </c>
    </row>
    <row r="12337" spans="1:8" x14ac:dyDescent="0.25">
      <c r="A12337" t="str">
        <f>"&lt;min&gt;" &amp;$G$12333&amp;"&lt;/min&gt;"</f>
        <v>&lt;min&gt;50&lt;/min&gt;</v>
      </c>
      <c r="B12337" t="s">
        <v>1063</v>
      </c>
    </row>
    <row r="12338" spans="1:8" x14ac:dyDescent="0.25">
      <c r="A12338" t="s">
        <v>16</v>
      </c>
      <c r="B12338" t="s">
        <v>1063</v>
      </c>
    </row>
    <row r="12339" spans="1:8" x14ac:dyDescent="0.25">
      <c r="A12339" t="s">
        <v>17</v>
      </c>
      <c r="B12339" t="s">
        <v>1063</v>
      </c>
    </row>
    <row r="12340" spans="1:8" x14ac:dyDescent="0.25">
      <c r="A12340" t="s">
        <v>18</v>
      </c>
      <c r="B12340" t="s">
        <v>1063</v>
      </c>
    </row>
    <row r="12341" spans="1:8" x14ac:dyDescent="0.25">
      <c r="A12341" t="str">
        <f xml:space="preserve"> $H$12333</f>
        <v>&lt;flags count_in_cargo="0" count_in_hoarder="0" count_in_map="1" count_in_player="0" crafted="0" deloot="0"/&gt;</v>
      </c>
      <c r="B12341" t="s">
        <v>1063</v>
      </c>
    </row>
    <row r="12342" spans="1:8" x14ac:dyDescent="0.25">
      <c r="A12342" t="str">
        <f>"&lt;category name=" &amp;"""" &amp;$C$12333&amp;"""/&gt;"</f>
        <v>&lt;category name="tools"/&gt;</v>
      </c>
      <c r="B12342" t="s">
        <v>1063</v>
      </c>
    </row>
    <row r="12343" spans="1:8" x14ac:dyDescent="0.25">
      <c r="A12343" t="s">
        <v>25</v>
      </c>
      <c r="B12343" t="s">
        <v>1063</v>
      </c>
    </row>
    <row r="12344" spans="1:8" x14ac:dyDescent="0.25">
      <c r="A12344" t="s">
        <v>55</v>
      </c>
      <c r="B12344" t="s">
        <v>1063</v>
      </c>
    </row>
    <row r="12345" spans="1:8" x14ac:dyDescent="0.25">
      <c r="A12345" t="s">
        <v>22</v>
      </c>
      <c r="B12345" t="s">
        <v>1063</v>
      </c>
    </row>
    <row r="12346" spans="1:8" x14ac:dyDescent="0.25">
      <c r="A12346" t="s">
        <v>2343</v>
      </c>
      <c r="B12346" t="s">
        <v>3467</v>
      </c>
      <c r="C12346" t="s">
        <v>426</v>
      </c>
      <c r="D12346">
        <v>0</v>
      </c>
      <c r="E12346">
        <v>3600</v>
      </c>
      <c r="F12346">
        <v>0</v>
      </c>
      <c r="G12346">
        <v>0</v>
      </c>
      <c r="H12346" t="s">
        <v>62</v>
      </c>
    </row>
    <row r="12347" spans="1:8" x14ac:dyDescent="0.25">
      <c r="A12347" t="str">
        <f>"&lt;nominal&gt;" &amp;$D$12346&amp;"&lt;/nominal&gt;"</f>
        <v>&lt;nominal&gt;0&lt;/nominal&gt;</v>
      </c>
      <c r="B12347" t="s">
        <v>3467</v>
      </c>
    </row>
    <row r="12348" spans="1:8" x14ac:dyDescent="0.25">
      <c r="A12348" t="str">
        <f>"&lt;lifetime&gt;" &amp;$E$12346&amp;"&lt;/lifetime&gt;"</f>
        <v>&lt;lifetime&gt;3600&lt;/lifetime&gt;</v>
      </c>
      <c r="B12348" t="s">
        <v>3467</v>
      </c>
    </row>
    <row r="12349" spans="1:8" x14ac:dyDescent="0.25">
      <c r="A12349" t="str">
        <f>"&lt;restock&gt;" &amp;$F$12346&amp;"&lt;/restock&gt;"</f>
        <v>&lt;restock&gt;0&lt;/restock&gt;</v>
      </c>
      <c r="B12349" t="s">
        <v>3467</v>
      </c>
    </row>
    <row r="12350" spans="1:8" x14ac:dyDescent="0.25">
      <c r="A12350" t="str">
        <f>"&lt;min&gt;" &amp;$G$12346&amp;"&lt;/min&gt;"</f>
        <v>&lt;min&gt;0&lt;/min&gt;</v>
      </c>
      <c r="B12350" t="s">
        <v>3467</v>
      </c>
    </row>
    <row r="12351" spans="1:8" x14ac:dyDescent="0.25">
      <c r="A12351" t="s">
        <v>16</v>
      </c>
      <c r="B12351" t="s">
        <v>3467</v>
      </c>
    </row>
    <row r="12352" spans="1:8" x14ac:dyDescent="0.25">
      <c r="A12352" t="s">
        <v>17</v>
      </c>
      <c r="B12352" t="s">
        <v>3467</v>
      </c>
    </row>
    <row r="12353" spans="1:8" x14ac:dyDescent="0.25">
      <c r="A12353" t="s">
        <v>18</v>
      </c>
      <c r="B12353" t="s">
        <v>3467</v>
      </c>
    </row>
    <row r="12354" spans="1:8" x14ac:dyDescent="0.25">
      <c r="A12354" t="str">
        <f xml:space="preserve"> $H$12346</f>
        <v>&lt;flags count_in_cargo="0" count_in_hoarder="0" count_in_map="1" count_in_player="0" crafted="1" deloot="0"/&gt;</v>
      </c>
      <c r="B12354" t="s">
        <v>3467</v>
      </c>
    </row>
    <row r="12355" spans="1:8" x14ac:dyDescent="0.25">
      <c r="A12355" t="str">
        <f>"&lt;category name=" &amp;"""" &amp;$C$12346&amp;"""/&gt;"</f>
        <v>&lt;category name="tools"/&gt;</v>
      </c>
      <c r="B12355" t="s">
        <v>3467</v>
      </c>
    </row>
    <row r="12356" spans="1:8" x14ac:dyDescent="0.25">
      <c r="A12356" t="s">
        <v>22</v>
      </c>
      <c r="B12356" t="s">
        <v>3467</v>
      </c>
    </row>
    <row r="12357" spans="1:8" x14ac:dyDescent="0.25">
      <c r="A12357" t="s">
        <v>2344</v>
      </c>
      <c r="B12357" t="s">
        <v>1064</v>
      </c>
      <c r="C12357" t="s">
        <v>426</v>
      </c>
      <c r="D12357">
        <v>40</v>
      </c>
      <c r="E12357">
        <v>7200</v>
      </c>
      <c r="F12357">
        <v>0</v>
      </c>
      <c r="G12357">
        <v>30</v>
      </c>
      <c r="H12357" t="s">
        <v>19</v>
      </c>
    </row>
    <row r="12358" spans="1:8" x14ac:dyDescent="0.25">
      <c r="A12358" t="str">
        <f>"&lt;nominal&gt;" &amp;$D$12357&amp;"&lt;/nominal&gt;"</f>
        <v>&lt;nominal&gt;40&lt;/nominal&gt;</v>
      </c>
      <c r="B12358" t="s">
        <v>1064</v>
      </c>
    </row>
    <row r="12359" spans="1:8" x14ac:dyDescent="0.25">
      <c r="A12359" t="str">
        <f>"&lt;lifetime&gt;" &amp;$E$12357&amp;"&lt;/lifetime&gt;"</f>
        <v>&lt;lifetime&gt;7200&lt;/lifetime&gt;</v>
      </c>
      <c r="B12359" t="s">
        <v>1064</v>
      </c>
    </row>
    <row r="12360" spans="1:8" x14ac:dyDescent="0.25">
      <c r="A12360" t="str">
        <f>"&lt;restock&gt;" &amp;$F$12357&amp;"&lt;/restock&gt;"</f>
        <v>&lt;restock&gt;0&lt;/restock&gt;</v>
      </c>
      <c r="B12360" t="s">
        <v>1064</v>
      </c>
    </row>
    <row r="12361" spans="1:8" x14ac:dyDescent="0.25">
      <c r="A12361" t="str">
        <f>"&lt;min&gt;" &amp;$G$12357&amp;"&lt;/min&gt;"</f>
        <v>&lt;min&gt;30&lt;/min&gt;</v>
      </c>
      <c r="B12361" t="s">
        <v>1064</v>
      </c>
    </row>
    <row r="12362" spans="1:8" x14ac:dyDescent="0.25">
      <c r="A12362" t="s">
        <v>16</v>
      </c>
      <c r="B12362" t="s">
        <v>1064</v>
      </c>
    </row>
    <row r="12363" spans="1:8" x14ac:dyDescent="0.25">
      <c r="A12363" t="s">
        <v>17</v>
      </c>
      <c r="B12363" t="s">
        <v>1064</v>
      </c>
    </row>
    <row r="12364" spans="1:8" x14ac:dyDescent="0.25">
      <c r="A12364" t="s">
        <v>18</v>
      </c>
      <c r="B12364" t="s">
        <v>1064</v>
      </c>
    </row>
    <row r="12365" spans="1:8" x14ac:dyDescent="0.25">
      <c r="A12365" t="str">
        <f xml:space="preserve"> $H$12357</f>
        <v>&lt;flags count_in_cargo="0" count_in_hoarder="0" count_in_map="1" count_in_player="0" crafted="0" deloot="0"/&gt;</v>
      </c>
      <c r="B12365" t="s">
        <v>1064</v>
      </c>
    </row>
    <row r="12366" spans="1:8" x14ac:dyDescent="0.25">
      <c r="A12366" t="str">
        <f>"&lt;category name=" &amp;"""" &amp;$C$12357&amp;"""/&gt;"</f>
        <v>&lt;category name="tools"/&gt;</v>
      </c>
      <c r="B12366" t="s">
        <v>1064</v>
      </c>
    </row>
    <row r="12367" spans="1:8" x14ac:dyDescent="0.25">
      <c r="A12367" t="s">
        <v>40</v>
      </c>
      <c r="B12367" t="s">
        <v>1064</v>
      </c>
    </row>
    <row r="12368" spans="1:8" x14ac:dyDescent="0.25">
      <c r="A12368" t="s">
        <v>67</v>
      </c>
      <c r="B12368" t="s">
        <v>1064</v>
      </c>
    </row>
    <row r="12369" spans="1:8" x14ac:dyDescent="0.25">
      <c r="A12369" t="s">
        <v>22</v>
      </c>
      <c r="B12369" t="s">
        <v>1064</v>
      </c>
    </row>
    <row r="12370" spans="1:8" x14ac:dyDescent="0.25">
      <c r="A12370" t="s">
        <v>2345</v>
      </c>
      <c r="B12370" t="s">
        <v>3468</v>
      </c>
      <c r="C12370" t="s">
        <v>426</v>
      </c>
      <c r="D12370">
        <v>0</v>
      </c>
      <c r="E12370">
        <v>3600</v>
      </c>
      <c r="F12370">
        <v>0</v>
      </c>
      <c r="G12370">
        <v>0</v>
      </c>
      <c r="H12370" t="s">
        <v>62</v>
      </c>
    </row>
    <row r="12371" spans="1:8" x14ac:dyDescent="0.25">
      <c r="A12371" t="str">
        <f>"&lt;nominal&gt;" &amp;$D$12370&amp;"&lt;/nominal&gt;"</f>
        <v>&lt;nominal&gt;0&lt;/nominal&gt;</v>
      </c>
      <c r="B12371" t="s">
        <v>3468</v>
      </c>
    </row>
    <row r="12372" spans="1:8" x14ac:dyDescent="0.25">
      <c r="A12372" t="str">
        <f>"&lt;lifetime&gt;" &amp;$E$12370&amp;"&lt;/lifetime&gt;"</f>
        <v>&lt;lifetime&gt;3600&lt;/lifetime&gt;</v>
      </c>
      <c r="B12372" t="s">
        <v>3468</v>
      </c>
    </row>
    <row r="12373" spans="1:8" x14ac:dyDescent="0.25">
      <c r="A12373" t="str">
        <f>"&lt;restock&gt;" &amp;$F$12370&amp;"&lt;/restock&gt;"</f>
        <v>&lt;restock&gt;0&lt;/restock&gt;</v>
      </c>
      <c r="B12373" t="s">
        <v>3468</v>
      </c>
    </row>
    <row r="12374" spans="1:8" x14ac:dyDescent="0.25">
      <c r="A12374" t="str">
        <f>"&lt;min&gt;" &amp;$G$12370&amp;"&lt;/min&gt;"</f>
        <v>&lt;min&gt;0&lt;/min&gt;</v>
      </c>
      <c r="B12374" t="s">
        <v>3468</v>
      </c>
    </row>
    <row r="12375" spans="1:8" x14ac:dyDescent="0.25">
      <c r="A12375" t="s">
        <v>16</v>
      </c>
      <c r="B12375" t="s">
        <v>3468</v>
      </c>
    </row>
    <row r="12376" spans="1:8" x14ac:dyDescent="0.25">
      <c r="A12376" t="s">
        <v>17</v>
      </c>
      <c r="B12376" t="s">
        <v>3468</v>
      </c>
    </row>
    <row r="12377" spans="1:8" x14ac:dyDescent="0.25">
      <c r="A12377" t="s">
        <v>18</v>
      </c>
      <c r="B12377" t="s">
        <v>3468</v>
      </c>
    </row>
    <row r="12378" spans="1:8" x14ac:dyDescent="0.25">
      <c r="A12378" t="str">
        <f xml:space="preserve"> $H$12370</f>
        <v>&lt;flags count_in_cargo="0" count_in_hoarder="0" count_in_map="1" count_in_player="0" crafted="1" deloot="0"/&gt;</v>
      </c>
      <c r="B12378" t="s">
        <v>3468</v>
      </c>
    </row>
    <row r="12379" spans="1:8" x14ac:dyDescent="0.25">
      <c r="A12379" t="str">
        <f>"&lt;category name=" &amp;"""" &amp;$C$12370&amp;"""/&gt;"</f>
        <v>&lt;category name="tools"/&gt;</v>
      </c>
      <c r="B12379" t="s">
        <v>3468</v>
      </c>
    </row>
    <row r="12380" spans="1:8" x14ac:dyDescent="0.25">
      <c r="A12380" t="s">
        <v>22</v>
      </c>
      <c r="B12380" t="s">
        <v>3468</v>
      </c>
    </row>
    <row r="12381" spans="1:8" x14ac:dyDescent="0.25">
      <c r="A12381" t="s">
        <v>2346</v>
      </c>
      <c r="B12381" t="s">
        <v>1065</v>
      </c>
      <c r="C12381" t="s">
        <v>363</v>
      </c>
      <c r="D12381">
        <v>70</v>
      </c>
      <c r="E12381">
        <v>3888000</v>
      </c>
      <c r="F12381">
        <v>0</v>
      </c>
      <c r="G12381">
        <v>50</v>
      </c>
      <c r="H12381" t="s">
        <v>19</v>
      </c>
    </row>
    <row r="12382" spans="1:8" x14ac:dyDescent="0.25">
      <c r="A12382" t="str">
        <f>"&lt;nominal&gt;" &amp;$D$12381&amp;"&lt;/nominal&gt;"</f>
        <v>&lt;nominal&gt;70&lt;/nominal&gt;</v>
      </c>
      <c r="B12382" t="s">
        <v>1065</v>
      </c>
    </row>
    <row r="12383" spans="1:8" x14ac:dyDescent="0.25">
      <c r="A12383" t="str">
        <f>"&lt;lifetime&gt;" &amp;$E$12381&amp;"&lt;/lifetime&gt;"</f>
        <v>&lt;lifetime&gt;3888000&lt;/lifetime&gt;</v>
      </c>
      <c r="B12383" t="s">
        <v>1065</v>
      </c>
    </row>
    <row r="12384" spans="1:8" x14ac:dyDescent="0.25">
      <c r="A12384" t="str">
        <f>"&lt;restock&gt;" &amp;$F$12381&amp;"&lt;/restock&gt;"</f>
        <v>&lt;restock&gt;0&lt;/restock&gt;</v>
      </c>
      <c r="B12384" t="s">
        <v>1065</v>
      </c>
    </row>
    <row r="12385" spans="1:8" x14ac:dyDescent="0.25">
      <c r="A12385" t="str">
        <f>"&lt;min&gt;" &amp;$G$12381&amp;"&lt;/min&gt;"</f>
        <v>&lt;min&gt;50&lt;/min&gt;</v>
      </c>
      <c r="B12385" t="s">
        <v>1065</v>
      </c>
    </row>
    <row r="12386" spans="1:8" x14ac:dyDescent="0.25">
      <c r="A12386" t="s">
        <v>16</v>
      </c>
      <c r="B12386" t="s">
        <v>1065</v>
      </c>
    </row>
    <row r="12387" spans="1:8" x14ac:dyDescent="0.25">
      <c r="A12387" t="s">
        <v>17</v>
      </c>
      <c r="B12387" t="s">
        <v>1065</v>
      </c>
    </row>
    <row r="12388" spans="1:8" x14ac:dyDescent="0.25">
      <c r="A12388" t="s">
        <v>18</v>
      </c>
      <c r="B12388" t="s">
        <v>1065</v>
      </c>
    </row>
    <row r="12389" spans="1:8" x14ac:dyDescent="0.25">
      <c r="A12389" t="str">
        <f xml:space="preserve"> $H$12381</f>
        <v>&lt;flags count_in_cargo="0" count_in_hoarder="0" count_in_map="1" count_in_player="0" crafted="0" deloot="0"/&gt;</v>
      </c>
      <c r="B12389" t="s">
        <v>1065</v>
      </c>
    </row>
    <row r="12390" spans="1:8" x14ac:dyDescent="0.25">
      <c r="A12390" t="str">
        <f>"&lt;category name=" &amp;"""" &amp;$C$12381&amp;"""/&gt;"</f>
        <v>&lt;category name="containers"/&gt;</v>
      </c>
      <c r="B12390" t="s">
        <v>1065</v>
      </c>
    </row>
    <row r="12391" spans="1:8" x14ac:dyDescent="0.25">
      <c r="A12391" t="s">
        <v>55</v>
      </c>
      <c r="B12391" t="s">
        <v>1065</v>
      </c>
    </row>
    <row r="12392" spans="1:8" x14ac:dyDescent="0.25">
      <c r="A12392" t="s">
        <v>39</v>
      </c>
      <c r="B12392" t="s">
        <v>1065</v>
      </c>
    </row>
    <row r="12393" spans="1:8" x14ac:dyDescent="0.25">
      <c r="A12393" t="s">
        <v>22</v>
      </c>
      <c r="B12393" t="s">
        <v>1065</v>
      </c>
    </row>
    <row r="12394" spans="1:8" x14ac:dyDescent="0.25">
      <c r="A12394" t="s">
        <v>2347</v>
      </c>
      <c r="B12394" t="s">
        <v>3469</v>
      </c>
      <c r="D12394">
        <v>0</v>
      </c>
      <c r="E12394">
        <v>7200</v>
      </c>
      <c r="F12394">
        <v>0</v>
      </c>
      <c r="G12394">
        <v>0</v>
      </c>
      <c r="H12394" t="s">
        <v>19</v>
      </c>
    </row>
    <row r="12395" spans="1:8" x14ac:dyDescent="0.25">
      <c r="A12395" t="str">
        <f>"&lt;nominal&gt;" &amp;$D$12394&amp;"&lt;/nominal&gt;"</f>
        <v>&lt;nominal&gt;0&lt;/nominal&gt;</v>
      </c>
      <c r="B12395" t="s">
        <v>3469</v>
      </c>
    </row>
    <row r="12396" spans="1:8" x14ac:dyDescent="0.25">
      <c r="A12396" t="str">
        <f>"&lt;lifetime&gt;" &amp;$E$12394&amp;"&lt;/lifetime&gt;"</f>
        <v>&lt;lifetime&gt;7200&lt;/lifetime&gt;</v>
      </c>
      <c r="B12396" t="s">
        <v>3469</v>
      </c>
    </row>
    <row r="12397" spans="1:8" x14ac:dyDescent="0.25">
      <c r="A12397" t="str">
        <f>"&lt;restock&gt;" &amp;$F$12394&amp;"&lt;/restock&gt;"</f>
        <v>&lt;restock&gt;0&lt;/restock&gt;</v>
      </c>
      <c r="B12397" t="s">
        <v>3469</v>
      </c>
    </row>
    <row r="12398" spans="1:8" x14ac:dyDescent="0.25">
      <c r="A12398" t="str">
        <f>"&lt;min&gt;" &amp;$G$12394&amp;"&lt;/min&gt;"</f>
        <v>&lt;min&gt;0&lt;/min&gt;</v>
      </c>
      <c r="B12398" t="s">
        <v>3469</v>
      </c>
    </row>
    <row r="12399" spans="1:8" x14ac:dyDescent="0.25">
      <c r="A12399" t="s">
        <v>2082</v>
      </c>
      <c r="B12399" t="s">
        <v>3469</v>
      </c>
    </row>
    <row r="12400" spans="1:8" x14ac:dyDescent="0.25">
      <c r="A12400" t="s">
        <v>2348</v>
      </c>
      <c r="B12400" t="s">
        <v>3469</v>
      </c>
    </row>
    <row r="12401" spans="1:8" x14ac:dyDescent="0.25">
      <c r="A12401" t="s">
        <v>18</v>
      </c>
      <c r="B12401" t="s">
        <v>3469</v>
      </c>
    </row>
    <row r="12402" spans="1:8" x14ac:dyDescent="0.25">
      <c r="A12402" t="str">
        <f xml:space="preserve"> $H$12394</f>
        <v>&lt;flags count_in_cargo="0" count_in_hoarder="0" count_in_map="1" count_in_player="0" crafted="0" deloot="0"/&gt;</v>
      </c>
      <c r="B12402" t="s">
        <v>3469</v>
      </c>
    </row>
    <row r="12403" spans="1:8" x14ac:dyDescent="0.25">
      <c r="A12403" t="s">
        <v>22</v>
      </c>
      <c r="B12403" t="s">
        <v>3469</v>
      </c>
    </row>
    <row r="12404" spans="1:8" x14ac:dyDescent="0.25">
      <c r="A12404" t="s">
        <v>2349</v>
      </c>
      <c r="B12404" t="s">
        <v>1066</v>
      </c>
      <c r="C12404" t="s">
        <v>363</v>
      </c>
      <c r="D12404">
        <v>10</v>
      </c>
      <c r="E12404">
        <v>21600</v>
      </c>
      <c r="F12404">
        <v>0</v>
      </c>
      <c r="G12404">
        <v>5</v>
      </c>
      <c r="H12404" t="s">
        <v>24</v>
      </c>
    </row>
    <row r="12405" spans="1:8" x14ac:dyDescent="0.25">
      <c r="A12405" t="str">
        <f>"&lt;nominal&gt;" &amp;$D$12404&amp;"&lt;/nominal&gt;"</f>
        <v>&lt;nominal&gt;10&lt;/nominal&gt;</v>
      </c>
      <c r="B12405" t="s">
        <v>1066</v>
      </c>
    </row>
    <row r="12406" spans="1:8" x14ac:dyDescent="0.25">
      <c r="A12406" t="str">
        <f>"&lt;lifetime&gt;" &amp;$E$12404&amp;"&lt;/lifetime&gt;"</f>
        <v>&lt;lifetime&gt;21600&lt;/lifetime&gt;</v>
      </c>
      <c r="B12406" t="s">
        <v>1066</v>
      </c>
    </row>
    <row r="12407" spans="1:8" x14ac:dyDescent="0.25">
      <c r="A12407" t="str">
        <f>"&lt;restock&gt;" &amp;$F$12404&amp;"&lt;/restock&gt;"</f>
        <v>&lt;restock&gt;0&lt;/restock&gt;</v>
      </c>
      <c r="B12407" t="s">
        <v>1066</v>
      </c>
    </row>
    <row r="12408" spans="1:8" x14ac:dyDescent="0.25">
      <c r="A12408" t="str">
        <f>"&lt;min&gt;" &amp;$G$12404&amp;"&lt;/min&gt;"</f>
        <v>&lt;min&gt;5&lt;/min&gt;</v>
      </c>
      <c r="B12408" t="s">
        <v>1066</v>
      </c>
    </row>
    <row r="12409" spans="1:8" x14ac:dyDescent="0.25">
      <c r="A12409" t="s">
        <v>16</v>
      </c>
      <c r="B12409" t="s">
        <v>1066</v>
      </c>
    </row>
    <row r="12410" spans="1:8" x14ac:dyDescent="0.25">
      <c r="A12410" t="s">
        <v>17</v>
      </c>
      <c r="B12410" t="s">
        <v>1066</v>
      </c>
    </row>
    <row r="12411" spans="1:8" x14ac:dyDescent="0.25">
      <c r="A12411" t="s">
        <v>18</v>
      </c>
      <c r="B12411" t="s">
        <v>1066</v>
      </c>
    </row>
    <row r="12412" spans="1:8" x14ac:dyDescent="0.25">
      <c r="A12412" t="str">
        <f xml:space="preserve"> $H$12404</f>
        <v>&lt;flags count_in_cargo="1" count_in_hoarder="1" count_in_map="1" count_in_player="1" crafted="0" deloot="0"/&gt;</v>
      </c>
      <c r="B12412" t="s">
        <v>1066</v>
      </c>
    </row>
    <row r="12413" spans="1:8" x14ac:dyDescent="0.25">
      <c r="A12413" t="str">
        <f>"&lt;category name=" &amp;"""" &amp;$C$12404&amp;"""/&gt;"</f>
        <v>&lt;category name="containers"/&gt;</v>
      </c>
      <c r="B12413" t="s">
        <v>1066</v>
      </c>
    </row>
    <row r="12414" spans="1:8" x14ac:dyDescent="0.25">
      <c r="A12414" t="s">
        <v>29</v>
      </c>
      <c r="B12414" t="s">
        <v>1066</v>
      </c>
    </row>
    <row r="12415" spans="1:8" x14ac:dyDescent="0.25">
      <c r="A12415" t="s">
        <v>22</v>
      </c>
      <c r="B12415" t="s">
        <v>1066</v>
      </c>
    </row>
    <row r="12416" spans="1:8" x14ac:dyDescent="0.25">
      <c r="A12416" t="s">
        <v>2350</v>
      </c>
      <c r="B12416" t="s">
        <v>1067</v>
      </c>
      <c r="C12416" t="s">
        <v>403</v>
      </c>
      <c r="D12416">
        <v>10</v>
      </c>
      <c r="E12416">
        <v>7200</v>
      </c>
      <c r="F12416">
        <v>0</v>
      </c>
      <c r="G12416">
        <v>5</v>
      </c>
      <c r="H12416" t="s">
        <v>19</v>
      </c>
    </row>
    <row r="12417" spans="1:8" x14ac:dyDescent="0.25">
      <c r="A12417" t="str">
        <f>"&lt;nominal&gt;" &amp;$D$12416&amp;"&lt;/nominal&gt;"</f>
        <v>&lt;nominal&gt;10&lt;/nominal&gt;</v>
      </c>
      <c r="B12417" t="s">
        <v>1067</v>
      </c>
    </row>
    <row r="12418" spans="1:8" x14ac:dyDescent="0.25">
      <c r="A12418" t="str">
        <f>"&lt;lifetime&gt;" &amp;$E$12416&amp;"&lt;/lifetime&gt;"</f>
        <v>&lt;lifetime&gt;7200&lt;/lifetime&gt;</v>
      </c>
      <c r="B12418" t="s">
        <v>1067</v>
      </c>
    </row>
    <row r="12419" spans="1:8" x14ac:dyDescent="0.25">
      <c r="A12419" t="str">
        <f>"&lt;restock&gt;" &amp;$F$12416&amp;"&lt;/restock&gt;"</f>
        <v>&lt;restock&gt;0&lt;/restock&gt;</v>
      </c>
      <c r="B12419" t="s">
        <v>1067</v>
      </c>
    </row>
    <row r="12420" spans="1:8" x14ac:dyDescent="0.25">
      <c r="A12420" t="str">
        <f>"&lt;min&gt;" &amp;$G$12416&amp;"&lt;/min&gt;"</f>
        <v>&lt;min&gt;5&lt;/min&gt;</v>
      </c>
      <c r="B12420" t="s">
        <v>1067</v>
      </c>
    </row>
    <row r="12421" spans="1:8" x14ac:dyDescent="0.25">
      <c r="A12421" t="s">
        <v>16</v>
      </c>
      <c r="B12421" t="s">
        <v>1067</v>
      </c>
    </row>
    <row r="12422" spans="1:8" x14ac:dyDescent="0.25">
      <c r="A12422" t="s">
        <v>17</v>
      </c>
      <c r="B12422" t="s">
        <v>1067</v>
      </c>
    </row>
    <row r="12423" spans="1:8" x14ac:dyDescent="0.25">
      <c r="A12423" t="s">
        <v>18</v>
      </c>
      <c r="B12423" t="s">
        <v>1067</v>
      </c>
    </row>
    <row r="12424" spans="1:8" x14ac:dyDescent="0.25">
      <c r="A12424" t="str">
        <f xml:space="preserve"> $H$12416</f>
        <v>&lt;flags count_in_cargo="0" count_in_hoarder="0" count_in_map="1" count_in_player="0" crafted="0" deloot="0"/&gt;</v>
      </c>
      <c r="B12424" t="s">
        <v>1067</v>
      </c>
    </row>
    <row r="12425" spans="1:8" x14ac:dyDescent="0.25">
      <c r="A12425" t="str">
        <f>"&lt;category name=" &amp;"""" &amp;$C$12416&amp;"""/&gt;"</f>
        <v>&lt;category name="clothes"/&gt;</v>
      </c>
      <c r="B12425" t="s">
        <v>1067</v>
      </c>
    </row>
    <row r="12426" spans="1:8" x14ac:dyDescent="0.25">
      <c r="A12426" t="s">
        <v>29</v>
      </c>
      <c r="B12426" t="s">
        <v>1067</v>
      </c>
    </row>
    <row r="12427" spans="1:8" x14ac:dyDescent="0.25">
      <c r="A12427" t="s">
        <v>30</v>
      </c>
      <c r="B12427" t="s">
        <v>1067</v>
      </c>
    </row>
    <row r="12428" spans="1:8" x14ac:dyDescent="0.25">
      <c r="A12428" t="s">
        <v>31</v>
      </c>
      <c r="B12428" t="s">
        <v>1067</v>
      </c>
    </row>
    <row r="12429" spans="1:8" x14ac:dyDescent="0.25">
      <c r="A12429" t="s">
        <v>307</v>
      </c>
      <c r="B12429" t="s">
        <v>1067</v>
      </c>
    </row>
    <row r="12430" spans="1:8" x14ac:dyDescent="0.25">
      <c r="A12430" t="s">
        <v>22</v>
      </c>
      <c r="B12430" t="s">
        <v>1067</v>
      </c>
    </row>
    <row r="12431" spans="1:8" x14ac:dyDescent="0.25">
      <c r="A12431" t="s">
        <v>2351</v>
      </c>
      <c r="B12431" t="s">
        <v>1068</v>
      </c>
      <c r="C12431" t="s">
        <v>403</v>
      </c>
      <c r="D12431">
        <v>40</v>
      </c>
      <c r="E12431">
        <v>5600</v>
      </c>
      <c r="F12431">
        <v>0</v>
      </c>
      <c r="G12431">
        <v>20</v>
      </c>
      <c r="H12431" t="s">
        <v>19</v>
      </c>
    </row>
    <row r="12432" spans="1:8" x14ac:dyDescent="0.25">
      <c r="A12432" t="str">
        <f>"&lt;nominal&gt;" &amp;$D$12431&amp;"&lt;/nominal&gt;"</f>
        <v>&lt;nominal&gt;40&lt;/nominal&gt;</v>
      </c>
      <c r="B12432" t="s">
        <v>1068</v>
      </c>
    </row>
    <row r="12433" spans="1:8" x14ac:dyDescent="0.25">
      <c r="A12433" t="str">
        <f>"&lt;lifetime&gt;" &amp;$E$12431&amp;"&lt;/lifetime&gt;"</f>
        <v>&lt;lifetime&gt;5600&lt;/lifetime&gt;</v>
      </c>
      <c r="B12433" t="s">
        <v>1068</v>
      </c>
    </row>
    <row r="12434" spans="1:8" x14ac:dyDescent="0.25">
      <c r="A12434" t="str">
        <f>"&lt;restock&gt;" &amp;$F$12431&amp;"&lt;/restock&gt;"</f>
        <v>&lt;restock&gt;0&lt;/restock&gt;</v>
      </c>
      <c r="B12434" t="s">
        <v>1068</v>
      </c>
    </row>
    <row r="12435" spans="1:8" x14ac:dyDescent="0.25">
      <c r="A12435" t="str">
        <f>"&lt;min&gt;" &amp;$G$12431&amp;"&lt;/min&gt;"</f>
        <v>&lt;min&gt;20&lt;/min&gt;</v>
      </c>
      <c r="B12435" t="s">
        <v>1068</v>
      </c>
    </row>
    <row r="12436" spans="1:8" x14ac:dyDescent="0.25">
      <c r="A12436" t="s">
        <v>16</v>
      </c>
      <c r="B12436" t="s">
        <v>1068</v>
      </c>
    </row>
    <row r="12437" spans="1:8" x14ac:dyDescent="0.25">
      <c r="A12437" t="s">
        <v>17</v>
      </c>
      <c r="B12437" t="s">
        <v>1068</v>
      </c>
    </row>
    <row r="12438" spans="1:8" x14ac:dyDescent="0.25">
      <c r="A12438" t="s">
        <v>18</v>
      </c>
      <c r="B12438" t="s">
        <v>1068</v>
      </c>
    </row>
    <row r="12439" spans="1:8" x14ac:dyDescent="0.25">
      <c r="A12439" t="str">
        <f xml:space="preserve"> $H$12431</f>
        <v>&lt;flags count_in_cargo="0" count_in_hoarder="0" count_in_map="1" count_in_player="0" crafted="0" deloot="0"/&gt;</v>
      </c>
      <c r="B12439" t="s">
        <v>1068</v>
      </c>
    </row>
    <row r="12440" spans="1:8" x14ac:dyDescent="0.25">
      <c r="A12440" t="str">
        <f>"&lt;category name=" &amp;"""" &amp;$C$12431&amp;"""/&gt;"</f>
        <v>&lt;category name="clothes"/&gt;</v>
      </c>
      <c r="B12440" t="s">
        <v>1068</v>
      </c>
    </row>
    <row r="12441" spans="1:8" x14ac:dyDescent="0.25">
      <c r="A12441" t="s">
        <v>25</v>
      </c>
      <c r="B12441" t="s">
        <v>1068</v>
      </c>
    </row>
    <row r="12442" spans="1:8" x14ac:dyDescent="0.25">
      <c r="A12442" t="s">
        <v>39</v>
      </c>
      <c r="B12442" t="s">
        <v>1068</v>
      </c>
    </row>
    <row r="12443" spans="1:8" x14ac:dyDescent="0.25">
      <c r="A12443" t="s">
        <v>92</v>
      </c>
      <c r="B12443" t="s">
        <v>1068</v>
      </c>
    </row>
    <row r="12444" spans="1:8" x14ac:dyDescent="0.25">
      <c r="A12444" t="s">
        <v>22</v>
      </c>
      <c r="B12444" t="s">
        <v>1068</v>
      </c>
    </row>
    <row r="12445" spans="1:8" x14ac:dyDescent="0.25">
      <c r="A12445" t="s">
        <v>2352</v>
      </c>
      <c r="B12445" t="s">
        <v>1069</v>
      </c>
      <c r="C12445" t="s">
        <v>403</v>
      </c>
      <c r="D12445">
        <v>40</v>
      </c>
      <c r="E12445">
        <v>5600</v>
      </c>
      <c r="F12445">
        <v>0</v>
      </c>
      <c r="G12445">
        <v>20</v>
      </c>
      <c r="H12445" t="s">
        <v>19</v>
      </c>
    </row>
    <row r="12446" spans="1:8" x14ac:dyDescent="0.25">
      <c r="A12446" t="str">
        <f>"&lt;nominal&gt;" &amp;$D$12445&amp;"&lt;/nominal&gt;"</f>
        <v>&lt;nominal&gt;40&lt;/nominal&gt;</v>
      </c>
      <c r="B12446" t="s">
        <v>1069</v>
      </c>
    </row>
    <row r="12447" spans="1:8" x14ac:dyDescent="0.25">
      <c r="A12447" t="str">
        <f>"&lt;lifetime&gt;" &amp;$E$12445&amp;"&lt;/lifetime&gt;"</f>
        <v>&lt;lifetime&gt;5600&lt;/lifetime&gt;</v>
      </c>
      <c r="B12447" t="s">
        <v>1069</v>
      </c>
    </row>
    <row r="12448" spans="1:8" x14ac:dyDescent="0.25">
      <c r="A12448" t="str">
        <f>"&lt;restock&gt;" &amp;$F$12445&amp;"&lt;/restock&gt;"</f>
        <v>&lt;restock&gt;0&lt;/restock&gt;</v>
      </c>
      <c r="B12448" t="s">
        <v>1069</v>
      </c>
    </row>
    <row r="12449" spans="1:8" x14ac:dyDescent="0.25">
      <c r="A12449" t="str">
        <f>"&lt;min&gt;" &amp;$G$12445&amp;"&lt;/min&gt;"</f>
        <v>&lt;min&gt;20&lt;/min&gt;</v>
      </c>
      <c r="B12449" t="s">
        <v>1069</v>
      </c>
    </row>
    <row r="12450" spans="1:8" x14ac:dyDescent="0.25">
      <c r="A12450" t="s">
        <v>16</v>
      </c>
      <c r="B12450" t="s">
        <v>1069</v>
      </c>
    </row>
    <row r="12451" spans="1:8" x14ac:dyDescent="0.25">
      <c r="A12451" t="s">
        <v>17</v>
      </c>
      <c r="B12451" t="s">
        <v>1069</v>
      </c>
    </row>
    <row r="12452" spans="1:8" x14ac:dyDescent="0.25">
      <c r="A12452" t="s">
        <v>18</v>
      </c>
      <c r="B12452" t="s">
        <v>1069</v>
      </c>
    </row>
    <row r="12453" spans="1:8" x14ac:dyDescent="0.25">
      <c r="A12453" t="str">
        <f xml:space="preserve"> $H$12445</f>
        <v>&lt;flags count_in_cargo="0" count_in_hoarder="0" count_in_map="1" count_in_player="0" crafted="0" deloot="0"/&gt;</v>
      </c>
      <c r="B12453" t="s">
        <v>1069</v>
      </c>
    </row>
    <row r="12454" spans="1:8" x14ac:dyDescent="0.25">
      <c r="A12454" t="str">
        <f>"&lt;category name=" &amp;"""" &amp;$C$12445&amp;"""/&gt;"</f>
        <v>&lt;category name="clothes"/&gt;</v>
      </c>
      <c r="B12454" t="s">
        <v>1069</v>
      </c>
    </row>
    <row r="12455" spans="1:8" x14ac:dyDescent="0.25">
      <c r="A12455" t="s">
        <v>25</v>
      </c>
      <c r="B12455" t="s">
        <v>1069</v>
      </c>
    </row>
    <row r="12456" spans="1:8" x14ac:dyDescent="0.25">
      <c r="A12456" t="s">
        <v>39</v>
      </c>
      <c r="B12456" t="s">
        <v>1069</v>
      </c>
    </row>
    <row r="12457" spans="1:8" x14ac:dyDescent="0.25">
      <c r="A12457" t="s">
        <v>92</v>
      </c>
      <c r="B12457" t="s">
        <v>1069</v>
      </c>
    </row>
    <row r="12458" spans="1:8" x14ac:dyDescent="0.25">
      <c r="A12458" t="s">
        <v>22</v>
      </c>
      <c r="B12458" t="s">
        <v>1069</v>
      </c>
    </row>
    <row r="12459" spans="1:8" x14ac:dyDescent="0.25">
      <c r="A12459" t="s">
        <v>2353</v>
      </c>
      <c r="B12459" t="s">
        <v>1070</v>
      </c>
      <c r="C12459" t="s">
        <v>403</v>
      </c>
      <c r="D12459">
        <v>40</v>
      </c>
      <c r="E12459">
        <v>5600</v>
      </c>
      <c r="F12459">
        <v>0</v>
      </c>
      <c r="G12459">
        <v>20</v>
      </c>
      <c r="H12459" t="s">
        <v>19</v>
      </c>
    </row>
    <row r="12460" spans="1:8" x14ac:dyDescent="0.25">
      <c r="A12460" t="str">
        <f>"&lt;nominal&gt;" &amp;$D$12459&amp;"&lt;/nominal&gt;"</f>
        <v>&lt;nominal&gt;40&lt;/nominal&gt;</v>
      </c>
      <c r="B12460" t="s">
        <v>1070</v>
      </c>
    </row>
    <row r="12461" spans="1:8" x14ac:dyDescent="0.25">
      <c r="A12461" t="str">
        <f>"&lt;lifetime&gt;" &amp;$E$12459&amp;"&lt;/lifetime&gt;"</f>
        <v>&lt;lifetime&gt;5600&lt;/lifetime&gt;</v>
      </c>
      <c r="B12461" t="s">
        <v>1070</v>
      </c>
    </row>
    <row r="12462" spans="1:8" x14ac:dyDescent="0.25">
      <c r="A12462" t="str">
        <f>"&lt;restock&gt;" &amp;$F$12459&amp;"&lt;/restock&gt;"</f>
        <v>&lt;restock&gt;0&lt;/restock&gt;</v>
      </c>
      <c r="B12462" t="s">
        <v>1070</v>
      </c>
    </row>
    <row r="12463" spans="1:8" x14ac:dyDescent="0.25">
      <c r="A12463" t="str">
        <f>"&lt;min&gt;" &amp;$G$12459&amp;"&lt;/min&gt;"</f>
        <v>&lt;min&gt;20&lt;/min&gt;</v>
      </c>
      <c r="B12463" t="s">
        <v>1070</v>
      </c>
    </row>
    <row r="12464" spans="1:8" x14ac:dyDescent="0.25">
      <c r="A12464" t="s">
        <v>16</v>
      </c>
      <c r="B12464" t="s">
        <v>1070</v>
      </c>
    </row>
    <row r="12465" spans="1:8" x14ac:dyDescent="0.25">
      <c r="A12465" t="s">
        <v>17</v>
      </c>
      <c r="B12465" t="s">
        <v>1070</v>
      </c>
    </row>
    <row r="12466" spans="1:8" x14ac:dyDescent="0.25">
      <c r="A12466" t="s">
        <v>18</v>
      </c>
      <c r="B12466" t="s">
        <v>1070</v>
      </c>
    </row>
    <row r="12467" spans="1:8" x14ac:dyDescent="0.25">
      <c r="A12467" t="str">
        <f xml:space="preserve"> $H$12459</f>
        <v>&lt;flags count_in_cargo="0" count_in_hoarder="0" count_in_map="1" count_in_player="0" crafted="0" deloot="0"/&gt;</v>
      </c>
      <c r="B12467" t="s">
        <v>1070</v>
      </c>
    </row>
    <row r="12468" spans="1:8" x14ac:dyDescent="0.25">
      <c r="A12468" t="str">
        <f>"&lt;category name=" &amp;"""" &amp;$C$12459&amp;"""/&gt;"</f>
        <v>&lt;category name="clothes"/&gt;</v>
      </c>
      <c r="B12468" t="s">
        <v>1070</v>
      </c>
    </row>
    <row r="12469" spans="1:8" x14ac:dyDescent="0.25">
      <c r="A12469" t="s">
        <v>25</v>
      </c>
      <c r="B12469" t="s">
        <v>1070</v>
      </c>
    </row>
    <row r="12470" spans="1:8" x14ac:dyDescent="0.25">
      <c r="A12470" t="s">
        <v>39</v>
      </c>
      <c r="B12470" t="s">
        <v>1070</v>
      </c>
    </row>
    <row r="12471" spans="1:8" x14ac:dyDescent="0.25">
      <c r="A12471" t="s">
        <v>92</v>
      </c>
      <c r="B12471" t="s">
        <v>1070</v>
      </c>
    </row>
    <row r="12472" spans="1:8" x14ac:dyDescent="0.25">
      <c r="A12472" t="s">
        <v>22</v>
      </c>
      <c r="B12472" t="s">
        <v>1070</v>
      </c>
    </row>
    <row r="12473" spans="1:8" x14ac:dyDescent="0.25">
      <c r="A12473" t="s">
        <v>2354</v>
      </c>
      <c r="B12473" t="s">
        <v>1071</v>
      </c>
      <c r="C12473" t="s">
        <v>403</v>
      </c>
      <c r="D12473">
        <v>40</v>
      </c>
      <c r="E12473">
        <v>5600</v>
      </c>
      <c r="F12473">
        <v>0</v>
      </c>
      <c r="G12473">
        <v>20</v>
      </c>
      <c r="H12473" t="s">
        <v>19</v>
      </c>
    </row>
    <row r="12474" spans="1:8" x14ac:dyDescent="0.25">
      <c r="A12474" t="str">
        <f>"&lt;nominal&gt;" &amp;$D$12473&amp;"&lt;/nominal&gt;"</f>
        <v>&lt;nominal&gt;40&lt;/nominal&gt;</v>
      </c>
      <c r="B12474" t="s">
        <v>1071</v>
      </c>
    </row>
    <row r="12475" spans="1:8" x14ac:dyDescent="0.25">
      <c r="A12475" t="str">
        <f>"&lt;lifetime&gt;" &amp;$E$12473&amp;"&lt;/lifetime&gt;"</f>
        <v>&lt;lifetime&gt;5600&lt;/lifetime&gt;</v>
      </c>
      <c r="B12475" t="s">
        <v>1071</v>
      </c>
    </row>
    <row r="12476" spans="1:8" x14ac:dyDescent="0.25">
      <c r="A12476" t="str">
        <f>"&lt;restock&gt;" &amp;$F$12473&amp;"&lt;/restock&gt;"</f>
        <v>&lt;restock&gt;0&lt;/restock&gt;</v>
      </c>
      <c r="B12476" t="s">
        <v>1071</v>
      </c>
    </row>
    <row r="12477" spans="1:8" x14ac:dyDescent="0.25">
      <c r="A12477" t="str">
        <f>"&lt;min&gt;" &amp;$G$12473&amp;"&lt;/min&gt;"</f>
        <v>&lt;min&gt;20&lt;/min&gt;</v>
      </c>
      <c r="B12477" t="s">
        <v>1071</v>
      </c>
    </row>
    <row r="12478" spans="1:8" x14ac:dyDescent="0.25">
      <c r="A12478" t="s">
        <v>16</v>
      </c>
      <c r="B12478" t="s">
        <v>1071</v>
      </c>
    </row>
    <row r="12479" spans="1:8" x14ac:dyDescent="0.25">
      <c r="A12479" t="s">
        <v>17</v>
      </c>
      <c r="B12479" t="s">
        <v>1071</v>
      </c>
    </row>
    <row r="12480" spans="1:8" x14ac:dyDescent="0.25">
      <c r="A12480" t="s">
        <v>18</v>
      </c>
      <c r="B12480" t="s">
        <v>1071</v>
      </c>
    </row>
    <row r="12481" spans="1:8" x14ac:dyDescent="0.25">
      <c r="A12481" t="str">
        <f xml:space="preserve"> $H$12473</f>
        <v>&lt;flags count_in_cargo="0" count_in_hoarder="0" count_in_map="1" count_in_player="0" crafted="0" deloot="0"/&gt;</v>
      </c>
      <c r="B12481" t="s">
        <v>1071</v>
      </c>
    </row>
    <row r="12482" spans="1:8" x14ac:dyDescent="0.25">
      <c r="A12482" t="str">
        <f>"&lt;category name=" &amp;"""" &amp;$C$12473&amp;"""/&gt;"</f>
        <v>&lt;category name="clothes"/&gt;</v>
      </c>
      <c r="B12482" t="s">
        <v>1071</v>
      </c>
    </row>
    <row r="12483" spans="1:8" x14ac:dyDescent="0.25">
      <c r="A12483" t="s">
        <v>25</v>
      </c>
      <c r="B12483" t="s">
        <v>1071</v>
      </c>
    </row>
    <row r="12484" spans="1:8" x14ac:dyDescent="0.25">
      <c r="A12484" t="s">
        <v>39</v>
      </c>
      <c r="B12484" t="s">
        <v>1071</v>
      </c>
    </row>
    <row r="12485" spans="1:8" x14ac:dyDescent="0.25">
      <c r="A12485" t="s">
        <v>92</v>
      </c>
      <c r="B12485" t="s">
        <v>1071</v>
      </c>
    </row>
    <row r="12486" spans="1:8" x14ac:dyDescent="0.25">
      <c r="A12486" t="s">
        <v>22</v>
      </c>
      <c r="B12486" t="s">
        <v>1071</v>
      </c>
    </row>
    <row r="12487" spans="1:8" x14ac:dyDescent="0.25">
      <c r="A12487" t="s">
        <v>2355</v>
      </c>
      <c r="B12487" t="s">
        <v>1072</v>
      </c>
      <c r="C12487" t="s">
        <v>403</v>
      </c>
      <c r="D12487">
        <v>40</v>
      </c>
      <c r="E12487">
        <v>5600</v>
      </c>
      <c r="F12487">
        <v>0</v>
      </c>
      <c r="G12487">
        <v>20</v>
      </c>
      <c r="H12487" t="s">
        <v>19</v>
      </c>
    </row>
    <row r="12488" spans="1:8" x14ac:dyDescent="0.25">
      <c r="A12488" t="str">
        <f>"&lt;nominal&gt;" &amp;$D$12487&amp;"&lt;/nominal&gt;"</f>
        <v>&lt;nominal&gt;40&lt;/nominal&gt;</v>
      </c>
      <c r="B12488" t="s">
        <v>1072</v>
      </c>
    </row>
    <row r="12489" spans="1:8" x14ac:dyDescent="0.25">
      <c r="A12489" t="str">
        <f>"&lt;lifetime&gt;" &amp;$E$12487&amp;"&lt;/lifetime&gt;"</f>
        <v>&lt;lifetime&gt;5600&lt;/lifetime&gt;</v>
      </c>
      <c r="B12489" t="s">
        <v>1072</v>
      </c>
    </row>
    <row r="12490" spans="1:8" x14ac:dyDescent="0.25">
      <c r="A12490" t="str">
        <f>"&lt;restock&gt;" &amp;$F$12487&amp;"&lt;/restock&gt;"</f>
        <v>&lt;restock&gt;0&lt;/restock&gt;</v>
      </c>
      <c r="B12490" t="s">
        <v>1072</v>
      </c>
    </row>
    <row r="12491" spans="1:8" x14ac:dyDescent="0.25">
      <c r="A12491" t="str">
        <f>"&lt;min&gt;" &amp;$G$12487&amp;"&lt;/min&gt;"</f>
        <v>&lt;min&gt;20&lt;/min&gt;</v>
      </c>
      <c r="B12491" t="s">
        <v>1072</v>
      </c>
    </row>
    <row r="12492" spans="1:8" x14ac:dyDescent="0.25">
      <c r="A12492" t="s">
        <v>16</v>
      </c>
      <c r="B12492" t="s">
        <v>1072</v>
      </c>
    </row>
    <row r="12493" spans="1:8" x14ac:dyDescent="0.25">
      <c r="A12493" t="s">
        <v>17</v>
      </c>
      <c r="B12493" t="s">
        <v>1072</v>
      </c>
    </row>
    <row r="12494" spans="1:8" x14ac:dyDescent="0.25">
      <c r="A12494" t="s">
        <v>18</v>
      </c>
      <c r="B12494" t="s">
        <v>1072</v>
      </c>
    </row>
    <row r="12495" spans="1:8" x14ac:dyDescent="0.25">
      <c r="A12495" t="str">
        <f xml:space="preserve"> $H$12487</f>
        <v>&lt;flags count_in_cargo="0" count_in_hoarder="0" count_in_map="1" count_in_player="0" crafted="0" deloot="0"/&gt;</v>
      </c>
      <c r="B12495" t="s">
        <v>1072</v>
      </c>
    </row>
    <row r="12496" spans="1:8" x14ac:dyDescent="0.25">
      <c r="A12496" t="str">
        <f>"&lt;category name=" &amp;"""" &amp;$C$12487&amp;"""/&gt;"</f>
        <v>&lt;category name="clothes"/&gt;</v>
      </c>
      <c r="B12496" t="s">
        <v>1072</v>
      </c>
    </row>
    <row r="12497" spans="1:8" x14ac:dyDescent="0.25">
      <c r="A12497" t="s">
        <v>25</v>
      </c>
      <c r="B12497" t="s">
        <v>1072</v>
      </c>
    </row>
    <row r="12498" spans="1:8" x14ac:dyDescent="0.25">
      <c r="A12498" t="s">
        <v>39</v>
      </c>
      <c r="B12498" t="s">
        <v>1072</v>
      </c>
    </row>
    <row r="12499" spans="1:8" x14ac:dyDescent="0.25">
      <c r="A12499" t="s">
        <v>92</v>
      </c>
      <c r="B12499" t="s">
        <v>1072</v>
      </c>
    </row>
    <row r="12500" spans="1:8" x14ac:dyDescent="0.25">
      <c r="A12500" t="s">
        <v>22</v>
      </c>
      <c r="B12500" t="s">
        <v>1072</v>
      </c>
    </row>
    <row r="12501" spans="1:8" x14ac:dyDescent="0.25">
      <c r="A12501" t="s">
        <v>2356</v>
      </c>
      <c r="B12501" t="s">
        <v>1073</v>
      </c>
      <c r="C12501" t="s">
        <v>399</v>
      </c>
      <c r="D12501">
        <v>5</v>
      </c>
      <c r="E12501">
        <v>3600</v>
      </c>
      <c r="F12501">
        <v>300</v>
      </c>
      <c r="G12501">
        <v>2</v>
      </c>
      <c r="H12501" t="s">
        <v>19</v>
      </c>
    </row>
    <row r="12502" spans="1:8" x14ac:dyDescent="0.25">
      <c r="A12502" t="str">
        <f>"&lt;nominal&gt;" &amp;$D$12501&amp;"&lt;/nominal&gt;"</f>
        <v>&lt;nominal&gt;5&lt;/nominal&gt;</v>
      </c>
      <c r="B12502" t="s">
        <v>1073</v>
      </c>
    </row>
    <row r="12503" spans="1:8" x14ac:dyDescent="0.25">
      <c r="A12503" t="str">
        <f>"&lt;lifetime&gt;" &amp;$E$12501&amp;"&lt;/lifetime&gt;"</f>
        <v>&lt;lifetime&gt;3600&lt;/lifetime&gt;</v>
      </c>
      <c r="B12503" t="s">
        <v>1073</v>
      </c>
    </row>
    <row r="12504" spans="1:8" x14ac:dyDescent="0.25">
      <c r="A12504" t="str">
        <f>"&lt;restock&gt;" &amp;$F$12501&amp;"&lt;/restock&gt;"</f>
        <v>&lt;restock&gt;300&lt;/restock&gt;</v>
      </c>
      <c r="B12504" t="s">
        <v>1073</v>
      </c>
    </row>
    <row r="12505" spans="1:8" x14ac:dyDescent="0.25">
      <c r="A12505" t="str">
        <f>"&lt;min&gt;" &amp;$G$12501&amp;"&lt;/min&gt;"</f>
        <v>&lt;min&gt;2&lt;/min&gt;</v>
      </c>
      <c r="B12505" t="s">
        <v>1073</v>
      </c>
    </row>
    <row r="12506" spans="1:8" x14ac:dyDescent="0.25">
      <c r="A12506" t="s">
        <v>16</v>
      </c>
      <c r="B12506" t="s">
        <v>1073</v>
      </c>
    </row>
    <row r="12507" spans="1:8" x14ac:dyDescent="0.25">
      <c r="A12507" t="s">
        <v>17</v>
      </c>
      <c r="B12507" t="s">
        <v>1073</v>
      </c>
    </row>
    <row r="12508" spans="1:8" x14ac:dyDescent="0.25">
      <c r="A12508" t="s">
        <v>18</v>
      </c>
      <c r="B12508" t="s">
        <v>1073</v>
      </c>
    </row>
    <row r="12509" spans="1:8" x14ac:dyDescent="0.25">
      <c r="A12509" t="str">
        <f xml:space="preserve"> $H$12501</f>
        <v>&lt;flags count_in_cargo="0" count_in_hoarder="0" count_in_map="1" count_in_player="0" crafted="0" deloot="0"/&gt;</v>
      </c>
      <c r="B12509" t="s">
        <v>1073</v>
      </c>
    </row>
    <row r="12510" spans="1:8" x14ac:dyDescent="0.25">
      <c r="A12510" t="str">
        <f>"&lt;category name=" &amp;"""" &amp;$C$12501&amp;"""/&gt;"</f>
        <v>&lt;category name="food"/&gt;</v>
      </c>
      <c r="B12510" t="s">
        <v>1073</v>
      </c>
    </row>
    <row r="12511" spans="1:8" x14ac:dyDescent="0.25">
      <c r="A12511" t="s">
        <v>82</v>
      </c>
      <c r="B12511" t="s">
        <v>1073</v>
      </c>
    </row>
    <row r="12512" spans="1:8" x14ac:dyDescent="0.25">
      <c r="A12512" t="s">
        <v>30</v>
      </c>
      <c r="B12512" t="s">
        <v>1073</v>
      </c>
    </row>
    <row r="12513" spans="1:8" x14ac:dyDescent="0.25">
      <c r="A12513" t="s">
        <v>31</v>
      </c>
      <c r="B12513" t="s">
        <v>1073</v>
      </c>
    </row>
    <row r="12514" spans="1:8" x14ac:dyDescent="0.25">
      <c r="A12514" t="s">
        <v>22</v>
      </c>
      <c r="B12514" t="s">
        <v>1073</v>
      </c>
    </row>
    <row r="12515" spans="1:8" x14ac:dyDescent="0.25">
      <c r="A12515" t="s">
        <v>2357</v>
      </c>
      <c r="B12515" t="s">
        <v>1074</v>
      </c>
      <c r="C12515" t="s">
        <v>399</v>
      </c>
      <c r="D12515">
        <v>5</v>
      </c>
      <c r="E12515">
        <v>7200</v>
      </c>
      <c r="F12515">
        <v>300</v>
      </c>
      <c r="G12515">
        <v>2</v>
      </c>
      <c r="H12515" t="s">
        <v>19</v>
      </c>
    </row>
    <row r="12516" spans="1:8" x14ac:dyDescent="0.25">
      <c r="A12516" t="str">
        <f>"&lt;nominal&gt;" &amp;$D$12515&amp;"&lt;/nominal&gt;"</f>
        <v>&lt;nominal&gt;5&lt;/nominal&gt;</v>
      </c>
      <c r="B12516" t="s">
        <v>1074</v>
      </c>
    </row>
    <row r="12517" spans="1:8" x14ac:dyDescent="0.25">
      <c r="A12517" t="str">
        <f>"&lt;lifetime&gt;" &amp;$E$12515&amp;"&lt;/lifetime&gt;"</f>
        <v>&lt;lifetime&gt;7200&lt;/lifetime&gt;</v>
      </c>
      <c r="B12517" t="s">
        <v>1074</v>
      </c>
    </row>
    <row r="12518" spans="1:8" x14ac:dyDescent="0.25">
      <c r="A12518" t="str">
        <f>"&lt;restock&gt;" &amp;$F$12515&amp;"&lt;/restock&gt;"</f>
        <v>&lt;restock&gt;300&lt;/restock&gt;</v>
      </c>
      <c r="B12518" t="s">
        <v>1074</v>
      </c>
    </row>
    <row r="12519" spans="1:8" x14ac:dyDescent="0.25">
      <c r="A12519" t="str">
        <f>"&lt;min&gt;" &amp;$G$12515&amp;"&lt;/min&gt;"</f>
        <v>&lt;min&gt;2&lt;/min&gt;</v>
      </c>
      <c r="B12519" t="s">
        <v>1074</v>
      </c>
    </row>
    <row r="12520" spans="1:8" x14ac:dyDescent="0.25">
      <c r="A12520" t="s">
        <v>16</v>
      </c>
      <c r="B12520" t="s">
        <v>1074</v>
      </c>
    </row>
    <row r="12521" spans="1:8" x14ac:dyDescent="0.25">
      <c r="A12521" t="s">
        <v>17</v>
      </c>
      <c r="B12521" t="s">
        <v>1074</v>
      </c>
    </row>
    <row r="12522" spans="1:8" x14ac:dyDescent="0.25">
      <c r="A12522" t="s">
        <v>18</v>
      </c>
      <c r="B12522" t="s">
        <v>1074</v>
      </c>
    </row>
    <row r="12523" spans="1:8" x14ac:dyDescent="0.25">
      <c r="A12523" t="str">
        <f xml:space="preserve"> $H$12515</f>
        <v>&lt;flags count_in_cargo="0" count_in_hoarder="0" count_in_map="1" count_in_player="0" crafted="0" deloot="0"/&gt;</v>
      </c>
      <c r="B12523" t="s">
        <v>1074</v>
      </c>
    </row>
    <row r="12524" spans="1:8" x14ac:dyDescent="0.25">
      <c r="A12524" t="str">
        <f>"&lt;category name=" &amp;"""" &amp;$C$12515&amp;"""/&gt;"</f>
        <v>&lt;category name="food"/&gt;</v>
      </c>
      <c r="B12524" t="s">
        <v>1074</v>
      </c>
    </row>
    <row r="12525" spans="1:8" x14ac:dyDescent="0.25">
      <c r="A12525" t="s">
        <v>82</v>
      </c>
      <c r="B12525" t="s">
        <v>1074</v>
      </c>
    </row>
    <row r="12526" spans="1:8" x14ac:dyDescent="0.25">
      <c r="A12526" t="s">
        <v>30</v>
      </c>
      <c r="B12526" t="s">
        <v>1074</v>
      </c>
    </row>
    <row r="12527" spans="1:8" x14ac:dyDescent="0.25">
      <c r="A12527" t="s">
        <v>31</v>
      </c>
      <c r="B12527" t="s">
        <v>1074</v>
      </c>
    </row>
    <row r="12528" spans="1:8" x14ac:dyDescent="0.25">
      <c r="A12528" t="s">
        <v>22</v>
      </c>
      <c r="B12528" t="s">
        <v>1074</v>
      </c>
    </row>
    <row r="12529" spans="1:8" x14ac:dyDescent="0.25">
      <c r="A12529" t="s">
        <v>2358</v>
      </c>
      <c r="B12529" t="s">
        <v>1075</v>
      </c>
      <c r="C12529" t="s">
        <v>399</v>
      </c>
      <c r="D12529">
        <v>5</v>
      </c>
      <c r="E12529">
        <v>7200</v>
      </c>
      <c r="F12529">
        <v>300</v>
      </c>
      <c r="G12529">
        <v>2</v>
      </c>
      <c r="H12529" t="s">
        <v>19</v>
      </c>
    </row>
    <row r="12530" spans="1:8" x14ac:dyDescent="0.25">
      <c r="A12530" t="str">
        <f>"&lt;nominal&gt;" &amp;$D$12529&amp;"&lt;/nominal&gt;"</f>
        <v>&lt;nominal&gt;5&lt;/nominal&gt;</v>
      </c>
      <c r="B12530" t="s">
        <v>1075</v>
      </c>
    </row>
    <row r="12531" spans="1:8" x14ac:dyDescent="0.25">
      <c r="A12531" t="str">
        <f>"&lt;lifetime&gt;" &amp;$E$12529&amp;"&lt;/lifetime&gt;"</f>
        <v>&lt;lifetime&gt;7200&lt;/lifetime&gt;</v>
      </c>
      <c r="B12531" t="s">
        <v>1075</v>
      </c>
    </row>
    <row r="12532" spans="1:8" x14ac:dyDescent="0.25">
      <c r="A12532" t="str">
        <f>"&lt;restock&gt;" &amp;$F$12529&amp;"&lt;/restock&gt;"</f>
        <v>&lt;restock&gt;300&lt;/restock&gt;</v>
      </c>
      <c r="B12532" t="s">
        <v>1075</v>
      </c>
    </row>
    <row r="12533" spans="1:8" x14ac:dyDescent="0.25">
      <c r="A12533" t="str">
        <f>"&lt;min&gt;" &amp;$G$12529&amp;"&lt;/min&gt;"</f>
        <v>&lt;min&gt;2&lt;/min&gt;</v>
      </c>
      <c r="B12533" t="s">
        <v>1075</v>
      </c>
    </row>
    <row r="12534" spans="1:8" x14ac:dyDescent="0.25">
      <c r="A12534" t="s">
        <v>16</v>
      </c>
      <c r="B12534" t="s">
        <v>1075</v>
      </c>
    </row>
    <row r="12535" spans="1:8" x14ac:dyDescent="0.25">
      <c r="A12535" t="s">
        <v>17</v>
      </c>
      <c r="B12535" t="s">
        <v>1075</v>
      </c>
    </row>
    <row r="12536" spans="1:8" x14ac:dyDescent="0.25">
      <c r="A12536" t="s">
        <v>18</v>
      </c>
      <c r="B12536" t="s">
        <v>1075</v>
      </c>
    </row>
    <row r="12537" spans="1:8" x14ac:dyDescent="0.25">
      <c r="A12537" t="str">
        <f xml:space="preserve"> $H$12529</f>
        <v>&lt;flags count_in_cargo="0" count_in_hoarder="0" count_in_map="1" count_in_player="0" crafted="0" deloot="0"/&gt;</v>
      </c>
      <c r="B12537" t="s">
        <v>1075</v>
      </c>
    </row>
    <row r="12538" spans="1:8" x14ac:dyDescent="0.25">
      <c r="A12538" t="str">
        <f>"&lt;category name=" &amp;"""" &amp;$C$12529&amp;"""/&gt;"</f>
        <v>&lt;category name="food"/&gt;</v>
      </c>
      <c r="B12538" t="s">
        <v>1075</v>
      </c>
    </row>
    <row r="12539" spans="1:8" x14ac:dyDescent="0.25">
      <c r="A12539" t="s">
        <v>82</v>
      </c>
      <c r="B12539" t="s">
        <v>1075</v>
      </c>
    </row>
    <row r="12540" spans="1:8" x14ac:dyDescent="0.25">
      <c r="A12540" t="s">
        <v>30</v>
      </c>
      <c r="B12540" t="s">
        <v>1075</v>
      </c>
    </row>
    <row r="12541" spans="1:8" x14ac:dyDescent="0.25">
      <c r="A12541" t="s">
        <v>31</v>
      </c>
      <c r="B12541" t="s">
        <v>1075</v>
      </c>
    </row>
    <row r="12542" spans="1:8" x14ac:dyDescent="0.25">
      <c r="A12542" t="s">
        <v>22</v>
      </c>
      <c r="B12542" t="s">
        <v>1075</v>
      </c>
    </row>
    <row r="12543" spans="1:8" x14ac:dyDescent="0.25">
      <c r="A12543" t="s">
        <v>2359</v>
      </c>
      <c r="B12543" t="s">
        <v>1076</v>
      </c>
      <c r="C12543" t="s">
        <v>399</v>
      </c>
      <c r="D12543">
        <v>5</v>
      </c>
      <c r="E12543">
        <v>3600</v>
      </c>
      <c r="F12543">
        <v>300</v>
      </c>
      <c r="G12543">
        <v>2</v>
      </c>
      <c r="H12543" t="s">
        <v>19</v>
      </c>
    </row>
    <row r="12544" spans="1:8" x14ac:dyDescent="0.25">
      <c r="A12544" t="str">
        <f>"&lt;nominal&gt;" &amp;$D$12543&amp;"&lt;/nominal&gt;"</f>
        <v>&lt;nominal&gt;5&lt;/nominal&gt;</v>
      </c>
      <c r="B12544" t="s">
        <v>1076</v>
      </c>
    </row>
    <row r="12545" spans="1:8" x14ac:dyDescent="0.25">
      <c r="A12545" t="str">
        <f>"&lt;lifetime&gt;" &amp;$E$12543&amp;"&lt;/lifetime&gt;"</f>
        <v>&lt;lifetime&gt;3600&lt;/lifetime&gt;</v>
      </c>
      <c r="B12545" t="s">
        <v>1076</v>
      </c>
    </row>
    <row r="12546" spans="1:8" x14ac:dyDescent="0.25">
      <c r="A12546" t="str">
        <f>"&lt;restock&gt;" &amp;$F$12543&amp;"&lt;/restock&gt;"</f>
        <v>&lt;restock&gt;300&lt;/restock&gt;</v>
      </c>
      <c r="B12546" t="s">
        <v>1076</v>
      </c>
    </row>
    <row r="12547" spans="1:8" x14ac:dyDescent="0.25">
      <c r="A12547" t="str">
        <f>"&lt;min&gt;" &amp;$G$12543&amp;"&lt;/min&gt;"</f>
        <v>&lt;min&gt;2&lt;/min&gt;</v>
      </c>
      <c r="B12547" t="s">
        <v>1076</v>
      </c>
    </row>
    <row r="12548" spans="1:8" x14ac:dyDescent="0.25">
      <c r="A12548" t="s">
        <v>16</v>
      </c>
      <c r="B12548" t="s">
        <v>1076</v>
      </c>
    </row>
    <row r="12549" spans="1:8" x14ac:dyDescent="0.25">
      <c r="A12549" t="s">
        <v>17</v>
      </c>
      <c r="B12549" t="s">
        <v>1076</v>
      </c>
    </row>
    <row r="12550" spans="1:8" x14ac:dyDescent="0.25">
      <c r="A12550" t="s">
        <v>18</v>
      </c>
      <c r="B12550" t="s">
        <v>1076</v>
      </c>
    </row>
    <row r="12551" spans="1:8" x14ac:dyDescent="0.25">
      <c r="A12551" t="str">
        <f xml:space="preserve"> $H$12543</f>
        <v>&lt;flags count_in_cargo="0" count_in_hoarder="0" count_in_map="1" count_in_player="0" crafted="0" deloot="0"/&gt;</v>
      </c>
      <c r="B12551" t="s">
        <v>1076</v>
      </c>
    </row>
    <row r="12552" spans="1:8" x14ac:dyDescent="0.25">
      <c r="A12552" t="str">
        <f>"&lt;category name=" &amp;"""" &amp;$C$12543&amp;"""/&gt;"</f>
        <v>&lt;category name="food"/&gt;</v>
      </c>
      <c r="B12552" t="s">
        <v>1076</v>
      </c>
    </row>
    <row r="12553" spans="1:8" x14ac:dyDescent="0.25">
      <c r="A12553" t="s">
        <v>82</v>
      </c>
      <c r="B12553" t="s">
        <v>1076</v>
      </c>
    </row>
    <row r="12554" spans="1:8" x14ac:dyDescent="0.25">
      <c r="A12554" t="s">
        <v>30</v>
      </c>
      <c r="B12554" t="s">
        <v>1076</v>
      </c>
    </row>
    <row r="12555" spans="1:8" x14ac:dyDescent="0.25">
      <c r="A12555" t="s">
        <v>31</v>
      </c>
      <c r="B12555" t="s">
        <v>1076</v>
      </c>
    </row>
    <row r="12556" spans="1:8" x14ac:dyDescent="0.25">
      <c r="A12556" t="s">
        <v>22</v>
      </c>
      <c r="B12556" t="s">
        <v>1076</v>
      </c>
    </row>
    <row r="12557" spans="1:8" x14ac:dyDescent="0.25">
      <c r="A12557" t="s">
        <v>2360</v>
      </c>
      <c r="B12557" t="s">
        <v>1077</v>
      </c>
      <c r="C12557" t="s">
        <v>399</v>
      </c>
      <c r="D12557">
        <v>2</v>
      </c>
      <c r="E12557">
        <v>7200</v>
      </c>
      <c r="F12557">
        <v>0</v>
      </c>
      <c r="G12557">
        <v>1</v>
      </c>
      <c r="H12557" t="s">
        <v>19</v>
      </c>
    </row>
    <row r="12558" spans="1:8" x14ac:dyDescent="0.25">
      <c r="A12558" t="str">
        <f>"&lt;nominal&gt;" &amp;$D$12557&amp;"&lt;/nominal&gt;"</f>
        <v>&lt;nominal&gt;2&lt;/nominal&gt;</v>
      </c>
      <c r="B12558" t="s">
        <v>1077</v>
      </c>
    </row>
    <row r="12559" spans="1:8" x14ac:dyDescent="0.25">
      <c r="A12559" t="str">
        <f>"&lt;lifetime&gt;" &amp;$E$12557&amp;"&lt;/lifetime&gt;"</f>
        <v>&lt;lifetime&gt;7200&lt;/lifetime&gt;</v>
      </c>
      <c r="B12559" t="s">
        <v>1077</v>
      </c>
    </row>
    <row r="12560" spans="1:8" x14ac:dyDescent="0.25">
      <c r="A12560" t="str">
        <f>"&lt;restock&gt;" &amp;$F$12557&amp;"&lt;/restock&gt;"</f>
        <v>&lt;restock&gt;0&lt;/restock&gt;</v>
      </c>
      <c r="B12560" t="s">
        <v>1077</v>
      </c>
    </row>
    <row r="12561" spans="1:8" x14ac:dyDescent="0.25">
      <c r="A12561" t="str">
        <f>"&lt;min&gt;" &amp;$G$12557&amp;"&lt;/min&gt;"</f>
        <v>&lt;min&gt;1&lt;/min&gt;</v>
      </c>
      <c r="B12561" t="s">
        <v>1077</v>
      </c>
    </row>
    <row r="12562" spans="1:8" x14ac:dyDescent="0.25">
      <c r="A12562" t="s">
        <v>16</v>
      </c>
      <c r="B12562" t="s">
        <v>1077</v>
      </c>
    </row>
    <row r="12563" spans="1:8" x14ac:dyDescent="0.25">
      <c r="A12563" t="s">
        <v>17</v>
      </c>
      <c r="B12563" t="s">
        <v>1077</v>
      </c>
    </row>
    <row r="12564" spans="1:8" x14ac:dyDescent="0.25">
      <c r="A12564" t="s">
        <v>18</v>
      </c>
      <c r="B12564" t="s">
        <v>1077</v>
      </c>
    </row>
    <row r="12565" spans="1:8" x14ac:dyDescent="0.25">
      <c r="A12565" t="str">
        <f xml:space="preserve"> $H$12557</f>
        <v>&lt;flags count_in_cargo="0" count_in_hoarder="0" count_in_map="1" count_in_player="0" crafted="0" deloot="0"/&gt;</v>
      </c>
      <c r="B12565" t="s">
        <v>1077</v>
      </c>
    </row>
    <row r="12566" spans="1:8" x14ac:dyDescent="0.25">
      <c r="A12566" t="str">
        <f>"&lt;category name=" &amp;"""" &amp;$C$12557&amp;"""/&gt;"</f>
        <v>&lt;category name="food"/&gt;</v>
      </c>
      <c r="B12566" t="s">
        <v>1077</v>
      </c>
    </row>
    <row r="12567" spans="1:8" x14ac:dyDescent="0.25">
      <c r="A12567" t="s">
        <v>20</v>
      </c>
      <c r="B12567" t="s">
        <v>1077</v>
      </c>
    </row>
    <row r="12568" spans="1:8" x14ac:dyDescent="0.25">
      <c r="A12568" t="s">
        <v>82</v>
      </c>
      <c r="B12568" t="s">
        <v>1077</v>
      </c>
    </row>
    <row r="12569" spans="1:8" x14ac:dyDescent="0.25">
      <c r="A12569" t="s">
        <v>30</v>
      </c>
      <c r="B12569" t="s">
        <v>1077</v>
      </c>
    </row>
    <row r="12570" spans="1:8" x14ac:dyDescent="0.25">
      <c r="A12570" t="s">
        <v>31</v>
      </c>
      <c r="B12570" t="s">
        <v>1077</v>
      </c>
    </row>
    <row r="12571" spans="1:8" x14ac:dyDescent="0.25">
      <c r="A12571" t="s">
        <v>22</v>
      </c>
      <c r="B12571" t="s">
        <v>1077</v>
      </c>
    </row>
    <row r="12572" spans="1:8" x14ac:dyDescent="0.25">
      <c r="A12572" t="s">
        <v>2361</v>
      </c>
      <c r="B12572" t="s">
        <v>3470</v>
      </c>
      <c r="C12572" t="s">
        <v>399</v>
      </c>
      <c r="D12572">
        <v>0</v>
      </c>
      <c r="E12572">
        <v>3600</v>
      </c>
      <c r="F12572">
        <v>0</v>
      </c>
      <c r="G12572">
        <v>0</v>
      </c>
      <c r="H12572" t="s">
        <v>62</v>
      </c>
    </row>
    <row r="12573" spans="1:8" x14ac:dyDescent="0.25">
      <c r="A12573" t="str">
        <f>"&lt;nominal&gt;" &amp;$D$12572&amp;"&lt;/nominal&gt;"</f>
        <v>&lt;nominal&gt;0&lt;/nominal&gt;</v>
      </c>
      <c r="B12573" t="s">
        <v>3470</v>
      </c>
    </row>
    <row r="12574" spans="1:8" x14ac:dyDescent="0.25">
      <c r="A12574" t="str">
        <f>"&lt;lifetime&gt;" &amp;$E$12572&amp;"&lt;/lifetime&gt;"</f>
        <v>&lt;lifetime&gt;3600&lt;/lifetime&gt;</v>
      </c>
      <c r="B12574" t="s">
        <v>3470</v>
      </c>
    </row>
    <row r="12575" spans="1:8" x14ac:dyDescent="0.25">
      <c r="A12575" t="str">
        <f>"&lt;restock&gt;" &amp;$F$12572&amp;"&lt;/restock&gt;"</f>
        <v>&lt;restock&gt;0&lt;/restock&gt;</v>
      </c>
      <c r="B12575" t="s">
        <v>3470</v>
      </c>
    </row>
    <row r="12576" spans="1:8" x14ac:dyDescent="0.25">
      <c r="A12576" t="str">
        <f>"&lt;min&gt;" &amp;$G$12572&amp;"&lt;/min&gt;"</f>
        <v>&lt;min&gt;0&lt;/min&gt;</v>
      </c>
      <c r="B12576" t="s">
        <v>3470</v>
      </c>
    </row>
    <row r="12577" spans="1:8" x14ac:dyDescent="0.25">
      <c r="A12577" t="s">
        <v>16</v>
      </c>
      <c r="B12577" t="s">
        <v>3470</v>
      </c>
    </row>
    <row r="12578" spans="1:8" x14ac:dyDescent="0.25">
      <c r="A12578" t="s">
        <v>17</v>
      </c>
      <c r="B12578" t="s">
        <v>3470</v>
      </c>
    </row>
    <row r="12579" spans="1:8" x14ac:dyDescent="0.25">
      <c r="A12579" t="s">
        <v>18</v>
      </c>
      <c r="B12579" t="s">
        <v>3470</v>
      </c>
    </row>
    <row r="12580" spans="1:8" x14ac:dyDescent="0.25">
      <c r="A12580" t="str">
        <f xml:space="preserve"> $H$12572</f>
        <v>&lt;flags count_in_cargo="0" count_in_hoarder="0" count_in_map="1" count_in_player="0" crafted="1" deloot="0"/&gt;</v>
      </c>
      <c r="B12580" t="s">
        <v>3470</v>
      </c>
    </row>
    <row r="12581" spans="1:8" x14ac:dyDescent="0.25">
      <c r="A12581" t="str">
        <f>"&lt;category name=" &amp;"""" &amp;$C$12572&amp;"""/&gt;"</f>
        <v>&lt;category name="food"/&gt;</v>
      </c>
      <c r="B12581" t="s">
        <v>3470</v>
      </c>
    </row>
    <row r="12582" spans="1:8" x14ac:dyDescent="0.25">
      <c r="A12582" t="s">
        <v>22</v>
      </c>
      <c r="B12582" t="s">
        <v>3470</v>
      </c>
    </row>
    <row r="12583" spans="1:8" x14ac:dyDescent="0.25">
      <c r="A12583" t="s">
        <v>2362</v>
      </c>
      <c r="B12583" t="s">
        <v>1078</v>
      </c>
      <c r="C12583" t="s">
        <v>426</v>
      </c>
      <c r="D12583">
        <v>60</v>
      </c>
      <c r="E12583">
        <v>2700</v>
      </c>
      <c r="F12583">
        <v>0</v>
      </c>
      <c r="G12583">
        <v>40</v>
      </c>
      <c r="H12583" t="s">
        <v>19</v>
      </c>
    </row>
    <row r="12584" spans="1:8" x14ac:dyDescent="0.25">
      <c r="A12584" t="str">
        <f>"&lt;nominal&gt;" &amp;$D$12583&amp;"&lt;/nominal&gt;"</f>
        <v>&lt;nominal&gt;60&lt;/nominal&gt;</v>
      </c>
      <c r="B12584" t="s">
        <v>1078</v>
      </c>
    </row>
    <row r="12585" spans="1:8" x14ac:dyDescent="0.25">
      <c r="A12585" t="str">
        <f>"&lt;lifetime&gt;" &amp;$E$12583&amp;"&lt;/lifetime&gt;"</f>
        <v>&lt;lifetime&gt;2700&lt;/lifetime&gt;</v>
      </c>
      <c r="B12585" t="s">
        <v>1078</v>
      </c>
    </row>
    <row r="12586" spans="1:8" x14ac:dyDescent="0.25">
      <c r="A12586" t="str">
        <f>"&lt;restock&gt;" &amp;$F$12583&amp;"&lt;/restock&gt;"</f>
        <v>&lt;restock&gt;0&lt;/restock&gt;</v>
      </c>
      <c r="B12586" t="s">
        <v>1078</v>
      </c>
    </row>
    <row r="12587" spans="1:8" x14ac:dyDescent="0.25">
      <c r="A12587" t="str">
        <f>"&lt;min&gt;" &amp;$G$12583&amp;"&lt;/min&gt;"</f>
        <v>&lt;min&gt;40&lt;/min&gt;</v>
      </c>
      <c r="B12587" t="s">
        <v>1078</v>
      </c>
    </row>
    <row r="12588" spans="1:8" x14ac:dyDescent="0.25">
      <c r="A12588" t="s">
        <v>16</v>
      </c>
      <c r="B12588" t="s">
        <v>1078</v>
      </c>
    </row>
    <row r="12589" spans="1:8" x14ac:dyDescent="0.25">
      <c r="A12589" t="s">
        <v>17</v>
      </c>
      <c r="B12589" t="s">
        <v>1078</v>
      </c>
    </row>
    <row r="12590" spans="1:8" x14ac:dyDescent="0.25">
      <c r="A12590" t="s">
        <v>18</v>
      </c>
      <c r="B12590" t="s">
        <v>1078</v>
      </c>
    </row>
    <row r="12591" spans="1:8" x14ac:dyDescent="0.25">
      <c r="A12591" t="str">
        <f xml:space="preserve"> $H$12583</f>
        <v>&lt;flags count_in_cargo="0" count_in_hoarder="0" count_in_map="1" count_in_player="0" crafted="0" deloot="0"/&gt;</v>
      </c>
      <c r="B12591" t="s">
        <v>1078</v>
      </c>
    </row>
    <row r="12592" spans="1:8" x14ac:dyDescent="0.25">
      <c r="A12592" t="str">
        <f>"&lt;category name=" &amp;"""" &amp;$C$12583&amp;"""/&gt;"</f>
        <v>&lt;category name="tools"/&gt;</v>
      </c>
      <c r="B12592" t="s">
        <v>1078</v>
      </c>
    </row>
    <row r="12593" spans="1:8" x14ac:dyDescent="0.25">
      <c r="A12593" t="s">
        <v>20</v>
      </c>
      <c r="B12593" t="s">
        <v>1078</v>
      </c>
    </row>
    <row r="12594" spans="1:8" x14ac:dyDescent="0.25">
      <c r="A12594" t="s">
        <v>55</v>
      </c>
      <c r="B12594" t="s">
        <v>1078</v>
      </c>
    </row>
    <row r="12595" spans="1:8" x14ac:dyDescent="0.25">
      <c r="A12595" t="s">
        <v>22</v>
      </c>
      <c r="B12595" t="s">
        <v>1078</v>
      </c>
    </row>
    <row r="12596" spans="1:8" x14ac:dyDescent="0.25">
      <c r="A12596" t="s">
        <v>2363</v>
      </c>
      <c r="B12596" t="s">
        <v>3471</v>
      </c>
      <c r="C12596" t="s">
        <v>426</v>
      </c>
      <c r="D12596">
        <v>0</v>
      </c>
      <c r="E12596">
        <v>7200</v>
      </c>
      <c r="F12596">
        <v>0</v>
      </c>
      <c r="G12596">
        <v>0</v>
      </c>
      <c r="H12596" t="s">
        <v>62</v>
      </c>
    </row>
    <row r="12597" spans="1:8" x14ac:dyDescent="0.25">
      <c r="A12597" t="str">
        <f>"&lt;nominal&gt;" &amp;$D$12596&amp;"&lt;/nominal&gt;"</f>
        <v>&lt;nominal&gt;0&lt;/nominal&gt;</v>
      </c>
      <c r="B12597" t="s">
        <v>3471</v>
      </c>
    </row>
    <row r="12598" spans="1:8" x14ac:dyDescent="0.25">
      <c r="A12598" t="str">
        <f>"&lt;lifetime&gt;" &amp;$E$12596&amp;"&lt;/lifetime&gt;"</f>
        <v>&lt;lifetime&gt;7200&lt;/lifetime&gt;</v>
      </c>
      <c r="B12598" t="s">
        <v>3471</v>
      </c>
    </row>
    <row r="12599" spans="1:8" x14ac:dyDescent="0.25">
      <c r="A12599" t="str">
        <f>"&lt;restock&gt;" &amp;$F$12596&amp;"&lt;/restock&gt;"</f>
        <v>&lt;restock&gt;0&lt;/restock&gt;</v>
      </c>
      <c r="B12599" t="s">
        <v>3471</v>
      </c>
    </row>
    <row r="12600" spans="1:8" x14ac:dyDescent="0.25">
      <c r="A12600" t="str">
        <f>"&lt;min&gt;" &amp;$G$12596&amp;"&lt;/min&gt;"</f>
        <v>&lt;min&gt;0&lt;/min&gt;</v>
      </c>
      <c r="B12600" t="s">
        <v>3471</v>
      </c>
    </row>
    <row r="12601" spans="1:8" x14ac:dyDescent="0.25">
      <c r="A12601" t="s">
        <v>16</v>
      </c>
      <c r="B12601" t="s">
        <v>3471</v>
      </c>
    </row>
    <row r="12602" spans="1:8" x14ac:dyDescent="0.25">
      <c r="A12602" t="s">
        <v>17</v>
      </c>
      <c r="B12602" t="s">
        <v>3471</v>
      </c>
    </row>
    <row r="12603" spans="1:8" x14ac:dyDescent="0.25">
      <c r="A12603" t="s">
        <v>18</v>
      </c>
      <c r="B12603" t="s">
        <v>3471</v>
      </c>
    </row>
    <row r="12604" spans="1:8" x14ac:dyDescent="0.25">
      <c r="A12604" t="str">
        <f xml:space="preserve"> $H$12596</f>
        <v>&lt;flags count_in_cargo="0" count_in_hoarder="0" count_in_map="1" count_in_player="0" crafted="1" deloot="0"/&gt;</v>
      </c>
      <c r="B12604" t="s">
        <v>3471</v>
      </c>
    </row>
    <row r="12605" spans="1:8" x14ac:dyDescent="0.25">
      <c r="A12605" t="str">
        <f>"&lt;category name=" &amp;"""" &amp;$C$12596&amp;"""/&gt;"</f>
        <v>&lt;category name="tools"/&gt;</v>
      </c>
      <c r="B12605" t="s">
        <v>3471</v>
      </c>
    </row>
    <row r="12606" spans="1:8" x14ac:dyDescent="0.25">
      <c r="A12606" t="s">
        <v>22</v>
      </c>
      <c r="B12606" t="s">
        <v>3471</v>
      </c>
    </row>
    <row r="12607" spans="1:8" x14ac:dyDescent="0.25">
      <c r="A12607" t="s">
        <v>2364</v>
      </c>
      <c r="B12607" t="s">
        <v>1079</v>
      </c>
      <c r="C12607" t="s">
        <v>403</v>
      </c>
      <c r="D12607">
        <v>20</v>
      </c>
      <c r="E12607">
        <v>2700</v>
      </c>
      <c r="F12607">
        <v>0</v>
      </c>
      <c r="G12607">
        <v>10</v>
      </c>
      <c r="H12607" t="s">
        <v>19</v>
      </c>
    </row>
    <row r="12608" spans="1:8" x14ac:dyDescent="0.25">
      <c r="A12608" t="str">
        <f>"&lt;nominal&gt;" &amp;$D$12607&amp;"&lt;/nominal&gt;"</f>
        <v>&lt;nominal&gt;20&lt;/nominal&gt;</v>
      </c>
      <c r="B12608" t="s">
        <v>1079</v>
      </c>
    </row>
    <row r="12609" spans="1:8" x14ac:dyDescent="0.25">
      <c r="A12609" t="str">
        <f>"&lt;lifetime&gt;" &amp;$E$12607&amp;"&lt;/lifetime&gt;"</f>
        <v>&lt;lifetime&gt;2700&lt;/lifetime&gt;</v>
      </c>
      <c r="B12609" t="s">
        <v>1079</v>
      </c>
    </row>
    <row r="12610" spans="1:8" x14ac:dyDescent="0.25">
      <c r="A12610" t="str">
        <f>"&lt;restock&gt;" &amp;$F$12607&amp;"&lt;/restock&gt;"</f>
        <v>&lt;restock&gt;0&lt;/restock&gt;</v>
      </c>
      <c r="B12610" t="s">
        <v>1079</v>
      </c>
    </row>
    <row r="12611" spans="1:8" x14ac:dyDescent="0.25">
      <c r="A12611" t="str">
        <f>"&lt;min&gt;" &amp;$G$12607&amp;"&lt;/min&gt;"</f>
        <v>&lt;min&gt;10&lt;/min&gt;</v>
      </c>
      <c r="B12611" t="s">
        <v>1079</v>
      </c>
    </row>
    <row r="12612" spans="1:8" x14ac:dyDescent="0.25">
      <c r="A12612" t="s">
        <v>16</v>
      </c>
      <c r="B12612" t="s">
        <v>1079</v>
      </c>
    </row>
    <row r="12613" spans="1:8" x14ac:dyDescent="0.25">
      <c r="A12613" t="s">
        <v>17</v>
      </c>
      <c r="B12613" t="s">
        <v>1079</v>
      </c>
    </row>
    <row r="12614" spans="1:8" x14ac:dyDescent="0.25">
      <c r="A12614" t="s">
        <v>18</v>
      </c>
      <c r="B12614" t="s">
        <v>1079</v>
      </c>
    </row>
    <row r="12615" spans="1:8" x14ac:dyDescent="0.25">
      <c r="A12615" t="str">
        <f xml:space="preserve"> $H$12607</f>
        <v>&lt;flags count_in_cargo="0" count_in_hoarder="0" count_in_map="1" count_in_player="0" crafted="0" deloot="0"/&gt;</v>
      </c>
      <c r="B12615" t="s">
        <v>1079</v>
      </c>
    </row>
    <row r="12616" spans="1:8" x14ac:dyDescent="0.25">
      <c r="A12616" t="str">
        <f>"&lt;category name=" &amp;"""" &amp;$C$12607&amp;"""/&gt;"</f>
        <v>&lt;category name="clothes"/&gt;</v>
      </c>
      <c r="B12616" t="s">
        <v>1079</v>
      </c>
    </row>
    <row r="12617" spans="1:8" x14ac:dyDescent="0.25">
      <c r="A12617" t="s">
        <v>20</v>
      </c>
      <c r="B12617" t="s">
        <v>1079</v>
      </c>
    </row>
    <row r="12618" spans="1:8" x14ac:dyDescent="0.25">
      <c r="A12618" t="s">
        <v>55</v>
      </c>
      <c r="B12618" t="s">
        <v>1079</v>
      </c>
    </row>
    <row r="12619" spans="1:8" x14ac:dyDescent="0.25">
      <c r="A12619" t="s">
        <v>39</v>
      </c>
      <c r="B12619" t="s">
        <v>1079</v>
      </c>
    </row>
    <row r="12620" spans="1:8" x14ac:dyDescent="0.25">
      <c r="A12620" t="s">
        <v>40</v>
      </c>
      <c r="B12620" t="s">
        <v>1079</v>
      </c>
    </row>
    <row r="12621" spans="1:8" x14ac:dyDescent="0.25">
      <c r="A12621" t="s">
        <v>172</v>
      </c>
      <c r="B12621" t="s">
        <v>1079</v>
      </c>
    </row>
    <row r="12622" spans="1:8" x14ac:dyDescent="0.25">
      <c r="A12622" t="s">
        <v>92</v>
      </c>
      <c r="B12622" t="s">
        <v>1079</v>
      </c>
    </row>
    <row r="12623" spans="1:8" x14ac:dyDescent="0.25">
      <c r="A12623" t="s">
        <v>22</v>
      </c>
      <c r="B12623" t="s">
        <v>1079</v>
      </c>
    </row>
    <row r="12624" spans="1:8" x14ac:dyDescent="0.25">
      <c r="A12624" t="s">
        <v>2365</v>
      </c>
      <c r="B12624" t="s">
        <v>1080</v>
      </c>
      <c r="C12624" t="s">
        <v>403</v>
      </c>
      <c r="D12624">
        <v>20</v>
      </c>
      <c r="E12624">
        <v>2700</v>
      </c>
      <c r="F12624">
        <v>0</v>
      </c>
      <c r="G12624">
        <v>10</v>
      </c>
      <c r="H12624" t="s">
        <v>19</v>
      </c>
    </row>
    <row r="12625" spans="1:2" x14ac:dyDescent="0.25">
      <c r="A12625" t="str">
        <f>"&lt;nominal&gt;" &amp;$D$12624&amp;"&lt;/nominal&gt;"</f>
        <v>&lt;nominal&gt;20&lt;/nominal&gt;</v>
      </c>
      <c r="B12625" t="s">
        <v>1080</v>
      </c>
    </row>
    <row r="12626" spans="1:2" x14ac:dyDescent="0.25">
      <c r="A12626" t="str">
        <f>"&lt;lifetime&gt;" &amp;$E$12624&amp;"&lt;/lifetime&gt;"</f>
        <v>&lt;lifetime&gt;2700&lt;/lifetime&gt;</v>
      </c>
      <c r="B12626" t="s">
        <v>1080</v>
      </c>
    </row>
    <row r="12627" spans="1:2" x14ac:dyDescent="0.25">
      <c r="A12627" t="str">
        <f>"&lt;restock&gt;" &amp;$F$12624&amp;"&lt;/restock&gt;"</f>
        <v>&lt;restock&gt;0&lt;/restock&gt;</v>
      </c>
      <c r="B12627" t="s">
        <v>1080</v>
      </c>
    </row>
    <row r="12628" spans="1:2" x14ac:dyDescent="0.25">
      <c r="A12628" t="str">
        <f>"&lt;min&gt;" &amp;$G$12624&amp;"&lt;/min&gt;"</f>
        <v>&lt;min&gt;10&lt;/min&gt;</v>
      </c>
      <c r="B12628" t="s">
        <v>1080</v>
      </c>
    </row>
    <row r="12629" spans="1:2" x14ac:dyDescent="0.25">
      <c r="A12629" t="s">
        <v>16</v>
      </c>
      <c r="B12629" t="s">
        <v>1080</v>
      </c>
    </row>
    <row r="12630" spans="1:2" x14ac:dyDescent="0.25">
      <c r="A12630" t="s">
        <v>17</v>
      </c>
      <c r="B12630" t="s">
        <v>1080</v>
      </c>
    </row>
    <row r="12631" spans="1:2" x14ac:dyDescent="0.25">
      <c r="A12631" t="s">
        <v>18</v>
      </c>
      <c r="B12631" t="s">
        <v>1080</v>
      </c>
    </row>
    <row r="12632" spans="1:2" x14ac:dyDescent="0.25">
      <c r="A12632" t="str">
        <f xml:space="preserve"> $H$12624</f>
        <v>&lt;flags count_in_cargo="0" count_in_hoarder="0" count_in_map="1" count_in_player="0" crafted="0" deloot="0"/&gt;</v>
      </c>
      <c r="B12632" t="s">
        <v>1080</v>
      </c>
    </row>
    <row r="12633" spans="1:2" x14ac:dyDescent="0.25">
      <c r="A12633" t="str">
        <f>"&lt;category name=" &amp;"""" &amp;$C$12624&amp;"""/&gt;"</f>
        <v>&lt;category name="clothes"/&gt;</v>
      </c>
      <c r="B12633" t="s">
        <v>1080</v>
      </c>
    </row>
    <row r="12634" spans="1:2" x14ac:dyDescent="0.25">
      <c r="A12634" t="s">
        <v>20</v>
      </c>
      <c r="B12634" t="s">
        <v>1080</v>
      </c>
    </row>
    <row r="12635" spans="1:2" x14ac:dyDescent="0.25">
      <c r="A12635" t="s">
        <v>55</v>
      </c>
      <c r="B12635" t="s">
        <v>1080</v>
      </c>
    </row>
    <row r="12636" spans="1:2" x14ac:dyDescent="0.25">
      <c r="A12636" t="s">
        <v>39</v>
      </c>
      <c r="B12636" t="s">
        <v>1080</v>
      </c>
    </row>
    <row r="12637" spans="1:2" x14ac:dyDescent="0.25">
      <c r="A12637" t="s">
        <v>40</v>
      </c>
      <c r="B12637" t="s">
        <v>1080</v>
      </c>
    </row>
    <row r="12638" spans="1:2" x14ac:dyDescent="0.25">
      <c r="A12638" t="s">
        <v>172</v>
      </c>
      <c r="B12638" t="s">
        <v>1080</v>
      </c>
    </row>
    <row r="12639" spans="1:2" x14ac:dyDescent="0.25">
      <c r="A12639" t="s">
        <v>92</v>
      </c>
      <c r="B12639" t="s">
        <v>1080</v>
      </c>
    </row>
    <row r="12640" spans="1:2" x14ac:dyDescent="0.25">
      <c r="A12640" t="s">
        <v>22</v>
      </c>
      <c r="B12640" t="s">
        <v>1080</v>
      </c>
    </row>
    <row r="12641" spans="1:8" x14ac:dyDescent="0.25">
      <c r="A12641" t="s">
        <v>2366</v>
      </c>
      <c r="B12641" t="s">
        <v>1081</v>
      </c>
      <c r="C12641" t="s">
        <v>403</v>
      </c>
      <c r="D12641">
        <v>20</v>
      </c>
      <c r="E12641">
        <v>2700</v>
      </c>
      <c r="F12641">
        <v>0</v>
      </c>
      <c r="G12641">
        <v>10</v>
      </c>
      <c r="H12641" t="s">
        <v>19</v>
      </c>
    </row>
    <row r="12642" spans="1:8" x14ac:dyDescent="0.25">
      <c r="A12642" t="str">
        <f>"&lt;nominal&gt;" &amp;$D$12641&amp;"&lt;/nominal&gt;"</f>
        <v>&lt;nominal&gt;20&lt;/nominal&gt;</v>
      </c>
      <c r="B12642" t="s">
        <v>1081</v>
      </c>
    </row>
    <row r="12643" spans="1:8" x14ac:dyDescent="0.25">
      <c r="A12643" t="str">
        <f>"&lt;lifetime&gt;" &amp;$E$12641&amp;"&lt;/lifetime&gt;"</f>
        <v>&lt;lifetime&gt;2700&lt;/lifetime&gt;</v>
      </c>
      <c r="B12643" t="s">
        <v>1081</v>
      </c>
    </row>
    <row r="12644" spans="1:8" x14ac:dyDescent="0.25">
      <c r="A12644" t="str">
        <f>"&lt;restock&gt;" &amp;$F$12641&amp;"&lt;/restock&gt;"</f>
        <v>&lt;restock&gt;0&lt;/restock&gt;</v>
      </c>
      <c r="B12644" t="s">
        <v>1081</v>
      </c>
    </row>
    <row r="12645" spans="1:8" x14ac:dyDescent="0.25">
      <c r="A12645" t="str">
        <f>"&lt;min&gt;" &amp;$G$12641&amp;"&lt;/min&gt;"</f>
        <v>&lt;min&gt;10&lt;/min&gt;</v>
      </c>
      <c r="B12645" t="s">
        <v>1081</v>
      </c>
    </row>
    <row r="12646" spans="1:8" x14ac:dyDescent="0.25">
      <c r="A12646" t="s">
        <v>16</v>
      </c>
      <c r="B12646" t="s">
        <v>1081</v>
      </c>
    </row>
    <row r="12647" spans="1:8" x14ac:dyDescent="0.25">
      <c r="A12647" t="s">
        <v>17</v>
      </c>
      <c r="B12647" t="s">
        <v>1081</v>
      </c>
    </row>
    <row r="12648" spans="1:8" x14ac:dyDescent="0.25">
      <c r="A12648" t="s">
        <v>18</v>
      </c>
      <c r="B12648" t="s">
        <v>1081</v>
      </c>
    </row>
    <row r="12649" spans="1:8" x14ac:dyDescent="0.25">
      <c r="A12649" t="str">
        <f xml:space="preserve"> $H$12641</f>
        <v>&lt;flags count_in_cargo="0" count_in_hoarder="0" count_in_map="1" count_in_player="0" crafted="0" deloot="0"/&gt;</v>
      </c>
      <c r="B12649" t="s">
        <v>1081</v>
      </c>
    </row>
    <row r="12650" spans="1:8" x14ac:dyDescent="0.25">
      <c r="A12650" t="str">
        <f>"&lt;category name=" &amp;"""" &amp;$C$12641&amp;"""/&gt;"</f>
        <v>&lt;category name="clothes"/&gt;</v>
      </c>
      <c r="B12650" t="s">
        <v>1081</v>
      </c>
    </row>
    <row r="12651" spans="1:8" x14ac:dyDescent="0.25">
      <c r="A12651" t="s">
        <v>20</v>
      </c>
      <c r="B12651" t="s">
        <v>1081</v>
      </c>
    </row>
    <row r="12652" spans="1:8" x14ac:dyDescent="0.25">
      <c r="A12652" t="s">
        <v>55</v>
      </c>
      <c r="B12652" t="s">
        <v>1081</v>
      </c>
    </row>
    <row r="12653" spans="1:8" x14ac:dyDescent="0.25">
      <c r="A12653" t="s">
        <v>39</v>
      </c>
      <c r="B12653" t="s">
        <v>1081</v>
      </c>
    </row>
    <row r="12654" spans="1:8" x14ac:dyDescent="0.25">
      <c r="A12654" t="s">
        <v>40</v>
      </c>
      <c r="B12654" t="s">
        <v>1081</v>
      </c>
    </row>
    <row r="12655" spans="1:8" x14ac:dyDescent="0.25">
      <c r="A12655" t="s">
        <v>172</v>
      </c>
      <c r="B12655" t="s">
        <v>1081</v>
      </c>
    </row>
    <row r="12656" spans="1:8" x14ac:dyDescent="0.25">
      <c r="A12656" t="s">
        <v>92</v>
      </c>
      <c r="B12656" t="s">
        <v>1081</v>
      </c>
    </row>
    <row r="12657" spans="1:8" x14ac:dyDescent="0.25">
      <c r="A12657" t="s">
        <v>22</v>
      </c>
      <c r="B12657" t="s">
        <v>1081</v>
      </c>
    </row>
    <row r="12658" spans="1:8" x14ac:dyDescent="0.25">
      <c r="A12658" t="s">
        <v>2367</v>
      </c>
      <c r="B12658" t="s">
        <v>1082</v>
      </c>
      <c r="C12658" t="s">
        <v>403</v>
      </c>
      <c r="D12658">
        <v>20</v>
      </c>
      <c r="E12658">
        <v>2700</v>
      </c>
      <c r="F12658">
        <v>0</v>
      </c>
      <c r="G12658">
        <v>10</v>
      </c>
      <c r="H12658" t="s">
        <v>19</v>
      </c>
    </row>
    <row r="12659" spans="1:8" x14ac:dyDescent="0.25">
      <c r="A12659" t="str">
        <f>"&lt;nominal&gt;" &amp;$D$12658&amp;"&lt;/nominal&gt;"</f>
        <v>&lt;nominal&gt;20&lt;/nominal&gt;</v>
      </c>
      <c r="B12659" t="s">
        <v>1082</v>
      </c>
    </row>
    <row r="12660" spans="1:8" x14ac:dyDescent="0.25">
      <c r="A12660" t="str">
        <f>"&lt;lifetime&gt;" &amp;$E$12658&amp;"&lt;/lifetime&gt;"</f>
        <v>&lt;lifetime&gt;2700&lt;/lifetime&gt;</v>
      </c>
      <c r="B12660" t="s">
        <v>1082</v>
      </c>
    </row>
    <row r="12661" spans="1:8" x14ac:dyDescent="0.25">
      <c r="A12661" t="str">
        <f>"&lt;restock&gt;" &amp;$F$12658&amp;"&lt;/restock&gt;"</f>
        <v>&lt;restock&gt;0&lt;/restock&gt;</v>
      </c>
      <c r="B12661" t="s">
        <v>1082</v>
      </c>
    </row>
    <row r="12662" spans="1:8" x14ac:dyDescent="0.25">
      <c r="A12662" t="str">
        <f>"&lt;min&gt;" &amp;$G$12658&amp;"&lt;/min&gt;"</f>
        <v>&lt;min&gt;10&lt;/min&gt;</v>
      </c>
      <c r="B12662" t="s">
        <v>1082</v>
      </c>
    </row>
    <row r="12663" spans="1:8" x14ac:dyDescent="0.25">
      <c r="A12663" t="s">
        <v>16</v>
      </c>
      <c r="B12663" t="s">
        <v>1082</v>
      </c>
    </row>
    <row r="12664" spans="1:8" x14ac:dyDescent="0.25">
      <c r="A12664" t="s">
        <v>17</v>
      </c>
      <c r="B12664" t="s">
        <v>1082</v>
      </c>
    </row>
    <row r="12665" spans="1:8" x14ac:dyDescent="0.25">
      <c r="A12665" t="s">
        <v>18</v>
      </c>
      <c r="B12665" t="s">
        <v>1082</v>
      </c>
    </row>
    <row r="12666" spans="1:8" x14ac:dyDescent="0.25">
      <c r="A12666" t="str">
        <f xml:space="preserve"> $H$12658</f>
        <v>&lt;flags count_in_cargo="0" count_in_hoarder="0" count_in_map="1" count_in_player="0" crafted="0" deloot="0"/&gt;</v>
      </c>
      <c r="B12666" t="s">
        <v>1082</v>
      </c>
    </row>
    <row r="12667" spans="1:8" x14ac:dyDescent="0.25">
      <c r="A12667" t="str">
        <f>"&lt;category name=" &amp;"""" &amp;$C$12658&amp;"""/&gt;"</f>
        <v>&lt;category name="clothes"/&gt;</v>
      </c>
      <c r="B12667" t="s">
        <v>1082</v>
      </c>
    </row>
    <row r="12668" spans="1:8" x14ac:dyDescent="0.25">
      <c r="A12668" t="s">
        <v>20</v>
      </c>
      <c r="B12668" t="s">
        <v>1082</v>
      </c>
    </row>
    <row r="12669" spans="1:8" x14ac:dyDescent="0.25">
      <c r="A12669" t="s">
        <v>55</v>
      </c>
      <c r="B12669" t="s">
        <v>1082</v>
      </c>
    </row>
    <row r="12670" spans="1:8" x14ac:dyDescent="0.25">
      <c r="A12670" t="s">
        <v>39</v>
      </c>
      <c r="B12670" t="s">
        <v>1082</v>
      </c>
    </row>
    <row r="12671" spans="1:8" x14ac:dyDescent="0.25">
      <c r="A12671" t="s">
        <v>40</v>
      </c>
      <c r="B12671" t="s">
        <v>1082</v>
      </c>
    </row>
    <row r="12672" spans="1:8" x14ac:dyDescent="0.25">
      <c r="A12672" t="s">
        <v>172</v>
      </c>
      <c r="B12672" t="s">
        <v>1082</v>
      </c>
    </row>
    <row r="12673" spans="1:8" x14ac:dyDescent="0.25">
      <c r="A12673" t="s">
        <v>92</v>
      </c>
      <c r="B12673" t="s">
        <v>1082</v>
      </c>
    </row>
    <row r="12674" spans="1:8" x14ac:dyDescent="0.25">
      <c r="A12674" t="s">
        <v>22</v>
      </c>
      <c r="B12674" t="s">
        <v>1082</v>
      </c>
    </row>
    <row r="12675" spans="1:8" x14ac:dyDescent="0.25">
      <c r="A12675" t="s">
        <v>2368</v>
      </c>
      <c r="B12675" t="s">
        <v>1083</v>
      </c>
      <c r="C12675" t="s">
        <v>426</v>
      </c>
      <c r="D12675">
        <v>40</v>
      </c>
      <c r="E12675">
        <v>604800</v>
      </c>
      <c r="F12675">
        <v>0</v>
      </c>
      <c r="G12675">
        <v>30</v>
      </c>
      <c r="H12675" t="s">
        <v>19</v>
      </c>
    </row>
    <row r="12676" spans="1:8" x14ac:dyDescent="0.25">
      <c r="A12676" t="str">
        <f>"&lt;nominal&gt;" &amp;$D$12675&amp;"&lt;/nominal&gt;"</f>
        <v>&lt;nominal&gt;40&lt;/nominal&gt;</v>
      </c>
      <c r="B12676" t="s">
        <v>1083</v>
      </c>
    </row>
    <row r="12677" spans="1:8" x14ac:dyDescent="0.25">
      <c r="A12677" t="str">
        <f>"&lt;lifetime&gt;" &amp;$E$12675&amp;"&lt;/lifetime&gt;"</f>
        <v>&lt;lifetime&gt;604800&lt;/lifetime&gt;</v>
      </c>
      <c r="B12677" t="s">
        <v>1083</v>
      </c>
    </row>
    <row r="12678" spans="1:8" x14ac:dyDescent="0.25">
      <c r="A12678" t="str">
        <f>"&lt;restock&gt;" &amp;$F$12675&amp;"&lt;/restock&gt;"</f>
        <v>&lt;restock&gt;0&lt;/restock&gt;</v>
      </c>
      <c r="B12678" t="s">
        <v>1083</v>
      </c>
    </row>
    <row r="12679" spans="1:8" x14ac:dyDescent="0.25">
      <c r="A12679" t="str">
        <f>"&lt;min&gt;" &amp;$G$12675&amp;"&lt;/min&gt;"</f>
        <v>&lt;min&gt;30&lt;/min&gt;</v>
      </c>
      <c r="B12679" t="s">
        <v>1083</v>
      </c>
    </row>
    <row r="12680" spans="1:8" x14ac:dyDescent="0.25">
      <c r="A12680" t="s">
        <v>16</v>
      </c>
      <c r="B12680" t="s">
        <v>1083</v>
      </c>
    </row>
    <row r="12681" spans="1:8" x14ac:dyDescent="0.25">
      <c r="A12681" t="s">
        <v>17</v>
      </c>
      <c r="B12681" t="s">
        <v>1083</v>
      </c>
    </row>
    <row r="12682" spans="1:8" x14ac:dyDescent="0.25">
      <c r="A12682" t="s">
        <v>18</v>
      </c>
      <c r="B12682" t="s">
        <v>1083</v>
      </c>
    </row>
    <row r="12683" spans="1:8" x14ac:dyDescent="0.25">
      <c r="A12683" t="str">
        <f xml:space="preserve"> $H$12675</f>
        <v>&lt;flags count_in_cargo="0" count_in_hoarder="0" count_in_map="1" count_in_player="0" crafted="0" deloot="0"/&gt;</v>
      </c>
      <c r="B12683" t="s">
        <v>1083</v>
      </c>
    </row>
    <row r="12684" spans="1:8" x14ac:dyDescent="0.25">
      <c r="A12684" t="str">
        <f>"&lt;category name=" &amp;"""" &amp;$C$12675&amp;"""/&gt;"</f>
        <v>&lt;category name="tools"/&gt;</v>
      </c>
      <c r="B12684" t="s">
        <v>1083</v>
      </c>
    </row>
    <row r="12685" spans="1:8" x14ac:dyDescent="0.25">
      <c r="A12685" t="s">
        <v>55</v>
      </c>
      <c r="B12685" t="s">
        <v>1083</v>
      </c>
    </row>
    <row r="12686" spans="1:8" x14ac:dyDescent="0.25">
      <c r="A12686" t="s">
        <v>22</v>
      </c>
      <c r="B12686" t="s">
        <v>1083</v>
      </c>
    </row>
    <row r="12687" spans="1:8" x14ac:dyDescent="0.25">
      <c r="A12687" t="s">
        <v>2369</v>
      </c>
      <c r="B12687" t="s">
        <v>1084</v>
      </c>
      <c r="C12687" t="s">
        <v>403</v>
      </c>
      <c r="D12687">
        <v>20</v>
      </c>
      <c r="E12687">
        <v>5600</v>
      </c>
      <c r="F12687">
        <v>0</v>
      </c>
      <c r="G12687">
        <v>10</v>
      </c>
      <c r="H12687" t="s">
        <v>19</v>
      </c>
    </row>
    <row r="12688" spans="1:8" x14ac:dyDescent="0.25">
      <c r="A12688" t="str">
        <f>"&lt;nominal&gt;" &amp;$D$12687&amp;"&lt;/nominal&gt;"</f>
        <v>&lt;nominal&gt;20&lt;/nominal&gt;</v>
      </c>
      <c r="B12688" t="s">
        <v>1084</v>
      </c>
    </row>
    <row r="12689" spans="1:8" x14ac:dyDescent="0.25">
      <c r="A12689" t="str">
        <f>"&lt;lifetime&gt;" &amp;$E$12687&amp;"&lt;/lifetime&gt;"</f>
        <v>&lt;lifetime&gt;5600&lt;/lifetime&gt;</v>
      </c>
      <c r="B12689" t="s">
        <v>1084</v>
      </c>
    </row>
    <row r="12690" spans="1:8" x14ac:dyDescent="0.25">
      <c r="A12690" t="str">
        <f>"&lt;restock&gt;" &amp;$F$12687&amp;"&lt;/restock&gt;"</f>
        <v>&lt;restock&gt;0&lt;/restock&gt;</v>
      </c>
      <c r="B12690" t="s">
        <v>1084</v>
      </c>
    </row>
    <row r="12691" spans="1:8" x14ac:dyDescent="0.25">
      <c r="A12691" t="str">
        <f>"&lt;min&gt;" &amp;$G$12687&amp;"&lt;/min&gt;"</f>
        <v>&lt;min&gt;10&lt;/min&gt;</v>
      </c>
      <c r="B12691" t="s">
        <v>1084</v>
      </c>
    </row>
    <row r="12692" spans="1:8" x14ac:dyDescent="0.25">
      <c r="A12692" t="s">
        <v>16</v>
      </c>
      <c r="B12692" t="s">
        <v>1084</v>
      </c>
    </row>
    <row r="12693" spans="1:8" x14ac:dyDescent="0.25">
      <c r="A12693" t="s">
        <v>17</v>
      </c>
      <c r="B12693" t="s">
        <v>1084</v>
      </c>
    </row>
    <row r="12694" spans="1:8" x14ac:dyDescent="0.25">
      <c r="A12694" t="s">
        <v>18</v>
      </c>
      <c r="B12694" t="s">
        <v>1084</v>
      </c>
    </row>
    <row r="12695" spans="1:8" x14ac:dyDescent="0.25">
      <c r="A12695" t="str">
        <f xml:space="preserve"> $H$12687</f>
        <v>&lt;flags count_in_cargo="0" count_in_hoarder="0" count_in_map="1" count_in_player="0" crafted="0" deloot="0"/&gt;</v>
      </c>
      <c r="B12695" t="s">
        <v>1084</v>
      </c>
    </row>
    <row r="12696" spans="1:8" x14ac:dyDescent="0.25">
      <c r="A12696" t="str">
        <f>"&lt;category name=" &amp;"""" &amp;$C$12687&amp;"""/&gt;"</f>
        <v>&lt;category name="clothes"/&gt;</v>
      </c>
      <c r="B12696" t="s">
        <v>1084</v>
      </c>
    </row>
    <row r="12697" spans="1:8" x14ac:dyDescent="0.25">
      <c r="A12697" t="s">
        <v>29</v>
      </c>
      <c r="B12697" t="s">
        <v>1084</v>
      </c>
    </row>
    <row r="12698" spans="1:8" x14ac:dyDescent="0.25">
      <c r="A12698" t="s">
        <v>22</v>
      </c>
      <c r="B12698" t="s">
        <v>1084</v>
      </c>
    </row>
    <row r="12699" spans="1:8" x14ac:dyDescent="0.25">
      <c r="A12699" t="s">
        <v>2370</v>
      </c>
      <c r="B12699" t="s">
        <v>1085</v>
      </c>
      <c r="C12699" t="s">
        <v>426</v>
      </c>
      <c r="D12699">
        <v>30</v>
      </c>
      <c r="E12699">
        <v>7200</v>
      </c>
      <c r="F12699">
        <v>0</v>
      </c>
      <c r="G12699">
        <v>20</v>
      </c>
      <c r="H12699" t="s">
        <v>19</v>
      </c>
    </row>
    <row r="12700" spans="1:8" x14ac:dyDescent="0.25">
      <c r="A12700" t="str">
        <f>"&lt;nominal&gt;" &amp;$D$12699&amp;"&lt;/nominal&gt;"</f>
        <v>&lt;nominal&gt;30&lt;/nominal&gt;</v>
      </c>
      <c r="B12700" t="s">
        <v>1085</v>
      </c>
    </row>
    <row r="12701" spans="1:8" x14ac:dyDescent="0.25">
      <c r="A12701" t="str">
        <f>"&lt;lifetime&gt;" &amp;$E$12699&amp;"&lt;/lifetime&gt;"</f>
        <v>&lt;lifetime&gt;7200&lt;/lifetime&gt;</v>
      </c>
      <c r="B12701" t="s">
        <v>1085</v>
      </c>
    </row>
    <row r="12702" spans="1:8" x14ac:dyDescent="0.25">
      <c r="A12702" t="str">
        <f>"&lt;restock&gt;" &amp;$F$12699&amp;"&lt;/restock&gt;"</f>
        <v>&lt;restock&gt;0&lt;/restock&gt;</v>
      </c>
      <c r="B12702" t="s">
        <v>1085</v>
      </c>
    </row>
    <row r="12703" spans="1:8" x14ac:dyDescent="0.25">
      <c r="A12703" t="str">
        <f>"&lt;min&gt;" &amp;$G$12699&amp;"&lt;/min&gt;"</f>
        <v>&lt;min&gt;20&lt;/min&gt;</v>
      </c>
      <c r="B12703" t="s">
        <v>1085</v>
      </c>
    </row>
    <row r="12704" spans="1:8" x14ac:dyDescent="0.25">
      <c r="A12704" t="s">
        <v>16</v>
      </c>
      <c r="B12704" t="s">
        <v>1085</v>
      </c>
    </row>
    <row r="12705" spans="1:8" x14ac:dyDescent="0.25">
      <c r="A12705" t="s">
        <v>17</v>
      </c>
      <c r="B12705" t="s">
        <v>1085</v>
      </c>
    </row>
    <row r="12706" spans="1:8" x14ac:dyDescent="0.25">
      <c r="A12706" t="s">
        <v>18</v>
      </c>
      <c r="B12706" t="s">
        <v>1085</v>
      </c>
    </row>
    <row r="12707" spans="1:8" x14ac:dyDescent="0.25">
      <c r="A12707" t="str">
        <f xml:space="preserve"> $H$12699</f>
        <v>&lt;flags count_in_cargo="0" count_in_hoarder="0" count_in_map="1" count_in_player="0" crafted="0" deloot="0"/&gt;</v>
      </c>
      <c r="B12707" t="s">
        <v>1085</v>
      </c>
    </row>
    <row r="12708" spans="1:8" x14ac:dyDescent="0.25">
      <c r="A12708" t="str">
        <f>"&lt;category name=" &amp;"""" &amp;$C$12699&amp;"""/&gt;"</f>
        <v>&lt;category name="tools"/&gt;</v>
      </c>
      <c r="B12708" t="s">
        <v>1085</v>
      </c>
    </row>
    <row r="12709" spans="1:8" x14ac:dyDescent="0.25">
      <c r="A12709" t="s">
        <v>20</v>
      </c>
      <c r="B12709" t="s">
        <v>1085</v>
      </c>
    </row>
    <row r="12710" spans="1:8" x14ac:dyDescent="0.25">
      <c r="A12710" t="s">
        <v>82</v>
      </c>
      <c r="B12710" t="s">
        <v>1085</v>
      </c>
    </row>
    <row r="12711" spans="1:8" x14ac:dyDescent="0.25">
      <c r="A12711" t="s">
        <v>30</v>
      </c>
      <c r="B12711" t="s">
        <v>1085</v>
      </c>
    </row>
    <row r="12712" spans="1:8" x14ac:dyDescent="0.25">
      <c r="A12712" t="s">
        <v>31</v>
      </c>
      <c r="B12712" t="s">
        <v>1085</v>
      </c>
    </row>
    <row r="12713" spans="1:8" x14ac:dyDescent="0.25">
      <c r="A12713" t="s">
        <v>307</v>
      </c>
      <c r="B12713" t="s">
        <v>1085</v>
      </c>
    </row>
    <row r="12714" spans="1:8" x14ac:dyDescent="0.25">
      <c r="A12714" t="s">
        <v>22</v>
      </c>
      <c r="B12714" t="s">
        <v>1085</v>
      </c>
    </row>
    <row r="12715" spans="1:8" x14ac:dyDescent="0.25">
      <c r="A12715" t="s">
        <v>2371</v>
      </c>
      <c r="B12715" t="s">
        <v>1086</v>
      </c>
      <c r="C12715" t="s">
        <v>426</v>
      </c>
      <c r="D12715">
        <v>100</v>
      </c>
      <c r="E12715">
        <v>7200</v>
      </c>
      <c r="F12715">
        <v>0</v>
      </c>
      <c r="G12715">
        <v>80</v>
      </c>
      <c r="H12715" t="s">
        <v>19</v>
      </c>
    </row>
    <row r="12716" spans="1:8" x14ac:dyDescent="0.25">
      <c r="A12716" t="str">
        <f>"&lt;nominal&gt;" &amp;$D$12715&amp;"&lt;/nominal&gt;"</f>
        <v>&lt;nominal&gt;100&lt;/nominal&gt;</v>
      </c>
      <c r="B12716" t="s">
        <v>1086</v>
      </c>
    </row>
    <row r="12717" spans="1:8" x14ac:dyDescent="0.25">
      <c r="A12717" t="str">
        <f>"&lt;lifetime&gt;" &amp;$E$12715&amp;"&lt;/lifetime&gt;"</f>
        <v>&lt;lifetime&gt;7200&lt;/lifetime&gt;</v>
      </c>
      <c r="B12717" t="s">
        <v>1086</v>
      </c>
    </row>
    <row r="12718" spans="1:8" x14ac:dyDescent="0.25">
      <c r="A12718" t="str">
        <f>"&lt;restock&gt;" &amp;$F$12715&amp;"&lt;/restock&gt;"</f>
        <v>&lt;restock&gt;0&lt;/restock&gt;</v>
      </c>
      <c r="B12718" t="s">
        <v>1086</v>
      </c>
    </row>
    <row r="12719" spans="1:8" x14ac:dyDescent="0.25">
      <c r="A12719" t="str">
        <f>"&lt;min&gt;" &amp;$G$12715&amp;"&lt;/min&gt;"</f>
        <v>&lt;min&gt;80&lt;/min&gt;</v>
      </c>
      <c r="B12719" t="s">
        <v>1086</v>
      </c>
    </row>
    <row r="12720" spans="1:8" x14ac:dyDescent="0.25">
      <c r="A12720" t="s">
        <v>16</v>
      </c>
      <c r="B12720" t="s">
        <v>1086</v>
      </c>
    </row>
    <row r="12721" spans="1:8" x14ac:dyDescent="0.25">
      <c r="A12721" t="s">
        <v>17</v>
      </c>
      <c r="B12721" t="s">
        <v>1086</v>
      </c>
    </row>
    <row r="12722" spans="1:8" x14ac:dyDescent="0.25">
      <c r="A12722" t="s">
        <v>18</v>
      </c>
      <c r="B12722" t="s">
        <v>1086</v>
      </c>
    </row>
    <row r="12723" spans="1:8" x14ac:dyDescent="0.25">
      <c r="A12723" t="str">
        <f xml:space="preserve"> $H$12715</f>
        <v>&lt;flags count_in_cargo="0" count_in_hoarder="0" count_in_map="1" count_in_player="0" crafted="0" deloot="0"/&gt;</v>
      </c>
      <c r="B12723" t="s">
        <v>1086</v>
      </c>
    </row>
    <row r="12724" spans="1:8" x14ac:dyDescent="0.25">
      <c r="A12724" t="str">
        <f>"&lt;category name=" &amp;"""" &amp;$C$12715&amp;"""/&gt;"</f>
        <v>&lt;category name="tools"/&gt;</v>
      </c>
      <c r="B12724" t="s">
        <v>1086</v>
      </c>
    </row>
    <row r="12725" spans="1:8" x14ac:dyDescent="0.25">
      <c r="A12725" t="s">
        <v>20</v>
      </c>
      <c r="B12725" t="s">
        <v>1086</v>
      </c>
    </row>
    <row r="12726" spans="1:8" x14ac:dyDescent="0.25">
      <c r="A12726" t="s">
        <v>39</v>
      </c>
      <c r="B12726" t="s">
        <v>1086</v>
      </c>
    </row>
    <row r="12727" spans="1:8" x14ac:dyDescent="0.25">
      <c r="A12727" t="s">
        <v>40</v>
      </c>
      <c r="B12727" t="s">
        <v>1086</v>
      </c>
    </row>
    <row r="12728" spans="1:8" x14ac:dyDescent="0.25">
      <c r="A12728" t="s">
        <v>82</v>
      </c>
      <c r="B12728" t="s">
        <v>1086</v>
      </c>
    </row>
    <row r="12729" spans="1:8" x14ac:dyDescent="0.25">
      <c r="A12729" t="s">
        <v>30</v>
      </c>
      <c r="B12729" t="s">
        <v>1086</v>
      </c>
    </row>
    <row r="12730" spans="1:8" x14ac:dyDescent="0.25">
      <c r="A12730" t="s">
        <v>22</v>
      </c>
      <c r="B12730" t="s">
        <v>1086</v>
      </c>
    </row>
    <row r="12731" spans="1:8" x14ac:dyDescent="0.25">
      <c r="A12731" t="s">
        <v>2372</v>
      </c>
      <c r="B12731" t="s">
        <v>3472</v>
      </c>
      <c r="C12731" t="s">
        <v>426</v>
      </c>
      <c r="D12731">
        <v>0</v>
      </c>
      <c r="E12731">
        <v>7200</v>
      </c>
      <c r="F12731">
        <v>0</v>
      </c>
      <c r="G12731">
        <v>0</v>
      </c>
      <c r="H12731" t="s">
        <v>62</v>
      </c>
    </row>
    <row r="12732" spans="1:8" x14ac:dyDescent="0.25">
      <c r="A12732" t="str">
        <f>"&lt;nominal&gt;" &amp;$D$12731&amp;"&lt;/nominal&gt;"</f>
        <v>&lt;nominal&gt;0&lt;/nominal&gt;</v>
      </c>
      <c r="B12732" t="s">
        <v>3472</v>
      </c>
    </row>
    <row r="12733" spans="1:8" x14ac:dyDescent="0.25">
      <c r="A12733" t="str">
        <f>"&lt;lifetime&gt;" &amp;$E$12731&amp;"&lt;/lifetime&gt;"</f>
        <v>&lt;lifetime&gt;7200&lt;/lifetime&gt;</v>
      </c>
      <c r="B12733" t="s">
        <v>3472</v>
      </c>
    </row>
    <row r="12734" spans="1:8" x14ac:dyDescent="0.25">
      <c r="A12734" t="str">
        <f>"&lt;restock&gt;" &amp;$F$12731&amp;"&lt;/restock&gt;"</f>
        <v>&lt;restock&gt;0&lt;/restock&gt;</v>
      </c>
      <c r="B12734" t="s">
        <v>3472</v>
      </c>
    </row>
    <row r="12735" spans="1:8" x14ac:dyDescent="0.25">
      <c r="A12735" t="str">
        <f>"&lt;min&gt;" &amp;$G$12731&amp;"&lt;/min&gt;"</f>
        <v>&lt;min&gt;0&lt;/min&gt;</v>
      </c>
      <c r="B12735" t="s">
        <v>3472</v>
      </c>
    </row>
    <row r="12736" spans="1:8" x14ac:dyDescent="0.25">
      <c r="A12736" t="s">
        <v>16</v>
      </c>
      <c r="B12736" t="s">
        <v>3472</v>
      </c>
    </row>
    <row r="12737" spans="1:8" x14ac:dyDescent="0.25">
      <c r="A12737" t="s">
        <v>17</v>
      </c>
      <c r="B12737" t="s">
        <v>3472</v>
      </c>
    </row>
    <row r="12738" spans="1:8" x14ac:dyDescent="0.25">
      <c r="A12738" t="s">
        <v>18</v>
      </c>
      <c r="B12738" t="s">
        <v>3472</v>
      </c>
    </row>
    <row r="12739" spans="1:8" x14ac:dyDescent="0.25">
      <c r="A12739" t="str">
        <f xml:space="preserve"> $H$12731</f>
        <v>&lt;flags count_in_cargo="0" count_in_hoarder="0" count_in_map="1" count_in_player="0" crafted="1" deloot="0"/&gt;</v>
      </c>
      <c r="B12739" t="s">
        <v>3472</v>
      </c>
    </row>
    <row r="12740" spans="1:8" x14ac:dyDescent="0.25">
      <c r="A12740" t="str">
        <f>"&lt;category name=" &amp;"""" &amp;$C$12731&amp;"""/&gt;"</f>
        <v>&lt;category name="tools"/&gt;</v>
      </c>
      <c r="B12740" t="s">
        <v>3472</v>
      </c>
    </row>
    <row r="12741" spans="1:8" x14ac:dyDescent="0.25">
      <c r="A12741" t="s">
        <v>22</v>
      </c>
      <c r="B12741" t="s">
        <v>3472</v>
      </c>
    </row>
    <row r="12742" spans="1:8" x14ac:dyDescent="0.25">
      <c r="A12742" t="s">
        <v>2373</v>
      </c>
      <c r="B12742" t="s">
        <v>3473</v>
      </c>
      <c r="C12742" t="s">
        <v>426</v>
      </c>
      <c r="D12742">
        <v>0</v>
      </c>
      <c r="E12742">
        <v>5600</v>
      </c>
      <c r="F12742">
        <v>0</v>
      </c>
      <c r="G12742">
        <v>0</v>
      </c>
      <c r="H12742" t="s">
        <v>62</v>
      </c>
    </row>
    <row r="12743" spans="1:8" x14ac:dyDescent="0.25">
      <c r="A12743" t="str">
        <f>"&lt;nominal&gt;" &amp;$D$12742&amp;"&lt;/nominal&gt;"</f>
        <v>&lt;nominal&gt;0&lt;/nominal&gt;</v>
      </c>
      <c r="B12743" t="s">
        <v>3473</v>
      </c>
    </row>
    <row r="12744" spans="1:8" x14ac:dyDescent="0.25">
      <c r="A12744" t="str">
        <f>"&lt;lifetime&gt;" &amp;$E$12742&amp;"&lt;/lifetime&gt;"</f>
        <v>&lt;lifetime&gt;5600&lt;/lifetime&gt;</v>
      </c>
      <c r="B12744" t="s">
        <v>3473</v>
      </c>
    </row>
    <row r="12745" spans="1:8" x14ac:dyDescent="0.25">
      <c r="A12745" t="str">
        <f>"&lt;restock&gt;" &amp;$F$12742&amp;"&lt;/restock&gt;"</f>
        <v>&lt;restock&gt;0&lt;/restock&gt;</v>
      </c>
      <c r="B12745" t="s">
        <v>3473</v>
      </c>
    </row>
    <row r="12746" spans="1:8" x14ac:dyDescent="0.25">
      <c r="A12746" t="str">
        <f>"&lt;min&gt;" &amp;$G$12742&amp;"&lt;/min&gt;"</f>
        <v>&lt;min&gt;0&lt;/min&gt;</v>
      </c>
      <c r="B12746" t="s">
        <v>3473</v>
      </c>
    </row>
    <row r="12747" spans="1:8" x14ac:dyDescent="0.25">
      <c r="A12747" t="s">
        <v>16</v>
      </c>
      <c r="B12747" t="s">
        <v>3473</v>
      </c>
    </row>
    <row r="12748" spans="1:8" x14ac:dyDescent="0.25">
      <c r="A12748" t="s">
        <v>17</v>
      </c>
      <c r="B12748" t="s">
        <v>3473</v>
      </c>
    </row>
    <row r="12749" spans="1:8" x14ac:dyDescent="0.25">
      <c r="A12749" t="s">
        <v>18</v>
      </c>
      <c r="B12749" t="s">
        <v>3473</v>
      </c>
    </row>
    <row r="12750" spans="1:8" x14ac:dyDescent="0.25">
      <c r="A12750" t="str">
        <f xml:space="preserve"> $H$12742</f>
        <v>&lt;flags count_in_cargo="0" count_in_hoarder="0" count_in_map="1" count_in_player="0" crafted="1" deloot="0"/&gt;</v>
      </c>
      <c r="B12750" t="s">
        <v>3473</v>
      </c>
    </row>
    <row r="12751" spans="1:8" x14ac:dyDescent="0.25">
      <c r="A12751" t="str">
        <f>"&lt;category name=" &amp;"""" &amp;$C$12742&amp;"""/&gt;"</f>
        <v>&lt;category name="tools"/&gt;</v>
      </c>
      <c r="B12751" t="s">
        <v>3473</v>
      </c>
    </row>
    <row r="12752" spans="1:8" x14ac:dyDescent="0.25">
      <c r="A12752" t="s">
        <v>22</v>
      </c>
      <c r="B12752" t="s">
        <v>3473</v>
      </c>
    </row>
    <row r="12753" spans="1:8" x14ac:dyDescent="0.25">
      <c r="A12753" t="s">
        <v>2374</v>
      </c>
      <c r="B12753" t="s">
        <v>3474</v>
      </c>
      <c r="C12753" t="s">
        <v>426</v>
      </c>
      <c r="D12753">
        <v>0</v>
      </c>
      <c r="E12753">
        <v>7200</v>
      </c>
      <c r="F12753">
        <v>0</v>
      </c>
      <c r="G12753">
        <v>0</v>
      </c>
      <c r="H12753" t="s">
        <v>19</v>
      </c>
    </row>
    <row r="12754" spans="1:8" x14ac:dyDescent="0.25">
      <c r="A12754" t="str">
        <f>"&lt;nominal&gt;" &amp;$D$12753&amp;"&lt;/nominal&gt;"</f>
        <v>&lt;nominal&gt;0&lt;/nominal&gt;</v>
      </c>
      <c r="B12754" t="s">
        <v>3474</v>
      </c>
    </row>
    <row r="12755" spans="1:8" x14ac:dyDescent="0.25">
      <c r="A12755" t="str">
        <f>"&lt;lifetime&gt;" &amp;$E$12753&amp;"&lt;/lifetime&gt;"</f>
        <v>&lt;lifetime&gt;7200&lt;/lifetime&gt;</v>
      </c>
      <c r="B12755" t="s">
        <v>3474</v>
      </c>
    </row>
    <row r="12756" spans="1:8" x14ac:dyDescent="0.25">
      <c r="A12756" t="str">
        <f>"&lt;restock&gt;" &amp;$F$12753&amp;"&lt;/restock&gt;"</f>
        <v>&lt;restock&gt;0&lt;/restock&gt;</v>
      </c>
      <c r="B12756" t="s">
        <v>3474</v>
      </c>
    </row>
    <row r="12757" spans="1:8" x14ac:dyDescent="0.25">
      <c r="A12757" t="str">
        <f>"&lt;min&gt;" &amp;$G$12753&amp;"&lt;/min&gt;"</f>
        <v>&lt;min&gt;0&lt;/min&gt;</v>
      </c>
      <c r="B12757" t="s">
        <v>3474</v>
      </c>
    </row>
    <row r="12758" spans="1:8" x14ac:dyDescent="0.25">
      <c r="A12758" t="s">
        <v>16</v>
      </c>
      <c r="B12758" t="s">
        <v>3474</v>
      </c>
    </row>
    <row r="12759" spans="1:8" x14ac:dyDescent="0.25">
      <c r="A12759" t="s">
        <v>17</v>
      </c>
      <c r="B12759" t="s">
        <v>3474</v>
      </c>
    </row>
    <row r="12760" spans="1:8" x14ac:dyDescent="0.25">
      <c r="A12760" t="s">
        <v>18</v>
      </c>
      <c r="B12760" t="s">
        <v>3474</v>
      </c>
    </row>
    <row r="12761" spans="1:8" x14ac:dyDescent="0.25">
      <c r="A12761" t="str">
        <f xml:space="preserve"> $H$12753</f>
        <v>&lt;flags count_in_cargo="0" count_in_hoarder="0" count_in_map="1" count_in_player="0" crafted="0" deloot="0"/&gt;</v>
      </c>
      <c r="B12761" t="s">
        <v>3474</v>
      </c>
    </row>
    <row r="12762" spans="1:8" x14ac:dyDescent="0.25">
      <c r="A12762" t="str">
        <f>"&lt;category name=" &amp;"""" &amp;$C$12753&amp;"""/&gt;"</f>
        <v>&lt;category name="tools"/&gt;</v>
      </c>
      <c r="B12762" t="s">
        <v>3474</v>
      </c>
    </row>
    <row r="12763" spans="1:8" x14ac:dyDescent="0.25">
      <c r="A12763" t="s">
        <v>29</v>
      </c>
      <c r="B12763" t="s">
        <v>3474</v>
      </c>
    </row>
    <row r="12764" spans="1:8" x14ac:dyDescent="0.25">
      <c r="A12764" t="s">
        <v>173</v>
      </c>
      <c r="B12764" t="s">
        <v>3474</v>
      </c>
    </row>
    <row r="12765" spans="1:8" x14ac:dyDescent="0.25">
      <c r="A12765" t="s">
        <v>22</v>
      </c>
      <c r="B12765" t="s">
        <v>3474</v>
      </c>
    </row>
    <row r="12766" spans="1:8" x14ac:dyDescent="0.25">
      <c r="A12766" t="s">
        <v>2375</v>
      </c>
      <c r="B12766" t="s">
        <v>1087</v>
      </c>
      <c r="C12766" t="s">
        <v>403</v>
      </c>
      <c r="D12766">
        <v>8</v>
      </c>
      <c r="E12766">
        <v>7200</v>
      </c>
      <c r="F12766">
        <v>0</v>
      </c>
      <c r="G12766">
        <v>3</v>
      </c>
      <c r="H12766" t="s">
        <v>19</v>
      </c>
    </row>
    <row r="12767" spans="1:8" x14ac:dyDescent="0.25">
      <c r="A12767" t="str">
        <f>"&lt;nominal&gt;" &amp;$D$12766&amp;"&lt;/nominal&gt;"</f>
        <v>&lt;nominal&gt;8&lt;/nominal&gt;</v>
      </c>
      <c r="B12767" t="s">
        <v>1087</v>
      </c>
    </row>
    <row r="12768" spans="1:8" x14ac:dyDescent="0.25">
      <c r="A12768" t="str">
        <f>"&lt;lifetime&gt;" &amp;$E$12766&amp;"&lt;/lifetime&gt;"</f>
        <v>&lt;lifetime&gt;7200&lt;/lifetime&gt;</v>
      </c>
      <c r="B12768" t="s">
        <v>1087</v>
      </c>
    </row>
    <row r="12769" spans="1:8" x14ac:dyDescent="0.25">
      <c r="A12769" t="str">
        <f>"&lt;restock&gt;" &amp;$F$12766&amp;"&lt;/restock&gt;"</f>
        <v>&lt;restock&gt;0&lt;/restock&gt;</v>
      </c>
      <c r="B12769" t="s">
        <v>1087</v>
      </c>
    </row>
    <row r="12770" spans="1:8" x14ac:dyDescent="0.25">
      <c r="A12770" t="str">
        <f>"&lt;min&gt;" &amp;$G$12766&amp;"&lt;/min&gt;"</f>
        <v>&lt;min&gt;3&lt;/min&gt;</v>
      </c>
      <c r="B12770" t="s">
        <v>1087</v>
      </c>
    </row>
    <row r="12771" spans="1:8" x14ac:dyDescent="0.25">
      <c r="A12771" t="s">
        <v>16</v>
      </c>
      <c r="B12771" t="s">
        <v>1087</v>
      </c>
    </row>
    <row r="12772" spans="1:8" x14ac:dyDescent="0.25">
      <c r="A12772" t="s">
        <v>17</v>
      </c>
      <c r="B12772" t="s">
        <v>1087</v>
      </c>
    </row>
    <row r="12773" spans="1:8" x14ac:dyDescent="0.25">
      <c r="A12773" t="s">
        <v>18</v>
      </c>
      <c r="B12773" t="s">
        <v>1087</v>
      </c>
    </row>
    <row r="12774" spans="1:8" x14ac:dyDescent="0.25">
      <c r="A12774" t="str">
        <f xml:space="preserve"> $H$12766</f>
        <v>&lt;flags count_in_cargo="0" count_in_hoarder="0" count_in_map="1" count_in_player="0" crafted="0" deloot="0"/&gt;</v>
      </c>
      <c r="B12774" t="s">
        <v>1087</v>
      </c>
    </row>
    <row r="12775" spans="1:8" x14ac:dyDescent="0.25">
      <c r="A12775" t="str">
        <f>"&lt;category name=" &amp;"""" &amp;$C$12766&amp;"""/&gt;"</f>
        <v>&lt;category name="clothes"/&gt;</v>
      </c>
      <c r="B12775" t="s">
        <v>1087</v>
      </c>
    </row>
    <row r="12776" spans="1:8" x14ac:dyDescent="0.25">
      <c r="A12776" t="s">
        <v>21</v>
      </c>
      <c r="B12776" t="s">
        <v>1087</v>
      </c>
    </row>
    <row r="12777" spans="1:8" x14ac:dyDescent="0.25">
      <c r="A12777" t="s">
        <v>22</v>
      </c>
      <c r="B12777" t="s">
        <v>1087</v>
      </c>
    </row>
    <row r="12778" spans="1:8" x14ac:dyDescent="0.25">
      <c r="A12778" t="s">
        <v>2376</v>
      </c>
      <c r="B12778" t="s">
        <v>1088</v>
      </c>
      <c r="C12778" t="s">
        <v>403</v>
      </c>
      <c r="D12778">
        <v>8</v>
      </c>
      <c r="E12778">
        <v>7200</v>
      </c>
      <c r="F12778">
        <v>0</v>
      </c>
      <c r="G12778">
        <v>3</v>
      </c>
      <c r="H12778" t="s">
        <v>19</v>
      </c>
    </row>
    <row r="12779" spans="1:8" x14ac:dyDescent="0.25">
      <c r="A12779" t="str">
        <f>"&lt;nominal&gt;" &amp;$D$12778&amp;"&lt;/nominal&gt;"</f>
        <v>&lt;nominal&gt;8&lt;/nominal&gt;</v>
      </c>
      <c r="B12779" t="s">
        <v>1088</v>
      </c>
    </row>
    <row r="12780" spans="1:8" x14ac:dyDescent="0.25">
      <c r="A12780" t="str">
        <f>"&lt;lifetime&gt;" &amp;$E$12778&amp;"&lt;/lifetime&gt;"</f>
        <v>&lt;lifetime&gt;7200&lt;/lifetime&gt;</v>
      </c>
      <c r="B12780" t="s">
        <v>1088</v>
      </c>
    </row>
    <row r="12781" spans="1:8" x14ac:dyDescent="0.25">
      <c r="A12781" t="str">
        <f>"&lt;restock&gt;" &amp;$F$12778&amp;"&lt;/restock&gt;"</f>
        <v>&lt;restock&gt;0&lt;/restock&gt;</v>
      </c>
      <c r="B12781" t="s">
        <v>1088</v>
      </c>
    </row>
    <row r="12782" spans="1:8" x14ac:dyDescent="0.25">
      <c r="A12782" t="str">
        <f>"&lt;min&gt;" &amp;$G$12778&amp;"&lt;/min&gt;"</f>
        <v>&lt;min&gt;3&lt;/min&gt;</v>
      </c>
      <c r="B12782" t="s">
        <v>1088</v>
      </c>
    </row>
    <row r="12783" spans="1:8" x14ac:dyDescent="0.25">
      <c r="A12783" t="s">
        <v>16</v>
      </c>
      <c r="B12783" t="s">
        <v>1088</v>
      </c>
    </row>
    <row r="12784" spans="1:8" x14ac:dyDescent="0.25">
      <c r="A12784" t="s">
        <v>17</v>
      </c>
      <c r="B12784" t="s">
        <v>1088</v>
      </c>
    </row>
    <row r="12785" spans="1:8" x14ac:dyDescent="0.25">
      <c r="A12785" t="s">
        <v>18</v>
      </c>
      <c r="B12785" t="s">
        <v>1088</v>
      </c>
    </row>
    <row r="12786" spans="1:8" x14ac:dyDescent="0.25">
      <c r="A12786" t="str">
        <f xml:space="preserve"> $H$12778</f>
        <v>&lt;flags count_in_cargo="0" count_in_hoarder="0" count_in_map="1" count_in_player="0" crafted="0" deloot="0"/&gt;</v>
      </c>
      <c r="B12786" t="s">
        <v>1088</v>
      </c>
    </row>
    <row r="12787" spans="1:8" x14ac:dyDescent="0.25">
      <c r="A12787" t="str">
        <f>"&lt;category name=" &amp;"""" &amp;$C$12778&amp;"""/&gt;"</f>
        <v>&lt;category name="clothes"/&gt;</v>
      </c>
      <c r="B12787" t="s">
        <v>1088</v>
      </c>
    </row>
    <row r="12788" spans="1:8" x14ac:dyDescent="0.25">
      <c r="A12788" t="s">
        <v>21</v>
      </c>
      <c r="B12788" t="s">
        <v>1088</v>
      </c>
    </row>
    <row r="12789" spans="1:8" x14ac:dyDescent="0.25">
      <c r="A12789" t="s">
        <v>22</v>
      </c>
      <c r="B12789" t="s">
        <v>1088</v>
      </c>
    </row>
    <row r="12790" spans="1:8" x14ac:dyDescent="0.25">
      <c r="A12790" t="s">
        <v>2377</v>
      </c>
      <c r="B12790" t="s">
        <v>1089</v>
      </c>
      <c r="C12790" t="s">
        <v>403</v>
      </c>
      <c r="D12790">
        <v>8</v>
      </c>
      <c r="E12790">
        <v>7200</v>
      </c>
      <c r="F12790">
        <v>0</v>
      </c>
      <c r="G12790">
        <v>3</v>
      </c>
      <c r="H12790" t="s">
        <v>19</v>
      </c>
    </row>
    <row r="12791" spans="1:8" x14ac:dyDescent="0.25">
      <c r="A12791" t="str">
        <f>"&lt;nominal&gt;" &amp;$D$12790&amp;"&lt;/nominal&gt;"</f>
        <v>&lt;nominal&gt;8&lt;/nominal&gt;</v>
      </c>
      <c r="B12791" t="s">
        <v>1089</v>
      </c>
    </row>
    <row r="12792" spans="1:8" x14ac:dyDescent="0.25">
      <c r="A12792" t="str">
        <f>"&lt;lifetime&gt;" &amp;$E$12790&amp;"&lt;/lifetime&gt;"</f>
        <v>&lt;lifetime&gt;7200&lt;/lifetime&gt;</v>
      </c>
      <c r="B12792" t="s">
        <v>1089</v>
      </c>
    </row>
    <row r="12793" spans="1:8" x14ac:dyDescent="0.25">
      <c r="A12793" t="str">
        <f>"&lt;restock&gt;" &amp;$F$12790&amp;"&lt;/restock&gt;"</f>
        <v>&lt;restock&gt;0&lt;/restock&gt;</v>
      </c>
      <c r="B12793" t="s">
        <v>1089</v>
      </c>
    </row>
    <row r="12794" spans="1:8" x14ac:dyDescent="0.25">
      <c r="A12794" t="str">
        <f>"&lt;min&gt;" &amp;$G$12790&amp;"&lt;/min&gt;"</f>
        <v>&lt;min&gt;3&lt;/min&gt;</v>
      </c>
      <c r="B12794" t="s">
        <v>1089</v>
      </c>
    </row>
    <row r="12795" spans="1:8" x14ac:dyDescent="0.25">
      <c r="A12795" t="s">
        <v>16</v>
      </c>
      <c r="B12795" t="s">
        <v>1089</v>
      </c>
    </row>
    <row r="12796" spans="1:8" x14ac:dyDescent="0.25">
      <c r="A12796" t="s">
        <v>17</v>
      </c>
      <c r="B12796" t="s">
        <v>1089</v>
      </c>
    </row>
    <row r="12797" spans="1:8" x14ac:dyDescent="0.25">
      <c r="A12797" t="s">
        <v>18</v>
      </c>
      <c r="B12797" t="s">
        <v>1089</v>
      </c>
    </row>
    <row r="12798" spans="1:8" x14ac:dyDescent="0.25">
      <c r="A12798" t="str">
        <f xml:space="preserve"> $H$12790</f>
        <v>&lt;flags count_in_cargo="0" count_in_hoarder="0" count_in_map="1" count_in_player="0" crafted="0" deloot="0"/&gt;</v>
      </c>
      <c r="B12798" t="s">
        <v>1089</v>
      </c>
    </row>
    <row r="12799" spans="1:8" x14ac:dyDescent="0.25">
      <c r="A12799" t="str">
        <f>"&lt;category name=" &amp;"""" &amp;$C$12790&amp;"""/&gt;"</f>
        <v>&lt;category name="clothes"/&gt;</v>
      </c>
      <c r="B12799" t="s">
        <v>1089</v>
      </c>
    </row>
    <row r="12800" spans="1:8" x14ac:dyDescent="0.25">
      <c r="A12800" t="s">
        <v>21</v>
      </c>
      <c r="B12800" t="s">
        <v>1089</v>
      </c>
    </row>
    <row r="12801" spans="1:8" x14ac:dyDescent="0.25">
      <c r="A12801" t="s">
        <v>22</v>
      </c>
      <c r="B12801" t="s">
        <v>1089</v>
      </c>
    </row>
    <row r="12802" spans="1:8" x14ac:dyDescent="0.25">
      <c r="A12802" t="s">
        <v>2378</v>
      </c>
      <c r="B12802" t="s">
        <v>1090</v>
      </c>
      <c r="C12802" t="s">
        <v>403</v>
      </c>
      <c r="D12802">
        <v>8</v>
      </c>
      <c r="E12802">
        <v>7200</v>
      </c>
      <c r="F12802">
        <v>0</v>
      </c>
      <c r="G12802">
        <v>3</v>
      </c>
      <c r="H12802" t="s">
        <v>19</v>
      </c>
    </row>
    <row r="12803" spans="1:8" x14ac:dyDescent="0.25">
      <c r="A12803" t="str">
        <f>"&lt;nominal&gt;" &amp;$D$12802&amp;"&lt;/nominal&gt;"</f>
        <v>&lt;nominal&gt;8&lt;/nominal&gt;</v>
      </c>
      <c r="B12803" t="s">
        <v>1090</v>
      </c>
    </row>
    <row r="12804" spans="1:8" x14ac:dyDescent="0.25">
      <c r="A12804" t="str">
        <f>"&lt;lifetime&gt;" &amp;$E$12802&amp;"&lt;/lifetime&gt;"</f>
        <v>&lt;lifetime&gt;7200&lt;/lifetime&gt;</v>
      </c>
      <c r="B12804" t="s">
        <v>1090</v>
      </c>
    </row>
    <row r="12805" spans="1:8" x14ac:dyDescent="0.25">
      <c r="A12805" t="str">
        <f>"&lt;restock&gt;" &amp;$F$12802&amp;"&lt;/restock&gt;"</f>
        <v>&lt;restock&gt;0&lt;/restock&gt;</v>
      </c>
      <c r="B12805" t="s">
        <v>1090</v>
      </c>
    </row>
    <row r="12806" spans="1:8" x14ac:dyDescent="0.25">
      <c r="A12806" t="str">
        <f>"&lt;min&gt;" &amp;$G$12802&amp;"&lt;/min&gt;"</f>
        <v>&lt;min&gt;3&lt;/min&gt;</v>
      </c>
      <c r="B12806" t="s">
        <v>1090</v>
      </c>
    </row>
    <row r="12807" spans="1:8" x14ac:dyDescent="0.25">
      <c r="A12807" t="s">
        <v>16</v>
      </c>
      <c r="B12807" t="s">
        <v>1090</v>
      </c>
    </row>
    <row r="12808" spans="1:8" x14ac:dyDescent="0.25">
      <c r="A12808" t="s">
        <v>17</v>
      </c>
      <c r="B12808" t="s">
        <v>1090</v>
      </c>
    </row>
    <row r="12809" spans="1:8" x14ac:dyDescent="0.25">
      <c r="A12809" t="s">
        <v>18</v>
      </c>
      <c r="B12809" t="s">
        <v>1090</v>
      </c>
    </row>
    <row r="12810" spans="1:8" x14ac:dyDescent="0.25">
      <c r="A12810" t="str">
        <f xml:space="preserve"> $H$12802</f>
        <v>&lt;flags count_in_cargo="0" count_in_hoarder="0" count_in_map="1" count_in_player="0" crafted="0" deloot="0"/&gt;</v>
      </c>
      <c r="B12810" t="s">
        <v>1090</v>
      </c>
    </row>
    <row r="12811" spans="1:8" x14ac:dyDescent="0.25">
      <c r="A12811" t="str">
        <f>"&lt;category name=" &amp;"""" &amp;$C$12802&amp;"""/&gt;"</f>
        <v>&lt;category name="clothes"/&gt;</v>
      </c>
      <c r="B12811" t="s">
        <v>1090</v>
      </c>
    </row>
    <row r="12812" spans="1:8" x14ac:dyDescent="0.25">
      <c r="A12812" t="s">
        <v>21</v>
      </c>
      <c r="B12812" t="s">
        <v>1090</v>
      </c>
    </row>
    <row r="12813" spans="1:8" x14ac:dyDescent="0.25">
      <c r="A12813" t="s">
        <v>22</v>
      </c>
      <c r="B12813" t="s">
        <v>1090</v>
      </c>
    </row>
    <row r="12814" spans="1:8" x14ac:dyDescent="0.25">
      <c r="A12814" t="s">
        <v>2379</v>
      </c>
      <c r="B12814" t="s">
        <v>1091</v>
      </c>
      <c r="C12814" t="s">
        <v>403</v>
      </c>
      <c r="D12814">
        <v>15</v>
      </c>
      <c r="E12814">
        <v>7200</v>
      </c>
      <c r="F12814">
        <v>0</v>
      </c>
      <c r="G12814">
        <v>8</v>
      </c>
      <c r="H12814" t="s">
        <v>19</v>
      </c>
    </row>
    <row r="12815" spans="1:8" x14ac:dyDescent="0.25">
      <c r="A12815" t="str">
        <f>"&lt;nominal&gt;" &amp;$D$12814&amp;"&lt;/nominal&gt;"</f>
        <v>&lt;nominal&gt;15&lt;/nominal&gt;</v>
      </c>
      <c r="B12815" t="s">
        <v>1091</v>
      </c>
    </row>
    <row r="12816" spans="1:8" x14ac:dyDescent="0.25">
      <c r="A12816" t="str">
        <f>"&lt;lifetime&gt;" &amp;$E$12814&amp;"&lt;/lifetime&gt;"</f>
        <v>&lt;lifetime&gt;7200&lt;/lifetime&gt;</v>
      </c>
      <c r="B12816" t="s">
        <v>1091</v>
      </c>
    </row>
    <row r="12817" spans="1:8" x14ac:dyDescent="0.25">
      <c r="A12817" t="str">
        <f>"&lt;restock&gt;" &amp;$F$12814&amp;"&lt;/restock&gt;"</f>
        <v>&lt;restock&gt;0&lt;/restock&gt;</v>
      </c>
      <c r="B12817" t="s">
        <v>1091</v>
      </c>
    </row>
    <row r="12818" spans="1:8" x14ac:dyDescent="0.25">
      <c r="A12818" t="str">
        <f>"&lt;min&gt;" &amp;$G$12814&amp;"&lt;/min&gt;"</f>
        <v>&lt;min&gt;8&lt;/min&gt;</v>
      </c>
      <c r="B12818" t="s">
        <v>1091</v>
      </c>
    </row>
    <row r="12819" spans="1:8" x14ac:dyDescent="0.25">
      <c r="A12819" t="s">
        <v>16</v>
      </c>
      <c r="B12819" t="s">
        <v>1091</v>
      </c>
    </row>
    <row r="12820" spans="1:8" x14ac:dyDescent="0.25">
      <c r="A12820" t="s">
        <v>17</v>
      </c>
      <c r="B12820" t="s">
        <v>1091</v>
      </c>
    </row>
    <row r="12821" spans="1:8" x14ac:dyDescent="0.25">
      <c r="A12821" t="s">
        <v>18</v>
      </c>
      <c r="B12821" t="s">
        <v>1091</v>
      </c>
    </row>
    <row r="12822" spans="1:8" x14ac:dyDescent="0.25">
      <c r="A12822" t="str">
        <f xml:space="preserve"> $H$12814</f>
        <v>&lt;flags count_in_cargo="0" count_in_hoarder="0" count_in_map="1" count_in_player="0" crafted="0" deloot="0"/&gt;</v>
      </c>
      <c r="B12822" t="s">
        <v>1091</v>
      </c>
    </row>
    <row r="12823" spans="1:8" x14ac:dyDescent="0.25">
      <c r="A12823" t="str">
        <f>"&lt;category name=" &amp;"""" &amp;$C$12814&amp;"""/&gt;"</f>
        <v>&lt;category name="clothes"/&gt;</v>
      </c>
      <c r="B12823" t="s">
        <v>1091</v>
      </c>
    </row>
    <row r="12824" spans="1:8" x14ac:dyDescent="0.25">
      <c r="A12824" t="s">
        <v>21</v>
      </c>
      <c r="B12824" t="s">
        <v>1091</v>
      </c>
    </row>
    <row r="12825" spans="1:8" x14ac:dyDescent="0.25">
      <c r="A12825" t="s">
        <v>22</v>
      </c>
      <c r="B12825" t="s">
        <v>1091</v>
      </c>
    </row>
    <row r="12826" spans="1:8" x14ac:dyDescent="0.25">
      <c r="A12826" t="s">
        <v>2380</v>
      </c>
      <c r="B12826" t="s">
        <v>1092</v>
      </c>
      <c r="C12826" t="s">
        <v>403</v>
      </c>
      <c r="D12826">
        <v>30</v>
      </c>
      <c r="E12826">
        <v>5600</v>
      </c>
      <c r="F12826">
        <v>0</v>
      </c>
      <c r="G12826">
        <v>20</v>
      </c>
      <c r="H12826" t="s">
        <v>19</v>
      </c>
    </row>
    <row r="12827" spans="1:8" x14ac:dyDescent="0.25">
      <c r="A12827" t="str">
        <f>"&lt;nominal&gt;" &amp;$D$12826&amp;"&lt;/nominal&gt;"</f>
        <v>&lt;nominal&gt;30&lt;/nominal&gt;</v>
      </c>
      <c r="B12827" t="s">
        <v>1092</v>
      </c>
    </row>
    <row r="12828" spans="1:8" x14ac:dyDescent="0.25">
      <c r="A12828" t="str">
        <f>"&lt;lifetime&gt;" &amp;$E$12826&amp;"&lt;/lifetime&gt;"</f>
        <v>&lt;lifetime&gt;5600&lt;/lifetime&gt;</v>
      </c>
      <c r="B12828" t="s">
        <v>1092</v>
      </c>
    </row>
    <row r="12829" spans="1:8" x14ac:dyDescent="0.25">
      <c r="A12829" t="str">
        <f>"&lt;restock&gt;" &amp;$F$12826&amp;"&lt;/restock&gt;"</f>
        <v>&lt;restock&gt;0&lt;/restock&gt;</v>
      </c>
      <c r="B12829" t="s">
        <v>1092</v>
      </c>
    </row>
    <row r="12830" spans="1:8" x14ac:dyDescent="0.25">
      <c r="A12830" t="str">
        <f>"&lt;min&gt;" &amp;$G$12826&amp;"&lt;/min&gt;"</f>
        <v>&lt;min&gt;20&lt;/min&gt;</v>
      </c>
      <c r="B12830" t="s">
        <v>1092</v>
      </c>
    </row>
    <row r="12831" spans="1:8" x14ac:dyDescent="0.25">
      <c r="A12831" t="s">
        <v>16</v>
      </c>
      <c r="B12831" t="s">
        <v>1092</v>
      </c>
    </row>
    <row r="12832" spans="1:8" x14ac:dyDescent="0.25">
      <c r="A12832" t="s">
        <v>17</v>
      </c>
      <c r="B12832" t="s">
        <v>1092</v>
      </c>
    </row>
    <row r="12833" spans="1:8" x14ac:dyDescent="0.25">
      <c r="A12833" t="s">
        <v>18</v>
      </c>
      <c r="B12833" t="s">
        <v>1092</v>
      </c>
    </row>
    <row r="12834" spans="1:8" x14ac:dyDescent="0.25">
      <c r="A12834" t="str">
        <f xml:space="preserve"> $H$12826</f>
        <v>&lt;flags count_in_cargo="0" count_in_hoarder="0" count_in_map="1" count_in_player="0" crafted="0" deloot="0"/&gt;</v>
      </c>
      <c r="B12834" t="s">
        <v>1092</v>
      </c>
    </row>
    <row r="12835" spans="1:8" x14ac:dyDescent="0.25">
      <c r="A12835" t="str">
        <f>"&lt;category name=" &amp;"""" &amp;$C$12826&amp;"""/&gt;"</f>
        <v>&lt;category name="clothes"/&gt;</v>
      </c>
      <c r="B12835" t="s">
        <v>1092</v>
      </c>
    </row>
    <row r="12836" spans="1:8" x14ac:dyDescent="0.25">
      <c r="A12836" t="s">
        <v>39</v>
      </c>
      <c r="B12836" t="s">
        <v>1092</v>
      </c>
    </row>
    <row r="12837" spans="1:8" x14ac:dyDescent="0.25">
      <c r="A12837" t="s">
        <v>40</v>
      </c>
      <c r="B12837" t="s">
        <v>1092</v>
      </c>
    </row>
    <row r="12838" spans="1:8" x14ac:dyDescent="0.25">
      <c r="A12838" t="s">
        <v>30</v>
      </c>
      <c r="B12838" t="s">
        <v>1092</v>
      </c>
    </row>
    <row r="12839" spans="1:8" x14ac:dyDescent="0.25">
      <c r="A12839" t="s">
        <v>31</v>
      </c>
      <c r="B12839" t="s">
        <v>1092</v>
      </c>
    </row>
    <row r="12840" spans="1:8" x14ac:dyDescent="0.25">
      <c r="A12840" t="s">
        <v>307</v>
      </c>
      <c r="B12840" t="s">
        <v>1092</v>
      </c>
    </row>
    <row r="12841" spans="1:8" x14ac:dyDescent="0.25">
      <c r="A12841" t="s">
        <v>22</v>
      </c>
      <c r="B12841" t="s">
        <v>1092</v>
      </c>
    </row>
    <row r="12842" spans="1:8" x14ac:dyDescent="0.25">
      <c r="A12842" t="s">
        <v>2381</v>
      </c>
      <c r="B12842" t="s">
        <v>1093</v>
      </c>
      <c r="C12842" t="s">
        <v>403</v>
      </c>
      <c r="D12842">
        <v>30</v>
      </c>
      <c r="E12842">
        <v>5600</v>
      </c>
      <c r="F12842">
        <v>0</v>
      </c>
      <c r="G12842">
        <v>20</v>
      </c>
      <c r="H12842" t="s">
        <v>19</v>
      </c>
    </row>
    <row r="12843" spans="1:8" x14ac:dyDescent="0.25">
      <c r="A12843" t="str">
        <f>"&lt;nominal&gt;" &amp;$D$12842&amp;"&lt;/nominal&gt;"</f>
        <v>&lt;nominal&gt;30&lt;/nominal&gt;</v>
      </c>
      <c r="B12843" t="s">
        <v>1093</v>
      </c>
    </row>
    <row r="12844" spans="1:8" x14ac:dyDescent="0.25">
      <c r="A12844" t="str">
        <f>"&lt;lifetime&gt;" &amp;$E$12842&amp;"&lt;/lifetime&gt;"</f>
        <v>&lt;lifetime&gt;5600&lt;/lifetime&gt;</v>
      </c>
      <c r="B12844" t="s">
        <v>1093</v>
      </c>
    </row>
    <row r="12845" spans="1:8" x14ac:dyDescent="0.25">
      <c r="A12845" t="str">
        <f>"&lt;restock&gt;" &amp;$F$12842&amp;"&lt;/restock&gt;"</f>
        <v>&lt;restock&gt;0&lt;/restock&gt;</v>
      </c>
      <c r="B12845" t="s">
        <v>1093</v>
      </c>
    </row>
    <row r="12846" spans="1:8" x14ac:dyDescent="0.25">
      <c r="A12846" t="str">
        <f>"&lt;min&gt;" &amp;$G$12842&amp;"&lt;/min&gt;"</f>
        <v>&lt;min&gt;20&lt;/min&gt;</v>
      </c>
      <c r="B12846" t="s">
        <v>1093</v>
      </c>
    </row>
    <row r="12847" spans="1:8" x14ac:dyDescent="0.25">
      <c r="A12847" t="s">
        <v>16</v>
      </c>
      <c r="B12847" t="s">
        <v>1093</v>
      </c>
    </row>
    <row r="12848" spans="1:8" x14ac:dyDescent="0.25">
      <c r="A12848" t="s">
        <v>17</v>
      </c>
      <c r="B12848" t="s">
        <v>1093</v>
      </c>
    </row>
    <row r="12849" spans="1:8" x14ac:dyDescent="0.25">
      <c r="A12849" t="s">
        <v>18</v>
      </c>
      <c r="B12849" t="s">
        <v>1093</v>
      </c>
    </row>
    <row r="12850" spans="1:8" x14ac:dyDescent="0.25">
      <c r="A12850" t="str">
        <f xml:space="preserve"> $H$12842</f>
        <v>&lt;flags count_in_cargo="0" count_in_hoarder="0" count_in_map="1" count_in_player="0" crafted="0" deloot="0"/&gt;</v>
      </c>
      <c r="B12850" t="s">
        <v>1093</v>
      </c>
    </row>
    <row r="12851" spans="1:8" x14ac:dyDescent="0.25">
      <c r="A12851" t="str">
        <f>"&lt;category name=" &amp;"""" &amp;$C$12842&amp;"""/&gt;"</f>
        <v>&lt;category name="clothes"/&gt;</v>
      </c>
      <c r="B12851" t="s">
        <v>1093</v>
      </c>
    </row>
    <row r="12852" spans="1:8" x14ac:dyDescent="0.25">
      <c r="A12852" t="s">
        <v>39</v>
      </c>
      <c r="B12852" t="s">
        <v>1093</v>
      </c>
    </row>
    <row r="12853" spans="1:8" x14ac:dyDescent="0.25">
      <c r="A12853" t="s">
        <v>40</v>
      </c>
      <c r="B12853" t="s">
        <v>1093</v>
      </c>
    </row>
    <row r="12854" spans="1:8" x14ac:dyDescent="0.25">
      <c r="A12854" t="s">
        <v>30</v>
      </c>
      <c r="B12854" t="s">
        <v>1093</v>
      </c>
    </row>
    <row r="12855" spans="1:8" x14ac:dyDescent="0.25">
      <c r="A12855" t="s">
        <v>31</v>
      </c>
      <c r="B12855" t="s">
        <v>1093</v>
      </c>
    </row>
    <row r="12856" spans="1:8" x14ac:dyDescent="0.25">
      <c r="A12856" t="s">
        <v>307</v>
      </c>
      <c r="B12856" t="s">
        <v>1093</v>
      </c>
    </row>
    <row r="12857" spans="1:8" x14ac:dyDescent="0.25">
      <c r="A12857" t="s">
        <v>22</v>
      </c>
      <c r="B12857" t="s">
        <v>1093</v>
      </c>
    </row>
    <row r="12858" spans="1:8" x14ac:dyDescent="0.25">
      <c r="A12858" t="s">
        <v>2382</v>
      </c>
      <c r="B12858" t="s">
        <v>1094</v>
      </c>
      <c r="C12858" t="s">
        <v>403</v>
      </c>
      <c r="D12858">
        <v>25</v>
      </c>
      <c r="E12858">
        <v>5600</v>
      </c>
      <c r="F12858">
        <v>0</v>
      </c>
      <c r="G12858">
        <v>10</v>
      </c>
      <c r="H12858" t="s">
        <v>19</v>
      </c>
    </row>
    <row r="12859" spans="1:8" x14ac:dyDescent="0.25">
      <c r="A12859" t="str">
        <f>"&lt;nominal&gt;" &amp;$D$12858&amp;"&lt;/nominal&gt;"</f>
        <v>&lt;nominal&gt;25&lt;/nominal&gt;</v>
      </c>
      <c r="B12859" t="s">
        <v>1094</v>
      </c>
    </row>
    <row r="12860" spans="1:8" x14ac:dyDescent="0.25">
      <c r="A12860" t="str">
        <f>"&lt;lifetime&gt;" &amp;$E$12858&amp;"&lt;/lifetime&gt;"</f>
        <v>&lt;lifetime&gt;5600&lt;/lifetime&gt;</v>
      </c>
      <c r="B12860" t="s">
        <v>1094</v>
      </c>
    </row>
    <row r="12861" spans="1:8" x14ac:dyDescent="0.25">
      <c r="A12861" t="str">
        <f>"&lt;restock&gt;" &amp;$F$12858&amp;"&lt;/restock&gt;"</f>
        <v>&lt;restock&gt;0&lt;/restock&gt;</v>
      </c>
      <c r="B12861" t="s">
        <v>1094</v>
      </c>
    </row>
    <row r="12862" spans="1:8" x14ac:dyDescent="0.25">
      <c r="A12862" t="str">
        <f>"&lt;min&gt;" &amp;$G$12858&amp;"&lt;/min&gt;"</f>
        <v>&lt;min&gt;10&lt;/min&gt;</v>
      </c>
      <c r="B12862" t="s">
        <v>1094</v>
      </c>
    </row>
    <row r="12863" spans="1:8" x14ac:dyDescent="0.25">
      <c r="A12863" t="s">
        <v>16</v>
      </c>
      <c r="B12863" t="s">
        <v>1094</v>
      </c>
    </row>
    <row r="12864" spans="1:8" x14ac:dyDescent="0.25">
      <c r="A12864" t="s">
        <v>17</v>
      </c>
      <c r="B12864" t="s">
        <v>1094</v>
      </c>
    </row>
    <row r="12865" spans="1:8" x14ac:dyDescent="0.25">
      <c r="A12865" t="s">
        <v>18</v>
      </c>
      <c r="B12865" t="s">
        <v>1094</v>
      </c>
    </row>
    <row r="12866" spans="1:8" x14ac:dyDescent="0.25">
      <c r="A12866" t="str">
        <f xml:space="preserve"> $H$12858</f>
        <v>&lt;flags count_in_cargo="0" count_in_hoarder="0" count_in_map="1" count_in_player="0" crafted="0" deloot="0"/&gt;</v>
      </c>
      <c r="B12866" t="s">
        <v>1094</v>
      </c>
    </row>
    <row r="12867" spans="1:8" x14ac:dyDescent="0.25">
      <c r="A12867" t="str">
        <f>"&lt;category name=" &amp;"""" &amp;$C$12858&amp;"""/&gt;"</f>
        <v>&lt;category name="clothes"/&gt;</v>
      </c>
      <c r="B12867" t="s">
        <v>1094</v>
      </c>
    </row>
    <row r="12868" spans="1:8" x14ac:dyDescent="0.25">
      <c r="A12868" t="s">
        <v>29</v>
      </c>
      <c r="B12868" t="s">
        <v>1094</v>
      </c>
    </row>
    <row r="12869" spans="1:8" x14ac:dyDescent="0.25">
      <c r="A12869" t="s">
        <v>67</v>
      </c>
      <c r="B12869" t="s">
        <v>1094</v>
      </c>
    </row>
    <row r="12870" spans="1:8" x14ac:dyDescent="0.25">
      <c r="A12870" t="s">
        <v>30</v>
      </c>
      <c r="B12870" t="s">
        <v>1094</v>
      </c>
    </row>
    <row r="12871" spans="1:8" x14ac:dyDescent="0.25">
      <c r="A12871" t="s">
        <v>31</v>
      </c>
      <c r="B12871" t="s">
        <v>1094</v>
      </c>
    </row>
    <row r="12872" spans="1:8" x14ac:dyDescent="0.25">
      <c r="A12872" t="s">
        <v>307</v>
      </c>
      <c r="B12872" t="s">
        <v>1094</v>
      </c>
    </row>
    <row r="12873" spans="1:8" x14ac:dyDescent="0.25">
      <c r="A12873" t="s">
        <v>22</v>
      </c>
      <c r="B12873" t="s">
        <v>1094</v>
      </c>
    </row>
    <row r="12874" spans="1:8" x14ac:dyDescent="0.25">
      <c r="A12874" t="s">
        <v>2383</v>
      </c>
      <c r="B12874" t="s">
        <v>1095</v>
      </c>
      <c r="C12874" t="s">
        <v>403</v>
      </c>
      <c r="D12874">
        <v>30</v>
      </c>
      <c r="E12874">
        <v>5600</v>
      </c>
      <c r="F12874">
        <v>0</v>
      </c>
      <c r="G12874">
        <v>20</v>
      </c>
      <c r="H12874" t="s">
        <v>19</v>
      </c>
    </row>
    <row r="12875" spans="1:8" x14ac:dyDescent="0.25">
      <c r="A12875" t="str">
        <f>"&lt;nominal&gt;" &amp;$D$12874&amp;"&lt;/nominal&gt;"</f>
        <v>&lt;nominal&gt;30&lt;/nominal&gt;</v>
      </c>
      <c r="B12875" t="s">
        <v>1095</v>
      </c>
    </row>
    <row r="12876" spans="1:8" x14ac:dyDescent="0.25">
      <c r="A12876" t="str">
        <f>"&lt;lifetime&gt;" &amp;$E$12874&amp;"&lt;/lifetime&gt;"</f>
        <v>&lt;lifetime&gt;5600&lt;/lifetime&gt;</v>
      </c>
      <c r="B12876" t="s">
        <v>1095</v>
      </c>
    </row>
    <row r="12877" spans="1:8" x14ac:dyDescent="0.25">
      <c r="A12877" t="str">
        <f>"&lt;restock&gt;" &amp;$F$12874&amp;"&lt;/restock&gt;"</f>
        <v>&lt;restock&gt;0&lt;/restock&gt;</v>
      </c>
      <c r="B12877" t="s">
        <v>1095</v>
      </c>
    </row>
    <row r="12878" spans="1:8" x14ac:dyDescent="0.25">
      <c r="A12878" t="str">
        <f>"&lt;min&gt;" &amp;$G$12874&amp;"&lt;/min&gt;"</f>
        <v>&lt;min&gt;20&lt;/min&gt;</v>
      </c>
      <c r="B12878" t="s">
        <v>1095</v>
      </c>
    </row>
    <row r="12879" spans="1:8" x14ac:dyDescent="0.25">
      <c r="A12879" t="s">
        <v>16</v>
      </c>
      <c r="B12879" t="s">
        <v>1095</v>
      </c>
    </row>
    <row r="12880" spans="1:8" x14ac:dyDescent="0.25">
      <c r="A12880" t="s">
        <v>17</v>
      </c>
      <c r="B12880" t="s">
        <v>1095</v>
      </c>
    </row>
    <row r="12881" spans="1:8" x14ac:dyDescent="0.25">
      <c r="A12881" t="s">
        <v>18</v>
      </c>
      <c r="B12881" t="s">
        <v>1095</v>
      </c>
    </row>
    <row r="12882" spans="1:8" x14ac:dyDescent="0.25">
      <c r="A12882" t="str">
        <f xml:space="preserve"> $H$12874</f>
        <v>&lt;flags count_in_cargo="0" count_in_hoarder="0" count_in_map="1" count_in_player="0" crafted="0" deloot="0"/&gt;</v>
      </c>
      <c r="B12882" t="s">
        <v>1095</v>
      </c>
    </row>
    <row r="12883" spans="1:8" x14ac:dyDescent="0.25">
      <c r="A12883" t="str">
        <f>"&lt;category name=" &amp;"""" &amp;$C$12874&amp;"""/&gt;"</f>
        <v>&lt;category name="clothes"/&gt;</v>
      </c>
      <c r="B12883" t="s">
        <v>1095</v>
      </c>
    </row>
    <row r="12884" spans="1:8" x14ac:dyDescent="0.25">
      <c r="A12884" t="s">
        <v>39</v>
      </c>
      <c r="B12884" t="s">
        <v>1095</v>
      </c>
    </row>
    <row r="12885" spans="1:8" x14ac:dyDescent="0.25">
      <c r="A12885" t="s">
        <v>40</v>
      </c>
      <c r="B12885" t="s">
        <v>1095</v>
      </c>
    </row>
    <row r="12886" spans="1:8" x14ac:dyDescent="0.25">
      <c r="A12886" t="s">
        <v>30</v>
      </c>
      <c r="B12886" t="s">
        <v>1095</v>
      </c>
    </row>
    <row r="12887" spans="1:8" x14ac:dyDescent="0.25">
      <c r="A12887" t="s">
        <v>31</v>
      </c>
      <c r="B12887" t="s">
        <v>1095</v>
      </c>
    </row>
    <row r="12888" spans="1:8" x14ac:dyDescent="0.25">
      <c r="A12888" t="s">
        <v>307</v>
      </c>
      <c r="B12888" t="s">
        <v>1095</v>
      </c>
    </row>
    <row r="12889" spans="1:8" x14ac:dyDescent="0.25">
      <c r="A12889" t="s">
        <v>22</v>
      </c>
      <c r="B12889" t="s">
        <v>1095</v>
      </c>
    </row>
    <row r="12890" spans="1:8" x14ac:dyDescent="0.25">
      <c r="A12890" t="s">
        <v>2384</v>
      </c>
      <c r="B12890" t="s">
        <v>1096</v>
      </c>
      <c r="C12890" t="s">
        <v>8</v>
      </c>
      <c r="D12890">
        <v>40</v>
      </c>
      <c r="E12890">
        <v>7200</v>
      </c>
      <c r="F12890">
        <v>60</v>
      </c>
      <c r="G12890">
        <v>30</v>
      </c>
      <c r="H12890" t="s">
        <v>19</v>
      </c>
    </row>
    <row r="12891" spans="1:8" x14ac:dyDescent="0.25">
      <c r="A12891" t="str">
        <f>"&lt;nominal&gt;" &amp;$D$12890&amp;"&lt;/nominal&gt;"</f>
        <v>&lt;nominal&gt;40&lt;/nominal&gt;</v>
      </c>
      <c r="B12891" t="s">
        <v>1096</v>
      </c>
    </row>
    <row r="12892" spans="1:8" x14ac:dyDescent="0.25">
      <c r="A12892" t="str">
        <f>"&lt;lifetime&gt;" &amp;$E$12890&amp;"&lt;/lifetime&gt;"</f>
        <v>&lt;lifetime&gt;7200&lt;/lifetime&gt;</v>
      </c>
      <c r="B12892" t="s">
        <v>1096</v>
      </c>
    </row>
    <row r="12893" spans="1:8" x14ac:dyDescent="0.25">
      <c r="A12893" t="str">
        <f>"&lt;restock&gt;" &amp;$F$12890&amp;"&lt;/restock&gt;"</f>
        <v>&lt;restock&gt;60&lt;/restock&gt;</v>
      </c>
      <c r="B12893" t="s">
        <v>1096</v>
      </c>
    </row>
    <row r="12894" spans="1:8" x14ac:dyDescent="0.25">
      <c r="A12894" t="str">
        <f>"&lt;min&gt;" &amp;$G$12890&amp;"&lt;/min&gt;"</f>
        <v>&lt;min&gt;30&lt;/min&gt;</v>
      </c>
      <c r="B12894" t="s">
        <v>1096</v>
      </c>
    </row>
    <row r="12895" spans="1:8" x14ac:dyDescent="0.25">
      <c r="A12895" t="s">
        <v>16</v>
      </c>
      <c r="B12895" t="s">
        <v>1096</v>
      </c>
    </row>
    <row r="12896" spans="1:8" x14ac:dyDescent="0.25">
      <c r="A12896" t="s">
        <v>17</v>
      </c>
      <c r="B12896" t="s">
        <v>1096</v>
      </c>
    </row>
    <row r="12897" spans="1:8" x14ac:dyDescent="0.25">
      <c r="A12897" t="s">
        <v>18</v>
      </c>
      <c r="B12897" t="s">
        <v>1096</v>
      </c>
    </row>
    <row r="12898" spans="1:8" x14ac:dyDescent="0.25">
      <c r="A12898" t="str">
        <f xml:space="preserve"> $H$12890</f>
        <v>&lt;flags count_in_cargo="0" count_in_hoarder="0" count_in_map="1" count_in_player="0" crafted="0" deloot="0"/&gt;</v>
      </c>
      <c r="B12898" t="s">
        <v>1096</v>
      </c>
    </row>
    <row r="12899" spans="1:8" x14ac:dyDescent="0.25">
      <c r="A12899" t="str">
        <f>"&lt;category name=" &amp;"""" &amp;$C$12890&amp;"""/&gt;"</f>
        <v>&lt;category name="weapons"/&gt;</v>
      </c>
      <c r="B12899" t="s">
        <v>1096</v>
      </c>
    </row>
    <row r="12900" spans="1:8" x14ac:dyDescent="0.25">
      <c r="A12900" t="s">
        <v>20</v>
      </c>
      <c r="B12900" t="s">
        <v>1096</v>
      </c>
    </row>
    <row r="12901" spans="1:8" x14ac:dyDescent="0.25">
      <c r="A12901" t="s">
        <v>29</v>
      </c>
      <c r="B12901" t="s">
        <v>1096</v>
      </c>
    </row>
    <row r="12902" spans="1:8" x14ac:dyDescent="0.25">
      <c r="A12902" t="s">
        <v>173</v>
      </c>
      <c r="B12902" t="s">
        <v>1096</v>
      </c>
    </row>
    <row r="12903" spans="1:8" x14ac:dyDescent="0.25">
      <c r="A12903" t="s">
        <v>30</v>
      </c>
      <c r="B12903" t="s">
        <v>1096</v>
      </c>
    </row>
    <row r="12904" spans="1:8" x14ac:dyDescent="0.25">
      <c r="A12904" t="s">
        <v>31</v>
      </c>
      <c r="B12904" t="s">
        <v>1096</v>
      </c>
    </row>
    <row r="12905" spans="1:8" x14ac:dyDescent="0.25">
      <c r="A12905" t="s">
        <v>307</v>
      </c>
      <c r="B12905" t="s">
        <v>1096</v>
      </c>
    </row>
    <row r="12906" spans="1:8" x14ac:dyDescent="0.25">
      <c r="A12906" t="s">
        <v>22</v>
      </c>
      <c r="B12906" t="s">
        <v>1096</v>
      </c>
    </row>
    <row r="12907" spans="1:8" x14ac:dyDescent="0.25">
      <c r="A12907" t="s">
        <v>2385</v>
      </c>
      <c r="B12907" t="s">
        <v>1097</v>
      </c>
      <c r="C12907" t="s">
        <v>403</v>
      </c>
      <c r="D12907">
        <v>3</v>
      </c>
      <c r="E12907">
        <v>5600</v>
      </c>
      <c r="F12907">
        <v>0</v>
      </c>
      <c r="G12907">
        <v>1</v>
      </c>
      <c r="H12907" t="s">
        <v>19</v>
      </c>
    </row>
    <row r="12908" spans="1:8" x14ac:dyDescent="0.25">
      <c r="A12908" t="str">
        <f>"&lt;nominal&gt;" &amp;$D$12907&amp;"&lt;/nominal&gt;"</f>
        <v>&lt;nominal&gt;3&lt;/nominal&gt;</v>
      </c>
      <c r="B12908" t="s">
        <v>1097</v>
      </c>
    </row>
    <row r="12909" spans="1:8" x14ac:dyDescent="0.25">
      <c r="A12909" t="str">
        <f>"&lt;lifetime&gt;" &amp;$E$12907&amp;"&lt;/lifetime&gt;"</f>
        <v>&lt;lifetime&gt;5600&lt;/lifetime&gt;</v>
      </c>
      <c r="B12909" t="s">
        <v>1097</v>
      </c>
    </row>
    <row r="12910" spans="1:8" x14ac:dyDescent="0.25">
      <c r="A12910" t="str">
        <f>"&lt;restock&gt;" &amp;$F$12907&amp;"&lt;/restock&gt;"</f>
        <v>&lt;restock&gt;0&lt;/restock&gt;</v>
      </c>
      <c r="B12910" t="s">
        <v>1097</v>
      </c>
    </row>
    <row r="12911" spans="1:8" x14ac:dyDescent="0.25">
      <c r="A12911" t="str">
        <f>"&lt;min&gt;" &amp;$G$12907&amp;"&lt;/min&gt;"</f>
        <v>&lt;min&gt;1&lt;/min&gt;</v>
      </c>
      <c r="B12911" t="s">
        <v>1097</v>
      </c>
    </row>
    <row r="12912" spans="1:8" x14ac:dyDescent="0.25">
      <c r="A12912" t="s">
        <v>16</v>
      </c>
      <c r="B12912" t="s">
        <v>1097</v>
      </c>
    </row>
    <row r="12913" spans="1:8" x14ac:dyDescent="0.25">
      <c r="A12913" t="s">
        <v>17</v>
      </c>
      <c r="B12913" t="s">
        <v>1097</v>
      </c>
    </row>
    <row r="12914" spans="1:8" x14ac:dyDescent="0.25">
      <c r="A12914" t="s">
        <v>18</v>
      </c>
      <c r="B12914" t="s">
        <v>1097</v>
      </c>
    </row>
    <row r="12915" spans="1:8" x14ac:dyDescent="0.25">
      <c r="A12915" t="str">
        <f xml:space="preserve"> $H$12907</f>
        <v>&lt;flags count_in_cargo="0" count_in_hoarder="0" count_in_map="1" count_in_player="0" crafted="0" deloot="0"/&gt;</v>
      </c>
      <c r="B12915" t="s">
        <v>1097</v>
      </c>
    </row>
    <row r="12916" spans="1:8" x14ac:dyDescent="0.25">
      <c r="A12916" t="str">
        <f>"&lt;category name=" &amp;"""" &amp;$C$12907&amp;"""/&gt;"</f>
        <v>&lt;category name="clothes"/&gt;</v>
      </c>
      <c r="B12916" t="s">
        <v>1097</v>
      </c>
    </row>
    <row r="12917" spans="1:8" x14ac:dyDescent="0.25">
      <c r="A12917" t="s">
        <v>39</v>
      </c>
      <c r="B12917" t="s">
        <v>1097</v>
      </c>
    </row>
    <row r="12918" spans="1:8" x14ac:dyDescent="0.25">
      <c r="A12918" t="s">
        <v>40</v>
      </c>
      <c r="B12918" t="s">
        <v>1097</v>
      </c>
    </row>
    <row r="12919" spans="1:8" x14ac:dyDescent="0.25">
      <c r="A12919" t="s">
        <v>22</v>
      </c>
      <c r="B12919" t="s">
        <v>1097</v>
      </c>
    </row>
    <row r="12920" spans="1:8" x14ac:dyDescent="0.25">
      <c r="A12920" t="s">
        <v>2386</v>
      </c>
      <c r="B12920" t="s">
        <v>1098</v>
      </c>
      <c r="C12920" t="s">
        <v>403</v>
      </c>
      <c r="D12920">
        <v>3</v>
      </c>
      <c r="E12920">
        <v>5600</v>
      </c>
      <c r="F12920">
        <v>0</v>
      </c>
      <c r="G12920">
        <v>1</v>
      </c>
      <c r="H12920" t="s">
        <v>19</v>
      </c>
    </row>
    <row r="12921" spans="1:8" x14ac:dyDescent="0.25">
      <c r="A12921" t="str">
        <f>"&lt;nominal&gt;" &amp;$D$12920&amp;"&lt;/nominal&gt;"</f>
        <v>&lt;nominal&gt;3&lt;/nominal&gt;</v>
      </c>
      <c r="B12921" t="s">
        <v>1098</v>
      </c>
    </row>
    <row r="12922" spans="1:8" x14ac:dyDescent="0.25">
      <c r="A12922" t="str">
        <f>"&lt;lifetime&gt;" &amp;$E$12920&amp;"&lt;/lifetime&gt;"</f>
        <v>&lt;lifetime&gt;5600&lt;/lifetime&gt;</v>
      </c>
      <c r="B12922" t="s">
        <v>1098</v>
      </c>
    </row>
    <row r="12923" spans="1:8" x14ac:dyDescent="0.25">
      <c r="A12923" t="str">
        <f>"&lt;restock&gt;" &amp;$F$12920&amp;"&lt;/restock&gt;"</f>
        <v>&lt;restock&gt;0&lt;/restock&gt;</v>
      </c>
      <c r="B12923" t="s">
        <v>1098</v>
      </c>
    </row>
    <row r="12924" spans="1:8" x14ac:dyDescent="0.25">
      <c r="A12924" t="str">
        <f>"&lt;min&gt;" &amp;$G$12920&amp;"&lt;/min&gt;"</f>
        <v>&lt;min&gt;1&lt;/min&gt;</v>
      </c>
      <c r="B12924" t="s">
        <v>1098</v>
      </c>
    </row>
    <row r="12925" spans="1:8" x14ac:dyDescent="0.25">
      <c r="A12925" t="s">
        <v>16</v>
      </c>
      <c r="B12925" t="s">
        <v>1098</v>
      </c>
    </row>
    <row r="12926" spans="1:8" x14ac:dyDescent="0.25">
      <c r="A12926" t="s">
        <v>17</v>
      </c>
      <c r="B12926" t="s">
        <v>1098</v>
      </c>
    </row>
    <row r="12927" spans="1:8" x14ac:dyDescent="0.25">
      <c r="A12927" t="s">
        <v>18</v>
      </c>
      <c r="B12927" t="s">
        <v>1098</v>
      </c>
    </row>
    <row r="12928" spans="1:8" x14ac:dyDescent="0.25">
      <c r="A12928" t="str">
        <f xml:space="preserve"> $H$12920</f>
        <v>&lt;flags count_in_cargo="0" count_in_hoarder="0" count_in_map="1" count_in_player="0" crafted="0" deloot="0"/&gt;</v>
      </c>
      <c r="B12928" t="s">
        <v>1098</v>
      </c>
    </row>
    <row r="12929" spans="1:8" x14ac:dyDescent="0.25">
      <c r="A12929" t="str">
        <f>"&lt;category name=" &amp;"""" &amp;$C$12920&amp;"""/&gt;"</f>
        <v>&lt;category name="clothes"/&gt;</v>
      </c>
      <c r="B12929" t="s">
        <v>1098</v>
      </c>
    </row>
    <row r="12930" spans="1:8" x14ac:dyDescent="0.25">
      <c r="A12930" t="s">
        <v>39</v>
      </c>
      <c r="B12930" t="s">
        <v>1098</v>
      </c>
    </row>
    <row r="12931" spans="1:8" x14ac:dyDescent="0.25">
      <c r="A12931" t="s">
        <v>40</v>
      </c>
      <c r="B12931" t="s">
        <v>1098</v>
      </c>
    </row>
    <row r="12932" spans="1:8" x14ac:dyDescent="0.25">
      <c r="A12932" t="s">
        <v>22</v>
      </c>
      <c r="B12932" t="s">
        <v>1098</v>
      </c>
    </row>
    <row r="12933" spans="1:8" x14ac:dyDescent="0.25">
      <c r="A12933" t="s">
        <v>2387</v>
      </c>
      <c r="B12933" t="s">
        <v>1099</v>
      </c>
      <c r="C12933" t="s">
        <v>403</v>
      </c>
      <c r="D12933">
        <v>3</v>
      </c>
      <c r="E12933">
        <v>5600</v>
      </c>
      <c r="F12933">
        <v>0</v>
      </c>
      <c r="G12933">
        <v>1</v>
      </c>
      <c r="H12933" t="s">
        <v>19</v>
      </c>
    </row>
    <row r="12934" spans="1:8" x14ac:dyDescent="0.25">
      <c r="A12934" t="str">
        <f>"&lt;nominal&gt;" &amp;$D$12933&amp;"&lt;/nominal&gt;"</f>
        <v>&lt;nominal&gt;3&lt;/nominal&gt;</v>
      </c>
      <c r="B12934" t="s">
        <v>1099</v>
      </c>
    </row>
    <row r="12935" spans="1:8" x14ac:dyDescent="0.25">
      <c r="A12935" t="str">
        <f>"&lt;lifetime&gt;" &amp;$E$12933&amp;"&lt;/lifetime&gt;"</f>
        <v>&lt;lifetime&gt;5600&lt;/lifetime&gt;</v>
      </c>
      <c r="B12935" t="s">
        <v>1099</v>
      </c>
    </row>
    <row r="12936" spans="1:8" x14ac:dyDescent="0.25">
      <c r="A12936" t="str">
        <f>"&lt;restock&gt;" &amp;$F$12933&amp;"&lt;/restock&gt;"</f>
        <v>&lt;restock&gt;0&lt;/restock&gt;</v>
      </c>
      <c r="B12936" t="s">
        <v>1099</v>
      </c>
    </row>
    <row r="12937" spans="1:8" x14ac:dyDescent="0.25">
      <c r="A12937" t="str">
        <f>"&lt;min&gt;" &amp;$G$12933&amp;"&lt;/min&gt;"</f>
        <v>&lt;min&gt;1&lt;/min&gt;</v>
      </c>
      <c r="B12937" t="s">
        <v>1099</v>
      </c>
    </row>
    <row r="12938" spans="1:8" x14ac:dyDescent="0.25">
      <c r="A12938" t="s">
        <v>16</v>
      </c>
      <c r="B12938" t="s">
        <v>1099</v>
      </c>
    </row>
    <row r="12939" spans="1:8" x14ac:dyDescent="0.25">
      <c r="A12939" t="s">
        <v>17</v>
      </c>
      <c r="B12939" t="s">
        <v>1099</v>
      </c>
    </row>
    <row r="12940" spans="1:8" x14ac:dyDescent="0.25">
      <c r="A12940" t="s">
        <v>18</v>
      </c>
      <c r="B12940" t="s">
        <v>1099</v>
      </c>
    </row>
    <row r="12941" spans="1:8" x14ac:dyDescent="0.25">
      <c r="A12941" t="str">
        <f xml:space="preserve"> $H$12933</f>
        <v>&lt;flags count_in_cargo="0" count_in_hoarder="0" count_in_map="1" count_in_player="0" crafted="0" deloot="0"/&gt;</v>
      </c>
      <c r="B12941" t="s">
        <v>1099</v>
      </c>
    </row>
    <row r="12942" spans="1:8" x14ac:dyDescent="0.25">
      <c r="A12942" t="str">
        <f>"&lt;category name=" &amp;"""" &amp;$C$12933&amp;"""/&gt;"</f>
        <v>&lt;category name="clothes"/&gt;</v>
      </c>
      <c r="B12942" t="s">
        <v>1099</v>
      </c>
    </row>
    <row r="12943" spans="1:8" x14ac:dyDescent="0.25">
      <c r="A12943" t="s">
        <v>39</v>
      </c>
      <c r="B12943" t="s">
        <v>1099</v>
      </c>
    </row>
    <row r="12944" spans="1:8" x14ac:dyDescent="0.25">
      <c r="A12944" t="s">
        <v>40</v>
      </c>
      <c r="B12944" t="s">
        <v>1099</v>
      </c>
    </row>
    <row r="12945" spans="1:8" x14ac:dyDescent="0.25">
      <c r="A12945" t="s">
        <v>22</v>
      </c>
      <c r="B12945" t="s">
        <v>1099</v>
      </c>
    </row>
    <row r="12946" spans="1:8" x14ac:dyDescent="0.25">
      <c r="A12946" t="s">
        <v>2388</v>
      </c>
      <c r="B12946" t="s">
        <v>1100</v>
      </c>
      <c r="C12946" t="s">
        <v>403</v>
      </c>
      <c r="D12946">
        <v>3</v>
      </c>
      <c r="E12946">
        <v>5600</v>
      </c>
      <c r="F12946">
        <v>0</v>
      </c>
      <c r="G12946">
        <v>1</v>
      </c>
      <c r="H12946" t="s">
        <v>19</v>
      </c>
    </row>
    <row r="12947" spans="1:8" x14ac:dyDescent="0.25">
      <c r="A12947" t="str">
        <f>"&lt;nominal&gt;" &amp;$D$12946&amp;"&lt;/nominal&gt;"</f>
        <v>&lt;nominal&gt;3&lt;/nominal&gt;</v>
      </c>
      <c r="B12947" t="s">
        <v>1100</v>
      </c>
    </row>
    <row r="12948" spans="1:8" x14ac:dyDescent="0.25">
      <c r="A12948" t="str">
        <f>"&lt;lifetime&gt;" &amp;$E$12946&amp;"&lt;/lifetime&gt;"</f>
        <v>&lt;lifetime&gt;5600&lt;/lifetime&gt;</v>
      </c>
      <c r="B12948" t="s">
        <v>1100</v>
      </c>
    </row>
    <row r="12949" spans="1:8" x14ac:dyDescent="0.25">
      <c r="A12949" t="str">
        <f>"&lt;restock&gt;" &amp;$F$12946&amp;"&lt;/restock&gt;"</f>
        <v>&lt;restock&gt;0&lt;/restock&gt;</v>
      </c>
      <c r="B12949" t="s">
        <v>1100</v>
      </c>
    </row>
    <row r="12950" spans="1:8" x14ac:dyDescent="0.25">
      <c r="A12950" t="str">
        <f>"&lt;min&gt;" &amp;$G$12946&amp;"&lt;/min&gt;"</f>
        <v>&lt;min&gt;1&lt;/min&gt;</v>
      </c>
      <c r="B12950" t="s">
        <v>1100</v>
      </c>
    </row>
    <row r="12951" spans="1:8" x14ac:dyDescent="0.25">
      <c r="A12951" t="s">
        <v>16</v>
      </c>
      <c r="B12951" t="s">
        <v>1100</v>
      </c>
    </row>
    <row r="12952" spans="1:8" x14ac:dyDescent="0.25">
      <c r="A12952" t="s">
        <v>17</v>
      </c>
      <c r="B12952" t="s">
        <v>1100</v>
      </c>
    </row>
    <row r="12953" spans="1:8" x14ac:dyDescent="0.25">
      <c r="A12953" t="s">
        <v>18</v>
      </c>
      <c r="B12953" t="s">
        <v>1100</v>
      </c>
    </row>
    <row r="12954" spans="1:8" x14ac:dyDescent="0.25">
      <c r="A12954" t="str">
        <f xml:space="preserve"> $H$12946</f>
        <v>&lt;flags count_in_cargo="0" count_in_hoarder="0" count_in_map="1" count_in_player="0" crafted="0" deloot="0"/&gt;</v>
      </c>
      <c r="B12954" t="s">
        <v>1100</v>
      </c>
    </row>
    <row r="12955" spans="1:8" x14ac:dyDescent="0.25">
      <c r="A12955" t="str">
        <f>"&lt;category name=" &amp;"""" &amp;$C$12946&amp;"""/&gt;"</f>
        <v>&lt;category name="clothes"/&gt;</v>
      </c>
      <c r="B12955" t="s">
        <v>1100</v>
      </c>
    </row>
    <row r="12956" spans="1:8" x14ac:dyDescent="0.25">
      <c r="A12956" t="s">
        <v>39</v>
      </c>
      <c r="B12956" t="s">
        <v>1100</v>
      </c>
    </row>
    <row r="12957" spans="1:8" x14ac:dyDescent="0.25">
      <c r="A12957" t="s">
        <v>40</v>
      </c>
      <c r="B12957" t="s">
        <v>1100</v>
      </c>
    </row>
    <row r="12958" spans="1:8" x14ac:dyDescent="0.25">
      <c r="A12958" t="s">
        <v>22</v>
      </c>
      <c r="B12958" t="s">
        <v>1100</v>
      </c>
    </row>
    <row r="12959" spans="1:8" x14ac:dyDescent="0.25">
      <c r="A12959" t="s">
        <v>2389</v>
      </c>
      <c r="B12959" t="s">
        <v>1101</v>
      </c>
      <c r="C12959" t="s">
        <v>403</v>
      </c>
      <c r="D12959">
        <v>3</v>
      </c>
      <c r="E12959">
        <v>5600</v>
      </c>
      <c r="F12959">
        <v>0</v>
      </c>
      <c r="G12959">
        <v>1</v>
      </c>
      <c r="H12959" t="s">
        <v>19</v>
      </c>
    </row>
    <row r="12960" spans="1:8" x14ac:dyDescent="0.25">
      <c r="A12960" t="str">
        <f>"&lt;nominal&gt;" &amp;$D$12959&amp;"&lt;/nominal&gt;"</f>
        <v>&lt;nominal&gt;3&lt;/nominal&gt;</v>
      </c>
      <c r="B12960" t="s">
        <v>1101</v>
      </c>
    </row>
    <row r="12961" spans="1:8" x14ac:dyDescent="0.25">
      <c r="A12961" t="str">
        <f>"&lt;lifetime&gt;" &amp;$E$12959&amp;"&lt;/lifetime&gt;"</f>
        <v>&lt;lifetime&gt;5600&lt;/lifetime&gt;</v>
      </c>
      <c r="B12961" t="s">
        <v>1101</v>
      </c>
    </row>
    <row r="12962" spans="1:8" x14ac:dyDescent="0.25">
      <c r="A12962" t="str">
        <f>"&lt;restock&gt;" &amp;$F$12959&amp;"&lt;/restock&gt;"</f>
        <v>&lt;restock&gt;0&lt;/restock&gt;</v>
      </c>
      <c r="B12962" t="s">
        <v>1101</v>
      </c>
    </row>
    <row r="12963" spans="1:8" x14ac:dyDescent="0.25">
      <c r="A12963" t="str">
        <f>"&lt;min&gt;" &amp;$G$12959&amp;"&lt;/min&gt;"</f>
        <v>&lt;min&gt;1&lt;/min&gt;</v>
      </c>
      <c r="B12963" t="s">
        <v>1101</v>
      </c>
    </row>
    <row r="12964" spans="1:8" x14ac:dyDescent="0.25">
      <c r="A12964" t="s">
        <v>16</v>
      </c>
      <c r="B12964" t="s">
        <v>1101</v>
      </c>
    </row>
    <row r="12965" spans="1:8" x14ac:dyDescent="0.25">
      <c r="A12965" t="s">
        <v>17</v>
      </c>
      <c r="B12965" t="s">
        <v>1101</v>
      </c>
    </row>
    <row r="12966" spans="1:8" x14ac:dyDescent="0.25">
      <c r="A12966" t="s">
        <v>18</v>
      </c>
      <c r="B12966" t="s">
        <v>1101</v>
      </c>
    </row>
    <row r="12967" spans="1:8" x14ac:dyDescent="0.25">
      <c r="A12967" t="str">
        <f xml:space="preserve"> $H$12959</f>
        <v>&lt;flags count_in_cargo="0" count_in_hoarder="0" count_in_map="1" count_in_player="0" crafted="0" deloot="0"/&gt;</v>
      </c>
      <c r="B12967" t="s">
        <v>1101</v>
      </c>
    </row>
    <row r="12968" spans="1:8" x14ac:dyDescent="0.25">
      <c r="A12968" t="str">
        <f>"&lt;category name=" &amp;"""" &amp;$C$12959&amp;"""/&gt;"</f>
        <v>&lt;category name="clothes"/&gt;</v>
      </c>
      <c r="B12968" t="s">
        <v>1101</v>
      </c>
    </row>
    <row r="12969" spans="1:8" x14ac:dyDescent="0.25">
      <c r="A12969" t="s">
        <v>39</v>
      </c>
      <c r="B12969" t="s">
        <v>1101</v>
      </c>
    </row>
    <row r="12970" spans="1:8" x14ac:dyDescent="0.25">
      <c r="A12970" t="s">
        <v>40</v>
      </c>
      <c r="B12970" t="s">
        <v>1101</v>
      </c>
    </row>
    <row r="12971" spans="1:8" x14ac:dyDescent="0.25">
      <c r="A12971" t="s">
        <v>22</v>
      </c>
      <c r="B12971" t="s">
        <v>1101</v>
      </c>
    </row>
    <row r="12972" spans="1:8" x14ac:dyDescent="0.25">
      <c r="A12972" t="s">
        <v>2390</v>
      </c>
      <c r="B12972" t="s">
        <v>1102</v>
      </c>
      <c r="C12972" t="s">
        <v>403</v>
      </c>
      <c r="D12972">
        <v>3</v>
      </c>
      <c r="E12972">
        <v>5600</v>
      </c>
      <c r="F12972">
        <v>0</v>
      </c>
      <c r="G12972">
        <v>1</v>
      </c>
      <c r="H12972" t="s">
        <v>19</v>
      </c>
    </row>
    <row r="12973" spans="1:8" x14ac:dyDescent="0.25">
      <c r="A12973" t="str">
        <f>"&lt;nominal&gt;" &amp;$D$12972&amp;"&lt;/nominal&gt;"</f>
        <v>&lt;nominal&gt;3&lt;/nominal&gt;</v>
      </c>
      <c r="B12973" t="s">
        <v>1102</v>
      </c>
    </row>
    <row r="12974" spans="1:8" x14ac:dyDescent="0.25">
      <c r="A12974" t="str">
        <f>"&lt;lifetime&gt;" &amp;$E$12972&amp;"&lt;/lifetime&gt;"</f>
        <v>&lt;lifetime&gt;5600&lt;/lifetime&gt;</v>
      </c>
      <c r="B12974" t="s">
        <v>1102</v>
      </c>
    </row>
    <row r="12975" spans="1:8" x14ac:dyDescent="0.25">
      <c r="A12975" t="str">
        <f>"&lt;restock&gt;" &amp;$F$12972&amp;"&lt;/restock&gt;"</f>
        <v>&lt;restock&gt;0&lt;/restock&gt;</v>
      </c>
      <c r="B12975" t="s">
        <v>1102</v>
      </c>
    </row>
    <row r="12976" spans="1:8" x14ac:dyDescent="0.25">
      <c r="A12976" t="str">
        <f>"&lt;min&gt;" &amp;$G$12972&amp;"&lt;/min&gt;"</f>
        <v>&lt;min&gt;1&lt;/min&gt;</v>
      </c>
      <c r="B12976" t="s">
        <v>1102</v>
      </c>
    </row>
    <row r="12977" spans="1:8" x14ac:dyDescent="0.25">
      <c r="A12977" t="s">
        <v>16</v>
      </c>
      <c r="B12977" t="s">
        <v>1102</v>
      </c>
    </row>
    <row r="12978" spans="1:8" x14ac:dyDescent="0.25">
      <c r="A12978" t="s">
        <v>17</v>
      </c>
      <c r="B12978" t="s">
        <v>1102</v>
      </c>
    </row>
    <row r="12979" spans="1:8" x14ac:dyDescent="0.25">
      <c r="A12979" t="s">
        <v>18</v>
      </c>
      <c r="B12979" t="s">
        <v>1102</v>
      </c>
    </row>
    <row r="12980" spans="1:8" x14ac:dyDescent="0.25">
      <c r="A12980" t="str">
        <f xml:space="preserve"> $H$12972</f>
        <v>&lt;flags count_in_cargo="0" count_in_hoarder="0" count_in_map="1" count_in_player="0" crafted="0" deloot="0"/&gt;</v>
      </c>
      <c r="B12980" t="s">
        <v>1102</v>
      </c>
    </row>
    <row r="12981" spans="1:8" x14ac:dyDescent="0.25">
      <c r="A12981" t="str">
        <f>"&lt;category name=" &amp;"""" &amp;$C$12972&amp;"""/&gt;"</f>
        <v>&lt;category name="clothes"/&gt;</v>
      </c>
      <c r="B12981" t="s">
        <v>1102</v>
      </c>
    </row>
    <row r="12982" spans="1:8" x14ac:dyDescent="0.25">
      <c r="A12982" t="s">
        <v>39</v>
      </c>
      <c r="B12982" t="s">
        <v>1102</v>
      </c>
    </row>
    <row r="12983" spans="1:8" x14ac:dyDescent="0.25">
      <c r="A12983" t="s">
        <v>40</v>
      </c>
      <c r="B12983" t="s">
        <v>1102</v>
      </c>
    </row>
    <row r="12984" spans="1:8" x14ac:dyDescent="0.25">
      <c r="A12984" t="s">
        <v>22</v>
      </c>
      <c r="B12984" t="s">
        <v>1102</v>
      </c>
    </row>
    <row r="12985" spans="1:8" x14ac:dyDescent="0.25">
      <c r="A12985" t="s">
        <v>2391</v>
      </c>
      <c r="B12985" t="s">
        <v>1103</v>
      </c>
      <c r="C12985" t="s">
        <v>403</v>
      </c>
      <c r="D12985">
        <v>3</v>
      </c>
      <c r="E12985">
        <v>5600</v>
      </c>
      <c r="F12985">
        <v>0</v>
      </c>
      <c r="G12985">
        <v>1</v>
      </c>
      <c r="H12985" t="s">
        <v>19</v>
      </c>
    </row>
    <row r="12986" spans="1:8" x14ac:dyDescent="0.25">
      <c r="A12986" t="str">
        <f>"&lt;nominal&gt;" &amp;$D$12985&amp;"&lt;/nominal&gt;"</f>
        <v>&lt;nominal&gt;3&lt;/nominal&gt;</v>
      </c>
      <c r="B12986" t="s">
        <v>1103</v>
      </c>
    </row>
    <row r="12987" spans="1:8" x14ac:dyDescent="0.25">
      <c r="A12987" t="str">
        <f>"&lt;lifetime&gt;" &amp;$E$12985&amp;"&lt;/lifetime&gt;"</f>
        <v>&lt;lifetime&gt;5600&lt;/lifetime&gt;</v>
      </c>
      <c r="B12987" t="s">
        <v>1103</v>
      </c>
    </row>
    <row r="12988" spans="1:8" x14ac:dyDescent="0.25">
      <c r="A12988" t="str">
        <f>"&lt;restock&gt;" &amp;$F$12985&amp;"&lt;/restock&gt;"</f>
        <v>&lt;restock&gt;0&lt;/restock&gt;</v>
      </c>
      <c r="B12988" t="s">
        <v>1103</v>
      </c>
    </row>
    <row r="12989" spans="1:8" x14ac:dyDescent="0.25">
      <c r="A12989" t="str">
        <f>"&lt;min&gt;" &amp;$G$12985&amp;"&lt;/min&gt;"</f>
        <v>&lt;min&gt;1&lt;/min&gt;</v>
      </c>
      <c r="B12989" t="s">
        <v>1103</v>
      </c>
    </row>
    <row r="12990" spans="1:8" x14ac:dyDescent="0.25">
      <c r="A12990" t="s">
        <v>16</v>
      </c>
      <c r="B12990" t="s">
        <v>1103</v>
      </c>
    </row>
    <row r="12991" spans="1:8" x14ac:dyDescent="0.25">
      <c r="A12991" t="s">
        <v>17</v>
      </c>
      <c r="B12991" t="s">
        <v>1103</v>
      </c>
    </row>
    <row r="12992" spans="1:8" x14ac:dyDescent="0.25">
      <c r="A12992" t="s">
        <v>18</v>
      </c>
      <c r="B12992" t="s">
        <v>1103</v>
      </c>
    </row>
    <row r="12993" spans="1:8" x14ac:dyDescent="0.25">
      <c r="A12993" t="str">
        <f xml:space="preserve"> $H$12985</f>
        <v>&lt;flags count_in_cargo="0" count_in_hoarder="0" count_in_map="1" count_in_player="0" crafted="0" deloot="0"/&gt;</v>
      </c>
      <c r="B12993" t="s">
        <v>1103</v>
      </c>
    </row>
    <row r="12994" spans="1:8" x14ac:dyDescent="0.25">
      <c r="A12994" t="str">
        <f>"&lt;category name=" &amp;"""" &amp;$C$12985&amp;"""/&gt;"</f>
        <v>&lt;category name="clothes"/&gt;</v>
      </c>
      <c r="B12994" t="s">
        <v>1103</v>
      </c>
    </row>
    <row r="12995" spans="1:8" x14ac:dyDescent="0.25">
      <c r="A12995" t="s">
        <v>39</v>
      </c>
      <c r="B12995" t="s">
        <v>1103</v>
      </c>
    </row>
    <row r="12996" spans="1:8" x14ac:dyDescent="0.25">
      <c r="A12996" t="s">
        <v>40</v>
      </c>
      <c r="B12996" t="s">
        <v>1103</v>
      </c>
    </row>
    <row r="12997" spans="1:8" x14ac:dyDescent="0.25">
      <c r="A12997" t="s">
        <v>22</v>
      </c>
      <c r="B12997" t="s">
        <v>1103</v>
      </c>
    </row>
    <row r="12998" spans="1:8" x14ac:dyDescent="0.25">
      <c r="A12998" t="s">
        <v>2392</v>
      </c>
      <c r="B12998" t="s">
        <v>1104</v>
      </c>
      <c r="C12998" t="s">
        <v>403</v>
      </c>
      <c r="D12998">
        <v>3</v>
      </c>
      <c r="E12998">
        <v>5600</v>
      </c>
      <c r="F12998">
        <v>0</v>
      </c>
      <c r="G12998">
        <v>1</v>
      </c>
      <c r="H12998" t="s">
        <v>19</v>
      </c>
    </row>
    <row r="12999" spans="1:8" x14ac:dyDescent="0.25">
      <c r="A12999" t="str">
        <f>"&lt;nominal&gt;" &amp;$D$12998&amp;"&lt;/nominal&gt;"</f>
        <v>&lt;nominal&gt;3&lt;/nominal&gt;</v>
      </c>
      <c r="B12999" t="s">
        <v>1104</v>
      </c>
    </row>
    <row r="13000" spans="1:8" x14ac:dyDescent="0.25">
      <c r="A13000" t="str">
        <f>"&lt;lifetime&gt;" &amp;$E$12998&amp;"&lt;/lifetime&gt;"</f>
        <v>&lt;lifetime&gt;5600&lt;/lifetime&gt;</v>
      </c>
      <c r="B13000" t="s">
        <v>1104</v>
      </c>
    </row>
    <row r="13001" spans="1:8" x14ac:dyDescent="0.25">
      <c r="A13001" t="str">
        <f>"&lt;restock&gt;" &amp;$F$12998&amp;"&lt;/restock&gt;"</f>
        <v>&lt;restock&gt;0&lt;/restock&gt;</v>
      </c>
      <c r="B13001" t="s">
        <v>1104</v>
      </c>
    </row>
    <row r="13002" spans="1:8" x14ac:dyDescent="0.25">
      <c r="A13002" t="str">
        <f>"&lt;min&gt;" &amp;$G$12998&amp;"&lt;/min&gt;"</f>
        <v>&lt;min&gt;1&lt;/min&gt;</v>
      </c>
      <c r="B13002" t="s">
        <v>1104</v>
      </c>
    </row>
    <row r="13003" spans="1:8" x14ac:dyDescent="0.25">
      <c r="A13003" t="s">
        <v>16</v>
      </c>
      <c r="B13003" t="s">
        <v>1104</v>
      </c>
    </row>
    <row r="13004" spans="1:8" x14ac:dyDescent="0.25">
      <c r="A13004" t="s">
        <v>17</v>
      </c>
      <c r="B13004" t="s">
        <v>1104</v>
      </c>
    </row>
    <row r="13005" spans="1:8" x14ac:dyDescent="0.25">
      <c r="A13005" t="s">
        <v>18</v>
      </c>
      <c r="B13005" t="s">
        <v>1104</v>
      </c>
    </row>
    <row r="13006" spans="1:8" x14ac:dyDescent="0.25">
      <c r="A13006" t="str">
        <f xml:space="preserve"> $H$12998</f>
        <v>&lt;flags count_in_cargo="0" count_in_hoarder="0" count_in_map="1" count_in_player="0" crafted="0" deloot="0"/&gt;</v>
      </c>
      <c r="B13006" t="s">
        <v>1104</v>
      </c>
    </row>
    <row r="13007" spans="1:8" x14ac:dyDescent="0.25">
      <c r="A13007" t="str">
        <f>"&lt;category name=" &amp;"""" &amp;$C$12998&amp;"""/&gt;"</f>
        <v>&lt;category name="clothes"/&gt;</v>
      </c>
      <c r="B13007" t="s">
        <v>1104</v>
      </c>
    </row>
    <row r="13008" spans="1:8" x14ac:dyDescent="0.25">
      <c r="A13008" t="s">
        <v>39</v>
      </c>
      <c r="B13008" t="s">
        <v>1104</v>
      </c>
    </row>
    <row r="13009" spans="1:8" x14ac:dyDescent="0.25">
      <c r="A13009" t="s">
        <v>40</v>
      </c>
      <c r="B13009" t="s">
        <v>1104</v>
      </c>
    </row>
    <row r="13010" spans="1:8" x14ac:dyDescent="0.25">
      <c r="A13010" t="s">
        <v>22</v>
      </c>
      <c r="B13010" t="s">
        <v>1104</v>
      </c>
    </row>
    <row r="13011" spans="1:8" x14ac:dyDescent="0.25">
      <c r="A13011" t="s">
        <v>2393</v>
      </c>
      <c r="B13011" t="s">
        <v>1105</v>
      </c>
      <c r="C13011" t="s">
        <v>403</v>
      </c>
      <c r="D13011">
        <v>3</v>
      </c>
      <c r="E13011">
        <v>5600</v>
      </c>
      <c r="F13011">
        <v>0</v>
      </c>
      <c r="G13011">
        <v>1</v>
      </c>
      <c r="H13011" t="s">
        <v>19</v>
      </c>
    </row>
    <row r="13012" spans="1:8" x14ac:dyDescent="0.25">
      <c r="A13012" t="str">
        <f>"&lt;nominal&gt;" &amp;$D$13011&amp;"&lt;/nominal&gt;"</f>
        <v>&lt;nominal&gt;3&lt;/nominal&gt;</v>
      </c>
      <c r="B13012" t="s">
        <v>1105</v>
      </c>
    </row>
    <row r="13013" spans="1:8" x14ac:dyDescent="0.25">
      <c r="A13013" t="str">
        <f>"&lt;lifetime&gt;" &amp;$E$13011&amp;"&lt;/lifetime&gt;"</f>
        <v>&lt;lifetime&gt;5600&lt;/lifetime&gt;</v>
      </c>
      <c r="B13013" t="s">
        <v>1105</v>
      </c>
    </row>
    <row r="13014" spans="1:8" x14ac:dyDescent="0.25">
      <c r="A13014" t="str">
        <f>"&lt;restock&gt;" &amp;$F$13011&amp;"&lt;/restock&gt;"</f>
        <v>&lt;restock&gt;0&lt;/restock&gt;</v>
      </c>
      <c r="B13014" t="s">
        <v>1105</v>
      </c>
    </row>
    <row r="13015" spans="1:8" x14ac:dyDescent="0.25">
      <c r="A13015" t="str">
        <f>"&lt;min&gt;" &amp;$G$13011&amp;"&lt;/min&gt;"</f>
        <v>&lt;min&gt;1&lt;/min&gt;</v>
      </c>
      <c r="B13015" t="s">
        <v>1105</v>
      </c>
    </row>
    <row r="13016" spans="1:8" x14ac:dyDescent="0.25">
      <c r="A13016" t="s">
        <v>16</v>
      </c>
      <c r="B13016" t="s">
        <v>1105</v>
      </c>
    </row>
    <row r="13017" spans="1:8" x14ac:dyDescent="0.25">
      <c r="A13017" t="s">
        <v>17</v>
      </c>
      <c r="B13017" t="s">
        <v>1105</v>
      </c>
    </row>
    <row r="13018" spans="1:8" x14ac:dyDescent="0.25">
      <c r="A13018" t="s">
        <v>18</v>
      </c>
      <c r="B13018" t="s">
        <v>1105</v>
      </c>
    </row>
    <row r="13019" spans="1:8" x14ac:dyDescent="0.25">
      <c r="A13019" t="str">
        <f xml:space="preserve"> $H$13011</f>
        <v>&lt;flags count_in_cargo="0" count_in_hoarder="0" count_in_map="1" count_in_player="0" crafted="0" deloot="0"/&gt;</v>
      </c>
      <c r="B13019" t="s">
        <v>1105</v>
      </c>
    </row>
    <row r="13020" spans="1:8" x14ac:dyDescent="0.25">
      <c r="A13020" t="str">
        <f>"&lt;category name=" &amp;"""" &amp;$C$13011&amp;"""/&gt;"</f>
        <v>&lt;category name="clothes"/&gt;</v>
      </c>
      <c r="B13020" t="s">
        <v>1105</v>
      </c>
    </row>
    <row r="13021" spans="1:8" x14ac:dyDescent="0.25">
      <c r="A13021" t="s">
        <v>39</v>
      </c>
      <c r="B13021" t="s">
        <v>1105</v>
      </c>
    </row>
    <row r="13022" spans="1:8" x14ac:dyDescent="0.25">
      <c r="A13022" t="s">
        <v>40</v>
      </c>
      <c r="B13022" t="s">
        <v>1105</v>
      </c>
    </row>
    <row r="13023" spans="1:8" x14ac:dyDescent="0.25">
      <c r="A13023" t="s">
        <v>22</v>
      </c>
      <c r="B13023" t="s">
        <v>1105</v>
      </c>
    </row>
    <row r="13024" spans="1:8" x14ac:dyDescent="0.25">
      <c r="A13024" t="s">
        <v>2394</v>
      </c>
      <c r="B13024" t="s">
        <v>1106</v>
      </c>
      <c r="C13024" t="s">
        <v>403</v>
      </c>
      <c r="D13024">
        <v>10</v>
      </c>
      <c r="E13024">
        <v>7200</v>
      </c>
      <c r="F13024">
        <v>0</v>
      </c>
      <c r="G13024">
        <v>5</v>
      </c>
      <c r="H13024" t="s">
        <v>19</v>
      </c>
    </row>
    <row r="13025" spans="1:8" x14ac:dyDescent="0.25">
      <c r="A13025" t="str">
        <f>"&lt;nominal&gt;" &amp;$D$13024&amp;"&lt;/nominal&gt;"</f>
        <v>&lt;nominal&gt;10&lt;/nominal&gt;</v>
      </c>
      <c r="B13025" t="s">
        <v>1106</v>
      </c>
    </row>
    <row r="13026" spans="1:8" x14ac:dyDescent="0.25">
      <c r="A13026" t="str">
        <f>"&lt;lifetime&gt;" &amp;$E$13024&amp;"&lt;/lifetime&gt;"</f>
        <v>&lt;lifetime&gt;7200&lt;/lifetime&gt;</v>
      </c>
      <c r="B13026" t="s">
        <v>1106</v>
      </c>
    </row>
    <row r="13027" spans="1:8" x14ac:dyDescent="0.25">
      <c r="A13027" t="str">
        <f>"&lt;restock&gt;" &amp;$F$13024&amp;"&lt;/restock&gt;"</f>
        <v>&lt;restock&gt;0&lt;/restock&gt;</v>
      </c>
      <c r="B13027" t="s">
        <v>1106</v>
      </c>
    </row>
    <row r="13028" spans="1:8" x14ac:dyDescent="0.25">
      <c r="A13028" t="str">
        <f>"&lt;min&gt;" &amp;$G$13024&amp;"&lt;/min&gt;"</f>
        <v>&lt;min&gt;5&lt;/min&gt;</v>
      </c>
      <c r="B13028" t="s">
        <v>1106</v>
      </c>
    </row>
    <row r="13029" spans="1:8" x14ac:dyDescent="0.25">
      <c r="A13029" t="s">
        <v>16</v>
      </c>
      <c r="B13029" t="s">
        <v>1106</v>
      </c>
    </row>
    <row r="13030" spans="1:8" x14ac:dyDescent="0.25">
      <c r="A13030" t="s">
        <v>17</v>
      </c>
      <c r="B13030" t="s">
        <v>1106</v>
      </c>
    </row>
    <row r="13031" spans="1:8" x14ac:dyDescent="0.25">
      <c r="A13031" t="s">
        <v>18</v>
      </c>
      <c r="B13031" t="s">
        <v>1106</v>
      </c>
    </row>
    <row r="13032" spans="1:8" x14ac:dyDescent="0.25">
      <c r="A13032" t="str">
        <f xml:space="preserve"> $H$13024</f>
        <v>&lt;flags count_in_cargo="0" count_in_hoarder="0" count_in_map="1" count_in_player="0" crafted="0" deloot="0"/&gt;</v>
      </c>
      <c r="B13032" t="s">
        <v>1106</v>
      </c>
    </row>
    <row r="13033" spans="1:8" x14ac:dyDescent="0.25">
      <c r="A13033" t="str">
        <f>"&lt;category name=" &amp;"""" &amp;$C$13024&amp;"""/&gt;"</f>
        <v>&lt;category name="clothes"/&gt;</v>
      </c>
      <c r="B13033" t="s">
        <v>1106</v>
      </c>
    </row>
    <row r="13034" spans="1:8" x14ac:dyDescent="0.25">
      <c r="A13034" t="s">
        <v>29</v>
      </c>
      <c r="B13034" t="s">
        <v>1106</v>
      </c>
    </row>
    <row r="13035" spans="1:8" x14ac:dyDescent="0.25">
      <c r="A13035" t="s">
        <v>82</v>
      </c>
      <c r="B13035" t="s">
        <v>1106</v>
      </c>
    </row>
    <row r="13036" spans="1:8" x14ac:dyDescent="0.25">
      <c r="A13036" t="s">
        <v>30</v>
      </c>
      <c r="B13036" t="s">
        <v>1106</v>
      </c>
    </row>
    <row r="13037" spans="1:8" x14ac:dyDescent="0.25">
      <c r="A13037" t="s">
        <v>31</v>
      </c>
      <c r="B13037" t="s">
        <v>1106</v>
      </c>
    </row>
    <row r="13038" spans="1:8" x14ac:dyDescent="0.25">
      <c r="A13038" t="s">
        <v>307</v>
      </c>
      <c r="B13038" t="s">
        <v>1106</v>
      </c>
    </row>
    <row r="13039" spans="1:8" x14ac:dyDescent="0.25">
      <c r="A13039" t="s">
        <v>22</v>
      </c>
      <c r="B13039" t="s">
        <v>1106</v>
      </c>
    </row>
    <row r="13040" spans="1:8" x14ac:dyDescent="0.25">
      <c r="A13040" t="s">
        <v>2395</v>
      </c>
      <c r="B13040" t="s">
        <v>1107</v>
      </c>
      <c r="C13040" t="s">
        <v>403</v>
      </c>
      <c r="D13040">
        <v>10</v>
      </c>
      <c r="E13040">
        <v>5600</v>
      </c>
      <c r="F13040">
        <v>0</v>
      </c>
      <c r="G13040">
        <v>5</v>
      </c>
      <c r="H13040" t="s">
        <v>19</v>
      </c>
    </row>
    <row r="13041" spans="1:8" x14ac:dyDescent="0.25">
      <c r="A13041" t="str">
        <f>"&lt;nominal&gt;" &amp;$D$13040&amp;"&lt;/nominal&gt;"</f>
        <v>&lt;nominal&gt;10&lt;/nominal&gt;</v>
      </c>
      <c r="B13041" t="s">
        <v>1107</v>
      </c>
    </row>
    <row r="13042" spans="1:8" x14ac:dyDescent="0.25">
      <c r="A13042" t="str">
        <f>"&lt;lifetime&gt;" &amp;$E$13040&amp;"&lt;/lifetime&gt;"</f>
        <v>&lt;lifetime&gt;5600&lt;/lifetime&gt;</v>
      </c>
      <c r="B13042" t="s">
        <v>1107</v>
      </c>
    </row>
    <row r="13043" spans="1:8" x14ac:dyDescent="0.25">
      <c r="A13043" t="str">
        <f>"&lt;restock&gt;" &amp;$F$13040&amp;"&lt;/restock&gt;"</f>
        <v>&lt;restock&gt;0&lt;/restock&gt;</v>
      </c>
      <c r="B13043" t="s">
        <v>1107</v>
      </c>
    </row>
    <row r="13044" spans="1:8" x14ac:dyDescent="0.25">
      <c r="A13044" t="str">
        <f>"&lt;min&gt;" &amp;$G$13040&amp;"&lt;/min&gt;"</f>
        <v>&lt;min&gt;5&lt;/min&gt;</v>
      </c>
      <c r="B13044" t="s">
        <v>1107</v>
      </c>
    </row>
    <row r="13045" spans="1:8" x14ac:dyDescent="0.25">
      <c r="A13045" t="s">
        <v>16</v>
      </c>
      <c r="B13045" t="s">
        <v>1107</v>
      </c>
    </row>
    <row r="13046" spans="1:8" x14ac:dyDescent="0.25">
      <c r="A13046" t="s">
        <v>17</v>
      </c>
      <c r="B13046" t="s">
        <v>1107</v>
      </c>
    </row>
    <row r="13047" spans="1:8" x14ac:dyDescent="0.25">
      <c r="A13047" t="s">
        <v>18</v>
      </c>
      <c r="B13047" t="s">
        <v>1107</v>
      </c>
    </row>
    <row r="13048" spans="1:8" x14ac:dyDescent="0.25">
      <c r="A13048" t="str">
        <f xml:space="preserve"> $H$13040</f>
        <v>&lt;flags count_in_cargo="0" count_in_hoarder="0" count_in_map="1" count_in_player="0" crafted="0" deloot="0"/&gt;</v>
      </c>
      <c r="B13048" t="s">
        <v>1107</v>
      </c>
    </row>
    <row r="13049" spans="1:8" x14ac:dyDescent="0.25">
      <c r="A13049" t="str">
        <f>"&lt;category name=" &amp;"""" &amp;$C$13040&amp;"""/&gt;"</f>
        <v>&lt;category name="clothes"/&gt;</v>
      </c>
      <c r="B13049" t="s">
        <v>1107</v>
      </c>
    </row>
    <row r="13050" spans="1:8" x14ac:dyDescent="0.25">
      <c r="A13050" t="s">
        <v>29</v>
      </c>
      <c r="B13050" t="s">
        <v>1107</v>
      </c>
    </row>
    <row r="13051" spans="1:8" x14ac:dyDescent="0.25">
      <c r="A13051" t="s">
        <v>22</v>
      </c>
      <c r="B13051" t="s">
        <v>1107</v>
      </c>
    </row>
    <row r="13052" spans="1:8" x14ac:dyDescent="0.25">
      <c r="A13052" t="s">
        <v>2396</v>
      </c>
      <c r="B13052" t="s">
        <v>1108</v>
      </c>
      <c r="C13052" t="s">
        <v>403</v>
      </c>
      <c r="D13052">
        <v>10</v>
      </c>
      <c r="E13052">
        <v>5600</v>
      </c>
      <c r="F13052">
        <v>0</v>
      </c>
      <c r="G13052">
        <v>5</v>
      </c>
      <c r="H13052" t="s">
        <v>19</v>
      </c>
    </row>
    <row r="13053" spans="1:8" x14ac:dyDescent="0.25">
      <c r="A13053" t="str">
        <f>"&lt;nominal&gt;" &amp;$D$13052&amp;"&lt;/nominal&gt;"</f>
        <v>&lt;nominal&gt;10&lt;/nominal&gt;</v>
      </c>
      <c r="B13053" t="s">
        <v>1108</v>
      </c>
    </row>
    <row r="13054" spans="1:8" x14ac:dyDescent="0.25">
      <c r="A13054" t="str">
        <f>"&lt;lifetime&gt;" &amp;$E$13052&amp;"&lt;/lifetime&gt;"</f>
        <v>&lt;lifetime&gt;5600&lt;/lifetime&gt;</v>
      </c>
      <c r="B13054" t="s">
        <v>1108</v>
      </c>
    </row>
    <row r="13055" spans="1:8" x14ac:dyDescent="0.25">
      <c r="A13055" t="str">
        <f>"&lt;restock&gt;" &amp;$F$13052&amp;"&lt;/restock&gt;"</f>
        <v>&lt;restock&gt;0&lt;/restock&gt;</v>
      </c>
      <c r="B13055" t="s">
        <v>1108</v>
      </c>
    </row>
    <row r="13056" spans="1:8" x14ac:dyDescent="0.25">
      <c r="A13056" t="str">
        <f>"&lt;min&gt;" &amp;$G$13052&amp;"&lt;/min&gt;"</f>
        <v>&lt;min&gt;5&lt;/min&gt;</v>
      </c>
      <c r="B13056" t="s">
        <v>1108</v>
      </c>
    </row>
    <row r="13057" spans="1:8" x14ac:dyDescent="0.25">
      <c r="A13057" t="s">
        <v>16</v>
      </c>
      <c r="B13057" t="s">
        <v>1108</v>
      </c>
    </row>
    <row r="13058" spans="1:8" x14ac:dyDescent="0.25">
      <c r="A13058" t="s">
        <v>17</v>
      </c>
      <c r="B13058" t="s">
        <v>1108</v>
      </c>
    </row>
    <row r="13059" spans="1:8" x14ac:dyDescent="0.25">
      <c r="A13059" t="s">
        <v>18</v>
      </c>
      <c r="B13059" t="s">
        <v>1108</v>
      </c>
    </row>
    <row r="13060" spans="1:8" x14ac:dyDescent="0.25">
      <c r="A13060" t="str">
        <f xml:space="preserve"> $H$13052</f>
        <v>&lt;flags count_in_cargo="0" count_in_hoarder="0" count_in_map="1" count_in_player="0" crafted="0" deloot="0"/&gt;</v>
      </c>
      <c r="B13060" t="s">
        <v>1108</v>
      </c>
    </row>
    <row r="13061" spans="1:8" x14ac:dyDescent="0.25">
      <c r="A13061" t="str">
        <f>"&lt;category name=" &amp;"""" &amp;$C$13052&amp;"""/&gt;"</f>
        <v>&lt;category name="clothes"/&gt;</v>
      </c>
      <c r="B13061" t="s">
        <v>1108</v>
      </c>
    </row>
    <row r="13062" spans="1:8" x14ac:dyDescent="0.25">
      <c r="A13062" t="s">
        <v>29</v>
      </c>
      <c r="B13062" t="s">
        <v>1108</v>
      </c>
    </row>
    <row r="13063" spans="1:8" x14ac:dyDescent="0.25">
      <c r="A13063" t="s">
        <v>22</v>
      </c>
      <c r="B13063" t="s">
        <v>1108</v>
      </c>
    </row>
    <row r="13064" spans="1:8" x14ac:dyDescent="0.25">
      <c r="A13064" t="s">
        <v>2397</v>
      </c>
      <c r="B13064" t="s">
        <v>1109</v>
      </c>
      <c r="C13064" t="s">
        <v>399</v>
      </c>
      <c r="D13064">
        <v>2</v>
      </c>
      <c r="E13064">
        <v>3600</v>
      </c>
      <c r="F13064">
        <v>0</v>
      </c>
      <c r="G13064">
        <v>1</v>
      </c>
      <c r="H13064" t="s">
        <v>19</v>
      </c>
    </row>
    <row r="13065" spans="1:8" x14ac:dyDescent="0.25">
      <c r="A13065" t="str">
        <f>"&lt;nominal&gt;" &amp;$D$13064&amp;"&lt;/nominal&gt;"</f>
        <v>&lt;nominal&gt;2&lt;/nominal&gt;</v>
      </c>
      <c r="B13065" t="s">
        <v>1109</v>
      </c>
    </row>
    <row r="13066" spans="1:8" x14ac:dyDescent="0.25">
      <c r="A13066" t="str">
        <f>"&lt;lifetime&gt;" &amp;$E$13064&amp;"&lt;/lifetime&gt;"</f>
        <v>&lt;lifetime&gt;3600&lt;/lifetime&gt;</v>
      </c>
      <c r="B13066" t="s">
        <v>1109</v>
      </c>
    </row>
    <row r="13067" spans="1:8" x14ac:dyDescent="0.25">
      <c r="A13067" t="str">
        <f>"&lt;restock&gt;" &amp;$F$13064&amp;"&lt;/restock&gt;"</f>
        <v>&lt;restock&gt;0&lt;/restock&gt;</v>
      </c>
      <c r="B13067" t="s">
        <v>1109</v>
      </c>
    </row>
    <row r="13068" spans="1:8" x14ac:dyDescent="0.25">
      <c r="A13068" t="str">
        <f>"&lt;min&gt;" &amp;$G$13064&amp;"&lt;/min&gt;"</f>
        <v>&lt;min&gt;1&lt;/min&gt;</v>
      </c>
      <c r="B13068" t="s">
        <v>1109</v>
      </c>
    </row>
    <row r="13069" spans="1:8" x14ac:dyDescent="0.25">
      <c r="A13069" t="s">
        <v>16</v>
      </c>
      <c r="B13069" t="s">
        <v>1109</v>
      </c>
    </row>
    <row r="13070" spans="1:8" x14ac:dyDescent="0.25">
      <c r="A13070" t="s">
        <v>17</v>
      </c>
      <c r="B13070" t="s">
        <v>1109</v>
      </c>
    </row>
    <row r="13071" spans="1:8" x14ac:dyDescent="0.25">
      <c r="A13071" t="s">
        <v>18</v>
      </c>
      <c r="B13071" t="s">
        <v>1109</v>
      </c>
    </row>
    <row r="13072" spans="1:8" x14ac:dyDescent="0.25">
      <c r="A13072" t="str">
        <f xml:space="preserve"> $H$13064</f>
        <v>&lt;flags count_in_cargo="0" count_in_hoarder="0" count_in_map="1" count_in_player="0" crafted="0" deloot="0"/&gt;</v>
      </c>
      <c r="B13072" t="s">
        <v>1109</v>
      </c>
    </row>
    <row r="13073" spans="1:8" x14ac:dyDescent="0.25">
      <c r="A13073" t="str">
        <f>"&lt;category name=" &amp;"""" &amp;$C$13064&amp;"""/&gt;"</f>
        <v>&lt;category name="food"/&gt;</v>
      </c>
      <c r="B13073" t="s">
        <v>1109</v>
      </c>
    </row>
    <row r="13074" spans="1:8" x14ac:dyDescent="0.25">
      <c r="A13074" t="s">
        <v>20</v>
      </c>
      <c r="B13074" t="s">
        <v>1109</v>
      </c>
    </row>
    <row r="13075" spans="1:8" x14ac:dyDescent="0.25">
      <c r="A13075" t="s">
        <v>29</v>
      </c>
      <c r="B13075" t="s">
        <v>1109</v>
      </c>
    </row>
    <row r="13076" spans="1:8" x14ac:dyDescent="0.25">
      <c r="A13076" t="s">
        <v>22</v>
      </c>
      <c r="B13076" t="s">
        <v>1109</v>
      </c>
    </row>
    <row r="13077" spans="1:8" x14ac:dyDescent="0.25">
      <c r="A13077" t="s">
        <v>2398</v>
      </c>
      <c r="B13077" t="s">
        <v>3475</v>
      </c>
      <c r="C13077" t="s">
        <v>399</v>
      </c>
      <c r="D13077">
        <v>0</v>
      </c>
      <c r="E13077">
        <v>3600</v>
      </c>
      <c r="F13077">
        <v>0</v>
      </c>
      <c r="G13077">
        <v>0</v>
      </c>
      <c r="H13077" t="s">
        <v>62</v>
      </c>
    </row>
    <row r="13078" spans="1:8" x14ac:dyDescent="0.25">
      <c r="A13078" t="str">
        <f>"&lt;nominal&gt;" &amp;$D$13077&amp;"&lt;/nominal&gt;"</f>
        <v>&lt;nominal&gt;0&lt;/nominal&gt;</v>
      </c>
      <c r="B13078" t="s">
        <v>3475</v>
      </c>
    </row>
    <row r="13079" spans="1:8" x14ac:dyDescent="0.25">
      <c r="A13079" t="str">
        <f>"&lt;lifetime&gt;" &amp;$E$13077&amp;"&lt;/lifetime&gt;"</f>
        <v>&lt;lifetime&gt;3600&lt;/lifetime&gt;</v>
      </c>
      <c r="B13079" t="s">
        <v>3475</v>
      </c>
    </row>
    <row r="13080" spans="1:8" x14ac:dyDescent="0.25">
      <c r="A13080" t="str">
        <f>"&lt;restock&gt;" &amp;$F$13077&amp;"&lt;/restock&gt;"</f>
        <v>&lt;restock&gt;0&lt;/restock&gt;</v>
      </c>
      <c r="B13080" t="s">
        <v>3475</v>
      </c>
    </row>
    <row r="13081" spans="1:8" x14ac:dyDescent="0.25">
      <c r="A13081" t="str">
        <f>"&lt;min&gt;" &amp;$G$13077&amp;"&lt;/min&gt;"</f>
        <v>&lt;min&gt;0&lt;/min&gt;</v>
      </c>
      <c r="B13081" t="s">
        <v>3475</v>
      </c>
    </row>
    <row r="13082" spans="1:8" x14ac:dyDescent="0.25">
      <c r="A13082" t="s">
        <v>16</v>
      </c>
      <c r="B13082" t="s">
        <v>3475</v>
      </c>
    </row>
    <row r="13083" spans="1:8" x14ac:dyDescent="0.25">
      <c r="A13083" t="s">
        <v>17</v>
      </c>
      <c r="B13083" t="s">
        <v>3475</v>
      </c>
    </row>
    <row r="13084" spans="1:8" x14ac:dyDescent="0.25">
      <c r="A13084" t="s">
        <v>18</v>
      </c>
      <c r="B13084" t="s">
        <v>3475</v>
      </c>
    </row>
    <row r="13085" spans="1:8" x14ac:dyDescent="0.25">
      <c r="A13085" t="str">
        <f xml:space="preserve"> $H$13077</f>
        <v>&lt;flags count_in_cargo="0" count_in_hoarder="0" count_in_map="1" count_in_player="0" crafted="1" deloot="0"/&gt;</v>
      </c>
      <c r="B13085" t="s">
        <v>3475</v>
      </c>
    </row>
    <row r="13086" spans="1:8" x14ac:dyDescent="0.25">
      <c r="A13086" t="str">
        <f>"&lt;category name=" &amp;"""" &amp;$C$13077&amp;"""/&gt;"</f>
        <v>&lt;category name="food"/&gt;</v>
      </c>
      <c r="B13086" t="s">
        <v>3475</v>
      </c>
    </row>
    <row r="13087" spans="1:8" x14ac:dyDescent="0.25">
      <c r="A13087" t="s">
        <v>22</v>
      </c>
      <c r="B13087" t="s">
        <v>3475</v>
      </c>
    </row>
    <row r="13088" spans="1:8" x14ac:dyDescent="0.25">
      <c r="A13088" t="s">
        <v>2399</v>
      </c>
      <c r="B13088" t="s">
        <v>1110</v>
      </c>
      <c r="C13088" t="s">
        <v>403</v>
      </c>
      <c r="D13088">
        <v>8</v>
      </c>
      <c r="E13088">
        <v>7200</v>
      </c>
      <c r="F13088">
        <v>0</v>
      </c>
      <c r="G13088">
        <v>3</v>
      </c>
      <c r="H13088" t="s">
        <v>19</v>
      </c>
    </row>
    <row r="13089" spans="1:8" x14ac:dyDescent="0.25">
      <c r="A13089" t="str">
        <f>"&lt;nominal&gt;" &amp;$D$13088&amp;"&lt;/nominal&gt;"</f>
        <v>&lt;nominal&gt;8&lt;/nominal&gt;</v>
      </c>
      <c r="B13089" t="s">
        <v>1110</v>
      </c>
    </row>
    <row r="13090" spans="1:8" x14ac:dyDescent="0.25">
      <c r="A13090" t="str">
        <f>"&lt;lifetime&gt;" &amp;$E$13088&amp;"&lt;/lifetime&gt;"</f>
        <v>&lt;lifetime&gt;7200&lt;/lifetime&gt;</v>
      </c>
      <c r="B13090" t="s">
        <v>1110</v>
      </c>
    </row>
    <row r="13091" spans="1:8" x14ac:dyDescent="0.25">
      <c r="A13091" t="str">
        <f>"&lt;restock&gt;" &amp;$F$13088&amp;"&lt;/restock&gt;"</f>
        <v>&lt;restock&gt;0&lt;/restock&gt;</v>
      </c>
      <c r="B13091" t="s">
        <v>1110</v>
      </c>
    </row>
    <row r="13092" spans="1:8" x14ac:dyDescent="0.25">
      <c r="A13092" t="str">
        <f>"&lt;min&gt;" &amp;$G$13088&amp;"&lt;/min&gt;"</f>
        <v>&lt;min&gt;3&lt;/min&gt;</v>
      </c>
      <c r="B13092" t="s">
        <v>1110</v>
      </c>
    </row>
    <row r="13093" spans="1:8" x14ac:dyDescent="0.25">
      <c r="A13093" t="s">
        <v>16</v>
      </c>
      <c r="B13093" t="s">
        <v>1110</v>
      </c>
    </row>
    <row r="13094" spans="1:8" x14ac:dyDescent="0.25">
      <c r="A13094" t="s">
        <v>17</v>
      </c>
      <c r="B13094" t="s">
        <v>1110</v>
      </c>
    </row>
    <row r="13095" spans="1:8" x14ac:dyDescent="0.25">
      <c r="A13095" t="s">
        <v>18</v>
      </c>
      <c r="B13095" t="s">
        <v>1110</v>
      </c>
    </row>
    <row r="13096" spans="1:8" x14ac:dyDescent="0.25">
      <c r="A13096" t="str">
        <f xml:space="preserve"> $H$13088</f>
        <v>&lt;flags count_in_cargo="0" count_in_hoarder="0" count_in_map="1" count_in_player="0" crafted="0" deloot="0"/&gt;</v>
      </c>
      <c r="B13096" t="s">
        <v>1110</v>
      </c>
    </row>
    <row r="13097" spans="1:8" x14ac:dyDescent="0.25">
      <c r="A13097" t="str">
        <f>"&lt;category name=" &amp;"""" &amp;$C$13088&amp;"""/&gt;"</f>
        <v>&lt;category name="clothes"/&gt;</v>
      </c>
      <c r="B13097" t="s">
        <v>1110</v>
      </c>
    </row>
    <row r="13098" spans="1:8" x14ac:dyDescent="0.25">
      <c r="A13098" t="s">
        <v>29</v>
      </c>
      <c r="B13098" t="s">
        <v>1110</v>
      </c>
    </row>
    <row r="13099" spans="1:8" x14ac:dyDescent="0.25">
      <c r="A13099" t="s">
        <v>22</v>
      </c>
      <c r="B13099" t="s">
        <v>1110</v>
      </c>
    </row>
    <row r="13100" spans="1:8" x14ac:dyDescent="0.25">
      <c r="A13100" t="s">
        <v>2400</v>
      </c>
      <c r="B13100" t="s">
        <v>1111</v>
      </c>
      <c r="C13100" t="s">
        <v>403</v>
      </c>
      <c r="D13100">
        <v>8</v>
      </c>
      <c r="E13100">
        <v>7200</v>
      </c>
      <c r="F13100">
        <v>0</v>
      </c>
      <c r="G13100">
        <v>3</v>
      </c>
      <c r="H13100" t="s">
        <v>19</v>
      </c>
    </row>
    <row r="13101" spans="1:8" x14ac:dyDescent="0.25">
      <c r="A13101" t="str">
        <f>"&lt;nominal&gt;" &amp;$D$13100&amp;"&lt;/nominal&gt;"</f>
        <v>&lt;nominal&gt;8&lt;/nominal&gt;</v>
      </c>
      <c r="B13101" t="s">
        <v>1111</v>
      </c>
    </row>
    <row r="13102" spans="1:8" x14ac:dyDescent="0.25">
      <c r="A13102" t="str">
        <f>"&lt;lifetime&gt;" &amp;$E$13100&amp;"&lt;/lifetime&gt;"</f>
        <v>&lt;lifetime&gt;7200&lt;/lifetime&gt;</v>
      </c>
      <c r="B13102" t="s">
        <v>1111</v>
      </c>
    </row>
    <row r="13103" spans="1:8" x14ac:dyDescent="0.25">
      <c r="A13103" t="str">
        <f>"&lt;restock&gt;" &amp;$F$13100&amp;"&lt;/restock&gt;"</f>
        <v>&lt;restock&gt;0&lt;/restock&gt;</v>
      </c>
      <c r="B13103" t="s">
        <v>1111</v>
      </c>
    </row>
    <row r="13104" spans="1:8" x14ac:dyDescent="0.25">
      <c r="A13104" t="str">
        <f>"&lt;min&gt;" &amp;$G$13100&amp;"&lt;/min&gt;"</f>
        <v>&lt;min&gt;3&lt;/min&gt;</v>
      </c>
      <c r="B13104" t="s">
        <v>1111</v>
      </c>
    </row>
    <row r="13105" spans="1:8" x14ac:dyDescent="0.25">
      <c r="A13105" t="s">
        <v>16</v>
      </c>
      <c r="B13105" t="s">
        <v>1111</v>
      </c>
    </row>
    <row r="13106" spans="1:8" x14ac:dyDescent="0.25">
      <c r="A13106" t="s">
        <v>17</v>
      </c>
      <c r="B13106" t="s">
        <v>1111</v>
      </c>
    </row>
    <row r="13107" spans="1:8" x14ac:dyDescent="0.25">
      <c r="A13107" t="s">
        <v>18</v>
      </c>
      <c r="B13107" t="s">
        <v>1111</v>
      </c>
    </row>
    <row r="13108" spans="1:8" x14ac:dyDescent="0.25">
      <c r="A13108" t="str">
        <f xml:space="preserve"> $H$13100</f>
        <v>&lt;flags count_in_cargo="0" count_in_hoarder="0" count_in_map="1" count_in_player="0" crafted="0" deloot="0"/&gt;</v>
      </c>
      <c r="B13108" t="s">
        <v>1111</v>
      </c>
    </row>
    <row r="13109" spans="1:8" x14ac:dyDescent="0.25">
      <c r="A13109" t="str">
        <f>"&lt;category name=" &amp;"""" &amp;$C$13100&amp;"""/&gt;"</f>
        <v>&lt;category name="clothes"/&gt;</v>
      </c>
      <c r="B13109" t="s">
        <v>1111</v>
      </c>
    </row>
    <row r="13110" spans="1:8" x14ac:dyDescent="0.25">
      <c r="A13110" t="s">
        <v>29</v>
      </c>
      <c r="B13110" t="s">
        <v>1111</v>
      </c>
    </row>
    <row r="13111" spans="1:8" x14ac:dyDescent="0.25">
      <c r="A13111" t="s">
        <v>22</v>
      </c>
      <c r="B13111" t="s">
        <v>1111</v>
      </c>
    </row>
    <row r="13112" spans="1:8" x14ac:dyDescent="0.25">
      <c r="A13112" t="s">
        <v>2401</v>
      </c>
      <c r="B13112" t="s">
        <v>1112</v>
      </c>
      <c r="C13112" t="s">
        <v>403</v>
      </c>
      <c r="D13112">
        <v>8</v>
      </c>
      <c r="E13112">
        <v>7200</v>
      </c>
      <c r="F13112">
        <v>0</v>
      </c>
      <c r="G13112">
        <v>3</v>
      </c>
      <c r="H13112" t="s">
        <v>19</v>
      </c>
    </row>
    <row r="13113" spans="1:8" x14ac:dyDescent="0.25">
      <c r="A13113" t="str">
        <f>"&lt;nominal&gt;" &amp;$D$13112&amp;"&lt;/nominal&gt;"</f>
        <v>&lt;nominal&gt;8&lt;/nominal&gt;</v>
      </c>
      <c r="B13113" t="s">
        <v>1112</v>
      </c>
    </row>
    <row r="13114" spans="1:8" x14ac:dyDescent="0.25">
      <c r="A13114" t="str">
        <f>"&lt;lifetime&gt;" &amp;$E$13112&amp;"&lt;/lifetime&gt;"</f>
        <v>&lt;lifetime&gt;7200&lt;/lifetime&gt;</v>
      </c>
      <c r="B13114" t="s">
        <v>1112</v>
      </c>
    </row>
    <row r="13115" spans="1:8" x14ac:dyDescent="0.25">
      <c r="A13115" t="str">
        <f>"&lt;restock&gt;" &amp;$F$13112&amp;"&lt;/restock&gt;"</f>
        <v>&lt;restock&gt;0&lt;/restock&gt;</v>
      </c>
      <c r="B13115" t="s">
        <v>1112</v>
      </c>
    </row>
    <row r="13116" spans="1:8" x14ac:dyDescent="0.25">
      <c r="A13116" t="str">
        <f>"&lt;min&gt;" &amp;$G$13112&amp;"&lt;/min&gt;"</f>
        <v>&lt;min&gt;3&lt;/min&gt;</v>
      </c>
      <c r="B13116" t="s">
        <v>1112</v>
      </c>
    </row>
    <row r="13117" spans="1:8" x14ac:dyDescent="0.25">
      <c r="A13117" t="s">
        <v>16</v>
      </c>
      <c r="B13117" t="s">
        <v>1112</v>
      </c>
    </row>
    <row r="13118" spans="1:8" x14ac:dyDescent="0.25">
      <c r="A13118" t="s">
        <v>17</v>
      </c>
      <c r="B13118" t="s">
        <v>1112</v>
      </c>
    </row>
    <row r="13119" spans="1:8" x14ac:dyDescent="0.25">
      <c r="A13119" t="s">
        <v>18</v>
      </c>
      <c r="B13119" t="s">
        <v>1112</v>
      </c>
    </row>
    <row r="13120" spans="1:8" x14ac:dyDescent="0.25">
      <c r="A13120" t="str">
        <f xml:space="preserve"> $H$13112</f>
        <v>&lt;flags count_in_cargo="0" count_in_hoarder="0" count_in_map="1" count_in_player="0" crafted="0" deloot="0"/&gt;</v>
      </c>
      <c r="B13120" t="s">
        <v>1112</v>
      </c>
    </row>
    <row r="13121" spans="1:8" x14ac:dyDescent="0.25">
      <c r="A13121" t="str">
        <f>"&lt;category name=" &amp;"""" &amp;$C$13112&amp;"""/&gt;"</f>
        <v>&lt;category name="clothes"/&gt;</v>
      </c>
      <c r="B13121" t="s">
        <v>1112</v>
      </c>
    </row>
    <row r="13122" spans="1:8" x14ac:dyDescent="0.25">
      <c r="A13122" t="s">
        <v>29</v>
      </c>
      <c r="B13122" t="s">
        <v>1112</v>
      </c>
    </row>
    <row r="13123" spans="1:8" x14ac:dyDescent="0.25">
      <c r="A13123" t="s">
        <v>22</v>
      </c>
      <c r="B13123" t="s">
        <v>1112</v>
      </c>
    </row>
    <row r="13124" spans="1:8" x14ac:dyDescent="0.25">
      <c r="A13124" t="s">
        <v>2402</v>
      </c>
      <c r="B13124" t="s">
        <v>1113</v>
      </c>
      <c r="C13124" t="s">
        <v>403</v>
      </c>
      <c r="D13124">
        <v>8</v>
      </c>
      <c r="E13124">
        <v>7200</v>
      </c>
      <c r="F13124">
        <v>0</v>
      </c>
      <c r="G13124">
        <v>3</v>
      </c>
      <c r="H13124" t="s">
        <v>19</v>
      </c>
    </row>
    <row r="13125" spans="1:8" x14ac:dyDescent="0.25">
      <c r="A13125" t="str">
        <f>"&lt;nominal&gt;" &amp;$D$13124&amp;"&lt;/nominal&gt;"</f>
        <v>&lt;nominal&gt;8&lt;/nominal&gt;</v>
      </c>
      <c r="B13125" t="s">
        <v>1113</v>
      </c>
    </row>
    <row r="13126" spans="1:8" x14ac:dyDescent="0.25">
      <c r="A13126" t="str">
        <f>"&lt;lifetime&gt;" &amp;$E$13124&amp;"&lt;/lifetime&gt;"</f>
        <v>&lt;lifetime&gt;7200&lt;/lifetime&gt;</v>
      </c>
      <c r="B13126" t="s">
        <v>1113</v>
      </c>
    </row>
    <row r="13127" spans="1:8" x14ac:dyDescent="0.25">
      <c r="A13127" t="str">
        <f>"&lt;restock&gt;" &amp;$F$13124&amp;"&lt;/restock&gt;"</f>
        <v>&lt;restock&gt;0&lt;/restock&gt;</v>
      </c>
      <c r="B13127" t="s">
        <v>1113</v>
      </c>
    </row>
    <row r="13128" spans="1:8" x14ac:dyDescent="0.25">
      <c r="A13128" t="str">
        <f>"&lt;min&gt;" &amp;$G$13124&amp;"&lt;/min&gt;"</f>
        <v>&lt;min&gt;3&lt;/min&gt;</v>
      </c>
      <c r="B13128" t="s">
        <v>1113</v>
      </c>
    </row>
    <row r="13129" spans="1:8" x14ac:dyDescent="0.25">
      <c r="A13129" t="s">
        <v>16</v>
      </c>
      <c r="B13129" t="s">
        <v>1113</v>
      </c>
    </row>
    <row r="13130" spans="1:8" x14ac:dyDescent="0.25">
      <c r="A13130" t="s">
        <v>17</v>
      </c>
      <c r="B13130" t="s">
        <v>1113</v>
      </c>
    </row>
    <row r="13131" spans="1:8" x14ac:dyDescent="0.25">
      <c r="A13131" t="s">
        <v>18</v>
      </c>
      <c r="B13131" t="s">
        <v>1113</v>
      </c>
    </row>
    <row r="13132" spans="1:8" x14ac:dyDescent="0.25">
      <c r="A13132" t="str">
        <f xml:space="preserve"> $H$13124</f>
        <v>&lt;flags count_in_cargo="0" count_in_hoarder="0" count_in_map="1" count_in_player="0" crafted="0" deloot="0"/&gt;</v>
      </c>
      <c r="B13132" t="s">
        <v>1113</v>
      </c>
    </row>
    <row r="13133" spans="1:8" x14ac:dyDescent="0.25">
      <c r="A13133" t="str">
        <f>"&lt;category name=" &amp;"""" &amp;$C$13124&amp;"""/&gt;"</f>
        <v>&lt;category name="clothes"/&gt;</v>
      </c>
      <c r="B13133" t="s">
        <v>1113</v>
      </c>
    </row>
    <row r="13134" spans="1:8" x14ac:dyDescent="0.25">
      <c r="A13134" t="s">
        <v>29</v>
      </c>
      <c r="B13134" t="s">
        <v>1113</v>
      </c>
    </row>
    <row r="13135" spans="1:8" x14ac:dyDescent="0.25">
      <c r="A13135" t="s">
        <v>30</v>
      </c>
      <c r="B13135" t="s">
        <v>1113</v>
      </c>
    </row>
    <row r="13136" spans="1:8" x14ac:dyDescent="0.25">
      <c r="A13136" t="s">
        <v>31</v>
      </c>
      <c r="B13136" t="s">
        <v>1113</v>
      </c>
    </row>
    <row r="13137" spans="1:8" x14ac:dyDescent="0.25">
      <c r="A13137" t="s">
        <v>307</v>
      </c>
      <c r="B13137" t="s">
        <v>1113</v>
      </c>
    </row>
    <row r="13138" spans="1:8" x14ac:dyDescent="0.25">
      <c r="A13138" t="s">
        <v>22</v>
      </c>
      <c r="B13138" t="s">
        <v>1113</v>
      </c>
    </row>
    <row r="13139" spans="1:8" x14ac:dyDescent="0.25">
      <c r="A13139" t="s">
        <v>2403</v>
      </c>
      <c r="B13139" t="s">
        <v>1114</v>
      </c>
      <c r="C13139" t="s">
        <v>403</v>
      </c>
      <c r="D13139">
        <v>8</v>
      </c>
      <c r="E13139">
        <v>5600</v>
      </c>
      <c r="F13139">
        <v>1800</v>
      </c>
      <c r="G13139">
        <v>3</v>
      </c>
      <c r="H13139" t="s">
        <v>19</v>
      </c>
    </row>
    <row r="13140" spans="1:8" x14ac:dyDescent="0.25">
      <c r="A13140" t="str">
        <f>"&lt;nominal&gt;" &amp;$D$13139&amp;"&lt;/nominal&gt;"</f>
        <v>&lt;nominal&gt;8&lt;/nominal&gt;</v>
      </c>
      <c r="B13140" t="s">
        <v>1114</v>
      </c>
    </row>
    <row r="13141" spans="1:8" x14ac:dyDescent="0.25">
      <c r="A13141" t="str">
        <f>"&lt;lifetime&gt;" &amp;$E$13139&amp;"&lt;/lifetime&gt;"</f>
        <v>&lt;lifetime&gt;5600&lt;/lifetime&gt;</v>
      </c>
      <c r="B13141" t="s">
        <v>1114</v>
      </c>
    </row>
    <row r="13142" spans="1:8" x14ac:dyDescent="0.25">
      <c r="A13142" t="str">
        <f>"&lt;restock&gt;" &amp;$F$13139&amp;"&lt;/restock&gt;"</f>
        <v>&lt;restock&gt;1800&lt;/restock&gt;</v>
      </c>
      <c r="B13142" t="s">
        <v>1114</v>
      </c>
    </row>
    <row r="13143" spans="1:8" x14ac:dyDescent="0.25">
      <c r="A13143" t="str">
        <f>"&lt;min&gt;" &amp;$G$13139&amp;"&lt;/min&gt;"</f>
        <v>&lt;min&gt;3&lt;/min&gt;</v>
      </c>
      <c r="B13143" t="s">
        <v>1114</v>
      </c>
    </row>
    <row r="13144" spans="1:8" x14ac:dyDescent="0.25">
      <c r="A13144" t="s">
        <v>16</v>
      </c>
      <c r="B13144" t="s">
        <v>1114</v>
      </c>
    </row>
    <row r="13145" spans="1:8" x14ac:dyDescent="0.25">
      <c r="A13145" t="s">
        <v>17</v>
      </c>
      <c r="B13145" t="s">
        <v>1114</v>
      </c>
    </row>
    <row r="13146" spans="1:8" x14ac:dyDescent="0.25">
      <c r="A13146" t="s">
        <v>18</v>
      </c>
      <c r="B13146" t="s">
        <v>1114</v>
      </c>
    </row>
    <row r="13147" spans="1:8" x14ac:dyDescent="0.25">
      <c r="A13147" t="str">
        <f xml:space="preserve"> $H$13139</f>
        <v>&lt;flags count_in_cargo="0" count_in_hoarder="0" count_in_map="1" count_in_player="0" crafted="0" deloot="0"/&gt;</v>
      </c>
      <c r="B13147" t="s">
        <v>1114</v>
      </c>
    </row>
    <row r="13148" spans="1:8" x14ac:dyDescent="0.25">
      <c r="A13148" t="str">
        <f>"&lt;category name=" &amp;"""" &amp;$C$13139&amp;"""/&gt;"</f>
        <v>&lt;category name="clothes"/&gt;</v>
      </c>
      <c r="B13148" t="s">
        <v>1114</v>
      </c>
    </row>
    <row r="13149" spans="1:8" x14ac:dyDescent="0.25">
      <c r="A13149" t="s">
        <v>29</v>
      </c>
      <c r="B13149" t="s">
        <v>1114</v>
      </c>
    </row>
    <row r="13150" spans="1:8" x14ac:dyDescent="0.25">
      <c r="A13150" t="s">
        <v>31</v>
      </c>
      <c r="B13150" t="s">
        <v>1114</v>
      </c>
    </row>
    <row r="13151" spans="1:8" x14ac:dyDescent="0.25">
      <c r="A13151" t="s">
        <v>307</v>
      </c>
      <c r="B13151" t="s">
        <v>1114</v>
      </c>
    </row>
    <row r="13152" spans="1:8" x14ac:dyDescent="0.25">
      <c r="A13152" t="s">
        <v>22</v>
      </c>
      <c r="B13152" t="s">
        <v>1114</v>
      </c>
    </row>
    <row r="13153" spans="1:8" x14ac:dyDescent="0.25">
      <c r="A13153" t="s">
        <v>2404</v>
      </c>
      <c r="B13153" t="s">
        <v>1115</v>
      </c>
      <c r="C13153" t="s">
        <v>403</v>
      </c>
      <c r="D13153">
        <v>8</v>
      </c>
      <c r="E13153">
        <v>5600</v>
      </c>
      <c r="F13153">
        <v>1800</v>
      </c>
      <c r="G13153">
        <v>3</v>
      </c>
      <c r="H13153" t="s">
        <v>19</v>
      </c>
    </row>
    <row r="13154" spans="1:8" x14ac:dyDescent="0.25">
      <c r="A13154" t="str">
        <f>"&lt;nominal&gt;" &amp;$D$13153&amp;"&lt;/nominal&gt;"</f>
        <v>&lt;nominal&gt;8&lt;/nominal&gt;</v>
      </c>
      <c r="B13154" t="s">
        <v>1115</v>
      </c>
    </row>
    <row r="13155" spans="1:8" x14ac:dyDescent="0.25">
      <c r="A13155" t="str">
        <f>"&lt;lifetime&gt;" &amp;$E$13153&amp;"&lt;/lifetime&gt;"</f>
        <v>&lt;lifetime&gt;5600&lt;/lifetime&gt;</v>
      </c>
      <c r="B13155" t="s">
        <v>1115</v>
      </c>
    </row>
    <row r="13156" spans="1:8" x14ac:dyDescent="0.25">
      <c r="A13156" t="str">
        <f>"&lt;restock&gt;" &amp;$F$13153&amp;"&lt;/restock&gt;"</f>
        <v>&lt;restock&gt;1800&lt;/restock&gt;</v>
      </c>
      <c r="B13156" t="s">
        <v>1115</v>
      </c>
    </row>
    <row r="13157" spans="1:8" x14ac:dyDescent="0.25">
      <c r="A13157" t="str">
        <f>"&lt;min&gt;" &amp;$G$13153&amp;"&lt;/min&gt;"</f>
        <v>&lt;min&gt;3&lt;/min&gt;</v>
      </c>
      <c r="B13157" t="s">
        <v>1115</v>
      </c>
    </row>
    <row r="13158" spans="1:8" x14ac:dyDescent="0.25">
      <c r="A13158" t="s">
        <v>16</v>
      </c>
      <c r="B13158" t="s">
        <v>1115</v>
      </c>
    </row>
    <row r="13159" spans="1:8" x14ac:dyDescent="0.25">
      <c r="A13159" t="s">
        <v>17</v>
      </c>
      <c r="B13159" t="s">
        <v>1115</v>
      </c>
    </row>
    <row r="13160" spans="1:8" x14ac:dyDescent="0.25">
      <c r="A13160" t="s">
        <v>18</v>
      </c>
      <c r="B13160" t="s">
        <v>1115</v>
      </c>
    </row>
    <row r="13161" spans="1:8" x14ac:dyDescent="0.25">
      <c r="A13161" t="str">
        <f xml:space="preserve"> $H$13153</f>
        <v>&lt;flags count_in_cargo="0" count_in_hoarder="0" count_in_map="1" count_in_player="0" crafted="0" deloot="0"/&gt;</v>
      </c>
      <c r="B13161" t="s">
        <v>1115</v>
      </c>
    </row>
    <row r="13162" spans="1:8" x14ac:dyDescent="0.25">
      <c r="A13162" t="str">
        <f>"&lt;category name=" &amp;"""" &amp;$C$13153&amp;"""/&gt;"</f>
        <v>&lt;category name="clothes"/&gt;</v>
      </c>
      <c r="B13162" t="s">
        <v>1115</v>
      </c>
    </row>
    <row r="13163" spans="1:8" x14ac:dyDescent="0.25">
      <c r="A13163" t="s">
        <v>29</v>
      </c>
      <c r="B13163" t="s">
        <v>1115</v>
      </c>
    </row>
    <row r="13164" spans="1:8" x14ac:dyDescent="0.25">
      <c r="A13164" t="s">
        <v>22</v>
      </c>
      <c r="B13164" t="s">
        <v>1115</v>
      </c>
    </row>
    <row r="13165" spans="1:8" x14ac:dyDescent="0.25">
      <c r="A13165" t="s">
        <v>2405</v>
      </c>
      <c r="B13165" t="s">
        <v>1116</v>
      </c>
      <c r="C13165" t="s">
        <v>403</v>
      </c>
      <c r="D13165">
        <v>10</v>
      </c>
      <c r="E13165">
        <v>5600</v>
      </c>
      <c r="F13165">
        <v>1800</v>
      </c>
      <c r="G13165">
        <v>5</v>
      </c>
      <c r="H13165" t="s">
        <v>19</v>
      </c>
    </row>
    <row r="13166" spans="1:8" x14ac:dyDescent="0.25">
      <c r="A13166" t="str">
        <f>"&lt;nominal&gt;" &amp;$D$13165&amp;"&lt;/nominal&gt;"</f>
        <v>&lt;nominal&gt;10&lt;/nominal&gt;</v>
      </c>
      <c r="B13166" t="s">
        <v>1116</v>
      </c>
    </row>
    <row r="13167" spans="1:8" x14ac:dyDescent="0.25">
      <c r="A13167" t="str">
        <f>"&lt;lifetime&gt;" &amp;$E$13165&amp;"&lt;/lifetime&gt;"</f>
        <v>&lt;lifetime&gt;5600&lt;/lifetime&gt;</v>
      </c>
      <c r="B13167" t="s">
        <v>1116</v>
      </c>
    </row>
    <row r="13168" spans="1:8" x14ac:dyDescent="0.25">
      <c r="A13168" t="str">
        <f>"&lt;restock&gt;" &amp;$F$13165&amp;"&lt;/restock&gt;"</f>
        <v>&lt;restock&gt;1800&lt;/restock&gt;</v>
      </c>
      <c r="B13168" t="s">
        <v>1116</v>
      </c>
    </row>
    <row r="13169" spans="1:8" x14ac:dyDescent="0.25">
      <c r="A13169" t="str">
        <f>"&lt;min&gt;" &amp;$G$13165&amp;"&lt;/min&gt;"</f>
        <v>&lt;min&gt;5&lt;/min&gt;</v>
      </c>
      <c r="B13169" t="s">
        <v>1116</v>
      </c>
    </row>
    <row r="13170" spans="1:8" x14ac:dyDescent="0.25">
      <c r="A13170" t="s">
        <v>16</v>
      </c>
      <c r="B13170" t="s">
        <v>1116</v>
      </c>
    </row>
    <row r="13171" spans="1:8" x14ac:dyDescent="0.25">
      <c r="A13171" t="s">
        <v>17</v>
      </c>
      <c r="B13171" t="s">
        <v>1116</v>
      </c>
    </row>
    <row r="13172" spans="1:8" x14ac:dyDescent="0.25">
      <c r="A13172" t="s">
        <v>18</v>
      </c>
      <c r="B13172" t="s">
        <v>1116</v>
      </c>
    </row>
    <row r="13173" spans="1:8" x14ac:dyDescent="0.25">
      <c r="A13173" t="str">
        <f xml:space="preserve"> $H$13165</f>
        <v>&lt;flags count_in_cargo="0" count_in_hoarder="0" count_in_map="1" count_in_player="0" crafted="0" deloot="0"/&gt;</v>
      </c>
      <c r="B13173" t="s">
        <v>1116</v>
      </c>
    </row>
    <row r="13174" spans="1:8" x14ac:dyDescent="0.25">
      <c r="A13174" t="str">
        <f>"&lt;category name=" &amp;"""" &amp;$C$13165&amp;"""/&gt;"</f>
        <v>&lt;category name="clothes"/&gt;</v>
      </c>
      <c r="B13174" t="s">
        <v>1116</v>
      </c>
    </row>
    <row r="13175" spans="1:8" x14ac:dyDescent="0.25">
      <c r="A13175" t="s">
        <v>29</v>
      </c>
      <c r="B13175" t="s">
        <v>1116</v>
      </c>
    </row>
    <row r="13176" spans="1:8" x14ac:dyDescent="0.25">
      <c r="A13176" t="s">
        <v>22</v>
      </c>
      <c r="B13176" t="s">
        <v>1116</v>
      </c>
    </row>
    <row r="13177" spans="1:8" x14ac:dyDescent="0.25">
      <c r="A13177" t="s">
        <v>2406</v>
      </c>
      <c r="B13177" t="s">
        <v>1117</v>
      </c>
      <c r="C13177" t="s">
        <v>403</v>
      </c>
      <c r="D13177">
        <v>8</v>
      </c>
      <c r="E13177">
        <v>5600</v>
      </c>
      <c r="F13177">
        <v>1800</v>
      </c>
      <c r="G13177">
        <v>3</v>
      </c>
      <c r="H13177" t="s">
        <v>19</v>
      </c>
    </row>
    <row r="13178" spans="1:8" x14ac:dyDescent="0.25">
      <c r="A13178" t="str">
        <f>"&lt;nominal&gt;" &amp;$D$13177&amp;"&lt;/nominal&gt;"</f>
        <v>&lt;nominal&gt;8&lt;/nominal&gt;</v>
      </c>
      <c r="B13178" t="s">
        <v>1117</v>
      </c>
    </row>
    <row r="13179" spans="1:8" x14ac:dyDescent="0.25">
      <c r="A13179" t="str">
        <f>"&lt;lifetime&gt;" &amp;$E$13177&amp;"&lt;/lifetime&gt;"</f>
        <v>&lt;lifetime&gt;5600&lt;/lifetime&gt;</v>
      </c>
      <c r="B13179" t="s">
        <v>1117</v>
      </c>
    </row>
    <row r="13180" spans="1:8" x14ac:dyDescent="0.25">
      <c r="A13180" t="str">
        <f>"&lt;restock&gt;" &amp;$F$13177&amp;"&lt;/restock&gt;"</f>
        <v>&lt;restock&gt;1800&lt;/restock&gt;</v>
      </c>
      <c r="B13180" t="s">
        <v>1117</v>
      </c>
    </row>
    <row r="13181" spans="1:8" x14ac:dyDescent="0.25">
      <c r="A13181" t="str">
        <f>"&lt;min&gt;" &amp;$G$13177&amp;"&lt;/min&gt;"</f>
        <v>&lt;min&gt;3&lt;/min&gt;</v>
      </c>
      <c r="B13181" t="s">
        <v>1117</v>
      </c>
    </row>
    <row r="13182" spans="1:8" x14ac:dyDescent="0.25">
      <c r="A13182" t="s">
        <v>16</v>
      </c>
      <c r="B13182" t="s">
        <v>1117</v>
      </c>
    </row>
    <row r="13183" spans="1:8" x14ac:dyDescent="0.25">
      <c r="A13183" t="s">
        <v>17</v>
      </c>
      <c r="B13183" t="s">
        <v>1117</v>
      </c>
    </row>
    <row r="13184" spans="1:8" x14ac:dyDescent="0.25">
      <c r="A13184" t="s">
        <v>18</v>
      </c>
      <c r="B13184" t="s">
        <v>1117</v>
      </c>
    </row>
    <row r="13185" spans="1:8" x14ac:dyDescent="0.25">
      <c r="A13185" t="str">
        <f xml:space="preserve"> $H$13177</f>
        <v>&lt;flags count_in_cargo="0" count_in_hoarder="0" count_in_map="1" count_in_player="0" crafted="0" deloot="0"/&gt;</v>
      </c>
      <c r="B13185" t="s">
        <v>1117</v>
      </c>
    </row>
    <row r="13186" spans="1:8" x14ac:dyDescent="0.25">
      <c r="A13186" t="str">
        <f>"&lt;category name=" &amp;"""" &amp;$C$13177&amp;"""/&gt;"</f>
        <v>&lt;category name="clothes"/&gt;</v>
      </c>
      <c r="B13186" t="s">
        <v>1117</v>
      </c>
    </row>
    <row r="13187" spans="1:8" x14ac:dyDescent="0.25">
      <c r="A13187" t="s">
        <v>29</v>
      </c>
      <c r="B13187" t="s">
        <v>1117</v>
      </c>
    </row>
    <row r="13188" spans="1:8" x14ac:dyDescent="0.25">
      <c r="A13188" t="s">
        <v>22</v>
      </c>
      <c r="B13188" t="s">
        <v>1117</v>
      </c>
    </row>
    <row r="13189" spans="1:8" x14ac:dyDescent="0.25">
      <c r="A13189" t="s">
        <v>2407</v>
      </c>
      <c r="B13189" t="s">
        <v>1118</v>
      </c>
      <c r="C13189" t="s">
        <v>363</v>
      </c>
      <c r="D13189">
        <v>30</v>
      </c>
      <c r="E13189">
        <v>21600</v>
      </c>
      <c r="F13189">
        <v>0</v>
      </c>
      <c r="G13189">
        <v>20</v>
      </c>
      <c r="H13189" t="s">
        <v>19</v>
      </c>
    </row>
    <row r="13190" spans="1:8" x14ac:dyDescent="0.25">
      <c r="A13190" t="str">
        <f>"&lt;nominal&gt;" &amp;$D$13189&amp;"&lt;/nominal&gt;"</f>
        <v>&lt;nominal&gt;30&lt;/nominal&gt;</v>
      </c>
      <c r="B13190" t="s">
        <v>1118</v>
      </c>
    </row>
    <row r="13191" spans="1:8" x14ac:dyDescent="0.25">
      <c r="A13191" t="str">
        <f>"&lt;lifetime&gt;" &amp;$E$13189&amp;"&lt;/lifetime&gt;"</f>
        <v>&lt;lifetime&gt;21600&lt;/lifetime&gt;</v>
      </c>
      <c r="B13191" t="s">
        <v>1118</v>
      </c>
    </row>
    <row r="13192" spans="1:8" x14ac:dyDescent="0.25">
      <c r="A13192" t="str">
        <f>"&lt;restock&gt;" &amp;$F$13189&amp;"&lt;/restock&gt;"</f>
        <v>&lt;restock&gt;0&lt;/restock&gt;</v>
      </c>
      <c r="B13192" t="s">
        <v>1118</v>
      </c>
    </row>
    <row r="13193" spans="1:8" x14ac:dyDescent="0.25">
      <c r="A13193" t="str">
        <f>"&lt;min&gt;" &amp;$G$13189&amp;"&lt;/min&gt;"</f>
        <v>&lt;min&gt;20&lt;/min&gt;</v>
      </c>
      <c r="B13193" t="s">
        <v>1118</v>
      </c>
    </row>
    <row r="13194" spans="1:8" x14ac:dyDescent="0.25">
      <c r="A13194" t="s">
        <v>16</v>
      </c>
      <c r="B13194" t="s">
        <v>1118</v>
      </c>
    </row>
    <row r="13195" spans="1:8" x14ac:dyDescent="0.25">
      <c r="A13195" t="s">
        <v>17</v>
      </c>
      <c r="B13195" t="s">
        <v>1118</v>
      </c>
    </row>
    <row r="13196" spans="1:8" x14ac:dyDescent="0.25">
      <c r="A13196" t="s">
        <v>18</v>
      </c>
      <c r="B13196" t="s">
        <v>1118</v>
      </c>
    </row>
    <row r="13197" spans="1:8" x14ac:dyDescent="0.25">
      <c r="A13197" t="str">
        <f xml:space="preserve"> $H$13189</f>
        <v>&lt;flags count_in_cargo="0" count_in_hoarder="0" count_in_map="1" count_in_player="0" crafted="0" deloot="0"/&gt;</v>
      </c>
      <c r="B13197" t="s">
        <v>1118</v>
      </c>
    </row>
    <row r="13198" spans="1:8" x14ac:dyDescent="0.25">
      <c r="A13198" t="str">
        <f>"&lt;category name=" &amp;"""" &amp;$C$13189&amp;"""/&gt;"</f>
        <v>&lt;category name="containers"/&gt;</v>
      </c>
      <c r="B13198" t="s">
        <v>1118</v>
      </c>
    </row>
    <row r="13199" spans="1:8" x14ac:dyDescent="0.25">
      <c r="A13199" t="s">
        <v>39</v>
      </c>
      <c r="B13199" t="s">
        <v>1118</v>
      </c>
    </row>
    <row r="13200" spans="1:8" x14ac:dyDescent="0.25">
      <c r="A13200" t="s">
        <v>40</v>
      </c>
      <c r="B13200" t="s">
        <v>1118</v>
      </c>
    </row>
    <row r="13201" spans="1:8" x14ac:dyDescent="0.25">
      <c r="A13201" t="s">
        <v>22</v>
      </c>
      <c r="B13201" t="s">
        <v>1118</v>
      </c>
    </row>
    <row r="13202" spans="1:8" x14ac:dyDescent="0.25">
      <c r="A13202" t="s">
        <v>2408</v>
      </c>
      <c r="B13202" t="s">
        <v>1119</v>
      </c>
      <c r="C13202" t="s">
        <v>363</v>
      </c>
      <c r="D13202">
        <v>30</v>
      </c>
      <c r="E13202">
        <v>21600</v>
      </c>
      <c r="F13202">
        <v>0</v>
      </c>
      <c r="G13202">
        <v>20</v>
      </c>
      <c r="H13202" t="s">
        <v>19</v>
      </c>
    </row>
    <row r="13203" spans="1:8" x14ac:dyDescent="0.25">
      <c r="A13203" t="str">
        <f>"&lt;nominal&gt;" &amp;$D$13202&amp;"&lt;/nominal&gt;"</f>
        <v>&lt;nominal&gt;30&lt;/nominal&gt;</v>
      </c>
      <c r="B13203" t="s">
        <v>1119</v>
      </c>
    </row>
    <row r="13204" spans="1:8" x14ac:dyDescent="0.25">
      <c r="A13204" t="str">
        <f>"&lt;lifetime&gt;" &amp;$E$13202&amp;"&lt;/lifetime&gt;"</f>
        <v>&lt;lifetime&gt;21600&lt;/lifetime&gt;</v>
      </c>
      <c r="B13204" t="s">
        <v>1119</v>
      </c>
    </row>
    <row r="13205" spans="1:8" x14ac:dyDescent="0.25">
      <c r="A13205" t="str">
        <f>"&lt;restock&gt;" &amp;$F$13202&amp;"&lt;/restock&gt;"</f>
        <v>&lt;restock&gt;0&lt;/restock&gt;</v>
      </c>
      <c r="B13205" t="s">
        <v>1119</v>
      </c>
    </row>
    <row r="13206" spans="1:8" x14ac:dyDescent="0.25">
      <c r="A13206" t="str">
        <f>"&lt;min&gt;" &amp;$G$13202&amp;"&lt;/min&gt;"</f>
        <v>&lt;min&gt;20&lt;/min&gt;</v>
      </c>
      <c r="B13206" t="s">
        <v>1119</v>
      </c>
    </row>
    <row r="13207" spans="1:8" x14ac:dyDescent="0.25">
      <c r="A13207" t="s">
        <v>16</v>
      </c>
      <c r="B13207" t="s">
        <v>1119</v>
      </c>
    </row>
    <row r="13208" spans="1:8" x14ac:dyDescent="0.25">
      <c r="A13208" t="s">
        <v>17</v>
      </c>
      <c r="B13208" t="s">
        <v>1119</v>
      </c>
    </row>
    <row r="13209" spans="1:8" x14ac:dyDescent="0.25">
      <c r="A13209" t="s">
        <v>18</v>
      </c>
      <c r="B13209" t="s">
        <v>1119</v>
      </c>
    </row>
    <row r="13210" spans="1:8" x14ac:dyDescent="0.25">
      <c r="A13210" t="str">
        <f xml:space="preserve"> $H$13202</f>
        <v>&lt;flags count_in_cargo="0" count_in_hoarder="0" count_in_map="1" count_in_player="0" crafted="0" deloot="0"/&gt;</v>
      </c>
      <c r="B13210" t="s">
        <v>1119</v>
      </c>
    </row>
    <row r="13211" spans="1:8" x14ac:dyDescent="0.25">
      <c r="A13211" t="str">
        <f>"&lt;category name=" &amp;"""" &amp;$C$13202&amp;"""/&gt;"</f>
        <v>&lt;category name="containers"/&gt;</v>
      </c>
      <c r="B13211" t="s">
        <v>1119</v>
      </c>
    </row>
    <row r="13212" spans="1:8" x14ac:dyDescent="0.25">
      <c r="A13212" t="s">
        <v>39</v>
      </c>
      <c r="B13212" t="s">
        <v>1119</v>
      </c>
    </row>
    <row r="13213" spans="1:8" x14ac:dyDescent="0.25">
      <c r="A13213" t="s">
        <v>40</v>
      </c>
      <c r="B13213" t="s">
        <v>1119</v>
      </c>
    </row>
    <row r="13214" spans="1:8" x14ac:dyDescent="0.25">
      <c r="A13214" t="s">
        <v>22</v>
      </c>
      <c r="B13214" t="s">
        <v>1119</v>
      </c>
    </row>
    <row r="13215" spans="1:8" x14ac:dyDescent="0.25">
      <c r="A13215" t="s">
        <v>2409</v>
      </c>
      <c r="B13215" t="s">
        <v>1120</v>
      </c>
      <c r="C13215" t="s">
        <v>363</v>
      </c>
      <c r="D13215">
        <v>30</v>
      </c>
      <c r="E13215">
        <v>21600</v>
      </c>
      <c r="F13215">
        <v>0</v>
      </c>
      <c r="G13215">
        <v>20</v>
      </c>
      <c r="H13215" t="s">
        <v>19</v>
      </c>
    </row>
    <row r="13216" spans="1:8" x14ac:dyDescent="0.25">
      <c r="A13216" t="str">
        <f>"&lt;nominal&gt;" &amp;$D$13215&amp;"&lt;/nominal&gt;"</f>
        <v>&lt;nominal&gt;30&lt;/nominal&gt;</v>
      </c>
      <c r="B13216" t="s">
        <v>1120</v>
      </c>
    </row>
    <row r="13217" spans="1:8" x14ac:dyDescent="0.25">
      <c r="A13217" t="str">
        <f>"&lt;lifetime&gt;" &amp;$E$13215&amp;"&lt;/lifetime&gt;"</f>
        <v>&lt;lifetime&gt;21600&lt;/lifetime&gt;</v>
      </c>
      <c r="B13217" t="s">
        <v>1120</v>
      </c>
    </row>
    <row r="13218" spans="1:8" x14ac:dyDescent="0.25">
      <c r="A13218" t="str">
        <f>"&lt;restock&gt;" &amp;$F$13215&amp;"&lt;/restock&gt;"</f>
        <v>&lt;restock&gt;0&lt;/restock&gt;</v>
      </c>
      <c r="B13218" t="s">
        <v>1120</v>
      </c>
    </row>
    <row r="13219" spans="1:8" x14ac:dyDescent="0.25">
      <c r="A13219" t="str">
        <f>"&lt;min&gt;" &amp;$G$13215&amp;"&lt;/min&gt;"</f>
        <v>&lt;min&gt;20&lt;/min&gt;</v>
      </c>
      <c r="B13219" t="s">
        <v>1120</v>
      </c>
    </row>
    <row r="13220" spans="1:8" x14ac:dyDescent="0.25">
      <c r="A13220" t="s">
        <v>16</v>
      </c>
      <c r="B13220" t="s">
        <v>1120</v>
      </c>
    </row>
    <row r="13221" spans="1:8" x14ac:dyDescent="0.25">
      <c r="A13221" t="s">
        <v>17</v>
      </c>
      <c r="B13221" t="s">
        <v>1120</v>
      </c>
    </row>
    <row r="13222" spans="1:8" x14ac:dyDescent="0.25">
      <c r="A13222" t="s">
        <v>18</v>
      </c>
      <c r="B13222" t="s">
        <v>1120</v>
      </c>
    </row>
    <row r="13223" spans="1:8" x14ac:dyDescent="0.25">
      <c r="A13223" t="str">
        <f xml:space="preserve"> $H$13215</f>
        <v>&lt;flags count_in_cargo="0" count_in_hoarder="0" count_in_map="1" count_in_player="0" crafted="0" deloot="0"/&gt;</v>
      </c>
      <c r="B13223" t="s">
        <v>1120</v>
      </c>
    </row>
    <row r="13224" spans="1:8" x14ac:dyDescent="0.25">
      <c r="A13224" t="str">
        <f>"&lt;category name=" &amp;"""" &amp;$C$13215&amp;"""/&gt;"</f>
        <v>&lt;category name="containers"/&gt;</v>
      </c>
      <c r="B13224" t="s">
        <v>1120</v>
      </c>
    </row>
    <row r="13225" spans="1:8" x14ac:dyDescent="0.25">
      <c r="A13225" t="s">
        <v>39</v>
      </c>
      <c r="B13225" t="s">
        <v>1120</v>
      </c>
    </row>
    <row r="13226" spans="1:8" x14ac:dyDescent="0.25">
      <c r="A13226" t="s">
        <v>40</v>
      </c>
      <c r="B13226" t="s">
        <v>1120</v>
      </c>
    </row>
    <row r="13227" spans="1:8" x14ac:dyDescent="0.25">
      <c r="A13227" t="s">
        <v>22</v>
      </c>
      <c r="B13227" t="s">
        <v>1120</v>
      </c>
    </row>
    <row r="13228" spans="1:8" x14ac:dyDescent="0.25">
      <c r="A13228" t="s">
        <v>2410</v>
      </c>
      <c r="B13228" t="s">
        <v>1121</v>
      </c>
      <c r="C13228" t="s">
        <v>363</v>
      </c>
      <c r="D13228">
        <v>30</v>
      </c>
      <c r="E13228">
        <v>21600</v>
      </c>
      <c r="F13228">
        <v>0</v>
      </c>
      <c r="G13228">
        <v>20</v>
      </c>
      <c r="H13228" t="s">
        <v>19</v>
      </c>
    </row>
    <row r="13229" spans="1:8" x14ac:dyDescent="0.25">
      <c r="A13229" t="str">
        <f>"&lt;nominal&gt;" &amp;$D$13228&amp;"&lt;/nominal&gt;"</f>
        <v>&lt;nominal&gt;30&lt;/nominal&gt;</v>
      </c>
      <c r="B13229" t="s">
        <v>1121</v>
      </c>
    </row>
    <row r="13230" spans="1:8" x14ac:dyDescent="0.25">
      <c r="A13230" t="str">
        <f>"&lt;lifetime&gt;" &amp;$E$13228&amp;"&lt;/lifetime&gt;"</f>
        <v>&lt;lifetime&gt;21600&lt;/lifetime&gt;</v>
      </c>
      <c r="B13230" t="s">
        <v>1121</v>
      </c>
    </row>
    <row r="13231" spans="1:8" x14ac:dyDescent="0.25">
      <c r="A13231" t="str">
        <f>"&lt;restock&gt;" &amp;$F$13228&amp;"&lt;/restock&gt;"</f>
        <v>&lt;restock&gt;0&lt;/restock&gt;</v>
      </c>
      <c r="B13231" t="s">
        <v>1121</v>
      </c>
    </row>
    <row r="13232" spans="1:8" x14ac:dyDescent="0.25">
      <c r="A13232" t="str">
        <f>"&lt;min&gt;" &amp;$G$13228&amp;"&lt;/min&gt;"</f>
        <v>&lt;min&gt;20&lt;/min&gt;</v>
      </c>
      <c r="B13232" t="s">
        <v>1121</v>
      </c>
    </row>
    <row r="13233" spans="1:8" x14ac:dyDescent="0.25">
      <c r="A13233" t="s">
        <v>16</v>
      </c>
      <c r="B13233" t="s">
        <v>1121</v>
      </c>
    </row>
    <row r="13234" spans="1:8" x14ac:dyDescent="0.25">
      <c r="A13234" t="s">
        <v>17</v>
      </c>
      <c r="B13234" t="s">
        <v>1121</v>
      </c>
    </row>
    <row r="13235" spans="1:8" x14ac:dyDescent="0.25">
      <c r="A13235" t="s">
        <v>18</v>
      </c>
      <c r="B13235" t="s">
        <v>1121</v>
      </c>
    </row>
    <row r="13236" spans="1:8" x14ac:dyDescent="0.25">
      <c r="A13236" t="str">
        <f xml:space="preserve"> $H$13228</f>
        <v>&lt;flags count_in_cargo="0" count_in_hoarder="0" count_in_map="1" count_in_player="0" crafted="0" deloot="0"/&gt;</v>
      </c>
      <c r="B13236" t="s">
        <v>1121</v>
      </c>
    </row>
    <row r="13237" spans="1:8" x14ac:dyDescent="0.25">
      <c r="A13237" t="str">
        <f>"&lt;category name=" &amp;"""" &amp;$C$13228&amp;"""/&gt;"</f>
        <v>&lt;category name="containers"/&gt;</v>
      </c>
      <c r="B13237" t="s">
        <v>1121</v>
      </c>
    </row>
    <row r="13238" spans="1:8" x14ac:dyDescent="0.25">
      <c r="A13238" t="s">
        <v>39</v>
      </c>
      <c r="B13238" t="s">
        <v>1121</v>
      </c>
    </row>
    <row r="13239" spans="1:8" x14ac:dyDescent="0.25">
      <c r="A13239" t="s">
        <v>40</v>
      </c>
      <c r="B13239" t="s">
        <v>1121</v>
      </c>
    </row>
    <row r="13240" spans="1:8" x14ac:dyDescent="0.25">
      <c r="A13240" t="s">
        <v>22</v>
      </c>
      <c r="B13240" t="s">
        <v>1121</v>
      </c>
    </row>
    <row r="13241" spans="1:8" x14ac:dyDescent="0.25">
      <c r="A13241" t="s">
        <v>2411</v>
      </c>
      <c r="B13241" t="s">
        <v>1122</v>
      </c>
      <c r="C13241" t="s">
        <v>403</v>
      </c>
      <c r="D13241">
        <v>5</v>
      </c>
      <c r="E13241">
        <v>1800</v>
      </c>
      <c r="F13241">
        <v>0</v>
      </c>
      <c r="G13241">
        <v>2</v>
      </c>
      <c r="H13241" t="s">
        <v>19</v>
      </c>
    </row>
    <row r="13242" spans="1:8" x14ac:dyDescent="0.25">
      <c r="A13242" t="str">
        <f>"&lt;nominal&gt;" &amp;$D$13241&amp;"&lt;/nominal&gt;"</f>
        <v>&lt;nominal&gt;5&lt;/nominal&gt;</v>
      </c>
      <c r="B13242" t="s">
        <v>1122</v>
      </c>
    </row>
    <row r="13243" spans="1:8" x14ac:dyDescent="0.25">
      <c r="A13243" t="str">
        <f>"&lt;lifetime&gt;" &amp;$E$13241&amp;"&lt;/lifetime&gt;"</f>
        <v>&lt;lifetime&gt;1800&lt;/lifetime&gt;</v>
      </c>
      <c r="B13243" t="s">
        <v>1122</v>
      </c>
    </row>
    <row r="13244" spans="1:8" x14ac:dyDescent="0.25">
      <c r="A13244" t="str">
        <f>"&lt;restock&gt;" &amp;$F$13241&amp;"&lt;/restock&gt;"</f>
        <v>&lt;restock&gt;0&lt;/restock&gt;</v>
      </c>
      <c r="B13244" t="s">
        <v>1122</v>
      </c>
    </row>
    <row r="13245" spans="1:8" x14ac:dyDescent="0.25">
      <c r="A13245" t="str">
        <f>"&lt;min&gt;" &amp;$G$13241&amp;"&lt;/min&gt;"</f>
        <v>&lt;min&gt;2&lt;/min&gt;</v>
      </c>
      <c r="B13245" t="s">
        <v>1122</v>
      </c>
    </row>
    <row r="13246" spans="1:8" x14ac:dyDescent="0.25">
      <c r="A13246" t="s">
        <v>16</v>
      </c>
      <c r="B13246" t="s">
        <v>1122</v>
      </c>
    </row>
    <row r="13247" spans="1:8" x14ac:dyDescent="0.25">
      <c r="A13247" t="s">
        <v>17</v>
      </c>
      <c r="B13247" t="s">
        <v>1122</v>
      </c>
    </row>
    <row r="13248" spans="1:8" x14ac:dyDescent="0.25">
      <c r="A13248" t="s">
        <v>18</v>
      </c>
      <c r="B13248" t="s">
        <v>1122</v>
      </c>
    </row>
    <row r="13249" spans="1:8" x14ac:dyDescent="0.25">
      <c r="A13249" t="str">
        <f xml:space="preserve"> $H$13241</f>
        <v>&lt;flags count_in_cargo="0" count_in_hoarder="0" count_in_map="1" count_in_player="0" crafted="0" deloot="0"/&gt;</v>
      </c>
      <c r="B13249" t="s">
        <v>1122</v>
      </c>
    </row>
    <row r="13250" spans="1:8" x14ac:dyDescent="0.25">
      <c r="A13250" t="str">
        <f>"&lt;category name=" &amp;"""" &amp;$C$13241&amp;"""/&gt;"</f>
        <v>&lt;category name="clothes"/&gt;</v>
      </c>
      <c r="B13250" t="s">
        <v>1122</v>
      </c>
    </row>
    <row r="13251" spans="1:8" x14ac:dyDescent="0.25">
      <c r="A13251" t="s">
        <v>20</v>
      </c>
      <c r="B13251" t="s">
        <v>1122</v>
      </c>
    </row>
    <row r="13252" spans="1:8" x14ac:dyDescent="0.25">
      <c r="A13252" t="s">
        <v>29</v>
      </c>
      <c r="B13252" t="s">
        <v>1122</v>
      </c>
    </row>
    <row r="13253" spans="1:8" x14ac:dyDescent="0.25">
      <c r="A13253" t="s">
        <v>31</v>
      </c>
      <c r="B13253" t="s">
        <v>1122</v>
      </c>
    </row>
    <row r="13254" spans="1:8" x14ac:dyDescent="0.25">
      <c r="A13254" t="s">
        <v>307</v>
      </c>
      <c r="B13254" t="s">
        <v>1122</v>
      </c>
    </row>
    <row r="13255" spans="1:8" x14ac:dyDescent="0.25">
      <c r="A13255" t="s">
        <v>22</v>
      </c>
      <c r="B13255" t="s">
        <v>1122</v>
      </c>
    </row>
    <row r="13256" spans="1:8" x14ac:dyDescent="0.25">
      <c r="A13256" t="s">
        <v>2412</v>
      </c>
      <c r="B13256" t="s">
        <v>3017</v>
      </c>
      <c r="C13256" t="s">
        <v>403</v>
      </c>
      <c r="D13256">
        <v>0</v>
      </c>
      <c r="E13256">
        <v>14400</v>
      </c>
      <c r="F13256">
        <v>0</v>
      </c>
      <c r="G13256">
        <v>0</v>
      </c>
      <c r="H13256" t="s">
        <v>62</v>
      </c>
    </row>
    <row r="13257" spans="1:8" x14ac:dyDescent="0.25">
      <c r="A13257" t="str">
        <f>"&lt;nominal&gt;" &amp;$D$13256&amp;"&lt;/nominal&gt;"</f>
        <v>&lt;nominal&gt;0&lt;/nominal&gt;</v>
      </c>
      <c r="B13257" t="s">
        <v>3017</v>
      </c>
    </row>
    <row r="13258" spans="1:8" x14ac:dyDescent="0.25">
      <c r="A13258" t="str">
        <f>"&lt;lifetime&gt;" &amp;$E$13256&amp;"&lt;/lifetime&gt;"</f>
        <v>&lt;lifetime&gt;14400&lt;/lifetime&gt;</v>
      </c>
      <c r="B13258" t="s">
        <v>3017</v>
      </c>
    </row>
    <row r="13259" spans="1:8" x14ac:dyDescent="0.25">
      <c r="A13259" t="str">
        <f>"&lt;restock&gt;" &amp;$F$13256&amp;"&lt;/restock&gt;"</f>
        <v>&lt;restock&gt;0&lt;/restock&gt;</v>
      </c>
      <c r="B13259" t="s">
        <v>3017</v>
      </c>
    </row>
    <row r="13260" spans="1:8" x14ac:dyDescent="0.25">
      <c r="A13260" t="str">
        <f>"&lt;min&gt;" &amp;$G$13256&amp;"&lt;/min&gt;"</f>
        <v>&lt;min&gt;0&lt;/min&gt;</v>
      </c>
      <c r="B13260" t="s">
        <v>3017</v>
      </c>
    </row>
    <row r="13261" spans="1:8" x14ac:dyDescent="0.25">
      <c r="A13261" t="s">
        <v>16</v>
      </c>
      <c r="B13261" t="s">
        <v>3017</v>
      </c>
    </row>
    <row r="13262" spans="1:8" x14ac:dyDescent="0.25">
      <c r="A13262" t="s">
        <v>17</v>
      </c>
      <c r="B13262" t="s">
        <v>3017</v>
      </c>
    </row>
    <row r="13263" spans="1:8" x14ac:dyDescent="0.25">
      <c r="A13263" t="s">
        <v>18</v>
      </c>
      <c r="B13263" t="s">
        <v>3017</v>
      </c>
    </row>
    <row r="13264" spans="1:8" x14ac:dyDescent="0.25">
      <c r="A13264" t="str">
        <f xml:space="preserve"> $H$13256</f>
        <v>&lt;flags count_in_cargo="0" count_in_hoarder="0" count_in_map="1" count_in_player="0" crafted="1" deloot="0"/&gt;</v>
      </c>
      <c r="B13264" t="s">
        <v>3017</v>
      </c>
    </row>
    <row r="13265" spans="1:8" x14ac:dyDescent="0.25">
      <c r="A13265" t="str">
        <f>"&lt;category name=" &amp;"""" &amp;$C$13256&amp;"""/&gt;"</f>
        <v>&lt;category name="clothes"/&gt;</v>
      </c>
      <c r="B13265" t="s">
        <v>3017</v>
      </c>
    </row>
    <row r="13266" spans="1:8" x14ac:dyDescent="0.25">
      <c r="A13266" t="s">
        <v>22</v>
      </c>
      <c r="B13266" t="s">
        <v>3017</v>
      </c>
    </row>
    <row r="13267" spans="1:8" x14ac:dyDescent="0.25">
      <c r="A13267" t="s">
        <v>2413</v>
      </c>
      <c r="B13267" t="s">
        <v>1123</v>
      </c>
      <c r="C13267" t="s">
        <v>403</v>
      </c>
      <c r="D13267">
        <v>30</v>
      </c>
      <c r="E13267">
        <v>5600</v>
      </c>
      <c r="F13267">
        <v>0</v>
      </c>
      <c r="G13267">
        <v>20</v>
      </c>
      <c r="H13267" t="s">
        <v>19</v>
      </c>
    </row>
    <row r="13268" spans="1:8" x14ac:dyDescent="0.25">
      <c r="A13268" t="str">
        <f>"&lt;nominal&gt;" &amp;$D$13267&amp;"&lt;/nominal&gt;"</f>
        <v>&lt;nominal&gt;30&lt;/nominal&gt;</v>
      </c>
      <c r="B13268" t="s">
        <v>1123</v>
      </c>
    </row>
    <row r="13269" spans="1:8" x14ac:dyDescent="0.25">
      <c r="A13269" t="str">
        <f>"&lt;lifetime&gt;" &amp;$E$13267&amp;"&lt;/lifetime&gt;"</f>
        <v>&lt;lifetime&gt;5600&lt;/lifetime&gt;</v>
      </c>
      <c r="B13269" t="s">
        <v>1123</v>
      </c>
    </row>
    <row r="13270" spans="1:8" x14ac:dyDescent="0.25">
      <c r="A13270" t="str">
        <f>"&lt;restock&gt;" &amp;$F$13267&amp;"&lt;/restock&gt;"</f>
        <v>&lt;restock&gt;0&lt;/restock&gt;</v>
      </c>
      <c r="B13270" t="s">
        <v>1123</v>
      </c>
    </row>
    <row r="13271" spans="1:8" x14ac:dyDescent="0.25">
      <c r="A13271" t="str">
        <f>"&lt;min&gt;" &amp;$G$13267&amp;"&lt;/min&gt;"</f>
        <v>&lt;min&gt;20&lt;/min&gt;</v>
      </c>
      <c r="B13271" t="s">
        <v>1123</v>
      </c>
    </row>
    <row r="13272" spans="1:8" x14ac:dyDescent="0.25">
      <c r="A13272" t="s">
        <v>16</v>
      </c>
      <c r="B13272" t="s">
        <v>1123</v>
      </c>
    </row>
    <row r="13273" spans="1:8" x14ac:dyDescent="0.25">
      <c r="A13273" t="s">
        <v>17</v>
      </c>
      <c r="B13273" t="s">
        <v>1123</v>
      </c>
    </row>
    <row r="13274" spans="1:8" x14ac:dyDescent="0.25">
      <c r="A13274" t="s">
        <v>18</v>
      </c>
      <c r="B13274" t="s">
        <v>1123</v>
      </c>
    </row>
    <row r="13275" spans="1:8" x14ac:dyDescent="0.25">
      <c r="A13275" t="str">
        <f xml:space="preserve"> $H$13267</f>
        <v>&lt;flags count_in_cargo="0" count_in_hoarder="0" count_in_map="1" count_in_player="0" crafted="0" deloot="0"/&gt;</v>
      </c>
      <c r="B13275" t="s">
        <v>1123</v>
      </c>
    </row>
    <row r="13276" spans="1:8" x14ac:dyDescent="0.25">
      <c r="A13276" t="str">
        <f>"&lt;category name=" &amp;"""" &amp;$C$13267&amp;"""/&gt;"</f>
        <v>&lt;category name="clothes"/&gt;</v>
      </c>
      <c r="B13276" t="s">
        <v>1123</v>
      </c>
    </row>
    <row r="13277" spans="1:8" x14ac:dyDescent="0.25">
      <c r="A13277" t="s">
        <v>39</v>
      </c>
      <c r="B13277" t="s">
        <v>1123</v>
      </c>
    </row>
    <row r="13278" spans="1:8" x14ac:dyDescent="0.25">
      <c r="A13278" t="s">
        <v>40</v>
      </c>
      <c r="B13278" t="s">
        <v>1123</v>
      </c>
    </row>
    <row r="13279" spans="1:8" x14ac:dyDescent="0.25">
      <c r="A13279" t="s">
        <v>22</v>
      </c>
      <c r="B13279" t="s">
        <v>1123</v>
      </c>
    </row>
    <row r="13280" spans="1:8" x14ac:dyDescent="0.25">
      <c r="A13280" t="s">
        <v>2414</v>
      </c>
      <c r="B13280" t="s">
        <v>1124</v>
      </c>
      <c r="C13280" t="s">
        <v>426</v>
      </c>
      <c r="D13280">
        <v>20</v>
      </c>
      <c r="E13280">
        <v>2700</v>
      </c>
      <c r="F13280">
        <v>0</v>
      </c>
      <c r="G13280">
        <v>12</v>
      </c>
      <c r="H13280" t="s">
        <v>19</v>
      </c>
    </row>
    <row r="13281" spans="1:8" x14ac:dyDescent="0.25">
      <c r="A13281" t="str">
        <f>"&lt;nominal&gt;" &amp;$D$13280&amp;"&lt;/nominal&gt;"</f>
        <v>&lt;nominal&gt;20&lt;/nominal&gt;</v>
      </c>
      <c r="B13281" t="s">
        <v>1124</v>
      </c>
    </row>
    <row r="13282" spans="1:8" x14ac:dyDescent="0.25">
      <c r="A13282" t="str">
        <f>"&lt;lifetime&gt;" &amp;$E$13280&amp;"&lt;/lifetime&gt;"</f>
        <v>&lt;lifetime&gt;2700&lt;/lifetime&gt;</v>
      </c>
      <c r="B13282" t="s">
        <v>1124</v>
      </c>
    </row>
    <row r="13283" spans="1:8" x14ac:dyDescent="0.25">
      <c r="A13283" t="str">
        <f>"&lt;restock&gt;" &amp;$F$13280&amp;"&lt;/restock&gt;"</f>
        <v>&lt;restock&gt;0&lt;/restock&gt;</v>
      </c>
      <c r="B13283" t="s">
        <v>1124</v>
      </c>
    </row>
    <row r="13284" spans="1:8" x14ac:dyDescent="0.25">
      <c r="A13284" t="str">
        <f>"&lt;min&gt;" &amp;$G$13280&amp;"&lt;/min&gt;"</f>
        <v>&lt;min&gt;12&lt;/min&gt;</v>
      </c>
      <c r="B13284" t="s">
        <v>1124</v>
      </c>
    </row>
    <row r="13285" spans="1:8" x14ac:dyDescent="0.25">
      <c r="A13285" t="s">
        <v>16</v>
      </c>
      <c r="B13285" t="s">
        <v>1124</v>
      </c>
    </row>
    <row r="13286" spans="1:8" x14ac:dyDescent="0.25">
      <c r="A13286" t="s">
        <v>17</v>
      </c>
      <c r="B13286" t="s">
        <v>1124</v>
      </c>
    </row>
    <row r="13287" spans="1:8" x14ac:dyDescent="0.25">
      <c r="A13287" t="s">
        <v>18</v>
      </c>
      <c r="B13287" t="s">
        <v>1124</v>
      </c>
    </row>
    <row r="13288" spans="1:8" x14ac:dyDescent="0.25">
      <c r="A13288" t="str">
        <f xml:space="preserve"> $H$13280</f>
        <v>&lt;flags count_in_cargo="0" count_in_hoarder="0" count_in_map="1" count_in_player="0" crafted="0" deloot="0"/&gt;</v>
      </c>
      <c r="B13288" t="s">
        <v>1124</v>
      </c>
    </row>
    <row r="13289" spans="1:8" x14ac:dyDescent="0.25">
      <c r="A13289" t="str">
        <f>"&lt;category name=" &amp;"""" &amp;$C$13280&amp;"""/&gt;"</f>
        <v>&lt;category name="tools"/&gt;</v>
      </c>
      <c r="B13289" t="s">
        <v>1124</v>
      </c>
    </row>
    <row r="13290" spans="1:8" x14ac:dyDescent="0.25">
      <c r="A13290" t="s">
        <v>20</v>
      </c>
      <c r="B13290" t="s">
        <v>1124</v>
      </c>
    </row>
    <row r="13291" spans="1:8" x14ac:dyDescent="0.25">
      <c r="A13291" t="s">
        <v>21</v>
      </c>
      <c r="B13291" t="s">
        <v>1124</v>
      </c>
    </row>
    <row r="13292" spans="1:8" x14ac:dyDescent="0.25">
      <c r="A13292" t="s">
        <v>22</v>
      </c>
      <c r="B13292" t="s">
        <v>1124</v>
      </c>
    </row>
    <row r="13293" spans="1:8" x14ac:dyDescent="0.25">
      <c r="A13293" t="s">
        <v>2415</v>
      </c>
      <c r="B13293" t="s">
        <v>1125</v>
      </c>
      <c r="C13293" t="s">
        <v>426</v>
      </c>
      <c r="D13293">
        <v>40</v>
      </c>
      <c r="E13293">
        <v>7200</v>
      </c>
      <c r="F13293">
        <v>0</v>
      </c>
      <c r="G13293">
        <v>30</v>
      </c>
      <c r="H13293" t="s">
        <v>19</v>
      </c>
    </row>
    <row r="13294" spans="1:8" x14ac:dyDescent="0.25">
      <c r="A13294" t="str">
        <f>"&lt;nominal&gt;" &amp;$D$13293&amp;"&lt;/nominal&gt;"</f>
        <v>&lt;nominal&gt;40&lt;/nominal&gt;</v>
      </c>
      <c r="B13294" t="s">
        <v>1125</v>
      </c>
    </row>
    <row r="13295" spans="1:8" x14ac:dyDescent="0.25">
      <c r="A13295" t="str">
        <f>"&lt;lifetime&gt;" &amp;$E$13293&amp;"&lt;/lifetime&gt;"</f>
        <v>&lt;lifetime&gt;7200&lt;/lifetime&gt;</v>
      </c>
      <c r="B13295" t="s">
        <v>1125</v>
      </c>
    </row>
    <row r="13296" spans="1:8" x14ac:dyDescent="0.25">
      <c r="A13296" t="str">
        <f>"&lt;restock&gt;" &amp;$F$13293&amp;"&lt;/restock&gt;"</f>
        <v>&lt;restock&gt;0&lt;/restock&gt;</v>
      </c>
      <c r="B13296" t="s">
        <v>1125</v>
      </c>
    </row>
    <row r="13297" spans="1:8" x14ac:dyDescent="0.25">
      <c r="A13297" t="str">
        <f>"&lt;min&gt;" &amp;$G$13293&amp;"&lt;/min&gt;"</f>
        <v>&lt;min&gt;30&lt;/min&gt;</v>
      </c>
      <c r="B13297" t="s">
        <v>1125</v>
      </c>
    </row>
    <row r="13298" spans="1:8" x14ac:dyDescent="0.25">
      <c r="A13298" t="s">
        <v>16</v>
      </c>
      <c r="B13298" t="s">
        <v>1125</v>
      </c>
    </row>
    <row r="13299" spans="1:8" x14ac:dyDescent="0.25">
      <c r="A13299" t="s">
        <v>17</v>
      </c>
      <c r="B13299" t="s">
        <v>1125</v>
      </c>
    </row>
    <row r="13300" spans="1:8" x14ac:dyDescent="0.25">
      <c r="A13300" t="s">
        <v>18</v>
      </c>
      <c r="B13300" t="s">
        <v>1125</v>
      </c>
    </row>
    <row r="13301" spans="1:8" x14ac:dyDescent="0.25">
      <c r="A13301" t="str">
        <f xml:space="preserve"> $H$13293</f>
        <v>&lt;flags count_in_cargo="0" count_in_hoarder="0" count_in_map="1" count_in_player="0" crafted="0" deloot="0"/&gt;</v>
      </c>
      <c r="B13301" t="s">
        <v>1125</v>
      </c>
    </row>
    <row r="13302" spans="1:8" x14ac:dyDescent="0.25">
      <c r="A13302" t="str">
        <f>"&lt;category name=" &amp;"""" &amp;$C$13293&amp;"""/&gt;"</f>
        <v>&lt;category name="tools"/&gt;</v>
      </c>
      <c r="B13302" t="s">
        <v>1125</v>
      </c>
    </row>
    <row r="13303" spans="1:8" x14ac:dyDescent="0.25">
      <c r="A13303" t="s">
        <v>21</v>
      </c>
      <c r="B13303" t="s">
        <v>1125</v>
      </c>
    </row>
    <row r="13304" spans="1:8" x14ac:dyDescent="0.25">
      <c r="A13304" t="s">
        <v>39</v>
      </c>
      <c r="B13304" t="s">
        <v>1125</v>
      </c>
    </row>
    <row r="13305" spans="1:8" x14ac:dyDescent="0.25">
      <c r="A13305" t="s">
        <v>40</v>
      </c>
      <c r="B13305" t="s">
        <v>1125</v>
      </c>
    </row>
    <row r="13306" spans="1:8" x14ac:dyDescent="0.25">
      <c r="A13306" t="s">
        <v>22</v>
      </c>
      <c r="B13306" t="s">
        <v>1125</v>
      </c>
    </row>
    <row r="13307" spans="1:8" x14ac:dyDescent="0.25">
      <c r="A13307" t="s">
        <v>2416</v>
      </c>
      <c r="B13307" t="s">
        <v>1126</v>
      </c>
      <c r="C13307" t="s">
        <v>403</v>
      </c>
      <c r="D13307">
        <v>30</v>
      </c>
      <c r="E13307">
        <v>5600</v>
      </c>
      <c r="F13307">
        <v>0</v>
      </c>
      <c r="G13307">
        <v>20</v>
      </c>
      <c r="H13307" t="s">
        <v>19</v>
      </c>
    </row>
    <row r="13308" spans="1:8" x14ac:dyDescent="0.25">
      <c r="A13308" t="str">
        <f>"&lt;nominal&gt;" &amp;$D$13307&amp;"&lt;/nominal&gt;"</f>
        <v>&lt;nominal&gt;30&lt;/nominal&gt;</v>
      </c>
      <c r="B13308" t="s">
        <v>1126</v>
      </c>
    </row>
    <row r="13309" spans="1:8" x14ac:dyDescent="0.25">
      <c r="A13309" t="str">
        <f>"&lt;lifetime&gt;" &amp;$E$13307&amp;"&lt;/lifetime&gt;"</f>
        <v>&lt;lifetime&gt;5600&lt;/lifetime&gt;</v>
      </c>
      <c r="B13309" t="s">
        <v>1126</v>
      </c>
    </row>
    <row r="13310" spans="1:8" x14ac:dyDescent="0.25">
      <c r="A13310" t="str">
        <f>"&lt;restock&gt;" &amp;$F$13307&amp;"&lt;/restock&gt;"</f>
        <v>&lt;restock&gt;0&lt;/restock&gt;</v>
      </c>
      <c r="B13310" t="s">
        <v>1126</v>
      </c>
    </row>
    <row r="13311" spans="1:8" x14ac:dyDescent="0.25">
      <c r="A13311" t="str">
        <f>"&lt;min&gt;" &amp;$G$13307&amp;"&lt;/min&gt;"</f>
        <v>&lt;min&gt;20&lt;/min&gt;</v>
      </c>
      <c r="B13311" t="s">
        <v>1126</v>
      </c>
    </row>
    <row r="13312" spans="1:8" x14ac:dyDescent="0.25">
      <c r="A13312" t="s">
        <v>16</v>
      </c>
      <c r="B13312" t="s">
        <v>1126</v>
      </c>
    </row>
    <row r="13313" spans="1:8" x14ac:dyDescent="0.25">
      <c r="A13313" t="s">
        <v>17</v>
      </c>
      <c r="B13313" t="s">
        <v>1126</v>
      </c>
    </row>
    <row r="13314" spans="1:8" x14ac:dyDescent="0.25">
      <c r="A13314" t="s">
        <v>18</v>
      </c>
      <c r="B13314" t="s">
        <v>1126</v>
      </c>
    </row>
    <row r="13315" spans="1:8" x14ac:dyDescent="0.25">
      <c r="A13315" t="str">
        <f xml:space="preserve"> $H$13307</f>
        <v>&lt;flags count_in_cargo="0" count_in_hoarder="0" count_in_map="1" count_in_player="0" crafted="0" deloot="0"/&gt;</v>
      </c>
      <c r="B13315" t="s">
        <v>1126</v>
      </c>
    </row>
    <row r="13316" spans="1:8" x14ac:dyDescent="0.25">
      <c r="A13316" t="str">
        <f>"&lt;category name=" &amp;"""" &amp;$C$13307&amp;"""/&gt;"</f>
        <v>&lt;category name="clothes"/&gt;</v>
      </c>
      <c r="B13316" t="s">
        <v>1126</v>
      </c>
    </row>
    <row r="13317" spans="1:8" x14ac:dyDescent="0.25">
      <c r="A13317" t="s">
        <v>39</v>
      </c>
      <c r="B13317" t="s">
        <v>1126</v>
      </c>
    </row>
    <row r="13318" spans="1:8" x14ac:dyDescent="0.25">
      <c r="A13318" t="s">
        <v>40</v>
      </c>
      <c r="B13318" t="s">
        <v>1126</v>
      </c>
    </row>
    <row r="13319" spans="1:8" x14ac:dyDescent="0.25">
      <c r="A13319" t="s">
        <v>22</v>
      </c>
      <c r="B13319" t="s">
        <v>1126</v>
      </c>
    </row>
    <row r="13320" spans="1:8" x14ac:dyDescent="0.25">
      <c r="A13320" t="s">
        <v>2417</v>
      </c>
      <c r="B13320" t="s">
        <v>1127</v>
      </c>
      <c r="C13320" t="s">
        <v>403</v>
      </c>
      <c r="D13320">
        <v>30</v>
      </c>
      <c r="E13320">
        <v>5600</v>
      </c>
      <c r="F13320">
        <v>0</v>
      </c>
      <c r="G13320">
        <v>20</v>
      </c>
      <c r="H13320" t="s">
        <v>19</v>
      </c>
    </row>
    <row r="13321" spans="1:8" x14ac:dyDescent="0.25">
      <c r="A13321" t="str">
        <f>"&lt;nominal&gt;" &amp;$D$13320&amp;"&lt;/nominal&gt;"</f>
        <v>&lt;nominal&gt;30&lt;/nominal&gt;</v>
      </c>
      <c r="B13321" t="s">
        <v>1127</v>
      </c>
    </row>
    <row r="13322" spans="1:8" x14ac:dyDescent="0.25">
      <c r="A13322" t="str">
        <f>"&lt;lifetime&gt;" &amp;$E$13320&amp;"&lt;/lifetime&gt;"</f>
        <v>&lt;lifetime&gt;5600&lt;/lifetime&gt;</v>
      </c>
      <c r="B13322" t="s">
        <v>1127</v>
      </c>
    </row>
    <row r="13323" spans="1:8" x14ac:dyDescent="0.25">
      <c r="A13323" t="str">
        <f>"&lt;restock&gt;" &amp;$F$13320&amp;"&lt;/restock&gt;"</f>
        <v>&lt;restock&gt;0&lt;/restock&gt;</v>
      </c>
      <c r="B13323" t="s">
        <v>1127</v>
      </c>
    </row>
    <row r="13324" spans="1:8" x14ac:dyDescent="0.25">
      <c r="A13324" t="str">
        <f>"&lt;min&gt;" &amp;$G$13320&amp;"&lt;/min&gt;"</f>
        <v>&lt;min&gt;20&lt;/min&gt;</v>
      </c>
      <c r="B13324" t="s">
        <v>1127</v>
      </c>
    </row>
    <row r="13325" spans="1:8" x14ac:dyDescent="0.25">
      <c r="A13325" t="s">
        <v>16</v>
      </c>
      <c r="B13325" t="s">
        <v>1127</v>
      </c>
    </row>
    <row r="13326" spans="1:8" x14ac:dyDescent="0.25">
      <c r="A13326" t="s">
        <v>17</v>
      </c>
      <c r="B13326" t="s">
        <v>1127</v>
      </c>
    </row>
    <row r="13327" spans="1:8" x14ac:dyDescent="0.25">
      <c r="A13327" t="s">
        <v>18</v>
      </c>
      <c r="B13327" t="s">
        <v>1127</v>
      </c>
    </row>
    <row r="13328" spans="1:8" x14ac:dyDescent="0.25">
      <c r="A13328" t="str">
        <f xml:space="preserve"> $H$13320</f>
        <v>&lt;flags count_in_cargo="0" count_in_hoarder="0" count_in_map="1" count_in_player="0" crafted="0" deloot="0"/&gt;</v>
      </c>
      <c r="B13328" t="s">
        <v>1127</v>
      </c>
    </row>
    <row r="13329" spans="1:8" x14ac:dyDescent="0.25">
      <c r="A13329" t="str">
        <f>"&lt;category name=" &amp;"""" &amp;$C$13320&amp;"""/&gt;"</f>
        <v>&lt;category name="clothes"/&gt;</v>
      </c>
      <c r="B13329" t="s">
        <v>1127</v>
      </c>
    </row>
    <row r="13330" spans="1:8" x14ac:dyDescent="0.25">
      <c r="A13330" t="s">
        <v>39</v>
      </c>
      <c r="B13330" t="s">
        <v>1127</v>
      </c>
    </row>
    <row r="13331" spans="1:8" x14ac:dyDescent="0.25">
      <c r="A13331" t="s">
        <v>40</v>
      </c>
      <c r="B13331" t="s">
        <v>1127</v>
      </c>
    </row>
    <row r="13332" spans="1:8" x14ac:dyDescent="0.25">
      <c r="A13332" t="s">
        <v>22</v>
      </c>
      <c r="B13332" t="s">
        <v>1127</v>
      </c>
    </row>
    <row r="13333" spans="1:8" x14ac:dyDescent="0.25">
      <c r="A13333" t="s">
        <v>2418</v>
      </c>
      <c r="B13333" t="s">
        <v>1128</v>
      </c>
      <c r="C13333" t="s">
        <v>426</v>
      </c>
      <c r="D13333">
        <v>50</v>
      </c>
      <c r="E13333">
        <v>7200</v>
      </c>
      <c r="F13333">
        <v>0</v>
      </c>
      <c r="G13333">
        <v>30</v>
      </c>
      <c r="H13333" t="s">
        <v>19</v>
      </c>
    </row>
    <row r="13334" spans="1:8" x14ac:dyDescent="0.25">
      <c r="A13334" t="str">
        <f>"&lt;nominal&gt;" &amp;$D$13333&amp;"&lt;/nominal&gt;"</f>
        <v>&lt;nominal&gt;50&lt;/nominal&gt;</v>
      </c>
      <c r="B13334" t="s">
        <v>1128</v>
      </c>
    </row>
    <row r="13335" spans="1:8" x14ac:dyDescent="0.25">
      <c r="A13335" t="str">
        <f>"&lt;lifetime&gt;" &amp;$E$13333&amp;"&lt;/lifetime&gt;"</f>
        <v>&lt;lifetime&gt;7200&lt;/lifetime&gt;</v>
      </c>
      <c r="B13335" t="s">
        <v>1128</v>
      </c>
    </row>
    <row r="13336" spans="1:8" x14ac:dyDescent="0.25">
      <c r="A13336" t="str">
        <f>"&lt;restock&gt;" &amp;$F$13333&amp;"&lt;/restock&gt;"</f>
        <v>&lt;restock&gt;0&lt;/restock&gt;</v>
      </c>
      <c r="B13336" t="s">
        <v>1128</v>
      </c>
    </row>
    <row r="13337" spans="1:8" x14ac:dyDescent="0.25">
      <c r="A13337" t="str">
        <f>"&lt;min&gt;" &amp;$G$13333&amp;"&lt;/min&gt;"</f>
        <v>&lt;min&gt;30&lt;/min&gt;</v>
      </c>
      <c r="B13337" t="s">
        <v>1128</v>
      </c>
    </row>
    <row r="13338" spans="1:8" x14ac:dyDescent="0.25">
      <c r="A13338" t="s">
        <v>16</v>
      </c>
      <c r="B13338" t="s">
        <v>1128</v>
      </c>
    </row>
    <row r="13339" spans="1:8" x14ac:dyDescent="0.25">
      <c r="A13339" t="s">
        <v>17</v>
      </c>
      <c r="B13339" t="s">
        <v>1128</v>
      </c>
    </row>
    <row r="13340" spans="1:8" x14ac:dyDescent="0.25">
      <c r="A13340" t="s">
        <v>18</v>
      </c>
      <c r="B13340" t="s">
        <v>1128</v>
      </c>
    </row>
    <row r="13341" spans="1:8" x14ac:dyDescent="0.25">
      <c r="A13341" t="str">
        <f xml:space="preserve"> $H$13333</f>
        <v>&lt;flags count_in_cargo="0" count_in_hoarder="0" count_in_map="1" count_in_player="0" crafted="0" deloot="0"/&gt;</v>
      </c>
      <c r="B13341" t="s">
        <v>1128</v>
      </c>
    </row>
    <row r="13342" spans="1:8" x14ac:dyDescent="0.25">
      <c r="A13342" t="str">
        <f>"&lt;category name=" &amp;"""" &amp;$C$13333&amp;"""/&gt;"</f>
        <v>&lt;category name="tools"/&gt;</v>
      </c>
      <c r="B13342" t="s">
        <v>1128</v>
      </c>
    </row>
    <row r="13343" spans="1:8" x14ac:dyDescent="0.25">
      <c r="A13343" t="s">
        <v>20</v>
      </c>
      <c r="B13343" t="s">
        <v>1128</v>
      </c>
    </row>
    <row r="13344" spans="1:8" x14ac:dyDescent="0.25">
      <c r="A13344" t="s">
        <v>55</v>
      </c>
      <c r="B13344" t="s">
        <v>1128</v>
      </c>
    </row>
    <row r="13345" spans="1:8" x14ac:dyDescent="0.25">
      <c r="A13345" t="s">
        <v>22</v>
      </c>
      <c r="B13345" t="s">
        <v>1128</v>
      </c>
    </row>
    <row r="13346" spans="1:8" x14ac:dyDescent="0.25">
      <c r="A13346" t="s">
        <v>2419</v>
      </c>
      <c r="B13346" t="s">
        <v>1129</v>
      </c>
      <c r="C13346" t="s">
        <v>399</v>
      </c>
      <c r="D13346">
        <v>2</v>
      </c>
      <c r="E13346">
        <v>3600</v>
      </c>
      <c r="F13346">
        <v>0</v>
      </c>
      <c r="G13346">
        <v>1</v>
      </c>
      <c r="H13346" t="s">
        <v>19</v>
      </c>
    </row>
    <row r="13347" spans="1:8" x14ac:dyDescent="0.25">
      <c r="A13347" t="str">
        <f>"&lt;nominal&gt;" &amp;$D$13346&amp;"&lt;/nominal&gt;"</f>
        <v>&lt;nominal&gt;2&lt;/nominal&gt;</v>
      </c>
      <c r="B13347" t="s">
        <v>1129</v>
      </c>
    </row>
    <row r="13348" spans="1:8" x14ac:dyDescent="0.25">
      <c r="A13348" t="str">
        <f>"&lt;lifetime&gt;" &amp;$E$13346&amp;"&lt;/lifetime&gt;"</f>
        <v>&lt;lifetime&gt;3600&lt;/lifetime&gt;</v>
      </c>
      <c r="B13348" t="s">
        <v>1129</v>
      </c>
    </row>
    <row r="13349" spans="1:8" x14ac:dyDescent="0.25">
      <c r="A13349" t="str">
        <f>"&lt;restock&gt;" &amp;$F$13346&amp;"&lt;/restock&gt;"</f>
        <v>&lt;restock&gt;0&lt;/restock&gt;</v>
      </c>
      <c r="B13349" t="s">
        <v>1129</v>
      </c>
    </row>
    <row r="13350" spans="1:8" x14ac:dyDescent="0.25">
      <c r="A13350" t="str">
        <f>"&lt;min&gt;" &amp;$G$13346&amp;"&lt;/min&gt;"</f>
        <v>&lt;min&gt;1&lt;/min&gt;</v>
      </c>
      <c r="B13350" t="s">
        <v>1129</v>
      </c>
    </row>
    <row r="13351" spans="1:8" x14ac:dyDescent="0.25">
      <c r="A13351" t="s">
        <v>16</v>
      </c>
      <c r="B13351" t="s">
        <v>1129</v>
      </c>
    </row>
    <row r="13352" spans="1:8" x14ac:dyDescent="0.25">
      <c r="A13352" t="s">
        <v>17</v>
      </c>
      <c r="B13352" t="s">
        <v>1129</v>
      </c>
    </row>
    <row r="13353" spans="1:8" x14ac:dyDescent="0.25">
      <c r="A13353" t="s">
        <v>18</v>
      </c>
      <c r="B13353" t="s">
        <v>1129</v>
      </c>
    </row>
    <row r="13354" spans="1:8" x14ac:dyDescent="0.25">
      <c r="A13354" t="str">
        <f xml:space="preserve"> $H$13346</f>
        <v>&lt;flags count_in_cargo="0" count_in_hoarder="0" count_in_map="1" count_in_player="0" crafted="0" deloot="0"/&gt;</v>
      </c>
      <c r="B13354" t="s">
        <v>1129</v>
      </c>
    </row>
    <row r="13355" spans="1:8" x14ac:dyDescent="0.25">
      <c r="A13355" t="str">
        <f>"&lt;category name=" &amp;"""" &amp;$C$13346&amp;"""/&gt;"</f>
        <v>&lt;category name="food"/&gt;</v>
      </c>
      <c r="B13355" t="s">
        <v>1129</v>
      </c>
    </row>
    <row r="13356" spans="1:8" x14ac:dyDescent="0.25">
      <c r="A13356" t="s">
        <v>20</v>
      </c>
      <c r="B13356" t="s">
        <v>1129</v>
      </c>
    </row>
    <row r="13357" spans="1:8" x14ac:dyDescent="0.25">
      <c r="A13357" t="s">
        <v>56</v>
      </c>
      <c r="B13357" t="s">
        <v>1129</v>
      </c>
    </row>
    <row r="13358" spans="1:8" x14ac:dyDescent="0.25">
      <c r="A13358" t="s">
        <v>40</v>
      </c>
      <c r="B13358" t="s">
        <v>1129</v>
      </c>
    </row>
    <row r="13359" spans="1:8" x14ac:dyDescent="0.25">
      <c r="A13359" t="s">
        <v>22</v>
      </c>
      <c r="B13359" t="s">
        <v>1129</v>
      </c>
    </row>
    <row r="13360" spans="1:8" x14ac:dyDescent="0.25">
      <c r="A13360" t="s">
        <v>2420</v>
      </c>
      <c r="B13360" t="s">
        <v>3018</v>
      </c>
      <c r="C13360" t="s">
        <v>399</v>
      </c>
      <c r="D13360">
        <v>0</v>
      </c>
      <c r="E13360">
        <v>3600</v>
      </c>
      <c r="F13360">
        <v>0</v>
      </c>
      <c r="G13360">
        <v>0</v>
      </c>
      <c r="H13360" t="s">
        <v>62</v>
      </c>
    </row>
    <row r="13361" spans="1:8" x14ac:dyDescent="0.25">
      <c r="A13361" t="str">
        <f>"&lt;nominal&gt;" &amp;$D$13360&amp;"&lt;/nominal&gt;"</f>
        <v>&lt;nominal&gt;0&lt;/nominal&gt;</v>
      </c>
      <c r="B13361" t="s">
        <v>3018</v>
      </c>
    </row>
    <row r="13362" spans="1:8" x14ac:dyDescent="0.25">
      <c r="A13362" t="str">
        <f>"&lt;lifetime&gt;" &amp;$E$13360&amp;"&lt;/lifetime&gt;"</f>
        <v>&lt;lifetime&gt;3600&lt;/lifetime&gt;</v>
      </c>
      <c r="B13362" t="s">
        <v>3018</v>
      </c>
    </row>
    <row r="13363" spans="1:8" x14ac:dyDescent="0.25">
      <c r="A13363" t="str">
        <f>"&lt;restock&gt;" &amp;$F$13360&amp;"&lt;/restock&gt;"</f>
        <v>&lt;restock&gt;0&lt;/restock&gt;</v>
      </c>
      <c r="B13363" t="s">
        <v>3018</v>
      </c>
    </row>
    <row r="13364" spans="1:8" x14ac:dyDescent="0.25">
      <c r="A13364" t="str">
        <f>"&lt;min&gt;" &amp;$G$13360&amp;"&lt;/min&gt;"</f>
        <v>&lt;min&gt;0&lt;/min&gt;</v>
      </c>
      <c r="B13364" t="s">
        <v>3018</v>
      </c>
    </row>
    <row r="13365" spans="1:8" x14ac:dyDescent="0.25">
      <c r="A13365" t="s">
        <v>16</v>
      </c>
      <c r="B13365" t="s">
        <v>3018</v>
      </c>
    </row>
    <row r="13366" spans="1:8" x14ac:dyDescent="0.25">
      <c r="A13366" t="s">
        <v>17</v>
      </c>
      <c r="B13366" t="s">
        <v>3018</v>
      </c>
    </row>
    <row r="13367" spans="1:8" x14ac:dyDescent="0.25">
      <c r="A13367" t="s">
        <v>18</v>
      </c>
      <c r="B13367" t="s">
        <v>3018</v>
      </c>
    </row>
    <row r="13368" spans="1:8" x14ac:dyDescent="0.25">
      <c r="A13368" t="str">
        <f xml:space="preserve"> $H$13360</f>
        <v>&lt;flags count_in_cargo="0" count_in_hoarder="0" count_in_map="1" count_in_player="0" crafted="1" deloot="0"/&gt;</v>
      </c>
      <c r="B13368" t="s">
        <v>3018</v>
      </c>
    </row>
    <row r="13369" spans="1:8" x14ac:dyDescent="0.25">
      <c r="A13369" t="str">
        <f>"&lt;category name=" &amp;"""" &amp;$C$13360&amp;"""/&gt;"</f>
        <v>&lt;category name="food"/&gt;</v>
      </c>
      <c r="B13369" t="s">
        <v>3018</v>
      </c>
    </row>
    <row r="13370" spans="1:8" x14ac:dyDescent="0.25">
      <c r="A13370" t="s">
        <v>22</v>
      </c>
      <c r="B13370" t="s">
        <v>3018</v>
      </c>
    </row>
    <row r="13371" spans="1:8" x14ac:dyDescent="0.25">
      <c r="A13371" t="s">
        <v>2421</v>
      </c>
      <c r="B13371" t="s">
        <v>1130</v>
      </c>
      <c r="C13371" t="s">
        <v>399</v>
      </c>
      <c r="D13371">
        <v>10</v>
      </c>
      <c r="E13371">
        <v>3600</v>
      </c>
      <c r="F13371">
        <v>0</v>
      </c>
      <c r="G13371">
        <v>5</v>
      </c>
      <c r="H13371" t="s">
        <v>19</v>
      </c>
    </row>
    <row r="13372" spans="1:8" x14ac:dyDescent="0.25">
      <c r="A13372" t="str">
        <f>"&lt;nominal&gt;" &amp;$D$13371&amp;"&lt;/nominal&gt;"</f>
        <v>&lt;nominal&gt;10&lt;/nominal&gt;</v>
      </c>
      <c r="B13372" t="s">
        <v>1130</v>
      </c>
    </row>
    <row r="13373" spans="1:8" x14ac:dyDescent="0.25">
      <c r="A13373" t="str">
        <f>"&lt;lifetime&gt;" &amp;$E$13371&amp;"&lt;/lifetime&gt;"</f>
        <v>&lt;lifetime&gt;3600&lt;/lifetime&gt;</v>
      </c>
      <c r="B13373" t="s">
        <v>1130</v>
      </c>
    </row>
    <row r="13374" spans="1:8" x14ac:dyDescent="0.25">
      <c r="A13374" t="str">
        <f>"&lt;restock&gt;" &amp;$F$13371&amp;"&lt;/restock&gt;"</f>
        <v>&lt;restock&gt;0&lt;/restock&gt;</v>
      </c>
      <c r="B13374" t="s">
        <v>1130</v>
      </c>
    </row>
    <row r="13375" spans="1:8" x14ac:dyDescent="0.25">
      <c r="A13375" t="str">
        <f>"&lt;min&gt;" &amp;$G$13371&amp;"&lt;/min&gt;"</f>
        <v>&lt;min&gt;5&lt;/min&gt;</v>
      </c>
      <c r="B13375" t="s">
        <v>1130</v>
      </c>
    </row>
    <row r="13376" spans="1:8" x14ac:dyDescent="0.25">
      <c r="A13376" t="s">
        <v>16</v>
      </c>
      <c r="B13376" t="s">
        <v>1130</v>
      </c>
    </row>
    <row r="13377" spans="1:8" x14ac:dyDescent="0.25">
      <c r="A13377" t="s">
        <v>17</v>
      </c>
      <c r="B13377" t="s">
        <v>1130</v>
      </c>
    </row>
    <row r="13378" spans="1:8" x14ac:dyDescent="0.25">
      <c r="A13378" t="s">
        <v>18</v>
      </c>
      <c r="B13378" t="s">
        <v>1130</v>
      </c>
    </row>
    <row r="13379" spans="1:8" x14ac:dyDescent="0.25">
      <c r="A13379" t="str">
        <f xml:space="preserve"> $H$13371</f>
        <v>&lt;flags count_in_cargo="0" count_in_hoarder="0" count_in_map="1" count_in_player="0" crafted="0" deloot="0"/&gt;</v>
      </c>
      <c r="B13379" t="s">
        <v>1130</v>
      </c>
    </row>
    <row r="13380" spans="1:8" x14ac:dyDescent="0.25">
      <c r="A13380" t="str">
        <f>"&lt;category name=" &amp;"""" &amp;$C$13371&amp;"""/&gt;"</f>
        <v>&lt;category name="food"/&gt;</v>
      </c>
      <c r="B13380" t="s">
        <v>1130</v>
      </c>
    </row>
    <row r="13381" spans="1:8" x14ac:dyDescent="0.25">
      <c r="A13381" t="s">
        <v>56</v>
      </c>
      <c r="B13381" t="s">
        <v>1130</v>
      </c>
    </row>
    <row r="13382" spans="1:8" x14ac:dyDescent="0.25">
      <c r="A13382" t="s">
        <v>67</v>
      </c>
      <c r="B13382" t="s">
        <v>1130</v>
      </c>
    </row>
    <row r="13383" spans="1:8" x14ac:dyDescent="0.25">
      <c r="A13383" t="s">
        <v>22</v>
      </c>
      <c r="B13383" t="s">
        <v>1130</v>
      </c>
    </row>
    <row r="13384" spans="1:8" x14ac:dyDescent="0.25">
      <c r="A13384" t="s">
        <v>2422</v>
      </c>
      <c r="B13384" t="s">
        <v>3019</v>
      </c>
      <c r="C13384" t="s">
        <v>399</v>
      </c>
      <c r="D13384">
        <v>0</v>
      </c>
      <c r="E13384">
        <v>1800</v>
      </c>
      <c r="F13384">
        <v>0</v>
      </c>
      <c r="G13384">
        <v>0</v>
      </c>
      <c r="H13384" t="s">
        <v>62</v>
      </c>
    </row>
    <row r="13385" spans="1:8" x14ac:dyDescent="0.25">
      <c r="A13385" t="str">
        <f>"&lt;nominal&gt;" &amp;$D$13384&amp;"&lt;/nominal&gt;"</f>
        <v>&lt;nominal&gt;0&lt;/nominal&gt;</v>
      </c>
      <c r="B13385" t="s">
        <v>3019</v>
      </c>
    </row>
    <row r="13386" spans="1:8" x14ac:dyDescent="0.25">
      <c r="A13386" t="str">
        <f>"&lt;lifetime&gt;" &amp;$E$13384&amp;"&lt;/lifetime&gt;"</f>
        <v>&lt;lifetime&gt;1800&lt;/lifetime&gt;</v>
      </c>
      <c r="B13386" t="s">
        <v>3019</v>
      </c>
    </row>
    <row r="13387" spans="1:8" x14ac:dyDescent="0.25">
      <c r="A13387" t="str">
        <f>"&lt;restock&gt;" &amp;$F$13384&amp;"&lt;/restock&gt;"</f>
        <v>&lt;restock&gt;0&lt;/restock&gt;</v>
      </c>
      <c r="B13387" t="s">
        <v>3019</v>
      </c>
    </row>
    <row r="13388" spans="1:8" x14ac:dyDescent="0.25">
      <c r="A13388" t="str">
        <f>"&lt;min&gt;" &amp;$G$13384&amp;"&lt;/min&gt;"</f>
        <v>&lt;min&gt;0&lt;/min&gt;</v>
      </c>
      <c r="B13388" t="s">
        <v>3019</v>
      </c>
    </row>
    <row r="13389" spans="1:8" x14ac:dyDescent="0.25">
      <c r="A13389" t="s">
        <v>16</v>
      </c>
      <c r="B13389" t="s">
        <v>3019</v>
      </c>
    </row>
    <row r="13390" spans="1:8" x14ac:dyDescent="0.25">
      <c r="A13390" t="s">
        <v>17</v>
      </c>
      <c r="B13390" t="s">
        <v>3019</v>
      </c>
    </row>
    <row r="13391" spans="1:8" x14ac:dyDescent="0.25">
      <c r="A13391" t="s">
        <v>18</v>
      </c>
      <c r="B13391" t="s">
        <v>3019</v>
      </c>
    </row>
    <row r="13392" spans="1:8" x14ac:dyDescent="0.25">
      <c r="A13392" t="str">
        <f xml:space="preserve"> $H$13384</f>
        <v>&lt;flags count_in_cargo="0" count_in_hoarder="0" count_in_map="1" count_in_player="0" crafted="1" deloot="0"/&gt;</v>
      </c>
      <c r="B13392" t="s">
        <v>3019</v>
      </c>
    </row>
    <row r="13393" spans="1:8" x14ac:dyDescent="0.25">
      <c r="A13393" t="str">
        <f>"&lt;category name=" &amp;"""" &amp;$C$13384&amp;"""/&gt;"</f>
        <v>&lt;category name="food"/&gt;</v>
      </c>
      <c r="B13393" t="s">
        <v>3019</v>
      </c>
    </row>
    <row r="13394" spans="1:8" x14ac:dyDescent="0.25">
      <c r="A13394" t="s">
        <v>22</v>
      </c>
      <c r="B13394" t="s">
        <v>3019</v>
      </c>
    </row>
    <row r="13395" spans="1:8" x14ac:dyDescent="0.25">
      <c r="A13395" t="s">
        <v>2423</v>
      </c>
      <c r="B13395" t="s">
        <v>1131</v>
      </c>
      <c r="C13395" t="s">
        <v>363</v>
      </c>
      <c r="D13395">
        <v>10</v>
      </c>
      <c r="E13395">
        <v>21600</v>
      </c>
      <c r="F13395">
        <v>1800</v>
      </c>
      <c r="G13395">
        <v>2</v>
      </c>
      <c r="H13395" t="s">
        <v>19</v>
      </c>
    </row>
    <row r="13396" spans="1:8" x14ac:dyDescent="0.25">
      <c r="A13396" t="str">
        <f>"&lt;nominal&gt;" &amp;$D$13395&amp;"&lt;/nominal&gt;"</f>
        <v>&lt;nominal&gt;10&lt;/nominal&gt;</v>
      </c>
      <c r="B13396" t="s">
        <v>1131</v>
      </c>
    </row>
    <row r="13397" spans="1:8" x14ac:dyDescent="0.25">
      <c r="A13397" t="str">
        <f>"&lt;lifetime&gt;" &amp;$E$13395&amp;"&lt;/lifetime&gt;"</f>
        <v>&lt;lifetime&gt;21600&lt;/lifetime&gt;</v>
      </c>
      <c r="B13397" t="s">
        <v>1131</v>
      </c>
    </row>
    <row r="13398" spans="1:8" x14ac:dyDescent="0.25">
      <c r="A13398" t="str">
        <f>"&lt;restock&gt;" &amp;$F$13395&amp;"&lt;/restock&gt;"</f>
        <v>&lt;restock&gt;1800&lt;/restock&gt;</v>
      </c>
      <c r="B13398" t="s">
        <v>1131</v>
      </c>
    </row>
    <row r="13399" spans="1:8" x14ac:dyDescent="0.25">
      <c r="A13399" t="str">
        <f>"&lt;min&gt;" &amp;$G$13395&amp;"&lt;/min&gt;"</f>
        <v>&lt;min&gt;2&lt;/min&gt;</v>
      </c>
      <c r="B13399" t="s">
        <v>1131</v>
      </c>
    </row>
    <row r="13400" spans="1:8" x14ac:dyDescent="0.25">
      <c r="A13400" t="s">
        <v>16</v>
      </c>
      <c r="B13400" t="s">
        <v>1131</v>
      </c>
    </row>
    <row r="13401" spans="1:8" x14ac:dyDescent="0.25">
      <c r="A13401" t="s">
        <v>17</v>
      </c>
      <c r="B13401" t="s">
        <v>1131</v>
      </c>
    </row>
    <row r="13402" spans="1:8" x14ac:dyDescent="0.25">
      <c r="A13402" t="s">
        <v>18</v>
      </c>
      <c r="B13402" t="s">
        <v>1131</v>
      </c>
    </row>
    <row r="13403" spans="1:8" x14ac:dyDescent="0.25">
      <c r="A13403" t="str">
        <f xml:space="preserve"> $H$13395</f>
        <v>&lt;flags count_in_cargo="0" count_in_hoarder="0" count_in_map="1" count_in_player="0" crafted="0" deloot="0"/&gt;</v>
      </c>
      <c r="B13403" t="s">
        <v>1131</v>
      </c>
    </row>
    <row r="13404" spans="1:8" x14ac:dyDescent="0.25">
      <c r="A13404" t="str">
        <f>"&lt;category name=" &amp;"""" &amp;$C$13395&amp;"""/&gt;"</f>
        <v>&lt;category name="containers"/&gt;</v>
      </c>
      <c r="B13404" t="s">
        <v>1131</v>
      </c>
    </row>
    <row r="13405" spans="1:8" x14ac:dyDescent="0.25">
      <c r="A13405" t="s">
        <v>29</v>
      </c>
      <c r="B13405" t="s">
        <v>1131</v>
      </c>
    </row>
    <row r="13406" spans="1:8" x14ac:dyDescent="0.25">
      <c r="A13406" t="s">
        <v>22</v>
      </c>
      <c r="B13406" t="s">
        <v>1131</v>
      </c>
    </row>
    <row r="13407" spans="1:8" x14ac:dyDescent="0.25">
      <c r="A13407" t="s">
        <v>2424</v>
      </c>
      <c r="B13407" t="s">
        <v>1132</v>
      </c>
      <c r="C13407" t="s">
        <v>403</v>
      </c>
      <c r="D13407">
        <v>30</v>
      </c>
      <c r="E13407">
        <v>5600</v>
      </c>
      <c r="F13407">
        <v>0</v>
      </c>
      <c r="G13407">
        <v>20</v>
      </c>
      <c r="H13407" t="s">
        <v>19</v>
      </c>
    </row>
    <row r="13408" spans="1:8" x14ac:dyDescent="0.25">
      <c r="A13408" t="str">
        <f>"&lt;nominal&gt;" &amp;$D$13407&amp;"&lt;/nominal&gt;"</f>
        <v>&lt;nominal&gt;30&lt;/nominal&gt;</v>
      </c>
      <c r="B13408" t="s">
        <v>1132</v>
      </c>
    </row>
    <row r="13409" spans="1:8" x14ac:dyDescent="0.25">
      <c r="A13409" t="str">
        <f>"&lt;lifetime&gt;" &amp;$E$13407&amp;"&lt;/lifetime&gt;"</f>
        <v>&lt;lifetime&gt;5600&lt;/lifetime&gt;</v>
      </c>
      <c r="B13409" t="s">
        <v>1132</v>
      </c>
    </row>
    <row r="13410" spans="1:8" x14ac:dyDescent="0.25">
      <c r="A13410" t="str">
        <f>"&lt;restock&gt;" &amp;$F$13407&amp;"&lt;/restock&gt;"</f>
        <v>&lt;restock&gt;0&lt;/restock&gt;</v>
      </c>
      <c r="B13410" t="s">
        <v>1132</v>
      </c>
    </row>
    <row r="13411" spans="1:8" x14ac:dyDescent="0.25">
      <c r="A13411" t="str">
        <f>"&lt;min&gt;" &amp;$G$13407&amp;"&lt;/min&gt;"</f>
        <v>&lt;min&gt;20&lt;/min&gt;</v>
      </c>
      <c r="B13411" t="s">
        <v>1132</v>
      </c>
    </row>
    <row r="13412" spans="1:8" x14ac:dyDescent="0.25">
      <c r="A13412" t="s">
        <v>16</v>
      </c>
      <c r="B13412" t="s">
        <v>1132</v>
      </c>
    </row>
    <row r="13413" spans="1:8" x14ac:dyDescent="0.25">
      <c r="A13413" t="s">
        <v>17</v>
      </c>
      <c r="B13413" t="s">
        <v>1132</v>
      </c>
    </row>
    <row r="13414" spans="1:8" x14ac:dyDescent="0.25">
      <c r="A13414" t="s">
        <v>18</v>
      </c>
      <c r="B13414" t="s">
        <v>1132</v>
      </c>
    </row>
    <row r="13415" spans="1:8" x14ac:dyDescent="0.25">
      <c r="A13415" t="str">
        <f xml:space="preserve"> $H$13407</f>
        <v>&lt;flags count_in_cargo="0" count_in_hoarder="0" count_in_map="1" count_in_player="0" crafted="0" deloot="0"/&gt;</v>
      </c>
      <c r="B13415" t="s">
        <v>1132</v>
      </c>
    </row>
    <row r="13416" spans="1:8" x14ac:dyDescent="0.25">
      <c r="A13416" t="str">
        <f>"&lt;category name=" &amp;"""" &amp;$C$13407&amp;"""/&gt;"</f>
        <v>&lt;category name="clothes"/&gt;</v>
      </c>
      <c r="B13416" t="s">
        <v>1132</v>
      </c>
    </row>
    <row r="13417" spans="1:8" x14ac:dyDescent="0.25">
      <c r="A13417" t="s">
        <v>39</v>
      </c>
      <c r="B13417" t="s">
        <v>1132</v>
      </c>
    </row>
    <row r="13418" spans="1:8" x14ac:dyDescent="0.25">
      <c r="A13418" t="s">
        <v>40</v>
      </c>
      <c r="B13418" t="s">
        <v>1132</v>
      </c>
    </row>
    <row r="13419" spans="1:8" x14ac:dyDescent="0.25">
      <c r="A13419" t="s">
        <v>22</v>
      </c>
      <c r="B13419" t="s">
        <v>1132</v>
      </c>
    </row>
    <row r="13420" spans="1:8" x14ac:dyDescent="0.25">
      <c r="A13420" t="s">
        <v>2425</v>
      </c>
      <c r="B13420" t="s">
        <v>1133</v>
      </c>
      <c r="C13420" t="s">
        <v>403</v>
      </c>
      <c r="D13420">
        <v>30</v>
      </c>
      <c r="E13420">
        <v>5600</v>
      </c>
      <c r="F13420">
        <v>0</v>
      </c>
      <c r="G13420">
        <v>20</v>
      </c>
      <c r="H13420" t="s">
        <v>19</v>
      </c>
    </row>
    <row r="13421" spans="1:8" x14ac:dyDescent="0.25">
      <c r="A13421" t="str">
        <f>"&lt;nominal&gt;" &amp;$D$13420&amp;"&lt;/nominal&gt;"</f>
        <v>&lt;nominal&gt;30&lt;/nominal&gt;</v>
      </c>
      <c r="B13421" t="s">
        <v>1133</v>
      </c>
    </row>
    <row r="13422" spans="1:8" x14ac:dyDescent="0.25">
      <c r="A13422" t="str">
        <f>"&lt;lifetime&gt;" &amp;$E$13420&amp;"&lt;/lifetime&gt;"</f>
        <v>&lt;lifetime&gt;5600&lt;/lifetime&gt;</v>
      </c>
      <c r="B13422" t="s">
        <v>1133</v>
      </c>
    </row>
    <row r="13423" spans="1:8" x14ac:dyDescent="0.25">
      <c r="A13423" t="str">
        <f>"&lt;restock&gt;" &amp;$F$13420&amp;"&lt;/restock&gt;"</f>
        <v>&lt;restock&gt;0&lt;/restock&gt;</v>
      </c>
      <c r="B13423" t="s">
        <v>1133</v>
      </c>
    </row>
    <row r="13424" spans="1:8" x14ac:dyDescent="0.25">
      <c r="A13424" t="str">
        <f>"&lt;min&gt;" &amp;$G$13420&amp;"&lt;/min&gt;"</f>
        <v>&lt;min&gt;20&lt;/min&gt;</v>
      </c>
      <c r="B13424" t="s">
        <v>1133</v>
      </c>
    </row>
    <row r="13425" spans="1:8" x14ac:dyDescent="0.25">
      <c r="A13425" t="s">
        <v>16</v>
      </c>
      <c r="B13425" t="s">
        <v>1133</v>
      </c>
    </row>
    <row r="13426" spans="1:8" x14ac:dyDescent="0.25">
      <c r="A13426" t="s">
        <v>17</v>
      </c>
      <c r="B13426" t="s">
        <v>1133</v>
      </c>
    </row>
    <row r="13427" spans="1:8" x14ac:dyDescent="0.25">
      <c r="A13427" t="s">
        <v>18</v>
      </c>
      <c r="B13427" t="s">
        <v>1133</v>
      </c>
    </row>
    <row r="13428" spans="1:8" x14ac:dyDescent="0.25">
      <c r="A13428" t="str">
        <f xml:space="preserve"> $H$13420</f>
        <v>&lt;flags count_in_cargo="0" count_in_hoarder="0" count_in_map="1" count_in_player="0" crafted="0" deloot="0"/&gt;</v>
      </c>
      <c r="B13428" t="s">
        <v>1133</v>
      </c>
    </row>
    <row r="13429" spans="1:8" x14ac:dyDescent="0.25">
      <c r="A13429" t="str">
        <f>"&lt;category name=" &amp;"""" &amp;$C$13420&amp;"""/&gt;"</f>
        <v>&lt;category name="clothes"/&gt;</v>
      </c>
      <c r="B13429" t="s">
        <v>1133</v>
      </c>
    </row>
    <row r="13430" spans="1:8" x14ac:dyDescent="0.25">
      <c r="A13430" t="s">
        <v>39</v>
      </c>
      <c r="B13430" t="s">
        <v>1133</v>
      </c>
    </row>
    <row r="13431" spans="1:8" x14ac:dyDescent="0.25">
      <c r="A13431" t="s">
        <v>40</v>
      </c>
      <c r="B13431" t="s">
        <v>1133</v>
      </c>
    </row>
    <row r="13432" spans="1:8" x14ac:dyDescent="0.25">
      <c r="A13432" t="s">
        <v>22</v>
      </c>
      <c r="B13432" t="s">
        <v>1133</v>
      </c>
    </row>
    <row r="13433" spans="1:8" x14ac:dyDescent="0.25">
      <c r="A13433" t="s">
        <v>2426</v>
      </c>
      <c r="B13433" t="s">
        <v>1134</v>
      </c>
      <c r="C13433" t="s">
        <v>403</v>
      </c>
      <c r="D13433">
        <v>30</v>
      </c>
      <c r="E13433">
        <v>5600</v>
      </c>
      <c r="F13433">
        <v>0</v>
      </c>
      <c r="G13433">
        <v>20</v>
      </c>
      <c r="H13433" t="s">
        <v>19</v>
      </c>
    </row>
    <row r="13434" spans="1:8" x14ac:dyDescent="0.25">
      <c r="A13434" t="str">
        <f>"&lt;nominal&gt;" &amp;$D$13433&amp;"&lt;/nominal&gt;"</f>
        <v>&lt;nominal&gt;30&lt;/nominal&gt;</v>
      </c>
      <c r="B13434" t="s">
        <v>1134</v>
      </c>
    </row>
    <row r="13435" spans="1:8" x14ac:dyDescent="0.25">
      <c r="A13435" t="str">
        <f>"&lt;lifetime&gt;" &amp;$E$13433&amp;"&lt;/lifetime&gt;"</f>
        <v>&lt;lifetime&gt;5600&lt;/lifetime&gt;</v>
      </c>
      <c r="B13435" t="s">
        <v>1134</v>
      </c>
    </row>
    <row r="13436" spans="1:8" x14ac:dyDescent="0.25">
      <c r="A13436" t="str">
        <f>"&lt;restock&gt;" &amp;$F$13433&amp;"&lt;/restock&gt;"</f>
        <v>&lt;restock&gt;0&lt;/restock&gt;</v>
      </c>
      <c r="B13436" t="s">
        <v>1134</v>
      </c>
    </row>
    <row r="13437" spans="1:8" x14ac:dyDescent="0.25">
      <c r="A13437" t="str">
        <f>"&lt;min&gt;" &amp;$G$13433&amp;"&lt;/min&gt;"</f>
        <v>&lt;min&gt;20&lt;/min&gt;</v>
      </c>
      <c r="B13437" t="s">
        <v>1134</v>
      </c>
    </row>
    <row r="13438" spans="1:8" x14ac:dyDescent="0.25">
      <c r="A13438" t="s">
        <v>16</v>
      </c>
      <c r="B13438" t="s">
        <v>1134</v>
      </c>
    </row>
    <row r="13439" spans="1:8" x14ac:dyDescent="0.25">
      <c r="A13439" t="s">
        <v>17</v>
      </c>
      <c r="B13439" t="s">
        <v>1134</v>
      </c>
    </row>
    <row r="13440" spans="1:8" x14ac:dyDescent="0.25">
      <c r="A13440" t="s">
        <v>18</v>
      </c>
      <c r="B13440" t="s">
        <v>1134</v>
      </c>
    </row>
    <row r="13441" spans="1:8" x14ac:dyDescent="0.25">
      <c r="A13441" t="str">
        <f xml:space="preserve"> $H$13433</f>
        <v>&lt;flags count_in_cargo="0" count_in_hoarder="0" count_in_map="1" count_in_player="0" crafted="0" deloot="0"/&gt;</v>
      </c>
      <c r="B13441" t="s">
        <v>1134</v>
      </c>
    </row>
    <row r="13442" spans="1:8" x14ac:dyDescent="0.25">
      <c r="A13442" t="str">
        <f>"&lt;category name=" &amp;"""" &amp;$C$13433&amp;"""/&gt;"</f>
        <v>&lt;category name="clothes"/&gt;</v>
      </c>
      <c r="B13442" t="s">
        <v>1134</v>
      </c>
    </row>
    <row r="13443" spans="1:8" x14ac:dyDescent="0.25">
      <c r="A13443" t="s">
        <v>39</v>
      </c>
      <c r="B13443" t="s">
        <v>1134</v>
      </c>
    </row>
    <row r="13444" spans="1:8" x14ac:dyDescent="0.25">
      <c r="A13444" t="s">
        <v>40</v>
      </c>
      <c r="B13444" t="s">
        <v>1134</v>
      </c>
    </row>
    <row r="13445" spans="1:8" x14ac:dyDescent="0.25">
      <c r="A13445" t="s">
        <v>22</v>
      </c>
      <c r="B13445" t="s">
        <v>1134</v>
      </c>
    </row>
    <row r="13446" spans="1:8" x14ac:dyDescent="0.25">
      <c r="A13446" t="s">
        <v>2427</v>
      </c>
      <c r="B13446" t="s">
        <v>1135</v>
      </c>
      <c r="C13446" t="s">
        <v>403</v>
      </c>
      <c r="D13446">
        <v>30</v>
      </c>
      <c r="E13446">
        <v>5600</v>
      </c>
      <c r="F13446">
        <v>0</v>
      </c>
      <c r="G13446">
        <v>20</v>
      </c>
      <c r="H13446" t="s">
        <v>19</v>
      </c>
    </row>
    <row r="13447" spans="1:8" x14ac:dyDescent="0.25">
      <c r="A13447" t="str">
        <f>"&lt;nominal&gt;" &amp;$D$13446&amp;"&lt;/nominal&gt;"</f>
        <v>&lt;nominal&gt;30&lt;/nominal&gt;</v>
      </c>
      <c r="B13447" t="s">
        <v>1135</v>
      </c>
    </row>
    <row r="13448" spans="1:8" x14ac:dyDescent="0.25">
      <c r="A13448" t="str">
        <f>"&lt;lifetime&gt;" &amp;$E$13446&amp;"&lt;/lifetime&gt;"</f>
        <v>&lt;lifetime&gt;5600&lt;/lifetime&gt;</v>
      </c>
      <c r="B13448" t="s">
        <v>1135</v>
      </c>
    </row>
    <row r="13449" spans="1:8" x14ac:dyDescent="0.25">
      <c r="A13449" t="str">
        <f>"&lt;restock&gt;" &amp;$F$13446&amp;"&lt;/restock&gt;"</f>
        <v>&lt;restock&gt;0&lt;/restock&gt;</v>
      </c>
      <c r="B13449" t="s">
        <v>1135</v>
      </c>
    </row>
    <row r="13450" spans="1:8" x14ac:dyDescent="0.25">
      <c r="A13450" t="str">
        <f>"&lt;min&gt;" &amp;$G$13446&amp;"&lt;/min&gt;"</f>
        <v>&lt;min&gt;20&lt;/min&gt;</v>
      </c>
      <c r="B13450" t="s">
        <v>1135</v>
      </c>
    </row>
    <row r="13451" spans="1:8" x14ac:dyDescent="0.25">
      <c r="A13451" t="s">
        <v>16</v>
      </c>
      <c r="B13451" t="s">
        <v>1135</v>
      </c>
    </row>
    <row r="13452" spans="1:8" x14ac:dyDescent="0.25">
      <c r="A13452" t="s">
        <v>17</v>
      </c>
      <c r="B13452" t="s">
        <v>1135</v>
      </c>
    </row>
    <row r="13453" spans="1:8" x14ac:dyDescent="0.25">
      <c r="A13453" t="s">
        <v>18</v>
      </c>
      <c r="B13453" t="s">
        <v>1135</v>
      </c>
    </row>
    <row r="13454" spans="1:8" x14ac:dyDescent="0.25">
      <c r="A13454" t="str">
        <f xml:space="preserve"> $H$13446</f>
        <v>&lt;flags count_in_cargo="0" count_in_hoarder="0" count_in_map="1" count_in_player="0" crafted="0" deloot="0"/&gt;</v>
      </c>
      <c r="B13454" t="s">
        <v>1135</v>
      </c>
    </row>
    <row r="13455" spans="1:8" x14ac:dyDescent="0.25">
      <c r="A13455" t="str">
        <f>"&lt;category name=" &amp;"""" &amp;$C$13446&amp;"""/&gt;"</f>
        <v>&lt;category name="clothes"/&gt;</v>
      </c>
      <c r="B13455" t="s">
        <v>1135</v>
      </c>
    </row>
    <row r="13456" spans="1:8" x14ac:dyDescent="0.25">
      <c r="A13456" t="s">
        <v>39</v>
      </c>
      <c r="B13456" t="s">
        <v>1135</v>
      </c>
    </row>
    <row r="13457" spans="1:8" x14ac:dyDescent="0.25">
      <c r="A13457" t="s">
        <v>40</v>
      </c>
      <c r="B13457" t="s">
        <v>1135</v>
      </c>
    </row>
    <row r="13458" spans="1:8" x14ac:dyDescent="0.25">
      <c r="A13458" t="s">
        <v>22</v>
      </c>
      <c r="B13458" t="s">
        <v>1135</v>
      </c>
    </row>
    <row r="13459" spans="1:8" x14ac:dyDescent="0.25">
      <c r="A13459" t="s">
        <v>2428</v>
      </c>
      <c r="B13459" t="s">
        <v>1136</v>
      </c>
      <c r="C13459" t="s">
        <v>403</v>
      </c>
      <c r="D13459">
        <v>30</v>
      </c>
      <c r="E13459">
        <v>5600</v>
      </c>
      <c r="F13459">
        <v>0</v>
      </c>
      <c r="G13459">
        <v>20</v>
      </c>
      <c r="H13459" t="s">
        <v>19</v>
      </c>
    </row>
    <row r="13460" spans="1:8" x14ac:dyDescent="0.25">
      <c r="A13460" t="str">
        <f>"&lt;nominal&gt;" &amp;$D$13459&amp;"&lt;/nominal&gt;"</f>
        <v>&lt;nominal&gt;30&lt;/nominal&gt;</v>
      </c>
      <c r="B13460" t="s">
        <v>1136</v>
      </c>
    </row>
    <row r="13461" spans="1:8" x14ac:dyDescent="0.25">
      <c r="A13461" t="str">
        <f>"&lt;lifetime&gt;" &amp;$E$13459&amp;"&lt;/lifetime&gt;"</f>
        <v>&lt;lifetime&gt;5600&lt;/lifetime&gt;</v>
      </c>
      <c r="B13461" t="s">
        <v>1136</v>
      </c>
    </row>
    <row r="13462" spans="1:8" x14ac:dyDescent="0.25">
      <c r="A13462" t="str">
        <f>"&lt;restock&gt;" &amp;$F$13459&amp;"&lt;/restock&gt;"</f>
        <v>&lt;restock&gt;0&lt;/restock&gt;</v>
      </c>
      <c r="B13462" t="s">
        <v>1136</v>
      </c>
    </row>
    <row r="13463" spans="1:8" x14ac:dyDescent="0.25">
      <c r="A13463" t="str">
        <f>"&lt;min&gt;" &amp;$G$13459&amp;"&lt;/min&gt;"</f>
        <v>&lt;min&gt;20&lt;/min&gt;</v>
      </c>
      <c r="B13463" t="s">
        <v>1136</v>
      </c>
    </row>
    <row r="13464" spans="1:8" x14ac:dyDescent="0.25">
      <c r="A13464" t="s">
        <v>16</v>
      </c>
      <c r="B13464" t="s">
        <v>1136</v>
      </c>
    </row>
    <row r="13465" spans="1:8" x14ac:dyDescent="0.25">
      <c r="A13465" t="s">
        <v>17</v>
      </c>
      <c r="B13465" t="s">
        <v>1136</v>
      </c>
    </row>
    <row r="13466" spans="1:8" x14ac:dyDescent="0.25">
      <c r="A13466" t="s">
        <v>18</v>
      </c>
      <c r="B13466" t="s">
        <v>1136</v>
      </c>
    </row>
    <row r="13467" spans="1:8" x14ac:dyDescent="0.25">
      <c r="A13467" t="str">
        <f xml:space="preserve"> $H$13459</f>
        <v>&lt;flags count_in_cargo="0" count_in_hoarder="0" count_in_map="1" count_in_player="0" crafted="0" deloot="0"/&gt;</v>
      </c>
      <c r="B13467" t="s">
        <v>1136</v>
      </c>
    </row>
    <row r="13468" spans="1:8" x14ac:dyDescent="0.25">
      <c r="A13468" t="str">
        <f>"&lt;category name=" &amp;"""" &amp;$C$13459&amp;"""/&gt;"</f>
        <v>&lt;category name="clothes"/&gt;</v>
      </c>
      <c r="B13468" t="s">
        <v>1136</v>
      </c>
    </row>
    <row r="13469" spans="1:8" x14ac:dyDescent="0.25">
      <c r="A13469" t="s">
        <v>39</v>
      </c>
      <c r="B13469" t="s">
        <v>1136</v>
      </c>
    </row>
    <row r="13470" spans="1:8" x14ac:dyDescent="0.25">
      <c r="A13470" t="s">
        <v>40</v>
      </c>
      <c r="B13470" t="s">
        <v>1136</v>
      </c>
    </row>
    <row r="13471" spans="1:8" x14ac:dyDescent="0.25">
      <c r="A13471" t="s">
        <v>22</v>
      </c>
      <c r="B13471" t="s">
        <v>1136</v>
      </c>
    </row>
    <row r="13472" spans="1:8" x14ac:dyDescent="0.25">
      <c r="A13472" t="s">
        <v>2429</v>
      </c>
      <c r="B13472" t="s">
        <v>1137</v>
      </c>
      <c r="C13472" t="s">
        <v>403</v>
      </c>
      <c r="D13472">
        <v>30</v>
      </c>
      <c r="E13472">
        <v>5600</v>
      </c>
      <c r="F13472">
        <v>0</v>
      </c>
      <c r="G13472">
        <v>20</v>
      </c>
      <c r="H13472" t="s">
        <v>19</v>
      </c>
    </row>
    <row r="13473" spans="1:8" x14ac:dyDescent="0.25">
      <c r="A13473" t="str">
        <f>"&lt;nominal&gt;" &amp;$D$13472&amp;"&lt;/nominal&gt;"</f>
        <v>&lt;nominal&gt;30&lt;/nominal&gt;</v>
      </c>
      <c r="B13473" t="s">
        <v>1137</v>
      </c>
    </row>
    <row r="13474" spans="1:8" x14ac:dyDescent="0.25">
      <c r="A13474" t="str">
        <f>"&lt;lifetime&gt;" &amp;$E$13472&amp;"&lt;/lifetime&gt;"</f>
        <v>&lt;lifetime&gt;5600&lt;/lifetime&gt;</v>
      </c>
      <c r="B13474" t="s">
        <v>1137</v>
      </c>
    </row>
    <row r="13475" spans="1:8" x14ac:dyDescent="0.25">
      <c r="A13475" t="str">
        <f>"&lt;restock&gt;" &amp;$F$13472&amp;"&lt;/restock&gt;"</f>
        <v>&lt;restock&gt;0&lt;/restock&gt;</v>
      </c>
      <c r="B13475" t="s">
        <v>1137</v>
      </c>
    </row>
    <row r="13476" spans="1:8" x14ac:dyDescent="0.25">
      <c r="A13476" t="str">
        <f>"&lt;min&gt;" &amp;$G$13472&amp;"&lt;/min&gt;"</f>
        <v>&lt;min&gt;20&lt;/min&gt;</v>
      </c>
      <c r="B13476" t="s">
        <v>1137</v>
      </c>
    </row>
    <row r="13477" spans="1:8" x14ac:dyDescent="0.25">
      <c r="A13477" t="s">
        <v>16</v>
      </c>
      <c r="B13477" t="s">
        <v>1137</v>
      </c>
    </row>
    <row r="13478" spans="1:8" x14ac:dyDescent="0.25">
      <c r="A13478" t="s">
        <v>17</v>
      </c>
      <c r="B13478" t="s">
        <v>1137</v>
      </c>
    </row>
    <row r="13479" spans="1:8" x14ac:dyDescent="0.25">
      <c r="A13479" t="s">
        <v>18</v>
      </c>
      <c r="B13479" t="s">
        <v>1137</v>
      </c>
    </row>
    <row r="13480" spans="1:8" x14ac:dyDescent="0.25">
      <c r="A13480" t="str">
        <f xml:space="preserve"> $H$13472</f>
        <v>&lt;flags count_in_cargo="0" count_in_hoarder="0" count_in_map="1" count_in_player="0" crafted="0" deloot="0"/&gt;</v>
      </c>
      <c r="B13480" t="s">
        <v>1137</v>
      </c>
    </row>
    <row r="13481" spans="1:8" x14ac:dyDescent="0.25">
      <c r="A13481" t="str">
        <f>"&lt;category name=" &amp;"""" &amp;$C$13472&amp;"""/&gt;"</f>
        <v>&lt;category name="clothes"/&gt;</v>
      </c>
      <c r="B13481" t="s">
        <v>1137</v>
      </c>
    </row>
    <row r="13482" spans="1:8" x14ac:dyDescent="0.25">
      <c r="A13482" t="s">
        <v>39</v>
      </c>
      <c r="B13482" t="s">
        <v>1137</v>
      </c>
    </row>
    <row r="13483" spans="1:8" x14ac:dyDescent="0.25">
      <c r="A13483" t="s">
        <v>40</v>
      </c>
      <c r="B13483" t="s">
        <v>1137</v>
      </c>
    </row>
    <row r="13484" spans="1:8" x14ac:dyDescent="0.25">
      <c r="A13484" t="s">
        <v>22</v>
      </c>
      <c r="B13484" t="s">
        <v>1137</v>
      </c>
    </row>
    <row r="13485" spans="1:8" x14ac:dyDescent="0.25">
      <c r="A13485" t="s">
        <v>2430</v>
      </c>
      <c r="B13485" t="s">
        <v>1138</v>
      </c>
      <c r="C13485" t="s">
        <v>403</v>
      </c>
      <c r="D13485">
        <v>30</v>
      </c>
      <c r="E13485">
        <v>5600</v>
      </c>
      <c r="F13485">
        <v>0</v>
      </c>
      <c r="G13485">
        <v>20</v>
      </c>
      <c r="H13485" t="s">
        <v>19</v>
      </c>
    </row>
    <row r="13486" spans="1:8" x14ac:dyDescent="0.25">
      <c r="A13486" t="str">
        <f>"&lt;nominal&gt;" &amp;$D$13485&amp;"&lt;/nominal&gt;"</f>
        <v>&lt;nominal&gt;30&lt;/nominal&gt;</v>
      </c>
      <c r="B13486" t="s">
        <v>1138</v>
      </c>
    </row>
    <row r="13487" spans="1:8" x14ac:dyDescent="0.25">
      <c r="A13487" t="str">
        <f>"&lt;lifetime&gt;" &amp;$E$13485&amp;"&lt;/lifetime&gt;"</f>
        <v>&lt;lifetime&gt;5600&lt;/lifetime&gt;</v>
      </c>
      <c r="B13487" t="s">
        <v>1138</v>
      </c>
    </row>
    <row r="13488" spans="1:8" x14ac:dyDescent="0.25">
      <c r="A13488" t="str">
        <f>"&lt;restock&gt;" &amp;$F$13485&amp;"&lt;/restock&gt;"</f>
        <v>&lt;restock&gt;0&lt;/restock&gt;</v>
      </c>
      <c r="B13488" t="s">
        <v>1138</v>
      </c>
    </row>
    <row r="13489" spans="1:8" x14ac:dyDescent="0.25">
      <c r="A13489" t="str">
        <f>"&lt;min&gt;" &amp;$G$13485&amp;"&lt;/min&gt;"</f>
        <v>&lt;min&gt;20&lt;/min&gt;</v>
      </c>
      <c r="B13489" t="s">
        <v>1138</v>
      </c>
    </row>
    <row r="13490" spans="1:8" x14ac:dyDescent="0.25">
      <c r="A13490" t="s">
        <v>16</v>
      </c>
      <c r="B13490" t="s">
        <v>1138</v>
      </c>
    </row>
    <row r="13491" spans="1:8" x14ac:dyDescent="0.25">
      <c r="A13491" t="s">
        <v>17</v>
      </c>
      <c r="B13491" t="s">
        <v>1138</v>
      </c>
    </row>
    <row r="13492" spans="1:8" x14ac:dyDescent="0.25">
      <c r="A13492" t="s">
        <v>18</v>
      </c>
      <c r="B13492" t="s">
        <v>1138</v>
      </c>
    </row>
    <row r="13493" spans="1:8" x14ac:dyDescent="0.25">
      <c r="A13493" t="str">
        <f xml:space="preserve"> $H$13485</f>
        <v>&lt;flags count_in_cargo="0" count_in_hoarder="0" count_in_map="1" count_in_player="0" crafted="0" deloot="0"/&gt;</v>
      </c>
      <c r="B13493" t="s">
        <v>1138</v>
      </c>
    </row>
    <row r="13494" spans="1:8" x14ac:dyDescent="0.25">
      <c r="A13494" t="str">
        <f>"&lt;category name=" &amp;"""" &amp;$C$13485&amp;"""/&gt;"</f>
        <v>&lt;category name="clothes"/&gt;</v>
      </c>
      <c r="B13494" t="s">
        <v>1138</v>
      </c>
    </row>
    <row r="13495" spans="1:8" x14ac:dyDescent="0.25">
      <c r="A13495" t="s">
        <v>39</v>
      </c>
      <c r="B13495" t="s">
        <v>1138</v>
      </c>
    </row>
    <row r="13496" spans="1:8" x14ac:dyDescent="0.25">
      <c r="A13496" t="s">
        <v>40</v>
      </c>
      <c r="B13496" t="s">
        <v>1138</v>
      </c>
    </row>
    <row r="13497" spans="1:8" x14ac:dyDescent="0.25">
      <c r="A13497" t="s">
        <v>22</v>
      </c>
      <c r="B13497" t="s">
        <v>1138</v>
      </c>
    </row>
    <row r="13498" spans="1:8" x14ac:dyDescent="0.25">
      <c r="A13498" t="s">
        <v>2431</v>
      </c>
      <c r="B13498" t="s">
        <v>1139</v>
      </c>
      <c r="C13498" t="s">
        <v>403</v>
      </c>
      <c r="D13498">
        <v>15</v>
      </c>
      <c r="E13498">
        <v>5600</v>
      </c>
      <c r="F13498">
        <v>0</v>
      </c>
      <c r="G13498">
        <v>10</v>
      </c>
      <c r="H13498" t="s">
        <v>19</v>
      </c>
    </row>
    <row r="13499" spans="1:8" x14ac:dyDescent="0.25">
      <c r="A13499" t="str">
        <f>"&lt;nominal&gt;" &amp;$D$13498&amp;"&lt;/nominal&gt;"</f>
        <v>&lt;nominal&gt;15&lt;/nominal&gt;</v>
      </c>
      <c r="B13499" t="s">
        <v>1139</v>
      </c>
    </row>
    <row r="13500" spans="1:8" x14ac:dyDescent="0.25">
      <c r="A13500" t="str">
        <f>"&lt;lifetime&gt;" &amp;$E$13498&amp;"&lt;/lifetime&gt;"</f>
        <v>&lt;lifetime&gt;5600&lt;/lifetime&gt;</v>
      </c>
      <c r="B13500" t="s">
        <v>1139</v>
      </c>
    </row>
    <row r="13501" spans="1:8" x14ac:dyDescent="0.25">
      <c r="A13501" t="str">
        <f>"&lt;restock&gt;" &amp;$F$13498&amp;"&lt;/restock&gt;"</f>
        <v>&lt;restock&gt;0&lt;/restock&gt;</v>
      </c>
      <c r="B13501" t="s">
        <v>1139</v>
      </c>
    </row>
    <row r="13502" spans="1:8" x14ac:dyDescent="0.25">
      <c r="A13502" t="str">
        <f>"&lt;min&gt;" &amp;$G$13498&amp;"&lt;/min&gt;"</f>
        <v>&lt;min&gt;10&lt;/min&gt;</v>
      </c>
      <c r="B13502" t="s">
        <v>1139</v>
      </c>
    </row>
    <row r="13503" spans="1:8" x14ac:dyDescent="0.25">
      <c r="A13503" t="s">
        <v>16</v>
      </c>
      <c r="B13503" t="s">
        <v>1139</v>
      </c>
    </row>
    <row r="13504" spans="1:8" x14ac:dyDescent="0.25">
      <c r="A13504" t="s">
        <v>17</v>
      </c>
      <c r="B13504" t="s">
        <v>1139</v>
      </c>
    </row>
    <row r="13505" spans="1:8" x14ac:dyDescent="0.25">
      <c r="A13505" t="s">
        <v>18</v>
      </c>
      <c r="B13505" t="s">
        <v>1139</v>
      </c>
    </row>
    <row r="13506" spans="1:8" x14ac:dyDescent="0.25">
      <c r="A13506" t="str">
        <f xml:space="preserve"> $H$13498</f>
        <v>&lt;flags count_in_cargo="0" count_in_hoarder="0" count_in_map="1" count_in_player="0" crafted="0" deloot="0"/&gt;</v>
      </c>
      <c r="B13506" t="s">
        <v>1139</v>
      </c>
    </row>
    <row r="13507" spans="1:8" x14ac:dyDescent="0.25">
      <c r="A13507" t="str">
        <f>"&lt;category name=" &amp;"""" &amp;$C$13498&amp;"""/&gt;"</f>
        <v>&lt;category name="clothes"/&gt;</v>
      </c>
      <c r="B13507" t="s">
        <v>1139</v>
      </c>
    </row>
    <row r="13508" spans="1:8" x14ac:dyDescent="0.25">
      <c r="A13508" t="s">
        <v>39</v>
      </c>
      <c r="B13508" t="s">
        <v>1139</v>
      </c>
    </row>
    <row r="13509" spans="1:8" x14ac:dyDescent="0.25">
      <c r="A13509" t="s">
        <v>40</v>
      </c>
      <c r="B13509" t="s">
        <v>1139</v>
      </c>
    </row>
    <row r="13510" spans="1:8" x14ac:dyDescent="0.25">
      <c r="A13510" t="s">
        <v>22</v>
      </c>
      <c r="B13510" t="s">
        <v>1139</v>
      </c>
    </row>
    <row r="13511" spans="1:8" x14ac:dyDescent="0.25">
      <c r="A13511" t="s">
        <v>2432</v>
      </c>
      <c r="B13511" t="s">
        <v>1140</v>
      </c>
      <c r="C13511" t="s">
        <v>403</v>
      </c>
      <c r="D13511">
        <v>30</v>
      </c>
      <c r="E13511">
        <v>5600</v>
      </c>
      <c r="F13511">
        <v>0</v>
      </c>
      <c r="G13511">
        <v>20</v>
      </c>
      <c r="H13511" t="s">
        <v>19</v>
      </c>
    </row>
    <row r="13512" spans="1:8" x14ac:dyDescent="0.25">
      <c r="A13512" t="str">
        <f>"&lt;nominal&gt;" &amp;$D$13511&amp;"&lt;/nominal&gt;"</f>
        <v>&lt;nominal&gt;30&lt;/nominal&gt;</v>
      </c>
      <c r="B13512" t="s">
        <v>1140</v>
      </c>
    </row>
    <row r="13513" spans="1:8" x14ac:dyDescent="0.25">
      <c r="A13513" t="str">
        <f>"&lt;lifetime&gt;" &amp;$E$13511&amp;"&lt;/lifetime&gt;"</f>
        <v>&lt;lifetime&gt;5600&lt;/lifetime&gt;</v>
      </c>
      <c r="B13513" t="s">
        <v>1140</v>
      </c>
    </row>
    <row r="13514" spans="1:8" x14ac:dyDescent="0.25">
      <c r="A13514" t="str">
        <f>"&lt;restock&gt;" &amp;$F$13511&amp;"&lt;/restock&gt;"</f>
        <v>&lt;restock&gt;0&lt;/restock&gt;</v>
      </c>
      <c r="B13514" t="s">
        <v>1140</v>
      </c>
    </row>
    <row r="13515" spans="1:8" x14ac:dyDescent="0.25">
      <c r="A13515" t="str">
        <f>"&lt;min&gt;" &amp;$G$13511&amp;"&lt;/min&gt;"</f>
        <v>&lt;min&gt;20&lt;/min&gt;</v>
      </c>
      <c r="B13515" t="s">
        <v>1140</v>
      </c>
    </row>
    <row r="13516" spans="1:8" x14ac:dyDescent="0.25">
      <c r="A13516" t="s">
        <v>16</v>
      </c>
      <c r="B13516" t="s">
        <v>1140</v>
      </c>
    </row>
    <row r="13517" spans="1:8" x14ac:dyDescent="0.25">
      <c r="A13517" t="s">
        <v>17</v>
      </c>
      <c r="B13517" t="s">
        <v>1140</v>
      </c>
    </row>
    <row r="13518" spans="1:8" x14ac:dyDescent="0.25">
      <c r="A13518" t="s">
        <v>18</v>
      </c>
      <c r="B13518" t="s">
        <v>1140</v>
      </c>
    </row>
    <row r="13519" spans="1:8" x14ac:dyDescent="0.25">
      <c r="A13519" t="str">
        <f xml:space="preserve"> $H$13511</f>
        <v>&lt;flags count_in_cargo="0" count_in_hoarder="0" count_in_map="1" count_in_player="0" crafted="0" deloot="0"/&gt;</v>
      </c>
      <c r="B13519" t="s">
        <v>1140</v>
      </c>
    </row>
    <row r="13520" spans="1:8" x14ac:dyDescent="0.25">
      <c r="A13520" t="str">
        <f>"&lt;category name=" &amp;"""" &amp;$C$13511&amp;"""/&gt;"</f>
        <v>&lt;category name="clothes"/&gt;</v>
      </c>
      <c r="B13520" t="s">
        <v>1140</v>
      </c>
    </row>
    <row r="13521" spans="1:8" x14ac:dyDescent="0.25">
      <c r="A13521" t="s">
        <v>39</v>
      </c>
      <c r="B13521" t="s">
        <v>1140</v>
      </c>
    </row>
    <row r="13522" spans="1:8" x14ac:dyDescent="0.25">
      <c r="A13522" t="s">
        <v>40</v>
      </c>
      <c r="B13522" t="s">
        <v>1140</v>
      </c>
    </row>
    <row r="13523" spans="1:8" x14ac:dyDescent="0.25">
      <c r="A13523" t="s">
        <v>22</v>
      </c>
      <c r="B13523" t="s">
        <v>1140</v>
      </c>
    </row>
    <row r="13524" spans="1:8" x14ac:dyDescent="0.25">
      <c r="A13524" t="s">
        <v>2433</v>
      </c>
      <c r="B13524" t="s">
        <v>1141</v>
      </c>
      <c r="C13524" t="s">
        <v>403</v>
      </c>
      <c r="D13524">
        <v>30</v>
      </c>
      <c r="E13524">
        <v>5600</v>
      </c>
      <c r="F13524">
        <v>0</v>
      </c>
      <c r="G13524">
        <v>20</v>
      </c>
      <c r="H13524" t="s">
        <v>19</v>
      </c>
    </row>
    <row r="13525" spans="1:8" x14ac:dyDescent="0.25">
      <c r="A13525" t="str">
        <f>"&lt;nominal&gt;" &amp;$D$13524&amp;"&lt;/nominal&gt;"</f>
        <v>&lt;nominal&gt;30&lt;/nominal&gt;</v>
      </c>
      <c r="B13525" t="s">
        <v>1141</v>
      </c>
    </row>
    <row r="13526" spans="1:8" x14ac:dyDescent="0.25">
      <c r="A13526" t="str">
        <f>"&lt;lifetime&gt;" &amp;$E$13524&amp;"&lt;/lifetime&gt;"</f>
        <v>&lt;lifetime&gt;5600&lt;/lifetime&gt;</v>
      </c>
      <c r="B13526" t="s">
        <v>1141</v>
      </c>
    </row>
    <row r="13527" spans="1:8" x14ac:dyDescent="0.25">
      <c r="A13527" t="str">
        <f>"&lt;restock&gt;" &amp;$F$13524&amp;"&lt;/restock&gt;"</f>
        <v>&lt;restock&gt;0&lt;/restock&gt;</v>
      </c>
      <c r="B13527" t="s">
        <v>1141</v>
      </c>
    </row>
    <row r="13528" spans="1:8" x14ac:dyDescent="0.25">
      <c r="A13528" t="str">
        <f>"&lt;min&gt;" &amp;$G$13524&amp;"&lt;/min&gt;"</f>
        <v>&lt;min&gt;20&lt;/min&gt;</v>
      </c>
      <c r="B13528" t="s">
        <v>1141</v>
      </c>
    </row>
    <row r="13529" spans="1:8" x14ac:dyDescent="0.25">
      <c r="A13529" t="s">
        <v>16</v>
      </c>
      <c r="B13529" t="s">
        <v>1141</v>
      </c>
    </row>
    <row r="13530" spans="1:8" x14ac:dyDescent="0.25">
      <c r="A13530" t="s">
        <v>17</v>
      </c>
      <c r="B13530" t="s">
        <v>1141</v>
      </c>
    </row>
    <row r="13531" spans="1:8" x14ac:dyDescent="0.25">
      <c r="A13531" t="s">
        <v>18</v>
      </c>
      <c r="B13531" t="s">
        <v>1141</v>
      </c>
    </row>
    <row r="13532" spans="1:8" x14ac:dyDescent="0.25">
      <c r="A13532" t="str">
        <f xml:space="preserve"> $H$13524</f>
        <v>&lt;flags count_in_cargo="0" count_in_hoarder="0" count_in_map="1" count_in_player="0" crafted="0" deloot="0"/&gt;</v>
      </c>
      <c r="B13532" t="s">
        <v>1141</v>
      </c>
    </row>
    <row r="13533" spans="1:8" x14ac:dyDescent="0.25">
      <c r="A13533" t="str">
        <f>"&lt;category name=" &amp;"""" &amp;$C$13524&amp;"""/&gt;"</f>
        <v>&lt;category name="clothes"/&gt;</v>
      </c>
      <c r="B13533" t="s">
        <v>1141</v>
      </c>
    </row>
    <row r="13534" spans="1:8" x14ac:dyDescent="0.25">
      <c r="A13534" t="s">
        <v>39</v>
      </c>
      <c r="B13534" t="s">
        <v>1141</v>
      </c>
    </row>
    <row r="13535" spans="1:8" x14ac:dyDescent="0.25">
      <c r="A13535" t="s">
        <v>40</v>
      </c>
      <c r="B13535" t="s">
        <v>1141</v>
      </c>
    </row>
    <row r="13536" spans="1:8" x14ac:dyDescent="0.25">
      <c r="A13536" t="s">
        <v>22</v>
      </c>
      <c r="B13536" t="s">
        <v>1141</v>
      </c>
    </row>
    <row r="13537" spans="1:8" x14ac:dyDescent="0.25">
      <c r="A13537" t="s">
        <v>2434</v>
      </c>
      <c r="B13537" t="s">
        <v>1142</v>
      </c>
      <c r="D13537">
        <v>0</v>
      </c>
      <c r="E13537">
        <v>3888000</v>
      </c>
      <c r="F13537">
        <v>1800</v>
      </c>
      <c r="G13537">
        <v>0</v>
      </c>
      <c r="H13537" t="s">
        <v>19</v>
      </c>
    </row>
    <row r="13538" spans="1:8" x14ac:dyDescent="0.25">
      <c r="A13538" t="str">
        <f>"&lt;nominal&gt;" &amp;$D$13537&amp;"&lt;/nominal&gt;"</f>
        <v>&lt;nominal&gt;0&lt;/nominal&gt;</v>
      </c>
      <c r="B13538" t="s">
        <v>1142</v>
      </c>
    </row>
    <row r="13539" spans="1:8" x14ac:dyDescent="0.25">
      <c r="A13539" t="str">
        <f>"&lt;lifetime&gt;" &amp;$E$13537&amp;"&lt;/lifetime&gt;"</f>
        <v>&lt;lifetime&gt;3888000&lt;/lifetime&gt;</v>
      </c>
      <c r="B13539" t="s">
        <v>1142</v>
      </c>
    </row>
    <row r="13540" spans="1:8" x14ac:dyDescent="0.25">
      <c r="A13540" t="str">
        <f>"&lt;restock&gt;" &amp;$F$13537&amp;"&lt;/restock&gt;"</f>
        <v>&lt;restock&gt;1800&lt;/restock&gt;</v>
      </c>
      <c r="B13540" t="s">
        <v>1142</v>
      </c>
    </row>
    <row r="13541" spans="1:8" x14ac:dyDescent="0.25">
      <c r="A13541" t="str">
        <f>"&lt;min&gt;" &amp;$G$13537&amp;"&lt;/min&gt;"</f>
        <v>&lt;min&gt;0&lt;/min&gt;</v>
      </c>
      <c r="B13541" t="s">
        <v>1142</v>
      </c>
    </row>
    <row r="13542" spans="1:8" x14ac:dyDescent="0.25">
      <c r="A13542" t="s">
        <v>16</v>
      </c>
      <c r="B13542" t="s">
        <v>1142</v>
      </c>
    </row>
    <row r="13543" spans="1:8" x14ac:dyDescent="0.25">
      <c r="A13543" t="s">
        <v>17</v>
      </c>
      <c r="B13543" t="s">
        <v>1142</v>
      </c>
    </row>
    <row r="13544" spans="1:8" x14ac:dyDescent="0.25">
      <c r="A13544" t="s">
        <v>18</v>
      </c>
      <c r="B13544" t="s">
        <v>1142</v>
      </c>
    </row>
    <row r="13545" spans="1:8" x14ac:dyDescent="0.25">
      <c r="A13545" t="str">
        <f xml:space="preserve"> $H$13537</f>
        <v>&lt;flags count_in_cargo="0" count_in_hoarder="0" count_in_map="1" count_in_player="0" crafted="0" deloot="0"/&gt;</v>
      </c>
      <c r="B13545" t="s">
        <v>1142</v>
      </c>
    </row>
    <row r="13546" spans="1:8" x14ac:dyDescent="0.25">
      <c r="A13546" t="s">
        <v>22</v>
      </c>
      <c r="B13546" t="s">
        <v>1142</v>
      </c>
    </row>
    <row r="13547" spans="1:8" x14ac:dyDescent="0.25">
      <c r="A13547" t="s">
        <v>2435</v>
      </c>
      <c r="B13547" t="s">
        <v>1143</v>
      </c>
      <c r="C13547" t="s">
        <v>426</v>
      </c>
      <c r="D13547">
        <v>40</v>
      </c>
      <c r="E13547">
        <v>7200</v>
      </c>
      <c r="F13547">
        <v>0</v>
      </c>
      <c r="G13547">
        <v>30</v>
      </c>
      <c r="H13547" t="s">
        <v>19</v>
      </c>
    </row>
    <row r="13548" spans="1:8" x14ac:dyDescent="0.25">
      <c r="A13548" t="str">
        <f>"&lt;nominal&gt;" &amp;$D$13547&amp;"&lt;/nominal&gt;"</f>
        <v>&lt;nominal&gt;40&lt;/nominal&gt;</v>
      </c>
      <c r="B13548" t="s">
        <v>1143</v>
      </c>
    </row>
    <row r="13549" spans="1:8" x14ac:dyDescent="0.25">
      <c r="A13549" t="str">
        <f>"&lt;lifetime&gt;" &amp;$E$13547&amp;"&lt;/lifetime&gt;"</f>
        <v>&lt;lifetime&gt;7200&lt;/lifetime&gt;</v>
      </c>
      <c r="B13549" t="s">
        <v>1143</v>
      </c>
    </row>
    <row r="13550" spans="1:8" x14ac:dyDescent="0.25">
      <c r="A13550" t="str">
        <f>"&lt;restock&gt;" &amp;$F$13547&amp;"&lt;/restock&gt;"</f>
        <v>&lt;restock&gt;0&lt;/restock&gt;</v>
      </c>
      <c r="B13550" t="s">
        <v>1143</v>
      </c>
    </row>
    <row r="13551" spans="1:8" x14ac:dyDescent="0.25">
      <c r="A13551" t="str">
        <f>"&lt;min&gt;" &amp;$G$13547&amp;"&lt;/min&gt;"</f>
        <v>&lt;min&gt;30&lt;/min&gt;</v>
      </c>
      <c r="B13551" t="s">
        <v>1143</v>
      </c>
    </row>
    <row r="13552" spans="1:8" x14ac:dyDescent="0.25">
      <c r="A13552" t="s">
        <v>16</v>
      </c>
      <c r="B13552" t="s">
        <v>1143</v>
      </c>
    </row>
    <row r="13553" spans="1:8" x14ac:dyDescent="0.25">
      <c r="A13553" t="s">
        <v>17</v>
      </c>
      <c r="B13553" t="s">
        <v>1143</v>
      </c>
    </row>
    <row r="13554" spans="1:8" x14ac:dyDescent="0.25">
      <c r="A13554" t="s">
        <v>18</v>
      </c>
      <c r="B13554" t="s">
        <v>1143</v>
      </c>
    </row>
    <row r="13555" spans="1:8" x14ac:dyDescent="0.25">
      <c r="A13555" t="str">
        <f xml:space="preserve"> $H$13547</f>
        <v>&lt;flags count_in_cargo="0" count_in_hoarder="0" count_in_map="1" count_in_player="0" crafted="0" deloot="0"/&gt;</v>
      </c>
      <c r="B13555" t="s">
        <v>1143</v>
      </c>
    </row>
    <row r="13556" spans="1:8" x14ac:dyDescent="0.25">
      <c r="A13556" t="str">
        <f>"&lt;category name=" &amp;"""" &amp;$C$13547&amp;"""/&gt;"</f>
        <v>&lt;category name="tools"/&gt;</v>
      </c>
      <c r="B13556" t="s">
        <v>1143</v>
      </c>
    </row>
    <row r="13557" spans="1:8" x14ac:dyDescent="0.25">
      <c r="A13557" t="s">
        <v>25</v>
      </c>
      <c r="B13557" t="s">
        <v>1143</v>
      </c>
    </row>
    <row r="13558" spans="1:8" x14ac:dyDescent="0.25">
      <c r="A13558" t="s">
        <v>56</v>
      </c>
      <c r="B13558" t="s">
        <v>1143</v>
      </c>
    </row>
    <row r="13559" spans="1:8" x14ac:dyDescent="0.25">
      <c r="A13559" t="s">
        <v>67</v>
      </c>
      <c r="B13559" t="s">
        <v>1143</v>
      </c>
    </row>
    <row r="13560" spans="1:8" x14ac:dyDescent="0.25">
      <c r="A13560" t="s">
        <v>22</v>
      </c>
      <c r="B13560" t="s">
        <v>1143</v>
      </c>
    </row>
    <row r="13561" spans="1:8" x14ac:dyDescent="0.25">
      <c r="A13561" t="s">
        <v>2436</v>
      </c>
      <c r="B13561" t="s">
        <v>1144</v>
      </c>
      <c r="C13561" t="s">
        <v>426</v>
      </c>
      <c r="D13561">
        <v>60</v>
      </c>
      <c r="E13561">
        <v>43200</v>
      </c>
      <c r="F13561">
        <v>0</v>
      </c>
      <c r="G13561">
        <v>40</v>
      </c>
      <c r="H13561" t="s">
        <v>19</v>
      </c>
    </row>
    <row r="13562" spans="1:8" x14ac:dyDescent="0.25">
      <c r="A13562" t="str">
        <f>"&lt;nominal&gt;" &amp;$D$13561&amp;"&lt;/nominal&gt;"</f>
        <v>&lt;nominal&gt;60&lt;/nominal&gt;</v>
      </c>
      <c r="B13562" t="s">
        <v>1144</v>
      </c>
    </row>
    <row r="13563" spans="1:8" x14ac:dyDescent="0.25">
      <c r="A13563" t="str">
        <f>"&lt;lifetime&gt;" &amp;$E$13561&amp;"&lt;/lifetime&gt;"</f>
        <v>&lt;lifetime&gt;43200&lt;/lifetime&gt;</v>
      </c>
      <c r="B13563" t="s">
        <v>1144</v>
      </c>
    </row>
    <row r="13564" spans="1:8" x14ac:dyDescent="0.25">
      <c r="A13564" t="str">
        <f>"&lt;restock&gt;" &amp;$F$13561&amp;"&lt;/restock&gt;"</f>
        <v>&lt;restock&gt;0&lt;/restock&gt;</v>
      </c>
      <c r="B13564" t="s">
        <v>1144</v>
      </c>
    </row>
    <row r="13565" spans="1:8" x14ac:dyDescent="0.25">
      <c r="A13565" t="str">
        <f>"&lt;min&gt;" &amp;$G$13561&amp;"&lt;/min&gt;"</f>
        <v>&lt;min&gt;40&lt;/min&gt;</v>
      </c>
      <c r="B13565" t="s">
        <v>1144</v>
      </c>
    </row>
    <row r="13566" spans="1:8" x14ac:dyDescent="0.25">
      <c r="A13566" t="s">
        <v>16</v>
      </c>
      <c r="B13566" t="s">
        <v>1144</v>
      </c>
    </row>
    <row r="13567" spans="1:8" x14ac:dyDescent="0.25">
      <c r="A13567" t="s">
        <v>17</v>
      </c>
      <c r="B13567" t="s">
        <v>1144</v>
      </c>
    </row>
    <row r="13568" spans="1:8" x14ac:dyDescent="0.25">
      <c r="A13568" t="s">
        <v>18</v>
      </c>
      <c r="B13568" t="s">
        <v>1144</v>
      </c>
    </row>
    <row r="13569" spans="1:8" x14ac:dyDescent="0.25">
      <c r="A13569" t="str">
        <f xml:space="preserve"> $H$13561</f>
        <v>&lt;flags count_in_cargo="0" count_in_hoarder="0" count_in_map="1" count_in_player="0" crafted="0" deloot="0"/&gt;</v>
      </c>
      <c r="B13569" t="s">
        <v>1144</v>
      </c>
    </row>
    <row r="13570" spans="1:8" x14ac:dyDescent="0.25">
      <c r="A13570" t="str">
        <f>"&lt;category name=" &amp;"""" &amp;$C$13561&amp;"""/&gt;"</f>
        <v>&lt;category name="tools"/&gt;</v>
      </c>
      <c r="B13570" t="s">
        <v>1144</v>
      </c>
    </row>
    <row r="13571" spans="1:8" x14ac:dyDescent="0.25">
      <c r="A13571" t="s">
        <v>55</v>
      </c>
      <c r="B13571" t="s">
        <v>1144</v>
      </c>
    </row>
    <row r="13572" spans="1:8" x14ac:dyDescent="0.25">
      <c r="A13572" t="s">
        <v>22</v>
      </c>
      <c r="B13572" t="s">
        <v>1144</v>
      </c>
    </row>
    <row r="13573" spans="1:8" x14ac:dyDescent="0.25">
      <c r="A13573" t="s">
        <v>2437</v>
      </c>
      <c r="B13573" t="s">
        <v>1145</v>
      </c>
      <c r="C13573" t="s">
        <v>399</v>
      </c>
      <c r="D13573">
        <v>2</v>
      </c>
      <c r="E13573">
        <v>3600</v>
      </c>
      <c r="F13573">
        <v>0</v>
      </c>
      <c r="G13573">
        <v>1</v>
      </c>
      <c r="H13573" t="s">
        <v>19</v>
      </c>
    </row>
    <row r="13574" spans="1:8" x14ac:dyDescent="0.25">
      <c r="A13574" t="str">
        <f>"&lt;nominal&gt;" &amp;$D$13573&amp;"&lt;/nominal&gt;"</f>
        <v>&lt;nominal&gt;2&lt;/nominal&gt;</v>
      </c>
      <c r="B13574" t="s">
        <v>1145</v>
      </c>
    </row>
    <row r="13575" spans="1:8" x14ac:dyDescent="0.25">
      <c r="A13575" t="str">
        <f>"&lt;lifetime&gt;" &amp;$E$13573&amp;"&lt;/lifetime&gt;"</f>
        <v>&lt;lifetime&gt;3600&lt;/lifetime&gt;</v>
      </c>
      <c r="B13575" t="s">
        <v>1145</v>
      </c>
    </row>
    <row r="13576" spans="1:8" x14ac:dyDescent="0.25">
      <c r="A13576" t="str">
        <f>"&lt;restock&gt;" &amp;$F$13573&amp;"&lt;/restock&gt;"</f>
        <v>&lt;restock&gt;0&lt;/restock&gt;</v>
      </c>
      <c r="B13576" t="s">
        <v>1145</v>
      </c>
    </row>
    <row r="13577" spans="1:8" x14ac:dyDescent="0.25">
      <c r="A13577" t="str">
        <f>"&lt;min&gt;" &amp;$G$13573&amp;"&lt;/min&gt;"</f>
        <v>&lt;min&gt;1&lt;/min&gt;</v>
      </c>
      <c r="B13577" t="s">
        <v>1145</v>
      </c>
    </row>
    <row r="13578" spans="1:8" x14ac:dyDescent="0.25">
      <c r="A13578" t="s">
        <v>16</v>
      </c>
      <c r="B13578" t="s">
        <v>1145</v>
      </c>
    </row>
    <row r="13579" spans="1:8" x14ac:dyDescent="0.25">
      <c r="A13579" t="s">
        <v>17</v>
      </c>
      <c r="B13579" t="s">
        <v>1145</v>
      </c>
    </row>
    <row r="13580" spans="1:8" x14ac:dyDescent="0.25">
      <c r="A13580" t="s">
        <v>18</v>
      </c>
      <c r="B13580" t="s">
        <v>1145</v>
      </c>
    </row>
    <row r="13581" spans="1:8" x14ac:dyDescent="0.25">
      <c r="A13581" t="str">
        <f xml:space="preserve"> $H$13573</f>
        <v>&lt;flags count_in_cargo="0" count_in_hoarder="0" count_in_map="1" count_in_player="0" crafted="0" deloot="0"/&gt;</v>
      </c>
      <c r="B13581" t="s">
        <v>1145</v>
      </c>
    </row>
    <row r="13582" spans="1:8" x14ac:dyDescent="0.25">
      <c r="A13582" t="str">
        <f>"&lt;category name=" &amp;"""" &amp;$C$13573&amp;"""/&gt;"</f>
        <v>&lt;category name="food"/&gt;</v>
      </c>
      <c r="B13582" t="s">
        <v>1145</v>
      </c>
    </row>
    <row r="13583" spans="1:8" x14ac:dyDescent="0.25">
      <c r="A13583" t="s">
        <v>20</v>
      </c>
      <c r="B13583" t="s">
        <v>1145</v>
      </c>
    </row>
    <row r="13584" spans="1:8" x14ac:dyDescent="0.25">
      <c r="A13584" t="s">
        <v>82</v>
      </c>
      <c r="B13584" t="s">
        <v>1145</v>
      </c>
    </row>
    <row r="13585" spans="1:8" x14ac:dyDescent="0.25">
      <c r="A13585" t="s">
        <v>30</v>
      </c>
      <c r="B13585" t="s">
        <v>1145</v>
      </c>
    </row>
    <row r="13586" spans="1:8" x14ac:dyDescent="0.25">
      <c r="A13586" t="s">
        <v>31</v>
      </c>
      <c r="B13586" t="s">
        <v>1145</v>
      </c>
    </row>
    <row r="13587" spans="1:8" x14ac:dyDescent="0.25">
      <c r="A13587" t="s">
        <v>22</v>
      </c>
      <c r="B13587" t="s">
        <v>1145</v>
      </c>
    </row>
    <row r="13588" spans="1:8" x14ac:dyDescent="0.25">
      <c r="A13588" t="s">
        <v>2438</v>
      </c>
      <c r="B13588" t="s">
        <v>3476</v>
      </c>
      <c r="C13588" t="s">
        <v>399</v>
      </c>
      <c r="D13588">
        <v>0</v>
      </c>
      <c r="E13588">
        <v>3600</v>
      </c>
      <c r="F13588">
        <v>0</v>
      </c>
      <c r="G13588">
        <v>0</v>
      </c>
      <c r="H13588" t="s">
        <v>62</v>
      </c>
    </row>
    <row r="13589" spans="1:8" x14ac:dyDescent="0.25">
      <c r="A13589" t="str">
        <f>"&lt;nominal&gt;" &amp;$D$13588&amp;"&lt;/nominal&gt;"</f>
        <v>&lt;nominal&gt;0&lt;/nominal&gt;</v>
      </c>
      <c r="B13589" t="s">
        <v>3476</v>
      </c>
    </row>
    <row r="13590" spans="1:8" x14ac:dyDescent="0.25">
      <c r="A13590" t="str">
        <f>"&lt;lifetime&gt;" &amp;$E$13588&amp;"&lt;/lifetime&gt;"</f>
        <v>&lt;lifetime&gt;3600&lt;/lifetime&gt;</v>
      </c>
      <c r="B13590" t="s">
        <v>3476</v>
      </c>
    </row>
    <row r="13591" spans="1:8" x14ac:dyDescent="0.25">
      <c r="A13591" t="str">
        <f>"&lt;restock&gt;" &amp;$F$13588&amp;"&lt;/restock&gt;"</f>
        <v>&lt;restock&gt;0&lt;/restock&gt;</v>
      </c>
      <c r="B13591" t="s">
        <v>3476</v>
      </c>
    </row>
    <row r="13592" spans="1:8" x14ac:dyDescent="0.25">
      <c r="A13592" t="str">
        <f>"&lt;min&gt;" &amp;$G$13588&amp;"&lt;/min&gt;"</f>
        <v>&lt;min&gt;0&lt;/min&gt;</v>
      </c>
      <c r="B13592" t="s">
        <v>3476</v>
      </c>
    </row>
    <row r="13593" spans="1:8" x14ac:dyDescent="0.25">
      <c r="A13593" t="s">
        <v>16</v>
      </c>
      <c r="B13593" t="s">
        <v>3476</v>
      </c>
    </row>
    <row r="13594" spans="1:8" x14ac:dyDescent="0.25">
      <c r="A13594" t="s">
        <v>17</v>
      </c>
      <c r="B13594" t="s">
        <v>3476</v>
      </c>
    </row>
    <row r="13595" spans="1:8" x14ac:dyDescent="0.25">
      <c r="A13595" t="s">
        <v>18</v>
      </c>
      <c r="B13595" t="s">
        <v>3476</v>
      </c>
    </row>
    <row r="13596" spans="1:8" x14ac:dyDescent="0.25">
      <c r="A13596" t="str">
        <f xml:space="preserve"> $H$13588</f>
        <v>&lt;flags count_in_cargo="0" count_in_hoarder="0" count_in_map="1" count_in_player="0" crafted="1" deloot="0"/&gt;</v>
      </c>
      <c r="B13596" t="s">
        <v>3476</v>
      </c>
    </row>
    <row r="13597" spans="1:8" x14ac:dyDescent="0.25">
      <c r="A13597" t="str">
        <f>"&lt;category name=" &amp;"""" &amp;$C$13588&amp;"""/&gt;"</f>
        <v>&lt;category name="food"/&gt;</v>
      </c>
      <c r="B13597" t="s">
        <v>3476</v>
      </c>
    </row>
    <row r="13598" spans="1:8" x14ac:dyDescent="0.25">
      <c r="A13598" t="s">
        <v>22</v>
      </c>
      <c r="B13598" t="s">
        <v>3476</v>
      </c>
    </row>
    <row r="13599" spans="1:8" x14ac:dyDescent="0.25">
      <c r="A13599" t="s">
        <v>2439</v>
      </c>
      <c r="B13599" t="s">
        <v>1146</v>
      </c>
      <c r="C13599" t="s">
        <v>403</v>
      </c>
      <c r="D13599">
        <v>10</v>
      </c>
      <c r="E13599">
        <v>5600</v>
      </c>
      <c r="F13599">
        <v>1800</v>
      </c>
      <c r="G13599">
        <v>4</v>
      </c>
      <c r="H13599" t="s">
        <v>2440</v>
      </c>
    </row>
    <row r="13600" spans="1:8" x14ac:dyDescent="0.25">
      <c r="A13600" t="str">
        <f>"&lt;nominal&gt;" &amp;$D$13599&amp;"&lt;/nominal&gt;"</f>
        <v>&lt;nominal&gt;10&lt;/nominal&gt;</v>
      </c>
      <c r="B13600" t="s">
        <v>1146</v>
      </c>
    </row>
    <row r="13601" spans="1:8" x14ac:dyDescent="0.25">
      <c r="A13601" t="str">
        <f>"&lt;lifetime&gt;" &amp;$E$13599&amp;"&lt;/lifetime&gt;"</f>
        <v>&lt;lifetime&gt;5600&lt;/lifetime&gt;</v>
      </c>
      <c r="B13601" t="s">
        <v>1146</v>
      </c>
    </row>
    <row r="13602" spans="1:8" x14ac:dyDescent="0.25">
      <c r="A13602" t="str">
        <f>"&lt;restock&gt;" &amp;$F$13599&amp;"&lt;/restock&gt;"</f>
        <v>&lt;restock&gt;1800&lt;/restock&gt;</v>
      </c>
      <c r="B13602" t="s">
        <v>1146</v>
      </c>
    </row>
    <row r="13603" spans="1:8" x14ac:dyDescent="0.25">
      <c r="A13603" t="str">
        <f>"&lt;min&gt;" &amp;$G$13599&amp;"&lt;/min&gt;"</f>
        <v>&lt;min&gt;4&lt;/min&gt;</v>
      </c>
      <c r="B13603" t="s">
        <v>1146</v>
      </c>
    </row>
    <row r="13604" spans="1:8" x14ac:dyDescent="0.25">
      <c r="A13604" t="s">
        <v>16</v>
      </c>
      <c r="B13604" t="s">
        <v>1146</v>
      </c>
    </row>
    <row r="13605" spans="1:8" x14ac:dyDescent="0.25">
      <c r="A13605" t="s">
        <v>17</v>
      </c>
      <c r="B13605" t="s">
        <v>1146</v>
      </c>
    </row>
    <row r="13606" spans="1:8" x14ac:dyDescent="0.25">
      <c r="A13606" t="s">
        <v>18</v>
      </c>
      <c r="B13606" t="s">
        <v>1146</v>
      </c>
    </row>
    <row r="13607" spans="1:8" x14ac:dyDescent="0.25">
      <c r="A13607" t="str">
        <f xml:space="preserve"> $H$13599</f>
        <v>&lt;flags count_in_cargo="1" count_in_hoarder="0" count_in_map="1" count_in_player="0" crafted="0" deloot="0"/&gt;</v>
      </c>
      <c r="B13607" t="s">
        <v>1146</v>
      </c>
    </row>
    <row r="13608" spans="1:8" x14ac:dyDescent="0.25">
      <c r="A13608" t="str">
        <f>"&lt;category name=" &amp;"""" &amp;$C$13599&amp;"""/&gt;"</f>
        <v>&lt;category name="clothes"/&gt;</v>
      </c>
      <c r="B13608" t="s">
        <v>1146</v>
      </c>
    </row>
    <row r="13609" spans="1:8" x14ac:dyDescent="0.25">
      <c r="A13609" t="s">
        <v>29</v>
      </c>
      <c r="B13609" t="s">
        <v>1146</v>
      </c>
    </row>
    <row r="13610" spans="1:8" x14ac:dyDescent="0.25">
      <c r="A13610" t="s">
        <v>22</v>
      </c>
      <c r="B13610" t="s">
        <v>1146</v>
      </c>
    </row>
    <row r="13611" spans="1:8" x14ac:dyDescent="0.25">
      <c r="A13611" t="s">
        <v>2441</v>
      </c>
      <c r="B13611" t="s">
        <v>1147</v>
      </c>
      <c r="C13611" t="s">
        <v>403</v>
      </c>
      <c r="D13611">
        <v>5</v>
      </c>
      <c r="E13611">
        <v>5600</v>
      </c>
      <c r="F13611">
        <v>1800</v>
      </c>
      <c r="G13611">
        <v>3</v>
      </c>
      <c r="H13611" t="s">
        <v>2440</v>
      </c>
    </row>
    <row r="13612" spans="1:8" x14ac:dyDescent="0.25">
      <c r="A13612" t="str">
        <f>"&lt;nominal&gt;" &amp;$D$13611&amp;"&lt;/nominal&gt;"</f>
        <v>&lt;nominal&gt;5&lt;/nominal&gt;</v>
      </c>
      <c r="B13612" t="s">
        <v>1147</v>
      </c>
    </row>
    <row r="13613" spans="1:8" x14ac:dyDescent="0.25">
      <c r="A13613" t="str">
        <f>"&lt;lifetime&gt;" &amp;$E$13611&amp;"&lt;/lifetime&gt;"</f>
        <v>&lt;lifetime&gt;5600&lt;/lifetime&gt;</v>
      </c>
      <c r="B13613" t="s">
        <v>1147</v>
      </c>
    </row>
    <row r="13614" spans="1:8" x14ac:dyDescent="0.25">
      <c r="A13614" t="str">
        <f>"&lt;restock&gt;" &amp;$F$13611&amp;"&lt;/restock&gt;"</f>
        <v>&lt;restock&gt;1800&lt;/restock&gt;</v>
      </c>
      <c r="B13614" t="s">
        <v>1147</v>
      </c>
    </row>
    <row r="13615" spans="1:8" x14ac:dyDescent="0.25">
      <c r="A13615" t="str">
        <f>"&lt;min&gt;" &amp;$G$13611&amp;"&lt;/min&gt;"</f>
        <v>&lt;min&gt;3&lt;/min&gt;</v>
      </c>
      <c r="B13615" t="s">
        <v>1147</v>
      </c>
    </row>
    <row r="13616" spans="1:8" x14ac:dyDescent="0.25">
      <c r="A13616" t="s">
        <v>16</v>
      </c>
      <c r="B13616" t="s">
        <v>1147</v>
      </c>
    </row>
    <row r="13617" spans="1:8" x14ac:dyDescent="0.25">
      <c r="A13617" t="s">
        <v>17</v>
      </c>
      <c r="B13617" t="s">
        <v>1147</v>
      </c>
    </row>
    <row r="13618" spans="1:8" x14ac:dyDescent="0.25">
      <c r="A13618" t="s">
        <v>18</v>
      </c>
      <c r="B13618" t="s">
        <v>1147</v>
      </c>
    </row>
    <row r="13619" spans="1:8" x14ac:dyDescent="0.25">
      <c r="A13619" t="str">
        <f xml:space="preserve"> $H$13611</f>
        <v>&lt;flags count_in_cargo="1" count_in_hoarder="0" count_in_map="1" count_in_player="0" crafted="0" deloot="0"/&gt;</v>
      </c>
      <c r="B13619" t="s">
        <v>1147</v>
      </c>
    </row>
    <row r="13620" spans="1:8" x14ac:dyDescent="0.25">
      <c r="A13620" t="str">
        <f>"&lt;category name=" &amp;"""" &amp;$C$13611&amp;"""/&gt;"</f>
        <v>&lt;category name="clothes"/&gt;</v>
      </c>
      <c r="B13620" t="s">
        <v>1147</v>
      </c>
    </row>
    <row r="13621" spans="1:8" x14ac:dyDescent="0.25">
      <c r="A13621" t="s">
        <v>29</v>
      </c>
      <c r="B13621" t="s">
        <v>1147</v>
      </c>
    </row>
    <row r="13622" spans="1:8" x14ac:dyDescent="0.25">
      <c r="A13622" t="s">
        <v>22</v>
      </c>
      <c r="B13622" t="s">
        <v>1147</v>
      </c>
    </row>
    <row r="13623" spans="1:8" x14ac:dyDescent="0.25">
      <c r="A13623" t="s">
        <v>2442</v>
      </c>
      <c r="B13623" t="s">
        <v>1148</v>
      </c>
      <c r="C13623" t="s">
        <v>403</v>
      </c>
      <c r="D13623">
        <v>10</v>
      </c>
      <c r="E13623">
        <v>5600</v>
      </c>
      <c r="F13623">
        <v>1800</v>
      </c>
      <c r="G13623">
        <v>4</v>
      </c>
      <c r="H13623" t="s">
        <v>2440</v>
      </c>
    </row>
    <row r="13624" spans="1:8" x14ac:dyDescent="0.25">
      <c r="A13624" t="str">
        <f>"&lt;nominal&gt;" &amp;$D$13623&amp;"&lt;/nominal&gt;"</f>
        <v>&lt;nominal&gt;10&lt;/nominal&gt;</v>
      </c>
      <c r="B13624" t="s">
        <v>1148</v>
      </c>
    </row>
    <row r="13625" spans="1:8" x14ac:dyDescent="0.25">
      <c r="A13625" t="str">
        <f>"&lt;lifetime&gt;" &amp;$E$13623&amp;"&lt;/lifetime&gt;"</f>
        <v>&lt;lifetime&gt;5600&lt;/lifetime&gt;</v>
      </c>
      <c r="B13625" t="s">
        <v>1148</v>
      </c>
    </row>
    <row r="13626" spans="1:8" x14ac:dyDescent="0.25">
      <c r="A13626" t="str">
        <f>"&lt;restock&gt;" &amp;$F$13623&amp;"&lt;/restock&gt;"</f>
        <v>&lt;restock&gt;1800&lt;/restock&gt;</v>
      </c>
      <c r="B13626" t="s">
        <v>1148</v>
      </c>
    </row>
    <row r="13627" spans="1:8" x14ac:dyDescent="0.25">
      <c r="A13627" t="str">
        <f>"&lt;min&gt;" &amp;$G$13623&amp;"&lt;/min&gt;"</f>
        <v>&lt;min&gt;4&lt;/min&gt;</v>
      </c>
      <c r="B13627" t="s">
        <v>1148</v>
      </c>
    </row>
    <row r="13628" spans="1:8" x14ac:dyDescent="0.25">
      <c r="A13628" t="s">
        <v>16</v>
      </c>
      <c r="B13628" t="s">
        <v>1148</v>
      </c>
    </row>
    <row r="13629" spans="1:8" x14ac:dyDescent="0.25">
      <c r="A13629" t="s">
        <v>17</v>
      </c>
      <c r="B13629" t="s">
        <v>1148</v>
      </c>
    </row>
    <row r="13630" spans="1:8" x14ac:dyDescent="0.25">
      <c r="A13630" t="s">
        <v>18</v>
      </c>
      <c r="B13630" t="s">
        <v>1148</v>
      </c>
    </row>
    <row r="13631" spans="1:8" x14ac:dyDescent="0.25">
      <c r="A13631" t="str">
        <f xml:space="preserve"> $H$13623</f>
        <v>&lt;flags count_in_cargo="1" count_in_hoarder="0" count_in_map="1" count_in_player="0" crafted="0" deloot="0"/&gt;</v>
      </c>
      <c r="B13631" t="s">
        <v>1148</v>
      </c>
    </row>
    <row r="13632" spans="1:8" x14ac:dyDescent="0.25">
      <c r="A13632" t="str">
        <f>"&lt;category name=" &amp;"""" &amp;$C$13623&amp;"""/&gt;"</f>
        <v>&lt;category name="clothes"/&gt;</v>
      </c>
      <c r="B13632" t="s">
        <v>1148</v>
      </c>
    </row>
    <row r="13633" spans="1:8" x14ac:dyDescent="0.25">
      <c r="A13633" t="s">
        <v>29</v>
      </c>
      <c r="B13633" t="s">
        <v>1148</v>
      </c>
    </row>
    <row r="13634" spans="1:8" x14ac:dyDescent="0.25">
      <c r="A13634" t="s">
        <v>22</v>
      </c>
      <c r="B13634" t="s">
        <v>1148</v>
      </c>
    </row>
    <row r="13635" spans="1:8" x14ac:dyDescent="0.25">
      <c r="A13635" t="s">
        <v>2443</v>
      </c>
      <c r="B13635" t="s">
        <v>1149</v>
      </c>
      <c r="C13635" t="s">
        <v>403</v>
      </c>
      <c r="D13635">
        <v>10</v>
      </c>
      <c r="E13635">
        <v>5600</v>
      </c>
      <c r="F13635">
        <v>1800</v>
      </c>
      <c r="G13635">
        <v>4</v>
      </c>
      <c r="H13635" t="s">
        <v>2440</v>
      </c>
    </row>
    <row r="13636" spans="1:8" x14ac:dyDescent="0.25">
      <c r="A13636" t="str">
        <f>"&lt;nominal&gt;" &amp;$D$13635&amp;"&lt;/nominal&gt;"</f>
        <v>&lt;nominal&gt;10&lt;/nominal&gt;</v>
      </c>
      <c r="B13636" t="s">
        <v>1149</v>
      </c>
    </row>
    <row r="13637" spans="1:8" x14ac:dyDescent="0.25">
      <c r="A13637" t="str">
        <f>"&lt;lifetime&gt;" &amp;$E$13635&amp;"&lt;/lifetime&gt;"</f>
        <v>&lt;lifetime&gt;5600&lt;/lifetime&gt;</v>
      </c>
      <c r="B13637" t="s">
        <v>1149</v>
      </c>
    </row>
    <row r="13638" spans="1:8" x14ac:dyDescent="0.25">
      <c r="A13638" t="str">
        <f>"&lt;restock&gt;" &amp;$F$13635&amp;"&lt;/restock&gt;"</f>
        <v>&lt;restock&gt;1800&lt;/restock&gt;</v>
      </c>
      <c r="B13638" t="s">
        <v>1149</v>
      </c>
    </row>
    <row r="13639" spans="1:8" x14ac:dyDescent="0.25">
      <c r="A13639" t="str">
        <f>"&lt;min&gt;" &amp;$G$13635&amp;"&lt;/min&gt;"</f>
        <v>&lt;min&gt;4&lt;/min&gt;</v>
      </c>
      <c r="B13639" t="s">
        <v>1149</v>
      </c>
    </row>
    <row r="13640" spans="1:8" x14ac:dyDescent="0.25">
      <c r="A13640" t="s">
        <v>16</v>
      </c>
      <c r="B13640" t="s">
        <v>1149</v>
      </c>
    </row>
    <row r="13641" spans="1:8" x14ac:dyDescent="0.25">
      <c r="A13641" t="s">
        <v>17</v>
      </c>
      <c r="B13641" t="s">
        <v>1149</v>
      </c>
    </row>
    <row r="13642" spans="1:8" x14ac:dyDescent="0.25">
      <c r="A13642" t="s">
        <v>18</v>
      </c>
      <c r="B13642" t="s">
        <v>1149</v>
      </c>
    </row>
    <row r="13643" spans="1:8" x14ac:dyDescent="0.25">
      <c r="A13643" t="str">
        <f xml:space="preserve"> $H$13635</f>
        <v>&lt;flags count_in_cargo="1" count_in_hoarder="0" count_in_map="1" count_in_player="0" crafted="0" deloot="0"/&gt;</v>
      </c>
      <c r="B13643" t="s">
        <v>1149</v>
      </c>
    </row>
    <row r="13644" spans="1:8" x14ac:dyDescent="0.25">
      <c r="A13644" t="str">
        <f>"&lt;category name=" &amp;"""" &amp;$C$13635&amp;"""/&gt;"</f>
        <v>&lt;category name="clothes"/&gt;</v>
      </c>
      <c r="B13644" t="s">
        <v>1149</v>
      </c>
    </row>
    <row r="13645" spans="1:8" x14ac:dyDescent="0.25">
      <c r="A13645" t="s">
        <v>29</v>
      </c>
      <c r="B13645" t="s">
        <v>1149</v>
      </c>
    </row>
    <row r="13646" spans="1:8" x14ac:dyDescent="0.25">
      <c r="A13646" t="s">
        <v>22</v>
      </c>
      <c r="B13646" t="s">
        <v>1149</v>
      </c>
    </row>
    <row r="13647" spans="1:8" x14ac:dyDescent="0.25">
      <c r="A13647" t="s">
        <v>2444</v>
      </c>
      <c r="B13647" t="s">
        <v>1150</v>
      </c>
      <c r="C13647" t="s">
        <v>8</v>
      </c>
      <c r="D13647">
        <v>10</v>
      </c>
      <c r="E13647">
        <v>10800</v>
      </c>
      <c r="F13647">
        <v>0</v>
      </c>
      <c r="G13647">
        <v>5</v>
      </c>
      <c r="H13647" t="s">
        <v>19</v>
      </c>
    </row>
    <row r="13648" spans="1:8" x14ac:dyDescent="0.25">
      <c r="A13648" t="str">
        <f>"&lt;nominal&gt;" &amp;$D$13647&amp;"&lt;/nominal&gt;"</f>
        <v>&lt;nominal&gt;10&lt;/nominal&gt;</v>
      </c>
      <c r="B13648" t="s">
        <v>1150</v>
      </c>
    </row>
    <row r="13649" spans="1:8" x14ac:dyDescent="0.25">
      <c r="A13649" t="str">
        <f>"&lt;lifetime&gt;" &amp;$E$13647&amp;"&lt;/lifetime&gt;"</f>
        <v>&lt;lifetime&gt;10800&lt;/lifetime&gt;</v>
      </c>
      <c r="B13649" t="s">
        <v>1150</v>
      </c>
    </row>
    <row r="13650" spans="1:8" x14ac:dyDescent="0.25">
      <c r="A13650" t="str">
        <f>"&lt;restock&gt;" &amp;$F$13647&amp;"&lt;/restock&gt;"</f>
        <v>&lt;restock&gt;0&lt;/restock&gt;</v>
      </c>
      <c r="B13650" t="s">
        <v>1150</v>
      </c>
    </row>
    <row r="13651" spans="1:8" x14ac:dyDescent="0.25">
      <c r="A13651" t="str">
        <f>"&lt;min&gt;" &amp;$G$13647&amp;"&lt;/min&gt;"</f>
        <v>&lt;min&gt;5&lt;/min&gt;</v>
      </c>
      <c r="B13651" t="s">
        <v>1150</v>
      </c>
    </row>
    <row r="13652" spans="1:8" x14ac:dyDescent="0.25">
      <c r="A13652" t="s">
        <v>16</v>
      </c>
      <c r="B13652" t="s">
        <v>1150</v>
      </c>
    </row>
    <row r="13653" spans="1:8" x14ac:dyDescent="0.25">
      <c r="A13653" t="s">
        <v>17</v>
      </c>
      <c r="B13653" t="s">
        <v>1150</v>
      </c>
    </row>
    <row r="13654" spans="1:8" x14ac:dyDescent="0.25">
      <c r="A13654" t="s">
        <v>18</v>
      </c>
      <c r="B13654" t="s">
        <v>1150</v>
      </c>
    </row>
    <row r="13655" spans="1:8" x14ac:dyDescent="0.25">
      <c r="A13655" t="str">
        <f xml:space="preserve"> $H$13647</f>
        <v>&lt;flags count_in_cargo="0" count_in_hoarder="0" count_in_map="1" count_in_player="0" crafted="0" deloot="0"/&gt;</v>
      </c>
      <c r="B13655" t="s">
        <v>1150</v>
      </c>
    </row>
    <row r="13656" spans="1:8" x14ac:dyDescent="0.25">
      <c r="A13656" t="str">
        <f>"&lt;category name=" &amp;"""" &amp;$C$13647&amp;"""/&gt;"</f>
        <v>&lt;category name="weapons"/&gt;</v>
      </c>
      <c r="B13656" t="s">
        <v>1150</v>
      </c>
    </row>
    <row r="13657" spans="1:8" x14ac:dyDescent="0.25">
      <c r="A13657" t="s">
        <v>29</v>
      </c>
      <c r="B13657" t="s">
        <v>1150</v>
      </c>
    </row>
    <row r="13658" spans="1:8" x14ac:dyDescent="0.25">
      <c r="A13658" t="s">
        <v>30</v>
      </c>
      <c r="B13658" t="s">
        <v>1150</v>
      </c>
    </row>
    <row r="13659" spans="1:8" x14ac:dyDescent="0.25">
      <c r="A13659" t="s">
        <v>31</v>
      </c>
      <c r="B13659" t="s">
        <v>1150</v>
      </c>
    </row>
    <row r="13660" spans="1:8" x14ac:dyDescent="0.25">
      <c r="A13660" t="s">
        <v>22</v>
      </c>
      <c r="B13660" t="s">
        <v>1150</v>
      </c>
    </row>
    <row r="13661" spans="1:8" x14ac:dyDescent="0.25">
      <c r="B13661" t="s">
        <v>1150</v>
      </c>
    </row>
    <row r="13662" spans="1:8" x14ac:dyDescent="0.25">
      <c r="A13662" t="s">
        <v>2777</v>
      </c>
      <c r="B13662" t="s">
        <v>2814</v>
      </c>
      <c r="C13662" t="s">
        <v>8</v>
      </c>
      <c r="D13662">
        <v>10</v>
      </c>
      <c r="E13662">
        <v>10800</v>
      </c>
      <c r="F13662">
        <v>0</v>
      </c>
      <c r="G13662">
        <v>5</v>
      </c>
      <c r="H13662" t="s">
        <v>19</v>
      </c>
    </row>
    <row r="13663" spans="1:8" x14ac:dyDescent="0.25">
      <c r="A13663" t="str">
        <f>"&lt;nominal&gt;" &amp;$D$13662&amp;"&lt;/nominal&gt;"</f>
        <v>&lt;nominal&gt;10&lt;/nominal&gt;</v>
      </c>
      <c r="B13663" t="s">
        <v>2814</v>
      </c>
    </row>
    <row r="13664" spans="1:8" x14ac:dyDescent="0.25">
      <c r="A13664" t="str">
        <f>"&lt;lifetime&gt;" &amp;$E$13662&amp;"&lt;/lifetime&gt;"</f>
        <v>&lt;lifetime&gt;10800&lt;/lifetime&gt;</v>
      </c>
      <c r="B13664" t="s">
        <v>2814</v>
      </c>
    </row>
    <row r="13665" spans="1:8" x14ac:dyDescent="0.25">
      <c r="A13665" t="str">
        <f>"&lt;restock&gt;" &amp;$F$13662&amp;"&lt;/restock&gt;"</f>
        <v>&lt;restock&gt;0&lt;/restock&gt;</v>
      </c>
      <c r="B13665" t="s">
        <v>2814</v>
      </c>
    </row>
    <row r="13666" spans="1:8" x14ac:dyDescent="0.25">
      <c r="A13666" t="str">
        <f>"&lt;min&gt;" &amp;$G$13662&amp;"&lt;/min&gt;"</f>
        <v>&lt;min&gt;5&lt;/min&gt;</v>
      </c>
      <c r="B13666" t="s">
        <v>2814</v>
      </c>
    </row>
    <row r="13667" spans="1:8" x14ac:dyDescent="0.25">
      <c r="A13667" t="s">
        <v>16</v>
      </c>
      <c r="B13667" t="s">
        <v>2814</v>
      </c>
    </row>
    <row r="13668" spans="1:8" x14ac:dyDescent="0.25">
      <c r="A13668" t="s">
        <v>17</v>
      </c>
      <c r="B13668" t="s">
        <v>2814</v>
      </c>
    </row>
    <row r="13669" spans="1:8" x14ac:dyDescent="0.25">
      <c r="A13669" t="s">
        <v>18</v>
      </c>
      <c r="B13669" t="s">
        <v>2814</v>
      </c>
    </row>
    <row r="13670" spans="1:8" x14ac:dyDescent="0.25">
      <c r="A13670" t="str">
        <f xml:space="preserve"> $H$13662</f>
        <v>&lt;flags count_in_cargo="0" count_in_hoarder="0" count_in_map="1" count_in_player="0" crafted="0" deloot="0"/&gt;</v>
      </c>
      <c r="B13670" t="s">
        <v>2814</v>
      </c>
    </row>
    <row r="13671" spans="1:8" x14ac:dyDescent="0.25">
      <c r="A13671" t="str">
        <f>"&lt;category name=" &amp;"""" &amp;$C$13662&amp;"""/&gt;"</f>
        <v>&lt;category name="weapons"/&gt;</v>
      </c>
      <c r="B13671" t="s">
        <v>2814</v>
      </c>
    </row>
    <row r="13672" spans="1:8" x14ac:dyDescent="0.25">
      <c r="A13672" t="s">
        <v>29</v>
      </c>
      <c r="B13672" t="s">
        <v>2814</v>
      </c>
    </row>
    <row r="13673" spans="1:8" x14ac:dyDescent="0.25">
      <c r="A13673" t="s">
        <v>82</v>
      </c>
      <c r="B13673" t="s">
        <v>2814</v>
      </c>
    </row>
    <row r="13674" spans="1:8" x14ac:dyDescent="0.25">
      <c r="A13674" t="s">
        <v>30</v>
      </c>
      <c r="B13674" t="s">
        <v>2814</v>
      </c>
    </row>
    <row r="13675" spans="1:8" x14ac:dyDescent="0.25">
      <c r="A13675" t="s">
        <v>31</v>
      </c>
      <c r="B13675" t="s">
        <v>2814</v>
      </c>
    </row>
    <row r="13676" spans="1:8" x14ac:dyDescent="0.25">
      <c r="A13676" t="s">
        <v>22</v>
      </c>
      <c r="B13676" t="s">
        <v>2814</v>
      </c>
    </row>
    <row r="13677" spans="1:8" x14ac:dyDescent="0.25">
      <c r="A13677" t="s">
        <v>2818</v>
      </c>
      <c r="B13677" t="s">
        <v>3020</v>
      </c>
      <c r="C13677" t="s">
        <v>8</v>
      </c>
      <c r="D13677">
        <v>10</v>
      </c>
      <c r="E13677">
        <v>10800</v>
      </c>
      <c r="F13677">
        <v>0</v>
      </c>
      <c r="G13677">
        <v>5</v>
      </c>
      <c r="H13677" t="s">
        <v>19</v>
      </c>
    </row>
    <row r="13678" spans="1:8" x14ac:dyDescent="0.25">
      <c r="A13678" t="str">
        <f>"&lt;nominal&gt;" &amp;$D$13677&amp;"&lt;/nominal&gt;"</f>
        <v>&lt;nominal&gt;10&lt;/nominal&gt;</v>
      </c>
      <c r="B13678" t="s">
        <v>3020</v>
      </c>
    </row>
    <row r="13679" spans="1:8" x14ac:dyDescent="0.25">
      <c r="A13679" t="str">
        <f>"&lt;lifetime&gt;" &amp;$E$13677&amp;"&lt;/lifetime&gt;"</f>
        <v>&lt;lifetime&gt;10800&lt;/lifetime&gt;</v>
      </c>
      <c r="B13679" t="s">
        <v>3020</v>
      </c>
    </row>
    <row r="13680" spans="1:8" x14ac:dyDescent="0.25">
      <c r="A13680" t="str">
        <f>"&lt;restock&gt;" &amp;$F$13677&amp;"&lt;/restock&gt;"</f>
        <v>&lt;restock&gt;0&lt;/restock&gt;</v>
      </c>
      <c r="B13680" t="s">
        <v>3020</v>
      </c>
    </row>
    <row r="13681" spans="1:8" x14ac:dyDescent="0.25">
      <c r="A13681" t="str">
        <f>"&lt;min&gt;" &amp;$G$13677&amp;"&lt;/min&gt;"</f>
        <v>&lt;min&gt;5&lt;/min&gt;</v>
      </c>
      <c r="B13681" t="s">
        <v>3020</v>
      </c>
    </row>
    <row r="13682" spans="1:8" x14ac:dyDescent="0.25">
      <c r="A13682" t="s">
        <v>16</v>
      </c>
      <c r="B13682" t="s">
        <v>3020</v>
      </c>
    </row>
    <row r="13683" spans="1:8" x14ac:dyDescent="0.25">
      <c r="A13683" t="s">
        <v>17</v>
      </c>
      <c r="B13683" t="s">
        <v>3020</v>
      </c>
    </row>
    <row r="13684" spans="1:8" x14ac:dyDescent="0.25">
      <c r="A13684" t="s">
        <v>18</v>
      </c>
      <c r="B13684" t="s">
        <v>3020</v>
      </c>
    </row>
    <row r="13685" spans="1:8" x14ac:dyDescent="0.25">
      <c r="A13685" t="str">
        <f xml:space="preserve"> $H$13677</f>
        <v>&lt;flags count_in_cargo="0" count_in_hoarder="0" count_in_map="1" count_in_player="0" crafted="0" deloot="0"/&gt;</v>
      </c>
      <c r="B13685" t="s">
        <v>3020</v>
      </c>
    </row>
    <row r="13686" spans="1:8" x14ac:dyDescent="0.25">
      <c r="A13686" t="str">
        <f>"&lt;category name=" &amp;"""" &amp;$C$13677&amp;"""/&gt;"</f>
        <v>&lt;category name="weapons"/&gt;</v>
      </c>
      <c r="B13686" t="s">
        <v>3020</v>
      </c>
    </row>
    <row r="13687" spans="1:8" x14ac:dyDescent="0.25">
      <c r="A13687" t="s">
        <v>29</v>
      </c>
      <c r="B13687" t="s">
        <v>3020</v>
      </c>
    </row>
    <row r="13688" spans="1:8" x14ac:dyDescent="0.25">
      <c r="A13688" t="s">
        <v>82</v>
      </c>
      <c r="B13688" t="s">
        <v>3020</v>
      </c>
    </row>
    <row r="13689" spans="1:8" x14ac:dyDescent="0.25">
      <c r="A13689" t="s">
        <v>30</v>
      </c>
      <c r="B13689" t="s">
        <v>3020</v>
      </c>
    </row>
    <row r="13690" spans="1:8" x14ac:dyDescent="0.25">
      <c r="A13690" t="s">
        <v>31</v>
      </c>
      <c r="B13690" t="s">
        <v>3020</v>
      </c>
    </row>
    <row r="13691" spans="1:8" x14ac:dyDescent="0.25">
      <c r="A13691" t="s">
        <v>22</v>
      </c>
      <c r="B13691" t="s">
        <v>3020</v>
      </c>
    </row>
    <row r="13692" spans="1:8" x14ac:dyDescent="0.25">
      <c r="A13692" t="s">
        <v>2819</v>
      </c>
      <c r="B13692" t="s">
        <v>2815</v>
      </c>
      <c r="C13692" t="s">
        <v>8</v>
      </c>
      <c r="D13692">
        <v>10</v>
      </c>
      <c r="E13692">
        <v>10800</v>
      </c>
      <c r="F13692">
        <v>0</v>
      </c>
      <c r="G13692">
        <v>5</v>
      </c>
      <c r="H13692" t="s">
        <v>19</v>
      </c>
    </row>
    <row r="13693" spans="1:8" x14ac:dyDescent="0.25">
      <c r="A13693" t="str">
        <f>"&lt;nominal&gt;" &amp;$D$13692&amp;"&lt;/nominal&gt;"</f>
        <v>&lt;nominal&gt;10&lt;/nominal&gt;</v>
      </c>
      <c r="B13693" t="s">
        <v>2815</v>
      </c>
    </row>
    <row r="13694" spans="1:8" x14ac:dyDescent="0.25">
      <c r="A13694" t="str">
        <f>"&lt;lifetime&gt;" &amp;$E$13692&amp;"&lt;/lifetime&gt;"</f>
        <v>&lt;lifetime&gt;10800&lt;/lifetime&gt;</v>
      </c>
      <c r="B13694" t="s">
        <v>2815</v>
      </c>
    </row>
    <row r="13695" spans="1:8" x14ac:dyDescent="0.25">
      <c r="A13695" t="str">
        <f>"&lt;restock&gt;" &amp;$F$13692&amp;"&lt;/restock&gt;"</f>
        <v>&lt;restock&gt;0&lt;/restock&gt;</v>
      </c>
      <c r="B13695" t="s">
        <v>2815</v>
      </c>
    </row>
    <row r="13696" spans="1:8" x14ac:dyDescent="0.25">
      <c r="A13696" t="str">
        <f>"&lt;min&gt;" &amp;$G$13692&amp;"&lt;/min&gt;"</f>
        <v>&lt;min&gt;5&lt;/min&gt;</v>
      </c>
      <c r="B13696" t="s">
        <v>2815</v>
      </c>
    </row>
    <row r="13697" spans="1:8" x14ac:dyDescent="0.25">
      <c r="A13697" t="s">
        <v>16</v>
      </c>
      <c r="B13697" t="s">
        <v>2815</v>
      </c>
    </row>
    <row r="13698" spans="1:8" x14ac:dyDescent="0.25">
      <c r="A13698" t="s">
        <v>17</v>
      </c>
      <c r="B13698" t="s">
        <v>2815</v>
      </c>
    </row>
    <row r="13699" spans="1:8" x14ac:dyDescent="0.25">
      <c r="A13699" t="s">
        <v>18</v>
      </c>
      <c r="B13699" t="s">
        <v>2815</v>
      </c>
    </row>
    <row r="13700" spans="1:8" x14ac:dyDescent="0.25">
      <c r="A13700" t="str">
        <f xml:space="preserve"> $H$13692</f>
        <v>&lt;flags count_in_cargo="0" count_in_hoarder="0" count_in_map="1" count_in_player="0" crafted="0" deloot="0"/&gt;</v>
      </c>
      <c r="B13700" t="s">
        <v>2815</v>
      </c>
    </row>
    <row r="13701" spans="1:8" x14ac:dyDescent="0.25">
      <c r="A13701" t="str">
        <f>"&lt;category name=" &amp;"""" &amp;$C$13692&amp;"""/&gt;"</f>
        <v>&lt;category name="weapons"/&gt;</v>
      </c>
      <c r="B13701" t="s">
        <v>2815</v>
      </c>
    </row>
    <row r="13702" spans="1:8" x14ac:dyDescent="0.25">
      <c r="A13702" t="s">
        <v>29</v>
      </c>
      <c r="B13702" t="s">
        <v>2815</v>
      </c>
    </row>
    <row r="13703" spans="1:8" x14ac:dyDescent="0.25">
      <c r="A13703" t="s">
        <v>82</v>
      </c>
      <c r="B13703" t="s">
        <v>2815</v>
      </c>
    </row>
    <row r="13704" spans="1:8" x14ac:dyDescent="0.25">
      <c r="A13704" t="s">
        <v>30</v>
      </c>
      <c r="B13704" t="s">
        <v>2815</v>
      </c>
    </row>
    <row r="13705" spans="1:8" x14ac:dyDescent="0.25">
      <c r="A13705" t="s">
        <v>31</v>
      </c>
      <c r="B13705" t="s">
        <v>2815</v>
      </c>
    </row>
    <row r="13706" spans="1:8" x14ac:dyDescent="0.25">
      <c r="A13706" t="s">
        <v>22</v>
      </c>
      <c r="B13706" t="s">
        <v>2815</v>
      </c>
    </row>
    <row r="13707" spans="1:8" x14ac:dyDescent="0.25">
      <c r="A13707" t="s">
        <v>2445</v>
      </c>
      <c r="B13707" t="s">
        <v>1151</v>
      </c>
      <c r="C13707" t="s">
        <v>403</v>
      </c>
      <c r="D13707">
        <v>5</v>
      </c>
      <c r="E13707">
        <v>5600</v>
      </c>
      <c r="F13707">
        <v>0</v>
      </c>
      <c r="G13707">
        <v>2</v>
      </c>
      <c r="H13707" t="s">
        <v>19</v>
      </c>
    </row>
    <row r="13708" spans="1:8" x14ac:dyDescent="0.25">
      <c r="A13708" t="str">
        <f>"&lt;nominal&gt;" &amp;$D$13707&amp;"&lt;/nominal&gt;"</f>
        <v>&lt;nominal&gt;5&lt;/nominal&gt;</v>
      </c>
      <c r="B13708" t="s">
        <v>1151</v>
      </c>
    </row>
    <row r="13709" spans="1:8" x14ac:dyDescent="0.25">
      <c r="A13709" t="str">
        <f>"&lt;lifetime&gt;" &amp;$E$13707&amp;"&lt;/lifetime&gt;"</f>
        <v>&lt;lifetime&gt;5600&lt;/lifetime&gt;</v>
      </c>
      <c r="B13709" t="s">
        <v>1151</v>
      </c>
    </row>
    <row r="13710" spans="1:8" x14ac:dyDescent="0.25">
      <c r="A13710" t="str">
        <f>"&lt;restock&gt;" &amp;$F$13707&amp;"&lt;/restock&gt;"</f>
        <v>&lt;restock&gt;0&lt;/restock&gt;</v>
      </c>
      <c r="B13710" t="s">
        <v>1151</v>
      </c>
    </row>
    <row r="13711" spans="1:8" x14ac:dyDescent="0.25">
      <c r="A13711" t="str">
        <f>"&lt;min&gt;" &amp;$G$13707&amp;"&lt;/min&gt;"</f>
        <v>&lt;min&gt;2&lt;/min&gt;</v>
      </c>
      <c r="B13711" t="s">
        <v>1151</v>
      </c>
    </row>
    <row r="13712" spans="1:8" x14ac:dyDescent="0.25">
      <c r="A13712" t="s">
        <v>16</v>
      </c>
      <c r="B13712" t="s">
        <v>1151</v>
      </c>
    </row>
    <row r="13713" spans="1:8" x14ac:dyDescent="0.25">
      <c r="A13713" t="s">
        <v>17</v>
      </c>
      <c r="B13713" t="s">
        <v>1151</v>
      </c>
    </row>
    <row r="13714" spans="1:8" x14ac:dyDescent="0.25">
      <c r="A13714" t="s">
        <v>18</v>
      </c>
      <c r="B13714" t="s">
        <v>1151</v>
      </c>
    </row>
    <row r="13715" spans="1:8" x14ac:dyDescent="0.25">
      <c r="A13715" t="str">
        <f xml:space="preserve"> $H$13707</f>
        <v>&lt;flags count_in_cargo="0" count_in_hoarder="0" count_in_map="1" count_in_player="0" crafted="0" deloot="0"/&gt;</v>
      </c>
      <c r="B13715" t="s">
        <v>1151</v>
      </c>
    </row>
    <row r="13716" spans="1:8" x14ac:dyDescent="0.25">
      <c r="A13716" t="str">
        <f>"&lt;category name=" &amp;"""" &amp;$C$13707&amp;"""/&gt;"</f>
        <v>&lt;category name="clothes"/&gt;</v>
      </c>
      <c r="B13716" t="s">
        <v>1151</v>
      </c>
    </row>
    <row r="13717" spans="1:8" x14ac:dyDescent="0.25">
      <c r="A13717" t="s">
        <v>29</v>
      </c>
      <c r="B13717" t="s">
        <v>1151</v>
      </c>
    </row>
    <row r="13718" spans="1:8" x14ac:dyDescent="0.25">
      <c r="A13718" t="s">
        <v>22</v>
      </c>
      <c r="B13718" t="s">
        <v>1151</v>
      </c>
    </row>
    <row r="13719" spans="1:8" x14ac:dyDescent="0.25">
      <c r="A13719" t="s">
        <v>2446</v>
      </c>
      <c r="B13719" t="s">
        <v>1152</v>
      </c>
      <c r="C13719" t="s">
        <v>403</v>
      </c>
      <c r="D13719">
        <v>5</v>
      </c>
      <c r="E13719">
        <v>5600</v>
      </c>
      <c r="F13719">
        <v>600</v>
      </c>
      <c r="G13719">
        <v>2</v>
      </c>
      <c r="H13719" t="s">
        <v>19</v>
      </c>
    </row>
    <row r="13720" spans="1:8" x14ac:dyDescent="0.25">
      <c r="A13720" t="str">
        <f>"&lt;nominal&gt;" &amp;$D$13719&amp;"&lt;/nominal&gt;"</f>
        <v>&lt;nominal&gt;5&lt;/nominal&gt;</v>
      </c>
      <c r="B13720" t="s">
        <v>1152</v>
      </c>
    </row>
    <row r="13721" spans="1:8" x14ac:dyDescent="0.25">
      <c r="A13721" t="str">
        <f>"&lt;lifetime&gt;" &amp;$E$13719&amp;"&lt;/lifetime&gt;"</f>
        <v>&lt;lifetime&gt;5600&lt;/lifetime&gt;</v>
      </c>
      <c r="B13721" t="s">
        <v>1152</v>
      </c>
    </row>
    <row r="13722" spans="1:8" x14ac:dyDescent="0.25">
      <c r="A13722" t="str">
        <f>"&lt;restock&gt;" &amp;$F$13719&amp;"&lt;/restock&gt;"</f>
        <v>&lt;restock&gt;600&lt;/restock&gt;</v>
      </c>
      <c r="B13722" t="s">
        <v>1152</v>
      </c>
    </row>
    <row r="13723" spans="1:8" x14ac:dyDescent="0.25">
      <c r="A13723" t="str">
        <f>"&lt;min&gt;" &amp;$G$13719&amp;"&lt;/min&gt;"</f>
        <v>&lt;min&gt;2&lt;/min&gt;</v>
      </c>
      <c r="B13723" t="s">
        <v>1152</v>
      </c>
    </row>
    <row r="13724" spans="1:8" x14ac:dyDescent="0.25">
      <c r="A13724" t="s">
        <v>16</v>
      </c>
      <c r="B13724" t="s">
        <v>1152</v>
      </c>
    </row>
    <row r="13725" spans="1:8" x14ac:dyDescent="0.25">
      <c r="A13725" t="s">
        <v>17</v>
      </c>
      <c r="B13725" t="s">
        <v>1152</v>
      </c>
    </row>
    <row r="13726" spans="1:8" x14ac:dyDescent="0.25">
      <c r="A13726" t="s">
        <v>18</v>
      </c>
      <c r="B13726" t="s">
        <v>1152</v>
      </c>
    </row>
    <row r="13727" spans="1:8" x14ac:dyDescent="0.25">
      <c r="A13727" t="str">
        <f xml:space="preserve"> $H$13719</f>
        <v>&lt;flags count_in_cargo="0" count_in_hoarder="0" count_in_map="1" count_in_player="0" crafted="0" deloot="0"/&gt;</v>
      </c>
      <c r="B13727" t="s">
        <v>1152</v>
      </c>
    </row>
    <row r="13728" spans="1:8" x14ac:dyDescent="0.25">
      <c r="A13728" t="str">
        <f>"&lt;category name=" &amp;"""" &amp;$C$13719&amp;"""/&gt;"</f>
        <v>&lt;category name="clothes"/&gt;</v>
      </c>
      <c r="B13728" t="s">
        <v>1152</v>
      </c>
    </row>
    <row r="13729" spans="1:8" x14ac:dyDescent="0.25">
      <c r="A13729" t="s">
        <v>29</v>
      </c>
      <c r="B13729" t="s">
        <v>1152</v>
      </c>
    </row>
    <row r="13730" spans="1:8" x14ac:dyDescent="0.25">
      <c r="A13730" t="s">
        <v>22</v>
      </c>
      <c r="B13730" t="s">
        <v>1152</v>
      </c>
    </row>
    <row r="13731" spans="1:8" x14ac:dyDescent="0.25">
      <c r="A13731" t="s">
        <v>2447</v>
      </c>
      <c r="B13731" t="s">
        <v>1153</v>
      </c>
      <c r="C13731" t="s">
        <v>403</v>
      </c>
      <c r="D13731">
        <v>5</v>
      </c>
      <c r="E13731">
        <v>5600</v>
      </c>
      <c r="F13731">
        <v>0</v>
      </c>
      <c r="G13731">
        <v>2</v>
      </c>
      <c r="H13731" t="s">
        <v>19</v>
      </c>
    </row>
    <row r="13732" spans="1:8" x14ac:dyDescent="0.25">
      <c r="A13732" t="str">
        <f>"&lt;nominal&gt;" &amp;$D$13731&amp;"&lt;/nominal&gt;"</f>
        <v>&lt;nominal&gt;5&lt;/nominal&gt;</v>
      </c>
      <c r="B13732" t="s">
        <v>1153</v>
      </c>
    </row>
    <row r="13733" spans="1:8" x14ac:dyDescent="0.25">
      <c r="A13733" t="str">
        <f>"&lt;lifetime&gt;" &amp;$E$13731&amp;"&lt;/lifetime&gt;"</f>
        <v>&lt;lifetime&gt;5600&lt;/lifetime&gt;</v>
      </c>
      <c r="B13733" t="s">
        <v>1153</v>
      </c>
    </row>
    <row r="13734" spans="1:8" x14ac:dyDescent="0.25">
      <c r="A13734" t="str">
        <f>"&lt;restock&gt;" &amp;$F$13731&amp;"&lt;/restock&gt;"</f>
        <v>&lt;restock&gt;0&lt;/restock&gt;</v>
      </c>
      <c r="B13734" t="s">
        <v>1153</v>
      </c>
    </row>
    <row r="13735" spans="1:8" x14ac:dyDescent="0.25">
      <c r="A13735" t="str">
        <f>"&lt;min&gt;" &amp;$G$13731&amp;"&lt;/min&gt;"</f>
        <v>&lt;min&gt;2&lt;/min&gt;</v>
      </c>
      <c r="B13735" t="s">
        <v>1153</v>
      </c>
    </row>
    <row r="13736" spans="1:8" x14ac:dyDescent="0.25">
      <c r="A13736" t="s">
        <v>16</v>
      </c>
      <c r="B13736" t="s">
        <v>1153</v>
      </c>
    </row>
    <row r="13737" spans="1:8" x14ac:dyDescent="0.25">
      <c r="A13737" t="s">
        <v>17</v>
      </c>
      <c r="B13737" t="s">
        <v>1153</v>
      </c>
    </row>
    <row r="13738" spans="1:8" x14ac:dyDescent="0.25">
      <c r="A13738" t="s">
        <v>18</v>
      </c>
      <c r="B13738" t="s">
        <v>1153</v>
      </c>
    </row>
    <row r="13739" spans="1:8" x14ac:dyDescent="0.25">
      <c r="A13739" t="str">
        <f xml:space="preserve"> $H$13731</f>
        <v>&lt;flags count_in_cargo="0" count_in_hoarder="0" count_in_map="1" count_in_player="0" crafted="0" deloot="0"/&gt;</v>
      </c>
      <c r="B13739" t="s">
        <v>1153</v>
      </c>
    </row>
    <row r="13740" spans="1:8" x14ac:dyDescent="0.25">
      <c r="A13740" t="str">
        <f>"&lt;category name=" &amp;"""" &amp;$C$13731&amp;"""/&gt;"</f>
        <v>&lt;category name="clothes"/&gt;</v>
      </c>
      <c r="B13740" t="s">
        <v>1153</v>
      </c>
    </row>
    <row r="13741" spans="1:8" x14ac:dyDescent="0.25">
      <c r="A13741" t="s">
        <v>29</v>
      </c>
      <c r="B13741" t="s">
        <v>1153</v>
      </c>
    </row>
    <row r="13742" spans="1:8" x14ac:dyDescent="0.25">
      <c r="A13742" t="s">
        <v>22</v>
      </c>
      <c r="B13742" t="s">
        <v>1153</v>
      </c>
    </row>
    <row r="13743" spans="1:8" x14ac:dyDescent="0.25">
      <c r="A13743" t="s">
        <v>2448</v>
      </c>
      <c r="B13743" t="s">
        <v>1154</v>
      </c>
      <c r="C13743" t="s">
        <v>403</v>
      </c>
      <c r="D13743">
        <v>5</v>
      </c>
      <c r="E13743">
        <v>5600</v>
      </c>
      <c r="F13743">
        <v>600</v>
      </c>
      <c r="G13743">
        <v>2</v>
      </c>
      <c r="H13743" t="s">
        <v>19</v>
      </c>
    </row>
    <row r="13744" spans="1:8" x14ac:dyDescent="0.25">
      <c r="A13744" t="str">
        <f>"&lt;nominal&gt;" &amp;$D$13743&amp;"&lt;/nominal&gt;"</f>
        <v>&lt;nominal&gt;5&lt;/nominal&gt;</v>
      </c>
      <c r="B13744" t="s">
        <v>1154</v>
      </c>
    </row>
    <row r="13745" spans="1:8" x14ac:dyDescent="0.25">
      <c r="A13745" t="str">
        <f>"&lt;lifetime&gt;" &amp;$E$13743&amp;"&lt;/lifetime&gt;"</f>
        <v>&lt;lifetime&gt;5600&lt;/lifetime&gt;</v>
      </c>
      <c r="B13745" t="s">
        <v>1154</v>
      </c>
    </row>
    <row r="13746" spans="1:8" x14ac:dyDescent="0.25">
      <c r="A13746" t="str">
        <f>"&lt;restock&gt;" &amp;$F$13743&amp;"&lt;/restock&gt;"</f>
        <v>&lt;restock&gt;600&lt;/restock&gt;</v>
      </c>
      <c r="B13746" t="s">
        <v>1154</v>
      </c>
    </row>
    <row r="13747" spans="1:8" x14ac:dyDescent="0.25">
      <c r="A13747" t="str">
        <f>"&lt;min&gt;" &amp;$G$13743&amp;"&lt;/min&gt;"</f>
        <v>&lt;min&gt;2&lt;/min&gt;</v>
      </c>
      <c r="B13747" t="s">
        <v>1154</v>
      </c>
    </row>
    <row r="13748" spans="1:8" x14ac:dyDescent="0.25">
      <c r="A13748" t="s">
        <v>16</v>
      </c>
      <c r="B13748" t="s">
        <v>1154</v>
      </c>
    </row>
    <row r="13749" spans="1:8" x14ac:dyDescent="0.25">
      <c r="A13749" t="s">
        <v>17</v>
      </c>
      <c r="B13749" t="s">
        <v>1154</v>
      </c>
    </row>
    <row r="13750" spans="1:8" x14ac:dyDescent="0.25">
      <c r="A13750" t="s">
        <v>18</v>
      </c>
      <c r="B13750" t="s">
        <v>1154</v>
      </c>
    </row>
    <row r="13751" spans="1:8" x14ac:dyDescent="0.25">
      <c r="A13751" t="str">
        <f xml:space="preserve"> $H$13743</f>
        <v>&lt;flags count_in_cargo="0" count_in_hoarder="0" count_in_map="1" count_in_player="0" crafted="0" deloot="0"/&gt;</v>
      </c>
      <c r="B13751" t="s">
        <v>1154</v>
      </c>
    </row>
    <row r="13752" spans="1:8" x14ac:dyDescent="0.25">
      <c r="A13752" t="str">
        <f>"&lt;category name=" &amp;"""" &amp;$C$13743&amp;"""/&gt;"</f>
        <v>&lt;category name="clothes"/&gt;</v>
      </c>
      <c r="B13752" t="s">
        <v>1154</v>
      </c>
    </row>
    <row r="13753" spans="1:8" x14ac:dyDescent="0.25">
      <c r="A13753" t="s">
        <v>29</v>
      </c>
      <c r="B13753" t="s">
        <v>1154</v>
      </c>
    </row>
    <row r="13754" spans="1:8" x14ac:dyDescent="0.25">
      <c r="A13754" t="s">
        <v>22</v>
      </c>
      <c r="B13754" t="s">
        <v>1154</v>
      </c>
    </row>
    <row r="13755" spans="1:8" x14ac:dyDescent="0.25">
      <c r="A13755" t="s">
        <v>2449</v>
      </c>
      <c r="B13755" t="s">
        <v>3477</v>
      </c>
      <c r="C13755" t="s">
        <v>363</v>
      </c>
      <c r="D13755">
        <v>0</v>
      </c>
      <c r="E13755">
        <v>3888000</v>
      </c>
      <c r="F13755">
        <v>0</v>
      </c>
      <c r="G13755">
        <v>0</v>
      </c>
      <c r="H13755" t="s">
        <v>62</v>
      </c>
    </row>
    <row r="13756" spans="1:8" x14ac:dyDescent="0.25">
      <c r="A13756" t="str">
        <f>"&lt;nominal&gt;" &amp;$D$13755&amp;"&lt;/nominal&gt;"</f>
        <v>&lt;nominal&gt;0&lt;/nominal&gt;</v>
      </c>
      <c r="B13756" t="s">
        <v>3477</v>
      </c>
    </row>
    <row r="13757" spans="1:8" x14ac:dyDescent="0.25">
      <c r="A13757" t="str">
        <f>"&lt;lifetime&gt;" &amp;$E$13755&amp;"&lt;/lifetime&gt;"</f>
        <v>&lt;lifetime&gt;3888000&lt;/lifetime&gt;</v>
      </c>
      <c r="B13757" t="s">
        <v>3477</v>
      </c>
    </row>
    <row r="13758" spans="1:8" x14ac:dyDescent="0.25">
      <c r="A13758" t="str">
        <f>"&lt;restock&gt;" &amp;$F$13755&amp;"&lt;/restock&gt;"</f>
        <v>&lt;restock&gt;0&lt;/restock&gt;</v>
      </c>
      <c r="B13758" t="s">
        <v>3477</v>
      </c>
    </row>
    <row r="13759" spans="1:8" x14ac:dyDescent="0.25">
      <c r="A13759" t="str">
        <f>"&lt;min&gt;" &amp;$G$13755&amp;"&lt;/min&gt;"</f>
        <v>&lt;min&gt;0&lt;/min&gt;</v>
      </c>
      <c r="B13759" t="s">
        <v>3477</v>
      </c>
    </row>
    <row r="13760" spans="1:8" x14ac:dyDescent="0.25">
      <c r="A13760" t="s">
        <v>16</v>
      </c>
      <c r="B13760" t="s">
        <v>3477</v>
      </c>
    </row>
    <row r="13761" spans="1:8" x14ac:dyDescent="0.25">
      <c r="A13761" t="s">
        <v>17</v>
      </c>
      <c r="B13761" t="s">
        <v>3477</v>
      </c>
    </row>
    <row r="13762" spans="1:8" x14ac:dyDescent="0.25">
      <c r="A13762" t="s">
        <v>18</v>
      </c>
      <c r="B13762" t="s">
        <v>3477</v>
      </c>
    </row>
    <row r="13763" spans="1:8" x14ac:dyDescent="0.25">
      <c r="A13763" t="str">
        <f xml:space="preserve"> $H$13755</f>
        <v>&lt;flags count_in_cargo="0" count_in_hoarder="0" count_in_map="1" count_in_player="0" crafted="1" deloot="0"/&gt;</v>
      </c>
      <c r="B13763" t="s">
        <v>3477</v>
      </c>
    </row>
    <row r="13764" spans="1:8" x14ac:dyDescent="0.25">
      <c r="A13764" t="str">
        <f>"&lt;category name=" &amp;"""" &amp;$C$13755&amp;"""/&gt;"</f>
        <v>&lt;category name="containers"/&gt;</v>
      </c>
      <c r="B13764" t="s">
        <v>3477</v>
      </c>
    </row>
    <row r="13765" spans="1:8" x14ac:dyDescent="0.25">
      <c r="A13765" t="s">
        <v>22</v>
      </c>
      <c r="B13765" t="s">
        <v>3477</v>
      </c>
    </row>
    <row r="13766" spans="1:8" x14ac:dyDescent="0.25">
      <c r="A13766" t="s">
        <v>2450</v>
      </c>
      <c r="B13766" t="s">
        <v>1155</v>
      </c>
      <c r="C13766" t="s">
        <v>8</v>
      </c>
      <c r="D13766">
        <v>40</v>
      </c>
      <c r="E13766">
        <v>7200</v>
      </c>
      <c r="F13766">
        <v>60</v>
      </c>
      <c r="G13766">
        <v>30</v>
      </c>
      <c r="H13766" t="s">
        <v>19</v>
      </c>
    </row>
    <row r="13767" spans="1:8" x14ac:dyDescent="0.25">
      <c r="A13767" t="str">
        <f>"&lt;nominal&gt;" &amp;$D$13766&amp;"&lt;/nominal&gt;"</f>
        <v>&lt;nominal&gt;40&lt;/nominal&gt;</v>
      </c>
      <c r="B13767" t="s">
        <v>1155</v>
      </c>
    </row>
    <row r="13768" spans="1:8" x14ac:dyDescent="0.25">
      <c r="A13768" t="str">
        <f>"&lt;lifetime&gt;" &amp;$E$13766&amp;"&lt;/lifetime&gt;"</f>
        <v>&lt;lifetime&gt;7200&lt;/lifetime&gt;</v>
      </c>
      <c r="B13768" t="s">
        <v>1155</v>
      </c>
    </row>
    <row r="13769" spans="1:8" x14ac:dyDescent="0.25">
      <c r="A13769" t="str">
        <f>"&lt;restock&gt;" &amp;$F$13766&amp;"&lt;/restock&gt;"</f>
        <v>&lt;restock&gt;60&lt;/restock&gt;</v>
      </c>
      <c r="B13769" t="s">
        <v>1155</v>
      </c>
    </row>
    <row r="13770" spans="1:8" x14ac:dyDescent="0.25">
      <c r="A13770" t="str">
        <f>"&lt;min&gt;" &amp;$G$13766&amp;"&lt;/min&gt;"</f>
        <v>&lt;min&gt;30&lt;/min&gt;</v>
      </c>
      <c r="B13770" t="s">
        <v>1155</v>
      </c>
    </row>
    <row r="13771" spans="1:8" x14ac:dyDescent="0.25">
      <c r="A13771" t="s">
        <v>16</v>
      </c>
      <c r="B13771" t="s">
        <v>1155</v>
      </c>
    </row>
    <row r="13772" spans="1:8" x14ac:dyDescent="0.25">
      <c r="A13772" t="s">
        <v>17</v>
      </c>
      <c r="B13772" t="s">
        <v>1155</v>
      </c>
    </row>
    <row r="13773" spans="1:8" x14ac:dyDescent="0.25">
      <c r="A13773" t="s">
        <v>18</v>
      </c>
      <c r="B13773" t="s">
        <v>1155</v>
      </c>
    </row>
    <row r="13774" spans="1:8" x14ac:dyDescent="0.25">
      <c r="A13774" t="str">
        <f xml:space="preserve"> $H$13766</f>
        <v>&lt;flags count_in_cargo="0" count_in_hoarder="0" count_in_map="1" count_in_player="0" crafted="0" deloot="0"/&gt;</v>
      </c>
      <c r="B13774" t="s">
        <v>1155</v>
      </c>
    </row>
    <row r="13775" spans="1:8" x14ac:dyDescent="0.25">
      <c r="A13775" t="str">
        <f>"&lt;category name=" &amp;"""" &amp;$C$13766&amp;"""/&gt;"</f>
        <v>&lt;category name="weapons"/&gt;</v>
      </c>
      <c r="B13775" t="s">
        <v>1155</v>
      </c>
    </row>
    <row r="13776" spans="1:8" x14ac:dyDescent="0.25">
      <c r="A13776" t="s">
        <v>20</v>
      </c>
      <c r="B13776" t="s">
        <v>1155</v>
      </c>
    </row>
    <row r="13777" spans="1:8" x14ac:dyDescent="0.25">
      <c r="A13777" t="s">
        <v>29</v>
      </c>
      <c r="B13777" t="s">
        <v>1155</v>
      </c>
    </row>
    <row r="13778" spans="1:8" x14ac:dyDescent="0.25">
      <c r="A13778" t="s">
        <v>173</v>
      </c>
      <c r="B13778" t="s">
        <v>1155</v>
      </c>
    </row>
    <row r="13779" spans="1:8" x14ac:dyDescent="0.25">
      <c r="A13779" t="s">
        <v>30</v>
      </c>
      <c r="B13779" t="s">
        <v>1155</v>
      </c>
    </row>
    <row r="13780" spans="1:8" x14ac:dyDescent="0.25">
      <c r="A13780" t="s">
        <v>31</v>
      </c>
      <c r="B13780" t="s">
        <v>1155</v>
      </c>
    </row>
    <row r="13781" spans="1:8" x14ac:dyDescent="0.25">
      <c r="A13781" t="s">
        <v>307</v>
      </c>
      <c r="B13781" t="s">
        <v>1155</v>
      </c>
    </row>
    <row r="13782" spans="1:8" x14ac:dyDescent="0.25">
      <c r="A13782" t="s">
        <v>22</v>
      </c>
      <c r="B13782" t="s">
        <v>1155</v>
      </c>
    </row>
    <row r="13783" spans="1:8" x14ac:dyDescent="0.25">
      <c r="A13783" t="s">
        <v>2451</v>
      </c>
      <c r="B13783" t="s">
        <v>1156</v>
      </c>
      <c r="C13783" t="s">
        <v>403</v>
      </c>
      <c r="D13783">
        <v>25</v>
      </c>
      <c r="E13783">
        <v>5600</v>
      </c>
      <c r="F13783">
        <v>0</v>
      </c>
      <c r="G13783">
        <v>15</v>
      </c>
      <c r="H13783" t="s">
        <v>19</v>
      </c>
    </row>
    <row r="13784" spans="1:8" x14ac:dyDescent="0.25">
      <c r="A13784" t="str">
        <f>"&lt;nominal&gt;" &amp;$D$13783&amp;"&lt;/nominal&gt;"</f>
        <v>&lt;nominal&gt;25&lt;/nominal&gt;</v>
      </c>
      <c r="B13784" t="s">
        <v>1156</v>
      </c>
    </row>
    <row r="13785" spans="1:8" x14ac:dyDescent="0.25">
      <c r="A13785" t="str">
        <f>"&lt;lifetime&gt;" &amp;$E$13783&amp;"&lt;/lifetime&gt;"</f>
        <v>&lt;lifetime&gt;5600&lt;/lifetime&gt;</v>
      </c>
      <c r="B13785" t="s">
        <v>1156</v>
      </c>
    </row>
    <row r="13786" spans="1:8" x14ac:dyDescent="0.25">
      <c r="A13786" t="str">
        <f>"&lt;restock&gt;" &amp;$F$13783&amp;"&lt;/restock&gt;"</f>
        <v>&lt;restock&gt;0&lt;/restock&gt;</v>
      </c>
      <c r="B13786" t="s">
        <v>1156</v>
      </c>
    </row>
    <row r="13787" spans="1:8" x14ac:dyDescent="0.25">
      <c r="A13787" t="str">
        <f>"&lt;min&gt;" &amp;$G$13783&amp;"&lt;/min&gt;"</f>
        <v>&lt;min&gt;15&lt;/min&gt;</v>
      </c>
      <c r="B13787" t="s">
        <v>1156</v>
      </c>
    </row>
    <row r="13788" spans="1:8" x14ac:dyDescent="0.25">
      <c r="A13788" t="s">
        <v>16</v>
      </c>
      <c r="B13788" t="s">
        <v>1156</v>
      </c>
    </row>
    <row r="13789" spans="1:8" x14ac:dyDescent="0.25">
      <c r="A13789" t="s">
        <v>17</v>
      </c>
      <c r="B13789" t="s">
        <v>1156</v>
      </c>
    </row>
    <row r="13790" spans="1:8" x14ac:dyDescent="0.25">
      <c r="A13790" t="s">
        <v>18</v>
      </c>
      <c r="B13790" t="s">
        <v>1156</v>
      </c>
    </row>
    <row r="13791" spans="1:8" x14ac:dyDescent="0.25">
      <c r="A13791" t="str">
        <f xml:space="preserve"> $H$13783</f>
        <v>&lt;flags count_in_cargo="0" count_in_hoarder="0" count_in_map="1" count_in_player="0" crafted="0" deloot="0"/&gt;</v>
      </c>
      <c r="B13791" t="s">
        <v>1156</v>
      </c>
    </row>
    <row r="13792" spans="1:8" x14ac:dyDescent="0.25">
      <c r="A13792" t="str">
        <f>"&lt;category name=" &amp;"""" &amp;$C$13783&amp;"""/&gt;"</f>
        <v>&lt;category name="clothes"/&gt;</v>
      </c>
      <c r="B13792" t="s">
        <v>1156</v>
      </c>
    </row>
    <row r="13793" spans="1:8" x14ac:dyDescent="0.25">
      <c r="A13793" t="s">
        <v>40</v>
      </c>
      <c r="B13793" t="s">
        <v>1156</v>
      </c>
    </row>
    <row r="13794" spans="1:8" x14ac:dyDescent="0.25">
      <c r="A13794" t="s">
        <v>30</v>
      </c>
      <c r="B13794" t="s">
        <v>1156</v>
      </c>
    </row>
    <row r="13795" spans="1:8" x14ac:dyDescent="0.25">
      <c r="A13795" t="s">
        <v>31</v>
      </c>
      <c r="B13795" t="s">
        <v>1156</v>
      </c>
    </row>
    <row r="13796" spans="1:8" x14ac:dyDescent="0.25">
      <c r="A13796" t="s">
        <v>307</v>
      </c>
      <c r="B13796" t="s">
        <v>1156</v>
      </c>
    </row>
    <row r="13797" spans="1:8" x14ac:dyDescent="0.25">
      <c r="A13797" t="s">
        <v>22</v>
      </c>
      <c r="B13797" t="s">
        <v>1156</v>
      </c>
    </row>
    <row r="13798" spans="1:8" x14ac:dyDescent="0.25">
      <c r="A13798" t="s">
        <v>2452</v>
      </c>
      <c r="B13798" t="s">
        <v>1157</v>
      </c>
      <c r="C13798" t="s">
        <v>403</v>
      </c>
      <c r="D13798">
        <v>25</v>
      </c>
      <c r="E13798">
        <v>5600</v>
      </c>
      <c r="F13798">
        <v>0</v>
      </c>
      <c r="G13798">
        <v>15</v>
      </c>
      <c r="H13798" t="s">
        <v>19</v>
      </c>
    </row>
    <row r="13799" spans="1:8" x14ac:dyDescent="0.25">
      <c r="A13799" t="str">
        <f>"&lt;nominal&gt;" &amp;$D$13798&amp;"&lt;/nominal&gt;"</f>
        <v>&lt;nominal&gt;25&lt;/nominal&gt;</v>
      </c>
      <c r="B13799" t="s">
        <v>1157</v>
      </c>
    </row>
    <row r="13800" spans="1:8" x14ac:dyDescent="0.25">
      <c r="A13800" t="str">
        <f>"&lt;lifetime&gt;" &amp;$E$13798&amp;"&lt;/lifetime&gt;"</f>
        <v>&lt;lifetime&gt;5600&lt;/lifetime&gt;</v>
      </c>
      <c r="B13800" t="s">
        <v>1157</v>
      </c>
    </row>
    <row r="13801" spans="1:8" x14ac:dyDescent="0.25">
      <c r="A13801" t="str">
        <f>"&lt;restock&gt;" &amp;$F$13798&amp;"&lt;/restock&gt;"</f>
        <v>&lt;restock&gt;0&lt;/restock&gt;</v>
      </c>
      <c r="B13801" t="s">
        <v>1157</v>
      </c>
    </row>
    <row r="13802" spans="1:8" x14ac:dyDescent="0.25">
      <c r="A13802" t="str">
        <f>"&lt;min&gt;" &amp;$G$13798&amp;"&lt;/min&gt;"</f>
        <v>&lt;min&gt;15&lt;/min&gt;</v>
      </c>
      <c r="B13802" t="s">
        <v>1157</v>
      </c>
    </row>
    <row r="13803" spans="1:8" x14ac:dyDescent="0.25">
      <c r="A13803" t="s">
        <v>16</v>
      </c>
      <c r="B13803" t="s">
        <v>1157</v>
      </c>
    </row>
    <row r="13804" spans="1:8" x14ac:dyDescent="0.25">
      <c r="A13804" t="s">
        <v>17</v>
      </c>
      <c r="B13804" t="s">
        <v>1157</v>
      </c>
    </row>
    <row r="13805" spans="1:8" x14ac:dyDescent="0.25">
      <c r="A13805" t="s">
        <v>18</v>
      </c>
      <c r="B13805" t="s">
        <v>1157</v>
      </c>
    </row>
    <row r="13806" spans="1:8" x14ac:dyDescent="0.25">
      <c r="A13806" t="str">
        <f xml:space="preserve"> $H$13798</f>
        <v>&lt;flags count_in_cargo="0" count_in_hoarder="0" count_in_map="1" count_in_player="0" crafted="0" deloot="0"/&gt;</v>
      </c>
      <c r="B13806" t="s">
        <v>1157</v>
      </c>
    </row>
    <row r="13807" spans="1:8" x14ac:dyDescent="0.25">
      <c r="A13807" t="str">
        <f>"&lt;category name=" &amp;"""" &amp;$C$13798&amp;"""/&gt;"</f>
        <v>&lt;category name="clothes"/&gt;</v>
      </c>
      <c r="B13807" t="s">
        <v>1157</v>
      </c>
    </row>
    <row r="13808" spans="1:8" x14ac:dyDescent="0.25">
      <c r="A13808" t="s">
        <v>40</v>
      </c>
      <c r="B13808" t="s">
        <v>1157</v>
      </c>
    </row>
    <row r="13809" spans="1:8" x14ac:dyDescent="0.25">
      <c r="A13809" t="s">
        <v>30</v>
      </c>
      <c r="B13809" t="s">
        <v>1157</v>
      </c>
    </row>
    <row r="13810" spans="1:8" x14ac:dyDescent="0.25">
      <c r="A13810" t="s">
        <v>31</v>
      </c>
      <c r="B13810" t="s">
        <v>1157</v>
      </c>
    </row>
    <row r="13811" spans="1:8" x14ac:dyDescent="0.25">
      <c r="A13811" t="s">
        <v>307</v>
      </c>
      <c r="B13811" t="s">
        <v>1157</v>
      </c>
    </row>
    <row r="13812" spans="1:8" x14ac:dyDescent="0.25">
      <c r="A13812" t="s">
        <v>22</v>
      </c>
      <c r="B13812" t="s">
        <v>1157</v>
      </c>
    </row>
    <row r="13813" spans="1:8" x14ac:dyDescent="0.25">
      <c r="A13813" t="s">
        <v>2453</v>
      </c>
      <c r="B13813" t="s">
        <v>1158</v>
      </c>
      <c r="C13813" t="s">
        <v>403</v>
      </c>
      <c r="D13813">
        <v>25</v>
      </c>
      <c r="E13813">
        <v>5600</v>
      </c>
      <c r="F13813">
        <v>0</v>
      </c>
      <c r="G13813">
        <v>15</v>
      </c>
      <c r="H13813" t="s">
        <v>19</v>
      </c>
    </row>
    <row r="13814" spans="1:8" x14ac:dyDescent="0.25">
      <c r="A13814" t="str">
        <f>"&lt;nominal&gt;" &amp;$D$13813&amp;"&lt;/nominal&gt;"</f>
        <v>&lt;nominal&gt;25&lt;/nominal&gt;</v>
      </c>
      <c r="B13814" t="s">
        <v>1158</v>
      </c>
    </row>
    <row r="13815" spans="1:8" x14ac:dyDescent="0.25">
      <c r="A13815" t="str">
        <f>"&lt;lifetime&gt;" &amp;$E$13813&amp;"&lt;/lifetime&gt;"</f>
        <v>&lt;lifetime&gt;5600&lt;/lifetime&gt;</v>
      </c>
      <c r="B13815" t="s">
        <v>1158</v>
      </c>
    </row>
    <row r="13816" spans="1:8" x14ac:dyDescent="0.25">
      <c r="A13816" t="str">
        <f>"&lt;restock&gt;" &amp;$F$13813&amp;"&lt;/restock&gt;"</f>
        <v>&lt;restock&gt;0&lt;/restock&gt;</v>
      </c>
      <c r="B13816" t="s">
        <v>1158</v>
      </c>
    </row>
    <row r="13817" spans="1:8" x14ac:dyDescent="0.25">
      <c r="A13817" t="str">
        <f>"&lt;min&gt;" &amp;$G$13813&amp;"&lt;/min&gt;"</f>
        <v>&lt;min&gt;15&lt;/min&gt;</v>
      </c>
      <c r="B13817" t="s">
        <v>1158</v>
      </c>
    </row>
    <row r="13818" spans="1:8" x14ac:dyDescent="0.25">
      <c r="A13818" t="s">
        <v>16</v>
      </c>
      <c r="B13818" t="s">
        <v>1158</v>
      </c>
    </row>
    <row r="13819" spans="1:8" x14ac:dyDescent="0.25">
      <c r="A13819" t="s">
        <v>17</v>
      </c>
      <c r="B13819" t="s">
        <v>1158</v>
      </c>
    </row>
    <row r="13820" spans="1:8" x14ac:dyDescent="0.25">
      <c r="A13820" t="s">
        <v>18</v>
      </c>
      <c r="B13820" t="s">
        <v>1158</v>
      </c>
    </row>
    <row r="13821" spans="1:8" x14ac:dyDescent="0.25">
      <c r="A13821" t="str">
        <f xml:space="preserve"> $H$13813</f>
        <v>&lt;flags count_in_cargo="0" count_in_hoarder="0" count_in_map="1" count_in_player="0" crafted="0" deloot="0"/&gt;</v>
      </c>
      <c r="B13821" t="s">
        <v>1158</v>
      </c>
    </row>
    <row r="13822" spans="1:8" x14ac:dyDescent="0.25">
      <c r="A13822" t="str">
        <f>"&lt;category name=" &amp;"""" &amp;$C$13813&amp;"""/&gt;"</f>
        <v>&lt;category name="clothes"/&gt;</v>
      </c>
      <c r="B13822" t="s">
        <v>1158</v>
      </c>
    </row>
    <row r="13823" spans="1:8" x14ac:dyDescent="0.25">
      <c r="A13823" t="s">
        <v>40</v>
      </c>
      <c r="B13823" t="s">
        <v>1158</v>
      </c>
    </row>
    <row r="13824" spans="1:8" x14ac:dyDescent="0.25">
      <c r="A13824" t="s">
        <v>30</v>
      </c>
      <c r="B13824" t="s">
        <v>1158</v>
      </c>
    </row>
    <row r="13825" spans="1:8" x14ac:dyDescent="0.25">
      <c r="A13825" t="s">
        <v>31</v>
      </c>
      <c r="B13825" t="s">
        <v>1158</v>
      </c>
    </row>
    <row r="13826" spans="1:8" x14ac:dyDescent="0.25">
      <c r="A13826" t="s">
        <v>307</v>
      </c>
      <c r="B13826" t="s">
        <v>1158</v>
      </c>
    </row>
    <row r="13827" spans="1:8" x14ac:dyDescent="0.25">
      <c r="A13827" t="s">
        <v>22</v>
      </c>
      <c r="B13827" t="s">
        <v>1158</v>
      </c>
    </row>
    <row r="13828" spans="1:8" x14ac:dyDescent="0.25">
      <c r="A13828" t="s">
        <v>2454</v>
      </c>
      <c r="B13828" t="s">
        <v>3652</v>
      </c>
      <c r="C13828" t="s">
        <v>426</v>
      </c>
      <c r="D13828">
        <v>0</v>
      </c>
      <c r="E13828">
        <v>2700</v>
      </c>
      <c r="F13828">
        <v>0</v>
      </c>
      <c r="G13828">
        <v>0</v>
      </c>
      <c r="H13828" t="s">
        <v>19</v>
      </c>
    </row>
    <row r="13829" spans="1:8" x14ac:dyDescent="0.25">
      <c r="A13829" t="str">
        <f>"&lt;nominal&gt;" &amp;$D$13828&amp;"&lt;/nominal&gt;"</f>
        <v>&lt;nominal&gt;0&lt;/nominal&gt;</v>
      </c>
      <c r="B13829" t="s">
        <v>3652</v>
      </c>
    </row>
    <row r="13830" spans="1:8" x14ac:dyDescent="0.25">
      <c r="A13830" t="str">
        <f>"&lt;lifetime&gt;" &amp;$E$13828&amp;"&lt;/lifetime&gt;"</f>
        <v>&lt;lifetime&gt;2700&lt;/lifetime&gt;</v>
      </c>
      <c r="B13830" t="s">
        <v>3652</v>
      </c>
    </row>
    <row r="13831" spans="1:8" x14ac:dyDescent="0.25">
      <c r="A13831" t="str">
        <f>"&lt;restock&gt;" &amp;$F$13828&amp;"&lt;/restock&gt;"</f>
        <v>&lt;restock&gt;0&lt;/restock&gt;</v>
      </c>
      <c r="B13831" t="s">
        <v>3652</v>
      </c>
    </row>
    <row r="13832" spans="1:8" x14ac:dyDescent="0.25">
      <c r="A13832" t="str">
        <f>"&lt;min&gt;" &amp;$G$13828&amp;"&lt;/min&gt;"</f>
        <v>&lt;min&gt;0&lt;/min&gt;</v>
      </c>
      <c r="B13832" t="s">
        <v>3652</v>
      </c>
    </row>
    <row r="13833" spans="1:8" x14ac:dyDescent="0.25">
      <c r="A13833" t="s">
        <v>16</v>
      </c>
      <c r="B13833" t="s">
        <v>3652</v>
      </c>
    </row>
    <row r="13834" spans="1:8" x14ac:dyDescent="0.25">
      <c r="A13834" t="s">
        <v>17</v>
      </c>
      <c r="B13834" t="s">
        <v>3652</v>
      </c>
    </row>
    <row r="13835" spans="1:8" x14ac:dyDescent="0.25">
      <c r="A13835" t="s">
        <v>18</v>
      </c>
      <c r="B13835" t="s">
        <v>3652</v>
      </c>
    </row>
    <row r="13836" spans="1:8" x14ac:dyDescent="0.25">
      <c r="A13836" t="str">
        <f xml:space="preserve"> $H$13828</f>
        <v>&lt;flags count_in_cargo="0" count_in_hoarder="0" count_in_map="1" count_in_player="0" crafted="0" deloot="0"/&gt;</v>
      </c>
      <c r="B13836" t="s">
        <v>3652</v>
      </c>
    </row>
    <row r="13837" spans="1:8" x14ac:dyDescent="0.25">
      <c r="A13837" t="str">
        <f>"&lt;category name=" &amp;"""" &amp;$C$13828&amp;"""/&gt;"</f>
        <v>&lt;category name="tools"/&gt;</v>
      </c>
      <c r="B13837" t="s">
        <v>3652</v>
      </c>
    </row>
    <row r="13838" spans="1:8" x14ac:dyDescent="0.25">
      <c r="A13838" t="s">
        <v>25</v>
      </c>
      <c r="B13838" t="s">
        <v>3652</v>
      </c>
    </row>
    <row r="13839" spans="1:8" x14ac:dyDescent="0.25">
      <c r="A13839" t="s">
        <v>55</v>
      </c>
      <c r="B13839" t="s">
        <v>3652</v>
      </c>
    </row>
    <row r="13840" spans="1:8" x14ac:dyDescent="0.25">
      <c r="A13840" t="s">
        <v>22</v>
      </c>
      <c r="B13840" t="s">
        <v>3652</v>
      </c>
    </row>
    <row r="13841" spans="1:8" x14ac:dyDescent="0.25">
      <c r="A13841" t="s">
        <v>2455</v>
      </c>
      <c r="B13841" t="s">
        <v>3653</v>
      </c>
      <c r="C13841" t="s">
        <v>426</v>
      </c>
      <c r="D13841">
        <v>0</v>
      </c>
      <c r="E13841">
        <v>2700</v>
      </c>
      <c r="F13841">
        <v>0</v>
      </c>
      <c r="G13841">
        <v>0</v>
      </c>
      <c r="H13841" t="s">
        <v>19</v>
      </c>
    </row>
    <row r="13842" spans="1:8" x14ac:dyDescent="0.25">
      <c r="A13842" t="str">
        <f>"&lt;nominal&gt;" &amp;$D$13841&amp;"&lt;/nominal&gt;"</f>
        <v>&lt;nominal&gt;0&lt;/nominal&gt;</v>
      </c>
      <c r="B13842" t="s">
        <v>3653</v>
      </c>
    </row>
    <row r="13843" spans="1:8" x14ac:dyDescent="0.25">
      <c r="A13843" t="str">
        <f>"&lt;lifetime&gt;" &amp;$E$13841&amp;"&lt;/lifetime&gt;"</f>
        <v>&lt;lifetime&gt;2700&lt;/lifetime&gt;</v>
      </c>
      <c r="B13843" t="s">
        <v>3653</v>
      </c>
    </row>
    <row r="13844" spans="1:8" x14ac:dyDescent="0.25">
      <c r="A13844" t="str">
        <f>"&lt;restock&gt;" &amp;$F$13841&amp;"&lt;/restock&gt;"</f>
        <v>&lt;restock&gt;0&lt;/restock&gt;</v>
      </c>
      <c r="B13844" t="s">
        <v>3653</v>
      </c>
    </row>
    <row r="13845" spans="1:8" x14ac:dyDescent="0.25">
      <c r="A13845" t="str">
        <f>"&lt;min&gt;" &amp;$G$13841&amp;"&lt;/min&gt;"</f>
        <v>&lt;min&gt;0&lt;/min&gt;</v>
      </c>
      <c r="B13845" t="s">
        <v>3653</v>
      </c>
    </row>
    <row r="13846" spans="1:8" x14ac:dyDescent="0.25">
      <c r="A13846" t="s">
        <v>16</v>
      </c>
      <c r="B13846" t="s">
        <v>3653</v>
      </c>
    </row>
    <row r="13847" spans="1:8" x14ac:dyDescent="0.25">
      <c r="A13847" t="s">
        <v>17</v>
      </c>
      <c r="B13847" t="s">
        <v>3653</v>
      </c>
    </row>
    <row r="13848" spans="1:8" x14ac:dyDescent="0.25">
      <c r="A13848" t="s">
        <v>18</v>
      </c>
      <c r="B13848" t="s">
        <v>3653</v>
      </c>
    </row>
    <row r="13849" spans="1:8" x14ac:dyDescent="0.25">
      <c r="A13849" t="str">
        <f xml:space="preserve"> $H$13841</f>
        <v>&lt;flags count_in_cargo="0" count_in_hoarder="0" count_in_map="1" count_in_player="0" crafted="0" deloot="0"/&gt;</v>
      </c>
      <c r="B13849" t="s">
        <v>3653</v>
      </c>
    </row>
    <row r="13850" spans="1:8" x14ac:dyDescent="0.25">
      <c r="A13850" t="str">
        <f>"&lt;category name=" &amp;"""" &amp;$C$13841&amp;"""/&gt;"</f>
        <v>&lt;category name="tools"/&gt;</v>
      </c>
      <c r="B13850" t="s">
        <v>3653</v>
      </c>
    </row>
    <row r="13851" spans="1:8" x14ac:dyDescent="0.25">
      <c r="A13851" t="s">
        <v>25</v>
      </c>
      <c r="B13851" t="s">
        <v>3653</v>
      </c>
    </row>
    <row r="13852" spans="1:8" x14ac:dyDescent="0.25">
      <c r="A13852" t="s">
        <v>55</v>
      </c>
      <c r="B13852" t="s">
        <v>3653</v>
      </c>
    </row>
    <row r="13853" spans="1:8" x14ac:dyDescent="0.25">
      <c r="A13853" t="s">
        <v>22</v>
      </c>
      <c r="B13853" t="s">
        <v>3653</v>
      </c>
    </row>
    <row r="13854" spans="1:8" x14ac:dyDescent="0.25">
      <c r="A13854" t="s">
        <v>2456</v>
      </c>
      <c r="B13854" t="s">
        <v>3654</v>
      </c>
      <c r="C13854" t="s">
        <v>426</v>
      </c>
      <c r="D13854">
        <v>0</v>
      </c>
      <c r="E13854">
        <v>2700</v>
      </c>
      <c r="F13854">
        <v>0</v>
      </c>
      <c r="G13854">
        <v>0</v>
      </c>
      <c r="H13854" t="s">
        <v>19</v>
      </c>
    </row>
    <row r="13855" spans="1:8" x14ac:dyDescent="0.25">
      <c r="A13855" t="str">
        <f>"&lt;nominal&gt;" &amp;$D$13854&amp;"&lt;/nominal&gt;"</f>
        <v>&lt;nominal&gt;0&lt;/nominal&gt;</v>
      </c>
      <c r="B13855" t="s">
        <v>3654</v>
      </c>
    </row>
    <row r="13856" spans="1:8" x14ac:dyDescent="0.25">
      <c r="A13856" t="str">
        <f>"&lt;lifetime&gt;" &amp;$E$13854&amp;"&lt;/lifetime&gt;"</f>
        <v>&lt;lifetime&gt;2700&lt;/lifetime&gt;</v>
      </c>
      <c r="B13856" t="s">
        <v>3654</v>
      </c>
    </row>
    <row r="13857" spans="1:8" x14ac:dyDescent="0.25">
      <c r="A13857" t="str">
        <f>"&lt;restock&gt;" &amp;$F$13854&amp;"&lt;/restock&gt;"</f>
        <v>&lt;restock&gt;0&lt;/restock&gt;</v>
      </c>
      <c r="B13857" t="s">
        <v>3654</v>
      </c>
    </row>
    <row r="13858" spans="1:8" x14ac:dyDescent="0.25">
      <c r="A13858" t="str">
        <f>"&lt;min&gt;" &amp;$G$13854&amp;"&lt;/min&gt;"</f>
        <v>&lt;min&gt;0&lt;/min&gt;</v>
      </c>
      <c r="B13858" t="s">
        <v>3654</v>
      </c>
    </row>
    <row r="13859" spans="1:8" x14ac:dyDescent="0.25">
      <c r="A13859" t="s">
        <v>16</v>
      </c>
      <c r="B13859" t="s">
        <v>3654</v>
      </c>
    </row>
    <row r="13860" spans="1:8" x14ac:dyDescent="0.25">
      <c r="A13860" t="s">
        <v>17</v>
      </c>
      <c r="B13860" t="s">
        <v>3654</v>
      </c>
    </row>
    <row r="13861" spans="1:8" x14ac:dyDescent="0.25">
      <c r="A13861" t="s">
        <v>18</v>
      </c>
      <c r="B13861" t="s">
        <v>3654</v>
      </c>
    </row>
    <row r="13862" spans="1:8" x14ac:dyDescent="0.25">
      <c r="A13862" t="str">
        <f xml:space="preserve"> $H$13854</f>
        <v>&lt;flags count_in_cargo="0" count_in_hoarder="0" count_in_map="1" count_in_player="0" crafted="0" deloot="0"/&gt;</v>
      </c>
      <c r="B13862" t="s">
        <v>3654</v>
      </c>
    </row>
    <row r="13863" spans="1:8" x14ac:dyDescent="0.25">
      <c r="A13863" t="str">
        <f>"&lt;category name=" &amp;"""" &amp;$C$13854&amp;"""/&gt;"</f>
        <v>&lt;category name="tools"/&gt;</v>
      </c>
      <c r="B13863" t="s">
        <v>3654</v>
      </c>
    </row>
    <row r="13864" spans="1:8" x14ac:dyDescent="0.25">
      <c r="A13864" t="s">
        <v>25</v>
      </c>
      <c r="B13864" t="s">
        <v>3654</v>
      </c>
    </row>
    <row r="13865" spans="1:8" x14ac:dyDescent="0.25">
      <c r="A13865" t="s">
        <v>55</v>
      </c>
      <c r="B13865" t="s">
        <v>3654</v>
      </c>
    </row>
    <row r="13866" spans="1:8" x14ac:dyDescent="0.25">
      <c r="A13866" t="s">
        <v>22</v>
      </c>
      <c r="B13866" t="s">
        <v>3654</v>
      </c>
    </row>
    <row r="13867" spans="1:8" x14ac:dyDescent="0.25">
      <c r="A13867" t="s">
        <v>2457</v>
      </c>
      <c r="B13867" t="s">
        <v>3655</v>
      </c>
      <c r="C13867" t="s">
        <v>426</v>
      </c>
      <c r="D13867">
        <v>0</v>
      </c>
      <c r="E13867">
        <v>2700</v>
      </c>
      <c r="F13867">
        <v>0</v>
      </c>
      <c r="G13867">
        <v>0</v>
      </c>
      <c r="H13867" t="s">
        <v>19</v>
      </c>
    </row>
    <row r="13868" spans="1:8" x14ac:dyDescent="0.25">
      <c r="A13868" t="str">
        <f>"&lt;nominal&gt;" &amp;$D$13867&amp;"&lt;/nominal&gt;"</f>
        <v>&lt;nominal&gt;0&lt;/nominal&gt;</v>
      </c>
      <c r="B13868" t="s">
        <v>3655</v>
      </c>
    </row>
    <row r="13869" spans="1:8" x14ac:dyDescent="0.25">
      <c r="A13869" t="str">
        <f>"&lt;lifetime&gt;" &amp;$E$13867&amp;"&lt;/lifetime&gt;"</f>
        <v>&lt;lifetime&gt;2700&lt;/lifetime&gt;</v>
      </c>
      <c r="B13869" t="s">
        <v>3655</v>
      </c>
    </row>
    <row r="13870" spans="1:8" x14ac:dyDescent="0.25">
      <c r="A13870" t="str">
        <f>"&lt;restock&gt;" &amp;$F$13867&amp;"&lt;/restock&gt;"</f>
        <v>&lt;restock&gt;0&lt;/restock&gt;</v>
      </c>
      <c r="B13870" t="s">
        <v>3655</v>
      </c>
    </row>
    <row r="13871" spans="1:8" x14ac:dyDescent="0.25">
      <c r="A13871" t="str">
        <f>"&lt;min&gt;" &amp;$G$13867&amp;"&lt;/min&gt;"</f>
        <v>&lt;min&gt;0&lt;/min&gt;</v>
      </c>
      <c r="B13871" t="s">
        <v>3655</v>
      </c>
    </row>
    <row r="13872" spans="1:8" x14ac:dyDescent="0.25">
      <c r="A13872" t="s">
        <v>16</v>
      </c>
      <c r="B13872" t="s">
        <v>3655</v>
      </c>
    </row>
    <row r="13873" spans="1:8" x14ac:dyDescent="0.25">
      <c r="A13873" t="s">
        <v>17</v>
      </c>
      <c r="B13873" t="s">
        <v>3655</v>
      </c>
    </row>
    <row r="13874" spans="1:8" x14ac:dyDescent="0.25">
      <c r="A13874" t="s">
        <v>18</v>
      </c>
      <c r="B13874" t="s">
        <v>3655</v>
      </c>
    </row>
    <row r="13875" spans="1:8" x14ac:dyDescent="0.25">
      <c r="A13875" t="str">
        <f xml:space="preserve"> $H$13867</f>
        <v>&lt;flags count_in_cargo="0" count_in_hoarder="0" count_in_map="1" count_in_player="0" crafted="0" deloot="0"/&gt;</v>
      </c>
      <c r="B13875" t="s">
        <v>3655</v>
      </c>
    </row>
    <row r="13876" spans="1:8" x14ac:dyDescent="0.25">
      <c r="A13876" t="str">
        <f>"&lt;category name=" &amp;"""" &amp;$C$13867&amp;"""/&gt;"</f>
        <v>&lt;category name="tools"/&gt;</v>
      </c>
      <c r="B13876" t="s">
        <v>3655</v>
      </c>
    </row>
    <row r="13877" spans="1:8" x14ac:dyDescent="0.25">
      <c r="A13877" t="s">
        <v>25</v>
      </c>
      <c r="B13877" t="s">
        <v>3655</v>
      </c>
    </row>
    <row r="13878" spans="1:8" x14ac:dyDescent="0.25">
      <c r="A13878" t="s">
        <v>55</v>
      </c>
      <c r="B13878" t="s">
        <v>3655</v>
      </c>
    </row>
    <row r="13879" spans="1:8" x14ac:dyDescent="0.25">
      <c r="A13879" t="s">
        <v>22</v>
      </c>
      <c r="B13879" t="s">
        <v>3655</v>
      </c>
    </row>
    <row r="13880" spans="1:8" x14ac:dyDescent="0.25">
      <c r="A13880" t="s">
        <v>2458</v>
      </c>
      <c r="B13880" t="s">
        <v>3656</v>
      </c>
      <c r="C13880" t="s">
        <v>426</v>
      </c>
      <c r="D13880">
        <v>0</v>
      </c>
      <c r="E13880">
        <v>2700</v>
      </c>
      <c r="F13880">
        <v>0</v>
      </c>
      <c r="G13880">
        <v>0</v>
      </c>
      <c r="H13880" t="s">
        <v>19</v>
      </c>
    </row>
    <row r="13881" spans="1:8" x14ac:dyDescent="0.25">
      <c r="A13881" t="str">
        <f>"&lt;nominal&gt;" &amp;$D$13880&amp;"&lt;/nominal&gt;"</f>
        <v>&lt;nominal&gt;0&lt;/nominal&gt;</v>
      </c>
      <c r="B13881" t="s">
        <v>3656</v>
      </c>
    </row>
    <row r="13882" spans="1:8" x14ac:dyDescent="0.25">
      <c r="A13882" t="str">
        <f>"&lt;lifetime&gt;" &amp;$E$13880&amp;"&lt;/lifetime&gt;"</f>
        <v>&lt;lifetime&gt;2700&lt;/lifetime&gt;</v>
      </c>
      <c r="B13882" t="s">
        <v>3656</v>
      </c>
    </row>
    <row r="13883" spans="1:8" x14ac:dyDescent="0.25">
      <c r="A13883" t="str">
        <f>"&lt;restock&gt;" &amp;$F$13880&amp;"&lt;/restock&gt;"</f>
        <v>&lt;restock&gt;0&lt;/restock&gt;</v>
      </c>
      <c r="B13883" t="s">
        <v>3656</v>
      </c>
    </row>
    <row r="13884" spans="1:8" x14ac:dyDescent="0.25">
      <c r="A13884" t="str">
        <f>"&lt;min&gt;" &amp;$G$13880&amp;"&lt;/min&gt;"</f>
        <v>&lt;min&gt;0&lt;/min&gt;</v>
      </c>
      <c r="B13884" t="s">
        <v>3656</v>
      </c>
    </row>
    <row r="13885" spans="1:8" x14ac:dyDescent="0.25">
      <c r="A13885" t="s">
        <v>16</v>
      </c>
      <c r="B13885" t="s">
        <v>3656</v>
      </c>
    </row>
    <row r="13886" spans="1:8" x14ac:dyDescent="0.25">
      <c r="A13886" t="s">
        <v>17</v>
      </c>
      <c r="B13886" t="s">
        <v>3656</v>
      </c>
    </row>
    <row r="13887" spans="1:8" x14ac:dyDescent="0.25">
      <c r="A13887" t="s">
        <v>18</v>
      </c>
      <c r="B13887" t="s">
        <v>3656</v>
      </c>
    </row>
    <row r="13888" spans="1:8" x14ac:dyDescent="0.25">
      <c r="A13888" t="str">
        <f xml:space="preserve"> $H$13880</f>
        <v>&lt;flags count_in_cargo="0" count_in_hoarder="0" count_in_map="1" count_in_player="0" crafted="0" deloot="0"/&gt;</v>
      </c>
      <c r="B13888" t="s">
        <v>3656</v>
      </c>
    </row>
    <row r="13889" spans="1:8" x14ac:dyDescent="0.25">
      <c r="A13889" t="str">
        <f>"&lt;category name=" &amp;"""" &amp;$C$13880&amp;"""/&gt;"</f>
        <v>&lt;category name="tools"/&gt;</v>
      </c>
      <c r="B13889" t="s">
        <v>3656</v>
      </c>
    </row>
    <row r="13890" spans="1:8" x14ac:dyDescent="0.25">
      <c r="A13890" t="s">
        <v>25</v>
      </c>
      <c r="B13890" t="s">
        <v>3656</v>
      </c>
    </row>
    <row r="13891" spans="1:8" x14ac:dyDescent="0.25">
      <c r="A13891" t="s">
        <v>55</v>
      </c>
      <c r="B13891" t="s">
        <v>3656</v>
      </c>
    </row>
    <row r="13892" spans="1:8" x14ac:dyDescent="0.25">
      <c r="A13892" t="s">
        <v>22</v>
      </c>
      <c r="B13892" t="s">
        <v>3656</v>
      </c>
    </row>
    <row r="13893" spans="1:8" x14ac:dyDescent="0.25">
      <c r="A13893" t="s">
        <v>2459</v>
      </c>
      <c r="B13893" t="s">
        <v>3657</v>
      </c>
      <c r="C13893" t="s">
        <v>426</v>
      </c>
      <c r="D13893">
        <v>0</v>
      </c>
      <c r="E13893">
        <v>1800</v>
      </c>
      <c r="F13893">
        <v>0</v>
      </c>
      <c r="G13893">
        <v>0</v>
      </c>
      <c r="H13893" t="s">
        <v>62</v>
      </c>
    </row>
    <row r="13894" spans="1:8" x14ac:dyDescent="0.25">
      <c r="A13894" t="str">
        <f>"&lt;nominal&gt;" &amp;$D$13893&amp;"&lt;/nominal&gt;"</f>
        <v>&lt;nominal&gt;0&lt;/nominal&gt;</v>
      </c>
      <c r="B13894" t="s">
        <v>3657</v>
      </c>
    </row>
    <row r="13895" spans="1:8" x14ac:dyDescent="0.25">
      <c r="A13895" t="str">
        <f>"&lt;lifetime&gt;" &amp;$E$13893&amp;"&lt;/lifetime&gt;"</f>
        <v>&lt;lifetime&gt;1800&lt;/lifetime&gt;</v>
      </c>
      <c r="B13895" t="s">
        <v>3657</v>
      </c>
    </row>
    <row r="13896" spans="1:8" x14ac:dyDescent="0.25">
      <c r="A13896" t="str">
        <f>"&lt;restock&gt;" &amp;$F$13893&amp;"&lt;/restock&gt;"</f>
        <v>&lt;restock&gt;0&lt;/restock&gt;</v>
      </c>
      <c r="B13896" t="s">
        <v>3657</v>
      </c>
    </row>
    <row r="13897" spans="1:8" x14ac:dyDescent="0.25">
      <c r="A13897" t="str">
        <f>"&lt;min&gt;" &amp;$G$13893&amp;"&lt;/min&gt;"</f>
        <v>&lt;min&gt;0&lt;/min&gt;</v>
      </c>
      <c r="B13897" t="s">
        <v>3657</v>
      </c>
    </row>
    <row r="13898" spans="1:8" x14ac:dyDescent="0.25">
      <c r="A13898" t="s">
        <v>16</v>
      </c>
      <c r="B13898" t="s">
        <v>3657</v>
      </c>
    </row>
    <row r="13899" spans="1:8" x14ac:dyDescent="0.25">
      <c r="A13899" t="s">
        <v>17</v>
      </c>
      <c r="B13899" t="s">
        <v>3657</v>
      </c>
    </row>
    <row r="13900" spans="1:8" x14ac:dyDescent="0.25">
      <c r="A13900" t="s">
        <v>18</v>
      </c>
      <c r="B13900" t="s">
        <v>3657</v>
      </c>
    </row>
    <row r="13901" spans="1:8" x14ac:dyDescent="0.25">
      <c r="A13901" t="str">
        <f xml:space="preserve"> $H$13893</f>
        <v>&lt;flags count_in_cargo="0" count_in_hoarder="0" count_in_map="1" count_in_player="0" crafted="1" deloot="0"/&gt;</v>
      </c>
      <c r="B13901" t="s">
        <v>3657</v>
      </c>
    </row>
    <row r="13902" spans="1:8" x14ac:dyDescent="0.25">
      <c r="A13902" t="str">
        <f>"&lt;category name=" &amp;"""" &amp;$C$13893&amp;"""/&gt;"</f>
        <v>&lt;category name="tools"/&gt;</v>
      </c>
      <c r="B13902" t="s">
        <v>3657</v>
      </c>
    </row>
    <row r="13903" spans="1:8" x14ac:dyDescent="0.25">
      <c r="A13903" t="s">
        <v>22</v>
      </c>
      <c r="B13903" t="s">
        <v>3657</v>
      </c>
    </row>
    <row r="13904" spans="1:8" x14ac:dyDescent="0.25">
      <c r="A13904" t="s">
        <v>2460</v>
      </c>
      <c r="B13904" t="s">
        <v>3658</v>
      </c>
      <c r="C13904" t="s">
        <v>426</v>
      </c>
      <c r="D13904">
        <v>0</v>
      </c>
      <c r="E13904">
        <v>1800</v>
      </c>
      <c r="F13904">
        <v>0</v>
      </c>
      <c r="G13904">
        <v>0</v>
      </c>
      <c r="H13904" t="s">
        <v>62</v>
      </c>
    </row>
    <row r="13905" spans="1:8" x14ac:dyDescent="0.25">
      <c r="A13905" t="str">
        <f>"&lt;nominal&gt;" &amp;$D$13904&amp;"&lt;/nominal&gt;"</f>
        <v>&lt;nominal&gt;0&lt;/nominal&gt;</v>
      </c>
      <c r="B13905" t="s">
        <v>3658</v>
      </c>
    </row>
    <row r="13906" spans="1:8" x14ac:dyDescent="0.25">
      <c r="A13906" t="str">
        <f>"&lt;lifetime&gt;" &amp;$E$13904&amp;"&lt;/lifetime&gt;"</f>
        <v>&lt;lifetime&gt;1800&lt;/lifetime&gt;</v>
      </c>
      <c r="B13906" t="s">
        <v>3658</v>
      </c>
    </row>
    <row r="13907" spans="1:8" x14ac:dyDescent="0.25">
      <c r="A13907" t="str">
        <f>"&lt;restock&gt;" &amp;$F$13904&amp;"&lt;/restock&gt;"</f>
        <v>&lt;restock&gt;0&lt;/restock&gt;</v>
      </c>
      <c r="B13907" t="s">
        <v>3658</v>
      </c>
    </row>
    <row r="13908" spans="1:8" x14ac:dyDescent="0.25">
      <c r="A13908" t="str">
        <f>"&lt;min&gt;" &amp;$G$13904&amp;"&lt;/min&gt;"</f>
        <v>&lt;min&gt;0&lt;/min&gt;</v>
      </c>
      <c r="B13908" t="s">
        <v>3658</v>
      </c>
    </row>
    <row r="13909" spans="1:8" x14ac:dyDescent="0.25">
      <c r="A13909" t="s">
        <v>16</v>
      </c>
      <c r="B13909" t="s">
        <v>3658</v>
      </c>
    </row>
    <row r="13910" spans="1:8" x14ac:dyDescent="0.25">
      <c r="A13910" t="s">
        <v>17</v>
      </c>
      <c r="B13910" t="s">
        <v>3658</v>
      </c>
    </row>
    <row r="13911" spans="1:8" x14ac:dyDescent="0.25">
      <c r="A13911" t="s">
        <v>18</v>
      </c>
      <c r="B13911" t="s">
        <v>3658</v>
      </c>
    </row>
    <row r="13912" spans="1:8" x14ac:dyDescent="0.25">
      <c r="A13912" t="str">
        <f xml:space="preserve"> $H$13904</f>
        <v>&lt;flags count_in_cargo="0" count_in_hoarder="0" count_in_map="1" count_in_player="0" crafted="1" deloot="0"/&gt;</v>
      </c>
      <c r="B13912" t="s">
        <v>3658</v>
      </c>
    </row>
    <row r="13913" spans="1:8" x14ac:dyDescent="0.25">
      <c r="A13913" t="str">
        <f>"&lt;category name=" &amp;"""" &amp;$C$13904&amp;"""/&gt;"</f>
        <v>&lt;category name="tools"/&gt;</v>
      </c>
      <c r="B13913" t="s">
        <v>3658</v>
      </c>
    </row>
    <row r="13914" spans="1:8" x14ac:dyDescent="0.25">
      <c r="A13914" t="s">
        <v>22</v>
      </c>
      <c r="B13914" t="s">
        <v>3658</v>
      </c>
    </row>
    <row r="13915" spans="1:8" x14ac:dyDescent="0.25">
      <c r="A13915" t="s">
        <v>2461</v>
      </c>
      <c r="B13915" t="s">
        <v>1159</v>
      </c>
      <c r="D13915">
        <v>0</v>
      </c>
      <c r="E13915">
        <v>3888000</v>
      </c>
      <c r="F13915">
        <v>1800</v>
      </c>
      <c r="G13915">
        <v>0</v>
      </c>
      <c r="H13915" t="s">
        <v>19</v>
      </c>
    </row>
    <row r="13916" spans="1:8" x14ac:dyDescent="0.25">
      <c r="A13916" t="str">
        <f>"&lt;nominal&gt;" &amp;$D$13915&amp;"&lt;/nominal&gt;"</f>
        <v>&lt;nominal&gt;0&lt;/nominal&gt;</v>
      </c>
      <c r="B13916" t="s">
        <v>1159</v>
      </c>
    </row>
    <row r="13917" spans="1:8" x14ac:dyDescent="0.25">
      <c r="A13917" t="str">
        <f>"&lt;lifetime&gt;" &amp;$E$13915&amp;"&lt;/lifetime&gt;"</f>
        <v>&lt;lifetime&gt;3888000&lt;/lifetime&gt;</v>
      </c>
      <c r="B13917" t="s">
        <v>1159</v>
      </c>
    </row>
    <row r="13918" spans="1:8" x14ac:dyDescent="0.25">
      <c r="A13918" t="str">
        <f>"&lt;restock&gt;" &amp;$F$13915&amp;"&lt;/restock&gt;"</f>
        <v>&lt;restock&gt;1800&lt;/restock&gt;</v>
      </c>
      <c r="B13918" t="s">
        <v>1159</v>
      </c>
    </row>
    <row r="13919" spans="1:8" x14ac:dyDescent="0.25">
      <c r="A13919" t="str">
        <f>"&lt;min&gt;" &amp;$G$13915&amp;"&lt;/min&gt;"</f>
        <v>&lt;min&gt;0&lt;/min&gt;</v>
      </c>
      <c r="B13919" t="s">
        <v>1159</v>
      </c>
    </row>
    <row r="13920" spans="1:8" x14ac:dyDescent="0.25">
      <c r="A13920" t="s">
        <v>16</v>
      </c>
      <c r="B13920" t="s">
        <v>1159</v>
      </c>
    </row>
    <row r="13921" spans="1:8" x14ac:dyDescent="0.25">
      <c r="A13921" t="s">
        <v>17</v>
      </c>
      <c r="B13921" t="s">
        <v>1159</v>
      </c>
    </row>
    <row r="13922" spans="1:8" x14ac:dyDescent="0.25">
      <c r="A13922" t="s">
        <v>18</v>
      </c>
      <c r="B13922" t="s">
        <v>1159</v>
      </c>
    </row>
    <row r="13923" spans="1:8" x14ac:dyDescent="0.25">
      <c r="A13923" t="str">
        <f xml:space="preserve"> $H$13915</f>
        <v>&lt;flags count_in_cargo="0" count_in_hoarder="0" count_in_map="1" count_in_player="0" crafted="0" deloot="0"/&gt;</v>
      </c>
      <c r="B13923" t="s">
        <v>1159</v>
      </c>
    </row>
    <row r="13924" spans="1:8" x14ac:dyDescent="0.25">
      <c r="A13924" t="s">
        <v>22</v>
      </c>
      <c r="B13924" t="s">
        <v>1159</v>
      </c>
    </row>
    <row r="13925" spans="1:8" x14ac:dyDescent="0.25">
      <c r="A13925" t="s">
        <v>2462</v>
      </c>
      <c r="B13925" t="s">
        <v>1160</v>
      </c>
      <c r="D13925">
        <v>0</v>
      </c>
      <c r="E13925">
        <v>3888000</v>
      </c>
      <c r="F13925">
        <v>1800</v>
      </c>
      <c r="G13925">
        <v>0</v>
      </c>
      <c r="H13925" t="s">
        <v>19</v>
      </c>
    </row>
    <row r="13926" spans="1:8" x14ac:dyDescent="0.25">
      <c r="A13926" t="str">
        <f>"&lt;nominal&gt;" &amp;$D$13925&amp;"&lt;/nominal&gt;"</f>
        <v>&lt;nominal&gt;0&lt;/nominal&gt;</v>
      </c>
      <c r="B13926" t="s">
        <v>1160</v>
      </c>
    </row>
    <row r="13927" spans="1:8" x14ac:dyDescent="0.25">
      <c r="A13927" t="str">
        <f>"&lt;lifetime&gt;" &amp;$E$13925&amp;"&lt;/lifetime&gt;"</f>
        <v>&lt;lifetime&gt;3888000&lt;/lifetime&gt;</v>
      </c>
      <c r="B13927" t="s">
        <v>1160</v>
      </c>
    </row>
    <row r="13928" spans="1:8" x14ac:dyDescent="0.25">
      <c r="A13928" t="str">
        <f>"&lt;restock&gt;" &amp;$F$13925&amp;"&lt;/restock&gt;"</f>
        <v>&lt;restock&gt;1800&lt;/restock&gt;</v>
      </c>
      <c r="B13928" t="s">
        <v>1160</v>
      </c>
    </row>
    <row r="13929" spans="1:8" x14ac:dyDescent="0.25">
      <c r="A13929" t="str">
        <f>"&lt;min&gt;" &amp;$G$13925&amp;"&lt;/min&gt;"</f>
        <v>&lt;min&gt;0&lt;/min&gt;</v>
      </c>
      <c r="B13929" t="s">
        <v>1160</v>
      </c>
    </row>
    <row r="13930" spans="1:8" x14ac:dyDescent="0.25">
      <c r="A13930" t="s">
        <v>16</v>
      </c>
      <c r="B13930" t="s">
        <v>1160</v>
      </c>
    </row>
    <row r="13931" spans="1:8" x14ac:dyDescent="0.25">
      <c r="A13931" t="s">
        <v>17</v>
      </c>
      <c r="B13931" t="s">
        <v>1160</v>
      </c>
    </row>
    <row r="13932" spans="1:8" x14ac:dyDescent="0.25">
      <c r="A13932" t="s">
        <v>18</v>
      </c>
      <c r="B13932" t="s">
        <v>1160</v>
      </c>
    </row>
    <row r="13933" spans="1:8" x14ac:dyDescent="0.25">
      <c r="A13933" t="str">
        <f xml:space="preserve"> $H$13925</f>
        <v>&lt;flags count_in_cargo="0" count_in_hoarder="0" count_in_map="1" count_in_player="0" crafted="0" deloot="0"/&gt;</v>
      </c>
      <c r="B13933" t="s">
        <v>1160</v>
      </c>
    </row>
    <row r="13934" spans="1:8" x14ac:dyDescent="0.25">
      <c r="A13934" t="s">
        <v>22</v>
      </c>
      <c r="B13934" t="s">
        <v>1160</v>
      </c>
    </row>
    <row r="13935" spans="1:8" x14ac:dyDescent="0.25">
      <c r="A13935" t="s">
        <v>2463</v>
      </c>
      <c r="B13935" t="s">
        <v>1161</v>
      </c>
      <c r="D13935">
        <v>0</v>
      </c>
      <c r="E13935">
        <v>3888000</v>
      </c>
      <c r="F13935">
        <v>1800</v>
      </c>
      <c r="G13935">
        <v>0</v>
      </c>
      <c r="H13935" t="s">
        <v>19</v>
      </c>
    </row>
    <row r="13936" spans="1:8" x14ac:dyDescent="0.25">
      <c r="A13936" t="str">
        <f>"&lt;nominal&gt;" &amp;$D$13935&amp;"&lt;/nominal&gt;"</f>
        <v>&lt;nominal&gt;0&lt;/nominal&gt;</v>
      </c>
      <c r="B13936" t="s">
        <v>1161</v>
      </c>
    </row>
    <row r="13937" spans="1:8" x14ac:dyDescent="0.25">
      <c r="A13937" t="str">
        <f>"&lt;lifetime&gt;" &amp;$E$13935&amp;"&lt;/lifetime&gt;"</f>
        <v>&lt;lifetime&gt;3888000&lt;/lifetime&gt;</v>
      </c>
      <c r="B13937" t="s">
        <v>1161</v>
      </c>
    </row>
    <row r="13938" spans="1:8" x14ac:dyDescent="0.25">
      <c r="A13938" t="str">
        <f>"&lt;restock&gt;" &amp;$F$13935&amp;"&lt;/restock&gt;"</f>
        <v>&lt;restock&gt;1800&lt;/restock&gt;</v>
      </c>
      <c r="B13938" t="s">
        <v>1161</v>
      </c>
    </row>
    <row r="13939" spans="1:8" x14ac:dyDescent="0.25">
      <c r="A13939" t="str">
        <f>"&lt;min&gt;" &amp;$G$13935&amp;"&lt;/min&gt;"</f>
        <v>&lt;min&gt;0&lt;/min&gt;</v>
      </c>
      <c r="B13939" t="s">
        <v>1161</v>
      </c>
    </row>
    <row r="13940" spans="1:8" x14ac:dyDescent="0.25">
      <c r="A13940" t="s">
        <v>16</v>
      </c>
      <c r="B13940" t="s">
        <v>1161</v>
      </c>
    </row>
    <row r="13941" spans="1:8" x14ac:dyDescent="0.25">
      <c r="A13941" t="s">
        <v>17</v>
      </c>
      <c r="B13941" t="s">
        <v>1161</v>
      </c>
    </row>
    <row r="13942" spans="1:8" x14ac:dyDescent="0.25">
      <c r="A13942" t="s">
        <v>18</v>
      </c>
      <c r="B13942" t="s">
        <v>1161</v>
      </c>
    </row>
    <row r="13943" spans="1:8" x14ac:dyDescent="0.25">
      <c r="A13943" t="str">
        <f xml:space="preserve"> $H$13935</f>
        <v>&lt;flags count_in_cargo="0" count_in_hoarder="0" count_in_map="1" count_in_player="0" crafted="0" deloot="0"/&gt;</v>
      </c>
      <c r="B13943" t="s">
        <v>1161</v>
      </c>
    </row>
    <row r="13944" spans="1:8" x14ac:dyDescent="0.25">
      <c r="A13944" t="s">
        <v>22</v>
      </c>
      <c r="B13944" t="s">
        <v>1161</v>
      </c>
    </row>
    <row r="13945" spans="1:8" x14ac:dyDescent="0.25">
      <c r="A13945" t="s">
        <v>2464</v>
      </c>
      <c r="B13945" t="s">
        <v>1162</v>
      </c>
      <c r="D13945">
        <v>0</v>
      </c>
      <c r="E13945">
        <v>3888000</v>
      </c>
      <c r="F13945">
        <v>1800</v>
      </c>
      <c r="G13945">
        <v>0</v>
      </c>
      <c r="H13945" t="s">
        <v>19</v>
      </c>
    </row>
    <row r="13946" spans="1:8" x14ac:dyDescent="0.25">
      <c r="A13946" t="str">
        <f>"&lt;nominal&gt;" &amp;$D$13945&amp;"&lt;/nominal&gt;"</f>
        <v>&lt;nominal&gt;0&lt;/nominal&gt;</v>
      </c>
      <c r="B13946" t="s">
        <v>1162</v>
      </c>
    </row>
    <row r="13947" spans="1:8" x14ac:dyDescent="0.25">
      <c r="A13947" t="str">
        <f>"&lt;lifetime&gt;" &amp;$E$13945&amp;"&lt;/lifetime&gt;"</f>
        <v>&lt;lifetime&gt;3888000&lt;/lifetime&gt;</v>
      </c>
      <c r="B13947" t="s">
        <v>1162</v>
      </c>
    </row>
    <row r="13948" spans="1:8" x14ac:dyDescent="0.25">
      <c r="A13948" t="str">
        <f>"&lt;restock&gt;" &amp;$F$13945&amp;"&lt;/restock&gt;"</f>
        <v>&lt;restock&gt;1800&lt;/restock&gt;</v>
      </c>
      <c r="B13948" t="s">
        <v>1162</v>
      </c>
    </row>
    <row r="13949" spans="1:8" x14ac:dyDescent="0.25">
      <c r="A13949" t="str">
        <f>"&lt;min&gt;" &amp;$G$13945&amp;"&lt;/min&gt;"</f>
        <v>&lt;min&gt;0&lt;/min&gt;</v>
      </c>
      <c r="B13949" t="s">
        <v>1162</v>
      </c>
    </row>
    <row r="13950" spans="1:8" x14ac:dyDescent="0.25">
      <c r="A13950" t="s">
        <v>16</v>
      </c>
      <c r="B13950" t="s">
        <v>1162</v>
      </c>
    </row>
    <row r="13951" spans="1:8" x14ac:dyDescent="0.25">
      <c r="A13951" t="s">
        <v>17</v>
      </c>
      <c r="B13951" t="s">
        <v>1162</v>
      </c>
    </row>
    <row r="13952" spans="1:8" x14ac:dyDescent="0.25">
      <c r="A13952" t="s">
        <v>18</v>
      </c>
      <c r="B13952" t="s">
        <v>1162</v>
      </c>
    </row>
    <row r="13953" spans="1:8" x14ac:dyDescent="0.25">
      <c r="A13953" t="str">
        <f xml:space="preserve"> $H$13945</f>
        <v>&lt;flags count_in_cargo="0" count_in_hoarder="0" count_in_map="1" count_in_player="0" crafted="0" deloot="0"/&gt;</v>
      </c>
      <c r="B13953" t="s">
        <v>1162</v>
      </c>
    </row>
    <row r="13954" spans="1:8" x14ac:dyDescent="0.25">
      <c r="A13954" t="s">
        <v>22</v>
      </c>
      <c r="B13954" t="s">
        <v>1162</v>
      </c>
    </row>
    <row r="13955" spans="1:8" x14ac:dyDescent="0.25">
      <c r="A13955" t="s">
        <v>2465</v>
      </c>
      <c r="B13955" t="s">
        <v>1163</v>
      </c>
      <c r="D13955">
        <v>0</v>
      </c>
      <c r="E13955">
        <v>3888000</v>
      </c>
      <c r="F13955">
        <v>1800</v>
      </c>
      <c r="G13955">
        <v>0</v>
      </c>
      <c r="H13955" t="s">
        <v>19</v>
      </c>
    </row>
    <row r="13956" spans="1:8" x14ac:dyDescent="0.25">
      <c r="A13956" t="str">
        <f>"&lt;nominal&gt;" &amp;$D$13955&amp;"&lt;/nominal&gt;"</f>
        <v>&lt;nominal&gt;0&lt;/nominal&gt;</v>
      </c>
      <c r="B13956" t="s">
        <v>1163</v>
      </c>
    </row>
    <row r="13957" spans="1:8" x14ac:dyDescent="0.25">
      <c r="A13957" t="str">
        <f>"&lt;lifetime&gt;" &amp;$E$13955&amp;"&lt;/lifetime&gt;"</f>
        <v>&lt;lifetime&gt;3888000&lt;/lifetime&gt;</v>
      </c>
      <c r="B13957" t="s">
        <v>1163</v>
      </c>
    </row>
    <row r="13958" spans="1:8" x14ac:dyDescent="0.25">
      <c r="A13958" t="str">
        <f>"&lt;restock&gt;" &amp;$F$13955&amp;"&lt;/restock&gt;"</f>
        <v>&lt;restock&gt;1800&lt;/restock&gt;</v>
      </c>
      <c r="B13958" t="s">
        <v>1163</v>
      </c>
    </row>
    <row r="13959" spans="1:8" x14ac:dyDescent="0.25">
      <c r="A13959" t="str">
        <f>"&lt;min&gt;" &amp;$G$13955&amp;"&lt;/min&gt;"</f>
        <v>&lt;min&gt;0&lt;/min&gt;</v>
      </c>
      <c r="B13959" t="s">
        <v>1163</v>
      </c>
    </row>
    <row r="13960" spans="1:8" x14ac:dyDescent="0.25">
      <c r="A13960" t="s">
        <v>16</v>
      </c>
      <c r="B13960" t="s">
        <v>1163</v>
      </c>
    </row>
    <row r="13961" spans="1:8" x14ac:dyDescent="0.25">
      <c r="A13961" t="s">
        <v>17</v>
      </c>
      <c r="B13961" t="s">
        <v>1163</v>
      </c>
    </row>
    <row r="13962" spans="1:8" x14ac:dyDescent="0.25">
      <c r="A13962" t="s">
        <v>18</v>
      </c>
      <c r="B13962" t="s">
        <v>1163</v>
      </c>
    </row>
    <row r="13963" spans="1:8" x14ac:dyDescent="0.25">
      <c r="A13963" t="str">
        <f xml:space="preserve"> $H$13955</f>
        <v>&lt;flags count_in_cargo="0" count_in_hoarder="0" count_in_map="1" count_in_player="0" crafted="0" deloot="0"/&gt;</v>
      </c>
      <c r="B13963" t="s">
        <v>1163</v>
      </c>
    </row>
    <row r="13964" spans="1:8" x14ac:dyDescent="0.25">
      <c r="A13964" t="s">
        <v>22</v>
      </c>
      <c r="B13964" t="s">
        <v>1163</v>
      </c>
    </row>
    <row r="13965" spans="1:8" x14ac:dyDescent="0.25">
      <c r="A13965" t="s">
        <v>2466</v>
      </c>
      <c r="B13965" t="s">
        <v>1164</v>
      </c>
      <c r="D13965">
        <v>0</v>
      </c>
      <c r="E13965">
        <v>3888000</v>
      </c>
      <c r="F13965">
        <v>1800</v>
      </c>
      <c r="G13965">
        <v>0</v>
      </c>
      <c r="H13965" t="s">
        <v>19</v>
      </c>
    </row>
    <row r="13966" spans="1:8" x14ac:dyDescent="0.25">
      <c r="A13966" t="str">
        <f>"&lt;nominal&gt;" &amp;$D$13965&amp;"&lt;/nominal&gt;"</f>
        <v>&lt;nominal&gt;0&lt;/nominal&gt;</v>
      </c>
      <c r="B13966" t="s">
        <v>1164</v>
      </c>
    </row>
    <row r="13967" spans="1:8" x14ac:dyDescent="0.25">
      <c r="A13967" t="str">
        <f>"&lt;lifetime&gt;" &amp;$E$13965&amp;"&lt;/lifetime&gt;"</f>
        <v>&lt;lifetime&gt;3888000&lt;/lifetime&gt;</v>
      </c>
      <c r="B13967" t="s">
        <v>1164</v>
      </c>
    </row>
    <row r="13968" spans="1:8" x14ac:dyDescent="0.25">
      <c r="A13968" t="str">
        <f>"&lt;restock&gt;" &amp;$F$13965&amp;"&lt;/restock&gt;"</f>
        <v>&lt;restock&gt;1800&lt;/restock&gt;</v>
      </c>
      <c r="B13968" t="s">
        <v>1164</v>
      </c>
    </row>
    <row r="13969" spans="1:8" x14ac:dyDescent="0.25">
      <c r="A13969" t="str">
        <f>"&lt;min&gt;" &amp;$G$13965&amp;"&lt;/min&gt;"</f>
        <v>&lt;min&gt;0&lt;/min&gt;</v>
      </c>
      <c r="B13969" t="s">
        <v>1164</v>
      </c>
    </row>
    <row r="13970" spans="1:8" x14ac:dyDescent="0.25">
      <c r="A13970" t="s">
        <v>16</v>
      </c>
      <c r="B13970" t="s">
        <v>1164</v>
      </c>
    </row>
    <row r="13971" spans="1:8" x14ac:dyDescent="0.25">
      <c r="A13971" t="s">
        <v>17</v>
      </c>
      <c r="B13971" t="s">
        <v>1164</v>
      </c>
    </row>
    <row r="13972" spans="1:8" x14ac:dyDescent="0.25">
      <c r="A13972" t="s">
        <v>18</v>
      </c>
      <c r="B13972" t="s">
        <v>1164</v>
      </c>
    </row>
    <row r="13973" spans="1:8" x14ac:dyDescent="0.25">
      <c r="A13973" t="str">
        <f xml:space="preserve"> $H$13965</f>
        <v>&lt;flags count_in_cargo="0" count_in_hoarder="0" count_in_map="1" count_in_player="0" crafted="0" deloot="0"/&gt;</v>
      </c>
      <c r="B13973" t="s">
        <v>1164</v>
      </c>
    </row>
    <row r="13974" spans="1:8" x14ac:dyDescent="0.25">
      <c r="A13974" t="s">
        <v>22</v>
      </c>
      <c r="B13974" t="s">
        <v>1164</v>
      </c>
    </row>
    <row r="13975" spans="1:8" x14ac:dyDescent="0.25">
      <c r="A13975" t="s">
        <v>2467</v>
      </c>
      <c r="B13975" t="s">
        <v>1165</v>
      </c>
      <c r="D13975">
        <v>0</v>
      </c>
      <c r="E13975">
        <v>3888000</v>
      </c>
      <c r="F13975">
        <v>1800</v>
      </c>
      <c r="G13975">
        <v>0</v>
      </c>
      <c r="H13975" t="s">
        <v>19</v>
      </c>
    </row>
    <row r="13976" spans="1:8" x14ac:dyDescent="0.25">
      <c r="A13976" t="str">
        <f>"&lt;nominal&gt;" &amp;$D$13975&amp;"&lt;/nominal&gt;"</f>
        <v>&lt;nominal&gt;0&lt;/nominal&gt;</v>
      </c>
      <c r="B13976" t="s">
        <v>1165</v>
      </c>
    </row>
    <row r="13977" spans="1:8" x14ac:dyDescent="0.25">
      <c r="A13977" t="str">
        <f>"&lt;lifetime&gt;" &amp;$E$13975&amp;"&lt;/lifetime&gt;"</f>
        <v>&lt;lifetime&gt;3888000&lt;/lifetime&gt;</v>
      </c>
      <c r="B13977" t="s">
        <v>1165</v>
      </c>
    </row>
    <row r="13978" spans="1:8" x14ac:dyDescent="0.25">
      <c r="A13978" t="str">
        <f>"&lt;restock&gt;" &amp;$F$13975&amp;"&lt;/restock&gt;"</f>
        <v>&lt;restock&gt;1800&lt;/restock&gt;</v>
      </c>
      <c r="B13978" t="s">
        <v>1165</v>
      </c>
    </row>
    <row r="13979" spans="1:8" x14ac:dyDescent="0.25">
      <c r="A13979" t="str">
        <f>"&lt;min&gt;" &amp;$G$13975&amp;"&lt;/min&gt;"</f>
        <v>&lt;min&gt;0&lt;/min&gt;</v>
      </c>
      <c r="B13979" t="s">
        <v>1165</v>
      </c>
    </row>
    <row r="13980" spans="1:8" x14ac:dyDescent="0.25">
      <c r="A13980" t="s">
        <v>16</v>
      </c>
      <c r="B13980" t="s">
        <v>1165</v>
      </c>
    </row>
    <row r="13981" spans="1:8" x14ac:dyDescent="0.25">
      <c r="A13981" t="s">
        <v>17</v>
      </c>
      <c r="B13981" t="s">
        <v>1165</v>
      </c>
    </row>
    <row r="13982" spans="1:8" x14ac:dyDescent="0.25">
      <c r="A13982" t="s">
        <v>18</v>
      </c>
      <c r="B13982" t="s">
        <v>1165</v>
      </c>
    </row>
    <row r="13983" spans="1:8" x14ac:dyDescent="0.25">
      <c r="A13983" t="str">
        <f xml:space="preserve"> $H$13975</f>
        <v>&lt;flags count_in_cargo="0" count_in_hoarder="0" count_in_map="1" count_in_player="0" crafted="0" deloot="0"/&gt;</v>
      </c>
      <c r="B13983" t="s">
        <v>1165</v>
      </c>
    </row>
    <row r="13984" spans="1:8" x14ac:dyDescent="0.25">
      <c r="A13984" t="s">
        <v>22</v>
      </c>
      <c r="B13984" t="s">
        <v>1165</v>
      </c>
    </row>
    <row r="13985" spans="1:8" x14ac:dyDescent="0.25">
      <c r="A13985" t="s">
        <v>2468</v>
      </c>
      <c r="B13985" t="s">
        <v>1166</v>
      </c>
      <c r="D13985">
        <v>0</v>
      </c>
      <c r="E13985">
        <v>3888000</v>
      </c>
      <c r="F13985">
        <v>1800</v>
      </c>
      <c r="G13985">
        <v>0</v>
      </c>
      <c r="H13985" t="s">
        <v>19</v>
      </c>
    </row>
    <row r="13986" spans="1:8" x14ac:dyDescent="0.25">
      <c r="A13986" t="str">
        <f>"&lt;nominal&gt;" &amp;$D$13985&amp;"&lt;/nominal&gt;"</f>
        <v>&lt;nominal&gt;0&lt;/nominal&gt;</v>
      </c>
      <c r="B13986" t="s">
        <v>1166</v>
      </c>
    </row>
    <row r="13987" spans="1:8" x14ac:dyDescent="0.25">
      <c r="A13987" t="str">
        <f>"&lt;lifetime&gt;" &amp;$E$13985&amp;"&lt;/lifetime&gt;"</f>
        <v>&lt;lifetime&gt;3888000&lt;/lifetime&gt;</v>
      </c>
      <c r="B13987" t="s">
        <v>1166</v>
      </c>
    </row>
    <row r="13988" spans="1:8" x14ac:dyDescent="0.25">
      <c r="A13988" t="str">
        <f>"&lt;restock&gt;" &amp;$F$13985&amp;"&lt;/restock&gt;"</f>
        <v>&lt;restock&gt;1800&lt;/restock&gt;</v>
      </c>
      <c r="B13988" t="s">
        <v>1166</v>
      </c>
    </row>
    <row r="13989" spans="1:8" x14ac:dyDescent="0.25">
      <c r="A13989" t="str">
        <f>"&lt;min&gt;" &amp;$G$13985&amp;"&lt;/min&gt;"</f>
        <v>&lt;min&gt;0&lt;/min&gt;</v>
      </c>
      <c r="B13989" t="s">
        <v>1166</v>
      </c>
    </row>
    <row r="13990" spans="1:8" x14ac:dyDescent="0.25">
      <c r="A13990" t="s">
        <v>16</v>
      </c>
      <c r="B13990" t="s">
        <v>1166</v>
      </c>
    </row>
    <row r="13991" spans="1:8" x14ac:dyDescent="0.25">
      <c r="A13991" t="s">
        <v>17</v>
      </c>
      <c r="B13991" t="s">
        <v>1166</v>
      </c>
    </row>
    <row r="13992" spans="1:8" x14ac:dyDescent="0.25">
      <c r="A13992" t="s">
        <v>18</v>
      </c>
      <c r="B13992" t="s">
        <v>1166</v>
      </c>
    </row>
    <row r="13993" spans="1:8" x14ac:dyDescent="0.25">
      <c r="A13993" t="str">
        <f xml:space="preserve"> $H$13985</f>
        <v>&lt;flags count_in_cargo="0" count_in_hoarder="0" count_in_map="1" count_in_player="0" crafted="0" deloot="0"/&gt;</v>
      </c>
      <c r="B13993" t="s">
        <v>1166</v>
      </c>
    </row>
    <row r="13994" spans="1:8" x14ac:dyDescent="0.25">
      <c r="A13994" t="s">
        <v>22</v>
      </c>
      <c r="B13994" t="s">
        <v>1166</v>
      </c>
    </row>
    <row r="13995" spans="1:8" x14ac:dyDescent="0.25">
      <c r="A13995" t="s">
        <v>2469</v>
      </c>
      <c r="B13995" t="s">
        <v>1167</v>
      </c>
      <c r="C13995" t="s">
        <v>8</v>
      </c>
      <c r="D13995">
        <v>5</v>
      </c>
      <c r="E13995">
        <v>10800</v>
      </c>
      <c r="F13995">
        <v>7200</v>
      </c>
      <c r="G13995">
        <v>2</v>
      </c>
      <c r="H13995" t="s">
        <v>28</v>
      </c>
    </row>
    <row r="13996" spans="1:8" x14ac:dyDescent="0.25">
      <c r="A13996" t="str">
        <f>"&lt;nominal&gt;" &amp;$D$13995&amp;"&lt;/nominal&gt;"</f>
        <v>&lt;nominal&gt;5&lt;/nominal&gt;</v>
      </c>
      <c r="B13996" t="s">
        <v>1167</v>
      </c>
    </row>
    <row r="13997" spans="1:8" x14ac:dyDescent="0.25">
      <c r="A13997" t="str">
        <f>"&lt;lifetime&gt;" &amp;$E$13995&amp;"&lt;/lifetime&gt;"</f>
        <v>&lt;lifetime&gt;10800&lt;/lifetime&gt;</v>
      </c>
      <c r="B13997" t="s">
        <v>1167</v>
      </c>
    </row>
    <row r="13998" spans="1:8" x14ac:dyDescent="0.25">
      <c r="A13998" t="str">
        <f>"&lt;restock&gt;" &amp;$F$13995&amp;"&lt;/restock&gt;"</f>
        <v>&lt;restock&gt;7200&lt;/restock&gt;</v>
      </c>
      <c r="B13998" t="s">
        <v>1167</v>
      </c>
    </row>
    <row r="13999" spans="1:8" x14ac:dyDescent="0.25">
      <c r="A13999" t="str">
        <f>"&lt;min&gt;" &amp;$G$13995&amp;"&lt;/min&gt;"</f>
        <v>&lt;min&gt;2&lt;/min&gt;</v>
      </c>
      <c r="B13999" t="s">
        <v>1167</v>
      </c>
    </row>
    <row r="14000" spans="1:8" x14ac:dyDescent="0.25">
      <c r="A14000" t="s">
        <v>16</v>
      </c>
      <c r="B14000" t="s">
        <v>1167</v>
      </c>
    </row>
    <row r="14001" spans="1:8" x14ac:dyDescent="0.25">
      <c r="A14001" t="s">
        <v>17</v>
      </c>
      <c r="B14001" t="s">
        <v>1167</v>
      </c>
    </row>
    <row r="14002" spans="1:8" x14ac:dyDescent="0.25">
      <c r="A14002" t="s">
        <v>18</v>
      </c>
      <c r="B14002" t="s">
        <v>1167</v>
      </c>
    </row>
    <row r="14003" spans="1:8" x14ac:dyDescent="0.25">
      <c r="A14003" t="str">
        <f xml:space="preserve"> $H$13995</f>
        <v>&lt;flags count_in_cargo="1" count_in_hoarder="1" count_in_map="1" count_in_player="1" crafted="0" deloot="1"/&gt;</v>
      </c>
      <c r="B14003" t="s">
        <v>1167</v>
      </c>
    </row>
    <row r="14004" spans="1:8" x14ac:dyDescent="0.25">
      <c r="A14004" t="str">
        <f>"&lt;category name=" &amp;"""" &amp;$C$13995&amp;"""/&gt;"</f>
        <v>&lt;category name="weapons"/&gt;</v>
      </c>
      <c r="B14004" t="s">
        <v>1167</v>
      </c>
    </row>
    <row r="14005" spans="1:8" x14ac:dyDescent="0.25">
      <c r="A14005" t="s">
        <v>29</v>
      </c>
      <c r="B14005" t="s">
        <v>1167</v>
      </c>
    </row>
    <row r="14006" spans="1:8" x14ac:dyDescent="0.25">
      <c r="A14006" t="s">
        <v>22</v>
      </c>
      <c r="B14006" t="s">
        <v>1167</v>
      </c>
    </row>
    <row r="14007" spans="1:8" x14ac:dyDescent="0.25">
      <c r="A14007" t="s">
        <v>2470</v>
      </c>
      <c r="B14007" t="s">
        <v>1168</v>
      </c>
      <c r="C14007" t="s">
        <v>426</v>
      </c>
      <c r="D14007">
        <v>40</v>
      </c>
      <c r="E14007">
        <v>2700</v>
      </c>
      <c r="F14007">
        <v>0</v>
      </c>
      <c r="G14007">
        <v>20</v>
      </c>
      <c r="H14007" t="s">
        <v>19</v>
      </c>
    </row>
    <row r="14008" spans="1:8" x14ac:dyDescent="0.25">
      <c r="A14008" t="str">
        <f>"&lt;nominal&gt;" &amp;$D$14007&amp;"&lt;/nominal&gt;"</f>
        <v>&lt;nominal&gt;40&lt;/nominal&gt;</v>
      </c>
      <c r="B14008" t="s">
        <v>1168</v>
      </c>
    </row>
    <row r="14009" spans="1:8" x14ac:dyDescent="0.25">
      <c r="A14009" t="str">
        <f>"&lt;lifetime&gt;" &amp;$E$14007&amp;"&lt;/lifetime&gt;"</f>
        <v>&lt;lifetime&gt;2700&lt;/lifetime&gt;</v>
      </c>
      <c r="B14009" t="s">
        <v>1168</v>
      </c>
    </row>
    <row r="14010" spans="1:8" x14ac:dyDescent="0.25">
      <c r="A14010" t="str">
        <f>"&lt;restock&gt;" &amp;$F$14007&amp;"&lt;/restock&gt;"</f>
        <v>&lt;restock&gt;0&lt;/restock&gt;</v>
      </c>
      <c r="B14010" t="s">
        <v>1168</v>
      </c>
    </row>
    <row r="14011" spans="1:8" x14ac:dyDescent="0.25">
      <c r="A14011" t="str">
        <f>"&lt;min&gt;" &amp;$G$14007&amp;"&lt;/min&gt;"</f>
        <v>&lt;min&gt;20&lt;/min&gt;</v>
      </c>
      <c r="B14011" t="s">
        <v>1168</v>
      </c>
    </row>
    <row r="14012" spans="1:8" x14ac:dyDescent="0.25">
      <c r="A14012" t="s">
        <v>16</v>
      </c>
      <c r="B14012" t="s">
        <v>1168</v>
      </c>
    </row>
    <row r="14013" spans="1:8" x14ac:dyDescent="0.25">
      <c r="A14013" t="s">
        <v>17</v>
      </c>
      <c r="B14013" t="s">
        <v>1168</v>
      </c>
    </row>
    <row r="14014" spans="1:8" x14ac:dyDescent="0.25">
      <c r="A14014" t="s">
        <v>18</v>
      </c>
      <c r="B14014" t="s">
        <v>1168</v>
      </c>
    </row>
    <row r="14015" spans="1:8" x14ac:dyDescent="0.25">
      <c r="A14015" t="str">
        <f xml:space="preserve"> $H$14007</f>
        <v>&lt;flags count_in_cargo="0" count_in_hoarder="0" count_in_map="1" count_in_player="0" crafted="0" deloot="0"/&gt;</v>
      </c>
      <c r="B14015" t="s">
        <v>1168</v>
      </c>
    </row>
    <row r="14016" spans="1:8" x14ac:dyDescent="0.25">
      <c r="A14016" t="str">
        <f>"&lt;category name=" &amp;"""" &amp;$C$14007&amp;"""/&gt;"</f>
        <v>&lt;category name="tools"/&gt;</v>
      </c>
      <c r="B14016" t="s">
        <v>1168</v>
      </c>
    </row>
    <row r="14017" spans="1:8" x14ac:dyDescent="0.25">
      <c r="A14017" t="s">
        <v>20</v>
      </c>
      <c r="B14017" t="s">
        <v>1168</v>
      </c>
    </row>
    <row r="14018" spans="1:8" x14ac:dyDescent="0.25">
      <c r="A14018" t="s">
        <v>39</v>
      </c>
      <c r="B14018" t="s">
        <v>1168</v>
      </c>
    </row>
    <row r="14019" spans="1:8" x14ac:dyDescent="0.25">
      <c r="A14019" t="s">
        <v>40</v>
      </c>
      <c r="B14019" t="s">
        <v>1168</v>
      </c>
    </row>
    <row r="14020" spans="1:8" x14ac:dyDescent="0.25">
      <c r="A14020" t="s">
        <v>22</v>
      </c>
      <c r="B14020" t="s">
        <v>1168</v>
      </c>
    </row>
    <row r="14021" spans="1:8" x14ac:dyDescent="0.25">
      <c r="A14021" t="s">
        <v>2471</v>
      </c>
      <c r="B14021" t="s">
        <v>3478</v>
      </c>
      <c r="C14021" t="s">
        <v>426</v>
      </c>
      <c r="D14021">
        <v>0</v>
      </c>
      <c r="E14021">
        <v>3888000</v>
      </c>
      <c r="F14021">
        <v>0</v>
      </c>
      <c r="G14021">
        <v>0</v>
      </c>
      <c r="H14021" t="s">
        <v>62</v>
      </c>
    </row>
    <row r="14022" spans="1:8" x14ac:dyDescent="0.25">
      <c r="A14022" t="str">
        <f>"&lt;nominal&gt;" &amp;$D$14021&amp;"&lt;/nominal&gt;"</f>
        <v>&lt;nominal&gt;0&lt;/nominal&gt;</v>
      </c>
      <c r="B14022" t="s">
        <v>3478</v>
      </c>
    </row>
    <row r="14023" spans="1:8" x14ac:dyDescent="0.25">
      <c r="A14023" t="str">
        <f>"&lt;lifetime&gt;" &amp;$E$14021&amp;"&lt;/lifetime&gt;"</f>
        <v>&lt;lifetime&gt;3888000&lt;/lifetime&gt;</v>
      </c>
      <c r="B14023" t="s">
        <v>3478</v>
      </c>
    </row>
    <row r="14024" spans="1:8" x14ac:dyDescent="0.25">
      <c r="A14024" t="str">
        <f>"&lt;restock&gt;" &amp;$F$14021&amp;"&lt;/restock&gt;"</f>
        <v>&lt;restock&gt;0&lt;/restock&gt;</v>
      </c>
      <c r="B14024" t="s">
        <v>3478</v>
      </c>
    </row>
    <row r="14025" spans="1:8" x14ac:dyDescent="0.25">
      <c r="A14025" t="str">
        <f>"&lt;min&gt;" &amp;$G$14021&amp;"&lt;/min&gt;"</f>
        <v>&lt;min&gt;0&lt;/min&gt;</v>
      </c>
      <c r="B14025" t="s">
        <v>3478</v>
      </c>
    </row>
    <row r="14026" spans="1:8" x14ac:dyDescent="0.25">
      <c r="A14026" t="s">
        <v>16</v>
      </c>
      <c r="B14026" t="s">
        <v>3478</v>
      </c>
    </row>
    <row r="14027" spans="1:8" x14ac:dyDescent="0.25">
      <c r="A14027" t="s">
        <v>17</v>
      </c>
      <c r="B14027" t="s">
        <v>3478</v>
      </c>
    </row>
    <row r="14028" spans="1:8" x14ac:dyDescent="0.25">
      <c r="A14028" t="s">
        <v>18</v>
      </c>
      <c r="B14028" t="s">
        <v>3478</v>
      </c>
    </row>
    <row r="14029" spans="1:8" x14ac:dyDescent="0.25">
      <c r="A14029" t="str">
        <f xml:space="preserve"> $H$14021</f>
        <v>&lt;flags count_in_cargo="0" count_in_hoarder="0" count_in_map="1" count_in_player="0" crafted="1" deloot="0"/&gt;</v>
      </c>
      <c r="B14029" t="s">
        <v>3478</v>
      </c>
    </row>
    <row r="14030" spans="1:8" x14ac:dyDescent="0.25">
      <c r="A14030" t="str">
        <f>"&lt;category name=" &amp;"""" &amp;$C$14021&amp;"""/&gt;"</f>
        <v>&lt;category name="tools"/&gt;</v>
      </c>
      <c r="B14030" t="s">
        <v>3478</v>
      </c>
    </row>
    <row r="14031" spans="1:8" x14ac:dyDescent="0.25">
      <c r="A14031" t="s">
        <v>22</v>
      </c>
      <c r="B14031" t="s">
        <v>3478</v>
      </c>
    </row>
    <row r="14032" spans="1:8" x14ac:dyDescent="0.25">
      <c r="A14032" t="s">
        <v>2472</v>
      </c>
      <c r="B14032" t="s">
        <v>3479</v>
      </c>
      <c r="C14032" t="s">
        <v>426</v>
      </c>
      <c r="D14032">
        <v>0</v>
      </c>
      <c r="E14032">
        <v>7200</v>
      </c>
      <c r="F14032">
        <v>0</v>
      </c>
      <c r="G14032">
        <v>0</v>
      </c>
      <c r="H14032" t="s">
        <v>62</v>
      </c>
    </row>
    <row r="14033" spans="1:8" x14ac:dyDescent="0.25">
      <c r="A14033" t="str">
        <f>"&lt;nominal&gt;" &amp;$D$14032&amp;"&lt;/nominal&gt;"</f>
        <v>&lt;nominal&gt;0&lt;/nominal&gt;</v>
      </c>
      <c r="B14033" t="s">
        <v>3479</v>
      </c>
    </row>
    <row r="14034" spans="1:8" x14ac:dyDescent="0.25">
      <c r="A14034" t="str">
        <f>"&lt;lifetime&gt;" &amp;$E$14032&amp;"&lt;/lifetime&gt;"</f>
        <v>&lt;lifetime&gt;7200&lt;/lifetime&gt;</v>
      </c>
      <c r="B14034" t="s">
        <v>3479</v>
      </c>
    </row>
    <row r="14035" spans="1:8" x14ac:dyDescent="0.25">
      <c r="A14035" t="str">
        <f>"&lt;restock&gt;" &amp;$F$14032&amp;"&lt;/restock&gt;"</f>
        <v>&lt;restock&gt;0&lt;/restock&gt;</v>
      </c>
      <c r="B14035" t="s">
        <v>3479</v>
      </c>
    </row>
    <row r="14036" spans="1:8" x14ac:dyDescent="0.25">
      <c r="A14036" t="str">
        <f>"&lt;min&gt;" &amp;$G$14032&amp;"&lt;/min&gt;"</f>
        <v>&lt;min&gt;0&lt;/min&gt;</v>
      </c>
      <c r="B14036" t="s">
        <v>3479</v>
      </c>
    </row>
    <row r="14037" spans="1:8" x14ac:dyDescent="0.25">
      <c r="A14037" t="s">
        <v>16</v>
      </c>
      <c r="B14037" t="s">
        <v>3479</v>
      </c>
    </row>
    <row r="14038" spans="1:8" x14ac:dyDescent="0.25">
      <c r="A14038" t="s">
        <v>17</v>
      </c>
      <c r="B14038" t="s">
        <v>3479</v>
      </c>
    </row>
    <row r="14039" spans="1:8" x14ac:dyDescent="0.25">
      <c r="A14039" t="s">
        <v>18</v>
      </c>
      <c r="B14039" t="s">
        <v>3479</v>
      </c>
    </row>
    <row r="14040" spans="1:8" x14ac:dyDescent="0.25">
      <c r="A14040" t="str">
        <f xml:space="preserve"> $H$14032</f>
        <v>&lt;flags count_in_cargo="0" count_in_hoarder="0" count_in_map="1" count_in_player="0" crafted="1" deloot="0"/&gt;</v>
      </c>
      <c r="B14040" t="s">
        <v>3479</v>
      </c>
    </row>
    <row r="14041" spans="1:8" x14ac:dyDescent="0.25">
      <c r="A14041" t="str">
        <f>"&lt;category name=" &amp;"""" &amp;$C$14032&amp;"""/&gt;"</f>
        <v>&lt;category name="tools"/&gt;</v>
      </c>
      <c r="B14041" t="s">
        <v>3479</v>
      </c>
    </row>
    <row r="14042" spans="1:8" x14ac:dyDescent="0.25">
      <c r="A14042" t="s">
        <v>22</v>
      </c>
      <c r="B14042" t="s">
        <v>3479</v>
      </c>
    </row>
    <row r="14043" spans="1:8" x14ac:dyDescent="0.25">
      <c r="A14043" t="s">
        <v>2473</v>
      </c>
      <c r="B14043" t="s">
        <v>1169</v>
      </c>
      <c r="D14043">
        <v>130</v>
      </c>
      <c r="E14043">
        <v>1800</v>
      </c>
      <c r="F14043">
        <v>0</v>
      </c>
      <c r="G14043">
        <v>100</v>
      </c>
      <c r="H14043" t="s">
        <v>19</v>
      </c>
    </row>
    <row r="14044" spans="1:8" x14ac:dyDescent="0.25">
      <c r="A14044" t="str">
        <f>"&lt;nominal&gt;" &amp;$D$14043&amp;"&lt;/nominal&gt;"</f>
        <v>&lt;nominal&gt;130&lt;/nominal&gt;</v>
      </c>
      <c r="B14044" t="s">
        <v>1169</v>
      </c>
    </row>
    <row r="14045" spans="1:8" x14ac:dyDescent="0.25">
      <c r="A14045" t="str">
        <f>"&lt;lifetime&gt;" &amp;$E$14043&amp;"&lt;/lifetime&gt;"</f>
        <v>&lt;lifetime&gt;1800&lt;/lifetime&gt;</v>
      </c>
      <c r="B14045" t="s">
        <v>1169</v>
      </c>
    </row>
    <row r="14046" spans="1:8" x14ac:dyDescent="0.25">
      <c r="A14046" t="str">
        <f>"&lt;restock&gt;" &amp;$F$14043&amp;"&lt;/restock&gt;"</f>
        <v>&lt;restock&gt;0&lt;/restock&gt;</v>
      </c>
      <c r="B14046" t="s">
        <v>1169</v>
      </c>
    </row>
    <row r="14047" spans="1:8" x14ac:dyDescent="0.25">
      <c r="A14047" t="str">
        <f>"&lt;min&gt;" &amp;$G$14043&amp;"&lt;/min&gt;"</f>
        <v>&lt;min&gt;100&lt;/min&gt;</v>
      </c>
      <c r="B14047" t="s">
        <v>1169</v>
      </c>
    </row>
    <row r="14048" spans="1:8" x14ac:dyDescent="0.25">
      <c r="A14048" t="s">
        <v>45</v>
      </c>
      <c r="B14048" t="s">
        <v>1169</v>
      </c>
    </row>
    <row r="14049" spans="1:8" x14ac:dyDescent="0.25">
      <c r="A14049" t="s">
        <v>2062</v>
      </c>
      <c r="B14049" t="s">
        <v>1169</v>
      </c>
    </row>
    <row r="14050" spans="1:8" x14ac:dyDescent="0.25">
      <c r="A14050" t="s">
        <v>18</v>
      </c>
      <c r="B14050" t="s">
        <v>1169</v>
      </c>
    </row>
    <row r="14051" spans="1:8" x14ac:dyDescent="0.25">
      <c r="A14051" t="str">
        <f xml:space="preserve"> $H$14043</f>
        <v>&lt;flags count_in_cargo="0" count_in_hoarder="0" count_in_map="1" count_in_player="0" crafted="0" deloot="0"/&gt;</v>
      </c>
      <c r="B14051" t="s">
        <v>1169</v>
      </c>
    </row>
    <row r="14052" spans="1:8" x14ac:dyDescent="0.25">
      <c r="A14052" t="s">
        <v>22</v>
      </c>
      <c r="B14052" t="s">
        <v>1169</v>
      </c>
    </row>
    <row r="14053" spans="1:8" x14ac:dyDescent="0.25">
      <c r="A14053" t="s">
        <v>2474</v>
      </c>
      <c r="B14053" t="s">
        <v>1170</v>
      </c>
      <c r="C14053" t="s">
        <v>363</v>
      </c>
      <c r="D14053">
        <v>20</v>
      </c>
      <c r="E14053">
        <v>21600</v>
      </c>
      <c r="F14053">
        <v>0</v>
      </c>
      <c r="G14053">
        <v>10</v>
      </c>
      <c r="H14053" t="s">
        <v>19</v>
      </c>
    </row>
    <row r="14054" spans="1:8" x14ac:dyDescent="0.25">
      <c r="A14054" t="str">
        <f>"&lt;nominal&gt;" &amp;$D$14053&amp;"&lt;/nominal&gt;"</f>
        <v>&lt;nominal&gt;20&lt;/nominal&gt;</v>
      </c>
      <c r="B14054" t="s">
        <v>1170</v>
      </c>
    </row>
    <row r="14055" spans="1:8" x14ac:dyDescent="0.25">
      <c r="A14055" t="str">
        <f>"&lt;lifetime&gt;" &amp;$E$14053&amp;"&lt;/lifetime&gt;"</f>
        <v>&lt;lifetime&gt;21600&lt;/lifetime&gt;</v>
      </c>
      <c r="B14055" t="s">
        <v>1170</v>
      </c>
    </row>
    <row r="14056" spans="1:8" x14ac:dyDescent="0.25">
      <c r="A14056" t="str">
        <f>"&lt;restock&gt;" &amp;$F$14053&amp;"&lt;/restock&gt;"</f>
        <v>&lt;restock&gt;0&lt;/restock&gt;</v>
      </c>
      <c r="B14056" t="s">
        <v>1170</v>
      </c>
    </row>
    <row r="14057" spans="1:8" x14ac:dyDescent="0.25">
      <c r="A14057" t="str">
        <f>"&lt;min&gt;" &amp;$G$14053&amp;"&lt;/min&gt;"</f>
        <v>&lt;min&gt;10&lt;/min&gt;</v>
      </c>
      <c r="B14057" t="s">
        <v>1170</v>
      </c>
    </row>
    <row r="14058" spans="1:8" x14ac:dyDescent="0.25">
      <c r="A14058" t="s">
        <v>16</v>
      </c>
      <c r="B14058" t="s">
        <v>1170</v>
      </c>
    </row>
    <row r="14059" spans="1:8" x14ac:dyDescent="0.25">
      <c r="A14059" t="s">
        <v>17</v>
      </c>
      <c r="B14059" t="s">
        <v>1170</v>
      </c>
    </row>
    <row r="14060" spans="1:8" x14ac:dyDescent="0.25">
      <c r="A14060" t="s">
        <v>18</v>
      </c>
      <c r="B14060" t="s">
        <v>1170</v>
      </c>
    </row>
    <row r="14061" spans="1:8" x14ac:dyDescent="0.25">
      <c r="A14061" t="str">
        <f xml:space="preserve"> $H$14053</f>
        <v>&lt;flags count_in_cargo="0" count_in_hoarder="0" count_in_map="1" count_in_player="0" crafted="0" deloot="0"/&gt;</v>
      </c>
      <c r="B14061" t="s">
        <v>1170</v>
      </c>
    </row>
    <row r="14062" spans="1:8" x14ac:dyDescent="0.25">
      <c r="A14062" t="str">
        <f>"&lt;category name=" &amp;"""" &amp;$C$14053&amp;"""/&gt;"</f>
        <v>&lt;category name="containers"/&gt;</v>
      </c>
      <c r="B14062" t="s">
        <v>1170</v>
      </c>
    </row>
    <row r="14063" spans="1:8" x14ac:dyDescent="0.25">
      <c r="A14063" t="s">
        <v>1616</v>
      </c>
      <c r="B14063" t="s">
        <v>1170</v>
      </c>
    </row>
    <row r="14064" spans="1:8" x14ac:dyDescent="0.25">
      <c r="A14064" t="s">
        <v>22</v>
      </c>
      <c r="B14064" t="s">
        <v>1170</v>
      </c>
    </row>
    <row r="14065" spans="1:8" x14ac:dyDescent="0.25">
      <c r="A14065" t="s">
        <v>2475</v>
      </c>
      <c r="B14065" t="s">
        <v>1171</v>
      </c>
      <c r="C14065" t="s">
        <v>363</v>
      </c>
      <c r="D14065">
        <v>20</v>
      </c>
      <c r="E14065">
        <v>21600</v>
      </c>
      <c r="F14065">
        <v>0</v>
      </c>
      <c r="G14065">
        <v>10</v>
      </c>
      <c r="H14065" t="s">
        <v>19</v>
      </c>
    </row>
    <row r="14066" spans="1:8" x14ac:dyDescent="0.25">
      <c r="A14066" t="str">
        <f>"&lt;nominal&gt;" &amp;$D$14065&amp;"&lt;/nominal&gt;"</f>
        <v>&lt;nominal&gt;20&lt;/nominal&gt;</v>
      </c>
      <c r="B14066" t="s">
        <v>1171</v>
      </c>
    </row>
    <row r="14067" spans="1:8" x14ac:dyDescent="0.25">
      <c r="A14067" t="str">
        <f>"&lt;lifetime&gt;" &amp;$E$14065&amp;"&lt;/lifetime&gt;"</f>
        <v>&lt;lifetime&gt;21600&lt;/lifetime&gt;</v>
      </c>
      <c r="B14067" t="s">
        <v>1171</v>
      </c>
    </row>
    <row r="14068" spans="1:8" x14ac:dyDescent="0.25">
      <c r="A14068" t="str">
        <f>"&lt;restock&gt;" &amp;$F$14065&amp;"&lt;/restock&gt;"</f>
        <v>&lt;restock&gt;0&lt;/restock&gt;</v>
      </c>
      <c r="B14068" t="s">
        <v>1171</v>
      </c>
    </row>
    <row r="14069" spans="1:8" x14ac:dyDescent="0.25">
      <c r="A14069" t="str">
        <f>"&lt;min&gt;" &amp;$G$14065&amp;"&lt;/min&gt;"</f>
        <v>&lt;min&gt;10&lt;/min&gt;</v>
      </c>
      <c r="B14069" t="s">
        <v>1171</v>
      </c>
    </row>
    <row r="14070" spans="1:8" x14ac:dyDescent="0.25">
      <c r="A14070" t="s">
        <v>16</v>
      </c>
      <c r="B14070" t="s">
        <v>1171</v>
      </c>
    </row>
    <row r="14071" spans="1:8" x14ac:dyDescent="0.25">
      <c r="A14071" t="s">
        <v>17</v>
      </c>
      <c r="B14071" t="s">
        <v>1171</v>
      </c>
    </row>
    <row r="14072" spans="1:8" x14ac:dyDescent="0.25">
      <c r="A14072" t="s">
        <v>18</v>
      </c>
      <c r="B14072" t="s">
        <v>1171</v>
      </c>
    </row>
    <row r="14073" spans="1:8" x14ac:dyDescent="0.25">
      <c r="A14073" t="str">
        <f xml:space="preserve"> $H$14065</f>
        <v>&lt;flags count_in_cargo="0" count_in_hoarder="0" count_in_map="1" count_in_player="0" crafted="0" deloot="0"/&gt;</v>
      </c>
      <c r="B14073" t="s">
        <v>1171</v>
      </c>
    </row>
    <row r="14074" spans="1:8" x14ac:dyDescent="0.25">
      <c r="A14074" t="str">
        <f>"&lt;category name=" &amp;"""" &amp;$C$14065&amp;"""/&gt;"</f>
        <v>&lt;category name="containers"/&gt;</v>
      </c>
      <c r="B14074" t="s">
        <v>1171</v>
      </c>
    </row>
    <row r="14075" spans="1:8" x14ac:dyDescent="0.25">
      <c r="A14075" t="s">
        <v>1616</v>
      </c>
      <c r="B14075" t="s">
        <v>1171</v>
      </c>
    </row>
    <row r="14076" spans="1:8" x14ac:dyDescent="0.25">
      <c r="A14076" t="s">
        <v>22</v>
      </c>
      <c r="B14076" t="s">
        <v>1171</v>
      </c>
    </row>
    <row r="14077" spans="1:8" x14ac:dyDescent="0.25">
      <c r="A14077" t="s">
        <v>2476</v>
      </c>
      <c r="B14077" t="s">
        <v>1172</v>
      </c>
      <c r="C14077" t="s">
        <v>363</v>
      </c>
      <c r="D14077">
        <v>20</v>
      </c>
      <c r="E14077">
        <v>21600</v>
      </c>
      <c r="F14077">
        <v>0</v>
      </c>
      <c r="G14077">
        <v>10</v>
      </c>
      <c r="H14077" t="s">
        <v>19</v>
      </c>
    </row>
    <row r="14078" spans="1:8" x14ac:dyDescent="0.25">
      <c r="A14078" t="str">
        <f>"&lt;nominal&gt;" &amp;$D$14077&amp;"&lt;/nominal&gt;"</f>
        <v>&lt;nominal&gt;20&lt;/nominal&gt;</v>
      </c>
      <c r="B14078" t="s">
        <v>1172</v>
      </c>
    </row>
    <row r="14079" spans="1:8" x14ac:dyDescent="0.25">
      <c r="A14079" t="str">
        <f>"&lt;lifetime&gt;" &amp;$E$14077&amp;"&lt;/lifetime&gt;"</f>
        <v>&lt;lifetime&gt;21600&lt;/lifetime&gt;</v>
      </c>
      <c r="B14079" t="s">
        <v>1172</v>
      </c>
    </row>
    <row r="14080" spans="1:8" x14ac:dyDescent="0.25">
      <c r="A14080" t="str">
        <f>"&lt;restock&gt;" &amp;$F$14077&amp;"&lt;/restock&gt;"</f>
        <v>&lt;restock&gt;0&lt;/restock&gt;</v>
      </c>
      <c r="B14080" t="s">
        <v>1172</v>
      </c>
    </row>
    <row r="14081" spans="1:8" x14ac:dyDescent="0.25">
      <c r="A14081" t="str">
        <f>"&lt;min&gt;" &amp;$G$14077&amp;"&lt;/min&gt;"</f>
        <v>&lt;min&gt;10&lt;/min&gt;</v>
      </c>
      <c r="B14081" t="s">
        <v>1172</v>
      </c>
    </row>
    <row r="14082" spans="1:8" x14ac:dyDescent="0.25">
      <c r="A14082" t="s">
        <v>16</v>
      </c>
      <c r="B14082" t="s">
        <v>1172</v>
      </c>
    </row>
    <row r="14083" spans="1:8" x14ac:dyDescent="0.25">
      <c r="A14083" t="s">
        <v>17</v>
      </c>
      <c r="B14083" t="s">
        <v>1172</v>
      </c>
    </row>
    <row r="14084" spans="1:8" x14ac:dyDescent="0.25">
      <c r="A14084" t="s">
        <v>18</v>
      </c>
      <c r="B14084" t="s">
        <v>1172</v>
      </c>
    </row>
    <row r="14085" spans="1:8" x14ac:dyDescent="0.25">
      <c r="A14085" t="str">
        <f xml:space="preserve"> $H$14077</f>
        <v>&lt;flags count_in_cargo="0" count_in_hoarder="0" count_in_map="1" count_in_player="0" crafted="0" deloot="0"/&gt;</v>
      </c>
      <c r="B14085" t="s">
        <v>1172</v>
      </c>
    </row>
    <row r="14086" spans="1:8" x14ac:dyDescent="0.25">
      <c r="A14086" t="str">
        <f>"&lt;category name=" &amp;"""" &amp;$C$14077&amp;"""/&gt;"</f>
        <v>&lt;category name="containers"/&gt;</v>
      </c>
      <c r="B14086" t="s">
        <v>1172</v>
      </c>
    </row>
    <row r="14087" spans="1:8" x14ac:dyDescent="0.25">
      <c r="A14087" t="s">
        <v>1616</v>
      </c>
      <c r="B14087" t="s">
        <v>1172</v>
      </c>
    </row>
    <row r="14088" spans="1:8" x14ac:dyDescent="0.25">
      <c r="A14088" t="s">
        <v>22</v>
      </c>
      <c r="B14088" t="s">
        <v>1172</v>
      </c>
    </row>
    <row r="14089" spans="1:8" x14ac:dyDescent="0.25">
      <c r="A14089" t="s">
        <v>2477</v>
      </c>
      <c r="B14089" t="s">
        <v>1173</v>
      </c>
      <c r="C14089" t="s">
        <v>426</v>
      </c>
      <c r="D14089">
        <v>50</v>
      </c>
      <c r="E14089">
        <v>7200</v>
      </c>
      <c r="F14089">
        <v>0</v>
      </c>
      <c r="G14089">
        <v>30</v>
      </c>
      <c r="H14089" t="s">
        <v>19</v>
      </c>
    </row>
    <row r="14090" spans="1:8" x14ac:dyDescent="0.25">
      <c r="A14090" t="str">
        <f>"&lt;nominal&gt;" &amp;$D$14089&amp;"&lt;/nominal&gt;"</f>
        <v>&lt;nominal&gt;50&lt;/nominal&gt;</v>
      </c>
      <c r="B14090" t="s">
        <v>1173</v>
      </c>
    </row>
    <row r="14091" spans="1:8" x14ac:dyDescent="0.25">
      <c r="A14091" t="str">
        <f>"&lt;lifetime&gt;" &amp;$E$14089&amp;"&lt;/lifetime&gt;"</f>
        <v>&lt;lifetime&gt;7200&lt;/lifetime&gt;</v>
      </c>
      <c r="B14091" t="s">
        <v>1173</v>
      </c>
    </row>
    <row r="14092" spans="1:8" x14ac:dyDescent="0.25">
      <c r="A14092" t="str">
        <f>"&lt;restock&gt;" &amp;$F$14089&amp;"&lt;/restock&gt;"</f>
        <v>&lt;restock&gt;0&lt;/restock&gt;</v>
      </c>
      <c r="B14092" t="s">
        <v>1173</v>
      </c>
    </row>
    <row r="14093" spans="1:8" x14ac:dyDescent="0.25">
      <c r="A14093" t="str">
        <f>"&lt;min&gt;" &amp;$G$14089&amp;"&lt;/min&gt;"</f>
        <v>&lt;min&gt;30&lt;/min&gt;</v>
      </c>
      <c r="B14093" t="s">
        <v>1173</v>
      </c>
    </row>
    <row r="14094" spans="1:8" x14ac:dyDescent="0.25">
      <c r="A14094" t="s">
        <v>16</v>
      </c>
      <c r="B14094" t="s">
        <v>1173</v>
      </c>
    </row>
    <row r="14095" spans="1:8" x14ac:dyDescent="0.25">
      <c r="A14095" t="s">
        <v>17</v>
      </c>
      <c r="B14095" t="s">
        <v>1173</v>
      </c>
    </row>
    <row r="14096" spans="1:8" x14ac:dyDescent="0.25">
      <c r="A14096" t="s">
        <v>18</v>
      </c>
      <c r="B14096" t="s">
        <v>1173</v>
      </c>
    </row>
    <row r="14097" spans="1:8" x14ac:dyDescent="0.25">
      <c r="A14097" t="str">
        <f xml:space="preserve"> $H$14089</f>
        <v>&lt;flags count_in_cargo="0" count_in_hoarder="0" count_in_map="1" count_in_player="0" crafted="0" deloot="0"/&gt;</v>
      </c>
      <c r="B14097" t="s">
        <v>1173</v>
      </c>
    </row>
    <row r="14098" spans="1:8" x14ac:dyDescent="0.25">
      <c r="A14098" t="str">
        <f>"&lt;category name=" &amp;"""" &amp;$C$14089&amp;"""/&gt;"</f>
        <v>&lt;category name="tools"/&gt;</v>
      </c>
      <c r="B14098" t="s">
        <v>1173</v>
      </c>
    </row>
    <row r="14099" spans="1:8" x14ac:dyDescent="0.25">
      <c r="A14099" t="s">
        <v>29</v>
      </c>
      <c r="B14099" t="s">
        <v>1173</v>
      </c>
    </row>
    <row r="14100" spans="1:8" x14ac:dyDescent="0.25">
      <c r="A14100" t="s">
        <v>173</v>
      </c>
      <c r="B14100" t="s">
        <v>1173</v>
      </c>
    </row>
    <row r="14101" spans="1:8" x14ac:dyDescent="0.25">
      <c r="A14101" t="s">
        <v>67</v>
      </c>
      <c r="B14101" t="s">
        <v>1173</v>
      </c>
    </row>
    <row r="14102" spans="1:8" x14ac:dyDescent="0.25">
      <c r="A14102" t="s">
        <v>22</v>
      </c>
      <c r="B14102" t="s">
        <v>1173</v>
      </c>
    </row>
    <row r="14103" spans="1:8" x14ac:dyDescent="0.25">
      <c r="A14103" t="s">
        <v>2478</v>
      </c>
      <c r="B14103" t="s">
        <v>1174</v>
      </c>
      <c r="C14103" t="s">
        <v>403</v>
      </c>
      <c r="D14103">
        <v>10</v>
      </c>
      <c r="E14103">
        <v>5600</v>
      </c>
      <c r="F14103">
        <v>0</v>
      </c>
      <c r="G14103">
        <v>5</v>
      </c>
      <c r="H14103" t="s">
        <v>19</v>
      </c>
    </row>
    <row r="14104" spans="1:8" x14ac:dyDescent="0.25">
      <c r="A14104" t="str">
        <f>"&lt;nominal&gt;" &amp;$D$14103&amp;"&lt;/nominal&gt;"</f>
        <v>&lt;nominal&gt;10&lt;/nominal&gt;</v>
      </c>
      <c r="B14104" t="s">
        <v>1174</v>
      </c>
    </row>
    <row r="14105" spans="1:8" x14ac:dyDescent="0.25">
      <c r="A14105" t="str">
        <f>"&lt;lifetime&gt;" &amp;$E$14103&amp;"&lt;/lifetime&gt;"</f>
        <v>&lt;lifetime&gt;5600&lt;/lifetime&gt;</v>
      </c>
      <c r="B14105" t="s">
        <v>1174</v>
      </c>
    </row>
    <row r="14106" spans="1:8" x14ac:dyDescent="0.25">
      <c r="A14106" t="str">
        <f>"&lt;restock&gt;" &amp;$F$14103&amp;"&lt;/restock&gt;"</f>
        <v>&lt;restock&gt;0&lt;/restock&gt;</v>
      </c>
      <c r="B14106" t="s">
        <v>1174</v>
      </c>
    </row>
    <row r="14107" spans="1:8" x14ac:dyDescent="0.25">
      <c r="A14107" t="str">
        <f>"&lt;min&gt;" &amp;$G$14103&amp;"&lt;/min&gt;"</f>
        <v>&lt;min&gt;5&lt;/min&gt;</v>
      </c>
      <c r="B14107" t="s">
        <v>1174</v>
      </c>
    </row>
    <row r="14108" spans="1:8" x14ac:dyDescent="0.25">
      <c r="A14108" t="s">
        <v>16</v>
      </c>
      <c r="B14108" t="s">
        <v>1174</v>
      </c>
    </row>
    <row r="14109" spans="1:8" x14ac:dyDescent="0.25">
      <c r="A14109" t="s">
        <v>17</v>
      </c>
      <c r="B14109" t="s">
        <v>1174</v>
      </c>
    </row>
    <row r="14110" spans="1:8" x14ac:dyDescent="0.25">
      <c r="A14110" t="s">
        <v>18</v>
      </c>
      <c r="B14110" t="s">
        <v>1174</v>
      </c>
    </row>
    <row r="14111" spans="1:8" x14ac:dyDescent="0.25">
      <c r="A14111" t="str">
        <f xml:space="preserve"> $H$14103</f>
        <v>&lt;flags count_in_cargo="0" count_in_hoarder="0" count_in_map="1" count_in_player="0" crafted="0" deloot="0"/&gt;</v>
      </c>
      <c r="B14111" t="s">
        <v>1174</v>
      </c>
    </row>
    <row r="14112" spans="1:8" x14ac:dyDescent="0.25">
      <c r="A14112" t="str">
        <f>"&lt;category name=" &amp;"""" &amp;$C$14103&amp;"""/&gt;"</f>
        <v>&lt;category name="clothes"/&gt;</v>
      </c>
      <c r="B14112" t="s">
        <v>1174</v>
      </c>
    </row>
    <row r="14113" spans="1:8" x14ac:dyDescent="0.25">
      <c r="A14113" t="s">
        <v>55</v>
      </c>
      <c r="B14113" t="s">
        <v>1174</v>
      </c>
    </row>
    <row r="14114" spans="1:8" x14ac:dyDescent="0.25">
      <c r="A14114" t="s">
        <v>30</v>
      </c>
      <c r="B14114" t="s">
        <v>1174</v>
      </c>
    </row>
    <row r="14115" spans="1:8" x14ac:dyDescent="0.25">
      <c r="A14115" t="s">
        <v>31</v>
      </c>
      <c r="B14115" t="s">
        <v>1174</v>
      </c>
    </row>
    <row r="14116" spans="1:8" x14ac:dyDescent="0.25">
      <c r="A14116" t="s">
        <v>307</v>
      </c>
      <c r="B14116" t="s">
        <v>1174</v>
      </c>
    </row>
    <row r="14117" spans="1:8" x14ac:dyDescent="0.25">
      <c r="A14117" t="s">
        <v>22</v>
      </c>
      <c r="B14117" t="s">
        <v>1174</v>
      </c>
    </row>
    <row r="14118" spans="1:8" x14ac:dyDescent="0.25">
      <c r="A14118" t="s">
        <v>2479</v>
      </c>
      <c r="B14118" t="s">
        <v>1175</v>
      </c>
      <c r="C14118" t="s">
        <v>403</v>
      </c>
      <c r="D14118">
        <v>25</v>
      </c>
      <c r="E14118">
        <v>5600</v>
      </c>
      <c r="F14118">
        <v>0</v>
      </c>
      <c r="G14118">
        <v>15</v>
      </c>
      <c r="H14118" t="s">
        <v>19</v>
      </c>
    </row>
    <row r="14119" spans="1:8" x14ac:dyDescent="0.25">
      <c r="A14119" t="str">
        <f>"&lt;nominal&gt;" &amp;$D$14118&amp;"&lt;/nominal&gt;"</f>
        <v>&lt;nominal&gt;25&lt;/nominal&gt;</v>
      </c>
      <c r="B14119" t="s">
        <v>1175</v>
      </c>
    </row>
    <row r="14120" spans="1:8" x14ac:dyDescent="0.25">
      <c r="A14120" t="str">
        <f>"&lt;lifetime&gt;" &amp;$E$14118&amp;"&lt;/lifetime&gt;"</f>
        <v>&lt;lifetime&gt;5600&lt;/lifetime&gt;</v>
      </c>
      <c r="B14120" t="s">
        <v>1175</v>
      </c>
    </row>
    <row r="14121" spans="1:8" x14ac:dyDescent="0.25">
      <c r="A14121" t="str">
        <f>"&lt;restock&gt;" &amp;$F$14118&amp;"&lt;/restock&gt;"</f>
        <v>&lt;restock&gt;0&lt;/restock&gt;</v>
      </c>
      <c r="B14121" t="s">
        <v>1175</v>
      </c>
    </row>
    <row r="14122" spans="1:8" x14ac:dyDescent="0.25">
      <c r="A14122" t="str">
        <f>"&lt;min&gt;" &amp;$G$14118&amp;"&lt;/min&gt;"</f>
        <v>&lt;min&gt;15&lt;/min&gt;</v>
      </c>
      <c r="B14122" t="s">
        <v>1175</v>
      </c>
    </row>
    <row r="14123" spans="1:8" x14ac:dyDescent="0.25">
      <c r="A14123" t="s">
        <v>16</v>
      </c>
      <c r="B14123" t="s">
        <v>1175</v>
      </c>
    </row>
    <row r="14124" spans="1:8" x14ac:dyDescent="0.25">
      <c r="A14124" t="s">
        <v>17</v>
      </c>
      <c r="B14124" t="s">
        <v>1175</v>
      </c>
    </row>
    <row r="14125" spans="1:8" x14ac:dyDescent="0.25">
      <c r="A14125" t="s">
        <v>18</v>
      </c>
      <c r="B14125" t="s">
        <v>1175</v>
      </c>
    </row>
    <row r="14126" spans="1:8" x14ac:dyDescent="0.25">
      <c r="A14126" t="str">
        <f xml:space="preserve"> $H$14118</f>
        <v>&lt;flags count_in_cargo="0" count_in_hoarder="0" count_in_map="1" count_in_player="0" crafted="0" deloot="0"/&gt;</v>
      </c>
      <c r="B14126" t="s">
        <v>1175</v>
      </c>
    </row>
    <row r="14127" spans="1:8" x14ac:dyDescent="0.25">
      <c r="A14127" t="str">
        <f>"&lt;category name=" &amp;"""" &amp;$C$14118&amp;"""/&gt;"</f>
        <v>&lt;category name="clothes"/&gt;</v>
      </c>
      <c r="B14127" t="s">
        <v>1175</v>
      </c>
    </row>
    <row r="14128" spans="1:8" x14ac:dyDescent="0.25">
      <c r="A14128" t="s">
        <v>25</v>
      </c>
      <c r="B14128" t="s">
        <v>1175</v>
      </c>
    </row>
    <row r="14129" spans="1:8" x14ac:dyDescent="0.25">
      <c r="A14129" t="s">
        <v>56</v>
      </c>
      <c r="B14129" t="s">
        <v>1175</v>
      </c>
    </row>
    <row r="14130" spans="1:8" x14ac:dyDescent="0.25">
      <c r="A14130" t="s">
        <v>22</v>
      </c>
      <c r="B14130" t="s">
        <v>1175</v>
      </c>
    </row>
    <row r="14131" spans="1:8" x14ac:dyDescent="0.25">
      <c r="A14131" t="s">
        <v>2480</v>
      </c>
      <c r="B14131" t="s">
        <v>1176</v>
      </c>
      <c r="C14131" t="s">
        <v>403</v>
      </c>
      <c r="D14131">
        <v>25</v>
      </c>
      <c r="E14131">
        <v>5600</v>
      </c>
      <c r="F14131">
        <v>0</v>
      </c>
      <c r="G14131">
        <v>15</v>
      </c>
      <c r="H14131" t="s">
        <v>19</v>
      </c>
    </row>
    <row r="14132" spans="1:8" x14ac:dyDescent="0.25">
      <c r="A14132" t="str">
        <f>"&lt;nominal&gt;" &amp;$D$14131&amp;"&lt;/nominal&gt;"</f>
        <v>&lt;nominal&gt;25&lt;/nominal&gt;</v>
      </c>
      <c r="B14132" t="s">
        <v>1176</v>
      </c>
    </row>
    <row r="14133" spans="1:8" x14ac:dyDescent="0.25">
      <c r="A14133" t="str">
        <f>"&lt;lifetime&gt;" &amp;$E$14131&amp;"&lt;/lifetime&gt;"</f>
        <v>&lt;lifetime&gt;5600&lt;/lifetime&gt;</v>
      </c>
      <c r="B14133" t="s">
        <v>1176</v>
      </c>
    </row>
    <row r="14134" spans="1:8" x14ac:dyDescent="0.25">
      <c r="A14134" t="str">
        <f>"&lt;restock&gt;" &amp;$F$14131&amp;"&lt;/restock&gt;"</f>
        <v>&lt;restock&gt;0&lt;/restock&gt;</v>
      </c>
      <c r="B14134" t="s">
        <v>1176</v>
      </c>
    </row>
    <row r="14135" spans="1:8" x14ac:dyDescent="0.25">
      <c r="A14135" t="str">
        <f>"&lt;min&gt;" &amp;$G$14131&amp;"&lt;/min&gt;"</f>
        <v>&lt;min&gt;15&lt;/min&gt;</v>
      </c>
      <c r="B14135" t="s">
        <v>1176</v>
      </c>
    </row>
    <row r="14136" spans="1:8" x14ac:dyDescent="0.25">
      <c r="A14136" t="s">
        <v>16</v>
      </c>
      <c r="B14136" t="s">
        <v>1176</v>
      </c>
    </row>
    <row r="14137" spans="1:8" x14ac:dyDescent="0.25">
      <c r="A14137" t="s">
        <v>17</v>
      </c>
      <c r="B14137" t="s">
        <v>1176</v>
      </c>
    </row>
    <row r="14138" spans="1:8" x14ac:dyDescent="0.25">
      <c r="A14138" t="s">
        <v>18</v>
      </c>
      <c r="B14138" t="s">
        <v>1176</v>
      </c>
    </row>
    <row r="14139" spans="1:8" x14ac:dyDescent="0.25">
      <c r="A14139" t="str">
        <f xml:space="preserve"> $H$14131</f>
        <v>&lt;flags count_in_cargo="0" count_in_hoarder="0" count_in_map="1" count_in_player="0" crafted="0" deloot="0"/&gt;</v>
      </c>
      <c r="B14139" t="s">
        <v>1176</v>
      </c>
    </row>
    <row r="14140" spans="1:8" x14ac:dyDescent="0.25">
      <c r="A14140" t="str">
        <f>"&lt;category name=" &amp;"""" &amp;$C$14131&amp;"""/&gt;"</f>
        <v>&lt;category name="clothes"/&gt;</v>
      </c>
      <c r="B14140" t="s">
        <v>1176</v>
      </c>
    </row>
    <row r="14141" spans="1:8" x14ac:dyDescent="0.25">
      <c r="A14141" t="s">
        <v>25</v>
      </c>
      <c r="B14141" t="s">
        <v>1176</v>
      </c>
    </row>
    <row r="14142" spans="1:8" x14ac:dyDescent="0.25">
      <c r="A14142" t="s">
        <v>56</v>
      </c>
      <c r="B14142" t="s">
        <v>1176</v>
      </c>
    </row>
    <row r="14143" spans="1:8" x14ac:dyDescent="0.25">
      <c r="A14143" t="s">
        <v>22</v>
      </c>
      <c r="B14143" t="s">
        <v>1176</v>
      </c>
    </row>
    <row r="14144" spans="1:8" x14ac:dyDescent="0.25">
      <c r="A14144" t="s">
        <v>2481</v>
      </c>
      <c r="B14144" t="s">
        <v>1177</v>
      </c>
      <c r="C14144" t="s">
        <v>403</v>
      </c>
      <c r="D14144">
        <v>25</v>
      </c>
      <c r="E14144">
        <v>5600</v>
      </c>
      <c r="F14144">
        <v>0</v>
      </c>
      <c r="G14144">
        <v>15</v>
      </c>
      <c r="H14144" t="s">
        <v>19</v>
      </c>
    </row>
    <row r="14145" spans="1:8" x14ac:dyDescent="0.25">
      <c r="A14145" t="str">
        <f>"&lt;nominal&gt;" &amp;$D$14144&amp;"&lt;/nominal&gt;"</f>
        <v>&lt;nominal&gt;25&lt;/nominal&gt;</v>
      </c>
      <c r="B14145" t="s">
        <v>1177</v>
      </c>
    </row>
    <row r="14146" spans="1:8" x14ac:dyDescent="0.25">
      <c r="A14146" t="str">
        <f>"&lt;lifetime&gt;" &amp;$E$14144&amp;"&lt;/lifetime&gt;"</f>
        <v>&lt;lifetime&gt;5600&lt;/lifetime&gt;</v>
      </c>
      <c r="B14146" t="s">
        <v>1177</v>
      </c>
    </row>
    <row r="14147" spans="1:8" x14ac:dyDescent="0.25">
      <c r="A14147" t="str">
        <f>"&lt;restock&gt;" &amp;$F$14144&amp;"&lt;/restock&gt;"</f>
        <v>&lt;restock&gt;0&lt;/restock&gt;</v>
      </c>
      <c r="B14147" t="s">
        <v>1177</v>
      </c>
    </row>
    <row r="14148" spans="1:8" x14ac:dyDescent="0.25">
      <c r="A14148" t="str">
        <f>"&lt;min&gt;" &amp;$G$14144&amp;"&lt;/min&gt;"</f>
        <v>&lt;min&gt;15&lt;/min&gt;</v>
      </c>
      <c r="B14148" t="s">
        <v>1177</v>
      </c>
    </row>
    <row r="14149" spans="1:8" x14ac:dyDescent="0.25">
      <c r="A14149" t="s">
        <v>16</v>
      </c>
      <c r="B14149" t="s">
        <v>1177</v>
      </c>
    </row>
    <row r="14150" spans="1:8" x14ac:dyDescent="0.25">
      <c r="A14150" t="s">
        <v>17</v>
      </c>
      <c r="B14150" t="s">
        <v>1177</v>
      </c>
    </row>
    <row r="14151" spans="1:8" x14ac:dyDescent="0.25">
      <c r="A14151" t="s">
        <v>18</v>
      </c>
      <c r="B14151" t="s">
        <v>1177</v>
      </c>
    </row>
    <row r="14152" spans="1:8" x14ac:dyDescent="0.25">
      <c r="A14152" t="str">
        <f xml:space="preserve"> $H$14144</f>
        <v>&lt;flags count_in_cargo="0" count_in_hoarder="0" count_in_map="1" count_in_player="0" crafted="0" deloot="0"/&gt;</v>
      </c>
      <c r="B14152" t="s">
        <v>1177</v>
      </c>
    </row>
    <row r="14153" spans="1:8" x14ac:dyDescent="0.25">
      <c r="A14153" t="str">
        <f>"&lt;category name=" &amp;"""" &amp;$C$14144&amp;"""/&gt;"</f>
        <v>&lt;category name="clothes"/&gt;</v>
      </c>
      <c r="B14153" t="s">
        <v>1177</v>
      </c>
    </row>
    <row r="14154" spans="1:8" x14ac:dyDescent="0.25">
      <c r="A14154" t="s">
        <v>25</v>
      </c>
      <c r="B14154" t="s">
        <v>1177</v>
      </c>
    </row>
    <row r="14155" spans="1:8" x14ac:dyDescent="0.25">
      <c r="A14155" t="s">
        <v>56</v>
      </c>
      <c r="B14155" t="s">
        <v>1177</v>
      </c>
    </row>
    <row r="14156" spans="1:8" x14ac:dyDescent="0.25">
      <c r="A14156" t="s">
        <v>22</v>
      </c>
      <c r="B14156" t="s">
        <v>1177</v>
      </c>
    </row>
    <row r="14157" spans="1:8" x14ac:dyDescent="0.25">
      <c r="A14157" t="s">
        <v>2482</v>
      </c>
      <c r="B14157" t="s">
        <v>1178</v>
      </c>
      <c r="C14157" t="s">
        <v>403</v>
      </c>
      <c r="D14157">
        <v>25</v>
      </c>
      <c r="E14157">
        <v>5600</v>
      </c>
      <c r="F14157">
        <v>0</v>
      </c>
      <c r="G14157">
        <v>15</v>
      </c>
      <c r="H14157" t="s">
        <v>19</v>
      </c>
    </row>
    <row r="14158" spans="1:8" x14ac:dyDescent="0.25">
      <c r="A14158" t="str">
        <f>"&lt;nominal&gt;" &amp;$D$14157&amp;"&lt;/nominal&gt;"</f>
        <v>&lt;nominal&gt;25&lt;/nominal&gt;</v>
      </c>
      <c r="B14158" t="s">
        <v>1178</v>
      </c>
    </row>
    <row r="14159" spans="1:8" x14ac:dyDescent="0.25">
      <c r="A14159" t="str">
        <f>"&lt;lifetime&gt;" &amp;$E$14157&amp;"&lt;/lifetime&gt;"</f>
        <v>&lt;lifetime&gt;5600&lt;/lifetime&gt;</v>
      </c>
      <c r="B14159" t="s">
        <v>1178</v>
      </c>
    </row>
    <row r="14160" spans="1:8" x14ac:dyDescent="0.25">
      <c r="A14160" t="str">
        <f>"&lt;restock&gt;" &amp;$F$14157&amp;"&lt;/restock&gt;"</f>
        <v>&lt;restock&gt;0&lt;/restock&gt;</v>
      </c>
      <c r="B14160" t="s">
        <v>1178</v>
      </c>
    </row>
    <row r="14161" spans="1:8" x14ac:dyDescent="0.25">
      <c r="A14161" t="str">
        <f>"&lt;min&gt;" &amp;$G$14157&amp;"&lt;/min&gt;"</f>
        <v>&lt;min&gt;15&lt;/min&gt;</v>
      </c>
      <c r="B14161" t="s">
        <v>1178</v>
      </c>
    </row>
    <row r="14162" spans="1:8" x14ac:dyDescent="0.25">
      <c r="A14162" t="s">
        <v>16</v>
      </c>
      <c r="B14162" t="s">
        <v>1178</v>
      </c>
    </row>
    <row r="14163" spans="1:8" x14ac:dyDescent="0.25">
      <c r="A14163" t="s">
        <v>17</v>
      </c>
      <c r="B14163" t="s">
        <v>1178</v>
      </c>
    </row>
    <row r="14164" spans="1:8" x14ac:dyDescent="0.25">
      <c r="A14164" t="s">
        <v>18</v>
      </c>
      <c r="B14164" t="s">
        <v>1178</v>
      </c>
    </row>
    <row r="14165" spans="1:8" x14ac:dyDescent="0.25">
      <c r="A14165" t="str">
        <f xml:space="preserve"> $H$14157</f>
        <v>&lt;flags count_in_cargo="0" count_in_hoarder="0" count_in_map="1" count_in_player="0" crafted="0" deloot="0"/&gt;</v>
      </c>
      <c r="B14165" t="s">
        <v>1178</v>
      </c>
    </row>
    <row r="14166" spans="1:8" x14ac:dyDescent="0.25">
      <c r="A14166" t="str">
        <f>"&lt;category name=" &amp;"""" &amp;$C$14157&amp;"""/&gt;"</f>
        <v>&lt;category name="clothes"/&gt;</v>
      </c>
      <c r="B14166" t="s">
        <v>1178</v>
      </c>
    </row>
    <row r="14167" spans="1:8" x14ac:dyDescent="0.25">
      <c r="A14167" t="s">
        <v>25</v>
      </c>
      <c r="B14167" t="s">
        <v>1178</v>
      </c>
    </row>
    <row r="14168" spans="1:8" x14ac:dyDescent="0.25">
      <c r="A14168" t="s">
        <v>56</v>
      </c>
      <c r="B14168" t="s">
        <v>1178</v>
      </c>
    </row>
    <row r="14169" spans="1:8" x14ac:dyDescent="0.25">
      <c r="A14169" t="s">
        <v>22</v>
      </c>
      <c r="B14169" t="s">
        <v>1178</v>
      </c>
    </row>
    <row r="14170" spans="1:8" x14ac:dyDescent="0.25">
      <c r="A14170" t="s">
        <v>2483</v>
      </c>
      <c r="B14170" t="s">
        <v>1179</v>
      </c>
      <c r="C14170" t="s">
        <v>426</v>
      </c>
      <c r="D14170">
        <v>70</v>
      </c>
      <c r="E14170">
        <v>7200</v>
      </c>
      <c r="F14170">
        <v>0</v>
      </c>
      <c r="G14170">
        <v>50</v>
      </c>
      <c r="H14170" t="s">
        <v>19</v>
      </c>
    </row>
    <row r="14171" spans="1:8" x14ac:dyDescent="0.25">
      <c r="A14171" t="str">
        <f>"&lt;nominal&gt;" &amp;$D$14170&amp;"&lt;/nominal&gt;"</f>
        <v>&lt;nominal&gt;70&lt;/nominal&gt;</v>
      </c>
      <c r="B14171" t="s">
        <v>1179</v>
      </c>
    </row>
    <row r="14172" spans="1:8" x14ac:dyDescent="0.25">
      <c r="A14172" t="str">
        <f>"&lt;lifetime&gt;" &amp;$E$14170&amp;"&lt;/lifetime&gt;"</f>
        <v>&lt;lifetime&gt;7200&lt;/lifetime&gt;</v>
      </c>
      <c r="B14172" t="s">
        <v>1179</v>
      </c>
    </row>
    <row r="14173" spans="1:8" x14ac:dyDescent="0.25">
      <c r="A14173" t="str">
        <f>"&lt;restock&gt;" &amp;$F$14170&amp;"&lt;/restock&gt;"</f>
        <v>&lt;restock&gt;0&lt;/restock&gt;</v>
      </c>
      <c r="B14173" t="s">
        <v>1179</v>
      </c>
    </row>
    <row r="14174" spans="1:8" x14ac:dyDescent="0.25">
      <c r="A14174" t="str">
        <f>"&lt;min&gt;" &amp;$G$14170&amp;"&lt;/min&gt;"</f>
        <v>&lt;min&gt;50&lt;/min&gt;</v>
      </c>
      <c r="B14174" t="s">
        <v>1179</v>
      </c>
    </row>
    <row r="14175" spans="1:8" x14ac:dyDescent="0.25">
      <c r="A14175" t="s">
        <v>16</v>
      </c>
      <c r="B14175" t="s">
        <v>1179</v>
      </c>
    </row>
    <row r="14176" spans="1:8" x14ac:dyDescent="0.25">
      <c r="A14176" t="s">
        <v>17</v>
      </c>
      <c r="B14176" t="s">
        <v>1179</v>
      </c>
    </row>
    <row r="14177" spans="1:8" x14ac:dyDescent="0.25">
      <c r="A14177" t="s">
        <v>18</v>
      </c>
      <c r="B14177" t="s">
        <v>1179</v>
      </c>
    </row>
    <row r="14178" spans="1:8" x14ac:dyDescent="0.25">
      <c r="A14178" t="str">
        <f xml:space="preserve"> $H$14170</f>
        <v>&lt;flags count_in_cargo="0" count_in_hoarder="0" count_in_map="1" count_in_player="0" crafted="0" deloot="0"/&gt;</v>
      </c>
      <c r="B14178" t="s">
        <v>1179</v>
      </c>
    </row>
    <row r="14179" spans="1:8" x14ac:dyDescent="0.25">
      <c r="A14179" t="str">
        <f>"&lt;category name=" &amp;"""" &amp;$C$14170&amp;"""/&gt;"</f>
        <v>&lt;category name="tools"/&gt;</v>
      </c>
      <c r="B14179" t="s">
        <v>1179</v>
      </c>
    </row>
    <row r="14180" spans="1:8" x14ac:dyDescent="0.25">
      <c r="A14180" t="s">
        <v>20</v>
      </c>
      <c r="B14180" t="s">
        <v>1179</v>
      </c>
    </row>
    <row r="14181" spans="1:8" x14ac:dyDescent="0.25">
      <c r="A14181" t="s">
        <v>56</v>
      </c>
      <c r="B14181" t="s">
        <v>1179</v>
      </c>
    </row>
    <row r="14182" spans="1:8" x14ac:dyDescent="0.25">
      <c r="A14182" t="s">
        <v>22</v>
      </c>
      <c r="B14182" t="s">
        <v>1179</v>
      </c>
    </row>
    <row r="14183" spans="1:8" x14ac:dyDescent="0.25">
      <c r="A14183" t="s">
        <v>2484</v>
      </c>
      <c r="B14183" t="s">
        <v>1180</v>
      </c>
      <c r="C14183" t="s">
        <v>426</v>
      </c>
      <c r="D14183">
        <v>0</v>
      </c>
      <c r="E14183">
        <v>10800</v>
      </c>
      <c r="F14183">
        <v>0</v>
      </c>
      <c r="G14183">
        <v>0</v>
      </c>
      <c r="H14183" t="s">
        <v>62</v>
      </c>
    </row>
    <row r="14184" spans="1:8" x14ac:dyDescent="0.25">
      <c r="A14184" t="str">
        <f>"&lt;nominal&gt;" &amp;$D$14183&amp;"&lt;/nominal&gt;"</f>
        <v>&lt;nominal&gt;0&lt;/nominal&gt;</v>
      </c>
      <c r="B14184" t="s">
        <v>1180</v>
      </c>
    </row>
    <row r="14185" spans="1:8" x14ac:dyDescent="0.25">
      <c r="A14185" t="str">
        <f>"&lt;lifetime&gt;" &amp;$E$14183&amp;"&lt;/lifetime&gt;"</f>
        <v>&lt;lifetime&gt;10800&lt;/lifetime&gt;</v>
      </c>
      <c r="B14185" t="s">
        <v>1180</v>
      </c>
    </row>
    <row r="14186" spans="1:8" x14ac:dyDescent="0.25">
      <c r="A14186" t="str">
        <f>"&lt;restock&gt;" &amp;$F$14183&amp;"&lt;/restock&gt;"</f>
        <v>&lt;restock&gt;0&lt;/restock&gt;</v>
      </c>
      <c r="B14186" t="s">
        <v>1180</v>
      </c>
    </row>
    <row r="14187" spans="1:8" x14ac:dyDescent="0.25">
      <c r="A14187" t="str">
        <f>"&lt;min&gt;" &amp;$G$14183&amp;"&lt;/min&gt;"</f>
        <v>&lt;min&gt;0&lt;/min&gt;</v>
      </c>
      <c r="B14187" t="s">
        <v>1180</v>
      </c>
    </row>
    <row r="14188" spans="1:8" x14ac:dyDescent="0.25">
      <c r="A14188" t="s">
        <v>16</v>
      </c>
      <c r="B14188" t="s">
        <v>1180</v>
      </c>
    </row>
    <row r="14189" spans="1:8" x14ac:dyDescent="0.25">
      <c r="A14189" t="s">
        <v>17</v>
      </c>
      <c r="B14189" t="s">
        <v>1180</v>
      </c>
    </row>
    <row r="14190" spans="1:8" x14ac:dyDescent="0.25">
      <c r="A14190" t="s">
        <v>18</v>
      </c>
      <c r="B14190" t="s">
        <v>1180</v>
      </c>
    </row>
    <row r="14191" spans="1:8" x14ac:dyDescent="0.25">
      <c r="A14191" t="str">
        <f xml:space="preserve"> $H$14183</f>
        <v>&lt;flags count_in_cargo="0" count_in_hoarder="0" count_in_map="1" count_in_player="0" crafted="1" deloot="0"/&gt;</v>
      </c>
      <c r="B14191" t="s">
        <v>1180</v>
      </c>
    </row>
    <row r="14192" spans="1:8" x14ac:dyDescent="0.25">
      <c r="A14192" t="str">
        <f>"&lt;category name=" &amp;"""" &amp;$C$14183&amp;"""/&gt;"</f>
        <v>&lt;category name="tools"/&gt;</v>
      </c>
      <c r="B14192" t="s">
        <v>1180</v>
      </c>
    </row>
    <row r="14193" spans="1:8" x14ac:dyDescent="0.25">
      <c r="A14193" t="s">
        <v>22</v>
      </c>
      <c r="B14193" t="s">
        <v>1180</v>
      </c>
    </row>
    <row r="14194" spans="1:8" x14ac:dyDescent="0.25">
      <c r="A14194" t="s">
        <v>2485</v>
      </c>
      <c r="B14194" t="s">
        <v>1181</v>
      </c>
      <c r="C14194" t="s">
        <v>8</v>
      </c>
      <c r="D14194">
        <v>20</v>
      </c>
      <c r="E14194">
        <v>7200</v>
      </c>
      <c r="F14194">
        <v>0</v>
      </c>
      <c r="G14194">
        <v>10</v>
      </c>
      <c r="H14194" t="s">
        <v>19</v>
      </c>
    </row>
    <row r="14195" spans="1:8" x14ac:dyDescent="0.25">
      <c r="A14195" t="str">
        <f>"&lt;nominal&gt;" &amp;$D$14194&amp;"&lt;/nominal&gt;"</f>
        <v>&lt;nominal&gt;20&lt;/nominal&gt;</v>
      </c>
      <c r="B14195" t="s">
        <v>1181</v>
      </c>
    </row>
    <row r="14196" spans="1:8" x14ac:dyDescent="0.25">
      <c r="A14196" t="str">
        <f>"&lt;lifetime&gt;" &amp;$E$14194&amp;"&lt;/lifetime&gt;"</f>
        <v>&lt;lifetime&gt;7200&lt;/lifetime&gt;</v>
      </c>
      <c r="B14196" t="s">
        <v>1181</v>
      </c>
    </row>
    <row r="14197" spans="1:8" x14ac:dyDescent="0.25">
      <c r="A14197" t="str">
        <f>"&lt;restock&gt;" &amp;$F$14194&amp;"&lt;/restock&gt;"</f>
        <v>&lt;restock&gt;0&lt;/restock&gt;</v>
      </c>
      <c r="B14197" t="s">
        <v>1181</v>
      </c>
    </row>
    <row r="14198" spans="1:8" x14ac:dyDescent="0.25">
      <c r="A14198" t="str">
        <f>"&lt;min&gt;" &amp;$G$14194&amp;"&lt;/min&gt;"</f>
        <v>&lt;min&gt;10&lt;/min&gt;</v>
      </c>
      <c r="B14198" t="s">
        <v>1181</v>
      </c>
    </row>
    <row r="14199" spans="1:8" x14ac:dyDescent="0.25">
      <c r="A14199" t="s">
        <v>16</v>
      </c>
      <c r="B14199" t="s">
        <v>1181</v>
      </c>
    </row>
    <row r="14200" spans="1:8" x14ac:dyDescent="0.25">
      <c r="A14200" t="s">
        <v>17</v>
      </c>
      <c r="B14200" t="s">
        <v>1181</v>
      </c>
    </row>
    <row r="14201" spans="1:8" x14ac:dyDescent="0.25">
      <c r="A14201" t="s">
        <v>18</v>
      </c>
      <c r="B14201" t="s">
        <v>1181</v>
      </c>
    </row>
    <row r="14202" spans="1:8" x14ac:dyDescent="0.25">
      <c r="A14202" t="str">
        <f xml:space="preserve"> $H$14194</f>
        <v>&lt;flags count_in_cargo="0" count_in_hoarder="0" count_in_map="1" count_in_player="0" crafted="0" deloot="0"/&gt;</v>
      </c>
      <c r="B14202" t="s">
        <v>1181</v>
      </c>
    </row>
    <row r="14203" spans="1:8" x14ac:dyDescent="0.25">
      <c r="A14203" t="str">
        <f>"&lt;category name=" &amp;"""" &amp;$C$14194&amp;"""/&gt;"</f>
        <v>&lt;category name="weapons"/&gt;</v>
      </c>
      <c r="B14203" t="s">
        <v>1181</v>
      </c>
    </row>
    <row r="14204" spans="1:8" x14ac:dyDescent="0.25">
      <c r="A14204" t="s">
        <v>67</v>
      </c>
      <c r="B14204" t="s">
        <v>1181</v>
      </c>
    </row>
    <row r="14205" spans="1:8" x14ac:dyDescent="0.25">
      <c r="A14205" t="s">
        <v>30</v>
      </c>
      <c r="B14205" t="s">
        <v>1181</v>
      </c>
    </row>
    <row r="14206" spans="1:8" x14ac:dyDescent="0.25">
      <c r="A14206" t="s">
        <v>31</v>
      </c>
      <c r="B14206" t="s">
        <v>1181</v>
      </c>
    </row>
    <row r="14207" spans="1:8" x14ac:dyDescent="0.25">
      <c r="A14207" t="s">
        <v>307</v>
      </c>
      <c r="B14207" t="s">
        <v>1181</v>
      </c>
    </row>
    <row r="14208" spans="1:8" x14ac:dyDescent="0.25">
      <c r="A14208" t="s">
        <v>22</v>
      </c>
      <c r="B14208" t="s">
        <v>1181</v>
      </c>
    </row>
    <row r="14209" spans="1:8" x14ac:dyDescent="0.25">
      <c r="A14209" t="s">
        <v>2486</v>
      </c>
      <c r="B14209" t="s">
        <v>3659</v>
      </c>
      <c r="C14209" t="s">
        <v>403</v>
      </c>
      <c r="D14209">
        <v>0</v>
      </c>
      <c r="E14209">
        <v>5600</v>
      </c>
      <c r="F14209">
        <v>0</v>
      </c>
      <c r="G14209">
        <v>0</v>
      </c>
      <c r="H14209" t="s">
        <v>19</v>
      </c>
    </row>
    <row r="14210" spans="1:8" x14ac:dyDescent="0.25">
      <c r="A14210" t="str">
        <f>"&lt;nominal&gt;" &amp;$D$14209&amp;"&lt;/nominal&gt;"</f>
        <v>&lt;nominal&gt;0&lt;/nominal&gt;</v>
      </c>
      <c r="B14210" t="s">
        <v>3659</v>
      </c>
    </row>
    <row r="14211" spans="1:8" x14ac:dyDescent="0.25">
      <c r="A14211" t="str">
        <f>"&lt;lifetime&gt;" &amp;$E$14209&amp;"&lt;/lifetime&gt;"</f>
        <v>&lt;lifetime&gt;5600&lt;/lifetime&gt;</v>
      </c>
      <c r="B14211" t="s">
        <v>3659</v>
      </c>
    </row>
    <row r="14212" spans="1:8" x14ac:dyDescent="0.25">
      <c r="A14212" t="str">
        <f>"&lt;restock&gt;" &amp;$F$14209&amp;"&lt;/restock&gt;"</f>
        <v>&lt;restock&gt;0&lt;/restock&gt;</v>
      </c>
      <c r="B14212" t="s">
        <v>3659</v>
      </c>
    </row>
    <row r="14213" spans="1:8" x14ac:dyDescent="0.25">
      <c r="A14213" t="str">
        <f>"&lt;min&gt;" &amp;$G$14209&amp;"&lt;/min&gt;"</f>
        <v>&lt;min&gt;0&lt;/min&gt;</v>
      </c>
      <c r="B14213" t="s">
        <v>3659</v>
      </c>
    </row>
    <row r="14214" spans="1:8" x14ac:dyDescent="0.25">
      <c r="A14214" t="s">
        <v>16</v>
      </c>
      <c r="B14214" t="s">
        <v>3659</v>
      </c>
    </row>
    <row r="14215" spans="1:8" x14ac:dyDescent="0.25">
      <c r="A14215" t="s">
        <v>17</v>
      </c>
      <c r="B14215" t="s">
        <v>3659</v>
      </c>
    </row>
    <row r="14216" spans="1:8" x14ac:dyDescent="0.25">
      <c r="A14216" t="s">
        <v>18</v>
      </c>
      <c r="B14216" t="s">
        <v>3659</v>
      </c>
    </row>
    <row r="14217" spans="1:8" x14ac:dyDescent="0.25">
      <c r="A14217" t="str">
        <f xml:space="preserve"> $H$14209</f>
        <v>&lt;flags count_in_cargo="0" count_in_hoarder="0" count_in_map="1" count_in_player="0" crafted="0" deloot="0"/&gt;</v>
      </c>
      <c r="B14217" t="s">
        <v>3659</v>
      </c>
    </row>
    <row r="14218" spans="1:8" x14ac:dyDescent="0.25">
      <c r="A14218" t="str">
        <f>"&lt;category name=" &amp;"""" &amp;$C$14209&amp;"""/&gt;"</f>
        <v>&lt;category name="clothes"/&gt;</v>
      </c>
      <c r="B14218" t="s">
        <v>3659</v>
      </c>
    </row>
    <row r="14219" spans="1:8" x14ac:dyDescent="0.25">
      <c r="A14219" t="s">
        <v>39</v>
      </c>
      <c r="B14219" t="s">
        <v>3659</v>
      </c>
    </row>
    <row r="14220" spans="1:8" x14ac:dyDescent="0.25">
      <c r="A14220" t="s">
        <v>22</v>
      </c>
      <c r="B14220" t="s">
        <v>3659</v>
      </c>
    </row>
    <row r="14221" spans="1:8" x14ac:dyDescent="0.25">
      <c r="A14221" t="s">
        <v>2487</v>
      </c>
      <c r="B14221" t="s">
        <v>1182</v>
      </c>
      <c r="C14221" t="s">
        <v>403</v>
      </c>
      <c r="D14221">
        <v>0</v>
      </c>
      <c r="E14221">
        <v>10800</v>
      </c>
      <c r="F14221">
        <v>0</v>
      </c>
      <c r="G14221">
        <v>0</v>
      </c>
      <c r="H14221" t="s">
        <v>62</v>
      </c>
    </row>
    <row r="14222" spans="1:8" x14ac:dyDescent="0.25">
      <c r="A14222" t="str">
        <f>"&lt;nominal&gt;" &amp;$D$14221&amp;"&lt;/nominal&gt;"</f>
        <v>&lt;nominal&gt;0&lt;/nominal&gt;</v>
      </c>
      <c r="B14222" t="s">
        <v>1182</v>
      </c>
    </row>
    <row r="14223" spans="1:8" x14ac:dyDescent="0.25">
      <c r="A14223" t="str">
        <f>"&lt;lifetime&gt;" &amp;$E$14221&amp;"&lt;/lifetime&gt;"</f>
        <v>&lt;lifetime&gt;10800&lt;/lifetime&gt;</v>
      </c>
      <c r="B14223" t="s">
        <v>1182</v>
      </c>
    </row>
    <row r="14224" spans="1:8" x14ac:dyDescent="0.25">
      <c r="A14224" t="str">
        <f>"&lt;restock&gt;" &amp;$F$14221&amp;"&lt;/restock&gt;"</f>
        <v>&lt;restock&gt;0&lt;/restock&gt;</v>
      </c>
      <c r="B14224" t="s">
        <v>1182</v>
      </c>
    </row>
    <row r="14225" spans="1:8" x14ac:dyDescent="0.25">
      <c r="A14225" t="str">
        <f>"&lt;min&gt;" &amp;$G$14221&amp;"&lt;/min&gt;"</f>
        <v>&lt;min&gt;0&lt;/min&gt;</v>
      </c>
      <c r="B14225" t="s">
        <v>1182</v>
      </c>
    </row>
    <row r="14226" spans="1:8" x14ac:dyDescent="0.25">
      <c r="A14226" t="s">
        <v>16</v>
      </c>
      <c r="B14226" t="s">
        <v>1182</v>
      </c>
    </row>
    <row r="14227" spans="1:8" x14ac:dyDescent="0.25">
      <c r="A14227" t="s">
        <v>17</v>
      </c>
      <c r="B14227" t="s">
        <v>1182</v>
      </c>
    </row>
    <row r="14228" spans="1:8" x14ac:dyDescent="0.25">
      <c r="A14228" t="s">
        <v>18</v>
      </c>
      <c r="B14228" t="s">
        <v>1182</v>
      </c>
    </row>
    <row r="14229" spans="1:8" x14ac:dyDescent="0.25">
      <c r="A14229" t="str">
        <f xml:space="preserve"> $H$14221</f>
        <v>&lt;flags count_in_cargo="0" count_in_hoarder="0" count_in_map="1" count_in_player="0" crafted="1" deloot="0"/&gt;</v>
      </c>
      <c r="B14229" t="s">
        <v>1182</v>
      </c>
    </row>
    <row r="14230" spans="1:8" x14ac:dyDescent="0.25">
      <c r="A14230" t="str">
        <f>"&lt;category name=" &amp;"""" &amp;$C$14221&amp;"""/&gt;"</f>
        <v>&lt;category name="clothes"/&gt;</v>
      </c>
      <c r="B14230" t="s">
        <v>1182</v>
      </c>
    </row>
    <row r="14231" spans="1:8" x14ac:dyDescent="0.25">
      <c r="A14231" t="s">
        <v>22</v>
      </c>
      <c r="B14231" t="s">
        <v>1182</v>
      </c>
    </row>
    <row r="14232" spans="1:8" x14ac:dyDescent="0.25">
      <c r="A14232" t="s">
        <v>2488</v>
      </c>
      <c r="B14232" t="s">
        <v>1183</v>
      </c>
      <c r="C14232" t="s">
        <v>399</v>
      </c>
      <c r="D14232">
        <v>0</v>
      </c>
      <c r="E14232">
        <v>7200</v>
      </c>
      <c r="F14232">
        <v>0</v>
      </c>
      <c r="G14232">
        <v>0</v>
      </c>
      <c r="H14232" t="s">
        <v>62</v>
      </c>
    </row>
    <row r="14233" spans="1:8" x14ac:dyDescent="0.25">
      <c r="A14233" t="str">
        <f>"&lt;nominal&gt;" &amp;$D$14232&amp;"&lt;/nominal&gt;"</f>
        <v>&lt;nominal&gt;0&lt;/nominal&gt;</v>
      </c>
      <c r="B14233" t="s">
        <v>1183</v>
      </c>
    </row>
    <row r="14234" spans="1:8" x14ac:dyDescent="0.25">
      <c r="A14234" t="str">
        <f>"&lt;lifetime&gt;" &amp;$E$14232&amp;"&lt;/lifetime&gt;"</f>
        <v>&lt;lifetime&gt;7200&lt;/lifetime&gt;</v>
      </c>
      <c r="B14234" t="s">
        <v>1183</v>
      </c>
    </row>
    <row r="14235" spans="1:8" x14ac:dyDescent="0.25">
      <c r="A14235" t="str">
        <f>"&lt;restock&gt;" &amp;$F$14232&amp;"&lt;/restock&gt;"</f>
        <v>&lt;restock&gt;0&lt;/restock&gt;</v>
      </c>
      <c r="B14235" t="s">
        <v>1183</v>
      </c>
    </row>
    <row r="14236" spans="1:8" x14ac:dyDescent="0.25">
      <c r="A14236" t="str">
        <f>"&lt;min&gt;" &amp;$G$14232&amp;"&lt;/min&gt;"</f>
        <v>&lt;min&gt;0&lt;/min&gt;</v>
      </c>
      <c r="B14236" t="s">
        <v>1183</v>
      </c>
    </row>
    <row r="14237" spans="1:8" x14ac:dyDescent="0.25">
      <c r="A14237" t="s">
        <v>16</v>
      </c>
      <c r="B14237" t="s">
        <v>1183</v>
      </c>
    </row>
    <row r="14238" spans="1:8" x14ac:dyDescent="0.25">
      <c r="A14238" t="s">
        <v>17</v>
      </c>
      <c r="B14238" t="s">
        <v>1183</v>
      </c>
    </row>
    <row r="14239" spans="1:8" x14ac:dyDescent="0.25">
      <c r="A14239" t="s">
        <v>18</v>
      </c>
      <c r="B14239" t="s">
        <v>1183</v>
      </c>
    </row>
    <row r="14240" spans="1:8" x14ac:dyDescent="0.25">
      <c r="A14240" t="str">
        <f xml:space="preserve"> $H$14232</f>
        <v>&lt;flags count_in_cargo="0" count_in_hoarder="0" count_in_map="1" count_in_player="0" crafted="1" deloot="0"/&gt;</v>
      </c>
      <c r="B14240" t="s">
        <v>1183</v>
      </c>
    </row>
    <row r="14241" spans="1:8" x14ac:dyDescent="0.25">
      <c r="A14241" t="str">
        <f>"&lt;category name=" &amp;"""" &amp;$C$14232&amp;"""/&gt;"</f>
        <v>&lt;category name="food"/&gt;</v>
      </c>
      <c r="B14241" t="s">
        <v>1183</v>
      </c>
    </row>
    <row r="14242" spans="1:8" x14ac:dyDescent="0.25">
      <c r="A14242" t="s">
        <v>22</v>
      </c>
      <c r="B14242" t="s">
        <v>1183</v>
      </c>
    </row>
    <row r="14243" spans="1:8" x14ac:dyDescent="0.25">
      <c r="A14243" t="s">
        <v>2489</v>
      </c>
      <c r="B14243" t="s">
        <v>1184</v>
      </c>
      <c r="C14243" t="s">
        <v>403</v>
      </c>
      <c r="D14243">
        <v>20</v>
      </c>
      <c r="E14243">
        <v>2700</v>
      </c>
      <c r="F14243">
        <v>0</v>
      </c>
      <c r="G14243">
        <v>10</v>
      </c>
      <c r="H14243" t="s">
        <v>19</v>
      </c>
    </row>
    <row r="14244" spans="1:8" x14ac:dyDescent="0.25">
      <c r="A14244" t="str">
        <f>"&lt;nominal&gt;" &amp;$D$14243&amp;"&lt;/nominal&gt;"</f>
        <v>&lt;nominal&gt;20&lt;/nominal&gt;</v>
      </c>
      <c r="B14244" t="s">
        <v>1184</v>
      </c>
    </row>
    <row r="14245" spans="1:8" x14ac:dyDescent="0.25">
      <c r="A14245" t="str">
        <f>"&lt;lifetime&gt;" &amp;$E$14243&amp;"&lt;/lifetime&gt;"</f>
        <v>&lt;lifetime&gt;2700&lt;/lifetime&gt;</v>
      </c>
      <c r="B14245" t="s">
        <v>1184</v>
      </c>
    </row>
    <row r="14246" spans="1:8" x14ac:dyDescent="0.25">
      <c r="A14246" t="str">
        <f>"&lt;restock&gt;" &amp;$F$14243&amp;"&lt;/restock&gt;"</f>
        <v>&lt;restock&gt;0&lt;/restock&gt;</v>
      </c>
      <c r="B14246" t="s">
        <v>1184</v>
      </c>
    </row>
    <row r="14247" spans="1:8" x14ac:dyDescent="0.25">
      <c r="A14247" t="str">
        <f>"&lt;min&gt;" &amp;$G$14243&amp;"&lt;/min&gt;"</f>
        <v>&lt;min&gt;10&lt;/min&gt;</v>
      </c>
      <c r="B14247" t="s">
        <v>1184</v>
      </c>
    </row>
    <row r="14248" spans="1:8" x14ac:dyDescent="0.25">
      <c r="A14248" t="s">
        <v>16</v>
      </c>
      <c r="B14248" t="s">
        <v>1184</v>
      </c>
    </row>
    <row r="14249" spans="1:8" x14ac:dyDescent="0.25">
      <c r="A14249" t="s">
        <v>17</v>
      </c>
      <c r="B14249" t="s">
        <v>1184</v>
      </c>
    </row>
    <row r="14250" spans="1:8" x14ac:dyDescent="0.25">
      <c r="A14250" t="s">
        <v>18</v>
      </c>
      <c r="B14250" t="s">
        <v>1184</v>
      </c>
    </row>
    <row r="14251" spans="1:8" x14ac:dyDescent="0.25">
      <c r="A14251" t="str">
        <f xml:space="preserve"> $H$14243</f>
        <v>&lt;flags count_in_cargo="0" count_in_hoarder="0" count_in_map="1" count_in_player="0" crafted="0" deloot="0"/&gt;</v>
      </c>
      <c r="B14251" t="s">
        <v>1184</v>
      </c>
    </row>
    <row r="14252" spans="1:8" x14ac:dyDescent="0.25">
      <c r="A14252" t="str">
        <f>"&lt;category name=" &amp;"""" &amp;$C$14243&amp;"""/&gt;"</f>
        <v>&lt;category name="clothes"/&gt;</v>
      </c>
      <c r="B14252" t="s">
        <v>1184</v>
      </c>
    </row>
    <row r="14253" spans="1:8" x14ac:dyDescent="0.25">
      <c r="A14253" t="s">
        <v>39</v>
      </c>
      <c r="B14253" t="s">
        <v>1184</v>
      </c>
    </row>
    <row r="14254" spans="1:8" x14ac:dyDescent="0.25">
      <c r="A14254" t="s">
        <v>22</v>
      </c>
      <c r="B14254" t="s">
        <v>1184</v>
      </c>
    </row>
    <row r="14255" spans="1:8" x14ac:dyDescent="0.25">
      <c r="A14255" t="s">
        <v>2490</v>
      </c>
      <c r="B14255" t="s">
        <v>1185</v>
      </c>
      <c r="C14255" t="s">
        <v>403</v>
      </c>
      <c r="D14255">
        <v>20</v>
      </c>
      <c r="E14255">
        <v>2700</v>
      </c>
      <c r="F14255">
        <v>0</v>
      </c>
      <c r="G14255">
        <v>10</v>
      </c>
      <c r="H14255" t="s">
        <v>19</v>
      </c>
    </row>
    <row r="14256" spans="1:8" x14ac:dyDescent="0.25">
      <c r="A14256" t="str">
        <f>"&lt;nominal&gt;" &amp;$D$14255&amp;"&lt;/nominal&gt;"</f>
        <v>&lt;nominal&gt;20&lt;/nominal&gt;</v>
      </c>
      <c r="B14256" t="s">
        <v>1185</v>
      </c>
    </row>
    <row r="14257" spans="1:8" x14ac:dyDescent="0.25">
      <c r="A14257" t="str">
        <f>"&lt;lifetime&gt;" &amp;$E$14255&amp;"&lt;/lifetime&gt;"</f>
        <v>&lt;lifetime&gt;2700&lt;/lifetime&gt;</v>
      </c>
      <c r="B14257" t="s">
        <v>1185</v>
      </c>
    </row>
    <row r="14258" spans="1:8" x14ac:dyDescent="0.25">
      <c r="A14258" t="str">
        <f>"&lt;restock&gt;" &amp;$F$14255&amp;"&lt;/restock&gt;"</f>
        <v>&lt;restock&gt;0&lt;/restock&gt;</v>
      </c>
      <c r="B14258" t="s">
        <v>1185</v>
      </c>
    </row>
    <row r="14259" spans="1:8" x14ac:dyDescent="0.25">
      <c r="A14259" t="str">
        <f>"&lt;min&gt;" &amp;$G$14255&amp;"&lt;/min&gt;"</f>
        <v>&lt;min&gt;10&lt;/min&gt;</v>
      </c>
      <c r="B14259" t="s">
        <v>1185</v>
      </c>
    </row>
    <row r="14260" spans="1:8" x14ac:dyDescent="0.25">
      <c r="A14260" t="s">
        <v>16</v>
      </c>
      <c r="B14260" t="s">
        <v>1185</v>
      </c>
    </row>
    <row r="14261" spans="1:8" x14ac:dyDescent="0.25">
      <c r="A14261" t="s">
        <v>17</v>
      </c>
      <c r="B14261" t="s">
        <v>1185</v>
      </c>
    </row>
    <row r="14262" spans="1:8" x14ac:dyDescent="0.25">
      <c r="A14262" t="s">
        <v>18</v>
      </c>
      <c r="B14262" t="s">
        <v>1185</v>
      </c>
    </row>
    <row r="14263" spans="1:8" x14ac:dyDescent="0.25">
      <c r="A14263" t="str">
        <f xml:space="preserve"> $H$14255</f>
        <v>&lt;flags count_in_cargo="0" count_in_hoarder="0" count_in_map="1" count_in_player="0" crafted="0" deloot="0"/&gt;</v>
      </c>
      <c r="B14263" t="s">
        <v>1185</v>
      </c>
    </row>
    <row r="14264" spans="1:8" x14ac:dyDescent="0.25">
      <c r="A14264" t="str">
        <f>"&lt;category name=" &amp;"""" &amp;$C$14255&amp;"""/&gt;"</f>
        <v>&lt;category name="clothes"/&gt;</v>
      </c>
      <c r="B14264" t="s">
        <v>1185</v>
      </c>
    </row>
    <row r="14265" spans="1:8" x14ac:dyDescent="0.25">
      <c r="A14265" t="s">
        <v>39</v>
      </c>
      <c r="B14265" t="s">
        <v>1185</v>
      </c>
    </row>
    <row r="14266" spans="1:8" x14ac:dyDescent="0.25">
      <c r="A14266" t="s">
        <v>22</v>
      </c>
      <c r="B14266" t="s">
        <v>1185</v>
      </c>
    </row>
    <row r="14267" spans="1:8" x14ac:dyDescent="0.25">
      <c r="A14267" t="s">
        <v>2491</v>
      </c>
      <c r="B14267" t="s">
        <v>1186</v>
      </c>
      <c r="C14267" t="s">
        <v>403</v>
      </c>
      <c r="D14267">
        <v>20</v>
      </c>
      <c r="E14267">
        <v>2700</v>
      </c>
      <c r="F14267">
        <v>0</v>
      </c>
      <c r="G14267">
        <v>10</v>
      </c>
      <c r="H14267" t="s">
        <v>19</v>
      </c>
    </row>
    <row r="14268" spans="1:8" x14ac:dyDescent="0.25">
      <c r="A14268" t="str">
        <f>"&lt;nominal&gt;" &amp;$D$14267&amp;"&lt;/nominal&gt;"</f>
        <v>&lt;nominal&gt;20&lt;/nominal&gt;</v>
      </c>
      <c r="B14268" t="s">
        <v>1186</v>
      </c>
    </row>
    <row r="14269" spans="1:8" x14ac:dyDescent="0.25">
      <c r="A14269" t="str">
        <f>"&lt;lifetime&gt;" &amp;$E$14267&amp;"&lt;/lifetime&gt;"</f>
        <v>&lt;lifetime&gt;2700&lt;/lifetime&gt;</v>
      </c>
      <c r="B14269" t="s">
        <v>1186</v>
      </c>
    </row>
    <row r="14270" spans="1:8" x14ac:dyDescent="0.25">
      <c r="A14270" t="str">
        <f>"&lt;restock&gt;" &amp;$F$14267&amp;"&lt;/restock&gt;"</f>
        <v>&lt;restock&gt;0&lt;/restock&gt;</v>
      </c>
      <c r="B14270" t="s">
        <v>1186</v>
      </c>
    </row>
    <row r="14271" spans="1:8" x14ac:dyDescent="0.25">
      <c r="A14271" t="str">
        <f>"&lt;min&gt;" &amp;$G$14267&amp;"&lt;/min&gt;"</f>
        <v>&lt;min&gt;10&lt;/min&gt;</v>
      </c>
      <c r="B14271" t="s">
        <v>1186</v>
      </c>
    </row>
    <row r="14272" spans="1:8" x14ac:dyDescent="0.25">
      <c r="A14272" t="s">
        <v>16</v>
      </c>
      <c r="B14272" t="s">
        <v>1186</v>
      </c>
    </row>
    <row r="14273" spans="1:8" x14ac:dyDescent="0.25">
      <c r="A14273" t="s">
        <v>17</v>
      </c>
      <c r="B14273" t="s">
        <v>1186</v>
      </c>
    </row>
    <row r="14274" spans="1:8" x14ac:dyDescent="0.25">
      <c r="A14274" t="s">
        <v>18</v>
      </c>
      <c r="B14274" t="s">
        <v>1186</v>
      </c>
    </row>
    <row r="14275" spans="1:8" x14ac:dyDescent="0.25">
      <c r="A14275" t="str">
        <f xml:space="preserve"> $H$14267</f>
        <v>&lt;flags count_in_cargo="0" count_in_hoarder="0" count_in_map="1" count_in_player="0" crafted="0" deloot="0"/&gt;</v>
      </c>
      <c r="B14275" t="s">
        <v>1186</v>
      </c>
    </row>
    <row r="14276" spans="1:8" x14ac:dyDescent="0.25">
      <c r="A14276" t="str">
        <f>"&lt;category name=" &amp;"""" &amp;$C$14267&amp;"""/&gt;"</f>
        <v>&lt;category name="clothes"/&gt;</v>
      </c>
      <c r="B14276" t="s">
        <v>1186</v>
      </c>
    </row>
    <row r="14277" spans="1:8" x14ac:dyDescent="0.25">
      <c r="A14277" t="s">
        <v>39</v>
      </c>
      <c r="B14277" t="s">
        <v>1186</v>
      </c>
    </row>
    <row r="14278" spans="1:8" x14ac:dyDescent="0.25">
      <c r="A14278" t="s">
        <v>22</v>
      </c>
      <c r="B14278" t="s">
        <v>1186</v>
      </c>
    </row>
    <row r="14279" spans="1:8" x14ac:dyDescent="0.25">
      <c r="A14279" t="s">
        <v>2492</v>
      </c>
      <c r="B14279" t="s">
        <v>1187</v>
      </c>
      <c r="C14279" t="s">
        <v>403</v>
      </c>
      <c r="D14279">
        <v>20</v>
      </c>
      <c r="E14279">
        <v>2700</v>
      </c>
      <c r="F14279">
        <v>0</v>
      </c>
      <c r="G14279">
        <v>10</v>
      </c>
      <c r="H14279" t="s">
        <v>19</v>
      </c>
    </row>
    <row r="14280" spans="1:8" x14ac:dyDescent="0.25">
      <c r="A14280" t="str">
        <f>"&lt;nominal&gt;" &amp;$D$14279&amp;"&lt;/nominal&gt;"</f>
        <v>&lt;nominal&gt;20&lt;/nominal&gt;</v>
      </c>
      <c r="B14280" t="s">
        <v>1187</v>
      </c>
    </row>
    <row r="14281" spans="1:8" x14ac:dyDescent="0.25">
      <c r="A14281" t="str">
        <f>"&lt;lifetime&gt;" &amp;$E$14279&amp;"&lt;/lifetime&gt;"</f>
        <v>&lt;lifetime&gt;2700&lt;/lifetime&gt;</v>
      </c>
      <c r="B14281" t="s">
        <v>1187</v>
      </c>
    </row>
    <row r="14282" spans="1:8" x14ac:dyDescent="0.25">
      <c r="A14282" t="str">
        <f>"&lt;restock&gt;" &amp;$F$14279&amp;"&lt;/restock&gt;"</f>
        <v>&lt;restock&gt;0&lt;/restock&gt;</v>
      </c>
      <c r="B14282" t="s">
        <v>1187</v>
      </c>
    </row>
    <row r="14283" spans="1:8" x14ac:dyDescent="0.25">
      <c r="A14283" t="str">
        <f>"&lt;min&gt;" &amp;$G$14279&amp;"&lt;/min&gt;"</f>
        <v>&lt;min&gt;10&lt;/min&gt;</v>
      </c>
      <c r="B14283" t="s">
        <v>1187</v>
      </c>
    </row>
    <row r="14284" spans="1:8" x14ac:dyDescent="0.25">
      <c r="A14284" t="s">
        <v>16</v>
      </c>
      <c r="B14284" t="s">
        <v>1187</v>
      </c>
    </row>
    <row r="14285" spans="1:8" x14ac:dyDescent="0.25">
      <c r="A14285" t="s">
        <v>17</v>
      </c>
      <c r="B14285" t="s">
        <v>1187</v>
      </c>
    </row>
    <row r="14286" spans="1:8" x14ac:dyDescent="0.25">
      <c r="A14286" t="s">
        <v>18</v>
      </c>
      <c r="B14286" t="s">
        <v>1187</v>
      </c>
    </row>
    <row r="14287" spans="1:8" x14ac:dyDescent="0.25">
      <c r="A14287" t="str">
        <f xml:space="preserve"> $H$14279</f>
        <v>&lt;flags count_in_cargo="0" count_in_hoarder="0" count_in_map="1" count_in_player="0" crafted="0" deloot="0"/&gt;</v>
      </c>
      <c r="B14287" t="s">
        <v>1187</v>
      </c>
    </row>
    <row r="14288" spans="1:8" x14ac:dyDescent="0.25">
      <c r="A14288" t="str">
        <f>"&lt;category name=" &amp;"""" &amp;$C$14279&amp;"""/&gt;"</f>
        <v>&lt;category name="clothes"/&gt;</v>
      </c>
      <c r="B14288" t="s">
        <v>1187</v>
      </c>
    </row>
    <row r="14289" spans="1:8" x14ac:dyDescent="0.25">
      <c r="A14289" t="s">
        <v>39</v>
      </c>
      <c r="B14289" t="s">
        <v>1187</v>
      </c>
    </row>
    <row r="14290" spans="1:8" x14ac:dyDescent="0.25">
      <c r="A14290" t="s">
        <v>22</v>
      </c>
      <c r="B14290" t="s">
        <v>1187</v>
      </c>
    </row>
    <row r="14291" spans="1:8" x14ac:dyDescent="0.25">
      <c r="A14291" t="s">
        <v>2493</v>
      </c>
      <c r="B14291" t="s">
        <v>1188</v>
      </c>
      <c r="C14291" t="s">
        <v>403</v>
      </c>
      <c r="D14291">
        <v>20</v>
      </c>
      <c r="E14291">
        <v>2700</v>
      </c>
      <c r="F14291">
        <v>0</v>
      </c>
      <c r="G14291">
        <v>10</v>
      </c>
      <c r="H14291" t="s">
        <v>19</v>
      </c>
    </row>
    <row r="14292" spans="1:8" x14ac:dyDescent="0.25">
      <c r="A14292" t="str">
        <f>"&lt;nominal&gt;" &amp;$D$14291&amp;"&lt;/nominal&gt;"</f>
        <v>&lt;nominal&gt;20&lt;/nominal&gt;</v>
      </c>
      <c r="B14292" t="s">
        <v>1188</v>
      </c>
    </row>
    <row r="14293" spans="1:8" x14ac:dyDescent="0.25">
      <c r="A14293" t="str">
        <f>"&lt;lifetime&gt;" &amp;$E$14291&amp;"&lt;/lifetime&gt;"</f>
        <v>&lt;lifetime&gt;2700&lt;/lifetime&gt;</v>
      </c>
      <c r="B14293" t="s">
        <v>1188</v>
      </c>
    </row>
    <row r="14294" spans="1:8" x14ac:dyDescent="0.25">
      <c r="A14294" t="str">
        <f>"&lt;restock&gt;" &amp;$F$14291&amp;"&lt;/restock&gt;"</f>
        <v>&lt;restock&gt;0&lt;/restock&gt;</v>
      </c>
      <c r="B14294" t="s">
        <v>1188</v>
      </c>
    </row>
    <row r="14295" spans="1:8" x14ac:dyDescent="0.25">
      <c r="A14295" t="str">
        <f>"&lt;min&gt;" &amp;$G$14291&amp;"&lt;/min&gt;"</f>
        <v>&lt;min&gt;10&lt;/min&gt;</v>
      </c>
      <c r="B14295" t="s">
        <v>1188</v>
      </c>
    </row>
    <row r="14296" spans="1:8" x14ac:dyDescent="0.25">
      <c r="A14296" t="s">
        <v>16</v>
      </c>
      <c r="B14296" t="s">
        <v>1188</v>
      </c>
    </row>
    <row r="14297" spans="1:8" x14ac:dyDescent="0.25">
      <c r="A14297" t="s">
        <v>17</v>
      </c>
      <c r="B14297" t="s">
        <v>1188</v>
      </c>
    </row>
    <row r="14298" spans="1:8" x14ac:dyDescent="0.25">
      <c r="A14298" t="s">
        <v>18</v>
      </c>
      <c r="B14298" t="s">
        <v>1188</v>
      </c>
    </row>
    <row r="14299" spans="1:8" x14ac:dyDescent="0.25">
      <c r="A14299" t="str">
        <f xml:space="preserve"> $H$14291</f>
        <v>&lt;flags count_in_cargo="0" count_in_hoarder="0" count_in_map="1" count_in_player="0" crafted="0" deloot="0"/&gt;</v>
      </c>
      <c r="B14299" t="s">
        <v>1188</v>
      </c>
    </row>
    <row r="14300" spans="1:8" x14ac:dyDescent="0.25">
      <c r="A14300" t="str">
        <f>"&lt;category name=" &amp;"""" &amp;$C$14291&amp;"""/&gt;"</f>
        <v>&lt;category name="clothes"/&gt;</v>
      </c>
      <c r="B14300" t="s">
        <v>1188</v>
      </c>
    </row>
    <row r="14301" spans="1:8" x14ac:dyDescent="0.25">
      <c r="A14301" t="s">
        <v>39</v>
      </c>
      <c r="B14301" t="s">
        <v>1188</v>
      </c>
    </row>
    <row r="14302" spans="1:8" x14ac:dyDescent="0.25">
      <c r="A14302" t="s">
        <v>22</v>
      </c>
      <c r="B14302" t="s">
        <v>1188</v>
      </c>
    </row>
    <row r="14303" spans="1:8" x14ac:dyDescent="0.25">
      <c r="A14303" t="s">
        <v>2494</v>
      </c>
      <c r="B14303" t="s">
        <v>1189</v>
      </c>
      <c r="C14303" t="s">
        <v>403</v>
      </c>
      <c r="D14303">
        <v>20</v>
      </c>
      <c r="E14303">
        <v>2700</v>
      </c>
      <c r="F14303">
        <v>0</v>
      </c>
      <c r="G14303">
        <v>10</v>
      </c>
      <c r="H14303" t="s">
        <v>19</v>
      </c>
    </row>
    <row r="14304" spans="1:8" x14ac:dyDescent="0.25">
      <c r="A14304" t="str">
        <f>"&lt;nominal&gt;" &amp;$D$14303&amp;"&lt;/nominal&gt;"</f>
        <v>&lt;nominal&gt;20&lt;/nominal&gt;</v>
      </c>
      <c r="B14304" t="s">
        <v>1189</v>
      </c>
    </row>
    <row r="14305" spans="1:8" x14ac:dyDescent="0.25">
      <c r="A14305" t="str">
        <f>"&lt;lifetime&gt;" &amp;$E$14303&amp;"&lt;/lifetime&gt;"</f>
        <v>&lt;lifetime&gt;2700&lt;/lifetime&gt;</v>
      </c>
      <c r="B14305" t="s">
        <v>1189</v>
      </c>
    </row>
    <row r="14306" spans="1:8" x14ac:dyDescent="0.25">
      <c r="A14306" t="str">
        <f>"&lt;restock&gt;" &amp;$F$14303&amp;"&lt;/restock&gt;"</f>
        <v>&lt;restock&gt;0&lt;/restock&gt;</v>
      </c>
      <c r="B14306" t="s">
        <v>1189</v>
      </c>
    </row>
    <row r="14307" spans="1:8" x14ac:dyDescent="0.25">
      <c r="A14307" t="str">
        <f>"&lt;min&gt;" &amp;$G$14303&amp;"&lt;/min&gt;"</f>
        <v>&lt;min&gt;10&lt;/min&gt;</v>
      </c>
      <c r="B14307" t="s">
        <v>1189</v>
      </c>
    </row>
    <row r="14308" spans="1:8" x14ac:dyDescent="0.25">
      <c r="A14308" t="s">
        <v>16</v>
      </c>
      <c r="B14308" t="s">
        <v>1189</v>
      </c>
    </row>
    <row r="14309" spans="1:8" x14ac:dyDescent="0.25">
      <c r="A14309" t="s">
        <v>17</v>
      </c>
      <c r="B14309" t="s">
        <v>1189</v>
      </c>
    </row>
    <row r="14310" spans="1:8" x14ac:dyDescent="0.25">
      <c r="A14310" t="s">
        <v>18</v>
      </c>
      <c r="B14310" t="s">
        <v>1189</v>
      </c>
    </row>
    <row r="14311" spans="1:8" x14ac:dyDescent="0.25">
      <c r="A14311" t="str">
        <f xml:space="preserve"> $H$14303</f>
        <v>&lt;flags count_in_cargo="0" count_in_hoarder="0" count_in_map="1" count_in_player="0" crafted="0" deloot="0"/&gt;</v>
      </c>
      <c r="B14311" t="s">
        <v>1189</v>
      </c>
    </row>
    <row r="14312" spans="1:8" x14ac:dyDescent="0.25">
      <c r="A14312" t="str">
        <f>"&lt;category name=" &amp;"""" &amp;$C$14303&amp;"""/&gt;"</f>
        <v>&lt;category name="clothes"/&gt;</v>
      </c>
      <c r="B14312" t="s">
        <v>1189</v>
      </c>
    </row>
    <row r="14313" spans="1:8" x14ac:dyDescent="0.25">
      <c r="A14313" t="s">
        <v>39</v>
      </c>
      <c r="B14313" t="s">
        <v>1189</v>
      </c>
    </row>
    <row r="14314" spans="1:8" x14ac:dyDescent="0.25">
      <c r="A14314" t="s">
        <v>22</v>
      </c>
      <c r="B14314" t="s">
        <v>1189</v>
      </c>
    </row>
    <row r="14315" spans="1:8" x14ac:dyDescent="0.25">
      <c r="A14315" t="s">
        <v>2495</v>
      </c>
      <c r="B14315" t="s">
        <v>1190</v>
      </c>
      <c r="C14315" t="s">
        <v>403</v>
      </c>
      <c r="D14315">
        <v>20</v>
      </c>
      <c r="E14315">
        <v>2700</v>
      </c>
      <c r="F14315">
        <v>0</v>
      </c>
      <c r="G14315">
        <v>10</v>
      </c>
      <c r="H14315" t="s">
        <v>19</v>
      </c>
    </row>
    <row r="14316" spans="1:8" x14ac:dyDescent="0.25">
      <c r="A14316" t="str">
        <f>"&lt;nominal&gt;" &amp;$D$14315&amp;"&lt;/nominal&gt;"</f>
        <v>&lt;nominal&gt;20&lt;/nominal&gt;</v>
      </c>
      <c r="B14316" t="s">
        <v>1190</v>
      </c>
    </row>
    <row r="14317" spans="1:8" x14ac:dyDescent="0.25">
      <c r="A14317" t="str">
        <f>"&lt;lifetime&gt;" &amp;$E$14315&amp;"&lt;/lifetime&gt;"</f>
        <v>&lt;lifetime&gt;2700&lt;/lifetime&gt;</v>
      </c>
      <c r="B14317" t="s">
        <v>1190</v>
      </c>
    </row>
    <row r="14318" spans="1:8" x14ac:dyDescent="0.25">
      <c r="A14318" t="str">
        <f>"&lt;restock&gt;" &amp;$F$14315&amp;"&lt;/restock&gt;"</f>
        <v>&lt;restock&gt;0&lt;/restock&gt;</v>
      </c>
      <c r="B14318" t="s">
        <v>1190</v>
      </c>
    </row>
    <row r="14319" spans="1:8" x14ac:dyDescent="0.25">
      <c r="A14319" t="str">
        <f>"&lt;min&gt;" &amp;$G$14315&amp;"&lt;/min&gt;"</f>
        <v>&lt;min&gt;10&lt;/min&gt;</v>
      </c>
      <c r="B14319" t="s">
        <v>1190</v>
      </c>
    </row>
    <row r="14320" spans="1:8" x14ac:dyDescent="0.25">
      <c r="A14320" t="s">
        <v>16</v>
      </c>
      <c r="B14320" t="s">
        <v>1190</v>
      </c>
    </row>
    <row r="14321" spans="1:8" x14ac:dyDescent="0.25">
      <c r="A14321" t="s">
        <v>17</v>
      </c>
      <c r="B14321" t="s">
        <v>1190</v>
      </c>
    </row>
    <row r="14322" spans="1:8" x14ac:dyDescent="0.25">
      <c r="A14322" t="s">
        <v>18</v>
      </c>
      <c r="B14322" t="s">
        <v>1190</v>
      </c>
    </row>
    <row r="14323" spans="1:8" x14ac:dyDescent="0.25">
      <c r="A14323" t="str">
        <f xml:space="preserve"> $H$14315</f>
        <v>&lt;flags count_in_cargo="0" count_in_hoarder="0" count_in_map="1" count_in_player="0" crafted="0" deloot="0"/&gt;</v>
      </c>
      <c r="B14323" t="s">
        <v>1190</v>
      </c>
    </row>
    <row r="14324" spans="1:8" x14ac:dyDescent="0.25">
      <c r="A14324" t="str">
        <f>"&lt;category name=" &amp;"""" &amp;$C$14315&amp;"""/&gt;"</f>
        <v>&lt;category name="clothes"/&gt;</v>
      </c>
      <c r="B14324" t="s">
        <v>1190</v>
      </c>
    </row>
    <row r="14325" spans="1:8" x14ac:dyDescent="0.25">
      <c r="A14325" t="s">
        <v>39</v>
      </c>
      <c r="B14325" t="s">
        <v>1190</v>
      </c>
    </row>
    <row r="14326" spans="1:8" x14ac:dyDescent="0.25">
      <c r="A14326" t="s">
        <v>22</v>
      </c>
      <c r="B14326" t="s">
        <v>1190</v>
      </c>
    </row>
    <row r="14327" spans="1:8" x14ac:dyDescent="0.25">
      <c r="A14327" t="s">
        <v>2496</v>
      </c>
      <c r="B14327" t="s">
        <v>1191</v>
      </c>
      <c r="C14327" t="s">
        <v>403</v>
      </c>
      <c r="D14327">
        <v>20</v>
      </c>
      <c r="E14327">
        <v>2700</v>
      </c>
      <c r="F14327">
        <v>0</v>
      </c>
      <c r="G14327">
        <v>10</v>
      </c>
      <c r="H14327" t="s">
        <v>19</v>
      </c>
    </row>
    <row r="14328" spans="1:8" x14ac:dyDescent="0.25">
      <c r="A14328" t="str">
        <f>"&lt;nominal&gt;" &amp;$D$14327&amp;"&lt;/nominal&gt;"</f>
        <v>&lt;nominal&gt;20&lt;/nominal&gt;</v>
      </c>
      <c r="B14328" t="s">
        <v>1191</v>
      </c>
    </row>
    <row r="14329" spans="1:8" x14ac:dyDescent="0.25">
      <c r="A14329" t="str">
        <f>"&lt;lifetime&gt;" &amp;$E$14327&amp;"&lt;/lifetime&gt;"</f>
        <v>&lt;lifetime&gt;2700&lt;/lifetime&gt;</v>
      </c>
      <c r="B14329" t="s">
        <v>1191</v>
      </c>
    </row>
    <row r="14330" spans="1:8" x14ac:dyDescent="0.25">
      <c r="A14330" t="str">
        <f>"&lt;restock&gt;" &amp;$F$14327&amp;"&lt;/restock&gt;"</f>
        <v>&lt;restock&gt;0&lt;/restock&gt;</v>
      </c>
      <c r="B14330" t="s">
        <v>1191</v>
      </c>
    </row>
    <row r="14331" spans="1:8" x14ac:dyDescent="0.25">
      <c r="A14331" t="str">
        <f>"&lt;min&gt;" &amp;$G$14327&amp;"&lt;/min&gt;"</f>
        <v>&lt;min&gt;10&lt;/min&gt;</v>
      </c>
      <c r="B14331" t="s">
        <v>1191</v>
      </c>
    </row>
    <row r="14332" spans="1:8" x14ac:dyDescent="0.25">
      <c r="A14332" t="s">
        <v>16</v>
      </c>
      <c r="B14332" t="s">
        <v>1191</v>
      </c>
    </row>
    <row r="14333" spans="1:8" x14ac:dyDescent="0.25">
      <c r="A14333" t="s">
        <v>17</v>
      </c>
      <c r="B14333" t="s">
        <v>1191</v>
      </c>
    </row>
    <row r="14334" spans="1:8" x14ac:dyDescent="0.25">
      <c r="A14334" t="s">
        <v>18</v>
      </c>
      <c r="B14334" t="s">
        <v>1191</v>
      </c>
    </row>
    <row r="14335" spans="1:8" x14ac:dyDescent="0.25">
      <c r="A14335" t="str">
        <f xml:space="preserve"> $H$14327</f>
        <v>&lt;flags count_in_cargo="0" count_in_hoarder="0" count_in_map="1" count_in_player="0" crafted="0" deloot="0"/&gt;</v>
      </c>
      <c r="B14335" t="s">
        <v>1191</v>
      </c>
    </row>
    <row r="14336" spans="1:8" x14ac:dyDescent="0.25">
      <c r="A14336" t="str">
        <f>"&lt;category name=" &amp;"""" &amp;$C$14327&amp;"""/&gt;"</f>
        <v>&lt;category name="clothes"/&gt;</v>
      </c>
      <c r="B14336" t="s">
        <v>1191</v>
      </c>
    </row>
    <row r="14337" spans="1:8" x14ac:dyDescent="0.25">
      <c r="A14337" t="s">
        <v>39</v>
      </c>
      <c r="B14337" t="s">
        <v>1191</v>
      </c>
    </row>
    <row r="14338" spans="1:8" x14ac:dyDescent="0.25">
      <c r="A14338" t="s">
        <v>22</v>
      </c>
      <c r="B14338" t="s">
        <v>1191</v>
      </c>
    </row>
    <row r="14339" spans="1:8" x14ac:dyDescent="0.25">
      <c r="A14339" t="s">
        <v>2497</v>
      </c>
      <c r="B14339" t="s">
        <v>1192</v>
      </c>
      <c r="C14339" t="s">
        <v>426</v>
      </c>
      <c r="D14339">
        <v>70</v>
      </c>
      <c r="E14339">
        <v>7200</v>
      </c>
      <c r="F14339">
        <v>0</v>
      </c>
      <c r="G14339">
        <v>50</v>
      </c>
      <c r="H14339" t="s">
        <v>19</v>
      </c>
    </row>
    <row r="14340" spans="1:8" x14ac:dyDescent="0.25">
      <c r="A14340" t="str">
        <f>"&lt;nominal&gt;" &amp;$D$14339&amp;"&lt;/nominal&gt;"</f>
        <v>&lt;nominal&gt;70&lt;/nominal&gt;</v>
      </c>
      <c r="B14340" t="s">
        <v>1192</v>
      </c>
    </row>
    <row r="14341" spans="1:8" x14ac:dyDescent="0.25">
      <c r="A14341" t="str">
        <f>"&lt;lifetime&gt;" &amp;$E$14339&amp;"&lt;/lifetime&gt;"</f>
        <v>&lt;lifetime&gt;7200&lt;/lifetime&gt;</v>
      </c>
      <c r="B14341" t="s">
        <v>1192</v>
      </c>
    </row>
    <row r="14342" spans="1:8" x14ac:dyDescent="0.25">
      <c r="A14342" t="str">
        <f>"&lt;restock&gt;" &amp;$F$14339&amp;"&lt;/restock&gt;"</f>
        <v>&lt;restock&gt;0&lt;/restock&gt;</v>
      </c>
      <c r="B14342" t="s">
        <v>1192</v>
      </c>
    </row>
    <row r="14343" spans="1:8" x14ac:dyDescent="0.25">
      <c r="A14343" t="str">
        <f>"&lt;min&gt;" &amp;$G$14339&amp;"&lt;/min&gt;"</f>
        <v>&lt;min&gt;50&lt;/min&gt;</v>
      </c>
      <c r="B14343" t="s">
        <v>1192</v>
      </c>
    </row>
    <row r="14344" spans="1:8" x14ac:dyDescent="0.25">
      <c r="A14344" t="s">
        <v>16</v>
      </c>
      <c r="B14344" t="s">
        <v>1192</v>
      </c>
    </row>
    <row r="14345" spans="1:8" x14ac:dyDescent="0.25">
      <c r="A14345" t="s">
        <v>17</v>
      </c>
      <c r="B14345" t="s">
        <v>1192</v>
      </c>
    </row>
    <row r="14346" spans="1:8" x14ac:dyDescent="0.25">
      <c r="A14346" t="s">
        <v>18</v>
      </c>
      <c r="B14346" t="s">
        <v>1192</v>
      </c>
    </row>
    <row r="14347" spans="1:8" x14ac:dyDescent="0.25">
      <c r="A14347" t="str">
        <f xml:space="preserve"> $H$14339</f>
        <v>&lt;flags count_in_cargo="0" count_in_hoarder="0" count_in_map="1" count_in_player="0" crafted="0" deloot="0"/&gt;</v>
      </c>
      <c r="B14347" t="s">
        <v>1192</v>
      </c>
    </row>
    <row r="14348" spans="1:8" x14ac:dyDescent="0.25">
      <c r="A14348" t="str">
        <f>"&lt;category name=" &amp;"""" &amp;$C$14339&amp;"""/&gt;"</f>
        <v>&lt;category name="tools"/&gt;</v>
      </c>
      <c r="B14348" t="s">
        <v>1192</v>
      </c>
    </row>
    <row r="14349" spans="1:8" x14ac:dyDescent="0.25">
      <c r="A14349" t="s">
        <v>55</v>
      </c>
      <c r="B14349" t="s">
        <v>1192</v>
      </c>
    </row>
    <row r="14350" spans="1:8" x14ac:dyDescent="0.25">
      <c r="A14350" t="s">
        <v>56</v>
      </c>
      <c r="B14350" t="s">
        <v>1192</v>
      </c>
    </row>
    <row r="14351" spans="1:8" x14ac:dyDescent="0.25">
      <c r="A14351" t="s">
        <v>40</v>
      </c>
      <c r="B14351" t="s">
        <v>1192</v>
      </c>
    </row>
    <row r="14352" spans="1:8" x14ac:dyDescent="0.25">
      <c r="A14352" t="s">
        <v>22</v>
      </c>
      <c r="B14352" t="s">
        <v>1192</v>
      </c>
    </row>
    <row r="14353" spans="1:8" x14ac:dyDescent="0.25">
      <c r="A14353" t="s">
        <v>2498</v>
      </c>
      <c r="B14353" t="s">
        <v>3480</v>
      </c>
      <c r="C14353" t="s">
        <v>426</v>
      </c>
      <c r="D14353">
        <v>0</v>
      </c>
      <c r="E14353">
        <v>3888000</v>
      </c>
      <c r="F14353">
        <v>0</v>
      </c>
      <c r="G14353">
        <v>0</v>
      </c>
      <c r="H14353" t="s">
        <v>62</v>
      </c>
    </row>
    <row r="14354" spans="1:8" x14ac:dyDescent="0.25">
      <c r="A14354" t="str">
        <f>"&lt;nominal&gt;" &amp;$D$14353&amp;"&lt;/nominal&gt;"</f>
        <v>&lt;nominal&gt;0&lt;/nominal&gt;</v>
      </c>
      <c r="B14354" t="s">
        <v>3480</v>
      </c>
    </row>
    <row r="14355" spans="1:8" x14ac:dyDescent="0.25">
      <c r="A14355" t="str">
        <f>"&lt;lifetime&gt;" &amp;$E$14353&amp;"&lt;/lifetime&gt;"</f>
        <v>&lt;lifetime&gt;3888000&lt;/lifetime&gt;</v>
      </c>
      <c r="B14355" t="s">
        <v>3480</v>
      </c>
    </row>
    <row r="14356" spans="1:8" x14ac:dyDescent="0.25">
      <c r="A14356" t="str">
        <f>"&lt;restock&gt;" &amp;$F$14353&amp;"&lt;/restock&gt;"</f>
        <v>&lt;restock&gt;0&lt;/restock&gt;</v>
      </c>
      <c r="B14356" t="s">
        <v>3480</v>
      </c>
    </row>
    <row r="14357" spans="1:8" x14ac:dyDescent="0.25">
      <c r="A14357" t="str">
        <f>"&lt;min&gt;" &amp;$G$14353&amp;"&lt;/min&gt;"</f>
        <v>&lt;min&gt;0&lt;/min&gt;</v>
      </c>
      <c r="B14357" t="s">
        <v>3480</v>
      </c>
    </row>
    <row r="14358" spans="1:8" x14ac:dyDescent="0.25">
      <c r="A14358" t="s">
        <v>16</v>
      </c>
      <c r="B14358" t="s">
        <v>3480</v>
      </c>
    </row>
    <row r="14359" spans="1:8" x14ac:dyDescent="0.25">
      <c r="A14359" t="s">
        <v>17</v>
      </c>
      <c r="B14359" t="s">
        <v>3480</v>
      </c>
    </row>
    <row r="14360" spans="1:8" x14ac:dyDescent="0.25">
      <c r="A14360" t="s">
        <v>18</v>
      </c>
      <c r="B14360" t="s">
        <v>3480</v>
      </c>
    </row>
    <row r="14361" spans="1:8" x14ac:dyDescent="0.25">
      <c r="A14361" t="str">
        <f xml:space="preserve"> $H$14353</f>
        <v>&lt;flags count_in_cargo="0" count_in_hoarder="0" count_in_map="1" count_in_player="0" crafted="1" deloot="0"/&gt;</v>
      </c>
      <c r="B14361" t="s">
        <v>3480</v>
      </c>
    </row>
    <row r="14362" spans="1:8" x14ac:dyDescent="0.25">
      <c r="A14362" t="str">
        <f>"&lt;category name=" &amp;"""" &amp;$C$14353&amp;"""/&gt;"</f>
        <v>&lt;category name="tools"/&gt;</v>
      </c>
      <c r="B14362" t="s">
        <v>3480</v>
      </c>
    </row>
    <row r="14363" spans="1:8" x14ac:dyDescent="0.25">
      <c r="A14363" t="s">
        <v>22</v>
      </c>
      <c r="B14363" t="s">
        <v>3480</v>
      </c>
    </row>
    <row r="14364" spans="1:8" x14ac:dyDescent="0.25">
      <c r="A14364" t="s">
        <v>2499</v>
      </c>
      <c r="B14364" t="s">
        <v>2780</v>
      </c>
      <c r="C14364" t="s">
        <v>426</v>
      </c>
      <c r="D14364">
        <v>0</v>
      </c>
      <c r="E14364">
        <v>1800</v>
      </c>
      <c r="F14364">
        <v>0</v>
      </c>
      <c r="G14364">
        <v>0</v>
      </c>
      <c r="H14364" t="s">
        <v>62</v>
      </c>
    </row>
    <row r="14365" spans="1:8" x14ac:dyDescent="0.25">
      <c r="A14365" t="str">
        <f>"&lt;nominal&gt;" &amp;$D$14364&amp;"&lt;/nominal&gt;"</f>
        <v>&lt;nominal&gt;0&lt;/nominal&gt;</v>
      </c>
      <c r="B14365" t="s">
        <v>2780</v>
      </c>
    </row>
    <row r="14366" spans="1:8" x14ac:dyDescent="0.25">
      <c r="A14366" t="str">
        <f>"&lt;lifetime&gt;" &amp;$E$14364&amp;"&lt;/lifetime&gt;"</f>
        <v>&lt;lifetime&gt;1800&lt;/lifetime&gt;</v>
      </c>
      <c r="B14366" t="s">
        <v>2780</v>
      </c>
    </row>
    <row r="14367" spans="1:8" x14ac:dyDescent="0.25">
      <c r="A14367" t="str">
        <f>"&lt;restock&gt;" &amp;$F$14364&amp;"&lt;/restock&gt;"</f>
        <v>&lt;restock&gt;0&lt;/restock&gt;</v>
      </c>
      <c r="B14367" t="s">
        <v>2780</v>
      </c>
    </row>
    <row r="14368" spans="1:8" x14ac:dyDescent="0.25">
      <c r="A14368" t="str">
        <f>"&lt;min&gt;" &amp;$G$14364&amp;"&lt;/min&gt;"</f>
        <v>&lt;min&gt;0&lt;/min&gt;</v>
      </c>
      <c r="B14368" t="s">
        <v>2780</v>
      </c>
    </row>
    <row r="14369" spans="1:8" x14ac:dyDescent="0.25">
      <c r="A14369" t="s">
        <v>16</v>
      </c>
      <c r="B14369" t="s">
        <v>2780</v>
      </c>
    </row>
    <row r="14370" spans="1:8" x14ac:dyDescent="0.25">
      <c r="A14370" t="s">
        <v>17</v>
      </c>
      <c r="B14370" t="s">
        <v>2780</v>
      </c>
    </row>
    <row r="14371" spans="1:8" x14ac:dyDescent="0.25">
      <c r="A14371" t="s">
        <v>18</v>
      </c>
      <c r="B14371" t="s">
        <v>2780</v>
      </c>
    </row>
    <row r="14372" spans="1:8" x14ac:dyDescent="0.25">
      <c r="A14372" t="str">
        <f xml:space="preserve"> $H$14364</f>
        <v>&lt;flags count_in_cargo="0" count_in_hoarder="0" count_in_map="1" count_in_player="0" crafted="1" deloot="0"/&gt;</v>
      </c>
      <c r="B14372" t="s">
        <v>2780</v>
      </c>
    </row>
    <row r="14373" spans="1:8" x14ac:dyDescent="0.25">
      <c r="A14373" t="str">
        <f>"&lt;category name=" &amp;"""" &amp;$C$14364&amp;"""/&gt;"</f>
        <v>&lt;category name="tools"/&gt;</v>
      </c>
      <c r="B14373" t="s">
        <v>2780</v>
      </c>
    </row>
    <row r="14374" spans="1:8" x14ac:dyDescent="0.25">
      <c r="A14374" t="s">
        <v>22</v>
      </c>
      <c r="B14374" t="s">
        <v>2780</v>
      </c>
    </row>
    <row r="14375" spans="1:8" x14ac:dyDescent="0.25">
      <c r="A14375" t="s">
        <v>2500</v>
      </c>
      <c r="B14375" t="s">
        <v>3481</v>
      </c>
      <c r="C14375" t="s">
        <v>426</v>
      </c>
      <c r="D14375">
        <v>0</v>
      </c>
      <c r="E14375">
        <v>7200</v>
      </c>
      <c r="F14375">
        <v>0</v>
      </c>
      <c r="G14375">
        <v>0</v>
      </c>
      <c r="H14375" t="s">
        <v>62</v>
      </c>
    </row>
    <row r="14376" spans="1:8" x14ac:dyDescent="0.25">
      <c r="A14376" t="str">
        <f>"&lt;nominal&gt;" &amp;$D$14375&amp;"&lt;/nominal&gt;"</f>
        <v>&lt;nominal&gt;0&lt;/nominal&gt;</v>
      </c>
      <c r="B14376" t="s">
        <v>3481</v>
      </c>
    </row>
    <row r="14377" spans="1:8" x14ac:dyDescent="0.25">
      <c r="A14377" t="str">
        <f>"&lt;lifetime&gt;" &amp;$E$14375&amp;"&lt;/lifetime&gt;"</f>
        <v>&lt;lifetime&gt;7200&lt;/lifetime&gt;</v>
      </c>
      <c r="B14377" t="s">
        <v>3481</v>
      </c>
    </row>
    <row r="14378" spans="1:8" x14ac:dyDescent="0.25">
      <c r="A14378" t="str">
        <f>"&lt;restock&gt;" &amp;$F$14375&amp;"&lt;/restock&gt;"</f>
        <v>&lt;restock&gt;0&lt;/restock&gt;</v>
      </c>
      <c r="B14378" t="s">
        <v>3481</v>
      </c>
    </row>
    <row r="14379" spans="1:8" x14ac:dyDescent="0.25">
      <c r="A14379" t="str">
        <f>"&lt;min&gt;" &amp;$G$14375&amp;"&lt;/min&gt;"</f>
        <v>&lt;min&gt;0&lt;/min&gt;</v>
      </c>
      <c r="B14379" t="s">
        <v>3481</v>
      </c>
    </row>
    <row r="14380" spans="1:8" x14ac:dyDescent="0.25">
      <c r="A14380" t="s">
        <v>16</v>
      </c>
      <c r="B14380" t="s">
        <v>3481</v>
      </c>
    </row>
    <row r="14381" spans="1:8" x14ac:dyDescent="0.25">
      <c r="A14381" t="s">
        <v>17</v>
      </c>
      <c r="B14381" t="s">
        <v>3481</v>
      </c>
    </row>
    <row r="14382" spans="1:8" x14ac:dyDescent="0.25">
      <c r="A14382" t="s">
        <v>18</v>
      </c>
      <c r="B14382" t="s">
        <v>3481</v>
      </c>
    </row>
    <row r="14383" spans="1:8" x14ac:dyDescent="0.25">
      <c r="A14383" t="str">
        <f xml:space="preserve"> $H$14375</f>
        <v>&lt;flags count_in_cargo="0" count_in_hoarder="0" count_in_map="1" count_in_player="0" crafted="1" deloot="0"/&gt;</v>
      </c>
      <c r="B14383" t="s">
        <v>3481</v>
      </c>
    </row>
    <row r="14384" spans="1:8" x14ac:dyDescent="0.25">
      <c r="A14384" t="str">
        <f>"&lt;category name=" &amp;"""" &amp;$C$14375&amp;"""/&gt;"</f>
        <v>&lt;category name="tools"/&gt;</v>
      </c>
      <c r="B14384" t="s">
        <v>3481</v>
      </c>
    </row>
    <row r="14385" spans="1:8" x14ac:dyDescent="0.25">
      <c r="A14385" t="s">
        <v>22</v>
      </c>
      <c r="B14385" t="s">
        <v>3481</v>
      </c>
    </row>
    <row r="14386" spans="1:8" x14ac:dyDescent="0.25">
      <c r="A14386" t="s">
        <v>2501</v>
      </c>
      <c r="B14386" t="s">
        <v>1193</v>
      </c>
      <c r="C14386" t="s">
        <v>403</v>
      </c>
      <c r="D14386">
        <v>30</v>
      </c>
      <c r="E14386">
        <v>5600</v>
      </c>
      <c r="F14386">
        <v>0</v>
      </c>
      <c r="G14386">
        <v>20</v>
      </c>
      <c r="H14386" t="s">
        <v>19</v>
      </c>
    </row>
    <row r="14387" spans="1:8" x14ac:dyDescent="0.25">
      <c r="A14387" t="str">
        <f>"&lt;nominal&gt;" &amp;$D$14386&amp;"&lt;/nominal&gt;"</f>
        <v>&lt;nominal&gt;30&lt;/nominal&gt;</v>
      </c>
      <c r="B14387" t="s">
        <v>1193</v>
      </c>
    </row>
    <row r="14388" spans="1:8" x14ac:dyDescent="0.25">
      <c r="A14388" t="str">
        <f>"&lt;lifetime&gt;" &amp;$E$14386&amp;"&lt;/lifetime&gt;"</f>
        <v>&lt;lifetime&gt;5600&lt;/lifetime&gt;</v>
      </c>
      <c r="B14388" t="s">
        <v>1193</v>
      </c>
    </row>
    <row r="14389" spans="1:8" x14ac:dyDescent="0.25">
      <c r="A14389" t="str">
        <f>"&lt;restock&gt;" &amp;$F$14386&amp;"&lt;/restock&gt;"</f>
        <v>&lt;restock&gt;0&lt;/restock&gt;</v>
      </c>
      <c r="B14389" t="s">
        <v>1193</v>
      </c>
    </row>
    <row r="14390" spans="1:8" x14ac:dyDescent="0.25">
      <c r="A14390" t="str">
        <f>"&lt;min&gt;" &amp;$G$14386&amp;"&lt;/min&gt;"</f>
        <v>&lt;min&gt;20&lt;/min&gt;</v>
      </c>
      <c r="B14390" t="s">
        <v>1193</v>
      </c>
    </row>
    <row r="14391" spans="1:8" x14ac:dyDescent="0.25">
      <c r="A14391" t="s">
        <v>16</v>
      </c>
      <c r="B14391" t="s">
        <v>1193</v>
      </c>
    </row>
    <row r="14392" spans="1:8" x14ac:dyDescent="0.25">
      <c r="A14392" t="s">
        <v>17</v>
      </c>
      <c r="B14392" t="s">
        <v>1193</v>
      </c>
    </row>
    <row r="14393" spans="1:8" x14ac:dyDescent="0.25">
      <c r="A14393" t="s">
        <v>18</v>
      </c>
      <c r="B14393" t="s">
        <v>1193</v>
      </c>
    </row>
    <row r="14394" spans="1:8" x14ac:dyDescent="0.25">
      <c r="A14394" t="str">
        <f xml:space="preserve"> $H$14386</f>
        <v>&lt;flags count_in_cargo="0" count_in_hoarder="0" count_in_map="1" count_in_player="0" crafted="0" deloot="0"/&gt;</v>
      </c>
      <c r="B14394" t="s">
        <v>1193</v>
      </c>
    </row>
    <row r="14395" spans="1:8" x14ac:dyDescent="0.25">
      <c r="A14395" t="str">
        <f>"&lt;category name=" &amp;"""" &amp;$C$14386&amp;"""/&gt;"</f>
        <v>&lt;category name="clothes"/&gt;</v>
      </c>
      <c r="B14395" t="s">
        <v>1193</v>
      </c>
    </row>
    <row r="14396" spans="1:8" x14ac:dyDescent="0.25">
      <c r="A14396" t="s">
        <v>39</v>
      </c>
      <c r="B14396" t="s">
        <v>1193</v>
      </c>
    </row>
    <row r="14397" spans="1:8" x14ac:dyDescent="0.25">
      <c r="A14397" t="s">
        <v>40</v>
      </c>
      <c r="B14397" t="s">
        <v>1193</v>
      </c>
    </row>
    <row r="14398" spans="1:8" x14ac:dyDescent="0.25">
      <c r="A14398" t="s">
        <v>22</v>
      </c>
      <c r="B14398" t="s">
        <v>1193</v>
      </c>
    </row>
    <row r="14399" spans="1:8" x14ac:dyDescent="0.25">
      <c r="A14399" t="s">
        <v>2502</v>
      </c>
      <c r="B14399" t="s">
        <v>1194</v>
      </c>
      <c r="C14399" t="s">
        <v>403</v>
      </c>
      <c r="D14399">
        <v>30</v>
      </c>
      <c r="E14399">
        <v>5600</v>
      </c>
      <c r="F14399">
        <v>0</v>
      </c>
      <c r="G14399">
        <v>20</v>
      </c>
      <c r="H14399" t="s">
        <v>19</v>
      </c>
    </row>
    <row r="14400" spans="1:8" x14ac:dyDescent="0.25">
      <c r="A14400" t="str">
        <f>"&lt;nominal&gt;" &amp;$D$14399&amp;"&lt;/nominal&gt;"</f>
        <v>&lt;nominal&gt;30&lt;/nominal&gt;</v>
      </c>
      <c r="B14400" t="s">
        <v>1194</v>
      </c>
    </row>
    <row r="14401" spans="1:8" x14ac:dyDescent="0.25">
      <c r="A14401" t="str">
        <f>"&lt;lifetime&gt;" &amp;$E$14399&amp;"&lt;/lifetime&gt;"</f>
        <v>&lt;lifetime&gt;5600&lt;/lifetime&gt;</v>
      </c>
      <c r="B14401" t="s">
        <v>1194</v>
      </c>
    </row>
    <row r="14402" spans="1:8" x14ac:dyDescent="0.25">
      <c r="A14402" t="str">
        <f>"&lt;restock&gt;" &amp;$F$14399&amp;"&lt;/restock&gt;"</f>
        <v>&lt;restock&gt;0&lt;/restock&gt;</v>
      </c>
      <c r="B14402" t="s">
        <v>1194</v>
      </c>
    </row>
    <row r="14403" spans="1:8" x14ac:dyDescent="0.25">
      <c r="A14403" t="str">
        <f>"&lt;min&gt;" &amp;$G$14399&amp;"&lt;/min&gt;"</f>
        <v>&lt;min&gt;20&lt;/min&gt;</v>
      </c>
      <c r="B14403" t="s">
        <v>1194</v>
      </c>
    </row>
    <row r="14404" spans="1:8" x14ac:dyDescent="0.25">
      <c r="A14404" t="s">
        <v>16</v>
      </c>
      <c r="B14404" t="s">
        <v>1194</v>
      </c>
    </row>
    <row r="14405" spans="1:8" x14ac:dyDescent="0.25">
      <c r="A14405" t="s">
        <v>17</v>
      </c>
      <c r="B14405" t="s">
        <v>1194</v>
      </c>
    </row>
    <row r="14406" spans="1:8" x14ac:dyDescent="0.25">
      <c r="A14406" t="s">
        <v>18</v>
      </c>
      <c r="B14406" t="s">
        <v>1194</v>
      </c>
    </row>
    <row r="14407" spans="1:8" x14ac:dyDescent="0.25">
      <c r="A14407" t="str">
        <f xml:space="preserve"> $H$14399</f>
        <v>&lt;flags count_in_cargo="0" count_in_hoarder="0" count_in_map="1" count_in_player="0" crafted="0" deloot="0"/&gt;</v>
      </c>
      <c r="B14407" t="s">
        <v>1194</v>
      </c>
    </row>
    <row r="14408" spans="1:8" x14ac:dyDescent="0.25">
      <c r="A14408" t="str">
        <f>"&lt;category name=" &amp;"""" &amp;$C$14399&amp;"""/&gt;"</f>
        <v>&lt;category name="clothes"/&gt;</v>
      </c>
      <c r="B14408" t="s">
        <v>1194</v>
      </c>
    </row>
    <row r="14409" spans="1:8" x14ac:dyDescent="0.25">
      <c r="A14409" t="s">
        <v>39</v>
      </c>
      <c r="B14409" t="s">
        <v>1194</v>
      </c>
    </row>
    <row r="14410" spans="1:8" x14ac:dyDescent="0.25">
      <c r="A14410" t="s">
        <v>40</v>
      </c>
      <c r="B14410" t="s">
        <v>1194</v>
      </c>
    </row>
    <row r="14411" spans="1:8" x14ac:dyDescent="0.25">
      <c r="A14411" t="s">
        <v>22</v>
      </c>
      <c r="B14411" t="s">
        <v>1194</v>
      </c>
    </row>
    <row r="14412" spans="1:8" x14ac:dyDescent="0.25">
      <c r="A14412" t="s">
        <v>2503</v>
      </c>
      <c r="B14412" t="s">
        <v>1195</v>
      </c>
      <c r="C14412" t="s">
        <v>403</v>
      </c>
      <c r="D14412">
        <v>30</v>
      </c>
      <c r="E14412">
        <v>5600</v>
      </c>
      <c r="F14412">
        <v>0</v>
      </c>
      <c r="G14412">
        <v>20</v>
      </c>
      <c r="H14412" t="s">
        <v>19</v>
      </c>
    </row>
    <row r="14413" spans="1:8" x14ac:dyDescent="0.25">
      <c r="A14413" t="str">
        <f>"&lt;nominal&gt;" &amp;$D$14412&amp;"&lt;/nominal&gt;"</f>
        <v>&lt;nominal&gt;30&lt;/nominal&gt;</v>
      </c>
      <c r="B14413" t="s">
        <v>1195</v>
      </c>
    </row>
    <row r="14414" spans="1:8" x14ac:dyDescent="0.25">
      <c r="A14414" t="str">
        <f>"&lt;lifetime&gt;" &amp;$E$14412&amp;"&lt;/lifetime&gt;"</f>
        <v>&lt;lifetime&gt;5600&lt;/lifetime&gt;</v>
      </c>
      <c r="B14414" t="s">
        <v>1195</v>
      </c>
    </row>
    <row r="14415" spans="1:8" x14ac:dyDescent="0.25">
      <c r="A14415" t="str">
        <f>"&lt;restock&gt;" &amp;$F$14412&amp;"&lt;/restock&gt;"</f>
        <v>&lt;restock&gt;0&lt;/restock&gt;</v>
      </c>
      <c r="B14415" t="s">
        <v>1195</v>
      </c>
    </row>
    <row r="14416" spans="1:8" x14ac:dyDescent="0.25">
      <c r="A14416" t="str">
        <f>"&lt;min&gt;" &amp;$G$14412&amp;"&lt;/min&gt;"</f>
        <v>&lt;min&gt;20&lt;/min&gt;</v>
      </c>
      <c r="B14416" t="s">
        <v>1195</v>
      </c>
    </row>
    <row r="14417" spans="1:8" x14ac:dyDescent="0.25">
      <c r="A14417" t="s">
        <v>16</v>
      </c>
      <c r="B14417" t="s">
        <v>1195</v>
      </c>
    </row>
    <row r="14418" spans="1:8" x14ac:dyDescent="0.25">
      <c r="A14418" t="s">
        <v>17</v>
      </c>
      <c r="B14418" t="s">
        <v>1195</v>
      </c>
    </row>
    <row r="14419" spans="1:8" x14ac:dyDescent="0.25">
      <c r="A14419" t="s">
        <v>18</v>
      </c>
      <c r="B14419" t="s">
        <v>1195</v>
      </c>
    </row>
    <row r="14420" spans="1:8" x14ac:dyDescent="0.25">
      <c r="A14420" t="str">
        <f xml:space="preserve"> $H$14412</f>
        <v>&lt;flags count_in_cargo="0" count_in_hoarder="0" count_in_map="1" count_in_player="0" crafted="0" deloot="0"/&gt;</v>
      </c>
      <c r="B14420" t="s">
        <v>1195</v>
      </c>
    </row>
    <row r="14421" spans="1:8" x14ac:dyDescent="0.25">
      <c r="A14421" t="str">
        <f>"&lt;category name=" &amp;"""" &amp;$C$14412&amp;"""/&gt;"</f>
        <v>&lt;category name="clothes"/&gt;</v>
      </c>
      <c r="B14421" t="s">
        <v>1195</v>
      </c>
    </row>
    <row r="14422" spans="1:8" x14ac:dyDescent="0.25">
      <c r="A14422" t="s">
        <v>39</v>
      </c>
      <c r="B14422" t="s">
        <v>1195</v>
      </c>
    </row>
    <row r="14423" spans="1:8" x14ac:dyDescent="0.25">
      <c r="A14423" t="s">
        <v>40</v>
      </c>
      <c r="B14423" t="s">
        <v>1195</v>
      </c>
    </row>
    <row r="14424" spans="1:8" x14ac:dyDescent="0.25">
      <c r="A14424" t="s">
        <v>22</v>
      </c>
      <c r="B14424" t="s">
        <v>1195</v>
      </c>
    </row>
    <row r="14425" spans="1:8" x14ac:dyDescent="0.25">
      <c r="A14425" t="s">
        <v>2504</v>
      </c>
      <c r="B14425" t="s">
        <v>1196</v>
      </c>
      <c r="C14425" t="s">
        <v>403</v>
      </c>
      <c r="D14425">
        <v>30</v>
      </c>
      <c r="E14425">
        <v>5600</v>
      </c>
      <c r="F14425">
        <v>0</v>
      </c>
      <c r="G14425">
        <v>20</v>
      </c>
      <c r="H14425" t="s">
        <v>19</v>
      </c>
    </row>
    <row r="14426" spans="1:8" x14ac:dyDescent="0.25">
      <c r="A14426" t="str">
        <f>"&lt;nominal&gt;" &amp;$D$14425&amp;"&lt;/nominal&gt;"</f>
        <v>&lt;nominal&gt;30&lt;/nominal&gt;</v>
      </c>
      <c r="B14426" t="s">
        <v>1196</v>
      </c>
    </row>
    <row r="14427" spans="1:8" x14ac:dyDescent="0.25">
      <c r="A14427" t="str">
        <f>"&lt;lifetime&gt;" &amp;$E$14425&amp;"&lt;/lifetime&gt;"</f>
        <v>&lt;lifetime&gt;5600&lt;/lifetime&gt;</v>
      </c>
      <c r="B14427" t="s">
        <v>1196</v>
      </c>
    </row>
    <row r="14428" spans="1:8" x14ac:dyDescent="0.25">
      <c r="A14428" t="str">
        <f>"&lt;restock&gt;" &amp;$F$14425&amp;"&lt;/restock&gt;"</f>
        <v>&lt;restock&gt;0&lt;/restock&gt;</v>
      </c>
      <c r="B14428" t="s">
        <v>1196</v>
      </c>
    </row>
    <row r="14429" spans="1:8" x14ac:dyDescent="0.25">
      <c r="A14429" t="str">
        <f>"&lt;min&gt;" &amp;$G$14425&amp;"&lt;/min&gt;"</f>
        <v>&lt;min&gt;20&lt;/min&gt;</v>
      </c>
      <c r="B14429" t="s">
        <v>1196</v>
      </c>
    </row>
    <row r="14430" spans="1:8" x14ac:dyDescent="0.25">
      <c r="A14430" t="s">
        <v>16</v>
      </c>
      <c r="B14430" t="s">
        <v>1196</v>
      </c>
    </row>
    <row r="14431" spans="1:8" x14ac:dyDescent="0.25">
      <c r="A14431" t="s">
        <v>17</v>
      </c>
      <c r="B14431" t="s">
        <v>1196</v>
      </c>
    </row>
    <row r="14432" spans="1:8" x14ac:dyDescent="0.25">
      <c r="A14432" t="s">
        <v>18</v>
      </c>
      <c r="B14432" t="s">
        <v>1196</v>
      </c>
    </row>
    <row r="14433" spans="1:8" x14ac:dyDescent="0.25">
      <c r="A14433" t="str">
        <f xml:space="preserve"> $H$14425</f>
        <v>&lt;flags count_in_cargo="0" count_in_hoarder="0" count_in_map="1" count_in_player="0" crafted="0" deloot="0"/&gt;</v>
      </c>
      <c r="B14433" t="s">
        <v>1196</v>
      </c>
    </row>
    <row r="14434" spans="1:8" x14ac:dyDescent="0.25">
      <c r="A14434" t="str">
        <f>"&lt;category name=" &amp;"""" &amp;$C$14425&amp;"""/&gt;"</f>
        <v>&lt;category name="clothes"/&gt;</v>
      </c>
      <c r="B14434" t="s">
        <v>1196</v>
      </c>
    </row>
    <row r="14435" spans="1:8" x14ac:dyDescent="0.25">
      <c r="A14435" t="s">
        <v>39</v>
      </c>
      <c r="B14435" t="s">
        <v>1196</v>
      </c>
    </row>
    <row r="14436" spans="1:8" x14ac:dyDescent="0.25">
      <c r="A14436" t="s">
        <v>40</v>
      </c>
      <c r="B14436" t="s">
        <v>1196</v>
      </c>
    </row>
    <row r="14437" spans="1:8" x14ac:dyDescent="0.25">
      <c r="A14437" t="s">
        <v>22</v>
      </c>
      <c r="B14437" t="s">
        <v>1196</v>
      </c>
    </row>
    <row r="14438" spans="1:8" x14ac:dyDescent="0.25">
      <c r="A14438" t="s">
        <v>2505</v>
      </c>
      <c r="B14438" t="s">
        <v>1197</v>
      </c>
      <c r="C14438" t="s">
        <v>403</v>
      </c>
      <c r="D14438">
        <v>30</v>
      </c>
      <c r="E14438">
        <v>5600</v>
      </c>
      <c r="F14438">
        <v>0</v>
      </c>
      <c r="G14438">
        <v>20</v>
      </c>
      <c r="H14438" t="s">
        <v>19</v>
      </c>
    </row>
    <row r="14439" spans="1:8" x14ac:dyDescent="0.25">
      <c r="A14439" t="str">
        <f>"&lt;nominal&gt;" &amp;$D$14438&amp;"&lt;/nominal&gt;"</f>
        <v>&lt;nominal&gt;30&lt;/nominal&gt;</v>
      </c>
      <c r="B14439" t="s">
        <v>1197</v>
      </c>
    </row>
    <row r="14440" spans="1:8" x14ac:dyDescent="0.25">
      <c r="A14440" t="str">
        <f>"&lt;lifetime&gt;" &amp;$E$14438&amp;"&lt;/lifetime&gt;"</f>
        <v>&lt;lifetime&gt;5600&lt;/lifetime&gt;</v>
      </c>
      <c r="B14440" t="s">
        <v>1197</v>
      </c>
    </row>
    <row r="14441" spans="1:8" x14ac:dyDescent="0.25">
      <c r="A14441" t="str">
        <f>"&lt;restock&gt;" &amp;$F$14438&amp;"&lt;/restock&gt;"</f>
        <v>&lt;restock&gt;0&lt;/restock&gt;</v>
      </c>
      <c r="B14441" t="s">
        <v>1197</v>
      </c>
    </row>
    <row r="14442" spans="1:8" x14ac:dyDescent="0.25">
      <c r="A14442" t="str">
        <f>"&lt;min&gt;" &amp;$G$14438&amp;"&lt;/min&gt;"</f>
        <v>&lt;min&gt;20&lt;/min&gt;</v>
      </c>
      <c r="B14442" t="s">
        <v>1197</v>
      </c>
    </row>
    <row r="14443" spans="1:8" x14ac:dyDescent="0.25">
      <c r="A14443" t="s">
        <v>16</v>
      </c>
      <c r="B14443" t="s">
        <v>1197</v>
      </c>
    </row>
    <row r="14444" spans="1:8" x14ac:dyDescent="0.25">
      <c r="A14444" t="s">
        <v>17</v>
      </c>
      <c r="B14444" t="s">
        <v>1197</v>
      </c>
    </row>
    <row r="14445" spans="1:8" x14ac:dyDescent="0.25">
      <c r="A14445" t="s">
        <v>18</v>
      </c>
      <c r="B14445" t="s">
        <v>1197</v>
      </c>
    </row>
    <row r="14446" spans="1:8" x14ac:dyDescent="0.25">
      <c r="A14446" t="str">
        <f xml:space="preserve"> $H$14438</f>
        <v>&lt;flags count_in_cargo="0" count_in_hoarder="0" count_in_map="1" count_in_player="0" crafted="0" deloot="0"/&gt;</v>
      </c>
      <c r="B14446" t="s">
        <v>1197</v>
      </c>
    </row>
    <row r="14447" spans="1:8" x14ac:dyDescent="0.25">
      <c r="A14447" t="str">
        <f>"&lt;category name=" &amp;"""" &amp;$C$14438&amp;"""/&gt;"</f>
        <v>&lt;category name="clothes"/&gt;</v>
      </c>
      <c r="B14447" t="s">
        <v>1197</v>
      </c>
    </row>
    <row r="14448" spans="1:8" x14ac:dyDescent="0.25">
      <c r="A14448" t="s">
        <v>39</v>
      </c>
      <c r="B14448" t="s">
        <v>1197</v>
      </c>
    </row>
    <row r="14449" spans="1:8" x14ac:dyDescent="0.25">
      <c r="A14449" t="s">
        <v>40</v>
      </c>
      <c r="B14449" t="s">
        <v>1197</v>
      </c>
    </row>
    <row r="14450" spans="1:8" x14ac:dyDescent="0.25">
      <c r="A14450" t="s">
        <v>22</v>
      </c>
      <c r="B14450" t="s">
        <v>1197</v>
      </c>
    </row>
    <row r="14451" spans="1:8" x14ac:dyDescent="0.25">
      <c r="A14451" t="s">
        <v>2506</v>
      </c>
      <c r="B14451" t="s">
        <v>1198</v>
      </c>
      <c r="C14451" t="s">
        <v>403</v>
      </c>
      <c r="D14451">
        <v>30</v>
      </c>
      <c r="E14451">
        <v>5600</v>
      </c>
      <c r="F14451">
        <v>0</v>
      </c>
      <c r="G14451">
        <v>20</v>
      </c>
      <c r="H14451" t="s">
        <v>19</v>
      </c>
    </row>
    <row r="14452" spans="1:8" x14ac:dyDescent="0.25">
      <c r="A14452" t="str">
        <f>"&lt;nominal&gt;" &amp;$D$14451&amp;"&lt;/nominal&gt;"</f>
        <v>&lt;nominal&gt;30&lt;/nominal&gt;</v>
      </c>
      <c r="B14452" t="s">
        <v>1198</v>
      </c>
    </row>
    <row r="14453" spans="1:8" x14ac:dyDescent="0.25">
      <c r="A14453" t="str">
        <f>"&lt;lifetime&gt;" &amp;$E$14451&amp;"&lt;/lifetime&gt;"</f>
        <v>&lt;lifetime&gt;5600&lt;/lifetime&gt;</v>
      </c>
      <c r="B14453" t="s">
        <v>1198</v>
      </c>
    </row>
    <row r="14454" spans="1:8" x14ac:dyDescent="0.25">
      <c r="A14454" t="str">
        <f>"&lt;restock&gt;" &amp;$F$14451&amp;"&lt;/restock&gt;"</f>
        <v>&lt;restock&gt;0&lt;/restock&gt;</v>
      </c>
      <c r="B14454" t="s">
        <v>1198</v>
      </c>
    </row>
    <row r="14455" spans="1:8" x14ac:dyDescent="0.25">
      <c r="A14455" t="str">
        <f>"&lt;min&gt;" &amp;$G$14451&amp;"&lt;/min&gt;"</f>
        <v>&lt;min&gt;20&lt;/min&gt;</v>
      </c>
      <c r="B14455" t="s">
        <v>1198</v>
      </c>
    </row>
    <row r="14456" spans="1:8" x14ac:dyDescent="0.25">
      <c r="A14456" t="s">
        <v>16</v>
      </c>
      <c r="B14456" t="s">
        <v>1198</v>
      </c>
    </row>
    <row r="14457" spans="1:8" x14ac:dyDescent="0.25">
      <c r="A14457" t="s">
        <v>17</v>
      </c>
      <c r="B14457" t="s">
        <v>1198</v>
      </c>
    </row>
    <row r="14458" spans="1:8" x14ac:dyDescent="0.25">
      <c r="A14458" t="s">
        <v>18</v>
      </c>
      <c r="B14458" t="s">
        <v>1198</v>
      </c>
    </row>
    <row r="14459" spans="1:8" x14ac:dyDescent="0.25">
      <c r="A14459" t="str">
        <f xml:space="preserve"> $H$14451</f>
        <v>&lt;flags count_in_cargo="0" count_in_hoarder="0" count_in_map="1" count_in_player="0" crafted="0" deloot="0"/&gt;</v>
      </c>
      <c r="B14459" t="s">
        <v>1198</v>
      </c>
    </row>
    <row r="14460" spans="1:8" x14ac:dyDescent="0.25">
      <c r="A14460" t="str">
        <f>"&lt;category name=" &amp;"""" &amp;$C$14451&amp;"""/&gt;"</f>
        <v>&lt;category name="clothes"/&gt;</v>
      </c>
      <c r="B14460" t="s">
        <v>1198</v>
      </c>
    </row>
    <row r="14461" spans="1:8" x14ac:dyDescent="0.25">
      <c r="A14461" t="s">
        <v>39</v>
      </c>
      <c r="B14461" t="s">
        <v>1198</v>
      </c>
    </row>
    <row r="14462" spans="1:8" x14ac:dyDescent="0.25">
      <c r="A14462" t="s">
        <v>40</v>
      </c>
      <c r="B14462" t="s">
        <v>1198</v>
      </c>
    </row>
    <row r="14463" spans="1:8" x14ac:dyDescent="0.25">
      <c r="A14463" t="s">
        <v>22</v>
      </c>
      <c r="B14463" t="s">
        <v>1198</v>
      </c>
    </row>
    <row r="14464" spans="1:8" x14ac:dyDescent="0.25">
      <c r="A14464" t="s">
        <v>2507</v>
      </c>
      <c r="B14464" t="s">
        <v>1199</v>
      </c>
      <c r="C14464" t="s">
        <v>403</v>
      </c>
      <c r="D14464">
        <v>30</v>
      </c>
      <c r="E14464">
        <v>5600</v>
      </c>
      <c r="F14464">
        <v>0</v>
      </c>
      <c r="G14464">
        <v>20</v>
      </c>
      <c r="H14464" t="s">
        <v>19</v>
      </c>
    </row>
    <row r="14465" spans="1:8" x14ac:dyDescent="0.25">
      <c r="A14465" t="str">
        <f>"&lt;nominal&gt;" &amp;$D$14464&amp;"&lt;/nominal&gt;"</f>
        <v>&lt;nominal&gt;30&lt;/nominal&gt;</v>
      </c>
      <c r="B14465" t="s">
        <v>1199</v>
      </c>
    </row>
    <row r="14466" spans="1:8" x14ac:dyDescent="0.25">
      <c r="A14466" t="str">
        <f>"&lt;lifetime&gt;" &amp;$E$14464&amp;"&lt;/lifetime&gt;"</f>
        <v>&lt;lifetime&gt;5600&lt;/lifetime&gt;</v>
      </c>
      <c r="B14466" t="s">
        <v>1199</v>
      </c>
    </row>
    <row r="14467" spans="1:8" x14ac:dyDescent="0.25">
      <c r="A14467" t="str">
        <f>"&lt;restock&gt;" &amp;$F$14464&amp;"&lt;/restock&gt;"</f>
        <v>&lt;restock&gt;0&lt;/restock&gt;</v>
      </c>
      <c r="B14467" t="s">
        <v>1199</v>
      </c>
    </row>
    <row r="14468" spans="1:8" x14ac:dyDescent="0.25">
      <c r="A14468" t="str">
        <f>"&lt;min&gt;" &amp;$G$14464&amp;"&lt;/min&gt;"</f>
        <v>&lt;min&gt;20&lt;/min&gt;</v>
      </c>
      <c r="B14468" t="s">
        <v>1199</v>
      </c>
    </row>
    <row r="14469" spans="1:8" x14ac:dyDescent="0.25">
      <c r="A14469" t="s">
        <v>16</v>
      </c>
      <c r="B14469" t="s">
        <v>1199</v>
      </c>
    </row>
    <row r="14470" spans="1:8" x14ac:dyDescent="0.25">
      <c r="A14470" t="s">
        <v>17</v>
      </c>
      <c r="B14470" t="s">
        <v>1199</v>
      </c>
    </row>
    <row r="14471" spans="1:8" x14ac:dyDescent="0.25">
      <c r="A14471" t="s">
        <v>18</v>
      </c>
      <c r="B14471" t="s">
        <v>1199</v>
      </c>
    </row>
    <row r="14472" spans="1:8" x14ac:dyDescent="0.25">
      <c r="A14472" t="str">
        <f xml:space="preserve"> $H$14464</f>
        <v>&lt;flags count_in_cargo="0" count_in_hoarder="0" count_in_map="1" count_in_player="0" crafted="0" deloot="0"/&gt;</v>
      </c>
      <c r="B14472" t="s">
        <v>1199</v>
      </c>
    </row>
    <row r="14473" spans="1:8" x14ac:dyDescent="0.25">
      <c r="A14473" t="str">
        <f>"&lt;category name=" &amp;"""" &amp;$C$14464&amp;"""/&gt;"</f>
        <v>&lt;category name="clothes"/&gt;</v>
      </c>
      <c r="B14473" t="s">
        <v>1199</v>
      </c>
    </row>
    <row r="14474" spans="1:8" x14ac:dyDescent="0.25">
      <c r="A14474" t="s">
        <v>39</v>
      </c>
      <c r="B14474" t="s">
        <v>1199</v>
      </c>
    </row>
    <row r="14475" spans="1:8" x14ac:dyDescent="0.25">
      <c r="A14475" t="s">
        <v>40</v>
      </c>
      <c r="B14475" t="s">
        <v>1199</v>
      </c>
    </row>
    <row r="14476" spans="1:8" x14ac:dyDescent="0.25">
      <c r="A14476" t="s">
        <v>22</v>
      </c>
      <c r="B14476" t="s">
        <v>1199</v>
      </c>
    </row>
    <row r="14477" spans="1:8" x14ac:dyDescent="0.25">
      <c r="A14477" t="s">
        <v>2508</v>
      </c>
      <c r="B14477" t="s">
        <v>1200</v>
      </c>
      <c r="C14477" t="s">
        <v>403</v>
      </c>
      <c r="D14477">
        <v>30</v>
      </c>
      <c r="E14477">
        <v>5600</v>
      </c>
      <c r="F14477">
        <v>0</v>
      </c>
      <c r="G14477">
        <v>20</v>
      </c>
      <c r="H14477" t="s">
        <v>19</v>
      </c>
    </row>
    <row r="14478" spans="1:8" x14ac:dyDescent="0.25">
      <c r="A14478" t="str">
        <f>"&lt;nominal&gt;" &amp;$D$14477&amp;"&lt;/nominal&gt;"</f>
        <v>&lt;nominal&gt;30&lt;/nominal&gt;</v>
      </c>
      <c r="B14478" t="s">
        <v>1200</v>
      </c>
    </row>
    <row r="14479" spans="1:8" x14ac:dyDescent="0.25">
      <c r="A14479" t="str">
        <f>"&lt;lifetime&gt;" &amp;$E$14477&amp;"&lt;/lifetime&gt;"</f>
        <v>&lt;lifetime&gt;5600&lt;/lifetime&gt;</v>
      </c>
      <c r="B14479" t="s">
        <v>1200</v>
      </c>
    </row>
    <row r="14480" spans="1:8" x14ac:dyDescent="0.25">
      <c r="A14480" t="str">
        <f>"&lt;restock&gt;" &amp;$F$14477&amp;"&lt;/restock&gt;"</f>
        <v>&lt;restock&gt;0&lt;/restock&gt;</v>
      </c>
      <c r="B14480" t="s">
        <v>1200</v>
      </c>
    </row>
    <row r="14481" spans="1:8" x14ac:dyDescent="0.25">
      <c r="A14481" t="str">
        <f>"&lt;min&gt;" &amp;$G$14477&amp;"&lt;/min&gt;"</f>
        <v>&lt;min&gt;20&lt;/min&gt;</v>
      </c>
      <c r="B14481" t="s">
        <v>1200</v>
      </c>
    </row>
    <row r="14482" spans="1:8" x14ac:dyDescent="0.25">
      <c r="A14482" t="s">
        <v>16</v>
      </c>
      <c r="B14482" t="s">
        <v>1200</v>
      </c>
    </row>
    <row r="14483" spans="1:8" x14ac:dyDescent="0.25">
      <c r="A14483" t="s">
        <v>17</v>
      </c>
      <c r="B14483" t="s">
        <v>1200</v>
      </c>
    </row>
    <row r="14484" spans="1:8" x14ac:dyDescent="0.25">
      <c r="A14484" t="s">
        <v>18</v>
      </c>
      <c r="B14484" t="s">
        <v>1200</v>
      </c>
    </row>
    <row r="14485" spans="1:8" x14ac:dyDescent="0.25">
      <c r="A14485" t="str">
        <f xml:space="preserve"> $H$14477</f>
        <v>&lt;flags count_in_cargo="0" count_in_hoarder="0" count_in_map="1" count_in_player="0" crafted="0" deloot="0"/&gt;</v>
      </c>
      <c r="B14485" t="s">
        <v>1200</v>
      </c>
    </row>
    <row r="14486" spans="1:8" x14ac:dyDescent="0.25">
      <c r="A14486" t="str">
        <f>"&lt;category name=" &amp;"""" &amp;$C$14477&amp;"""/&gt;"</f>
        <v>&lt;category name="clothes"/&gt;</v>
      </c>
      <c r="B14486" t="s">
        <v>1200</v>
      </c>
    </row>
    <row r="14487" spans="1:8" x14ac:dyDescent="0.25">
      <c r="A14487" t="s">
        <v>39</v>
      </c>
      <c r="B14487" t="s">
        <v>1200</v>
      </c>
    </row>
    <row r="14488" spans="1:8" x14ac:dyDescent="0.25">
      <c r="A14488" t="s">
        <v>40</v>
      </c>
      <c r="B14488" t="s">
        <v>1200</v>
      </c>
    </row>
    <row r="14489" spans="1:8" x14ac:dyDescent="0.25">
      <c r="A14489" t="s">
        <v>22</v>
      </c>
      <c r="B14489" t="s">
        <v>1200</v>
      </c>
    </row>
    <row r="14490" spans="1:8" x14ac:dyDescent="0.25">
      <c r="A14490" t="s">
        <v>2509</v>
      </c>
      <c r="B14490" t="s">
        <v>1201</v>
      </c>
      <c r="C14490" t="s">
        <v>403</v>
      </c>
      <c r="D14490">
        <v>30</v>
      </c>
      <c r="E14490">
        <v>5600</v>
      </c>
      <c r="F14490">
        <v>0</v>
      </c>
      <c r="G14490">
        <v>20</v>
      </c>
      <c r="H14490" t="s">
        <v>19</v>
      </c>
    </row>
    <row r="14491" spans="1:8" x14ac:dyDescent="0.25">
      <c r="A14491" t="str">
        <f>"&lt;nominal&gt;" &amp;$D$14490&amp;"&lt;/nominal&gt;"</f>
        <v>&lt;nominal&gt;30&lt;/nominal&gt;</v>
      </c>
      <c r="B14491" t="s">
        <v>1201</v>
      </c>
    </row>
    <row r="14492" spans="1:8" x14ac:dyDescent="0.25">
      <c r="A14492" t="str">
        <f>"&lt;lifetime&gt;" &amp;$E$14490&amp;"&lt;/lifetime&gt;"</f>
        <v>&lt;lifetime&gt;5600&lt;/lifetime&gt;</v>
      </c>
      <c r="B14492" t="s">
        <v>1201</v>
      </c>
    </row>
    <row r="14493" spans="1:8" x14ac:dyDescent="0.25">
      <c r="A14493" t="str">
        <f>"&lt;restock&gt;" &amp;$F$14490&amp;"&lt;/restock&gt;"</f>
        <v>&lt;restock&gt;0&lt;/restock&gt;</v>
      </c>
      <c r="B14493" t="s">
        <v>1201</v>
      </c>
    </row>
    <row r="14494" spans="1:8" x14ac:dyDescent="0.25">
      <c r="A14494" t="str">
        <f>"&lt;min&gt;" &amp;$G$14490&amp;"&lt;/min&gt;"</f>
        <v>&lt;min&gt;20&lt;/min&gt;</v>
      </c>
      <c r="B14494" t="s">
        <v>1201</v>
      </c>
    </row>
    <row r="14495" spans="1:8" x14ac:dyDescent="0.25">
      <c r="A14495" t="s">
        <v>16</v>
      </c>
      <c r="B14495" t="s">
        <v>1201</v>
      </c>
    </row>
    <row r="14496" spans="1:8" x14ac:dyDescent="0.25">
      <c r="A14496" t="s">
        <v>17</v>
      </c>
      <c r="B14496" t="s">
        <v>1201</v>
      </c>
    </row>
    <row r="14497" spans="1:8" x14ac:dyDescent="0.25">
      <c r="A14497" t="s">
        <v>18</v>
      </c>
      <c r="B14497" t="s">
        <v>1201</v>
      </c>
    </row>
    <row r="14498" spans="1:8" x14ac:dyDescent="0.25">
      <c r="A14498" t="str">
        <f xml:space="preserve"> $H$14490</f>
        <v>&lt;flags count_in_cargo="0" count_in_hoarder="0" count_in_map="1" count_in_player="0" crafted="0" deloot="0"/&gt;</v>
      </c>
      <c r="B14498" t="s">
        <v>1201</v>
      </c>
    </row>
    <row r="14499" spans="1:8" x14ac:dyDescent="0.25">
      <c r="A14499" t="str">
        <f>"&lt;category name=" &amp;"""" &amp;$C$14490&amp;"""/&gt;"</f>
        <v>&lt;category name="clothes"/&gt;</v>
      </c>
      <c r="B14499" t="s">
        <v>1201</v>
      </c>
    </row>
    <row r="14500" spans="1:8" x14ac:dyDescent="0.25">
      <c r="A14500" t="s">
        <v>39</v>
      </c>
      <c r="B14500" t="s">
        <v>1201</v>
      </c>
    </row>
    <row r="14501" spans="1:8" x14ac:dyDescent="0.25">
      <c r="A14501" t="s">
        <v>40</v>
      </c>
      <c r="B14501" t="s">
        <v>1201</v>
      </c>
    </row>
    <row r="14502" spans="1:8" x14ac:dyDescent="0.25">
      <c r="A14502" t="s">
        <v>22</v>
      </c>
      <c r="B14502" t="s">
        <v>1201</v>
      </c>
    </row>
    <row r="14503" spans="1:8" x14ac:dyDescent="0.25">
      <c r="A14503" t="s">
        <v>2510</v>
      </c>
      <c r="B14503" t="s">
        <v>1202</v>
      </c>
      <c r="C14503" t="s">
        <v>403</v>
      </c>
      <c r="D14503">
        <v>30</v>
      </c>
      <c r="E14503">
        <v>5600</v>
      </c>
      <c r="F14503">
        <v>0</v>
      </c>
      <c r="G14503">
        <v>20</v>
      </c>
      <c r="H14503" t="s">
        <v>19</v>
      </c>
    </row>
    <row r="14504" spans="1:8" x14ac:dyDescent="0.25">
      <c r="A14504" t="str">
        <f>"&lt;nominal&gt;" &amp;$D$14503&amp;"&lt;/nominal&gt;"</f>
        <v>&lt;nominal&gt;30&lt;/nominal&gt;</v>
      </c>
      <c r="B14504" t="s">
        <v>1202</v>
      </c>
    </row>
    <row r="14505" spans="1:8" x14ac:dyDescent="0.25">
      <c r="A14505" t="str">
        <f>"&lt;lifetime&gt;" &amp;$E$14503&amp;"&lt;/lifetime&gt;"</f>
        <v>&lt;lifetime&gt;5600&lt;/lifetime&gt;</v>
      </c>
      <c r="B14505" t="s">
        <v>1202</v>
      </c>
    </row>
    <row r="14506" spans="1:8" x14ac:dyDescent="0.25">
      <c r="A14506" t="str">
        <f>"&lt;restock&gt;" &amp;$F$14503&amp;"&lt;/restock&gt;"</f>
        <v>&lt;restock&gt;0&lt;/restock&gt;</v>
      </c>
      <c r="B14506" t="s">
        <v>1202</v>
      </c>
    </row>
    <row r="14507" spans="1:8" x14ac:dyDescent="0.25">
      <c r="A14507" t="str">
        <f>"&lt;min&gt;" &amp;$G$14503&amp;"&lt;/min&gt;"</f>
        <v>&lt;min&gt;20&lt;/min&gt;</v>
      </c>
      <c r="B14507" t="s">
        <v>1202</v>
      </c>
    </row>
    <row r="14508" spans="1:8" x14ac:dyDescent="0.25">
      <c r="A14508" t="s">
        <v>16</v>
      </c>
      <c r="B14508" t="s">
        <v>1202</v>
      </c>
    </row>
    <row r="14509" spans="1:8" x14ac:dyDescent="0.25">
      <c r="A14509" t="s">
        <v>17</v>
      </c>
      <c r="B14509" t="s">
        <v>1202</v>
      </c>
    </row>
    <row r="14510" spans="1:8" x14ac:dyDescent="0.25">
      <c r="A14510" t="s">
        <v>18</v>
      </c>
      <c r="B14510" t="s">
        <v>1202</v>
      </c>
    </row>
    <row r="14511" spans="1:8" x14ac:dyDescent="0.25">
      <c r="A14511" t="str">
        <f xml:space="preserve"> $H$14503</f>
        <v>&lt;flags count_in_cargo="0" count_in_hoarder="0" count_in_map="1" count_in_player="0" crafted="0" deloot="0"/&gt;</v>
      </c>
      <c r="B14511" t="s">
        <v>1202</v>
      </c>
    </row>
    <row r="14512" spans="1:8" x14ac:dyDescent="0.25">
      <c r="A14512" t="str">
        <f>"&lt;category name=" &amp;"""" &amp;$C$14503&amp;"""/&gt;"</f>
        <v>&lt;category name="clothes"/&gt;</v>
      </c>
      <c r="B14512" t="s">
        <v>1202</v>
      </c>
    </row>
    <row r="14513" spans="1:8" x14ac:dyDescent="0.25">
      <c r="A14513" t="s">
        <v>39</v>
      </c>
      <c r="B14513" t="s">
        <v>1202</v>
      </c>
    </row>
    <row r="14514" spans="1:8" x14ac:dyDescent="0.25">
      <c r="A14514" t="s">
        <v>40</v>
      </c>
      <c r="B14514" t="s">
        <v>1202</v>
      </c>
    </row>
    <row r="14515" spans="1:8" x14ac:dyDescent="0.25">
      <c r="A14515" t="s">
        <v>22</v>
      </c>
      <c r="B14515" t="s">
        <v>1202</v>
      </c>
    </row>
    <row r="14516" spans="1:8" x14ac:dyDescent="0.25">
      <c r="A14516" t="s">
        <v>2511</v>
      </c>
      <c r="B14516" t="s">
        <v>1203</v>
      </c>
      <c r="C14516" t="s">
        <v>403</v>
      </c>
      <c r="D14516">
        <v>25</v>
      </c>
      <c r="E14516">
        <v>5600</v>
      </c>
      <c r="F14516">
        <v>0</v>
      </c>
      <c r="G14516">
        <v>15</v>
      </c>
      <c r="H14516" t="s">
        <v>19</v>
      </c>
    </row>
    <row r="14517" spans="1:8" x14ac:dyDescent="0.25">
      <c r="A14517" t="str">
        <f>"&lt;nominal&gt;" &amp;$D$14516&amp;"&lt;/nominal&gt;"</f>
        <v>&lt;nominal&gt;25&lt;/nominal&gt;</v>
      </c>
      <c r="B14517" t="s">
        <v>1203</v>
      </c>
    </row>
    <row r="14518" spans="1:8" x14ac:dyDescent="0.25">
      <c r="A14518" t="str">
        <f>"&lt;lifetime&gt;" &amp;$E$14516&amp;"&lt;/lifetime&gt;"</f>
        <v>&lt;lifetime&gt;5600&lt;/lifetime&gt;</v>
      </c>
      <c r="B14518" t="s">
        <v>1203</v>
      </c>
    </row>
    <row r="14519" spans="1:8" x14ac:dyDescent="0.25">
      <c r="A14519" t="str">
        <f>"&lt;restock&gt;" &amp;$F$14516&amp;"&lt;/restock&gt;"</f>
        <v>&lt;restock&gt;0&lt;/restock&gt;</v>
      </c>
      <c r="B14519" t="s">
        <v>1203</v>
      </c>
    </row>
    <row r="14520" spans="1:8" x14ac:dyDescent="0.25">
      <c r="A14520" t="str">
        <f>"&lt;min&gt;" &amp;$G$14516&amp;"&lt;/min&gt;"</f>
        <v>&lt;min&gt;15&lt;/min&gt;</v>
      </c>
      <c r="B14520" t="s">
        <v>1203</v>
      </c>
    </row>
    <row r="14521" spans="1:8" x14ac:dyDescent="0.25">
      <c r="A14521" t="s">
        <v>16</v>
      </c>
      <c r="B14521" t="s">
        <v>1203</v>
      </c>
    </row>
    <row r="14522" spans="1:8" x14ac:dyDescent="0.25">
      <c r="A14522" t="s">
        <v>17</v>
      </c>
      <c r="B14522" t="s">
        <v>1203</v>
      </c>
    </row>
    <row r="14523" spans="1:8" x14ac:dyDescent="0.25">
      <c r="A14523" t="s">
        <v>18</v>
      </c>
      <c r="B14523" t="s">
        <v>1203</v>
      </c>
    </row>
    <row r="14524" spans="1:8" x14ac:dyDescent="0.25">
      <c r="A14524" t="str">
        <f xml:space="preserve"> $H$14516</f>
        <v>&lt;flags count_in_cargo="0" count_in_hoarder="0" count_in_map="1" count_in_player="0" crafted="0" deloot="0"/&gt;</v>
      </c>
      <c r="B14524" t="s">
        <v>1203</v>
      </c>
    </row>
    <row r="14525" spans="1:8" x14ac:dyDescent="0.25">
      <c r="A14525" t="str">
        <f>"&lt;category name=" &amp;"""" &amp;$C$14516&amp;"""/&gt;"</f>
        <v>&lt;category name="clothes"/&gt;</v>
      </c>
      <c r="B14525" t="s">
        <v>1203</v>
      </c>
    </row>
    <row r="14526" spans="1:8" x14ac:dyDescent="0.25">
      <c r="A14526" t="s">
        <v>25</v>
      </c>
      <c r="B14526" t="s">
        <v>1203</v>
      </c>
    </row>
    <row r="14527" spans="1:8" x14ac:dyDescent="0.25">
      <c r="A14527" t="s">
        <v>55</v>
      </c>
      <c r="B14527" t="s">
        <v>1203</v>
      </c>
    </row>
    <row r="14528" spans="1:8" x14ac:dyDescent="0.25">
      <c r="A14528" t="s">
        <v>56</v>
      </c>
      <c r="B14528" t="s">
        <v>1203</v>
      </c>
    </row>
    <row r="14529" spans="1:8" x14ac:dyDescent="0.25">
      <c r="A14529" t="s">
        <v>40</v>
      </c>
      <c r="B14529" t="s">
        <v>1203</v>
      </c>
    </row>
    <row r="14530" spans="1:8" x14ac:dyDescent="0.25">
      <c r="A14530" t="s">
        <v>22</v>
      </c>
      <c r="B14530" t="s">
        <v>1203</v>
      </c>
    </row>
    <row r="14531" spans="1:8" x14ac:dyDescent="0.25">
      <c r="A14531" t="s">
        <v>2512</v>
      </c>
      <c r="B14531" t="s">
        <v>1204</v>
      </c>
      <c r="C14531" t="s">
        <v>403</v>
      </c>
      <c r="D14531">
        <v>25</v>
      </c>
      <c r="E14531">
        <v>5600</v>
      </c>
      <c r="F14531">
        <v>0</v>
      </c>
      <c r="G14531">
        <v>15</v>
      </c>
      <c r="H14531" t="s">
        <v>19</v>
      </c>
    </row>
    <row r="14532" spans="1:8" x14ac:dyDescent="0.25">
      <c r="A14532" t="str">
        <f>"&lt;nominal&gt;" &amp;$D$14531&amp;"&lt;/nominal&gt;"</f>
        <v>&lt;nominal&gt;25&lt;/nominal&gt;</v>
      </c>
      <c r="B14532" t="s">
        <v>1204</v>
      </c>
    </row>
    <row r="14533" spans="1:8" x14ac:dyDescent="0.25">
      <c r="A14533" t="str">
        <f>"&lt;lifetime&gt;" &amp;$E$14531&amp;"&lt;/lifetime&gt;"</f>
        <v>&lt;lifetime&gt;5600&lt;/lifetime&gt;</v>
      </c>
      <c r="B14533" t="s">
        <v>1204</v>
      </c>
    </row>
    <row r="14534" spans="1:8" x14ac:dyDescent="0.25">
      <c r="A14534" t="str">
        <f>"&lt;restock&gt;" &amp;$F$14531&amp;"&lt;/restock&gt;"</f>
        <v>&lt;restock&gt;0&lt;/restock&gt;</v>
      </c>
      <c r="B14534" t="s">
        <v>1204</v>
      </c>
    </row>
    <row r="14535" spans="1:8" x14ac:dyDescent="0.25">
      <c r="A14535" t="str">
        <f>"&lt;min&gt;" &amp;$G$14531&amp;"&lt;/min&gt;"</f>
        <v>&lt;min&gt;15&lt;/min&gt;</v>
      </c>
      <c r="B14535" t="s">
        <v>1204</v>
      </c>
    </row>
    <row r="14536" spans="1:8" x14ac:dyDescent="0.25">
      <c r="A14536" t="s">
        <v>16</v>
      </c>
      <c r="B14536" t="s">
        <v>1204</v>
      </c>
    </row>
    <row r="14537" spans="1:8" x14ac:dyDescent="0.25">
      <c r="A14537" t="s">
        <v>17</v>
      </c>
      <c r="B14537" t="s">
        <v>1204</v>
      </c>
    </row>
    <row r="14538" spans="1:8" x14ac:dyDescent="0.25">
      <c r="A14538" t="s">
        <v>18</v>
      </c>
      <c r="B14538" t="s">
        <v>1204</v>
      </c>
    </row>
    <row r="14539" spans="1:8" x14ac:dyDescent="0.25">
      <c r="A14539" t="str">
        <f xml:space="preserve"> $H$14531</f>
        <v>&lt;flags count_in_cargo="0" count_in_hoarder="0" count_in_map="1" count_in_player="0" crafted="0" deloot="0"/&gt;</v>
      </c>
      <c r="B14539" t="s">
        <v>1204</v>
      </c>
    </row>
    <row r="14540" spans="1:8" x14ac:dyDescent="0.25">
      <c r="A14540" t="str">
        <f>"&lt;category name=" &amp;"""" &amp;$C$14531&amp;"""/&gt;"</f>
        <v>&lt;category name="clothes"/&gt;</v>
      </c>
      <c r="B14540" t="s">
        <v>1204</v>
      </c>
    </row>
    <row r="14541" spans="1:8" x14ac:dyDescent="0.25">
      <c r="A14541" t="s">
        <v>25</v>
      </c>
      <c r="B14541" t="s">
        <v>1204</v>
      </c>
    </row>
    <row r="14542" spans="1:8" x14ac:dyDescent="0.25">
      <c r="A14542" t="s">
        <v>55</v>
      </c>
      <c r="B14542" t="s">
        <v>1204</v>
      </c>
    </row>
    <row r="14543" spans="1:8" x14ac:dyDescent="0.25">
      <c r="A14543" t="s">
        <v>56</v>
      </c>
      <c r="B14543" t="s">
        <v>1204</v>
      </c>
    </row>
    <row r="14544" spans="1:8" x14ac:dyDescent="0.25">
      <c r="A14544" t="s">
        <v>40</v>
      </c>
      <c r="B14544" t="s">
        <v>1204</v>
      </c>
    </row>
    <row r="14545" spans="1:8" x14ac:dyDescent="0.25">
      <c r="A14545" t="s">
        <v>22</v>
      </c>
      <c r="B14545" t="s">
        <v>1204</v>
      </c>
    </row>
    <row r="14546" spans="1:8" x14ac:dyDescent="0.25">
      <c r="A14546" t="s">
        <v>2513</v>
      </c>
      <c r="B14546" t="s">
        <v>1205</v>
      </c>
      <c r="C14546" t="s">
        <v>403</v>
      </c>
      <c r="D14546">
        <v>25</v>
      </c>
      <c r="E14546">
        <v>5600</v>
      </c>
      <c r="F14546">
        <v>0</v>
      </c>
      <c r="G14546">
        <v>15</v>
      </c>
      <c r="H14546" t="s">
        <v>19</v>
      </c>
    </row>
    <row r="14547" spans="1:8" x14ac:dyDescent="0.25">
      <c r="A14547" t="str">
        <f>"&lt;nominal&gt;" &amp;$D$14546&amp;"&lt;/nominal&gt;"</f>
        <v>&lt;nominal&gt;25&lt;/nominal&gt;</v>
      </c>
      <c r="B14547" t="s">
        <v>1205</v>
      </c>
    </row>
    <row r="14548" spans="1:8" x14ac:dyDescent="0.25">
      <c r="A14548" t="str">
        <f>"&lt;lifetime&gt;" &amp;$E$14546&amp;"&lt;/lifetime&gt;"</f>
        <v>&lt;lifetime&gt;5600&lt;/lifetime&gt;</v>
      </c>
      <c r="B14548" t="s">
        <v>1205</v>
      </c>
    </row>
    <row r="14549" spans="1:8" x14ac:dyDescent="0.25">
      <c r="A14549" t="str">
        <f>"&lt;restock&gt;" &amp;$F$14546&amp;"&lt;/restock&gt;"</f>
        <v>&lt;restock&gt;0&lt;/restock&gt;</v>
      </c>
      <c r="B14549" t="s">
        <v>1205</v>
      </c>
    </row>
    <row r="14550" spans="1:8" x14ac:dyDescent="0.25">
      <c r="A14550" t="str">
        <f>"&lt;min&gt;" &amp;$G$14546&amp;"&lt;/min&gt;"</f>
        <v>&lt;min&gt;15&lt;/min&gt;</v>
      </c>
      <c r="B14550" t="s">
        <v>1205</v>
      </c>
    </row>
    <row r="14551" spans="1:8" x14ac:dyDescent="0.25">
      <c r="A14551" t="s">
        <v>16</v>
      </c>
      <c r="B14551" t="s">
        <v>1205</v>
      </c>
    </row>
    <row r="14552" spans="1:8" x14ac:dyDescent="0.25">
      <c r="A14552" t="s">
        <v>17</v>
      </c>
      <c r="B14552" t="s">
        <v>1205</v>
      </c>
    </row>
    <row r="14553" spans="1:8" x14ac:dyDescent="0.25">
      <c r="A14553" t="s">
        <v>18</v>
      </c>
      <c r="B14553" t="s">
        <v>1205</v>
      </c>
    </row>
    <row r="14554" spans="1:8" x14ac:dyDescent="0.25">
      <c r="A14554" t="str">
        <f xml:space="preserve"> $H$14546</f>
        <v>&lt;flags count_in_cargo="0" count_in_hoarder="0" count_in_map="1" count_in_player="0" crafted="0" deloot="0"/&gt;</v>
      </c>
      <c r="B14554" t="s">
        <v>1205</v>
      </c>
    </row>
    <row r="14555" spans="1:8" x14ac:dyDescent="0.25">
      <c r="A14555" t="str">
        <f>"&lt;category name=" &amp;"""" &amp;$C$14546&amp;"""/&gt;"</f>
        <v>&lt;category name="clothes"/&gt;</v>
      </c>
      <c r="B14555" t="s">
        <v>1205</v>
      </c>
    </row>
    <row r="14556" spans="1:8" x14ac:dyDescent="0.25">
      <c r="A14556" t="s">
        <v>25</v>
      </c>
      <c r="B14556" t="s">
        <v>1205</v>
      </c>
    </row>
    <row r="14557" spans="1:8" x14ac:dyDescent="0.25">
      <c r="A14557" t="s">
        <v>55</v>
      </c>
      <c r="B14557" t="s">
        <v>1205</v>
      </c>
    </row>
    <row r="14558" spans="1:8" x14ac:dyDescent="0.25">
      <c r="A14558" t="s">
        <v>56</v>
      </c>
      <c r="B14558" t="s">
        <v>1205</v>
      </c>
    </row>
    <row r="14559" spans="1:8" x14ac:dyDescent="0.25">
      <c r="A14559" t="s">
        <v>40</v>
      </c>
      <c r="B14559" t="s">
        <v>1205</v>
      </c>
    </row>
    <row r="14560" spans="1:8" x14ac:dyDescent="0.25">
      <c r="A14560" t="s">
        <v>22</v>
      </c>
      <c r="B14560" t="s">
        <v>1205</v>
      </c>
    </row>
    <row r="14561" spans="1:8" x14ac:dyDescent="0.25">
      <c r="A14561" t="s">
        <v>2514</v>
      </c>
      <c r="B14561" t="s">
        <v>1206</v>
      </c>
      <c r="C14561" t="s">
        <v>403</v>
      </c>
      <c r="D14561">
        <v>25</v>
      </c>
      <c r="E14561">
        <v>5600</v>
      </c>
      <c r="F14561">
        <v>0</v>
      </c>
      <c r="G14561">
        <v>15</v>
      </c>
      <c r="H14561" t="s">
        <v>19</v>
      </c>
    </row>
    <row r="14562" spans="1:8" x14ac:dyDescent="0.25">
      <c r="A14562" t="str">
        <f>"&lt;nominal&gt;" &amp;$D$14561&amp;"&lt;/nominal&gt;"</f>
        <v>&lt;nominal&gt;25&lt;/nominal&gt;</v>
      </c>
      <c r="B14562" t="s">
        <v>1206</v>
      </c>
    </row>
    <row r="14563" spans="1:8" x14ac:dyDescent="0.25">
      <c r="A14563" t="str">
        <f>"&lt;lifetime&gt;" &amp;$E$14561&amp;"&lt;/lifetime&gt;"</f>
        <v>&lt;lifetime&gt;5600&lt;/lifetime&gt;</v>
      </c>
      <c r="B14563" t="s">
        <v>1206</v>
      </c>
    </row>
    <row r="14564" spans="1:8" x14ac:dyDescent="0.25">
      <c r="A14564" t="str">
        <f>"&lt;restock&gt;" &amp;$F$14561&amp;"&lt;/restock&gt;"</f>
        <v>&lt;restock&gt;0&lt;/restock&gt;</v>
      </c>
      <c r="B14564" t="s">
        <v>1206</v>
      </c>
    </row>
    <row r="14565" spans="1:8" x14ac:dyDescent="0.25">
      <c r="A14565" t="str">
        <f>"&lt;min&gt;" &amp;$G$14561&amp;"&lt;/min&gt;"</f>
        <v>&lt;min&gt;15&lt;/min&gt;</v>
      </c>
      <c r="B14565" t="s">
        <v>1206</v>
      </c>
    </row>
    <row r="14566" spans="1:8" x14ac:dyDescent="0.25">
      <c r="A14566" t="s">
        <v>16</v>
      </c>
      <c r="B14566" t="s">
        <v>1206</v>
      </c>
    </row>
    <row r="14567" spans="1:8" x14ac:dyDescent="0.25">
      <c r="A14567" t="s">
        <v>17</v>
      </c>
      <c r="B14567" t="s">
        <v>1206</v>
      </c>
    </row>
    <row r="14568" spans="1:8" x14ac:dyDescent="0.25">
      <c r="A14568" t="s">
        <v>18</v>
      </c>
      <c r="B14568" t="s">
        <v>1206</v>
      </c>
    </row>
    <row r="14569" spans="1:8" x14ac:dyDescent="0.25">
      <c r="A14569" t="str">
        <f xml:space="preserve"> $H$14561</f>
        <v>&lt;flags count_in_cargo="0" count_in_hoarder="0" count_in_map="1" count_in_player="0" crafted="0" deloot="0"/&gt;</v>
      </c>
      <c r="B14569" t="s">
        <v>1206</v>
      </c>
    </row>
    <row r="14570" spans="1:8" x14ac:dyDescent="0.25">
      <c r="A14570" t="str">
        <f>"&lt;category name=" &amp;"""" &amp;$C$14561&amp;"""/&gt;"</f>
        <v>&lt;category name="clothes"/&gt;</v>
      </c>
      <c r="B14570" t="s">
        <v>1206</v>
      </c>
    </row>
    <row r="14571" spans="1:8" x14ac:dyDescent="0.25">
      <c r="A14571" t="s">
        <v>25</v>
      </c>
      <c r="B14571" t="s">
        <v>1206</v>
      </c>
    </row>
    <row r="14572" spans="1:8" x14ac:dyDescent="0.25">
      <c r="A14572" t="s">
        <v>55</v>
      </c>
      <c r="B14572" t="s">
        <v>1206</v>
      </c>
    </row>
    <row r="14573" spans="1:8" x14ac:dyDescent="0.25">
      <c r="A14573" t="s">
        <v>56</v>
      </c>
      <c r="B14573" t="s">
        <v>1206</v>
      </c>
    </row>
    <row r="14574" spans="1:8" x14ac:dyDescent="0.25">
      <c r="A14574" t="s">
        <v>40</v>
      </c>
      <c r="B14574" t="s">
        <v>1206</v>
      </c>
    </row>
    <row r="14575" spans="1:8" x14ac:dyDescent="0.25">
      <c r="A14575" t="s">
        <v>22</v>
      </c>
      <c r="B14575" t="s">
        <v>1206</v>
      </c>
    </row>
    <row r="14576" spans="1:8" x14ac:dyDescent="0.25">
      <c r="A14576" t="s">
        <v>2515</v>
      </c>
      <c r="B14576" t="s">
        <v>1207</v>
      </c>
      <c r="C14576" t="s">
        <v>403</v>
      </c>
      <c r="D14576">
        <v>25</v>
      </c>
      <c r="E14576">
        <v>5600</v>
      </c>
      <c r="F14576">
        <v>0</v>
      </c>
      <c r="G14576">
        <v>15</v>
      </c>
      <c r="H14576" t="s">
        <v>19</v>
      </c>
    </row>
    <row r="14577" spans="1:8" x14ac:dyDescent="0.25">
      <c r="A14577" t="str">
        <f>"&lt;nominal&gt;" &amp;$D$14576&amp;"&lt;/nominal&gt;"</f>
        <v>&lt;nominal&gt;25&lt;/nominal&gt;</v>
      </c>
      <c r="B14577" t="s">
        <v>1207</v>
      </c>
    </row>
    <row r="14578" spans="1:8" x14ac:dyDescent="0.25">
      <c r="A14578" t="str">
        <f>"&lt;lifetime&gt;" &amp;$E$14576&amp;"&lt;/lifetime&gt;"</f>
        <v>&lt;lifetime&gt;5600&lt;/lifetime&gt;</v>
      </c>
      <c r="B14578" t="s">
        <v>1207</v>
      </c>
    </row>
    <row r="14579" spans="1:8" x14ac:dyDescent="0.25">
      <c r="A14579" t="str">
        <f>"&lt;restock&gt;" &amp;$F$14576&amp;"&lt;/restock&gt;"</f>
        <v>&lt;restock&gt;0&lt;/restock&gt;</v>
      </c>
      <c r="B14579" t="s">
        <v>1207</v>
      </c>
    </row>
    <row r="14580" spans="1:8" x14ac:dyDescent="0.25">
      <c r="A14580" t="str">
        <f>"&lt;min&gt;" &amp;$G$14576&amp;"&lt;/min&gt;"</f>
        <v>&lt;min&gt;15&lt;/min&gt;</v>
      </c>
      <c r="B14580" t="s">
        <v>1207</v>
      </c>
    </row>
    <row r="14581" spans="1:8" x14ac:dyDescent="0.25">
      <c r="A14581" t="s">
        <v>16</v>
      </c>
      <c r="B14581" t="s">
        <v>1207</v>
      </c>
    </row>
    <row r="14582" spans="1:8" x14ac:dyDescent="0.25">
      <c r="A14582" t="s">
        <v>17</v>
      </c>
      <c r="B14582" t="s">
        <v>1207</v>
      </c>
    </row>
    <row r="14583" spans="1:8" x14ac:dyDescent="0.25">
      <c r="A14583" t="s">
        <v>18</v>
      </c>
      <c r="B14583" t="s">
        <v>1207</v>
      </c>
    </row>
    <row r="14584" spans="1:8" x14ac:dyDescent="0.25">
      <c r="A14584" t="str">
        <f xml:space="preserve"> $H$14576</f>
        <v>&lt;flags count_in_cargo="0" count_in_hoarder="0" count_in_map="1" count_in_player="0" crafted="0" deloot="0"/&gt;</v>
      </c>
      <c r="B14584" t="s">
        <v>1207</v>
      </c>
    </row>
    <row r="14585" spans="1:8" x14ac:dyDescent="0.25">
      <c r="A14585" t="str">
        <f>"&lt;category name=" &amp;"""" &amp;$C$14576&amp;"""/&gt;"</f>
        <v>&lt;category name="clothes"/&gt;</v>
      </c>
      <c r="B14585" t="s">
        <v>1207</v>
      </c>
    </row>
    <row r="14586" spans="1:8" x14ac:dyDescent="0.25">
      <c r="A14586" t="s">
        <v>25</v>
      </c>
      <c r="B14586" t="s">
        <v>1207</v>
      </c>
    </row>
    <row r="14587" spans="1:8" x14ac:dyDescent="0.25">
      <c r="A14587" t="s">
        <v>55</v>
      </c>
      <c r="B14587" t="s">
        <v>1207</v>
      </c>
    </row>
    <row r="14588" spans="1:8" x14ac:dyDescent="0.25">
      <c r="A14588" t="s">
        <v>56</v>
      </c>
      <c r="B14588" t="s">
        <v>1207</v>
      </c>
    </row>
    <row r="14589" spans="1:8" x14ac:dyDescent="0.25">
      <c r="A14589" t="s">
        <v>40</v>
      </c>
      <c r="B14589" t="s">
        <v>1207</v>
      </c>
    </row>
    <row r="14590" spans="1:8" x14ac:dyDescent="0.25">
      <c r="A14590" t="s">
        <v>22</v>
      </c>
      <c r="B14590" t="s">
        <v>1207</v>
      </c>
    </row>
    <row r="14591" spans="1:8" x14ac:dyDescent="0.25">
      <c r="A14591" t="s">
        <v>2516</v>
      </c>
      <c r="B14591" t="s">
        <v>1208</v>
      </c>
      <c r="C14591" t="s">
        <v>403</v>
      </c>
      <c r="D14591">
        <v>25</v>
      </c>
      <c r="E14591">
        <v>7200</v>
      </c>
      <c r="F14591">
        <v>0</v>
      </c>
      <c r="G14591">
        <v>15</v>
      </c>
      <c r="H14591" t="s">
        <v>19</v>
      </c>
    </row>
    <row r="14592" spans="1:8" x14ac:dyDescent="0.25">
      <c r="A14592" t="str">
        <f>"&lt;nominal&gt;" &amp;$D$14591&amp;"&lt;/nominal&gt;"</f>
        <v>&lt;nominal&gt;25&lt;/nominal&gt;</v>
      </c>
      <c r="B14592" t="s">
        <v>1208</v>
      </c>
    </row>
    <row r="14593" spans="1:8" x14ac:dyDescent="0.25">
      <c r="A14593" t="str">
        <f>"&lt;lifetime&gt;" &amp;$E$14591&amp;"&lt;/lifetime&gt;"</f>
        <v>&lt;lifetime&gt;7200&lt;/lifetime&gt;</v>
      </c>
      <c r="B14593" t="s">
        <v>1208</v>
      </c>
    </row>
    <row r="14594" spans="1:8" x14ac:dyDescent="0.25">
      <c r="A14594" t="str">
        <f>"&lt;restock&gt;" &amp;$F$14591&amp;"&lt;/restock&gt;"</f>
        <v>&lt;restock&gt;0&lt;/restock&gt;</v>
      </c>
      <c r="B14594" t="s">
        <v>1208</v>
      </c>
    </row>
    <row r="14595" spans="1:8" x14ac:dyDescent="0.25">
      <c r="A14595" t="str">
        <f>"&lt;min&gt;" &amp;$G$14591&amp;"&lt;/min&gt;"</f>
        <v>&lt;min&gt;15&lt;/min&gt;</v>
      </c>
      <c r="B14595" t="s">
        <v>1208</v>
      </c>
    </row>
    <row r="14596" spans="1:8" x14ac:dyDescent="0.25">
      <c r="A14596" t="s">
        <v>16</v>
      </c>
      <c r="B14596" t="s">
        <v>1208</v>
      </c>
    </row>
    <row r="14597" spans="1:8" x14ac:dyDescent="0.25">
      <c r="A14597" t="s">
        <v>17</v>
      </c>
      <c r="B14597" t="s">
        <v>1208</v>
      </c>
    </row>
    <row r="14598" spans="1:8" x14ac:dyDescent="0.25">
      <c r="A14598" t="s">
        <v>18</v>
      </c>
      <c r="B14598" t="s">
        <v>1208</v>
      </c>
    </row>
    <row r="14599" spans="1:8" x14ac:dyDescent="0.25">
      <c r="A14599" t="str">
        <f xml:space="preserve"> $H$14591</f>
        <v>&lt;flags count_in_cargo="0" count_in_hoarder="0" count_in_map="1" count_in_player="0" crafted="0" deloot="0"/&gt;</v>
      </c>
      <c r="B14599" t="s">
        <v>1208</v>
      </c>
    </row>
    <row r="14600" spans="1:8" x14ac:dyDescent="0.25">
      <c r="A14600" t="str">
        <f>"&lt;category name=" &amp;"""" &amp;$C$14591&amp;"""/&gt;"</f>
        <v>&lt;category name="clothes"/&gt;</v>
      </c>
      <c r="B14600" t="s">
        <v>1208</v>
      </c>
    </row>
    <row r="14601" spans="1:8" x14ac:dyDescent="0.25">
      <c r="A14601" t="s">
        <v>55</v>
      </c>
      <c r="B14601" t="s">
        <v>1208</v>
      </c>
    </row>
    <row r="14602" spans="1:8" x14ac:dyDescent="0.25">
      <c r="A14602" t="s">
        <v>56</v>
      </c>
      <c r="B14602" t="s">
        <v>1208</v>
      </c>
    </row>
    <row r="14603" spans="1:8" x14ac:dyDescent="0.25">
      <c r="A14603" t="s">
        <v>22</v>
      </c>
      <c r="B14603" t="s">
        <v>1208</v>
      </c>
    </row>
    <row r="14604" spans="1:8" x14ac:dyDescent="0.25">
      <c r="A14604" t="s">
        <v>2517</v>
      </c>
      <c r="B14604" t="s">
        <v>1209</v>
      </c>
      <c r="C14604" t="s">
        <v>403</v>
      </c>
      <c r="D14604">
        <v>25</v>
      </c>
      <c r="E14604">
        <v>7200</v>
      </c>
      <c r="F14604">
        <v>0</v>
      </c>
      <c r="G14604">
        <v>15</v>
      </c>
      <c r="H14604" t="s">
        <v>19</v>
      </c>
    </row>
    <row r="14605" spans="1:8" x14ac:dyDescent="0.25">
      <c r="A14605" t="str">
        <f>"&lt;nominal&gt;" &amp;$D$14604&amp;"&lt;/nominal&gt;"</f>
        <v>&lt;nominal&gt;25&lt;/nominal&gt;</v>
      </c>
      <c r="B14605" t="s">
        <v>1209</v>
      </c>
    </row>
    <row r="14606" spans="1:8" x14ac:dyDescent="0.25">
      <c r="A14606" t="str">
        <f>"&lt;lifetime&gt;" &amp;$E$14604&amp;"&lt;/lifetime&gt;"</f>
        <v>&lt;lifetime&gt;7200&lt;/lifetime&gt;</v>
      </c>
      <c r="B14606" t="s">
        <v>1209</v>
      </c>
    </row>
    <row r="14607" spans="1:8" x14ac:dyDescent="0.25">
      <c r="A14607" t="str">
        <f>"&lt;restock&gt;" &amp;$F$14604&amp;"&lt;/restock&gt;"</f>
        <v>&lt;restock&gt;0&lt;/restock&gt;</v>
      </c>
      <c r="B14607" t="s">
        <v>1209</v>
      </c>
    </row>
    <row r="14608" spans="1:8" x14ac:dyDescent="0.25">
      <c r="A14608" t="str">
        <f>"&lt;min&gt;" &amp;$G$14604&amp;"&lt;/min&gt;"</f>
        <v>&lt;min&gt;15&lt;/min&gt;</v>
      </c>
      <c r="B14608" t="s">
        <v>1209</v>
      </c>
    </row>
    <row r="14609" spans="1:8" x14ac:dyDescent="0.25">
      <c r="A14609" t="s">
        <v>16</v>
      </c>
      <c r="B14609" t="s">
        <v>1209</v>
      </c>
    </row>
    <row r="14610" spans="1:8" x14ac:dyDescent="0.25">
      <c r="A14610" t="s">
        <v>17</v>
      </c>
      <c r="B14610" t="s">
        <v>1209</v>
      </c>
    </row>
    <row r="14611" spans="1:8" x14ac:dyDescent="0.25">
      <c r="A14611" t="s">
        <v>18</v>
      </c>
      <c r="B14611" t="s">
        <v>1209</v>
      </c>
    </row>
    <row r="14612" spans="1:8" x14ac:dyDescent="0.25">
      <c r="A14612" t="str">
        <f xml:space="preserve"> $H$14604</f>
        <v>&lt;flags count_in_cargo="0" count_in_hoarder="0" count_in_map="1" count_in_player="0" crafted="0" deloot="0"/&gt;</v>
      </c>
      <c r="B14612" t="s">
        <v>1209</v>
      </c>
    </row>
    <row r="14613" spans="1:8" x14ac:dyDescent="0.25">
      <c r="A14613" t="str">
        <f>"&lt;category name=" &amp;"""" &amp;$C$14604&amp;"""/&gt;"</f>
        <v>&lt;category name="clothes"/&gt;</v>
      </c>
      <c r="B14613" t="s">
        <v>1209</v>
      </c>
    </row>
    <row r="14614" spans="1:8" x14ac:dyDescent="0.25">
      <c r="A14614" t="s">
        <v>55</v>
      </c>
      <c r="B14614" t="s">
        <v>1209</v>
      </c>
    </row>
    <row r="14615" spans="1:8" x14ac:dyDescent="0.25">
      <c r="A14615" t="s">
        <v>56</v>
      </c>
      <c r="B14615" t="s">
        <v>1209</v>
      </c>
    </row>
    <row r="14616" spans="1:8" x14ac:dyDescent="0.25">
      <c r="A14616" t="s">
        <v>22</v>
      </c>
      <c r="B14616" t="s">
        <v>1209</v>
      </c>
    </row>
    <row r="14617" spans="1:8" x14ac:dyDescent="0.25">
      <c r="A14617" t="s">
        <v>2518</v>
      </c>
      <c r="B14617" t="s">
        <v>1210</v>
      </c>
      <c r="C14617" t="s">
        <v>403</v>
      </c>
      <c r="D14617">
        <v>25</v>
      </c>
      <c r="E14617">
        <v>7200</v>
      </c>
      <c r="F14617">
        <v>0</v>
      </c>
      <c r="G14617">
        <v>15</v>
      </c>
      <c r="H14617" t="s">
        <v>19</v>
      </c>
    </row>
    <row r="14618" spans="1:8" x14ac:dyDescent="0.25">
      <c r="A14618" t="str">
        <f>"&lt;nominal&gt;" &amp;$D$14617&amp;"&lt;/nominal&gt;"</f>
        <v>&lt;nominal&gt;25&lt;/nominal&gt;</v>
      </c>
      <c r="B14618" t="s">
        <v>1210</v>
      </c>
    </row>
    <row r="14619" spans="1:8" x14ac:dyDescent="0.25">
      <c r="A14619" t="str">
        <f>"&lt;lifetime&gt;" &amp;$E$14617&amp;"&lt;/lifetime&gt;"</f>
        <v>&lt;lifetime&gt;7200&lt;/lifetime&gt;</v>
      </c>
      <c r="B14619" t="s">
        <v>1210</v>
      </c>
    </row>
    <row r="14620" spans="1:8" x14ac:dyDescent="0.25">
      <c r="A14620" t="str">
        <f>"&lt;restock&gt;" &amp;$F$14617&amp;"&lt;/restock&gt;"</f>
        <v>&lt;restock&gt;0&lt;/restock&gt;</v>
      </c>
      <c r="B14620" t="s">
        <v>1210</v>
      </c>
    </row>
    <row r="14621" spans="1:8" x14ac:dyDescent="0.25">
      <c r="A14621" t="str">
        <f>"&lt;min&gt;" &amp;$G$14617&amp;"&lt;/min&gt;"</f>
        <v>&lt;min&gt;15&lt;/min&gt;</v>
      </c>
      <c r="B14621" t="s">
        <v>1210</v>
      </c>
    </row>
    <row r="14622" spans="1:8" x14ac:dyDescent="0.25">
      <c r="A14622" t="s">
        <v>16</v>
      </c>
      <c r="B14622" t="s">
        <v>1210</v>
      </c>
    </row>
    <row r="14623" spans="1:8" x14ac:dyDescent="0.25">
      <c r="A14623" t="s">
        <v>17</v>
      </c>
      <c r="B14623" t="s">
        <v>1210</v>
      </c>
    </row>
    <row r="14624" spans="1:8" x14ac:dyDescent="0.25">
      <c r="A14624" t="s">
        <v>18</v>
      </c>
      <c r="B14624" t="s">
        <v>1210</v>
      </c>
    </row>
    <row r="14625" spans="1:8" x14ac:dyDescent="0.25">
      <c r="A14625" t="str">
        <f xml:space="preserve"> $H$14617</f>
        <v>&lt;flags count_in_cargo="0" count_in_hoarder="0" count_in_map="1" count_in_player="0" crafted="0" deloot="0"/&gt;</v>
      </c>
      <c r="B14625" t="s">
        <v>1210</v>
      </c>
    </row>
    <row r="14626" spans="1:8" x14ac:dyDescent="0.25">
      <c r="A14626" t="str">
        <f>"&lt;category name=" &amp;"""" &amp;$C$14617&amp;"""/&gt;"</f>
        <v>&lt;category name="clothes"/&gt;</v>
      </c>
      <c r="B14626" t="s">
        <v>1210</v>
      </c>
    </row>
    <row r="14627" spans="1:8" x14ac:dyDescent="0.25">
      <c r="A14627" t="s">
        <v>55</v>
      </c>
      <c r="B14627" t="s">
        <v>1210</v>
      </c>
    </row>
    <row r="14628" spans="1:8" x14ac:dyDescent="0.25">
      <c r="A14628" t="s">
        <v>56</v>
      </c>
      <c r="B14628" t="s">
        <v>1210</v>
      </c>
    </row>
    <row r="14629" spans="1:8" x14ac:dyDescent="0.25">
      <c r="A14629" t="s">
        <v>22</v>
      </c>
      <c r="B14629" t="s">
        <v>1210</v>
      </c>
    </row>
    <row r="14630" spans="1:8" x14ac:dyDescent="0.25">
      <c r="A14630" t="s">
        <v>2519</v>
      </c>
      <c r="B14630" t="s">
        <v>1211</v>
      </c>
      <c r="C14630" t="s">
        <v>403</v>
      </c>
      <c r="D14630">
        <v>25</v>
      </c>
      <c r="E14630">
        <v>7200</v>
      </c>
      <c r="F14630">
        <v>0</v>
      </c>
      <c r="G14630">
        <v>15</v>
      </c>
      <c r="H14630" t="s">
        <v>19</v>
      </c>
    </row>
    <row r="14631" spans="1:8" x14ac:dyDescent="0.25">
      <c r="A14631" t="str">
        <f>"&lt;nominal&gt;" &amp;$D$14630&amp;"&lt;/nominal&gt;"</f>
        <v>&lt;nominal&gt;25&lt;/nominal&gt;</v>
      </c>
      <c r="B14631" t="s">
        <v>1211</v>
      </c>
    </row>
    <row r="14632" spans="1:8" x14ac:dyDescent="0.25">
      <c r="A14632" t="str">
        <f>"&lt;lifetime&gt;" &amp;$E$14630&amp;"&lt;/lifetime&gt;"</f>
        <v>&lt;lifetime&gt;7200&lt;/lifetime&gt;</v>
      </c>
      <c r="B14632" t="s">
        <v>1211</v>
      </c>
    </row>
    <row r="14633" spans="1:8" x14ac:dyDescent="0.25">
      <c r="A14633" t="str">
        <f>"&lt;restock&gt;" &amp;$F$14630&amp;"&lt;/restock&gt;"</f>
        <v>&lt;restock&gt;0&lt;/restock&gt;</v>
      </c>
      <c r="B14633" t="s">
        <v>1211</v>
      </c>
    </row>
    <row r="14634" spans="1:8" x14ac:dyDescent="0.25">
      <c r="A14634" t="str">
        <f>"&lt;min&gt;" &amp;$G$14630&amp;"&lt;/min&gt;"</f>
        <v>&lt;min&gt;15&lt;/min&gt;</v>
      </c>
      <c r="B14634" t="s">
        <v>1211</v>
      </c>
    </row>
    <row r="14635" spans="1:8" x14ac:dyDescent="0.25">
      <c r="A14635" t="s">
        <v>16</v>
      </c>
      <c r="B14635" t="s">
        <v>1211</v>
      </c>
    </row>
    <row r="14636" spans="1:8" x14ac:dyDescent="0.25">
      <c r="A14636" t="s">
        <v>17</v>
      </c>
      <c r="B14636" t="s">
        <v>1211</v>
      </c>
    </row>
    <row r="14637" spans="1:8" x14ac:dyDescent="0.25">
      <c r="A14637" t="s">
        <v>18</v>
      </c>
      <c r="B14637" t="s">
        <v>1211</v>
      </c>
    </row>
    <row r="14638" spans="1:8" x14ac:dyDescent="0.25">
      <c r="A14638" t="str">
        <f xml:space="preserve"> $H$14630</f>
        <v>&lt;flags count_in_cargo="0" count_in_hoarder="0" count_in_map="1" count_in_player="0" crafted="0" deloot="0"/&gt;</v>
      </c>
      <c r="B14638" t="s">
        <v>1211</v>
      </c>
    </row>
    <row r="14639" spans="1:8" x14ac:dyDescent="0.25">
      <c r="A14639" t="str">
        <f>"&lt;category name=" &amp;"""" &amp;$C$14630&amp;"""/&gt;"</f>
        <v>&lt;category name="clothes"/&gt;</v>
      </c>
      <c r="B14639" t="s">
        <v>1211</v>
      </c>
    </row>
    <row r="14640" spans="1:8" x14ac:dyDescent="0.25">
      <c r="A14640" t="s">
        <v>55</v>
      </c>
      <c r="B14640" t="s">
        <v>1211</v>
      </c>
    </row>
    <row r="14641" spans="1:8" x14ac:dyDescent="0.25">
      <c r="A14641" t="s">
        <v>56</v>
      </c>
      <c r="B14641" t="s">
        <v>1211</v>
      </c>
    </row>
    <row r="14642" spans="1:8" x14ac:dyDescent="0.25">
      <c r="A14642" t="s">
        <v>22</v>
      </c>
      <c r="B14642" t="s">
        <v>1211</v>
      </c>
    </row>
    <row r="14643" spans="1:8" x14ac:dyDescent="0.25">
      <c r="A14643" t="s">
        <v>2520</v>
      </c>
      <c r="B14643" t="s">
        <v>3482</v>
      </c>
      <c r="D14643">
        <v>0</v>
      </c>
      <c r="E14643">
        <v>5600</v>
      </c>
      <c r="F14643">
        <v>0</v>
      </c>
      <c r="G14643">
        <v>0</v>
      </c>
      <c r="H14643" t="s">
        <v>19</v>
      </c>
    </row>
    <row r="14644" spans="1:8" x14ac:dyDescent="0.25">
      <c r="A14644" t="str">
        <f>"&lt;nominal&gt;" &amp;$D$14643&amp;"&lt;/nominal&gt;"</f>
        <v>&lt;nominal&gt;0&lt;/nominal&gt;</v>
      </c>
      <c r="B14644" t="s">
        <v>3482</v>
      </c>
    </row>
    <row r="14645" spans="1:8" x14ac:dyDescent="0.25">
      <c r="A14645" t="str">
        <f>"&lt;lifetime&gt;" &amp;$E$14643&amp;"&lt;/lifetime&gt;"</f>
        <v>&lt;lifetime&gt;5600&lt;/lifetime&gt;</v>
      </c>
      <c r="B14645" t="s">
        <v>3482</v>
      </c>
    </row>
    <row r="14646" spans="1:8" x14ac:dyDescent="0.25">
      <c r="A14646" t="str">
        <f>"&lt;restock&gt;" &amp;$F$14643&amp;"&lt;/restock&gt;"</f>
        <v>&lt;restock&gt;0&lt;/restock&gt;</v>
      </c>
      <c r="B14646" t="s">
        <v>3482</v>
      </c>
    </row>
    <row r="14647" spans="1:8" x14ac:dyDescent="0.25">
      <c r="A14647" t="str">
        <f>"&lt;min&gt;" &amp;$G$14643&amp;"&lt;/min&gt;"</f>
        <v>&lt;min&gt;0&lt;/min&gt;</v>
      </c>
      <c r="B14647" t="s">
        <v>3482</v>
      </c>
    </row>
    <row r="14648" spans="1:8" x14ac:dyDescent="0.25">
      <c r="A14648" t="s">
        <v>16</v>
      </c>
      <c r="B14648" t="s">
        <v>3482</v>
      </c>
    </row>
    <row r="14649" spans="1:8" x14ac:dyDescent="0.25">
      <c r="A14649" t="s">
        <v>17</v>
      </c>
      <c r="B14649" t="s">
        <v>3482</v>
      </c>
    </row>
    <row r="14650" spans="1:8" x14ac:dyDescent="0.25">
      <c r="A14650" t="s">
        <v>18</v>
      </c>
      <c r="B14650" t="s">
        <v>3482</v>
      </c>
    </row>
    <row r="14651" spans="1:8" x14ac:dyDescent="0.25">
      <c r="A14651" t="str">
        <f xml:space="preserve"> $H$14643</f>
        <v>&lt;flags count_in_cargo="0" count_in_hoarder="0" count_in_map="1" count_in_player="0" crafted="0" deloot="0"/&gt;</v>
      </c>
      <c r="B14651" t="s">
        <v>3482</v>
      </c>
    </row>
    <row r="14652" spans="1:8" x14ac:dyDescent="0.25">
      <c r="A14652" t="s">
        <v>22</v>
      </c>
      <c r="B14652" t="s">
        <v>3482</v>
      </c>
    </row>
    <row r="14653" spans="1:8" x14ac:dyDescent="0.25">
      <c r="A14653" t="s">
        <v>2521</v>
      </c>
      <c r="B14653" t="s">
        <v>3483</v>
      </c>
      <c r="D14653">
        <v>0</v>
      </c>
      <c r="E14653">
        <v>5600</v>
      </c>
      <c r="F14653">
        <v>0</v>
      </c>
      <c r="G14653">
        <v>0</v>
      </c>
      <c r="H14653" t="s">
        <v>19</v>
      </c>
    </row>
    <row r="14654" spans="1:8" x14ac:dyDescent="0.25">
      <c r="A14654" t="str">
        <f>"&lt;nominal&gt;" &amp;$D$14653&amp;"&lt;/nominal&gt;"</f>
        <v>&lt;nominal&gt;0&lt;/nominal&gt;</v>
      </c>
      <c r="B14654" t="s">
        <v>3483</v>
      </c>
    </row>
    <row r="14655" spans="1:8" x14ac:dyDescent="0.25">
      <c r="A14655" t="str">
        <f>"&lt;lifetime&gt;" &amp;$E$14653&amp;"&lt;/lifetime&gt;"</f>
        <v>&lt;lifetime&gt;5600&lt;/lifetime&gt;</v>
      </c>
      <c r="B14655" t="s">
        <v>3483</v>
      </c>
    </row>
    <row r="14656" spans="1:8" x14ac:dyDescent="0.25">
      <c r="A14656" t="str">
        <f>"&lt;restock&gt;" &amp;$F$14653&amp;"&lt;/restock&gt;"</f>
        <v>&lt;restock&gt;0&lt;/restock&gt;</v>
      </c>
      <c r="B14656" t="s">
        <v>3483</v>
      </c>
    </row>
    <row r="14657" spans="1:8" x14ac:dyDescent="0.25">
      <c r="A14657" t="str">
        <f>"&lt;min&gt;" &amp;$G$14653&amp;"&lt;/min&gt;"</f>
        <v>&lt;min&gt;0&lt;/min&gt;</v>
      </c>
      <c r="B14657" t="s">
        <v>3483</v>
      </c>
    </row>
    <row r="14658" spans="1:8" x14ac:dyDescent="0.25">
      <c r="A14658" t="s">
        <v>16</v>
      </c>
      <c r="B14658" t="s">
        <v>3483</v>
      </c>
    </row>
    <row r="14659" spans="1:8" x14ac:dyDescent="0.25">
      <c r="A14659" t="s">
        <v>17</v>
      </c>
      <c r="B14659" t="s">
        <v>3483</v>
      </c>
    </row>
    <row r="14660" spans="1:8" x14ac:dyDescent="0.25">
      <c r="A14660" t="s">
        <v>18</v>
      </c>
      <c r="B14660" t="s">
        <v>3483</v>
      </c>
    </row>
    <row r="14661" spans="1:8" x14ac:dyDescent="0.25">
      <c r="A14661" t="str">
        <f xml:space="preserve"> $H$14653</f>
        <v>&lt;flags count_in_cargo="0" count_in_hoarder="0" count_in_map="1" count_in_player="0" crafted="0" deloot="0"/&gt;</v>
      </c>
      <c r="B14661" t="s">
        <v>3483</v>
      </c>
    </row>
    <row r="14662" spans="1:8" x14ac:dyDescent="0.25">
      <c r="A14662" t="s">
        <v>22</v>
      </c>
      <c r="B14662" t="s">
        <v>3483</v>
      </c>
    </row>
    <row r="14663" spans="1:8" x14ac:dyDescent="0.25">
      <c r="A14663" t="s">
        <v>2522</v>
      </c>
      <c r="B14663" t="s">
        <v>1212</v>
      </c>
      <c r="C14663" t="s">
        <v>426</v>
      </c>
      <c r="D14663">
        <v>70</v>
      </c>
      <c r="E14663">
        <v>7200</v>
      </c>
      <c r="F14663">
        <v>0</v>
      </c>
      <c r="G14663">
        <v>50</v>
      </c>
      <c r="H14663" t="s">
        <v>19</v>
      </c>
    </row>
    <row r="14664" spans="1:8" x14ac:dyDescent="0.25">
      <c r="A14664" t="str">
        <f>"&lt;nominal&gt;" &amp;$D$14663&amp;"&lt;/nominal&gt;"</f>
        <v>&lt;nominal&gt;70&lt;/nominal&gt;</v>
      </c>
      <c r="B14664" t="s">
        <v>1212</v>
      </c>
    </row>
    <row r="14665" spans="1:8" x14ac:dyDescent="0.25">
      <c r="A14665" t="str">
        <f>"&lt;lifetime&gt;" &amp;$E$14663&amp;"&lt;/lifetime&gt;"</f>
        <v>&lt;lifetime&gt;7200&lt;/lifetime&gt;</v>
      </c>
      <c r="B14665" t="s">
        <v>1212</v>
      </c>
    </row>
    <row r="14666" spans="1:8" x14ac:dyDescent="0.25">
      <c r="A14666" t="str">
        <f>"&lt;restock&gt;" &amp;$F$14663&amp;"&lt;/restock&gt;"</f>
        <v>&lt;restock&gt;0&lt;/restock&gt;</v>
      </c>
      <c r="B14666" t="s">
        <v>1212</v>
      </c>
    </row>
    <row r="14667" spans="1:8" x14ac:dyDescent="0.25">
      <c r="A14667" t="str">
        <f>"&lt;min&gt;" &amp;$G$14663&amp;"&lt;/min&gt;"</f>
        <v>&lt;min&gt;50&lt;/min&gt;</v>
      </c>
      <c r="B14667" t="s">
        <v>1212</v>
      </c>
    </row>
    <row r="14668" spans="1:8" x14ac:dyDescent="0.25">
      <c r="A14668" t="s">
        <v>16</v>
      </c>
      <c r="B14668" t="s">
        <v>1212</v>
      </c>
    </row>
    <row r="14669" spans="1:8" x14ac:dyDescent="0.25">
      <c r="A14669" t="s">
        <v>17</v>
      </c>
      <c r="B14669" t="s">
        <v>1212</v>
      </c>
    </row>
    <row r="14670" spans="1:8" x14ac:dyDescent="0.25">
      <c r="A14670" t="s">
        <v>18</v>
      </c>
      <c r="B14670" t="s">
        <v>1212</v>
      </c>
    </row>
    <row r="14671" spans="1:8" x14ac:dyDescent="0.25">
      <c r="A14671" t="str">
        <f xml:space="preserve"> $H$14663</f>
        <v>&lt;flags count_in_cargo="0" count_in_hoarder="0" count_in_map="1" count_in_player="0" crafted="0" deloot="0"/&gt;</v>
      </c>
      <c r="B14671" t="s">
        <v>1212</v>
      </c>
    </row>
    <row r="14672" spans="1:8" x14ac:dyDescent="0.25">
      <c r="A14672" t="str">
        <f>"&lt;category name=" &amp;"""" &amp;$C$14663&amp;"""/&gt;"</f>
        <v>&lt;category name="tools"/&gt;</v>
      </c>
      <c r="B14672" t="s">
        <v>1212</v>
      </c>
    </row>
    <row r="14673" spans="1:8" x14ac:dyDescent="0.25">
      <c r="A14673" t="s">
        <v>55</v>
      </c>
      <c r="B14673" t="s">
        <v>1212</v>
      </c>
    </row>
    <row r="14674" spans="1:8" x14ac:dyDescent="0.25">
      <c r="A14674" t="s">
        <v>56</v>
      </c>
      <c r="B14674" t="s">
        <v>1212</v>
      </c>
    </row>
    <row r="14675" spans="1:8" x14ac:dyDescent="0.25">
      <c r="A14675" t="s">
        <v>40</v>
      </c>
      <c r="B14675" t="s">
        <v>1212</v>
      </c>
    </row>
    <row r="14676" spans="1:8" x14ac:dyDescent="0.25">
      <c r="A14676" t="s">
        <v>22</v>
      </c>
      <c r="B14676" t="s">
        <v>1212</v>
      </c>
    </row>
    <row r="14677" spans="1:8" x14ac:dyDescent="0.25">
      <c r="A14677" t="s">
        <v>2523</v>
      </c>
      <c r="B14677" t="s">
        <v>1213</v>
      </c>
      <c r="C14677" t="s">
        <v>426</v>
      </c>
      <c r="D14677">
        <v>60</v>
      </c>
      <c r="E14677">
        <v>7200</v>
      </c>
      <c r="F14677">
        <v>0</v>
      </c>
      <c r="G14677">
        <v>40</v>
      </c>
      <c r="H14677" t="s">
        <v>19</v>
      </c>
    </row>
    <row r="14678" spans="1:8" x14ac:dyDescent="0.25">
      <c r="A14678" t="str">
        <f>"&lt;nominal&gt;" &amp;$D$14677&amp;"&lt;/nominal&gt;"</f>
        <v>&lt;nominal&gt;60&lt;/nominal&gt;</v>
      </c>
      <c r="B14678" t="s">
        <v>1213</v>
      </c>
    </row>
    <row r="14679" spans="1:8" x14ac:dyDescent="0.25">
      <c r="A14679" t="str">
        <f>"&lt;lifetime&gt;" &amp;$E$14677&amp;"&lt;/lifetime&gt;"</f>
        <v>&lt;lifetime&gt;7200&lt;/lifetime&gt;</v>
      </c>
      <c r="B14679" t="s">
        <v>1213</v>
      </c>
    </row>
    <row r="14680" spans="1:8" x14ac:dyDescent="0.25">
      <c r="A14680" t="str">
        <f>"&lt;restock&gt;" &amp;$F$14677&amp;"&lt;/restock&gt;"</f>
        <v>&lt;restock&gt;0&lt;/restock&gt;</v>
      </c>
      <c r="B14680" t="s">
        <v>1213</v>
      </c>
    </row>
    <row r="14681" spans="1:8" x14ac:dyDescent="0.25">
      <c r="A14681" t="str">
        <f>"&lt;min&gt;" &amp;$G$14677&amp;"&lt;/min&gt;"</f>
        <v>&lt;min&gt;40&lt;/min&gt;</v>
      </c>
      <c r="B14681" t="s">
        <v>1213</v>
      </c>
    </row>
    <row r="14682" spans="1:8" x14ac:dyDescent="0.25">
      <c r="A14682" t="s">
        <v>16</v>
      </c>
      <c r="B14682" t="s">
        <v>1213</v>
      </c>
    </row>
    <row r="14683" spans="1:8" x14ac:dyDescent="0.25">
      <c r="A14683" t="s">
        <v>17</v>
      </c>
      <c r="B14683" t="s">
        <v>1213</v>
      </c>
    </row>
    <row r="14684" spans="1:8" x14ac:dyDescent="0.25">
      <c r="A14684" t="s">
        <v>18</v>
      </c>
      <c r="B14684" t="s">
        <v>1213</v>
      </c>
    </row>
    <row r="14685" spans="1:8" x14ac:dyDescent="0.25">
      <c r="A14685" t="str">
        <f xml:space="preserve"> $H$14677</f>
        <v>&lt;flags count_in_cargo="0" count_in_hoarder="0" count_in_map="1" count_in_player="0" crafted="0" deloot="0"/&gt;</v>
      </c>
      <c r="B14685" t="s">
        <v>1213</v>
      </c>
    </row>
    <row r="14686" spans="1:8" x14ac:dyDescent="0.25">
      <c r="A14686" t="str">
        <f>"&lt;category name=" &amp;"""" &amp;$C$14677&amp;"""/&gt;"</f>
        <v>&lt;category name="tools"/&gt;</v>
      </c>
      <c r="B14686" t="s">
        <v>1213</v>
      </c>
    </row>
    <row r="14687" spans="1:8" x14ac:dyDescent="0.25">
      <c r="A14687" t="s">
        <v>20</v>
      </c>
      <c r="B14687" t="s">
        <v>1213</v>
      </c>
    </row>
    <row r="14688" spans="1:8" x14ac:dyDescent="0.25">
      <c r="A14688" t="s">
        <v>39</v>
      </c>
      <c r="B14688" t="s">
        <v>1213</v>
      </c>
    </row>
    <row r="14689" spans="1:8" x14ac:dyDescent="0.25">
      <c r="A14689" t="s">
        <v>40</v>
      </c>
      <c r="B14689" t="s">
        <v>1213</v>
      </c>
    </row>
    <row r="14690" spans="1:8" x14ac:dyDescent="0.25">
      <c r="A14690" t="s">
        <v>22</v>
      </c>
      <c r="B14690" t="s">
        <v>1213</v>
      </c>
    </row>
    <row r="14691" spans="1:8" x14ac:dyDescent="0.25">
      <c r="A14691" t="s">
        <v>2524</v>
      </c>
      <c r="B14691" t="s">
        <v>1214</v>
      </c>
      <c r="C14691" t="s">
        <v>403</v>
      </c>
      <c r="D14691">
        <v>15</v>
      </c>
      <c r="E14691">
        <v>5600</v>
      </c>
      <c r="F14691">
        <v>0</v>
      </c>
      <c r="G14691">
        <v>10</v>
      </c>
      <c r="H14691" t="s">
        <v>19</v>
      </c>
    </row>
    <row r="14692" spans="1:8" x14ac:dyDescent="0.25">
      <c r="A14692" t="str">
        <f>"&lt;nominal&gt;" &amp;$D$14691&amp;"&lt;/nominal&gt;"</f>
        <v>&lt;nominal&gt;15&lt;/nominal&gt;</v>
      </c>
      <c r="B14692" t="s">
        <v>1214</v>
      </c>
    </row>
    <row r="14693" spans="1:8" x14ac:dyDescent="0.25">
      <c r="A14693" t="str">
        <f>"&lt;lifetime&gt;" &amp;$E$14691&amp;"&lt;/lifetime&gt;"</f>
        <v>&lt;lifetime&gt;5600&lt;/lifetime&gt;</v>
      </c>
      <c r="B14693" t="s">
        <v>1214</v>
      </c>
    </row>
    <row r="14694" spans="1:8" x14ac:dyDescent="0.25">
      <c r="A14694" t="str">
        <f>"&lt;restock&gt;" &amp;$F$14691&amp;"&lt;/restock&gt;"</f>
        <v>&lt;restock&gt;0&lt;/restock&gt;</v>
      </c>
      <c r="B14694" t="s">
        <v>1214</v>
      </c>
    </row>
    <row r="14695" spans="1:8" x14ac:dyDescent="0.25">
      <c r="A14695" t="str">
        <f>"&lt;min&gt;" &amp;$G$14691&amp;"&lt;/min&gt;"</f>
        <v>&lt;min&gt;10&lt;/min&gt;</v>
      </c>
      <c r="B14695" t="s">
        <v>1214</v>
      </c>
    </row>
    <row r="14696" spans="1:8" x14ac:dyDescent="0.25">
      <c r="A14696" t="s">
        <v>16</v>
      </c>
      <c r="B14696" t="s">
        <v>1214</v>
      </c>
    </row>
    <row r="14697" spans="1:8" x14ac:dyDescent="0.25">
      <c r="A14697" t="s">
        <v>17</v>
      </c>
      <c r="B14697" t="s">
        <v>1214</v>
      </c>
    </row>
    <row r="14698" spans="1:8" x14ac:dyDescent="0.25">
      <c r="A14698" t="s">
        <v>18</v>
      </c>
      <c r="B14698" t="s">
        <v>1214</v>
      </c>
    </row>
    <row r="14699" spans="1:8" x14ac:dyDescent="0.25">
      <c r="A14699" t="str">
        <f xml:space="preserve"> $H$14691</f>
        <v>&lt;flags count_in_cargo="0" count_in_hoarder="0" count_in_map="1" count_in_player="0" crafted="0" deloot="0"/&gt;</v>
      </c>
      <c r="B14699" t="s">
        <v>1214</v>
      </c>
    </row>
    <row r="14700" spans="1:8" x14ac:dyDescent="0.25">
      <c r="A14700" t="str">
        <f>"&lt;category name=" &amp;"""" &amp;$C$14691&amp;"""/&gt;"</f>
        <v>&lt;category name="clothes"/&gt;</v>
      </c>
      <c r="B14700" t="s">
        <v>1214</v>
      </c>
    </row>
    <row r="14701" spans="1:8" x14ac:dyDescent="0.25">
      <c r="A14701" t="s">
        <v>29</v>
      </c>
      <c r="B14701" t="s">
        <v>1214</v>
      </c>
    </row>
    <row r="14702" spans="1:8" x14ac:dyDescent="0.25">
      <c r="A14702" t="s">
        <v>31</v>
      </c>
      <c r="B14702" t="s">
        <v>1214</v>
      </c>
    </row>
    <row r="14703" spans="1:8" x14ac:dyDescent="0.25">
      <c r="A14703" t="s">
        <v>307</v>
      </c>
      <c r="B14703" t="s">
        <v>1214</v>
      </c>
    </row>
    <row r="14704" spans="1:8" x14ac:dyDescent="0.25">
      <c r="A14704" t="s">
        <v>22</v>
      </c>
      <c r="B14704" t="s">
        <v>1214</v>
      </c>
    </row>
    <row r="14705" spans="1:8" x14ac:dyDescent="0.25">
      <c r="A14705" t="s">
        <v>2525</v>
      </c>
      <c r="B14705" t="s">
        <v>3484</v>
      </c>
      <c r="D14705">
        <v>0</v>
      </c>
      <c r="E14705">
        <v>1800</v>
      </c>
      <c r="F14705">
        <v>0</v>
      </c>
      <c r="G14705">
        <v>1</v>
      </c>
      <c r="H14705" t="s">
        <v>19</v>
      </c>
    </row>
    <row r="14706" spans="1:8" x14ac:dyDescent="0.25">
      <c r="A14706" t="str">
        <f>"&lt;nominal&gt;" &amp;$D$14705&amp;"&lt;/nominal&gt;"</f>
        <v>&lt;nominal&gt;0&lt;/nominal&gt;</v>
      </c>
      <c r="B14706" t="s">
        <v>3484</v>
      </c>
    </row>
    <row r="14707" spans="1:8" x14ac:dyDescent="0.25">
      <c r="A14707" t="str">
        <f>"&lt;lifetime&gt;" &amp;$E$14705&amp;"&lt;/lifetime&gt;"</f>
        <v>&lt;lifetime&gt;1800&lt;/lifetime&gt;</v>
      </c>
      <c r="B14707" t="s">
        <v>3484</v>
      </c>
    </row>
    <row r="14708" spans="1:8" x14ac:dyDescent="0.25">
      <c r="A14708" t="str">
        <f>"&lt;restock&gt;" &amp;$F$14705&amp;"&lt;/restock&gt;"</f>
        <v>&lt;restock&gt;0&lt;/restock&gt;</v>
      </c>
      <c r="B14708" t="s">
        <v>3484</v>
      </c>
    </row>
    <row r="14709" spans="1:8" x14ac:dyDescent="0.25">
      <c r="A14709" t="str">
        <f>"&lt;min&gt;" &amp;$G$14705&amp;"&lt;/min&gt;"</f>
        <v>&lt;min&gt;1&lt;/min&gt;</v>
      </c>
      <c r="B14709" t="s">
        <v>3484</v>
      </c>
    </row>
    <row r="14710" spans="1:8" x14ac:dyDescent="0.25">
      <c r="A14710" t="s">
        <v>16</v>
      </c>
      <c r="B14710" t="s">
        <v>3484</v>
      </c>
    </row>
    <row r="14711" spans="1:8" x14ac:dyDescent="0.25">
      <c r="A14711" t="s">
        <v>17</v>
      </c>
      <c r="B14711" t="s">
        <v>3484</v>
      </c>
    </row>
    <row r="14712" spans="1:8" x14ac:dyDescent="0.25">
      <c r="A14712" t="s">
        <v>18</v>
      </c>
      <c r="B14712" t="s">
        <v>3484</v>
      </c>
    </row>
    <row r="14713" spans="1:8" x14ac:dyDescent="0.25">
      <c r="A14713" t="str">
        <f xml:space="preserve"> $H$14705</f>
        <v>&lt;flags count_in_cargo="0" count_in_hoarder="0" count_in_map="1" count_in_player="0" crafted="0" deloot="0"/&gt;</v>
      </c>
      <c r="B14713" t="s">
        <v>3484</v>
      </c>
    </row>
    <row r="14714" spans="1:8" x14ac:dyDescent="0.25">
      <c r="A14714" t="s">
        <v>22</v>
      </c>
      <c r="B14714" t="s">
        <v>3484</v>
      </c>
    </row>
    <row r="14715" spans="1:8" x14ac:dyDescent="0.25">
      <c r="A14715" t="s">
        <v>2526</v>
      </c>
      <c r="B14715" t="s">
        <v>3485</v>
      </c>
      <c r="D14715">
        <v>0</v>
      </c>
      <c r="E14715">
        <v>1800</v>
      </c>
      <c r="F14715">
        <v>0</v>
      </c>
      <c r="G14715">
        <v>1</v>
      </c>
      <c r="H14715" t="s">
        <v>19</v>
      </c>
    </row>
    <row r="14716" spans="1:8" x14ac:dyDescent="0.25">
      <c r="A14716" t="str">
        <f>"&lt;nominal&gt;" &amp;$D$14715&amp;"&lt;/nominal&gt;"</f>
        <v>&lt;nominal&gt;0&lt;/nominal&gt;</v>
      </c>
      <c r="B14716" t="s">
        <v>3485</v>
      </c>
    </row>
    <row r="14717" spans="1:8" x14ac:dyDescent="0.25">
      <c r="A14717" t="str">
        <f>"&lt;lifetime&gt;" &amp;$E$14715&amp;"&lt;/lifetime&gt;"</f>
        <v>&lt;lifetime&gt;1800&lt;/lifetime&gt;</v>
      </c>
      <c r="B14717" t="s">
        <v>3485</v>
      </c>
    </row>
    <row r="14718" spans="1:8" x14ac:dyDescent="0.25">
      <c r="A14718" t="str">
        <f>"&lt;restock&gt;" &amp;$F$14715&amp;"&lt;/restock&gt;"</f>
        <v>&lt;restock&gt;0&lt;/restock&gt;</v>
      </c>
      <c r="B14718" t="s">
        <v>3485</v>
      </c>
    </row>
    <row r="14719" spans="1:8" x14ac:dyDescent="0.25">
      <c r="A14719" t="str">
        <f>"&lt;min&gt;" &amp;$G$14715&amp;"&lt;/min&gt;"</f>
        <v>&lt;min&gt;1&lt;/min&gt;</v>
      </c>
      <c r="B14719" t="s">
        <v>3485</v>
      </c>
    </row>
    <row r="14720" spans="1:8" x14ac:dyDescent="0.25">
      <c r="A14720" t="s">
        <v>16</v>
      </c>
      <c r="B14720" t="s">
        <v>3485</v>
      </c>
    </row>
    <row r="14721" spans="1:8" x14ac:dyDescent="0.25">
      <c r="A14721" t="s">
        <v>17</v>
      </c>
      <c r="B14721" t="s">
        <v>3485</v>
      </c>
    </row>
    <row r="14722" spans="1:8" x14ac:dyDescent="0.25">
      <c r="A14722" t="s">
        <v>18</v>
      </c>
      <c r="B14722" t="s">
        <v>3485</v>
      </c>
    </row>
    <row r="14723" spans="1:8" x14ac:dyDescent="0.25">
      <c r="A14723" t="str">
        <f xml:space="preserve"> $H$14715</f>
        <v>&lt;flags count_in_cargo="0" count_in_hoarder="0" count_in_map="1" count_in_player="0" crafted="0" deloot="0"/&gt;</v>
      </c>
      <c r="B14723" t="s">
        <v>3485</v>
      </c>
    </row>
    <row r="14724" spans="1:8" x14ac:dyDescent="0.25">
      <c r="A14724" t="s">
        <v>22</v>
      </c>
      <c r="B14724" t="s">
        <v>3485</v>
      </c>
    </row>
    <row r="14725" spans="1:8" x14ac:dyDescent="0.25">
      <c r="A14725" t="s">
        <v>2527</v>
      </c>
      <c r="B14725" t="s">
        <v>3486</v>
      </c>
      <c r="D14725">
        <v>0</v>
      </c>
      <c r="E14725">
        <v>1800</v>
      </c>
      <c r="F14725">
        <v>0</v>
      </c>
      <c r="G14725">
        <v>1</v>
      </c>
      <c r="H14725" t="s">
        <v>19</v>
      </c>
    </row>
    <row r="14726" spans="1:8" x14ac:dyDescent="0.25">
      <c r="A14726" t="str">
        <f>"&lt;nominal&gt;" &amp;$D$14725&amp;"&lt;/nominal&gt;"</f>
        <v>&lt;nominal&gt;0&lt;/nominal&gt;</v>
      </c>
      <c r="B14726" t="s">
        <v>3486</v>
      </c>
    </row>
    <row r="14727" spans="1:8" x14ac:dyDescent="0.25">
      <c r="A14727" t="str">
        <f>"&lt;lifetime&gt;" &amp;$E$14725&amp;"&lt;/lifetime&gt;"</f>
        <v>&lt;lifetime&gt;1800&lt;/lifetime&gt;</v>
      </c>
      <c r="B14727" t="s">
        <v>3486</v>
      </c>
    </row>
    <row r="14728" spans="1:8" x14ac:dyDescent="0.25">
      <c r="A14728" t="str">
        <f>"&lt;restock&gt;" &amp;$F$14725&amp;"&lt;/restock&gt;"</f>
        <v>&lt;restock&gt;0&lt;/restock&gt;</v>
      </c>
      <c r="B14728" t="s">
        <v>3486</v>
      </c>
    </row>
    <row r="14729" spans="1:8" x14ac:dyDescent="0.25">
      <c r="A14729" t="str">
        <f>"&lt;min&gt;" &amp;$G$14725&amp;"&lt;/min&gt;"</f>
        <v>&lt;min&gt;1&lt;/min&gt;</v>
      </c>
      <c r="B14729" t="s">
        <v>3486</v>
      </c>
    </row>
    <row r="14730" spans="1:8" x14ac:dyDescent="0.25">
      <c r="A14730" t="s">
        <v>16</v>
      </c>
      <c r="B14730" t="s">
        <v>3486</v>
      </c>
    </row>
    <row r="14731" spans="1:8" x14ac:dyDescent="0.25">
      <c r="A14731" t="s">
        <v>17</v>
      </c>
      <c r="B14731" t="s">
        <v>3486</v>
      </c>
    </row>
    <row r="14732" spans="1:8" x14ac:dyDescent="0.25">
      <c r="A14732" t="s">
        <v>18</v>
      </c>
      <c r="B14732" t="s">
        <v>3486</v>
      </c>
    </row>
    <row r="14733" spans="1:8" x14ac:dyDescent="0.25">
      <c r="A14733" t="str">
        <f xml:space="preserve"> $H$14725</f>
        <v>&lt;flags count_in_cargo="0" count_in_hoarder="0" count_in_map="1" count_in_player="0" crafted="0" deloot="0"/&gt;</v>
      </c>
      <c r="B14733" t="s">
        <v>3486</v>
      </c>
    </row>
    <row r="14734" spans="1:8" x14ac:dyDescent="0.25">
      <c r="A14734" t="s">
        <v>22</v>
      </c>
      <c r="B14734" t="s">
        <v>3486</v>
      </c>
    </row>
    <row r="14735" spans="1:8" x14ac:dyDescent="0.25">
      <c r="A14735" t="s">
        <v>2528</v>
      </c>
      <c r="B14735" t="s">
        <v>3487</v>
      </c>
      <c r="D14735">
        <v>0</v>
      </c>
      <c r="E14735">
        <v>1800</v>
      </c>
      <c r="F14735">
        <v>0</v>
      </c>
      <c r="G14735">
        <v>1</v>
      </c>
      <c r="H14735" t="s">
        <v>19</v>
      </c>
    </row>
    <row r="14736" spans="1:8" x14ac:dyDescent="0.25">
      <c r="A14736" t="str">
        <f>"&lt;nominal&gt;" &amp;$D$14735&amp;"&lt;/nominal&gt;"</f>
        <v>&lt;nominal&gt;0&lt;/nominal&gt;</v>
      </c>
      <c r="B14736" t="s">
        <v>3487</v>
      </c>
    </row>
    <row r="14737" spans="1:8" x14ac:dyDescent="0.25">
      <c r="A14737" t="str">
        <f>"&lt;lifetime&gt;" &amp;$E$14735&amp;"&lt;/lifetime&gt;"</f>
        <v>&lt;lifetime&gt;1800&lt;/lifetime&gt;</v>
      </c>
      <c r="B14737" t="s">
        <v>3487</v>
      </c>
    </row>
    <row r="14738" spans="1:8" x14ac:dyDescent="0.25">
      <c r="A14738" t="str">
        <f>"&lt;restock&gt;" &amp;$F$14735&amp;"&lt;/restock&gt;"</f>
        <v>&lt;restock&gt;0&lt;/restock&gt;</v>
      </c>
      <c r="B14738" t="s">
        <v>3487</v>
      </c>
    </row>
    <row r="14739" spans="1:8" x14ac:dyDescent="0.25">
      <c r="A14739" t="str">
        <f>"&lt;min&gt;" &amp;$G$14735&amp;"&lt;/min&gt;"</f>
        <v>&lt;min&gt;1&lt;/min&gt;</v>
      </c>
      <c r="B14739" t="s">
        <v>3487</v>
      </c>
    </row>
    <row r="14740" spans="1:8" x14ac:dyDescent="0.25">
      <c r="A14740" t="s">
        <v>16</v>
      </c>
      <c r="B14740" t="s">
        <v>3487</v>
      </c>
    </row>
    <row r="14741" spans="1:8" x14ac:dyDescent="0.25">
      <c r="A14741" t="s">
        <v>17</v>
      </c>
      <c r="B14741" t="s">
        <v>3487</v>
      </c>
    </row>
    <row r="14742" spans="1:8" x14ac:dyDescent="0.25">
      <c r="A14742" t="s">
        <v>18</v>
      </c>
      <c r="B14742" t="s">
        <v>3487</v>
      </c>
    </row>
    <row r="14743" spans="1:8" x14ac:dyDescent="0.25">
      <c r="A14743" t="str">
        <f xml:space="preserve"> $H$14735</f>
        <v>&lt;flags count_in_cargo="0" count_in_hoarder="0" count_in_map="1" count_in_player="0" crafted="0" deloot="0"/&gt;</v>
      </c>
      <c r="B14743" t="s">
        <v>3487</v>
      </c>
    </row>
    <row r="14744" spans="1:8" x14ac:dyDescent="0.25">
      <c r="A14744" t="s">
        <v>22</v>
      </c>
      <c r="B14744" t="s">
        <v>3487</v>
      </c>
    </row>
    <row r="14745" spans="1:8" x14ac:dyDescent="0.25">
      <c r="A14745" t="s">
        <v>2529</v>
      </c>
      <c r="B14745" t="s">
        <v>3488</v>
      </c>
      <c r="D14745">
        <v>0</v>
      </c>
      <c r="E14745">
        <v>1800</v>
      </c>
      <c r="F14745">
        <v>0</v>
      </c>
      <c r="G14745">
        <v>1</v>
      </c>
      <c r="H14745" t="s">
        <v>19</v>
      </c>
    </row>
    <row r="14746" spans="1:8" x14ac:dyDescent="0.25">
      <c r="A14746" t="str">
        <f>"&lt;nominal&gt;" &amp;$D$14745&amp;"&lt;/nominal&gt;"</f>
        <v>&lt;nominal&gt;0&lt;/nominal&gt;</v>
      </c>
      <c r="B14746" t="s">
        <v>3488</v>
      </c>
    </row>
    <row r="14747" spans="1:8" x14ac:dyDescent="0.25">
      <c r="A14747" t="str">
        <f>"&lt;lifetime&gt;" &amp;$E$14745&amp;"&lt;/lifetime&gt;"</f>
        <v>&lt;lifetime&gt;1800&lt;/lifetime&gt;</v>
      </c>
      <c r="B14747" t="s">
        <v>3488</v>
      </c>
    </row>
    <row r="14748" spans="1:8" x14ac:dyDescent="0.25">
      <c r="A14748" t="str">
        <f>"&lt;restock&gt;" &amp;$F$14745&amp;"&lt;/restock&gt;"</f>
        <v>&lt;restock&gt;0&lt;/restock&gt;</v>
      </c>
      <c r="B14748" t="s">
        <v>3488</v>
      </c>
    </row>
    <row r="14749" spans="1:8" x14ac:dyDescent="0.25">
      <c r="A14749" t="str">
        <f>"&lt;min&gt;" &amp;$G$14745&amp;"&lt;/min&gt;"</f>
        <v>&lt;min&gt;1&lt;/min&gt;</v>
      </c>
      <c r="B14749" t="s">
        <v>3488</v>
      </c>
    </row>
    <row r="14750" spans="1:8" x14ac:dyDescent="0.25">
      <c r="A14750" t="s">
        <v>16</v>
      </c>
      <c r="B14750" t="s">
        <v>3488</v>
      </c>
    </row>
    <row r="14751" spans="1:8" x14ac:dyDescent="0.25">
      <c r="A14751" t="s">
        <v>17</v>
      </c>
      <c r="B14751" t="s">
        <v>3488</v>
      </c>
    </row>
    <row r="14752" spans="1:8" x14ac:dyDescent="0.25">
      <c r="A14752" t="s">
        <v>18</v>
      </c>
      <c r="B14752" t="s">
        <v>3488</v>
      </c>
    </row>
    <row r="14753" spans="1:8" x14ac:dyDescent="0.25">
      <c r="A14753" t="str">
        <f xml:space="preserve"> $H$14745</f>
        <v>&lt;flags count_in_cargo="0" count_in_hoarder="0" count_in_map="1" count_in_player="0" crafted="0" deloot="0"/&gt;</v>
      </c>
      <c r="B14753" t="s">
        <v>3488</v>
      </c>
    </row>
    <row r="14754" spans="1:8" x14ac:dyDescent="0.25">
      <c r="A14754" t="s">
        <v>22</v>
      </c>
      <c r="B14754" t="s">
        <v>3488</v>
      </c>
    </row>
    <row r="14755" spans="1:8" x14ac:dyDescent="0.25">
      <c r="A14755" t="s">
        <v>2530</v>
      </c>
      <c r="B14755" t="s">
        <v>3489</v>
      </c>
      <c r="D14755">
        <v>0</v>
      </c>
      <c r="E14755">
        <v>1800</v>
      </c>
      <c r="F14755">
        <v>0</v>
      </c>
      <c r="G14755">
        <v>1</v>
      </c>
      <c r="H14755" t="s">
        <v>19</v>
      </c>
    </row>
    <row r="14756" spans="1:8" x14ac:dyDescent="0.25">
      <c r="A14756" t="str">
        <f>"&lt;nominal&gt;" &amp;$D$14755&amp;"&lt;/nominal&gt;"</f>
        <v>&lt;nominal&gt;0&lt;/nominal&gt;</v>
      </c>
      <c r="B14756" t="s">
        <v>3489</v>
      </c>
    </row>
    <row r="14757" spans="1:8" x14ac:dyDescent="0.25">
      <c r="A14757" t="str">
        <f>"&lt;lifetime&gt;" &amp;$E$14755&amp;"&lt;/lifetime&gt;"</f>
        <v>&lt;lifetime&gt;1800&lt;/lifetime&gt;</v>
      </c>
      <c r="B14757" t="s">
        <v>3489</v>
      </c>
    </row>
    <row r="14758" spans="1:8" x14ac:dyDescent="0.25">
      <c r="A14758" t="str">
        <f>"&lt;restock&gt;" &amp;$F$14755&amp;"&lt;/restock&gt;"</f>
        <v>&lt;restock&gt;0&lt;/restock&gt;</v>
      </c>
      <c r="B14758" t="s">
        <v>3489</v>
      </c>
    </row>
    <row r="14759" spans="1:8" x14ac:dyDescent="0.25">
      <c r="A14759" t="str">
        <f>"&lt;min&gt;" &amp;$G$14755&amp;"&lt;/min&gt;"</f>
        <v>&lt;min&gt;1&lt;/min&gt;</v>
      </c>
      <c r="B14759" t="s">
        <v>3489</v>
      </c>
    </row>
    <row r="14760" spans="1:8" x14ac:dyDescent="0.25">
      <c r="A14760" t="s">
        <v>16</v>
      </c>
      <c r="B14760" t="s">
        <v>3489</v>
      </c>
    </row>
    <row r="14761" spans="1:8" x14ac:dyDescent="0.25">
      <c r="A14761" t="s">
        <v>17</v>
      </c>
      <c r="B14761" t="s">
        <v>3489</v>
      </c>
    </row>
    <row r="14762" spans="1:8" x14ac:dyDescent="0.25">
      <c r="A14762" t="s">
        <v>18</v>
      </c>
      <c r="B14762" t="s">
        <v>3489</v>
      </c>
    </row>
    <row r="14763" spans="1:8" x14ac:dyDescent="0.25">
      <c r="A14763" t="str">
        <f xml:space="preserve"> $H$14755</f>
        <v>&lt;flags count_in_cargo="0" count_in_hoarder="0" count_in_map="1" count_in_player="0" crafted="0" deloot="0"/&gt;</v>
      </c>
      <c r="B14763" t="s">
        <v>3489</v>
      </c>
    </row>
    <row r="14764" spans="1:8" x14ac:dyDescent="0.25">
      <c r="A14764" t="s">
        <v>22</v>
      </c>
      <c r="B14764" t="s">
        <v>3489</v>
      </c>
    </row>
    <row r="14765" spans="1:8" x14ac:dyDescent="0.25">
      <c r="A14765" t="s">
        <v>2531</v>
      </c>
      <c r="B14765" t="s">
        <v>3490</v>
      </c>
      <c r="D14765">
        <v>0</v>
      </c>
      <c r="E14765">
        <v>1800</v>
      </c>
      <c r="F14765">
        <v>0</v>
      </c>
      <c r="G14765">
        <v>1</v>
      </c>
      <c r="H14765" t="s">
        <v>19</v>
      </c>
    </row>
    <row r="14766" spans="1:8" x14ac:dyDescent="0.25">
      <c r="A14766" t="str">
        <f>"&lt;nominal&gt;" &amp;$D$14765&amp;"&lt;/nominal&gt;"</f>
        <v>&lt;nominal&gt;0&lt;/nominal&gt;</v>
      </c>
      <c r="B14766" t="s">
        <v>3490</v>
      </c>
    </row>
    <row r="14767" spans="1:8" x14ac:dyDescent="0.25">
      <c r="A14767" t="str">
        <f>"&lt;lifetime&gt;" &amp;$E$14765&amp;"&lt;/lifetime&gt;"</f>
        <v>&lt;lifetime&gt;1800&lt;/lifetime&gt;</v>
      </c>
      <c r="B14767" t="s">
        <v>3490</v>
      </c>
    </row>
    <row r="14768" spans="1:8" x14ac:dyDescent="0.25">
      <c r="A14768" t="str">
        <f>"&lt;restock&gt;" &amp;$F$14765&amp;"&lt;/restock&gt;"</f>
        <v>&lt;restock&gt;0&lt;/restock&gt;</v>
      </c>
      <c r="B14768" t="s">
        <v>3490</v>
      </c>
    </row>
    <row r="14769" spans="1:8" x14ac:dyDescent="0.25">
      <c r="A14769" t="str">
        <f>"&lt;min&gt;" &amp;$G$14765&amp;"&lt;/min&gt;"</f>
        <v>&lt;min&gt;1&lt;/min&gt;</v>
      </c>
      <c r="B14769" t="s">
        <v>3490</v>
      </c>
    </row>
    <row r="14770" spans="1:8" x14ac:dyDescent="0.25">
      <c r="A14770" t="s">
        <v>16</v>
      </c>
      <c r="B14770" t="s">
        <v>3490</v>
      </c>
    </row>
    <row r="14771" spans="1:8" x14ac:dyDescent="0.25">
      <c r="A14771" t="s">
        <v>17</v>
      </c>
      <c r="B14771" t="s">
        <v>3490</v>
      </c>
    </row>
    <row r="14772" spans="1:8" x14ac:dyDescent="0.25">
      <c r="A14772" t="s">
        <v>18</v>
      </c>
      <c r="B14772" t="s">
        <v>3490</v>
      </c>
    </row>
    <row r="14773" spans="1:8" x14ac:dyDescent="0.25">
      <c r="A14773" t="str">
        <f xml:space="preserve"> $H$14765</f>
        <v>&lt;flags count_in_cargo="0" count_in_hoarder="0" count_in_map="1" count_in_player="0" crafted="0" deloot="0"/&gt;</v>
      </c>
      <c r="B14773" t="s">
        <v>3490</v>
      </c>
    </row>
    <row r="14774" spans="1:8" x14ac:dyDescent="0.25">
      <c r="A14774" t="s">
        <v>22</v>
      </c>
      <c r="B14774" t="s">
        <v>3490</v>
      </c>
    </row>
    <row r="14775" spans="1:8" x14ac:dyDescent="0.25">
      <c r="A14775" t="s">
        <v>2532</v>
      </c>
      <c r="B14775" t="s">
        <v>3491</v>
      </c>
      <c r="D14775">
        <v>0</v>
      </c>
      <c r="E14775">
        <v>1800</v>
      </c>
      <c r="F14775">
        <v>0</v>
      </c>
      <c r="G14775">
        <v>1</v>
      </c>
      <c r="H14775" t="s">
        <v>19</v>
      </c>
    </row>
    <row r="14776" spans="1:8" x14ac:dyDescent="0.25">
      <c r="A14776" t="str">
        <f>"&lt;nominal&gt;" &amp;$D$14775&amp;"&lt;/nominal&gt;"</f>
        <v>&lt;nominal&gt;0&lt;/nominal&gt;</v>
      </c>
      <c r="B14776" t="s">
        <v>3491</v>
      </c>
    </row>
    <row r="14777" spans="1:8" x14ac:dyDescent="0.25">
      <c r="A14777" t="str">
        <f>"&lt;lifetime&gt;" &amp;$E$14775&amp;"&lt;/lifetime&gt;"</f>
        <v>&lt;lifetime&gt;1800&lt;/lifetime&gt;</v>
      </c>
      <c r="B14777" t="s">
        <v>3491</v>
      </c>
    </row>
    <row r="14778" spans="1:8" x14ac:dyDescent="0.25">
      <c r="A14778" t="str">
        <f>"&lt;restock&gt;" &amp;$F$14775&amp;"&lt;/restock&gt;"</f>
        <v>&lt;restock&gt;0&lt;/restock&gt;</v>
      </c>
      <c r="B14778" t="s">
        <v>3491</v>
      </c>
    </row>
    <row r="14779" spans="1:8" x14ac:dyDescent="0.25">
      <c r="A14779" t="str">
        <f>"&lt;min&gt;" &amp;$G$14775&amp;"&lt;/min&gt;"</f>
        <v>&lt;min&gt;1&lt;/min&gt;</v>
      </c>
      <c r="B14779" t="s">
        <v>3491</v>
      </c>
    </row>
    <row r="14780" spans="1:8" x14ac:dyDescent="0.25">
      <c r="A14780" t="s">
        <v>16</v>
      </c>
      <c r="B14780" t="s">
        <v>3491</v>
      </c>
    </row>
    <row r="14781" spans="1:8" x14ac:dyDescent="0.25">
      <c r="A14781" t="s">
        <v>17</v>
      </c>
      <c r="B14781" t="s">
        <v>3491</v>
      </c>
    </row>
    <row r="14782" spans="1:8" x14ac:dyDescent="0.25">
      <c r="A14782" t="s">
        <v>18</v>
      </c>
      <c r="B14782" t="s">
        <v>3491</v>
      </c>
    </row>
    <row r="14783" spans="1:8" x14ac:dyDescent="0.25">
      <c r="A14783" t="str">
        <f xml:space="preserve"> $H$14775</f>
        <v>&lt;flags count_in_cargo="0" count_in_hoarder="0" count_in_map="1" count_in_player="0" crafted="0" deloot="0"/&gt;</v>
      </c>
      <c r="B14783" t="s">
        <v>3491</v>
      </c>
    </row>
    <row r="14784" spans="1:8" x14ac:dyDescent="0.25">
      <c r="A14784" t="s">
        <v>22</v>
      </c>
      <c r="B14784" t="s">
        <v>3491</v>
      </c>
    </row>
    <row r="14785" spans="1:8" x14ac:dyDescent="0.25">
      <c r="A14785" t="s">
        <v>2533</v>
      </c>
      <c r="B14785" t="s">
        <v>3492</v>
      </c>
      <c r="D14785">
        <v>0</v>
      </c>
      <c r="E14785">
        <v>1800</v>
      </c>
      <c r="F14785">
        <v>0</v>
      </c>
      <c r="G14785">
        <v>1</v>
      </c>
      <c r="H14785" t="s">
        <v>19</v>
      </c>
    </row>
    <row r="14786" spans="1:8" x14ac:dyDescent="0.25">
      <c r="A14786" t="str">
        <f>"&lt;nominal&gt;" &amp;$D$14785&amp;"&lt;/nominal&gt;"</f>
        <v>&lt;nominal&gt;0&lt;/nominal&gt;</v>
      </c>
      <c r="B14786" t="s">
        <v>3492</v>
      </c>
    </row>
    <row r="14787" spans="1:8" x14ac:dyDescent="0.25">
      <c r="A14787" t="str">
        <f>"&lt;lifetime&gt;" &amp;$E$14785&amp;"&lt;/lifetime&gt;"</f>
        <v>&lt;lifetime&gt;1800&lt;/lifetime&gt;</v>
      </c>
      <c r="B14787" t="s">
        <v>3492</v>
      </c>
    </row>
    <row r="14788" spans="1:8" x14ac:dyDescent="0.25">
      <c r="A14788" t="str">
        <f>"&lt;restock&gt;" &amp;$F$14785&amp;"&lt;/restock&gt;"</f>
        <v>&lt;restock&gt;0&lt;/restock&gt;</v>
      </c>
      <c r="B14788" t="s">
        <v>3492</v>
      </c>
    </row>
    <row r="14789" spans="1:8" x14ac:dyDescent="0.25">
      <c r="A14789" t="str">
        <f>"&lt;min&gt;" &amp;$G$14785&amp;"&lt;/min&gt;"</f>
        <v>&lt;min&gt;1&lt;/min&gt;</v>
      </c>
      <c r="B14789" t="s">
        <v>3492</v>
      </c>
    </row>
    <row r="14790" spans="1:8" x14ac:dyDescent="0.25">
      <c r="A14790" t="s">
        <v>16</v>
      </c>
      <c r="B14790" t="s">
        <v>3492</v>
      </c>
    </row>
    <row r="14791" spans="1:8" x14ac:dyDescent="0.25">
      <c r="A14791" t="s">
        <v>17</v>
      </c>
      <c r="B14791" t="s">
        <v>3492</v>
      </c>
    </row>
    <row r="14792" spans="1:8" x14ac:dyDescent="0.25">
      <c r="A14792" t="s">
        <v>18</v>
      </c>
      <c r="B14792" t="s">
        <v>3492</v>
      </c>
    </row>
    <row r="14793" spans="1:8" x14ac:dyDescent="0.25">
      <c r="A14793" t="str">
        <f xml:space="preserve"> $H$14785</f>
        <v>&lt;flags count_in_cargo="0" count_in_hoarder="0" count_in_map="1" count_in_player="0" crafted="0" deloot="0"/&gt;</v>
      </c>
      <c r="B14793" t="s">
        <v>3492</v>
      </c>
    </row>
    <row r="14794" spans="1:8" x14ac:dyDescent="0.25">
      <c r="A14794" t="s">
        <v>22</v>
      </c>
      <c r="B14794" t="s">
        <v>3492</v>
      </c>
    </row>
    <row r="14795" spans="1:8" x14ac:dyDescent="0.25">
      <c r="A14795" t="s">
        <v>2534</v>
      </c>
      <c r="B14795" t="s">
        <v>3493</v>
      </c>
      <c r="D14795">
        <v>0</v>
      </c>
      <c r="E14795">
        <v>1800</v>
      </c>
      <c r="F14795">
        <v>0</v>
      </c>
      <c r="G14795">
        <v>1</v>
      </c>
      <c r="H14795" t="s">
        <v>19</v>
      </c>
    </row>
    <row r="14796" spans="1:8" x14ac:dyDescent="0.25">
      <c r="A14796" t="str">
        <f>"&lt;nominal&gt;" &amp;$D$14795&amp;"&lt;/nominal&gt;"</f>
        <v>&lt;nominal&gt;0&lt;/nominal&gt;</v>
      </c>
      <c r="B14796" t="s">
        <v>3493</v>
      </c>
    </row>
    <row r="14797" spans="1:8" x14ac:dyDescent="0.25">
      <c r="A14797" t="str">
        <f>"&lt;lifetime&gt;" &amp;$E$14795&amp;"&lt;/lifetime&gt;"</f>
        <v>&lt;lifetime&gt;1800&lt;/lifetime&gt;</v>
      </c>
      <c r="B14797" t="s">
        <v>3493</v>
      </c>
    </row>
    <row r="14798" spans="1:8" x14ac:dyDescent="0.25">
      <c r="A14798" t="str">
        <f>"&lt;restock&gt;" &amp;$F$14795&amp;"&lt;/restock&gt;"</f>
        <v>&lt;restock&gt;0&lt;/restock&gt;</v>
      </c>
      <c r="B14798" t="s">
        <v>3493</v>
      </c>
    </row>
    <row r="14799" spans="1:8" x14ac:dyDescent="0.25">
      <c r="A14799" t="str">
        <f>"&lt;min&gt;" &amp;$G$14795&amp;"&lt;/min&gt;"</f>
        <v>&lt;min&gt;1&lt;/min&gt;</v>
      </c>
      <c r="B14799" t="s">
        <v>3493</v>
      </c>
    </row>
    <row r="14800" spans="1:8" x14ac:dyDescent="0.25">
      <c r="A14800" t="s">
        <v>16</v>
      </c>
      <c r="B14800" t="s">
        <v>3493</v>
      </c>
    </row>
    <row r="14801" spans="1:8" x14ac:dyDescent="0.25">
      <c r="A14801" t="s">
        <v>17</v>
      </c>
      <c r="B14801" t="s">
        <v>3493</v>
      </c>
    </row>
    <row r="14802" spans="1:8" x14ac:dyDescent="0.25">
      <c r="A14802" t="s">
        <v>18</v>
      </c>
      <c r="B14802" t="s">
        <v>3493</v>
      </c>
    </row>
    <row r="14803" spans="1:8" x14ac:dyDescent="0.25">
      <c r="A14803" t="str">
        <f xml:space="preserve"> $H$14795</f>
        <v>&lt;flags count_in_cargo="0" count_in_hoarder="0" count_in_map="1" count_in_player="0" crafted="0" deloot="0"/&gt;</v>
      </c>
      <c r="B14803" t="s">
        <v>3493</v>
      </c>
    </row>
    <row r="14804" spans="1:8" x14ac:dyDescent="0.25">
      <c r="A14804" t="s">
        <v>22</v>
      </c>
      <c r="B14804" t="s">
        <v>3493</v>
      </c>
    </row>
    <row r="14805" spans="1:8" x14ac:dyDescent="0.25">
      <c r="A14805" t="s">
        <v>2535</v>
      </c>
      <c r="B14805" t="s">
        <v>3494</v>
      </c>
      <c r="D14805">
        <v>0</v>
      </c>
      <c r="E14805">
        <v>1800</v>
      </c>
      <c r="F14805">
        <v>0</v>
      </c>
      <c r="G14805">
        <v>1</v>
      </c>
      <c r="H14805" t="s">
        <v>19</v>
      </c>
    </row>
    <row r="14806" spans="1:8" x14ac:dyDescent="0.25">
      <c r="A14806" t="str">
        <f>"&lt;nominal&gt;" &amp;$D$14805&amp;"&lt;/nominal&gt;"</f>
        <v>&lt;nominal&gt;0&lt;/nominal&gt;</v>
      </c>
      <c r="B14806" t="s">
        <v>3494</v>
      </c>
    </row>
    <row r="14807" spans="1:8" x14ac:dyDescent="0.25">
      <c r="A14807" t="str">
        <f>"&lt;lifetime&gt;" &amp;$E$14805&amp;"&lt;/lifetime&gt;"</f>
        <v>&lt;lifetime&gt;1800&lt;/lifetime&gt;</v>
      </c>
      <c r="B14807" t="s">
        <v>3494</v>
      </c>
    </row>
    <row r="14808" spans="1:8" x14ac:dyDescent="0.25">
      <c r="A14808" t="str">
        <f>"&lt;restock&gt;" &amp;$F$14805&amp;"&lt;/restock&gt;"</f>
        <v>&lt;restock&gt;0&lt;/restock&gt;</v>
      </c>
      <c r="B14808" t="s">
        <v>3494</v>
      </c>
    </row>
    <row r="14809" spans="1:8" x14ac:dyDescent="0.25">
      <c r="A14809" t="str">
        <f>"&lt;min&gt;" &amp;$G$14805&amp;"&lt;/min&gt;"</f>
        <v>&lt;min&gt;1&lt;/min&gt;</v>
      </c>
      <c r="B14809" t="s">
        <v>3494</v>
      </c>
    </row>
    <row r="14810" spans="1:8" x14ac:dyDescent="0.25">
      <c r="A14810" t="s">
        <v>16</v>
      </c>
      <c r="B14810" t="s">
        <v>3494</v>
      </c>
    </row>
    <row r="14811" spans="1:8" x14ac:dyDescent="0.25">
      <c r="A14811" t="s">
        <v>17</v>
      </c>
      <c r="B14811" t="s">
        <v>3494</v>
      </c>
    </row>
    <row r="14812" spans="1:8" x14ac:dyDescent="0.25">
      <c r="A14812" t="s">
        <v>18</v>
      </c>
      <c r="B14812" t="s">
        <v>3494</v>
      </c>
    </row>
    <row r="14813" spans="1:8" x14ac:dyDescent="0.25">
      <c r="A14813" t="str">
        <f xml:space="preserve"> $H$14805</f>
        <v>&lt;flags count_in_cargo="0" count_in_hoarder="0" count_in_map="1" count_in_player="0" crafted="0" deloot="0"/&gt;</v>
      </c>
      <c r="B14813" t="s">
        <v>3494</v>
      </c>
    </row>
    <row r="14814" spans="1:8" x14ac:dyDescent="0.25">
      <c r="A14814" t="s">
        <v>22</v>
      </c>
      <c r="B14814" t="s">
        <v>3494</v>
      </c>
    </row>
    <row r="14815" spans="1:8" x14ac:dyDescent="0.25">
      <c r="A14815" t="s">
        <v>2536</v>
      </c>
      <c r="B14815" t="s">
        <v>3495</v>
      </c>
      <c r="D14815">
        <v>0</v>
      </c>
      <c r="E14815">
        <v>1800</v>
      </c>
      <c r="F14815">
        <v>0</v>
      </c>
      <c r="G14815">
        <v>1</v>
      </c>
      <c r="H14815" t="s">
        <v>19</v>
      </c>
    </row>
    <row r="14816" spans="1:8" x14ac:dyDescent="0.25">
      <c r="A14816" t="str">
        <f>"&lt;nominal&gt;" &amp;$D$14815&amp;"&lt;/nominal&gt;"</f>
        <v>&lt;nominal&gt;0&lt;/nominal&gt;</v>
      </c>
      <c r="B14816" t="s">
        <v>3495</v>
      </c>
    </row>
    <row r="14817" spans="1:8" x14ac:dyDescent="0.25">
      <c r="A14817" t="str">
        <f>"&lt;lifetime&gt;" &amp;$E$14815&amp;"&lt;/lifetime&gt;"</f>
        <v>&lt;lifetime&gt;1800&lt;/lifetime&gt;</v>
      </c>
      <c r="B14817" t="s">
        <v>3495</v>
      </c>
    </row>
    <row r="14818" spans="1:8" x14ac:dyDescent="0.25">
      <c r="A14818" t="str">
        <f>"&lt;restock&gt;" &amp;$F$14815&amp;"&lt;/restock&gt;"</f>
        <v>&lt;restock&gt;0&lt;/restock&gt;</v>
      </c>
      <c r="B14818" t="s">
        <v>3495</v>
      </c>
    </row>
    <row r="14819" spans="1:8" x14ac:dyDescent="0.25">
      <c r="A14819" t="str">
        <f>"&lt;min&gt;" &amp;$G$14815&amp;"&lt;/min&gt;"</f>
        <v>&lt;min&gt;1&lt;/min&gt;</v>
      </c>
      <c r="B14819" t="s">
        <v>3495</v>
      </c>
    </row>
    <row r="14820" spans="1:8" x14ac:dyDescent="0.25">
      <c r="A14820" t="s">
        <v>16</v>
      </c>
      <c r="B14820" t="s">
        <v>3495</v>
      </c>
    </row>
    <row r="14821" spans="1:8" x14ac:dyDescent="0.25">
      <c r="A14821" t="s">
        <v>17</v>
      </c>
      <c r="B14821" t="s">
        <v>3495</v>
      </c>
    </row>
    <row r="14822" spans="1:8" x14ac:dyDescent="0.25">
      <c r="A14822" t="s">
        <v>18</v>
      </c>
      <c r="B14822" t="s">
        <v>3495</v>
      </c>
    </row>
    <row r="14823" spans="1:8" x14ac:dyDescent="0.25">
      <c r="A14823" t="str">
        <f xml:space="preserve"> $H$14815</f>
        <v>&lt;flags count_in_cargo="0" count_in_hoarder="0" count_in_map="1" count_in_player="0" crafted="0" deloot="0"/&gt;</v>
      </c>
      <c r="B14823" t="s">
        <v>3495</v>
      </c>
    </row>
    <row r="14824" spans="1:8" x14ac:dyDescent="0.25">
      <c r="A14824" t="s">
        <v>22</v>
      </c>
      <c r="B14824" t="s">
        <v>3495</v>
      </c>
    </row>
    <row r="14825" spans="1:8" x14ac:dyDescent="0.25">
      <c r="A14825" t="s">
        <v>2537</v>
      </c>
      <c r="B14825" t="s">
        <v>3496</v>
      </c>
      <c r="D14825">
        <v>0</v>
      </c>
      <c r="E14825">
        <v>1800</v>
      </c>
      <c r="F14825">
        <v>0</v>
      </c>
      <c r="G14825">
        <v>1</v>
      </c>
      <c r="H14825" t="s">
        <v>19</v>
      </c>
    </row>
    <row r="14826" spans="1:8" x14ac:dyDescent="0.25">
      <c r="A14826" t="str">
        <f>"&lt;nominal&gt;" &amp;$D$14825&amp;"&lt;/nominal&gt;"</f>
        <v>&lt;nominal&gt;0&lt;/nominal&gt;</v>
      </c>
      <c r="B14826" t="s">
        <v>3496</v>
      </c>
    </row>
    <row r="14827" spans="1:8" x14ac:dyDescent="0.25">
      <c r="A14827" t="str">
        <f>"&lt;lifetime&gt;" &amp;$E$14825&amp;"&lt;/lifetime&gt;"</f>
        <v>&lt;lifetime&gt;1800&lt;/lifetime&gt;</v>
      </c>
      <c r="B14827" t="s">
        <v>3496</v>
      </c>
    </row>
    <row r="14828" spans="1:8" x14ac:dyDescent="0.25">
      <c r="A14828" t="str">
        <f>"&lt;restock&gt;" &amp;$F$14825&amp;"&lt;/restock&gt;"</f>
        <v>&lt;restock&gt;0&lt;/restock&gt;</v>
      </c>
      <c r="B14828" t="s">
        <v>3496</v>
      </c>
    </row>
    <row r="14829" spans="1:8" x14ac:dyDescent="0.25">
      <c r="A14829" t="str">
        <f>"&lt;min&gt;" &amp;$G$14825&amp;"&lt;/min&gt;"</f>
        <v>&lt;min&gt;1&lt;/min&gt;</v>
      </c>
      <c r="B14829" t="s">
        <v>3496</v>
      </c>
    </row>
    <row r="14830" spans="1:8" x14ac:dyDescent="0.25">
      <c r="A14830" t="s">
        <v>16</v>
      </c>
      <c r="B14830" t="s">
        <v>3496</v>
      </c>
    </row>
    <row r="14831" spans="1:8" x14ac:dyDescent="0.25">
      <c r="A14831" t="s">
        <v>17</v>
      </c>
      <c r="B14831" t="s">
        <v>3496</v>
      </c>
    </row>
    <row r="14832" spans="1:8" x14ac:dyDescent="0.25">
      <c r="A14832" t="s">
        <v>18</v>
      </c>
      <c r="B14832" t="s">
        <v>3496</v>
      </c>
    </row>
    <row r="14833" spans="1:8" x14ac:dyDescent="0.25">
      <c r="A14833" t="str">
        <f xml:space="preserve"> $H$14825</f>
        <v>&lt;flags count_in_cargo="0" count_in_hoarder="0" count_in_map="1" count_in_player="0" crafted="0" deloot="0"/&gt;</v>
      </c>
      <c r="B14833" t="s">
        <v>3496</v>
      </c>
    </row>
    <row r="14834" spans="1:8" x14ac:dyDescent="0.25">
      <c r="A14834" t="s">
        <v>22</v>
      </c>
      <c r="B14834" t="s">
        <v>3496</v>
      </c>
    </row>
    <row r="14835" spans="1:8" x14ac:dyDescent="0.25">
      <c r="A14835" t="s">
        <v>2538</v>
      </c>
      <c r="B14835" t="s">
        <v>3497</v>
      </c>
      <c r="D14835">
        <v>0</v>
      </c>
      <c r="E14835">
        <v>1800</v>
      </c>
      <c r="F14835">
        <v>0</v>
      </c>
      <c r="G14835">
        <v>1</v>
      </c>
      <c r="H14835" t="s">
        <v>19</v>
      </c>
    </row>
    <row r="14836" spans="1:8" x14ac:dyDescent="0.25">
      <c r="A14836" t="str">
        <f>"&lt;nominal&gt;" &amp;$D$14835&amp;"&lt;/nominal&gt;"</f>
        <v>&lt;nominal&gt;0&lt;/nominal&gt;</v>
      </c>
      <c r="B14836" t="s">
        <v>3497</v>
      </c>
    </row>
    <row r="14837" spans="1:8" x14ac:dyDescent="0.25">
      <c r="A14837" t="str">
        <f>"&lt;lifetime&gt;" &amp;$E$14835&amp;"&lt;/lifetime&gt;"</f>
        <v>&lt;lifetime&gt;1800&lt;/lifetime&gt;</v>
      </c>
      <c r="B14837" t="s">
        <v>3497</v>
      </c>
    </row>
    <row r="14838" spans="1:8" x14ac:dyDescent="0.25">
      <c r="A14838" t="str">
        <f>"&lt;restock&gt;" &amp;$F$14835&amp;"&lt;/restock&gt;"</f>
        <v>&lt;restock&gt;0&lt;/restock&gt;</v>
      </c>
      <c r="B14838" t="s">
        <v>3497</v>
      </c>
    </row>
    <row r="14839" spans="1:8" x14ac:dyDescent="0.25">
      <c r="A14839" t="str">
        <f>"&lt;min&gt;" &amp;$G$14835&amp;"&lt;/min&gt;"</f>
        <v>&lt;min&gt;1&lt;/min&gt;</v>
      </c>
      <c r="B14839" t="s">
        <v>3497</v>
      </c>
    </row>
    <row r="14840" spans="1:8" x14ac:dyDescent="0.25">
      <c r="A14840" t="s">
        <v>16</v>
      </c>
      <c r="B14840" t="s">
        <v>3497</v>
      </c>
    </row>
    <row r="14841" spans="1:8" x14ac:dyDescent="0.25">
      <c r="A14841" t="s">
        <v>17</v>
      </c>
      <c r="B14841" t="s">
        <v>3497</v>
      </c>
    </row>
    <row r="14842" spans="1:8" x14ac:dyDescent="0.25">
      <c r="A14842" t="s">
        <v>18</v>
      </c>
      <c r="B14842" t="s">
        <v>3497</v>
      </c>
    </row>
    <row r="14843" spans="1:8" x14ac:dyDescent="0.25">
      <c r="A14843" t="str">
        <f xml:space="preserve"> $H$14835</f>
        <v>&lt;flags count_in_cargo="0" count_in_hoarder="0" count_in_map="1" count_in_player="0" crafted="0" deloot="0"/&gt;</v>
      </c>
      <c r="B14843" t="s">
        <v>3497</v>
      </c>
    </row>
    <row r="14844" spans="1:8" x14ac:dyDescent="0.25">
      <c r="A14844" t="s">
        <v>22</v>
      </c>
      <c r="B14844" t="s">
        <v>3497</v>
      </c>
    </row>
    <row r="14845" spans="1:8" x14ac:dyDescent="0.25">
      <c r="A14845" t="s">
        <v>2539</v>
      </c>
      <c r="B14845" t="s">
        <v>3498</v>
      </c>
      <c r="D14845">
        <v>0</v>
      </c>
      <c r="E14845">
        <v>1800</v>
      </c>
      <c r="F14845">
        <v>0</v>
      </c>
      <c r="G14845">
        <v>1</v>
      </c>
      <c r="H14845" t="s">
        <v>19</v>
      </c>
    </row>
    <row r="14846" spans="1:8" x14ac:dyDescent="0.25">
      <c r="A14846" t="str">
        <f>"&lt;nominal&gt;" &amp;$D$14845&amp;"&lt;/nominal&gt;"</f>
        <v>&lt;nominal&gt;0&lt;/nominal&gt;</v>
      </c>
      <c r="B14846" t="s">
        <v>3498</v>
      </c>
    </row>
    <row r="14847" spans="1:8" x14ac:dyDescent="0.25">
      <c r="A14847" t="str">
        <f>"&lt;lifetime&gt;" &amp;$E$14845&amp;"&lt;/lifetime&gt;"</f>
        <v>&lt;lifetime&gt;1800&lt;/lifetime&gt;</v>
      </c>
      <c r="B14847" t="s">
        <v>3498</v>
      </c>
    </row>
    <row r="14848" spans="1:8" x14ac:dyDescent="0.25">
      <c r="A14848" t="str">
        <f>"&lt;restock&gt;" &amp;$F$14845&amp;"&lt;/restock&gt;"</f>
        <v>&lt;restock&gt;0&lt;/restock&gt;</v>
      </c>
      <c r="B14848" t="s">
        <v>3498</v>
      </c>
    </row>
    <row r="14849" spans="1:8" x14ac:dyDescent="0.25">
      <c r="A14849" t="str">
        <f>"&lt;min&gt;" &amp;$G$14845&amp;"&lt;/min&gt;"</f>
        <v>&lt;min&gt;1&lt;/min&gt;</v>
      </c>
      <c r="B14849" t="s">
        <v>3498</v>
      </c>
    </row>
    <row r="14850" spans="1:8" x14ac:dyDescent="0.25">
      <c r="A14850" t="s">
        <v>16</v>
      </c>
      <c r="B14850" t="s">
        <v>3498</v>
      </c>
    </row>
    <row r="14851" spans="1:8" x14ac:dyDescent="0.25">
      <c r="A14851" t="s">
        <v>17</v>
      </c>
      <c r="B14851" t="s">
        <v>3498</v>
      </c>
    </row>
    <row r="14852" spans="1:8" x14ac:dyDescent="0.25">
      <c r="A14852" t="s">
        <v>18</v>
      </c>
      <c r="B14852" t="s">
        <v>3498</v>
      </c>
    </row>
    <row r="14853" spans="1:8" x14ac:dyDescent="0.25">
      <c r="A14853" t="str">
        <f xml:space="preserve"> $H$14845</f>
        <v>&lt;flags count_in_cargo="0" count_in_hoarder="0" count_in_map="1" count_in_player="0" crafted="0" deloot="0"/&gt;</v>
      </c>
      <c r="B14853" t="s">
        <v>3498</v>
      </c>
    </row>
    <row r="14854" spans="1:8" x14ac:dyDescent="0.25">
      <c r="A14854" t="s">
        <v>22</v>
      </c>
      <c r="B14854" t="s">
        <v>3498</v>
      </c>
    </row>
    <row r="14855" spans="1:8" x14ac:dyDescent="0.25">
      <c r="A14855" t="s">
        <v>2540</v>
      </c>
      <c r="B14855" t="s">
        <v>3499</v>
      </c>
      <c r="D14855">
        <v>0</v>
      </c>
      <c r="E14855">
        <v>1800</v>
      </c>
      <c r="F14855">
        <v>0</v>
      </c>
      <c r="G14855">
        <v>1</v>
      </c>
      <c r="H14855" t="s">
        <v>19</v>
      </c>
    </row>
    <row r="14856" spans="1:8" x14ac:dyDescent="0.25">
      <c r="A14856" t="str">
        <f>"&lt;nominal&gt;" &amp;$D$14855&amp;"&lt;/nominal&gt;"</f>
        <v>&lt;nominal&gt;0&lt;/nominal&gt;</v>
      </c>
      <c r="B14856" t="s">
        <v>3499</v>
      </c>
    </row>
    <row r="14857" spans="1:8" x14ac:dyDescent="0.25">
      <c r="A14857" t="str">
        <f>"&lt;lifetime&gt;" &amp;$E$14855&amp;"&lt;/lifetime&gt;"</f>
        <v>&lt;lifetime&gt;1800&lt;/lifetime&gt;</v>
      </c>
      <c r="B14857" t="s">
        <v>3499</v>
      </c>
    </row>
    <row r="14858" spans="1:8" x14ac:dyDescent="0.25">
      <c r="A14858" t="str">
        <f>"&lt;restock&gt;" &amp;$F$14855&amp;"&lt;/restock&gt;"</f>
        <v>&lt;restock&gt;0&lt;/restock&gt;</v>
      </c>
      <c r="B14858" t="s">
        <v>3499</v>
      </c>
    </row>
    <row r="14859" spans="1:8" x14ac:dyDescent="0.25">
      <c r="A14859" t="str">
        <f>"&lt;min&gt;" &amp;$G$14855&amp;"&lt;/min&gt;"</f>
        <v>&lt;min&gt;1&lt;/min&gt;</v>
      </c>
      <c r="B14859" t="s">
        <v>3499</v>
      </c>
    </row>
    <row r="14860" spans="1:8" x14ac:dyDescent="0.25">
      <c r="A14860" t="s">
        <v>16</v>
      </c>
      <c r="B14860" t="s">
        <v>3499</v>
      </c>
    </row>
    <row r="14861" spans="1:8" x14ac:dyDescent="0.25">
      <c r="A14861" t="s">
        <v>17</v>
      </c>
      <c r="B14861" t="s">
        <v>3499</v>
      </c>
    </row>
    <row r="14862" spans="1:8" x14ac:dyDescent="0.25">
      <c r="A14862" t="s">
        <v>18</v>
      </c>
      <c r="B14862" t="s">
        <v>3499</v>
      </c>
    </row>
    <row r="14863" spans="1:8" x14ac:dyDescent="0.25">
      <c r="A14863" t="str">
        <f xml:space="preserve"> $H$14855</f>
        <v>&lt;flags count_in_cargo="0" count_in_hoarder="0" count_in_map="1" count_in_player="0" crafted="0" deloot="0"/&gt;</v>
      </c>
      <c r="B14863" t="s">
        <v>3499</v>
      </c>
    </row>
    <row r="14864" spans="1:8" x14ac:dyDescent="0.25">
      <c r="A14864" t="s">
        <v>22</v>
      </c>
      <c r="B14864" t="s">
        <v>3499</v>
      </c>
    </row>
    <row r="14865" spans="1:8" x14ac:dyDescent="0.25">
      <c r="A14865" t="s">
        <v>2541</v>
      </c>
      <c r="B14865" t="s">
        <v>3500</v>
      </c>
      <c r="D14865">
        <v>0</v>
      </c>
      <c r="E14865">
        <v>1800</v>
      </c>
      <c r="F14865">
        <v>0</v>
      </c>
      <c r="G14865">
        <v>1</v>
      </c>
      <c r="H14865" t="s">
        <v>19</v>
      </c>
    </row>
    <row r="14866" spans="1:8" x14ac:dyDescent="0.25">
      <c r="A14866" t="str">
        <f>"&lt;nominal&gt;" &amp;$D$14865&amp;"&lt;/nominal&gt;"</f>
        <v>&lt;nominal&gt;0&lt;/nominal&gt;</v>
      </c>
      <c r="B14866" t="s">
        <v>3500</v>
      </c>
    </row>
    <row r="14867" spans="1:8" x14ac:dyDescent="0.25">
      <c r="A14867" t="str">
        <f>"&lt;lifetime&gt;" &amp;$E$14865&amp;"&lt;/lifetime&gt;"</f>
        <v>&lt;lifetime&gt;1800&lt;/lifetime&gt;</v>
      </c>
      <c r="B14867" t="s">
        <v>3500</v>
      </c>
    </row>
    <row r="14868" spans="1:8" x14ac:dyDescent="0.25">
      <c r="A14868" t="str">
        <f>"&lt;restock&gt;" &amp;$F$14865&amp;"&lt;/restock&gt;"</f>
        <v>&lt;restock&gt;0&lt;/restock&gt;</v>
      </c>
      <c r="B14868" t="s">
        <v>3500</v>
      </c>
    </row>
    <row r="14869" spans="1:8" x14ac:dyDescent="0.25">
      <c r="A14869" t="str">
        <f>"&lt;min&gt;" &amp;$G$14865&amp;"&lt;/min&gt;"</f>
        <v>&lt;min&gt;1&lt;/min&gt;</v>
      </c>
      <c r="B14869" t="s">
        <v>3500</v>
      </c>
    </row>
    <row r="14870" spans="1:8" x14ac:dyDescent="0.25">
      <c r="A14870" t="s">
        <v>16</v>
      </c>
      <c r="B14870" t="s">
        <v>3500</v>
      </c>
    </row>
    <row r="14871" spans="1:8" x14ac:dyDescent="0.25">
      <c r="A14871" t="s">
        <v>17</v>
      </c>
      <c r="B14871" t="s">
        <v>3500</v>
      </c>
    </row>
    <row r="14872" spans="1:8" x14ac:dyDescent="0.25">
      <c r="A14872" t="s">
        <v>18</v>
      </c>
      <c r="B14872" t="s">
        <v>3500</v>
      </c>
    </row>
    <row r="14873" spans="1:8" x14ac:dyDescent="0.25">
      <c r="A14873" t="str">
        <f xml:space="preserve"> $H$14865</f>
        <v>&lt;flags count_in_cargo="0" count_in_hoarder="0" count_in_map="1" count_in_player="0" crafted="0" deloot="0"/&gt;</v>
      </c>
      <c r="B14873" t="s">
        <v>3500</v>
      </c>
    </row>
    <row r="14874" spans="1:8" x14ac:dyDescent="0.25">
      <c r="A14874" t="s">
        <v>22</v>
      </c>
      <c r="B14874" t="s">
        <v>3500</v>
      </c>
    </row>
    <row r="14875" spans="1:8" x14ac:dyDescent="0.25">
      <c r="A14875" t="s">
        <v>2542</v>
      </c>
      <c r="B14875" t="s">
        <v>3501</v>
      </c>
      <c r="D14875">
        <v>0</v>
      </c>
      <c r="E14875">
        <v>1800</v>
      </c>
      <c r="F14875">
        <v>0</v>
      </c>
      <c r="G14875">
        <v>1</v>
      </c>
      <c r="H14875" t="s">
        <v>19</v>
      </c>
    </row>
    <row r="14876" spans="1:8" x14ac:dyDescent="0.25">
      <c r="A14876" t="str">
        <f>"&lt;nominal&gt;" &amp;$D$14875&amp;"&lt;/nominal&gt;"</f>
        <v>&lt;nominal&gt;0&lt;/nominal&gt;</v>
      </c>
      <c r="B14876" t="s">
        <v>3501</v>
      </c>
    </row>
    <row r="14877" spans="1:8" x14ac:dyDescent="0.25">
      <c r="A14877" t="str">
        <f>"&lt;lifetime&gt;" &amp;$E$14875&amp;"&lt;/lifetime&gt;"</f>
        <v>&lt;lifetime&gt;1800&lt;/lifetime&gt;</v>
      </c>
      <c r="B14877" t="s">
        <v>3501</v>
      </c>
    </row>
    <row r="14878" spans="1:8" x14ac:dyDescent="0.25">
      <c r="A14878" t="str">
        <f>"&lt;restock&gt;" &amp;$F$14875&amp;"&lt;/restock&gt;"</f>
        <v>&lt;restock&gt;0&lt;/restock&gt;</v>
      </c>
      <c r="B14878" t="s">
        <v>3501</v>
      </c>
    </row>
    <row r="14879" spans="1:8" x14ac:dyDescent="0.25">
      <c r="A14879" t="str">
        <f>"&lt;min&gt;" &amp;$G$14875&amp;"&lt;/min&gt;"</f>
        <v>&lt;min&gt;1&lt;/min&gt;</v>
      </c>
      <c r="B14879" t="s">
        <v>3501</v>
      </c>
    </row>
    <row r="14880" spans="1:8" x14ac:dyDescent="0.25">
      <c r="A14880" t="s">
        <v>16</v>
      </c>
      <c r="B14880" t="s">
        <v>3501</v>
      </c>
    </row>
    <row r="14881" spans="1:8" x14ac:dyDescent="0.25">
      <c r="A14881" t="s">
        <v>17</v>
      </c>
      <c r="B14881" t="s">
        <v>3501</v>
      </c>
    </row>
    <row r="14882" spans="1:8" x14ac:dyDescent="0.25">
      <c r="A14882" t="s">
        <v>18</v>
      </c>
      <c r="B14882" t="s">
        <v>3501</v>
      </c>
    </row>
    <row r="14883" spans="1:8" x14ac:dyDescent="0.25">
      <c r="A14883" t="str">
        <f xml:space="preserve"> $H$14875</f>
        <v>&lt;flags count_in_cargo="0" count_in_hoarder="0" count_in_map="1" count_in_player="0" crafted="0" deloot="0"/&gt;</v>
      </c>
      <c r="B14883" t="s">
        <v>3501</v>
      </c>
    </row>
    <row r="14884" spans="1:8" x14ac:dyDescent="0.25">
      <c r="A14884" t="s">
        <v>22</v>
      </c>
      <c r="B14884" t="s">
        <v>3501</v>
      </c>
    </row>
    <row r="14885" spans="1:8" x14ac:dyDescent="0.25">
      <c r="A14885" t="s">
        <v>2543</v>
      </c>
      <c r="B14885" t="s">
        <v>3502</v>
      </c>
      <c r="D14885">
        <v>0</v>
      </c>
      <c r="E14885">
        <v>1800</v>
      </c>
      <c r="F14885">
        <v>0</v>
      </c>
      <c r="G14885">
        <v>1</v>
      </c>
      <c r="H14885" t="s">
        <v>19</v>
      </c>
    </row>
    <row r="14886" spans="1:8" x14ac:dyDescent="0.25">
      <c r="A14886" t="str">
        <f>"&lt;nominal&gt;" &amp;$D$14885&amp;"&lt;/nominal&gt;"</f>
        <v>&lt;nominal&gt;0&lt;/nominal&gt;</v>
      </c>
      <c r="B14886" t="s">
        <v>3502</v>
      </c>
    </row>
    <row r="14887" spans="1:8" x14ac:dyDescent="0.25">
      <c r="A14887" t="str">
        <f>"&lt;lifetime&gt;" &amp;$E$14885&amp;"&lt;/lifetime&gt;"</f>
        <v>&lt;lifetime&gt;1800&lt;/lifetime&gt;</v>
      </c>
      <c r="B14887" t="s">
        <v>3502</v>
      </c>
    </row>
    <row r="14888" spans="1:8" x14ac:dyDescent="0.25">
      <c r="A14888" t="str">
        <f>"&lt;restock&gt;" &amp;$F$14885&amp;"&lt;/restock&gt;"</f>
        <v>&lt;restock&gt;0&lt;/restock&gt;</v>
      </c>
      <c r="B14888" t="s">
        <v>3502</v>
      </c>
    </row>
    <row r="14889" spans="1:8" x14ac:dyDescent="0.25">
      <c r="A14889" t="str">
        <f>"&lt;min&gt;" &amp;$G$14885&amp;"&lt;/min&gt;"</f>
        <v>&lt;min&gt;1&lt;/min&gt;</v>
      </c>
      <c r="B14889" t="s">
        <v>3502</v>
      </c>
    </row>
    <row r="14890" spans="1:8" x14ac:dyDescent="0.25">
      <c r="A14890" t="s">
        <v>16</v>
      </c>
      <c r="B14890" t="s">
        <v>3502</v>
      </c>
    </row>
    <row r="14891" spans="1:8" x14ac:dyDescent="0.25">
      <c r="A14891" t="s">
        <v>17</v>
      </c>
      <c r="B14891" t="s">
        <v>3502</v>
      </c>
    </row>
    <row r="14892" spans="1:8" x14ac:dyDescent="0.25">
      <c r="A14892" t="s">
        <v>18</v>
      </c>
      <c r="B14892" t="s">
        <v>3502</v>
      </c>
    </row>
    <row r="14893" spans="1:8" x14ac:dyDescent="0.25">
      <c r="A14893" t="str">
        <f xml:space="preserve"> $H$14885</f>
        <v>&lt;flags count_in_cargo="0" count_in_hoarder="0" count_in_map="1" count_in_player="0" crafted="0" deloot="0"/&gt;</v>
      </c>
      <c r="B14893" t="s">
        <v>3502</v>
      </c>
    </row>
    <row r="14894" spans="1:8" x14ac:dyDescent="0.25">
      <c r="A14894" t="s">
        <v>22</v>
      </c>
      <c r="B14894" t="s">
        <v>3502</v>
      </c>
    </row>
    <row r="14895" spans="1:8" x14ac:dyDescent="0.25">
      <c r="A14895" t="s">
        <v>2544</v>
      </c>
      <c r="B14895" t="s">
        <v>3503</v>
      </c>
      <c r="D14895">
        <v>0</v>
      </c>
      <c r="E14895">
        <v>1800</v>
      </c>
      <c r="F14895">
        <v>0</v>
      </c>
      <c r="G14895">
        <v>1</v>
      </c>
      <c r="H14895" t="s">
        <v>19</v>
      </c>
    </row>
    <row r="14896" spans="1:8" x14ac:dyDescent="0.25">
      <c r="A14896" t="str">
        <f>"&lt;nominal&gt;" &amp;$D$14895&amp;"&lt;/nominal&gt;"</f>
        <v>&lt;nominal&gt;0&lt;/nominal&gt;</v>
      </c>
      <c r="B14896" t="s">
        <v>3503</v>
      </c>
    </row>
    <row r="14897" spans="1:8" x14ac:dyDescent="0.25">
      <c r="A14897" t="str">
        <f>"&lt;lifetime&gt;" &amp;$E$14895&amp;"&lt;/lifetime&gt;"</f>
        <v>&lt;lifetime&gt;1800&lt;/lifetime&gt;</v>
      </c>
      <c r="B14897" t="s">
        <v>3503</v>
      </c>
    </row>
    <row r="14898" spans="1:8" x14ac:dyDescent="0.25">
      <c r="A14898" t="str">
        <f>"&lt;restock&gt;" &amp;$F$14895&amp;"&lt;/restock&gt;"</f>
        <v>&lt;restock&gt;0&lt;/restock&gt;</v>
      </c>
      <c r="B14898" t="s">
        <v>3503</v>
      </c>
    </row>
    <row r="14899" spans="1:8" x14ac:dyDescent="0.25">
      <c r="A14899" t="str">
        <f>"&lt;min&gt;" &amp;$G$14895&amp;"&lt;/min&gt;"</f>
        <v>&lt;min&gt;1&lt;/min&gt;</v>
      </c>
      <c r="B14899" t="s">
        <v>3503</v>
      </c>
    </row>
    <row r="14900" spans="1:8" x14ac:dyDescent="0.25">
      <c r="A14900" t="s">
        <v>16</v>
      </c>
      <c r="B14900" t="s">
        <v>3503</v>
      </c>
    </row>
    <row r="14901" spans="1:8" x14ac:dyDescent="0.25">
      <c r="A14901" t="s">
        <v>17</v>
      </c>
      <c r="B14901" t="s">
        <v>3503</v>
      </c>
    </row>
    <row r="14902" spans="1:8" x14ac:dyDescent="0.25">
      <c r="A14902" t="s">
        <v>18</v>
      </c>
      <c r="B14902" t="s">
        <v>3503</v>
      </c>
    </row>
    <row r="14903" spans="1:8" x14ac:dyDescent="0.25">
      <c r="A14903" t="str">
        <f xml:space="preserve"> $H$14895</f>
        <v>&lt;flags count_in_cargo="0" count_in_hoarder="0" count_in_map="1" count_in_player="0" crafted="0" deloot="0"/&gt;</v>
      </c>
      <c r="B14903" t="s">
        <v>3503</v>
      </c>
    </row>
    <row r="14904" spans="1:8" x14ac:dyDescent="0.25">
      <c r="A14904" t="s">
        <v>22</v>
      </c>
      <c r="B14904" t="s">
        <v>3503</v>
      </c>
    </row>
    <row r="14905" spans="1:8" x14ac:dyDescent="0.25">
      <c r="A14905" t="s">
        <v>2545</v>
      </c>
      <c r="B14905" t="s">
        <v>3504</v>
      </c>
      <c r="D14905">
        <v>0</v>
      </c>
      <c r="E14905">
        <v>1800</v>
      </c>
      <c r="F14905">
        <v>0</v>
      </c>
      <c r="G14905">
        <v>1</v>
      </c>
      <c r="H14905" t="s">
        <v>19</v>
      </c>
    </row>
    <row r="14906" spans="1:8" x14ac:dyDescent="0.25">
      <c r="A14906" t="str">
        <f>"&lt;nominal&gt;" &amp;$D$14905&amp;"&lt;/nominal&gt;"</f>
        <v>&lt;nominal&gt;0&lt;/nominal&gt;</v>
      </c>
      <c r="B14906" t="s">
        <v>3504</v>
      </c>
    </row>
    <row r="14907" spans="1:8" x14ac:dyDescent="0.25">
      <c r="A14907" t="str">
        <f>"&lt;lifetime&gt;" &amp;$E$14905&amp;"&lt;/lifetime&gt;"</f>
        <v>&lt;lifetime&gt;1800&lt;/lifetime&gt;</v>
      </c>
      <c r="B14907" t="s">
        <v>3504</v>
      </c>
    </row>
    <row r="14908" spans="1:8" x14ac:dyDescent="0.25">
      <c r="A14908" t="str">
        <f>"&lt;restock&gt;" &amp;$F$14905&amp;"&lt;/restock&gt;"</f>
        <v>&lt;restock&gt;0&lt;/restock&gt;</v>
      </c>
      <c r="B14908" t="s">
        <v>3504</v>
      </c>
    </row>
    <row r="14909" spans="1:8" x14ac:dyDescent="0.25">
      <c r="A14909" t="str">
        <f>"&lt;min&gt;" &amp;$G$14905&amp;"&lt;/min&gt;"</f>
        <v>&lt;min&gt;1&lt;/min&gt;</v>
      </c>
      <c r="B14909" t="s">
        <v>3504</v>
      </c>
    </row>
    <row r="14910" spans="1:8" x14ac:dyDescent="0.25">
      <c r="A14910" t="s">
        <v>16</v>
      </c>
      <c r="B14910" t="s">
        <v>3504</v>
      </c>
    </row>
    <row r="14911" spans="1:8" x14ac:dyDescent="0.25">
      <c r="A14911" t="s">
        <v>17</v>
      </c>
      <c r="B14911" t="s">
        <v>3504</v>
      </c>
    </row>
    <row r="14912" spans="1:8" x14ac:dyDescent="0.25">
      <c r="A14912" t="s">
        <v>18</v>
      </c>
      <c r="B14912" t="s">
        <v>3504</v>
      </c>
    </row>
    <row r="14913" spans="1:8" x14ac:dyDescent="0.25">
      <c r="A14913" t="str">
        <f xml:space="preserve"> $H$14905</f>
        <v>&lt;flags count_in_cargo="0" count_in_hoarder="0" count_in_map="1" count_in_player="0" crafted="0" deloot="0"/&gt;</v>
      </c>
      <c r="B14913" t="s">
        <v>3504</v>
      </c>
    </row>
    <row r="14914" spans="1:8" x14ac:dyDescent="0.25">
      <c r="A14914" t="s">
        <v>22</v>
      </c>
      <c r="B14914" t="s">
        <v>3504</v>
      </c>
    </row>
    <row r="14915" spans="1:8" x14ac:dyDescent="0.25">
      <c r="A14915" t="s">
        <v>2546</v>
      </c>
      <c r="B14915" t="s">
        <v>3505</v>
      </c>
      <c r="D14915">
        <v>0</v>
      </c>
      <c r="E14915">
        <v>1800</v>
      </c>
      <c r="F14915">
        <v>0</v>
      </c>
      <c r="G14915">
        <v>1</v>
      </c>
      <c r="H14915" t="s">
        <v>19</v>
      </c>
    </row>
    <row r="14916" spans="1:8" x14ac:dyDescent="0.25">
      <c r="A14916" t="str">
        <f>"&lt;nominal&gt;" &amp;$D$14915&amp;"&lt;/nominal&gt;"</f>
        <v>&lt;nominal&gt;0&lt;/nominal&gt;</v>
      </c>
      <c r="B14916" t="s">
        <v>3505</v>
      </c>
    </row>
    <row r="14917" spans="1:8" x14ac:dyDescent="0.25">
      <c r="A14917" t="str">
        <f>"&lt;lifetime&gt;" &amp;$E$14915&amp;"&lt;/lifetime&gt;"</f>
        <v>&lt;lifetime&gt;1800&lt;/lifetime&gt;</v>
      </c>
      <c r="B14917" t="s">
        <v>3505</v>
      </c>
    </row>
    <row r="14918" spans="1:8" x14ac:dyDescent="0.25">
      <c r="A14918" t="str">
        <f>"&lt;restock&gt;" &amp;$F$14915&amp;"&lt;/restock&gt;"</f>
        <v>&lt;restock&gt;0&lt;/restock&gt;</v>
      </c>
      <c r="B14918" t="s">
        <v>3505</v>
      </c>
    </row>
    <row r="14919" spans="1:8" x14ac:dyDescent="0.25">
      <c r="A14919" t="str">
        <f>"&lt;min&gt;" &amp;$G$14915&amp;"&lt;/min&gt;"</f>
        <v>&lt;min&gt;1&lt;/min&gt;</v>
      </c>
      <c r="B14919" t="s">
        <v>3505</v>
      </c>
    </row>
    <row r="14920" spans="1:8" x14ac:dyDescent="0.25">
      <c r="A14920" t="s">
        <v>16</v>
      </c>
      <c r="B14920" t="s">
        <v>3505</v>
      </c>
    </row>
    <row r="14921" spans="1:8" x14ac:dyDescent="0.25">
      <c r="A14921" t="s">
        <v>17</v>
      </c>
      <c r="B14921" t="s">
        <v>3505</v>
      </c>
    </row>
    <row r="14922" spans="1:8" x14ac:dyDescent="0.25">
      <c r="A14922" t="s">
        <v>18</v>
      </c>
      <c r="B14922" t="s">
        <v>3505</v>
      </c>
    </row>
    <row r="14923" spans="1:8" x14ac:dyDescent="0.25">
      <c r="A14923" t="str">
        <f xml:space="preserve"> $H$14915</f>
        <v>&lt;flags count_in_cargo="0" count_in_hoarder="0" count_in_map="1" count_in_player="0" crafted="0" deloot="0"/&gt;</v>
      </c>
      <c r="B14923" t="s">
        <v>3505</v>
      </c>
    </row>
    <row r="14924" spans="1:8" x14ac:dyDescent="0.25">
      <c r="A14924" t="s">
        <v>22</v>
      </c>
      <c r="B14924" t="s">
        <v>3505</v>
      </c>
    </row>
    <row r="14925" spans="1:8" x14ac:dyDescent="0.25">
      <c r="A14925" t="s">
        <v>2547</v>
      </c>
      <c r="B14925" t="s">
        <v>3506</v>
      </c>
      <c r="D14925">
        <v>0</v>
      </c>
      <c r="E14925">
        <v>1800</v>
      </c>
      <c r="F14925">
        <v>0</v>
      </c>
      <c r="G14925">
        <v>1</v>
      </c>
      <c r="H14925" t="s">
        <v>19</v>
      </c>
    </row>
    <row r="14926" spans="1:8" x14ac:dyDescent="0.25">
      <c r="A14926" t="str">
        <f>"&lt;nominal&gt;" &amp;$D$14925&amp;"&lt;/nominal&gt;"</f>
        <v>&lt;nominal&gt;0&lt;/nominal&gt;</v>
      </c>
      <c r="B14926" t="s">
        <v>3506</v>
      </c>
    </row>
    <row r="14927" spans="1:8" x14ac:dyDescent="0.25">
      <c r="A14927" t="str">
        <f>"&lt;lifetime&gt;" &amp;$E$14925&amp;"&lt;/lifetime&gt;"</f>
        <v>&lt;lifetime&gt;1800&lt;/lifetime&gt;</v>
      </c>
      <c r="B14927" t="s">
        <v>3506</v>
      </c>
    </row>
    <row r="14928" spans="1:8" x14ac:dyDescent="0.25">
      <c r="A14928" t="str">
        <f>"&lt;restock&gt;" &amp;$F$14925&amp;"&lt;/restock&gt;"</f>
        <v>&lt;restock&gt;0&lt;/restock&gt;</v>
      </c>
      <c r="B14928" t="s">
        <v>3506</v>
      </c>
    </row>
    <row r="14929" spans="1:8" x14ac:dyDescent="0.25">
      <c r="A14929" t="str">
        <f>"&lt;min&gt;" &amp;$G$14925&amp;"&lt;/min&gt;"</f>
        <v>&lt;min&gt;1&lt;/min&gt;</v>
      </c>
      <c r="B14929" t="s">
        <v>3506</v>
      </c>
    </row>
    <row r="14930" spans="1:8" x14ac:dyDescent="0.25">
      <c r="A14930" t="s">
        <v>16</v>
      </c>
      <c r="B14930" t="s">
        <v>3506</v>
      </c>
    </row>
    <row r="14931" spans="1:8" x14ac:dyDescent="0.25">
      <c r="A14931" t="s">
        <v>17</v>
      </c>
      <c r="B14931" t="s">
        <v>3506</v>
      </c>
    </row>
    <row r="14932" spans="1:8" x14ac:dyDescent="0.25">
      <c r="A14932" t="s">
        <v>18</v>
      </c>
      <c r="B14932" t="s">
        <v>3506</v>
      </c>
    </row>
    <row r="14933" spans="1:8" x14ac:dyDescent="0.25">
      <c r="A14933" t="str">
        <f xml:space="preserve"> $H$14925</f>
        <v>&lt;flags count_in_cargo="0" count_in_hoarder="0" count_in_map="1" count_in_player="0" crafted="0" deloot="0"/&gt;</v>
      </c>
      <c r="B14933" t="s">
        <v>3506</v>
      </c>
    </row>
    <row r="14934" spans="1:8" x14ac:dyDescent="0.25">
      <c r="A14934" t="s">
        <v>22</v>
      </c>
      <c r="B14934" t="s">
        <v>3506</v>
      </c>
    </row>
    <row r="14935" spans="1:8" x14ac:dyDescent="0.25">
      <c r="A14935" t="s">
        <v>2548</v>
      </c>
      <c r="B14935" t="s">
        <v>3507</v>
      </c>
      <c r="D14935">
        <v>0</v>
      </c>
      <c r="E14935">
        <v>1800</v>
      </c>
      <c r="F14935">
        <v>0</v>
      </c>
      <c r="G14935">
        <v>1</v>
      </c>
      <c r="H14935" t="s">
        <v>19</v>
      </c>
    </row>
    <row r="14936" spans="1:8" x14ac:dyDescent="0.25">
      <c r="A14936" t="str">
        <f>"&lt;nominal&gt;" &amp;$D$14935&amp;"&lt;/nominal&gt;"</f>
        <v>&lt;nominal&gt;0&lt;/nominal&gt;</v>
      </c>
      <c r="B14936" t="s">
        <v>3507</v>
      </c>
    </row>
    <row r="14937" spans="1:8" x14ac:dyDescent="0.25">
      <c r="A14937" t="str">
        <f>"&lt;lifetime&gt;" &amp;$E$14935&amp;"&lt;/lifetime&gt;"</f>
        <v>&lt;lifetime&gt;1800&lt;/lifetime&gt;</v>
      </c>
      <c r="B14937" t="s">
        <v>3507</v>
      </c>
    </row>
    <row r="14938" spans="1:8" x14ac:dyDescent="0.25">
      <c r="A14938" t="str">
        <f>"&lt;restock&gt;" &amp;$F$14935&amp;"&lt;/restock&gt;"</f>
        <v>&lt;restock&gt;0&lt;/restock&gt;</v>
      </c>
      <c r="B14938" t="s">
        <v>3507</v>
      </c>
    </row>
    <row r="14939" spans="1:8" x14ac:dyDescent="0.25">
      <c r="A14939" t="str">
        <f>"&lt;min&gt;" &amp;$G$14935&amp;"&lt;/min&gt;"</f>
        <v>&lt;min&gt;1&lt;/min&gt;</v>
      </c>
      <c r="B14939" t="s">
        <v>3507</v>
      </c>
    </row>
    <row r="14940" spans="1:8" x14ac:dyDescent="0.25">
      <c r="A14940" t="s">
        <v>16</v>
      </c>
      <c r="B14940" t="s">
        <v>3507</v>
      </c>
    </row>
    <row r="14941" spans="1:8" x14ac:dyDescent="0.25">
      <c r="A14941" t="s">
        <v>17</v>
      </c>
      <c r="B14941" t="s">
        <v>3507</v>
      </c>
    </row>
    <row r="14942" spans="1:8" x14ac:dyDescent="0.25">
      <c r="A14942" t="s">
        <v>18</v>
      </c>
      <c r="B14942" t="s">
        <v>3507</v>
      </c>
    </row>
    <row r="14943" spans="1:8" x14ac:dyDescent="0.25">
      <c r="A14943" t="str">
        <f xml:space="preserve"> $H$14935</f>
        <v>&lt;flags count_in_cargo="0" count_in_hoarder="0" count_in_map="1" count_in_player="0" crafted="0" deloot="0"/&gt;</v>
      </c>
      <c r="B14943" t="s">
        <v>3507</v>
      </c>
    </row>
    <row r="14944" spans="1:8" x14ac:dyDescent="0.25">
      <c r="A14944" t="s">
        <v>22</v>
      </c>
      <c r="B14944" t="s">
        <v>3507</v>
      </c>
    </row>
    <row r="14945" spans="1:8" x14ac:dyDescent="0.25">
      <c r="A14945" t="s">
        <v>2549</v>
      </c>
      <c r="B14945" t="s">
        <v>3508</v>
      </c>
      <c r="D14945">
        <v>0</v>
      </c>
      <c r="E14945">
        <v>1800</v>
      </c>
      <c r="F14945">
        <v>0</v>
      </c>
      <c r="G14945">
        <v>1</v>
      </c>
      <c r="H14945" t="s">
        <v>19</v>
      </c>
    </row>
    <row r="14946" spans="1:8" x14ac:dyDescent="0.25">
      <c r="A14946" t="str">
        <f>"&lt;nominal&gt;" &amp;$D$14945&amp;"&lt;/nominal&gt;"</f>
        <v>&lt;nominal&gt;0&lt;/nominal&gt;</v>
      </c>
      <c r="B14946" t="s">
        <v>3508</v>
      </c>
    </row>
    <row r="14947" spans="1:8" x14ac:dyDescent="0.25">
      <c r="A14947" t="str">
        <f>"&lt;lifetime&gt;" &amp;$E$14945&amp;"&lt;/lifetime&gt;"</f>
        <v>&lt;lifetime&gt;1800&lt;/lifetime&gt;</v>
      </c>
      <c r="B14947" t="s">
        <v>3508</v>
      </c>
    </row>
    <row r="14948" spans="1:8" x14ac:dyDescent="0.25">
      <c r="A14948" t="str">
        <f>"&lt;restock&gt;" &amp;$F$14945&amp;"&lt;/restock&gt;"</f>
        <v>&lt;restock&gt;0&lt;/restock&gt;</v>
      </c>
      <c r="B14948" t="s">
        <v>3508</v>
      </c>
    </row>
    <row r="14949" spans="1:8" x14ac:dyDescent="0.25">
      <c r="A14949" t="str">
        <f>"&lt;min&gt;" &amp;$G$14945&amp;"&lt;/min&gt;"</f>
        <v>&lt;min&gt;1&lt;/min&gt;</v>
      </c>
      <c r="B14949" t="s">
        <v>3508</v>
      </c>
    </row>
    <row r="14950" spans="1:8" x14ac:dyDescent="0.25">
      <c r="A14950" t="s">
        <v>16</v>
      </c>
      <c r="B14950" t="s">
        <v>3508</v>
      </c>
    </row>
    <row r="14951" spans="1:8" x14ac:dyDescent="0.25">
      <c r="A14951" t="s">
        <v>17</v>
      </c>
      <c r="B14951" t="s">
        <v>3508</v>
      </c>
    </row>
    <row r="14952" spans="1:8" x14ac:dyDescent="0.25">
      <c r="A14952" t="s">
        <v>18</v>
      </c>
      <c r="B14952" t="s">
        <v>3508</v>
      </c>
    </row>
    <row r="14953" spans="1:8" x14ac:dyDescent="0.25">
      <c r="A14953" t="str">
        <f xml:space="preserve"> $H$14945</f>
        <v>&lt;flags count_in_cargo="0" count_in_hoarder="0" count_in_map="1" count_in_player="0" crafted="0" deloot="0"/&gt;</v>
      </c>
      <c r="B14953" t="s">
        <v>3508</v>
      </c>
    </row>
    <row r="14954" spans="1:8" x14ac:dyDescent="0.25">
      <c r="A14954" t="s">
        <v>22</v>
      </c>
      <c r="B14954" t="s">
        <v>3508</v>
      </c>
    </row>
    <row r="14955" spans="1:8" x14ac:dyDescent="0.25">
      <c r="A14955" t="s">
        <v>2550</v>
      </c>
      <c r="B14955" t="s">
        <v>3509</v>
      </c>
      <c r="D14955">
        <v>0</v>
      </c>
      <c r="E14955">
        <v>1800</v>
      </c>
      <c r="F14955">
        <v>0</v>
      </c>
      <c r="G14955">
        <v>1</v>
      </c>
      <c r="H14955" t="s">
        <v>19</v>
      </c>
    </row>
    <row r="14956" spans="1:8" x14ac:dyDescent="0.25">
      <c r="A14956" t="str">
        <f>"&lt;nominal&gt;" &amp;$D$14955&amp;"&lt;/nominal&gt;"</f>
        <v>&lt;nominal&gt;0&lt;/nominal&gt;</v>
      </c>
      <c r="B14956" t="s">
        <v>3509</v>
      </c>
    </row>
    <row r="14957" spans="1:8" x14ac:dyDescent="0.25">
      <c r="A14957" t="str">
        <f>"&lt;lifetime&gt;" &amp;$E$14955&amp;"&lt;/lifetime&gt;"</f>
        <v>&lt;lifetime&gt;1800&lt;/lifetime&gt;</v>
      </c>
      <c r="B14957" t="s">
        <v>3509</v>
      </c>
    </row>
    <row r="14958" spans="1:8" x14ac:dyDescent="0.25">
      <c r="A14958" t="str">
        <f>"&lt;restock&gt;" &amp;$F$14955&amp;"&lt;/restock&gt;"</f>
        <v>&lt;restock&gt;0&lt;/restock&gt;</v>
      </c>
      <c r="B14958" t="s">
        <v>3509</v>
      </c>
    </row>
    <row r="14959" spans="1:8" x14ac:dyDescent="0.25">
      <c r="A14959" t="str">
        <f>"&lt;min&gt;" &amp;$G$14955&amp;"&lt;/min&gt;"</f>
        <v>&lt;min&gt;1&lt;/min&gt;</v>
      </c>
      <c r="B14959" t="s">
        <v>3509</v>
      </c>
    </row>
    <row r="14960" spans="1:8" x14ac:dyDescent="0.25">
      <c r="A14960" t="s">
        <v>16</v>
      </c>
      <c r="B14960" t="s">
        <v>3509</v>
      </c>
    </row>
    <row r="14961" spans="1:8" x14ac:dyDescent="0.25">
      <c r="A14961" t="s">
        <v>17</v>
      </c>
      <c r="B14961" t="s">
        <v>3509</v>
      </c>
    </row>
    <row r="14962" spans="1:8" x14ac:dyDescent="0.25">
      <c r="A14962" t="s">
        <v>18</v>
      </c>
      <c r="B14962" t="s">
        <v>3509</v>
      </c>
    </row>
    <row r="14963" spans="1:8" x14ac:dyDescent="0.25">
      <c r="A14963" t="str">
        <f xml:space="preserve"> $H$14955</f>
        <v>&lt;flags count_in_cargo="0" count_in_hoarder="0" count_in_map="1" count_in_player="0" crafted="0" deloot="0"/&gt;</v>
      </c>
      <c r="B14963" t="s">
        <v>3509</v>
      </c>
    </row>
    <row r="14964" spans="1:8" x14ac:dyDescent="0.25">
      <c r="A14964" t="s">
        <v>22</v>
      </c>
      <c r="B14964" t="s">
        <v>3509</v>
      </c>
    </row>
    <row r="14965" spans="1:8" x14ac:dyDescent="0.25">
      <c r="A14965" t="s">
        <v>2551</v>
      </c>
      <c r="B14965" t="s">
        <v>3510</v>
      </c>
      <c r="D14965">
        <v>0</v>
      </c>
      <c r="E14965">
        <v>1800</v>
      </c>
      <c r="F14965">
        <v>0</v>
      </c>
      <c r="G14965">
        <v>1</v>
      </c>
      <c r="H14965" t="s">
        <v>19</v>
      </c>
    </row>
    <row r="14966" spans="1:8" x14ac:dyDescent="0.25">
      <c r="A14966" t="str">
        <f>"&lt;nominal&gt;" &amp;$D$14965&amp;"&lt;/nominal&gt;"</f>
        <v>&lt;nominal&gt;0&lt;/nominal&gt;</v>
      </c>
      <c r="B14966" t="s">
        <v>3510</v>
      </c>
    </row>
    <row r="14967" spans="1:8" x14ac:dyDescent="0.25">
      <c r="A14967" t="str">
        <f>"&lt;lifetime&gt;" &amp;$E$14965&amp;"&lt;/lifetime&gt;"</f>
        <v>&lt;lifetime&gt;1800&lt;/lifetime&gt;</v>
      </c>
      <c r="B14967" t="s">
        <v>3510</v>
      </c>
    </row>
    <row r="14968" spans="1:8" x14ac:dyDescent="0.25">
      <c r="A14968" t="str">
        <f>"&lt;restock&gt;" &amp;$F$14965&amp;"&lt;/restock&gt;"</f>
        <v>&lt;restock&gt;0&lt;/restock&gt;</v>
      </c>
      <c r="B14968" t="s">
        <v>3510</v>
      </c>
    </row>
    <row r="14969" spans="1:8" x14ac:dyDescent="0.25">
      <c r="A14969" t="str">
        <f>"&lt;min&gt;" &amp;$G$14965&amp;"&lt;/min&gt;"</f>
        <v>&lt;min&gt;1&lt;/min&gt;</v>
      </c>
      <c r="B14969" t="s">
        <v>3510</v>
      </c>
    </row>
    <row r="14970" spans="1:8" x14ac:dyDescent="0.25">
      <c r="A14970" t="s">
        <v>16</v>
      </c>
      <c r="B14970" t="s">
        <v>3510</v>
      </c>
    </row>
    <row r="14971" spans="1:8" x14ac:dyDescent="0.25">
      <c r="A14971" t="s">
        <v>17</v>
      </c>
      <c r="B14971" t="s">
        <v>3510</v>
      </c>
    </row>
    <row r="14972" spans="1:8" x14ac:dyDescent="0.25">
      <c r="A14972" t="s">
        <v>18</v>
      </c>
      <c r="B14972" t="s">
        <v>3510</v>
      </c>
    </row>
    <row r="14973" spans="1:8" x14ac:dyDescent="0.25">
      <c r="A14973" t="str">
        <f xml:space="preserve"> $H$14965</f>
        <v>&lt;flags count_in_cargo="0" count_in_hoarder="0" count_in_map="1" count_in_player="0" crafted="0" deloot="0"/&gt;</v>
      </c>
      <c r="B14973" t="s">
        <v>3510</v>
      </c>
    </row>
    <row r="14974" spans="1:8" x14ac:dyDescent="0.25">
      <c r="A14974" t="s">
        <v>22</v>
      </c>
      <c r="B14974" t="s">
        <v>3510</v>
      </c>
    </row>
    <row r="14975" spans="1:8" x14ac:dyDescent="0.25">
      <c r="A14975" t="s">
        <v>2552</v>
      </c>
      <c r="B14975" t="s">
        <v>3511</v>
      </c>
      <c r="D14975">
        <v>0</v>
      </c>
      <c r="E14975">
        <v>1800</v>
      </c>
      <c r="F14975">
        <v>0</v>
      </c>
      <c r="G14975">
        <v>1</v>
      </c>
      <c r="H14975" t="s">
        <v>19</v>
      </c>
    </row>
    <row r="14976" spans="1:8" x14ac:dyDescent="0.25">
      <c r="A14976" t="str">
        <f>"&lt;nominal&gt;" &amp;$D$14975&amp;"&lt;/nominal&gt;"</f>
        <v>&lt;nominal&gt;0&lt;/nominal&gt;</v>
      </c>
      <c r="B14976" t="s">
        <v>3511</v>
      </c>
    </row>
    <row r="14977" spans="1:8" x14ac:dyDescent="0.25">
      <c r="A14977" t="str">
        <f>"&lt;lifetime&gt;" &amp;$E$14975&amp;"&lt;/lifetime&gt;"</f>
        <v>&lt;lifetime&gt;1800&lt;/lifetime&gt;</v>
      </c>
      <c r="B14977" t="s">
        <v>3511</v>
      </c>
    </row>
    <row r="14978" spans="1:8" x14ac:dyDescent="0.25">
      <c r="A14978" t="str">
        <f>"&lt;restock&gt;" &amp;$F$14975&amp;"&lt;/restock&gt;"</f>
        <v>&lt;restock&gt;0&lt;/restock&gt;</v>
      </c>
      <c r="B14978" t="s">
        <v>3511</v>
      </c>
    </row>
    <row r="14979" spans="1:8" x14ac:dyDescent="0.25">
      <c r="A14979" t="str">
        <f>"&lt;min&gt;" &amp;$G$14975&amp;"&lt;/min&gt;"</f>
        <v>&lt;min&gt;1&lt;/min&gt;</v>
      </c>
      <c r="B14979" t="s">
        <v>3511</v>
      </c>
    </row>
    <row r="14980" spans="1:8" x14ac:dyDescent="0.25">
      <c r="A14980" t="s">
        <v>16</v>
      </c>
      <c r="B14980" t="s">
        <v>3511</v>
      </c>
    </row>
    <row r="14981" spans="1:8" x14ac:dyDescent="0.25">
      <c r="A14981" t="s">
        <v>17</v>
      </c>
      <c r="B14981" t="s">
        <v>3511</v>
      </c>
    </row>
    <row r="14982" spans="1:8" x14ac:dyDescent="0.25">
      <c r="A14982" t="s">
        <v>18</v>
      </c>
      <c r="B14982" t="s">
        <v>3511</v>
      </c>
    </row>
    <row r="14983" spans="1:8" x14ac:dyDescent="0.25">
      <c r="A14983" t="str">
        <f xml:space="preserve"> $H$14975</f>
        <v>&lt;flags count_in_cargo="0" count_in_hoarder="0" count_in_map="1" count_in_player="0" crafted="0" deloot="0"/&gt;</v>
      </c>
      <c r="B14983" t="s">
        <v>3511</v>
      </c>
    </row>
    <row r="14984" spans="1:8" x14ac:dyDescent="0.25">
      <c r="A14984" t="s">
        <v>22</v>
      </c>
      <c r="B14984" t="s">
        <v>3511</v>
      </c>
    </row>
    <row r="14985" spans="1:8" x14ac:dyDescent="0.25">
      <c r="A14985" t="s">
        <v>2553</v>
      </c>
      <c r="B14985" t="s">
        <v>3512</v>
      </c>
      <c r="D14985">
        <v>0</v>
      </c>
      <c r="E14985">
        <v>1800</v>
      </c>
      <c r="F14985">
        <v>0</v>
      </c>
      <c r="G14985">
        <v>1</v>
      </c>
      <c r="H14985" t="s">
        <v>19</v>
      </c>
    </row>
    <row r="14986" spans="1:8" x14ac:dyDescent="0.25">
      <c r="A14986" t="str">
        <f>"&lt;nominal&gt;" &amp;$D$14985&amp;"&lt;/nominal&gt;"</f>
        <v>&lt;nominal&gt;0&lt;/nominal&gt;</v>
      </c>
      <c r="B14986" t="s">
        <v>3512</v>
      </c>
    </row>
    <row r="14987" spans="1:8" x14ac:dyDescent="0.25">
      <c r="A14987" t="str">
        <f>"&lt;lifetime&gt;" &amp;$E$14985&amp;"&lt;/lifetime&gt;"</f>
        <v>&lt;lifetime&gt;1800&lt;/lifetime&gt;</v>
      </c>
      <c r="B14987" t="s">
        <v>3512</v>
      </c>
    </row>
    <row r="14988" spans="1:8" x14ac:dyDescent="0.25">
      <c r="A14988" t="str">
        <f>"&lt;restock&gt;" &amp;$F$14985&amp;"&lt;/restock&gt;"</f>
        <v>&lt;restock&gt;0&lt;/restock&gt;</v>
      </c>
      <c r="B14988" t="s">
        <v>3512</v>
      </c>
    </row>
    <row r="14989" spans="1:8" x14ac:dyDescent="0.25">
      <c r="A14989" t="str">
        <f>"&lt;min&gt;" &amp;$G$14985&amp;"&lt;/min&gt;"</f>
        <v>&lt;min&gt;1&lt;/min&gt;</v>
      </c>
      <c r="B14989" t="s">
        <v>3512</v>
      </c>
    </row>
    <row r="14990" spans="1:8" x14ac:dyDescent="0.25">
      <c r="A14990" t="s">
        <v>16</v>
      </c>
      <c r="B14990" t="s">
        <v>3512</v>
      </c>
    </row>
    <row r="14991" spans="1:8" x14ac:dyDescent="0.25">
      <c r="A14991" t="s">
        <v>17</v>
      </c>
      <c r="B14991" t="s">
        <v>3512</v>
      </c>
    </row>
    <row r="14992" spans="1:8" x14ac:dyDescent="0.25">
      <c r="A14992" t="s">
        <v>18</v>
      </c>
      <c r="B14992" t="s">
        <v>3512</v>
      </c>
    </row>
    <row r="14993" spans="1:8" x14ac:dyDescent="0.25">
      <c r="A14993" t="str">
        <f xml:space="preserve"> $H$14985</f>
        <v>&lt;flags count_in_cargo="0" count_in_hoarder="0" count_in_map="1" count_in_player="0" crafted="0" deloot="0"/&gt;</v>
      </c>
      <c r="B14993" t="s">
        <v>3512</v>
      </c>
    </row>
    <row r="14994" spans="1:8" x14ac:dyDescent="0.25">
      <c r="A14994" t="s">
        <v>22</v>
      </c>
      <c r="B14994" t="s">
        <v>3512</v>
      </c>
    </row>
    <row r="14995" spans="1:8" x14ac:dyDescent="0.25">
      <c r="A14995" t="s">
        <v>2554</v>
      </c>
      <c r="B14995" t="s">
        <v>3513</v>
      </c>
      <c r="D14995">
        <v>0</v>
      </c>
      <c r="E14995">
        <v>1800</v>
      </c>
      <c r="F14995">
        <v>0</v>
      </c>
      <c r="G14995">
        <v>1</v>
      </c>
      <c r="H14995" t="s">
        <v>19</v>
      </c>
    </row>
    <row r="14996" spans="1:8" x14ac:dyDescent="0.25">
      <c r="A14996" t="str">
        <f>"&lt;nominal&gt;" &amp;$D$14995&amp;"&lt;/nominal&gt;"</f>
        <v>&lt;nominal&gt;0&lt;/nominal&gt;</v>
      </c>
      <c r="B14996" t="s">
        <v>3513</v>
      </c>
    </row>
    <row r="14997" spans="1:8" x14ac:dyDescent="0.25">
      <c r="A14997" t="str">
        <f>"&lt;lifetime&gt;" &amp;$E$14995&amp;"&lt;/lifetime&gt;"</f>
        <v>&lt;lifetime&gt;1800&lt;/lifetime&gt;</v>
      </c>
      <c r="B14997" t="s">
        <v>3513</v>
      </c>
    </row>
    <row r="14998" spans="1:8" x14ac:dyDescent="0.25">
      <c r="A14998" t="str">
        <f>"&lt;restock&gt;" &amp;$F$14995&amp;"&lt;/restock&gt;"</f>
        <v>&lt;restock&gt;0&lt;/restock&gt;</v>
      </c>
      <c r="B14998" t="s">
        <v>3513</v>
      </c>
    </row>
    <row r="14999" spans="1:8" x14ac:dyDescent="0.25">
      <c r="A14999" t="str">
        <f>"&lt;min&gt;" &amp;$G$14995&amp;"&lt;/min&gt;"</f>
        <v>&lt;min&gt;1&lt;/min&gt;</v>
      </c>
      <c r="B14999" t="s">
        <v>3513</v>
      </c>
    </row>
    <row r="15000" spans="1:8" x14ac:dyDescent="0.25">
      <c r="A15000" t="s">
        <v>16</v>
      </c>
      <c r="B15000" t="s">
        <v>3513</v>
      </c>
    </row>
    <row r="15001" spans="1:8" x14ac:dyDescent="0.25">
      <c r="A15001" t="s">
        <v>17</v>
      </c>
      <c r="B15001" t="s">
        <v>3513</v>
      </c>
    </row>
    <row r="15002" spans="1:8" x14ac:dyDescent="0.25">
      <c r="A15002" t="s">
        <v>18</v>
      </c>
      <c r="B15002" t="s">
        <v>3513</v>
      </c>
    </row>
    <row r="15003" spans="1:8" x14ac:dyDescent="0.25">
      <c r="A15003" t="str">
        <f xml:space="preserve"> $H$14995</f>
        <v>&lt;flags count_in_cargo="0" count_in_hoarder="0" count_in_map="1" count_in_player="0" crafted="0" deloot="0"/&gt;</v>
      </c>
      <c r="B15003" t="s">
        <v>3513</v>
      </c>
    </row>
    <row r="15004" spans="1:8" x14ac:dyDescent="0.25">
      <c r="A15004" t="s">
        <v>22</v>
      </c>
      <c r="B15004" t="s">
        <v>3513</v>
      </c>
    </row>
    <row r="15005" spans="1:8" x14ac:dyDescent="0.25">
      <c r="A15005" t="s">
        <v>2555</v>
      </c>
      <c r="B15005" t="s">
        <v>3514</v>
      </c>
      <c r="D15005">
        <v>0</v>
      </c>
      <c r="E15005">
        <v>1800</v>
      </c>
      <c r="F15005">
        <v>0</v>
      </c>
      <c r="G15005">
        <v>1</v>
      </c>
      <c r="H15005" t="s">
        <v>19</v>
      </c>
    </row>
    <row r="15006" spans="1:8" x14ac:dyDescent="0.25">
      <c r="A15006" t="str">
        <f>"&lt;nominal&gt;" &amp;$D$15005&amp;"&lt;/nominal&gt;"</f>
        <v>&lt;nominal&gt;0&lt;/nominal&gt;</v>
      </c>
      <c r="B15006" t="s">
        <v>3514</v>
      </c>
    </row>
    <row r="15007" spans="1:8" x14ac:dyDescent="0.25">
      <c r="A15007" t="str">
        <f>"&lt;lifetime&gt;" &amp;$E$15005&amp;"&lt;/lifetime&gt;"</f>
        <v>&lt;lifetime&gt;1800&lt;/lifetime&gt;</v>
      </c>
      <c r="B15007" t="s">
        <v>3514</v>
      </c>
    </row>
    <row r="15008" spans="1:8" x14ac:dyDescent="0.25">
      <c r="A15008" t="str">
        <f>"&lt;restock&gt;" &amp;$F$15005&amp;"&lt;/restock&gt;"</f>
        <v>&lt;restock&gt;0&lt;/restock&gt;</v>
      </c>
      <c r="B15008" t="s">
        <v>3514</v>
      </c>
    </row>
    <row r="15009" spans="1:8" x14ac:dyDescent="0.25">
      <c r="A15009" t="str">
        <f>"&lt;min&gt;" &amp;$G$15005&amp;"&lt;/min&gt;"</f>
        <v>&lt;min&gt;1&lt;/min&gt;</v>
      </c>
      <c r="B15009" t="s">
        <v>3514</v>
      </c>
    </row>
    <row r="15010" spans="1:8" x14ac:dyDescent="0.25">
      <c r="A15010" t="s">
        <v>16</v>
      </c>
      <c r="B15010" t="s">
        <v>3514</v>
      </c>
    </row>
    <row r="15011" spans="1:8" x14ac:dyDescent="0.25">
      <c r="A15011" t="s">
        <v>17</v>
      </c>
      <c r="B15011" t="s">
        <v>3514</v>
      </c>
    </row>
    <row r="15012" spans="1:8" x14ac:dyDescent="0.25">
      <c r="A15012" t="s">
        <v>18</v>
      </c>
      <c r="B15012" t="s">
        <v>3514</v>
      </c>
    </row>
    <row r="15013" spans="1:8" x14ac:dyDescent="0.25">
      <c r="A15013" t="str">
        <f xml:space="preserve"> $H$15005</f>
        <v>&lt;flags count_in_cargo="0" count_in_hoarder="0" count_in_map="1" count_in_player="0" crafted="0" deloot="0"/&gt;</v>
      </c>
      <c r="B15013" t="s">
        <v>3514</v>
      </c>
    </row>
    <row r="15014" spans="1:8" x14ac:dyDescent="0.25">
      <c r="A15014" t="s">
        <v>22</v>
      </c>
      <c r="B15014" t="s">
        <v>3514</v>
      </c>
    </row>
    <row r="15015" spans="1:8" x14ac:dyDescent="0.25">
      <c r="A15015" t="s">
        <v>2556</v>
      </c>
      <c r="B15015" t="s">
        <v>3515</v>
      </c>
      <c r="D15015">
        <v>0</v>
      </c>
      <c r="E15015">
        <v>1800</v>
      </c>
      <c r="F15015">
        <v>0</v>
      </c>
      <c r="G15015">
        <v>1</v>
      </c>
      <c r="H15015" t="s">
        <v>19</v>
      </c>
    </row>
    <row r="15016" spans="1:8" x14ac:dyDescent="0.25">
      <c r="A15016" t="str">
        <f>"&lt;nominal&gt;" &amp;$D$15015&amp;"&lt;/nominal&gt;"</f>
        <v>&lt;nominal&gt;0&lt;/nominal&gt;</v>
      </c>
      <c r="B15016" t="s">
        <v>3515</v>
      </c>
    </row>
    <row r="15017" spans="1:8" x14ac:dyDescent="0.25">
      <c r="A15017" t="str">
        <f>"&lt;lifetime&gt;" &amp;$E$15015&amp;"&lt;/lifetime&gt;"</f>
        <v>&lt;lifetime&gt;1800&lt;/lifetime&gt;</v>
      </c>
      <c r="B15017" t="s">
        <v>3515</v>
      </c>
    </row>
    <row r="15018" spans="1:8" x14ac:dyDescent="0.25">
      <c r="A15018" t="str">
        <f>"&lt;restock&gt;" &amp;$F$15015&amp;"&lt;/restock&gt;"</f>
        <v>&lt;restock&gt;0&lt;/restock&gt;</v>
      </c>
      <c r="B15018" t="s">
        <v>3515</v>
      </c>
    </row>
    <row r="15019" spans="1:8" x14ac:dyDescent="0.25">
      <c r="A15019" t="str">
        <f>"&lt;min&gt;" &amp;$G$15015&amp;"&lt;/min&gt;"</f>
        <v>&lt;min&gt;1&lt;/min&gt;</v>
      </c>
      <c r="B15019" t="s">
        <v>3515</v>
      </c>
    </row>
    <row r="15020" spans="1:8" x14ac:dyDescent="0.25">
      <c r="A15020" t="s">
        <v>16</v>
      </c>
      <c r="B15020" t="s">
        <v>3515</v>
      </c>
    </row>
    <row r="15021" spans="1:8" x14ac:dyDescent="0.25">
      <c r="A15021" t="s">
        <v>17</v>
      </c>
      <c r="B15021" t="s">
        <v>3515</v>
      </c>
    </row>
    <row r="15022" spans="1:8" x14ac:dyDescent="0.25">
      <c r="A15022" t="s">
        <v>18</v>
      </c>
      <c r="B15022" t="s">
        <v>3515</v>
      </c>
    </row>
    <row r="15023" spans="1:8" x14ac:dyDescent="0.25">
      <c r="A15023" t="str">
        <f xml:space="preserve"> $H$15015</f>
        <v>&lt;flags count_in_cargo="0" count_in_hoarder="0" count_in_map="1" count_in_player="0" crafted="0" deloot="0"/&gt;</v>
      </c>
      <c r="B15023" t="s">
        <v>3515</v>
      </c>
    </row>
    <row r="15024" spans="1:8" x14ac:dyDescent="0.25">
      <c r="A15024" t="s">
        <v>22</v>
      </c>
      <c r="B15024" t="s">
        <v>3515</v>
      </c>
    </row>
    <row r="15025" spans="1:8" x14ac:dyDescent="0.25">
      <c r="A15025" t="s">
        <v>2557</v>
      </c>
      <c r="B15025" t="s">
        <v>3516</v>
      </c>
      <c r="D15025">
        <v>0</v>
      </c>
      <c r="E15025">
        <v>1800</v>
      </c>
      <c r="F15025">
        <v>0</v>
      </c>
      <c r="G15025">
        <v>1</v>
      </c>
      <c r="H15025" t="s">
        <v>19</v>
      </c>
    </row>
    <row r="15026" spans="1:8" x14ac:dyDescent="0.25">
      <c r="A15026" t="str">
        <f>"&lt;nominal&gt;" &amp;$D$15025&amp;"&lt;/nominal&gt;"</f>
        <v>&lt;nominal&gt;0&lt;/nominal&gt;</v>
      </c>
      <c r="B15026" t="s">
        <v>3516</v>
      </c>
    </row>
    <row r="15027" spans="1:8" x14ac:dyDescent="0.25">
      <c r="A15027" t="str">
        <f>"&lt;lifetime&gt;" &amp;$E$15025&amp;"&lt;/lifetime&gt;"</f>
        <v>&lt;lifetime&gt;1800&lt;/lifetime&gt;</v>
      </c>
      <c r="B15027" t="s">
        <v>3516</v>
      </c>
    </row>
    <row r="15028" spans="1:8" x14ac:dyDescent="0.25">
      <c r="A15028" t="str">
        <f>"&lt;restock&gt;" &amp;$F$15025&amp;"&lt;/restock&gt;"</f>
        <v>&lt;restock&gt;0&lt;/restock&gt;</v>
      </c>
      <c r="B15028" t="s">
        <v>3516</v>
      </c>
    </row>
    <row r="15029" spans="1:8" x14ac:dyDescent="0.25">
      <c r="A15029" t="str">
        <f>"&lt;min&gt;" &amp;$G$15025&amp;"&lt;/min&gt;"</f>
        <v>&lt;min&gt;1&lt;/min&gt;</v>
      </c>
      <c r="B15029" t="s">
        <v>3516</v>
      </c>
    </row>
    <row r="15030" spans="1:8" x14ac:dyDescent="0.25">
      <c r="A15030" t="s">
        <v>16</v>
      </c>
      <c r="B15030" t="s">
        <v>3516</v>
      </c>
    </row>
    <row r="15031" spans="1:8" x14ac:dyDescent="0.25">
      <c r="A15031" t="s">
        <v>17</v>
      </c>
      <c r="B15031" t="s">
        <v>3516</v>
      </c>
    </row>
    <row r="15032" spans="1:8" x14ac:dyDescent="0.25">
      <c r="A15032" t="s">
        <v>18</v>
      </c>
      <c r="B15032" t="s">
        <v>3516</v>
      </c>
    </row>
    <row r="15033" spans="1:8" x14ac:dyDescent="0.25">
      <c r="A15033" t="str">
        <f xml:space="preserve"> $H$15025</f>
        <v>&lt;flags count_in_cargo="0" count_in_hoarder="0" count_in_map="1" count_in_player="0" crafted="0" deloot="0"/&gt;</v>
      </c>
      <c r="B15033" t="s">
        <v>3516</v>
      </c>
    </row>
    <row r="15034" spans="1:8" x14ac:dyDescent="0.25">
      <c r="A15034" t="s">
        <v>22</v>
      </c>
      <c r="B15034" t="s">
        <v>3516</v>
      </c>
    </row>
    <row r="15035" spans="1:8" x14ac:dyDescent="0.25">
      <c r="A15035" t="s">
        <v>2558</v>
      </c>
      <c r="B15035" t="s">
        <v>3517</v>
      </c>
      <c r="D15035">
        <v>0</v>
      </c>
      <c r="E15035">
        <v>1800</v>
      </c>
      <c r="F15035">
        <v>0</v>
      </c>
      <c r="G15035">
        <v>1</v>
      </c>
      <c r="H15035" t="s">
        <v>19</v>
      </c>
    </row>
    <row r="15036" spans="1:8" x14ac:dyDescent="0.25">
      <c r="A15036" t="str">
        <f>"&lt;nominal&gt;" &amp;$D$15035&amp;"&lt;/nominal&gt;"</f>
        <v>&lt;nominal&gt;0&lt;/nominal&gt;</v>
      </c>
      <c r="B15036" t="s">
        <v>3517</v>
      </c>
    </row>
    <row r="15037" spans="1:8" x14ac:dyDescent="0.25">
      <c r="A15037" t="str">
        <f>"&lt;lifetime&gt;" &amp;$E$15035&amp;"&lt;/lifetime&gt;"</f>
        <v>&lt;lifetime&gt;1800&lt;/lifetime&gt;</v>
      </c>
      <c r="B15037" t="s">
        <v>3517</v>
      </c>
    </row>
    <row r="15038" spans="1:8" x14ac:dyDescent="0.25">
      <c r="A15038" t="str">
        <f>"&lt;restock&gt;" &amp;$F$15035&amp;"&lt;/restock&gt;"</f>
        <v>&lt;restock&gt;0&lt;/restock&gt;</v>
      </c>
      <c r="B15038" t="s">
        <v>3517</v>
      </c>
    </row>
    <row r="15039" spans="1:8" x14ac:dyDescent="0.25">
      <c r="A15039" t="str">
        <f>"&lt;min&gt;" &amp;$G$15035&amp;"&lt;/min&gt;"</f>
        <v>&lt;min&gt;1&lt;/min&gt;</v>
      </c>
      <c r="B15039" t="s">
        <v>3517</v>
      </c>
    </row>
    <row r="15040" spans="1:8" x14ac:dyDescent="0.25">
      <c r="A15040" t="s">
        <v>16</v>
      </c>
      <c r="B15040" t="s">
        <v>3517</v>
      </c>
    </row>
    <row r="15041" spans="1:8" x14ac:dyDescent="0.25">
      <c r="A15041" t="s">
        <v>17</v>
      </c>
      <c r="B15041" t="s">
        <v>3517</v>
      </c>
    </row>
    <row r="15042" spans="1:8" x14ac:dyDescent="0.25">
      <c r="A15042" t="s">
        <v>18</v>
      </c>
      <c r="B15042" t="s">
        <v>3517</v>
      </c>
    </row>
    <row r="15043" spans="1:8" x14ac:dyDescent="0.25">
      <c r="A15043" t="str">
        <f xml:space="preserve"> $H$15035</f>
        <v>&lt;flags count_in_cargo="0" count_in_hoarder="0" count_in_map="1" count_in_player="0" crafted="0" deloot="0"/&gt;</v>
      </c>
      <c r="B15043" t="s">
        <v>3517</v>
      </c>
    </row>
    <row r="15044" spans="1:8" x14ac:dyDescent="0.25">
      <c r="A15044" t="s">
        <v>22</v>
      </c>
      <c r="B15044" t="s">
        <v>3517</v>
      </c>
    </row>
    <row r="15045" spans="1:8" x14ac:dyDescent="0.25">
      <c r="A15045" t="s">
        <v>2559</v>
      </c>
      <c r="B15045" t="s">
        <v>3518</v>
      </c>
      <c r="D15045">
        <v>0</v>
      </c>
      <c r="E15045">
        <v>1800</v>
      </c>
      <c r="F15045">
        <v>0</v>
      </c>
      <c r="G15045">
        <v>1</v>
      </c>
      <c r="H15045" t="s">
        <v>19</v>
      </c>
    </row>
    <row r="15046" spans="1:8" x14ac:dyDescent="0.25">
      <c r="A15046" t="str">
        <f>"&lt;nominal&gt;" &amp;$D$15045&amp;"&lt;/nominal&gt;"</f>
        <v>&lt;nominal&gt;0&lt;/nominal&gt;</v>
      </c>
      <c r="B15046" t="s">
        <v>3518</v>
      </c>
    </row>
    <row r="15047" spans="1:8" x14ac:dyDescent="0.25">
      <c r="A15047" t="str">
        <f>"&lt;lifetime&gt;" &amp;$E$15045&amp;"&lt;/lifetime&gt;"</f>
        <v>&lt;lifetime&gt;1800&lt;/lifetime&gt;</v>
      </c>
      <c r="B15047" t="s">
        <v>3518</v>
      </c>
    </row>
    <row r="15048" spans="1:8" x14ac:dyDescent="0.25">
      <c r="A15048" t="str">
        <f>"&lt;restock&gt;" &amp;$F$15045&amp;"&lt;/restock&gt;"</f>
        <v>&lt;restock&gt;0&lt;/restock&gt;</v>
      </c>
      <c r="B15048" t="s">
        <v>3518</v>
      </c>
    </row>
    <row r="15049" spans="1:8" x14ac:dyDescent="0.25">
      <c r="A15049" t="str">
        <f>"&lt;min&gt;" &amp;$G$15045&amp;"&lt;/min&gt;"</f>
        <v>&lt;min&gt;1&lt;/min&gt;</v>
      </c>
      <c r="B15049" t="s">
        <v>3518</v>
      </c>
    </row>
    <row r="15050" spans="1:8" x14ac:dyDescent="0.25">
      <c r="A15050" t="s">
        <v>16</v>
      </c>
      <c r="B15050" t="s">
        <v>3518</v>
      </c>
    </row>
    <row r="15051" spans="1:8" x14ac:dyDescent="0.25">
      <c r="A15051" t="s">
        <v>17</v>
      </c>
      <c r="B15051" t="s">
        <v>3518</v>
      </c>
    </row>
    <row r="15052" spans="1:8" x14ac:dyDescent="0.25">
      <c r="A15052" t="s">
        <v>18</v>
      </c>
      <c r="B15052" t="s">
        <v>3518</v>
      </c>
    </row>
    <row r="15053" spans="1:8" x14ac:dyDescent="0.25">
      <c r="A15053" t="str">
        <f xml:space="preserve"> $H$15045</f>
        <v>&lt;flags count_in_cargo="0" count_in_hoarder="0" count_in_map="1" count_in_player="0" crafted="0" deloot="0"/&gt;</v>
      </c>
      <c r="B15053" t="s">
        <v>3518</v>
      </c>
    </row>
    <row r="15054" spans="1:8" x14ac:dyDescent="0.25">
      <c r="A15054" t="s">
        <v>22</v>
      </c>
      <c r="B15054" t="s">
        <v>3518</v>
      </c>
    </row>
    <row r="15055" spans="1:8" x14ac:dyDescent="0.25">
      <c r="A15055" t="s">
        <v>2560</v>
      </c>
      <c r="B15055" t="s">
        <v>3519</v>
      </c>
      <c r="D15055">
        <v>0</v>
      </c>
      <c r="E15055">
        <v>1800</v>
      </c>
      <c r="F15055">
        <v>0</v>
      </c>
      <c r="G15055">
        <v>1</v>
      </c>
      <c r="H15055" t="s">
        <v>19</v>
      </c>
    </row>
    <row r="15056" spans="1:8" x14ac:dyDescent="0.25">
      <c r="A15056" t="str">
        <f>"&lt;nominal&gt;" &amp;$D$15055&amp;"&lt;/nominal&gt;"</f>
        <v>&lt;nominal&gt;0&lt;/nominal&gt;</v>
      </c>
      <c r="B15056" t="s">
        <v>3519</v>
      </c>
    </row>
    <row r="15057" spans="1:8" x14ac:dyDescent="0.25">
      <c r="A15057" t="str">
        <f>"&lt;lifetime&gt;" &amp;$E$15055&amp;"&lt;/lifetime&gt;"</f>
        <v>&lt;lifetime&gt;1800&lt;/lifetime&gt;</v>
      </c>
      <c r="B15057" t="s">
        <v>3519</v>
      </c>
    </row>
    <row r="15058" spans="1:8" x14ac:dyDescent="0.25">
      <c r="A15058" t="str">
        <f>"&lt;restock&gt;" &amp;$F$15055&amp;"&lt;/restock&gt;"</f>
        <v>&lt;restock&gt;0&lt;/restock&gt;</v>
      </c>
      <c r="B15058" t="s">
        <v>3519</v>
      </c>
    </row>
    <row r="15059" spans="1:8" x14ac:dyDescent="0.25">
      <c r="A15059" t="str">
        <f>"&lt;min&gt;" &amp;$G$15055&amp;"&lt;/min&gt;"</f>
        <v>&lt;min&gt;1&lt;/min&gt;</v>
      </c>
      <c r="B15059" t="s">
        <v>3519</v>
      </c>
    </row>
    <row r="15060" spans="1:8" x14ac:dyDescent="0.25">
      <c r="A15060" t="s">
        <v>16</v>
      </c>
      <c r="B15060" t="s">
        <v>3519</v>
      </c>
    </row>
    <row r="15061" spans="1:8" x14ac:dyDescent="0.25">
      <c r="A15061" t="s">
        <v>17</v>
      </c>
      <c r="B15061" t="s">
        <v>3519</v>
      </c>
    </row>
    <row r="15062" spans="1:8" x14ac:dyDescent="0.25">
      <c r="A15062" t="s">
        <v>18</v>
      </c>
      <c r="B15062" t="s">
        <v>3519</v>
      </c>
    </row>
    <row r="15063" spans="1:8" x14ac:dyDescent="0.25">
      <c r="A15063" t="str">
        <f xml:space="preserve"> $H$15055</f>
        <v>&lt;flags count_in_cargo="0" count_in_hoarder="0" count_in_map="1" count_in_player="0" crafted="0" deloot="0"/&gt;</v>
      </c>
      <c r="B15063" t="s">
        <v>3519</v>
      </c>
    </row>
    <row r="15064" spans="1:8" x14ac:dyDescent="0.25">
      <c r="A15064" t="s">
        <v>22</v>
      </c>
      <c r="B15064" t="s">
        <v>3519</v>
      </c>
    </row>
    <row r="15065" spans="1:8" x14ac:dyDescent="0.25">
      <c r="A15065" t="s">
        <v>2561</v>
      </c>
      <c r="B15065" t="s">
        <v>3520</v>
      </c>
      <c r="D15065">
        <v>0</v>
      </c>
      <c r="E15065">
        <v>1800</v>
      </c>
      <c r="F15065">
        <v>0</v>
      </c>
      <c r="G15065">
        <v>1</v>
      </c>
      <c r="H15065" t="s">
        <v>19</v>
      </c>
    </row>
    <row r="15066" spans="1:8" x14ac:dyDescent="0.25">
      <c r="A15066" t="str">
        <f>"&lt;nominal&gt;" &amp;$D$15065&amp;"&lt;/nominal&gt;"</f>
        <v>&lt;nominal&gt;0&lt;/nominal&gt;</v>
      </c>
      <c r="B15066" t="s">
        <v>3520</v>
      </c>
    </row>
    <row r="15067" spans="1:8" x14ac:dyDescent="0.25">
      <c r="A15067" t="str">
        <f>"&lt;lifetime&gt;" &amp;$E$15065&amp;"&lt;/lifetime&gt;"</f>
        <v>&lt;lifetime&gt;1800&lt;/lifetime&gt;</v>
      </c>
      <c r="B15067" t="s">
        <v>3520</v>
      </c>
    </row>
    <row r="15068" spans="1:8" x14ac:dyDescent="0.25">
      <c r="A15068" t="str">
        <f>"&lt;restock&gt;" &amp;$F$15065&amp;"&lt;/restock&gt;"</f>
        <v>&lt;restock&gt;0&lt;/restock&gt;</v>
      </c>
      <c r="B15068" t="s">
        <v>3520</v>
      </c>
    </row>
    <row r="15069" spans="1:8" x14ac:dyDescent="0.25">
      <c r="A15069" t="str">
        <f>"&lt;min&gt;" &amp;$G$15065&amp;"&lt;/min&gt;"</f>
        <v>&lt;min&gt;1&lt;/min&gt;</v>
      </c>
      <c r="B15069" t="s">
        <v>3520</v>
      </c>
    </row>
    <row r="15070" spans="1:8" x14ac:dyDescent="0.25">
      <c r="A15070" t="s">
        <v>16</v>
      </c>
      <c r="B15070" t="s">
        <v>3520</v>
      </c>
    </row>
    <row r="15071" spans="1:8" x14ac:dyDescent="0.25">
      <c r="A15071" t="s">
        <v>17</v>
      </c>
      <c r="B15071" t="s">
        <v>3520</v>
      </c>
    </row>
    <row r="15072" spans="1:8" x14ac:dyDescent="0.25">
      <c r="A15072" t="s">
        <v>18</v>
      </c>
      <c r="B15072" t="s">
        <v>3520</v>
      </c>
    </row>
    <row r="15073" spans="1:8" x14ac:dyDescent="0.25">
      <c r="A15073" t="str">
        <f xml:space="preserve"> $H$15065</f>
        <v>&lt;flags count_in_cargo="0" count_in_hoarder="0" count_in_map="1" count_in_player="0" crafted="0" deloot="0"/&gt;</v>
      </c>
      <c r="B15073" t="s">
        <v>3520</v>
      </c>
    </row>
    <row r="15074" spans="1:8" x14ac:dyDescent="0.25">
      <c r="A15074" t="s">
        <v>22</v>
      </c>
      <c r="B15074" t="s">
        <v>3520</v>
      </c>
    </row>
    <row r="15075" spans="1:8" x14ac:dyDescent="0.25">
      <c r="A15075" t="s">
        <v>2562</v>
      </c>
      <c r="B15075" t="s">
        <v>3521</v>
      </c>
      <c r="D15075">
        <v>0</v>
      </c>
      <c r="E15075">
        <v>1800</v>
      </c>
      <c r="F15075">
        <v>0</v>
      </c>
      <c r="G15075">
        <v>1</v>
      </c>
      <c r="H15075" t="s">
        <v>19</v>
      </c>
    </row>
    <row r="15076" spans="1:8" x14ac:dyDescent="0.25">
      <c r="A15076" t="str">
        <f>"&lt;nominal&gt;" &amp;$D$15075&amp;"&lt;/nominal&gt;"</f>
        <v>&lt;nominal&gt;0&lt;/nominal&gt;</v>
      </c>
      <c r="B15076" t="s">
        <v>3521</v>
      </c>
    </row>
    <row r="15077" spans="1:8" x14ac:dyDescent="0.25">
      <c r="A15077" t="str">
        <f>"&lt;lifetime&gt;" &amp;$E$15075&amp;"&lt;/lifetime&gt;"</f>
        <v>&lt;lifetime&gt;1800&lt;/lifetime&gt;</v>
      </c>
      <c r="B15077" t="s">
        <v>3521</v>
      </c>
    </row>
    <row r="15078" spans="1:8" x14ac:dyDescent="0.25">
      <c r="A15078" t="str">
        <f>"&lt;restock&gt;" &amp;$F$15075&amp;"&lt;/restock&gt;"</f>
        <v>&lt;restock&gt;0&lt;/restock&gt;</v>
      </c>
      <c r="B15078" t="s">
        <v>3521</v>
      </c>
    </row>
    <row r="15079" spans="1:8" x14ac:dyDescent="0.25">
      <c r="A15079" t="str">
        <f>"&lt;min&gt;" &amp;$G$15075&amp;"&lt;/min&gt;"</f>
        <v>&lt;min&gt;1&lt;/min&gt;</v>
      </c>
      <c r="B15079" t="s">
        <v>3521</v>
      </c>
    </row>
    <row r="15080" spans="1:8" x14ac:dyDescent="0.25">
      <c r="A15080" t="s">
        <v>16</v>
      </c>
      <c r="B15080" t="s">
        <v>3521</v>
      </c>
    </row>
    <row r="15081" spans="1:8" x14ac:dyDescent="0.25">
      <c r="A15081" t="s">
        <v>17</v>
      </c>
      <c r="B15081" t="s">
        <v>3521</v>
      </c>
    </row>
    <row r="15082" spans="1:8" x14ac:dyDescent="0.25">
      <c r="A15082" t="s">
        <v>18</v>
      </c>
      <c r="B15082" t="s">
        <v>3521</v>
      </c>
    </row>
    <row r="15083" spans="1:8" x14ac:dyDescent="0.25">
      <c r="A15083" t="str">
        <f xml:space="preserve"> $H$15075</f>
        <v>&lt;flags count_in_cargo="0" count_in_hoarder="0" count_in_map="1" count_in_player="0" crafted="0" deloot="0"/&gt;</v>
      </c>
      <c r="B15083" t="s">
        <v>3521</v>
      </c>
    </row>
    <row r="15084" spans="1:8" x14ac:dyDescent="0.25">
      <c r="A15084" t="s">
        <v>22</v>
      </c>
      <c r="B15084" t="s">
        <v>3521</v>
      </c>
    </row>
    <row r="15085" spans="1:8" x14ac:dyDescent="0.25">
      <c r="A15085" t="s">
        <v>2563</v>
      </c>
      <c r="B15085" t="s">
        <v>3522</v>
      </c>
      <c r="D15085">
        <v>0</v>
      </c>
      <c r="E15085">
        <v>1800</v>
      </c>
      <c r="F15085">
        <v>0</v>
      </c>
      <c r="G15085">
        <v>1</v>
      </c>
      <c r="H15085" t="s">
        <v>19</v>
      </c>
    </row>
    <row r="15086" spans="1:8" x14ac:dyDescent="0.25">
      <c r="A15086" t="str">
        <f>"&lt;nominal&gt;" &amp;$D$15085&amp;"&lt;/nominal&gt;"</f>
        <v>&lt;nominal&gt;0&lt;/nominal&gt;</v>
      </c>
      <c r="B15086" t="s">
        <v>3522</v>
      </c>
    </row>
    <row r="15087" spans="1:8" x14ac:dyDescent="0.25">
      <c r="A15087" t="str">
        <f>"&lt;lifetime&gt;" &amp;$E$15085&amp;"&lt;/lifetime&gt;"</f>
        <v>&lt;lifetime&gt;1800&lt;/lifetime&gt;</v>
      </c>
      <c r="B15087" t="s">
        <v>3522</v>
      </c>
    </row>
    <row r="15088" spans="1:8" x14ac:dyDescent="0.25">
      <c r="A15088" t="str">
        <f>"&lt;restock&gt;" &amp;$F$15085&amp;"&lt;/restock&gt;"</f>
        <v>&lt;restock&gt;0&lt;/restock&gt;</v>
      </c>
      <c r="B15088" t="s">
        <v>3522</v>
      </c>
    </row>
    <row r="15089" spans="1:8" x14ac:dyDescent="0.25">
      <c r="A15089" t="str">
        <f>"&lt;min&gt;" &amp;$G$15085&amp;"&lt;/min&gt;"</f>
        <v>&lt;min&gt;1&lt;/min&gt;</v>
      </c>
      <c r="B15089" t="s">
        <v>3522</v>
      </c>
    </row>
    <row r="15090" spans="1:8" x14ac:dyDescent="0.25">
      <c r="A15090" t="s">
        <v>16</v>
      </c>
      <c r="B15090" t="s">
        <v>3522</v>
      </c>
    </row>
    <row r="15091" spans="1:8" x14ac:dyDescent="0.25">
      <c r="A15091" t="s">
        <v>17</v>
      </c>
      <c r="B15091" t="s">
        <v>3522</v>
      </c>
    </row>
    <row r="15092" spans="1:8" x14ac:dyDescent="0.25">
      <c r="A15092" t="s">
        <v>18</v>
      </c>
      <c r="B15092" t="s">
        <v>3522</v>
      </c>
    </row>
    <row r="15093" spans="1:8" x14ac:dyDescent="0.25">
      <c r="A15093" t="str">
        <f xml:space="preserve"> $H$15085</f>
        <v>&lt;flags count_in_cargo="0" count_in_hoarder="0" count_in_map="1" count_in_player="0" crafted="0" deloot="0"/&gt;</v>
      </c>
      <c r="B15093" t="s">
        <v>3522</v>
      </c>
    </row>
    <row r="15094" spans="1:8" x14ac:dyDescent="0.25">
      <c r="A15094" t="s">
        <v>22</v>
      </c>
      <c r="B15094" t="s">
        <v>3522</v>
      </c>
    </row>
    <row r="15095" spans="1:8" x14ac:dyDescent="0.25">
      <c r="A15095" t="s">
        <v>2564</v>
      </c>
      <c r="B15095" t="s">
        <v>3523</v>
      </c>
      <c r="D15095">
        <v>0</v>
      </c>
      <c r="E15095">
        <v>1800</v>
      </c>
      <c r="F15095">
        <v>0</v>
      </c>
      <c r="G15095">
        <v>1</v>
      </c>
      <c r="H15095" t="s">
        <v>19</v>
      </c>
    </row>
    <row r="15096" spans="1:8" x14ac:dyDescent="0.25">
      <c r="A15096" t="str">
        <f>"&lt;nominal&gt;" &amp;$D$15095&amp;"&lt;/nominal&gt;"</f>
        <v>&lt;nominal&gt;0&lt;/nominal&gt;</v>
      </c>
      <c r="B15096" t="s">
        <v>3523</v>
      </c>
    </row>
    <row r="15097" spans="1:8" x14ac:dyDescent="0.25">
      <c r="A15097" t="str">
        <f>"&lt;lifetime&gt;" &amp;$E$15095&amp;"&lt;/lifetime&gt;"</f>
        <v>&lt;lifetime&gt;1800&lt;/lifetime&gt;</v>
      </c>
      <c r="B15097" t="s">
        <v>3523</v>
      </c>
    </row>
    <row r="15098" spans="1:8" x14ac:dyDescent="0.25">
      <c r="A15098" t="str">
        <f>"&lt;restock&gt;" &amp;$F$15095&amp;"&lt;/restock&gt;"</f>
        <v>&lt;restock&gt;0&lt;/restock&gt;</v>
      </c>
      <c r="B15098" t="s">
        <v>3523</v>
      </c>
    </row>
    <row r="15099" spans="1:8" x14ac:dyDescent="0.25">
      <c r="A15099" t="str">
        <f>"&lt;min&gt;" &amp;$G$15095&amp;"&lt;/min&gt;"</f>
        <v>&lt;min&gt;1&lt;/min&gt;</v>
      </c>
      <c r="B15099" t="s">
        <v>3523</v>
      </c>
    </row>
    <row r="15100" spans="1:8" x14ac:dyDescent="0.25">
      <c r="A15100" t="s">
        <v>16</v>
      </c>
      <c r="B15100" t="s">
        <v>3523</v>
      </c>
    </row>
    <row r="15101" spans="1:8" x14ac:dyDescent="0.25">
      <c r="A15101" t="s">
        <v>17</v>
      </c>
      <c r="B15101" t="s">
        <v>3523</v>
      </c>
    </row>
    <row r="15102" spans="1:8" x14ac:dyDescent="0.25">
      <c r="A15102" t="s">
        <v>18</v>
      </c>
      <c r="B15102" t="s">
        <v>3523</v>
      </c>
    </row>
    <row r="15103" spans="1:8" x14ac:dyDescent="0.25">
      <c r="A15103" t="str">
        <f xml:space="preserve"> $H$15095</f>
        <v>&lt;flags count_in_cargo="0" count_in_hoarder="0" count_in_map="1" count_in_player="0" crafted="0" deloot="0"/&gt;</v>
      </c>
      <c r="B15103" t="s">
        <v>3523</v>
      </c>
    </row>
    <row r="15104" spans="1:8" x14ac:dyDescent="0.25">
      <c r="A15104" t="s">
        <v>22</v>
      </c>
      <c r="B15104" t="s">
        <v>3523</v>
      </c>
    </row>
    <row r="15105" spans="1:8" x14ac:dyDescent="0.25">
      <c r="A15105" t="s">
        <v>2565</v>
      </c>
      <c r="B15105" t="s">
        <v>3524</v>
      </c>
      <c r="D15105">
        <v>0</v>
      </c>
      <c r="E15105">
        <v>1800</v>
      </c>
      <c r="F15105">
        <v>0</v>
      </c>
      <c r="G15105">
        <v>1</v>
      </c>
      <c r="H15105" t="s">
        <v>19</v>
      </c>
    </row>
    <row r="15106" spans="1:8" x14ac:dyDescent="0.25">
      <c r="A15106" t="str">
        <f>"&lt;nominal&gt;" &amp;$D$15105&amp;"&lt;/nominal&gt;"</f>
        <v>&lt;nominal&gt;0&lt;/nominal&gt;</v>
      </c>
      <c r="B15106" t="s">
        <v>3524</v>
      </c>
    </row>
    <row r="15107" spans="1:8" x14ac:dyDescent="0.25">
      <c r="A15107" t="str">
        <f>"&lt;lifetime&gt;" &amp;$E$15105&amp;"&lt;/lifetime&gt;"</f>
        <v>&lt;lifetime&gt;1800&lt;/lifetime&gt;</v>
      </c>
      <c r="B15107" t="s">
        <v>3524</v>
      </c>
    </row>
    <row r="15108" spans="1:8" x14ac:dyDescent="0.25">
      <c r="A15108" t="str">
        <f>"&lt;restock&gt;" &amp;$F$15105&amp;"&lt;/restock&gt;"</f>
        <v>&lt;restock&gt;0&lt;/restock&gt;</v>
      </c>
      <c r="B15108" t="s">
        <v>3524</v>
      </c>
    </row>
    <row r="15109" spans="1:8" x14ac:dyDescent="0.25">
      <c r="A15109" t="str">
        <f>"&lt;min&gt;" &amp;$G$15105&amp;"&lt;/min&gt;"</f>
        <v>&lt;min&gt;1&lt;/min&gt;</v>
      </c>
      <c r="B15109" t="s">
        <v>3524</v>
      </c>
    </row>
    <row r="15110" spans="1:8" x14ac:dyDescent="0.25">
      <c r="A15110" t="s">
        <v>16</v>
      </c>
      <c r="B15110" t="s">
        <v>3524</v>
      </c>
    </row>
    <row r="15111" spans="1:8" x14ac:dyDescent="0.25">
      <c r="A15111" t="s">
        <v>17</v>
      </c>
      <c r="B15111" t="s">
        <v>3524</v>
      </c>
    </row>
    <row r="15112" spans="1:8" x14ac:dyDescent="0.25">
      <c r="A15112" t="s">
        <v>18</v>
      </c>
      <c r="B15112" t="s">
        <v>3524</v>
      </c>
    </row>
    <row r="15113" spans="1:8" x14ac:dyDescent="0.25">
      <c r="A15113" t="str">
        <f xml:space="preserve"> $H$15105</f>
        <v>&lt;flags count_in_cargo="0" count_in_hoarder="0" count_in_map="1" count_in_player="0" crafted="0" deloot="0"/&gt;</v>
      </c>
      <c r="B15113" t="s">
        <v>3524</v>
      </c>
    </row>
    <row r="15114" spans="1:8" x14ac:dyDescent="0.25">
      <c r="A15114" t="s">
        <v>22</v>
      </c>
      <c r="B15114" t="s">
        <v>3524</v>
      </c>
    </row>
    <row r="15115" spans="1:8" x14ac:dyDescent="0.25">
      <c r="A15115" t="s">
        <v>2566</v>
      </c>
      <c r="B15115" t="s">
        <v>3525</v>
      </c>
      <c r="D15115">
        <v>0</v>
      </c>
      <c r="E15115">
        <v>1800</v>
      </c>
      <c r="F15115">
        <v>0</v>
      </c>
      <c r="G15115">
        <v>1</v>
      </c>
      <c r="H15115" t="s">
        <v>19</v>
      </c>
    </row>
    <row r="15116" spans="1:8" x14ac:dyDescent="0.25">
      <c r="A15116" t="str">
        <f>"&lt;nominal&gt;" &amp;$D$15115&amp;"&lt;/nominal&gt;"</f>
        <v>&lt;nominal&gt;0&lt;/nominal&gt;</v>
      </c>
      <c r="B15116" t="s">
        <v>3525</v>
      </c>
    </row>
    <row r="15117" spans="1:8" x14ac:dyDescent="0.25">
      <c r="A15117" t="str">
        <f>"&lt;lifetime&gt;" &amp;$E$15115&amp;"&lt;/lifetime&gt;"</f>
        <v>&lt;lifetime&gt;1800&lt;/lifetime&gt;</v>
      </c>
      <c r="B15117" t="s">
        <v>3525</v>
      </c>
    </row>
    <row r="15118" spans="1:8" x14ac:dyDescent="0.25">
      <c r="A15118" t="str">
        <f>"&lt;restock&gt;" &amp;$F$15115&amp;"&lt;/restock&gt;"</f>
        <v>&lt;restock&gt;0&lt;/restock&gt;</v>
      </c>
      <c r="B15118" t="s">
        <v>3525</v>
      </c>
    </row>
    <row r="15119" spans="1:8" x14ac:dyDescent="0.25">
      <c r="A15119" t="str">
        <f>"&lt;min&gt;" &amp;$G$15115&amp;"&lt;/min&gt;"</f>
        <v>&lt;min&gt;1&lt;/min&gt;</v>
      </c>
      <c r="B15119" t="s">
        <v>3525</v>
      </c>
    </row>
    <row r="15120" spans="1:8" x14ac:dyDescent="0.25">
      <c r="A15120" t="s">
        <v>16</v>
      </c>
      <c r="B15120" t="s">
        <v>3525</v>
      </c>
    </row>
    <row r="15121" spans="1:8" x14ac:dyDescent="0.25">
      <c r="A15121" t="s">
        <v>17</v>
      </c>
      <c r="B15121" t="s">
        <v>3525</v>
      </c>
    </row>
    <row r="15122" spans="1:8" x14ac:dyDescent="0.25">
      <c r="A15122" t="s">
        <v>18</v>
      </c>
      <c r="B15122" t="s">
        <v>3525</v>
      </c>
    </row>
    <row r="15123" spans="1:8" x14ac:dyDescent="0.25">
      <c r="A15123" t="str">
        <f xml:space="preserve"> $H$15115</f>
        <v>&lt;flags count_in_cargo="0" count_in_hoarder="0" count_in_map="1" count_in_player="0" crafted="0" deloot="0"/&gt;</v>
      </c>
      <c r="B15123" t="s">
        <v>3525</v>
      </c>
    </row>
    <row r="15124" spans="1:8" x14ac:dyDescent="0.25">
      <c r="A15124" t="s">
        <v>22</v>
      </c>
      <c r="B15124" t="s">
        <v>3525</v>
      </c>
    </row>
    <row r="15125" spans="1:8" x14ac:dyDescent="0.25">
      <c r="A15125" t="s">
        <v>2567</v>
      </c>
      <c r="B15125" t="s">
        <v>3526</v>
      </c>
      <c r="D15125">
        <v>0</v>
      </c>
      <c r="E15125">
        <v>1800</v>
      </c>
      <c r="F15125">
        <v>0</v>
      </c>
      <c r="G15125">
        <v>1</v>
      </c>
      <c r="H15125" t="s">
        <v>19</v>
      </c>
    </row>
    <row r="15126" spans="1:8" x14ac:dyDescent="0.25">
      <c r="A15126" t="str">
        <f>"&lt;nominal&gt;" &amp;$D$15125&amp;"&lt;/nominal&gt;"</f>
        <v>&lt;nominal&gt;0&lt;/nominal&gt;</v>
      </c>
      <c r="B15126" t="s">
        <v>3526</v>
      </c>
    </row>
    <row r="15127" spans="1:8" x14ac:dyDescent="0.25">
      <c r="A15127" t="str">
        <f>"&lt;lifetime&gt;" &amp;$E$15125&amp;"&lt;/lifetime&gt;"</f>
        <v>&lt;lifetime&gt;1800&lt;/lifetime&gt;</v>
      </c>
      <c r="B15127" t="s">
        <v>3526</v>
      </c>
    </row>
    <row r="15128" spans="1:8" x14ac:dyDescent="0.25">
      <c r="A15128" t="str">
        <f>"&lt;restock&gt;" &amp;$F$15125&amp;"&lt;/restock&gt;"</f>
        <v>&lt;restock&gt;0&lt;/restock&gt;</v>
      </c>
      <c r="B15128" t="s">
        <v>3526</v>
      </c>
    </row>
    <row r="15129" spans="1:8" x14ac:dyDescent="0.25">
      <c r="A15129" t="str">
        <f>"&lt;min&gt;" &amp;$G$15125&amp;"&lt;/min&gt;"</f>
        <v>&lt;min&gt;1&lt;/min&gt;</v>
      </c>
      <c r="B15129" t="s">
        <v>3526</v>
      </c>
    </row>
    <row r="15130" spans="1:8" x14ac:dyDescent="0.25">
      <c r="A15130" t="s">
        <v>16</v>
      </c>
      <c r="B15130" t="s">
        <v>3526</v>
      </c>
    </row>
    <row r="15131" spans="1:8" x14ac:dyDescent="0.25">
      <c r="A15131" t="s">
        <v>17</v>
      </c>
      <c r="B15131" t="s">
        <v>3526</v>
      </c>
    </row>
    <row r="15132" spans="1:8" x14ac:dyDescent="0.25">
      <c r="A15132" t="s">
        <v>18</v>
      </c>
      <c r="B15132" t="s">
        <v>3526</v>
      </c>
    </row>
    <row r="15133" spans="1:8" x14ac:dyDescent="0.25">
      <c r="A15133" t="str">
        <f xml:space="preserve"> $H$15125</f>
        <v>&lt;flags count_in_cargo="0" count_in_hoarder="0" count_in_map="1" count_in_player="0" crafted="0" deloot="0"/&gt;</v>
      </c>
      <c r="B15133" t="s">
        <v>3526</v>
      </c>
    </row>
    <row r="15134" spans="1:8" x14ac:dyDescent="0.25">
      <c r="A15134" t="s">
        <v>22</v>
      </c>
      <c r="B15134" t="s">
        <v>3526</v>
      </c>
    </row>
    <row r="15135" spans="1:8" x14ac:dyDescent="0.25">
      <c r="A15135" t="s">
        <v>2568</v>
      </c>
      <c r="B15135" t="s">
        <v>3527</v>
      </c>
      <c r="D15135">
        <v>0</v>
      </c>
      <c r="E15135">
        <v>1800</v>
      </c>
      <c r="F15135">
        <v>0</v>
      </c>
      <c r="G15135">
        <v>1</v>
      </c>
      <c r="H15135" t="s">
        <v>19</v>
      </c>
    </row>
    <row r="15136" spans="1:8" x14ac:dyDescent="0.25">
      <c r="A15136" t="str">
        <f>"&lt;nominal&gt;" &amp;$D$15135&amp;"&lt;/nominal&gt;"</f>
        <v>&lt;nominal&gt;0&lt;/nominal&gt;</v>
      </c>
      <c r="B15136" t="s">
        <v>3527</v>
      </c>
    </row>
    <row r="15137" spans="1:8" x14ac:dyDescent="0.25">
      <c r="A15137" t="str">
        <f>"&lt;lifetime&gt;" &amp;$E$15135&amp;"&lt;/lifetime&gt;"</f>
        <v>&lt;lifetime&gt;1800&lt;/lifetime&gt;</v>
      </c>
      <c r="B15137" t="s">
        <v>3527</v>
      </c>
    </row>
    <row r="15138" spans="1:8" x14ac:dyDescent="0.25">
      <c r="A15138" t="str">
        <f>"&lt;restock&gt;" &amp;$F$15135&amp;"&lt;/restock&gt;"</f>
        <v>&lt;restock&gt;0&lt;/restock&gt;</v>
      </c>
      <c r="B15138" t="s">
        <v>3527</v>
      </c>
    </row>
    <row r="15139" spans="1:8" x14ac:dyDescent="0.25">
      <c r="A15139" t="str">
        <f>"&lt;min&gt;" &amp;$G$15135&amp;"&lt;/min&gt;"</f>
        <v>&lt;min&gt;1&lt;/min&gt;</v>
      </c>
      <c r="B15139" t="s">
        <v>3527</v>
      </c>
    </row>
    <row r="15140" spans="1:8" x14ac:dyDescent="0.25">
      <c r="A15140" t="s">
        <v>16</v>
      </c>
      <c r="B15140" t="s">
        <v>3527</v>
      </c>
    </row>
    <row r="15141" spans="1:8" x14ac:dyDescent="0.25">
      <c r="A15141" t="s">
        <v>17</v>
      </c>
      <c r="B15141" t="s">
        <v>3527</v>
      </c>
    </row>
    <row r="15142" spans="1:8" x14ac:dyDescent="0.25">
      <c r="A15142" t="s">
        <v>18</v>
      </c>
      <c r="B15142" t="s">
        <v>3527</v>
      </c>
    </row>
    <row r="15143" spans="1:8" x14ac:dyDescent="0.25">
      <c r="A15143" t="str">
        <f xml:space="preserve"> $H$15135</f>
        <v>&lt;flags count_in_cargo="0" count_in_hoarder="0" count_in_map="1" count_in_player="0" crafted="0" deloot="0"/&gt;</v>
      </c>
      <c r="B15143" t="s">
        <v>3527</v>
      </c>
    </row>
    <row r="15144" spans="1:8" x14ac:dyDescent="0.25">
      <c r="A15144" t="s">
        <v>22</v>
      </c>
      <c r="B15144" t="s">
        <v>3527</v>
      </c>
    </row>
    <row r="15145" spans="1:8" x14ac:dyDescent="0.25">
      <c r="A15145" t="s">
        <v>2569</v>
      </c>
      <c r="B15145" t="s">
        <v>3528</v>
      </c>
      <c r="D15145">
        <v>0</v>
      </c>
      <c r="E15145">
        <v>1800</v>
      </c>
      <c r="F15145">
        <v>0</v>
      </c>
      <c r="G15145">
        <v>1</v>
      </c>
      <c r="H15145" t="s">
        <v>19</v>
      </c>
    </row>
    <row r="15146" spans="1:8" x14ac:dyDescent="0.25">
      <c r="A15146" t="str">
        <f>"&lt;nominal&gt;" &amp;$D$15145&amp;"&lt;/nominal&gt;"</f>
        <v>&lt;nominal&gt;0&lt;/nominal&gt;</v>
      </c>
      <c r="B15146" t="s">
        <v>3528</v>
      </c>
    </row>
    <row r="15147" spans="1:8" x14ac:dyDescent="0.25">
      <c r="A15147" t="str">
        <f>"&lt;lifetime&gt;" &amp;$E$15145&amp;"&lt;/lifetime&gt;"</f>
        <v>&lt;lifetime&gt;1800&lt;/lifetime&gt;</v>
      </c>
      <c r="B15147" t="s">
        <v>3528</v>
      </c>
    </row>
    <row r="15148" spans="1:8" x14ac:dyDescent="0.25">
      <c r="A15148" t="str">
        <f>"&lt;restock&gt;" &amp;$F$15145&amp;"&lt;/restock&gt;"</f>
        <v>&lt;restock&gt;0&lt;/restock&gt;</v>
      </c>
      <c r="B15148" t="s">
        <v>3528</v>
      </c>
    </row>
    <row r="15149" spans="1:8" x14ac:dyDescent="0.25">
      <c r="A15149" t="str">
        <f>"&lt;min&gt;" &amp;$G$15145&amp;"&lt;/min&gt;"</f>
        <v>&lt;min&gt;1&lt;/min&gt;</v>
      </c>
      <c r="B15149" t="s">
        <v>3528</v>
      </c>
    </row>
    <row r="15150" spans="1:8" x14ac:dyDescent="0.25">
      <c r="A15150" t="s">
        <v>16</v>
      </c>
      <c r="B15150" t="s">
        <v>3528</v>
      </c>
    </row>
    <row r="15151" spans="1:8" x14ac:dyDescent="0.25">
      <c r="A15151" t="s">
        <v>17</v>
      </c>
      <c r="B15151" t="s">
        <v>3528</v>
      </c>
    </row>
    <row r="15152" spans="1:8" x14ac:dyDescent="0.25">
      <c r="A15152" t="s">
        <v>18</v>
      </c>
      <c r="B15152" t="s">
        <v>3528</v>
      </c>
    </row>
    <row r="15153" spans="1:8" x14ac:dyDescent="0.25">
      <c r="A15153" t="str">
        <f xml:space="preserve"> $H$15145</f>
        <v>&lt;flags count_in_cargo="0" count_in_hoarder="0" count_in_map="1" count_in_player="0" crafted="0" deloot="0"/&gt;</v>
      </c>
      <c r="B15153" t="s">
        <v>3528</v>
      </c>
    </row>
    <row r="15154" spans="1:8" x14ac:dyDescent="0.25">
      <c r="A15154" t="s">
        <v>22</v>
      </c>
      <c r="B15154" t="s">
        <v>3528</v>
      </c>
    </row>
    <row r="15155" spans="1:8" x14ac:dyDescent="0.25">
      <c r="A15155" t="s">
        <v>2570</v>
      </c>
      <c r="B15155" t="s">
        <v>3529</v>
      </c>
      <c r="D15155">
        <v>0</v>
      </c>
      <c r="E15155">
        <v>1800</v>
      </c>
      <c r="F15155">
        <v>0</v>
      </c>
      <c r="G15155">
        <v>1</v>
      </c>
      <c r="H15155" t="s">
        <v>19</v>
      </c>
    </row>
    <row r="15156" spans="1:8" x14ac:dyDescent="0.25">
      <c r="A15156" t="str">
        <f>"&lt;nominal&gt;" &amp;$D$15155&amp;"&lt;/nominal&gt;"</f>
        <v>&lt;nominal&gt;0&lt;/nominal&gt;</v>
      </c>
      <c r="B15156" t="s">
        <v>3529</v>
      </c>
    </row>
    <row r="15157" spans="1:8" x14ac:dyDescent="0.25">
      <c r="A15157" t="str">
        <f>"&lt;lifetime&gt;" &amp;$E$15155&amp;"&lt;/lifetime&gt;"</f>
        <v>&lt;lifetime&gt;1800&lt;/lifetime&gt;</v>
      </c>
      <c r="B15157" t="s">
        <v>3529</v>
      </c>
    </row>
    <row r="15158" spans="1:8" x14ac:dyDescent="0.25">
      <c r="A15158" t="str">
        <f>"&lt;restock&gt;" &amp;$F$15155&amp;"&lt;/restock&gt;"</f>
        <v>&lt;restock&gt;0&lt;/restock&gt;</v>
      </c>
      <c r="B15158" t="s">
        <v>3529</v>
      </c>
    </row>
    <row r="15159" spans="1:8" x14ac:dyDescent="0.25">
      <c r="A15159" t="str">
        <f>"&lt;min&gt;" &amp;$G$15155&amp;"&lt;/min&gt;"</f>
        <v>&lt;min&gt;1&lt;/min&gt;</v>
      </c>
      <c r="B15159" t="s">
        <v>3529</v>
      </c>
    </row>
    <row r="15160" spans="1:8" x14ac:dyDescent="0.25">
      <c r="A15160" t="s">
        <v>16</v>
      </c>
      <c r="B15160" t="s">
        <v>3529</v>
      </c>
    </row>
    <row r="15161" spans="1:8" x14ac:dyDescent="0.25">
      <c r="A15161" t="s">
        <v>17</v>
      </c>
      <c r="B15161" t="s">
        <v>3529</v>
      </c>
    </row>
    <row r="15162" spans="1:8" x14ac:dyDescent="0.25">
      <c r="A15162" t="s">
        <v>18</v>
      </c>
      <c r="B15162" t="s">
        <v>3529</v>
      </c>
    </row>
    <row r="15163" spans="1:8" x14ac:dyDescent="0.25">
      <c r="A15163" t="str">
        <f xml:space="preserve"> $H$15155</f>
        <v>&lt;flags count_in_cargo="0" count_in_hoarder="0" count_in_map="1" count_in_player="0" crafted="0" deloot="0"/&gt;</v>
      </c>
      <c r="B15163" t="s">
        <v>3529</v>
      </c>
    </row>
    <row r="15164" spans="1:8" x14ac:dyDescent="0.25">
      <c r="A15164" t="s">
        <v>22</v>
      </c>
      <c r="B15164" t="s">
        <v>3529</v>
      </c>
    </row>
    <row r="15165" spans="1:8" x14ac:dyDescent="0.25">
      <c r="A15165" t="s">
        <v>2571</v>
      </c>
      <c r="B15165" t="s">
        <v>3530</v>
      </c>
      <c r="D15165">
        <v>0</v>
      </c>
      <c r="E15165">
        <v>1800</v>
      </c>
      <c r="F15165">
        <v>0</v>
      </c>
      <c r="G15165">
        <v>1</v>
      </c>
      <c r="H15165" t="s">
        <v>19</v>
      </c>
    </row>
    <row r="15166" spans="1:8" x14ac:dyDescent="0.25">
      <c r="A15166" t="str">
        <f>"&lt;nominal&gt;" &amp;$D$15165&amp;"&lt;/nominal&gt;"</f>
        <v>&lt;nominal&gt;0&lt;/nominal&gt;</v>
      </c>
      <c r="B15166" t="s">
        <v>3530</v>
      </c>
    </row>
    <row r="15167" spans="1:8" x14ac:dyDescent="0.25">
      <c r="A15167" t="str">
        <f>"&lt;lifetime&gt;" &amp;$E$15165&amp;"&lt;/lifetime&gt;"</f>
        <v>&lt;lifetime&gt;1800&lt;/lifetime&gt;</v>
      </c>
      <c r="B15167" t="s">
        <v>3530</v>
      </c>
    </row>
    <row r="15168" spans="1:8" x14ac:dyDescent="0.25">
      <c r="A15168" t="str">
        <f>"&lt;restock&gt;" &amp;$F$15165&amp;"&lt;/restock&gt;"</f>
        <v>&lt;restock&gt;0&lt;/restock&gt;</v>
      </c>
      <c r="B15168" t="s">
        <v>3530</v>
      </c>
    </row>
    <row r="15169" spans="1:8" x14ac:dyDescent="0.25">
      <c r="A15169" t="str">
        <f>"&lt;min&gt;" &amp;$G$15165&amp;"&lt;/min&gt;"</f>
        <v>&lt;min&gt;1&lt;/min&gt;</v>
      </c>
      <c r="B15169" t="s">
        <v>3530</v>
      </c>
    </row>
    <row r="15170" spans="1:8" x14ac:dyDescent="0.25">
      <c r="A15170" t="s">
        <v>16</v>
      </c>
      <c r="B15170" t="s">
        <v>3530</v>
      </c>
    </row>
    <row r="15171" spans="1:8" x14ac:dyDescent="0.25">
      <c r="A15171" t="s">
        <v>17</v>
      </c>
      <c r="B15171" t="s">
        <v>3530</v>
      </c>
    </row>
    <row r="15172" spans="1:8" x14ac:dyDescent="0.25">
      <c r="A15172" t="s">
        <v>18</v>
      </c>
      <c r="B15172" t="s">
        <v>3530</v>
      </c>
    </row>
    <row r="15173" spans="1:8" x14ac:dyDescent="0.25">
      <c r="A15173" t="str">
        <f xml:space="preserve"> $H$15165</f>
        <v>&lt;flags count_in_cargo="0" count_in_hoarder="0" count_in_map="1" count_in_player="0" crafted="0" deloot="0"/&gt;</v>
      </c>
      <c r="B15173" t="s">
        <v>3530</v>
      </c>
    </row>
    <row r="15174" spans="1:8" x14ac:dyDescent="0.25">
      <c r="A15174" t="s">
        <v>22</v>
      </c>
      <c r="B15174" t="s">
        <v>3530</v>
      </c>
    </row>
    <row r="15175" spans="1:8" x14ac:dyDescent="0.25">
      <c r="A15175" t="s">
        <v>2572</v>
      </c>
      <c r="B15175" t="s">
        <v>3531</v>
      </c>
      <c r="D15175">
        <v>0</v>
      </c>
      <c r="E15175">
        <v>1800</v>
      </c>
      <c r="F15175">
        <v>0</v>
      </c>
      <c r="G15175">
        <v>1</v>
      </c>
      <c r="H15175" t="s">
        <v>19</v>
      </c>
    </row>
    <row r="15176" spans="1:8" x14ac:dyDescent="0.25">
      <c r="A15176" t="str">
        <f>"&lt;nominal&gt;" &amp;$D$15175&amp;"&lt;/nominal&gt;"</f>
        <v>&lt;nominal&gt;0&lt;/nominal&gt;</v>
      </c>
      <c r="B15176" t="s">
        <v>3531</v>
      </c>
    </row>
    <row r="15177" spans="1:8" x14ac:dyDescent="0.25">
      <c r="A15177" t="str">
        <f>"&lt;lifetime&gt;" &amp;$E$15175&amp;"&lt;/lifetime&gt;"</f>
        <v>&lt;lifetime&gt;1800&lt;/lifetime&gt;</v>
      </c>
      <c r="B15177" t="s">
        <v>3531</v>
      </c>
    </row>
    <row r="15178" spans="1:8" x14ac:dyDescent="0.25">
      <c r="A15178" t="str">
        <f>"&lt;restock&gt;" &amp;$F$15175&amp;"&lt;/restock&gt;"</f>
        <v>&lt;restock&gt;0&lt;/restock&gt;</v>
      </c>
      <c r="B15178" t="s">
        <v>3531</v>
      </c>
    </row>
    <row r="15179" spans="1:8" x14ac:dyDescent="0.25">
      <c r="A15179" t="str">
        <f>"&lt;min&gt;" &amp;$G$15175&amp;"&lt;/min&gt;"</f>
        <v>&lt;min&gt;1&lt;/min&gt;</v>
      </c>
      <c r="B15179" t="s">
        <v>3531</v>
      </c>
    </row>
    <row r="15180" spans="1:8" x14ac:dyDescent="0.25">
      <c r="A15180" t="s">
        <v>16</v>
      </c>
      <c r="B15180" t="s">
        <v>3531</v>
      </c>
    </row>
    <row r="15181" spans="1:8" x14ac:dyDescent="0.25">
      <c r="A15181" t="s">
        <v>17</v>
      </c>
      <c r="B15181" t="s">
        <v>3531</v>
      </c>
    </row>
    <row r="15182" spans="1:8" x14ac:dyDescent="0.25">
      <c r="A15182" t="s">
        <v>18</v>
      </c>
      <c r="B15182" t="s">
        <v>3531</v>
      </c>
    </row>
    <row r="15183" spans="1:8" x14ac:dyDescent="0.25">
      <c r="A15183" t="str">
        <f xml:space="preserve"> $H$15175</f>
        <v>&lt;flags count_in_cargo="0" count_in_hoarder="0" count_in_map="1" count_in_player="0" crafted="0" deloot="0"/&gt;</v>
      </c>
      <c r="B15183" t="s">
        <v>3531</v>
      </c>
    </row>
    <row r="15184" spans="1:8" x14ac:dyDescent="0.25">
      <c r="A15184" t="s">
        <v>22</v>
      </c>
      <c r="B15184" t="s">
        <v>3531</v>
      </c>
    </row>
    <row r="15185" spans="1:8" x14ac:dyDescent="0.25">
      <c r="A15185" t="s">
        <v>2573</v>
      </c>
      <c r="B15185" t="s">
        <v>3532</v>
      </c>
      <c r="D15185">
        <v>0</v>
      </c>
      <c r="E15185">
        <v>1800</v>
      </c>
      <c r="F15185">
        <v>0</v>
      </c>
      <c r="G15185">
        <v>1</v>
      </c>
      <c r="H15185" t="s">
        <v>19</v>
      </c>
    </row>
    <row r="15186" spans="1:8" x14ac:dyDescent="0.25">
      <c r="A15186" t="str">
        <f>"&lt;nominal&gt;" &amp;$D$15185&amp;"&lt;/nominal&gt;"</f>
        <v>&lt;nominal&gt;0&lt;/nominal&gt;</v>
      </c>
      <c r="B15186" t="s">
        <v>3532</v>
      </c>
    </row>
    <row r="15187" spans="1:8" x14ac:dyDescent="0.25">
      <c r="A15187" t="str">
        <f>"&lt;lifetime&gt;" &amp;$E$15185&amp;"&lt;/lifetime&gt;"</f>
        <v>&lt;lifetime&gt;1800&lt;/lifetime&gt;</v>
      </c>
      <c r="B15187" t="s">
        <v>3532</v>
      </c>
    </row>
    <row r="15188" spans="1:8" x14ac:dyDescent="0.25">
      <c r="A15188" t="str">
        <f>"&lt;restock&gt;" &amp;$F$15185&amp;"&lt;/restock&gt;"</f>
        <v>&lt;restock&gt;0&lt;/restock&gt;</v>
      </c>
      <c r="B15188" t="s">
        <v>3532</v>
      </c>
    </row>
    <row r="15189" spans="1:8" x14ac:dyDescent="0.25">
      <c r="A15189" t="str">
        <f>"&lt;min&gt;" &amp;$G$15185&amp;"&lt;/min&gt;"</f>
        <v>&lt;min&gt;1&lt;/min&gt;</v>
      </c>
      <c r="B15189" t="s">
        <v>3532</v>
      </c>
    </row>
    <row r="15190" spans="1:8" x14ac:dyDescent="0.25">
      <c r="A15190" t="s">
        <v>16</v>
      </c>
      <c r="B15190" t="s">
        <v>3532</v>
      </c>
    </row>
    <row r="15191" spans="1:8" x14ac:dyDescent="0.25">
      <c r="A15191" t="s">
        <v>17</v>
      </c>
      <c r="B15191" t="s">
        <v>3532</v>
      </c>
    </row>
    <row r="15192" spans="1:8" x14ac:dyDescent="0.25">
      <c r="A15192" t="s">
        <v>18</v>
      </c>
      <c r="B15192" t="s">
        <v>3532</v>
      </c>
    </row>
    <row r="15193" spans="1:8" x14ac:dyDescent="0.25">
      <c r="A15193" t="str">
        <f xml:space="preserve"> $H$15185</f>
        <v>&lt;flags count_in_cargo="0" count_in_hoarder="0" count_in_map="1" count_in_player="0" crafted="0" deloot="0"/&gt;</v>
      </c>
      <c r="B15193" t="s">
        <v>3532</v>
      </c>
    </row>
    <row r="15194" spans="1:8" x14ac:dyDescent="0.25">
      <c r="A15194" t="s">
        <v>22</v>
      </c>
      <c r="B15194" t="s">
        <v>3532</v>
      </c>
    </row>
    <row r="15195" spans="1:8" x14ac:dyDescent="0.25">
      <c r="A15195" t="s">
        <v>2574</v>
      </c>
      <c r="B15195" t="s">
        <v>3533</v>
      </c>
      <c r="D15195">
        <v>0</v>
      </c>
      <c r="E15195">
        <v>1800</v>
      </c>
      <c r="F15195">
        <v>0</v>
      </c>
      <c r="G15195">
        <v>1</v>
      </c>
      <c r="H15195" t="s">
        <v>19</v>
      </c>
    </row>
    <row r="15196" spans="1:8" x14ac:dyDescent="0.25">
      <c r="A15196" t="str">
        <f>"&lt;nominal&gt;" &amp;$D$15195&amp;"&lt;/nominal&gt;"</f>
        <v>&lt;nominal&gt;0&lt;/nominal&gt;</v>
      </c>
      <c r="B15196" t="s">
        <v>3533</v>
      </c>
    </row>
    <row r="15197" spans="1:8" x14ac:dyDescent="0.25">
      <c r="A15197" t="str">
        <f>"&lt;lifetime&gt;" &amp;$E$15195&amp;"&lt;/lifetime&gt;"</f>
        <v>&lt;lifetime&gt;1800&lt;/lifetime&gt;</v>
      </c>
      <c r="B15197" t="s">
        <v>3533</v>
      </c>
    </row>
    <row r="15198" spans="1:8" x14ac:dyDescent="0.25">
      <c r="A15198" t="str">
        <f>"&lt;restock&gt;" &amp;$F$15195&amp;"&lt;/restock&gt;"</f>
        <v>&lt;restock&gt;0&lt;/restock&gt;</v>
      </c>
      <c r="B15198" t="s">
        <v>3533</v>
      </c>
    </row>
    <row r="15199" spans="1:8" x14ac:dyDescent="0.25">
      <c r="A15199" t="str">
        <f>"&lt;min&gt;" &amp;$G$15195&amp;"&lt;/min&gt;"</f>
        <v>&lt;min&gt;1&lt;/min&gt;</v>
      </c>
      <c r="B15199" t="s">
        <v>3533</v>
      </c>
    </row>
    <row r="15200" spans="1:8" x14ac:dyDescent="0.25">
      <c r="A15200" t="s">
        <v>16</v>
      </c>
      <c r="B15200" t="s">
        <v>3533</v>
      </c>
    </row>
    <row r="15201" spans="1:8" x14ac:dyDescent="0.25">
      <c r="A15201" t="s">
        <v>17</v>
      </c>
      <c r="B15201" t="s">
        <v>3533</v>
      </c>
    </row>
    <row r="15202" spans="1:8" x14ac:dyDescent="0.25">
      <c r="A15202" t="s">
        <v>18</v>
      </c>
      <c r="B15202" t="s">
        <v>3533</v>
      </c>
    </row>
    <row r="15203" spans="1:8" x14ac:dyDescent="0.25">
      <c r="A15203" t="str">
        <f xml:space="preserve"> $H$15195</f>
        <v>&lt;flags count_in_cargo="0" count_in_hoarder="0" count_in_map="1" count_in_player="0" crafted="0" deloot="0"/&gt;</v>
      </c>
      <c r="B15203" t="s">
        <v>3533</v>
      </c>
    </row>
    <row r="15204" spans="1:8" x14ac:dyDescent="0.25">
      <c r="A15204" t="s">
        <v>22</v>
      </c>
      <c r="B15204" t="s">
        <v>3533</v>
      </c>
    </row>
    <row r="15205" spans="1:8" x14ac:dyDescent="0.25">
      <c r="A15205" t="s">
        <v>2575</v>
      </c>
      <c r="B15205" t="s">
        <v>3534</v>
      </c>
      <c r="D15205">
        <v>0</v>
      </c>
      <c r="E15205">
        <v>1800</v>
      </c>
      <c r="F15205">
        <v>0</v>
      </c>
      <c r="G15205">
        <v>1</v>
      </c>
      <c r="H15205" t="s">
        <v>19</v>
      </c>
    </row>
    <row r="15206" spans="1:8" x14ac:dyDescent="0.25">
      <c r="A15206" t="str">
        <f>"&lt;nominal&gt;" &amp;$D$15205&amp;"&lt;/nominal&gt;"</f>
        <v>&lt;nominal&gt;0&lt;/nominal&gt;</v>
      </c>
      <c r="B15206" t="s">
        <v>3534</v>
      </c>
    </row>
    <row r="15207" spans="1:8" x14ac:dyDescent="0.25">
      <c r="A15207" t="str">
        <f>"&lt;lifetime&gt;" &amp;$E$15205&amp;"&lt;/lifetime&gt;"</f>
        <v>&lt;lifetime&gt;1800&lt;/lifetime&gt;</v>
      </c>
      <c r="B15207" t="s">
        <v>3534</v>
      </c>
    </row>
    <row r="15208" spans="1:8" x14ac:dyDescent="0.25">
      <c r="A15208" t="str">
        <f>"&lt;restock&gt;" &amp;$F$15205&amp;"&lt;/restock&gt;"</f>
        <v>&lt;restock&gt;0&lt;/restock&gt;</v>
      </c>
      <c r="B15208" t="s">
        <v>3534</v>
      </c>
    </row>
    <row r="15209" spans="1:8" x14ac:dyDescent="0.25">
      <c r="A15209" t="str">
        <f>"&lt;min&gt;" &amp;$G$15205&amp;"&lt;/min&gt;"</f>
        <v>&lt;min&gt;1&lt;/min&gt;</v>
      </c>
      <c r="B15209" t="s">
        <v>3534</v>
      </c>
    </row>
    <row r="15210" spans="1:8" x14ac:dyDescent="0.25">
      <c r="A15210" t="s">
        <v>16</v>
      </c>
      <c r="B15210" t="s">
        <v>3534</v>
      </c>
    </row>
    <row r="15211" spans="1:8" x14ac:dyDescent="0.25">
      <c r="A15211" t="s">
        <v>17</v>
      </c>
      <c r="B15211" t="s">
        <v>3534</v>
      </c>
    </row>
    <row r="15212" spans="1:8" x14ac:dyDescent="0.25">
      <c r="A15212" t="s">
        <v>18</v>
      </c>
      <c r="B15212" t="s">
        <v>3534</v>
      </c>
    </row>
    <row r="15213" spans="1:8" x14ac:dyDescent="0.25">
      <c r="A15213" t="str">
        <f xml:space="preserve"> $H$15205</f>
        <v>&lt;flags count_in_cargo="0" count_in_hoarder="0" count_in_map="1" count_in_player="0" crafted="0" deloot="0"/&gt;</v>
      </c>
      <c r="B15213" t="s">
        <v>3534</v>
      </c>
    </row>
    <row r="15214" spans="1:8" x14ac:dyDescent="0.25">
      <c r="A15214" t="s">
        <v>22</v>
      </c>
      <c r="B15214" t="s">
        <v>3534</v>
      </c>
    </row>
    <row r="15215" spans="1:8" x14ac:dyDescent="0.25">
      <c r="A15215" t="s">
        <v>2576</v>
      </c>
      <c r="B15215" t="s">
        <v>3535</v>
      </c>
      <c r="D15215">
        <v>0</v>
      </c>
      <c r="E15215">
        <v>1800</v>
      </c>
      <c r="F15215">
        <v>0</v>
      </c>
      <c r="G15215">
        <v>1</v>
      </c>
      <c r="H15215" t="s">
        <v>19</v>
      </c>
    </row>
    <row r="15216" spans="1:8" x14ac:dyDescent="0.25">
      <c r="A15216" t="str">
        <f>"&lt;nominal&gt;" &amp;$D$15215&amp;"&lt;/nominal&gt;"</f>
        <v>&lt;nominal&gt;0&lt;/nominal&gt;</v>
      </c>
      <c r="B15216" t="s">
        <v>3535</v>
      </c>
    </row>
    <row r="15217" spans="1:8" x14ac:dyDescent="0.25">
      <c r="A15217" t="str">
        <f>"&lt;lifetime&gt;" &amp;$E$15215&amp;"&lt;/lifetime&gt;"</f>
        <v>&lt;lifetime&gt;1800&lt;/lifetime&gt;</v>
      </c>
      <c r="B15217" t="s">
        <v>3535</v>
      </c>
    </row>
    <row r="15218" spans="1:8" x14ac:dyDescent="0.25">
      <c r="A15218" t="str">
        <f>"&lt;restock&gt;" &amp;$F$15215&amp;"&lt;/restock&gt;"</f>
        <v>&lt;restock&gt;0&lt;/restock&gt;</v>
      </c>
      <c r="B15218" t="s">
        <v>3535</v>
      </c>
    </row>
    <row r="15219" spans="1:8" x14ac:dyDescent="0.25">
      <c r="A15219" t="str">
        <f>"&lt;min&gt;" &amp;$G$15215&amp;"&lt;/min&gt;"</f>
        <v>&lt;min&gt;1&lt;/min&gt;</v>
      </c>
      <c r="B15219" t="s">
        <v>3535</v>
      </c>
    </row>
    <row r="15220" spans="1:8" x14ac:dyDescent="0.25">
      <c r="A15220" t="s">
        <v>16</v>
      </c>
      <c r="B15220" t="s">
        <v>3535</v>
      </c>
    </row>
    <row r="15221" spans="1:8" x14ac:dyDescent="0.25">
      <c r="A15221" t="s">
        <v>17</v>
      </c>
      <c r="B15221" t="s">
        <v>3535</v>
      </c>
    </row>
    <row r="15222" spans="1:8" x14ac:dyDescent="0.25">
      <c r="A15222" t="s">
        <v>18</v>
      </c>
      <c r="B15222" t="s">
        <v>3535</v>
      </c>
    </row>
    <row r="15223" spans="1:8" x14ac:dyDescent="0.25">
      <c r="A15223" t="str">
        <f xml:space="preserve"> $H$15215</f>
        <v>&lt;flags count_in_cargo="0" count_in_hoarder="0" count_in_map="1" count_in_player="0" crafted="0" deloot="0"/&gt;</v>
      </c>
      <c r="B15223" t="s">
        <v>3535</v>
      </c>
    </row>
    <row r="15224" spans="1:8" x14ac:dyDescent="0.25">
      <c r="A15224" t="s">
        <v>22</v>
      </c>
      <c r="B15224" t="s">
        <v>3535</v>
      </c>
    </row>
    <row r="15225" spans="1:8" x14ac:dyDescent="0.25">
      <c r="A15225" t="s">
        <v>2577</v>
      </c>
      <c r="B15225" t="s">
        <v>3536</v>
      </c>
      <c r="D15225">
        <v>0</v>
      </c>
      <c r="E15225">
        <v>1800</v>
      </c>
      <c r="F15225">
        <v>0</v>
      </c>
      <c r="G15225">
        <v>1</v>
      </c>
      <c r="H15225" t="s">
        <v>19</v>
      </c>
    </row>
    <row r="15226" spans="1:8" x14ac:dyDescent="0.25">
      <c r="A15226" t="str">
        <f>"&lt;nominal&gt;" &amp;$D$15225&amp;"&lt;/nominal&gt;"</f>
        <v>&lt;nominal&gt;0&lt;/nominal&gt;</v>
      </c>
      <c r="B15226" t="s">
        <v>3536</v>
      </c>
    </row>
    <row r="15227" spans="1:8" x14ac:dyDescent="0.25">
      <c r="A15227" t="str">
        <f>"&lt;lifetime&gt;" &amp;$E$15225&amp;"&lt;/lifetime&gt;"</f>
        <v>&lt;lifetime&gt;1800&lt;/lifetime&gt;</v>
      </c>
      <c r="B15227" t="s">
        <v>3536</v>
      </c>
    </row>
    <row r="15228" spans="1:8" x14ac:dyDescent="0.25">
      <c r="A15228" t="str">
        <f>"&lt;restock&gt;" &amp;$F$15225&amp;"&lt;/restock&gt;"</f>
        <v>&lt;restock&gt;0&lt;/restock&gt;</v>
      </c>
      <c r="B15228" t="s">
        <v>3536</v>
      </c>
    </row>
    <row r="15229" spans="1:8" x14ac:dyDescent="0.25">
      <c r="A15229" t="str">
        <f>"&lt;min&gt;" &amp;$G$15225&amp;"&lt;/min&gt;"</f>
        <v>&lt;min&gt;1&lt;/min&gt;</v>
      </c>
      <c r="B15229" t="s">
        <v>3536</v>
      </c>
    </row>
    <row r="15230" spans="1:8" x14ac:dyDescent="0.25">
      <c r="A15230" t="s">
        <v>16</v>
      </c>
      <c r="B15230" t="s">
        <v>3536</v>
      </c>
    </row>
    <row r="15231" spans="1:8" x14ac:dyDescent="0.25">
      <c r="A15231" t="s">
        <v>17</v>
      </c>
      <c r="B15231" t="s">
        <v>3536</v>
      </c>
    </row>
    <row r="15232" spans="1:8" x14ac:dyDescent="0.25">
      <c r="A15232" t="s">
        <v>18</v>
      </c>
      <c r="B15232" t="s">
        <v>3536</v>
      </c>
    </row>
    <row r="15233" spans="1:8" x14ac:dyDescent="0.25">
      <c r="A15233" t="str">
        <f xml:space="preserve"> $H$15225</f>
        <v>&lt;flags count_in_cargo="0" count_in_hoarder="0" count_in_map="1" count_in_player="0" crafted="0" deloot="0"/&gt;</v>
      </c>
      <c r="B15233" t="s">
        <v>3536</v>
      </c>
    </row>
    <row r="15234" spans="1:8" x14ac:dyDescent="0.25">
      <c r="A15234" t="s">
        <v>22</v>
      </c>
      <c r="B15234" t="s">
        <v>3536</v>
      </c>
    </row>
    <row r="15235" spans="1:8" x14ac:dyDescent="0.25">
      <c r="A15235" t="s">
        <v>2578</v>
      </c>
      <c r="B15235" t="s">
        <v>3537</v>
      </c>
      <c r="D15235">
        <v>0</v>
      </c>
      <c r="E15235">
        <v>1800</v>
      </c>
      <c r="F15235">
        <v>0</v>
      </c>
      <c r="G15235">
        <v>1</v>
      </c>
      <c r="H15235" t="s">
        <v>19</v>
      </c>
    </row>
    <row r="15236" spans="1:8" x14ac:dyDescent="0.25">
      <c r="A15236" t="str">
        <f>"&lt;nominal&gt;" &amp;$D$15235&amp;"&lt;/nominal&gt;"</f>
        <v>&lt;nominal&gt;0&lt;/nominal&gt;</v>
      </c>
      <c r="B15236" t="s">
        <v>3537</v>
      </c>
    </row>
    <row r="15237" spans="1:8" x14ac:dyDescent="0.25">
      <c r="A15237" t="str">
        <f>"&lt;lifetime&gt;" &amp;$E$15235&amp;"&lt;/lifetime&gt;"</f>
        <v>&lt;lifetime&gt;1800&lt;/lifetime&gt;</v>
      </c>
      <c r="B15237" t="s">
        <v>3537</v>
      </c>
    </row>
    <row r="15238" spans="1:8" x14ac:dyDescent="0.25">
      <c r="A15238" t="str">
        <f>"&lt;restock&gt;" &amp;$F$15235&amp;"&lt;/restock&gt;"</f>
        <v>&lt;restock&gt;0&lt;/restock&gt;</v>
      </c>
      <c r="B15238" t="s">
        <v>3537</v>
      </c>
    </row>
    <row r="15239" spans="1:8" x14ac:dyDescent="0.25">
      <c r="A15239" t="str">
        <f>"&lt;min&gt;" &amp;$G$15235&amp;"&lt;/min&gt;"</f>
        <v>&lt;min&gt;1&lt;/min&gt;</v>
      </c>
      <c r="B15239" t="s">
        <v>3537</v>
      </c>
    </row>
    <row r="15240" spans="1:8" x14ac:dyDescent="0.25">
      <c r="A15240" t="s">
        <v>16</v>
      </c>
      <c r="B15240" t="s">
        <v>3537</v>
      </c>
    </row>
    <row r="15241" spans="1:8" x14ac:dyDescent="0.25">
      <c r="A15241" t="s">
        <v>17</v>
      </c>
      <c r="B15241" t="s">
        <v>3537</v>
      </c>
    </row>
    <row r="15242" spans="1:8" x14ac:dyDescent="0.25">
      <c r="A15242" t="s">
        <v>18</v>
      </c>
      <c r="B15242" t="s">
        <v>3537</v>
      </c>
    </row>
    <row r="15243" spans="1:8" x14ac:dyDescent="0.25">
      <c r="A15243" t="str">
        <f xml:space="preserve"> $H$15235</f>
        <v>&lt;flags count_in_cargo="0" count_in_hoarder="0" count_in_map="1" count_in_player="0" crafted="0" deloot="0"/&gt;</v>
      </c>
      <c r="B15243" t="s">
        <v>3537</v>
      </c>
    </row>
    <row r="15244" spans="1:8" x14ac:dyDescent="0.25">
      <c r="A15244" t="s">
        <v>22</v>
      </c>
      <c r="B15244" t="s">
        <v>3537</v>
      </c>
    </row>
    <row r="15245" spans="1:8" x14ac:dyDescent="0.25">
      <c r="A15245" t="s">
        <v>2579</v>
      </c>
      <c r="B15245" t="s">
        <v>3538</v>
      </c>
      <c r="D15245">
        <v>0</v>
      </c>
      <c r="E15245">
        <v>1800</v>
      </c>
      <c r="F15245">
        <v>0</v>
      </c>
      <c r="G15245">
        <v>1</v>
      </c>
      <c r="H15245" t="s">
        <v>19</v>
      </c>
    </row>
    <row r="15246" spans="1:8" x14ac:dyDescent="0.25">
      <c r="A15246" t="str">
        <f>"&lt;nominal&gt;" &amp;$D$15245&amp;"&lt;/nominal&gt;"</f>
        <v>&lt;nominal&gt;0&lt;/nominal&gt;</v>
      </c>
      <c r="B15246" t="s">
        <v>3538</v>
      </c>
    </row>
    <row r="15247" spans="1:8" x14ac:dyDescent="0.25">
      <c r="A15247" t="str">
        <f>"&lt;lifetime&gt;" &amp;$E$15245&amp;"&lt;/lifetime&gt;"</f>
        <v>&lt;lifetime&gt;1800&lt;/lifetime&gt;</v>
      </c>
      <c r="B15247" t="s">
        <v>3538</v>
      </c>
    </row>
    <row r="15248" spans="1:8" x14ac:dyDescent="0.25">
      <c r="A15248" t="str">
        <f>"&lt;restock&gt;" &amp;$F$15245&amp;"&lt;/restock&gt;"</f>
        <v>&lt;restock&gt;0&lt;/restock&gt;</v>
      </c>
      <c r="B15248" t="s">
        <v>3538</v>
      </c>
    </row>
    <row r="15249" spans="1:8" x14ac:dyDescent="0.25">
      <c r="A15249" t="str">
        <f>"&lt;min&gt;" &amp;$G$15245&amp;"&lt;/min&gt;"</f>
        <v>&lt;min&gt;1&lt;/min&gt;</v>
      </c>
      <c r="B15249" t="s">
        <v>3538</v>
      </c>
    </row>
    <row r="15250" spans="1:8" x14ac:dyDescent="0.25">
      <c r="A15250" t="s">
        <v>16</v>
      </c>
      <c r="B15250" t="s">
        <v>3538</v>
      </c>
    </row>
    <row r="15251" spans="1:8" x14ac:dyDescent="0.25">
      <c r="A15251" t="s">
        <v>17</v>
      </c>
      <c r="B15251" t="s">
        <v>3538</v>
      </c>
    </row>
    <row r="15252" spans="1:8" x14ac:dyDescent="0.25">
      <c r="A15252" t="s">
        <v>18</v>
      </c>
      <c r="B15252" t="s">
        <v>3538</v>
      </c>
    </row>
    <row r="15253" spans="1:8" x14ac:dyDescent="0.25">
      <c r="A15253" t="str">
        <f xml:space="preserve"> $H$15245</f>
        <v>&lt;flags count_in_cargo="0" count_in_hoarder="0" count_in_map="1" count_in_player="0" crafted="0" deloot="0"/&gt;</v>
      </c>
      <c r="B15253" t="s">
        <v>3538</v>
      </c>
    </row>
    <row r="15254" spans="1:8" x14ac:dyDescent="0.25">
      <c r="A15254" t="s">
        <v>22</v>
      </c>
      <c r="B15254" t="s">
        <v>3538</v>
      </c>
    </row>
    <row r="15255" spans="1:8" x14ac:dyDescent="0.25">
      <c r="A15255" t="s">
        <v>2580</v>
      </c>
      <c r="B15255" t="s">
        <v>3539</v>
      </c>
      <c r="D15255">
        <v>0</v>
      </c>
      <c r="E15255">
        <v>1800</v>
      </c>
      <c r="F15255">
        <v>0</v>
      </c>
      <c r="G15255">
        <v>1</v>
      </c>
      <c r="H15255" t="s">
        <v>19</v>
      </c>
    </row>
    <row r="15256" spans="1:8" x14ac:dyDescent="0.25">
      <c r="A15256" t="str">
        <f>"&lt;nominal&gt;" &amp;$D$15255&amp;"&lt;/nominal&gt;"</f>
        <v>&lt;nominal&gt;0&lt;/nominal&gt;</v>
      </c>
      <c r="B15256" t="s">
        <v>3539</v>
      </c>
    </row>
    <row r="15257" spans="1:8" x14ac:dyDescent="0.25">
      <c r="A15257" t="str">
        <f>"&lt;lifetime&gt;" &amp;$E$15255&amp;"&lt;/lifetime&gt;"</f>
        <v>&lt;lifetime&gt;1800&lt;/lifetime&gt;</v>
      </c>
      <c r="B15257" t="s">
        <v>3539</v>
      </c>
    </row>
    <row r="15258" spans="1:8" x14ac:dyDescent="0.25">
      <c r="A15258" t="str">
        <f>"&lt;restock&gt;" &amp;$F$15255&amp;"&lt;/restock&gt;"</f>
        <v>&lt;restock&gt;0&lt;/restock&gt;</v>
      </c>
      <c r="B15258" t="s">
        <v>3539</v>
      </c>
    </row>
    <row r="15259" spans="1:8" x14ac:dyDescent="0.25">
      <c r="A15259" t="str">
        <f>"&lt;min&gt;" &amp;$G$15255&amp;"&lt;/min&gt;"</f>
        <v>&lt;min&gt;1&lt;/min&gt;</v>
      </c>
      <c r="B15259" t="s">
        <v>3539</v>
      </c>
    </row>
    <row r="15260" spans="1:8" x14ac:dyDescent="0.25">
      <c r="A15260" t="s">
        <v>16</v>
      </c>
      <c r="B15260" t="s">
        <v>3539</v>
      </c>
    </row>
    <row r="15261" spans="1:8" x14ac:dyDescent="0.25">
      <c r="A15261" t="s">
        <v>17</v>
      </c>
      <c r="B15261" t="s">
        <v>3539</v>
      </c>
    </row>
    <row r="15262" spans="1:8" x14ac:dyDescent="0.25">
      <c r="A15262" t="s">
        <v>18</v>
      </c>
      <c r="B15262" t="s">
        <v>3539</v>
      </c>
    </row>
    <row r="15263" spans="1:8" x14ac:dyDescent="0.25">
      <c r="A15263" t="str">
        <f xml:space="preserve"> $H$15255</f>
        <v>&lt;flags count_in_cargo="0" count_in_hoarder="0" count_in_map="1" count_in_player="0" crafted="0" deloot="0"/&gt;</v>
      </c>
      <c r="B15263" t="s">
        <v>3539</v>
      </c>
    </row>
    <row r="15264" spans="1:8" x14ac:dyDescent="0.25">
      <c r="A15264" t="s">
        <v>22</v>
      </c>
      <c r="B15264" t="s">
        <v>3539</v>
      </c>
    </row>
    <row r="15265" spans="1:8" x14ac:dyDescent="0.25">
      <c r="A15265" t="s">
        <v>2581</v>
      </c>
      <c r="B15265" t="s">
        <v>3540</v>
      </c>
      <c r="D15265">
        <v>0</v>
      </c>
      <c r="E15265">
        <v>1800</v>
      </c>
      <c r="F15265">
        <v>0</v>
      </c>
      <c r="G15265">
        <v>1</v>
      </c>
      <c r="H15265" t="s">
        <v>19</v>
      </c>
    </row>
    <row r="15266" spans="1:8" x14ac:dyDescent="0.25">
      <c r="A15266" t="str">
        <f>"&lt;nominal&gt;" &amp;$D$15265&amp;"&lt;/nominal&gt;"</f>
        <v>&lt;nominal&gt;0&lt;/nominal&gt;</v>
      </c>
      <c r="B15266" t="s">
        <v>3540</v>
      </c>
    </row>
    <row r="15267" spans="1:8" x14ac:dyDescent="0.25">
      <c r="A15267" t="str">
        <f>"&lt;lifetime&gt;" &amp;$E$15265&amp;"&lt;/lifetime&gt;"</f>
        <v>&lt;lifetime&gt;1800&lt;/lifetime&gt;</v>
      </c>
      <c r="B15267" t="s">
        <v>3540</v>
      </c>
    </row>
    <row r="15268" spans="1:8" x14ac:dyDescent="0.25">
      <c r="A15268" t="str">
        <f>"&lt;restock&gt;" &amp;$F$15265&amp;"&lt;/restock&gt;"</f>
        <v>&lt;restock&gt;0&lt;/restock&gt;</v>
      </c>
      <c r="B15268" t="s">
        <v>3540</v>
      </c>
    </row>
    <row r="15269" spans="1:8" x14ac:dyDescent="0.25">
      <c r="A15269" t="str">
        <f>"&lt;min&gt;" &amp;$G$15265&amp;"&lt;/min&gt;"</f>
        <v>&lt;min&gt;1&lt;/min&gt;</v>
      </c>
      <c r="B15269" t="s">
        <v>3540</v>
      </c>
    </row>
    <row r="15270" spans="1:8" x14ac:dyDescent="0.25">
      <c r="A15270" t="s">
        <v>16</v>
      </c>
      <c r="B15270" t="s">
        <v>3540</v>
      </c>
    </row>
    <row r="15271" spans="1:8" x14ac:dyDescent="0.25">
      <c r="A15271" t="s">
        <v>17</v>
      </c>
      <c r="B15271" t="s">
        <v>3540</v>
      </c>
    </row>
    <row r="15272" spans="1:8" x14ac:dyDescent="0.25">
      <c r="A15272" t="s">
        <v>18</v>
      </c>
      <c r="B15272" t="s">
        <v>3540</v>
      </c>
    </row>
    <row r="15273" spans="1:8" x14ac:dyDescent="0.25">
      <c r="A15273" t="str">
        <f xml:space="preserve"> $H$15265</f>
        <v>&lt;flags count_in_cargo="0" count_in_hoarder="0" count_in_map="1" count_in_player="0" crafted="0" deloot="0"/&gt;</v>
      </c>
      <c r="B15273" t="s">
        <v>3540</v>
      </c>
    </row>
    <row r="15274" spans="1:8" x14ac:dyDescent="0.25">
      <c r="A15274" t="s">
        <v>22</v>
      </c>
      <c r="B15274" t="s">
        <v>3540</v>
      </c>
    </row>
    <row r="15275" spans="1:8" x14ac:dyDescent="0.25">
      <c r="A15275" t="s">
        <v>2582</v>
      </c>
      <c r="B15275" t="s">
        <v>3541</v>
      </c>
      <c r="D15275">
        <v>0</v>
      </c>
      <c r="E15275">
        <v>1800</v>
      </c>
      <c r="F15275">
        <v>0</v>
      </c>
      <c r="G15275">
        <v>1</v>
      </c>
      <c r="H15275" t="s">
        <v>19</v>
      </c>
    </row>
    <row r="15276" spans="1:8" x14ac:dyDescent="0.25">
      <c r="A15276" t="str">
        <f>"&lt;nominal&gt;" &amp;$D$15275&amp;"&lt;/nominal&gt;"</f>
        <v>&lt;nominal&gt;0&lt;/nominal&gt;</v>
      </c>
      <c r="B15276" t="s">
        <v>3541</v>
      </c>
    </row>
    <row r="15277" spans="1:8" x14ac:dyDescent="0.25">
      <c r="A15277" t="str">
        <f>"&lt;lifetime&gt;" &amp;$E$15275&amp;"&lt;/lifetime&gt;"</f>
        <v>&lt;lifetime&gt;1800&lt;/lifetime&gt;</v>
      </c>
      <c r="B15277" t="s">
        <v>3541</v>
      </c>
    </row>
    <row r="15278" spans="1:8" x14ac:dyDescent="0.25">
      <c r="A15278" t="str">
        <f>"&lt;restock&gt;" &amp;$F$15275&amp;"&lt;/restock&gt;"</f>
        <v>&lt;restock&gt;0&lt;/restock&gt;</v>
      </c>
      <c r="B15278" t="s">
        <v>3541</v>
      </c>
    </row>
    <row r="15279" spans="1:8" x14ac:dyDescent="0.25">
      <c r="A15279" t="str">
        <f>"&lt;min&gt;" &amp;$G$15275&amp;"&lt;/min&gt;"</f>
        <v>&lt;min&gt;1&lt;/min&gt;</v>
      </c>
      <c r="B15279" t="s">
        <v>3541</v>
      </c>
    </row>
    <row r="15280" spans="1:8" x14ac:dyDescent="0.25">
      <c r="A15280" t="s">
        <v>16</v>
      </c>
      <c r="B15280" t="s">
        <v>3541</v>
      </c>
    </row>
    <row r="15281" spans="1:8" x14ac:dyDescent="0.25">
      <c r="A15281" t="s">
        <v>17</v>
      </c>
      <c r="B15281" t="s">
        <v>3541</v>
      </c>
    </row>
    <row r="15282" spans="1:8" x14ac:dyDescent="0.25">
      <c r="A15282" t="s">
        <v>18</v>
      </c>
      <c r="B15282" t="s">
        <v>3541</v>
      </c>
    </row>
    <row r="15283" spans="1:8" x14ac:dyDescent="0.25">
      <c r="A15283" t="str">
        <f xml:space="preserve"> $H$15275</f>
        <v>&lt;flags count_in_cargo="0" count_in_hoarder="0" count_in_map="1" count_in_player="0" crafted="0" deloot="0"/&gt;</v>
      </c>
      <c r="B15283" t="s">
        <v>3541</v>
      </c>
    </row>
    <row r="15284" spans="1:8" x14ac:dyDescent="0.25">
      <c r="A15284" t="s">
        <v>22</v>
      </c>
      <c r="B15284" t="s">
        <v>3541</v>
      </c>
    </row>
    <row r="15285" spans="1:8" x14ac:dyDescent="0.25">
      <c r="A15285" t="s">
        <v>2583</v>
      </c>
      <c r="B15285" t="s">
        <v>3542</v>
      </c>
      <c r="D15285">
        <v>0</v>
      </c>
      <c r="E15285">
        <v>1800</v>
      </c>
      <c r="F15285">
        <v>0</v>
      </c>
      <c r="G15285">
        <v>1</v>
      </c>
      <c r="H15285" t="s">
        <v>19</v>
      </c>
    </row>
    <row r="15286" spans="1:8" x14ac:dyDescent="0.25">
      <c r="A15286" t="str">
        <f>"&lt;nominal&gt;" &amp;$D$15285&amp;"&lt;/nominal&gt;"</f>
        <v>&lt;nominal&gt;0&lt;/nominal&gt;</v>
      </c>
      <c r="B15286" t="s">
        <v>3542</v>
      </c>
    </row>
    <row r="15287" spans="1:8" x14ac:dyDescent="0.25">
      <c r="A15287" t="str">
        <f>"&lt;lifetime&gt;" &amp;$E$15285&amp;"&lt;/lifetime&gt;"</f>
        <v>&lt;lifetime&gt;1800&lt;/lifetime&gt;</v>
      </c>
      <c r="B15287" t="s">
        <v>3542</v>
      </c>
    </row>
    <row r="15288" spans="1:8" x14ac:dyDescent="0.25">
      <c r="A15288" t="str">
        <f>"&lt;restock&gt;" &amp;$F$15285&amp;"&lt;/restock&gt;"</f>
        <v>&lt;restock&gt;0&lt;/restock&gt;</v>
      </c>
      <c r="B15288" t="s">
        <v>3542</v>
      </c>
    </row>
    <row r="15289" spans="1:8" x14ac:dyDescent="0.25">
      <c r="A15289" t="str">
        <f>"&lt;min&gt;" &amp;$G$15285&amp;"&lt;/min&gt;"</f>
        <v>&lt;min&gt;1&lt;/min&gt;</v>
      </c>
      <c r="B15289" t="s">
        <v>3542</v>
      </c>
    </row>
    <row r="15290" spans="1:8" x14ac:dyDescent="0.25">
      <c r="A15290" t="s">
        <v>16</v>
      </c>
      <c r="B15290" t="s">
        <v>3542</v>
      </c>
    </row>
    <row r="15291" spans="1:8" x14ac:dyDescent="0.25">
      <c r="A15291" t="s">
        <v>17</v>
      </c>
      <c r="B15291" t="s">
        <v>3542</v>
      </c>
    </row>
    <row r="15292" spans="1:8" x14ac:dyDescent="0.25">
      <c r="A15292" t="s">
        <v>18</v>
      </c>
      <c r="B15292" t="s">
        <v>3542</v>
      </c>
    </row>
    <row r="15293" spans="1:8" x14ac:dyDescent="0.25">
      <c r="A15293" t="str">
        <f xml:space="preserve"> $H$15285</f>
        <v>&lt;flags count_in_cargo="0" count_in_hoarder="0" count_in_map="1" count_in_player="0" crafted="0" deloot="0"/&gt;</v>
      </c>
      <c r="B15293" t="s">
        <v>3542</v>
      </c>
    </row>
    <row r="15294" spans="1:8" x14ac:dyDescent="0.25">
      <c r="A15294" t="s">
        <v>22</v>
      </c>
      <c r="B15294" t="s">
        <v>3542</v>
      </c>
    </row>
    <row r="15295" spans="1:8" x14ac:dyDescent="0.25">
      <c r="A15295" t="s">
        <v>2584</v>
      </c>
      <c r="B15295" t="s">
        <v>3543</v>
      </c>
      <c r="D15295">
        <v>0</v>
      </c>
      <c r="E15295">
        <v>1800</v>
      </c>
      <c r="F15295">
        <v>0</v>
      </c>
      <c r="G15295">
        <v>1</v>
      </c>
      <c r="H15295" t="s">
        <v>19</v>
      </c>
    </row>
    <row r="15296" spans="1:8" x14ac:dyDescent="0.25">
      <c r="A15296" t="str">
        <f>"&lt;nominal&gt;" &amp;$D$15295&amp;"&lt;/nominal&gt;"</f>
        <v>&lt;nominal&gt;0&lt;/nominal&gt;</v>
      </c>
      <c r="B15296" t="s">
        <v>3543</v>
      </c>
    </row>
    <row r="15297" spans="1:8" x14ac:dyDescent="0.25">
      <c r="A15297" t="str">
        <f>"&lt;lifetime&gt;" &amp;$E$15295&amp;"&lt;/lifetime&gt;"</f>
        <v>&lt;lifetime&gt;1800&lt;/lifetime&gt;</v>
      </c>
      <c r="B15297" t="s">
        <v>3543</v>
      </c>
    </row>
    <row r="15298" spans="1:8" x14ac:dyDescent="0.25">
      <c r="A15298" t="str">
        <f>"&lt;restock&gt;" &amp;$F$15295&amp;"&lt;/restock&gt;"</f>
        <v>&lt;restock&gt;0&lt;/restock&gt;</v>
      </c>
      <c r="B15298" t="s">
        <v>3543</v>
      </c>
    </row>
    <row r="15299" spans="1:8" x14ac:dyDescent="0.25">
      <c r="A15299" t="str">
        <f>"&lt;min&gt;" &amp;$G$15295&amp;"&lt;/min&gt;"</f>
        <v>&lt;min&gt;1&lt;/min&gt;</v>
      </c>
      <c r="B15299" t="s">
        <v>3543</v>
      </c>
    </row>
    <row r="15300" spans="1:8" x14ac:dyDescent="0.25">
      <c r="A15300" t="s">
        <v>16</v>
      </c>
      <c r="B15300" t="s">
        <v>3543</v>
      </c>
    </row>
    <row r="15301" spans="1:8" x14ac:dyDescent="0.25">
      <c r="A15301" t="s">
        <v>17</v>
      </c>
      <c r="B15301" t="s">
        <v>3543</v>
      </c>
    </row>
    <row r="15302" spans="1:8" x14ac:dyDescent="0.25">
      <c r="A15302" t="s">
        <v>18</v>
      </c>
      <c r="B15302" t="s">
        <v>3543</v>
      </c>
    </row>
    <row r="15303" spans="1:8" x14ac:dyDescent="0.25">
      <c r="A15303" t="str">
        <f xml:space="preserve"> $H$15295</f>
        <v>&lt;flags count_in_cargo="0" count_in_hoarder="0" count_in_map="1" count_in_player="0" crafted="0" deloot="0"/&gt;</v>
      </c>
      <c r="B15303" t="s">
        <v>3543</v>
      </c>
    </row>
    <row r="15304" spans="1:8" x14ac:dyDescent="0.25">
      <c r="A15304" t="s">
        <v>22</v>
      </c>
      <c r="B15304" t="s">
        <v>3543</v>
      </c>
    </row>
    <row r="15305" spans="1:8" x14ac:dyDescent="0.25">
      <c r="A15305" t="s">
        <v>2585</v>
      </c>
      <c r="B15305" t="s">
        <v>3544</v>
      </c>
      <c r="D15305">
        <v>0</v>
      </c>
      <c r="E15305">
        <v>1800</v>
      </c>
      <c r="F15305">
        <v>0</v>
      </c>
      <c r="G15305">
        <v>1</v>
      </c>
      <c r="H15305" t="s">
        <v>19</v>
      </c>
    </row>
    <row r="15306" spans="1:8" x14ac:dyDescent="0.25">
      <c r="A15306" t="str">
        <f>"&lt;nominal&gt;" &amp;$D$15305&amp;"&lt;/nominal&gt;"</f>
        <v>&lt;nominal&gt;0&lt;/nominal&gt;</v>
      </c>
      <c r="B15306" t="s">
        <v>3544</v>
      </c>
    </row>
    <row r="15307" spans="1:8" x14ac:dyDescent="0.25">
      <c r="A15307" t="str">
        <f>"&lt;lifetime&gt;" &amp;$E$15305&amp;"&lt;/lifetime&gt;"</f>
        <v>&lt;lifetime&gt;1800&lt;/lifetime&gt;</v>
      </c>
      <c r="B15307" t="s">
        <v>3544</v>
      </c>
    </row>
    <row r="15308" spans="1:8" x14ac:dyDescent="0.25">
      <c r="A15308" t="str">
        <f>"&lt;restock&gt;" &amp;$F$15305&amp;"&lt;/restock&gt;"</f>
        <v>&lt;restock&gt;0&lt;/restock&gt;</v>
      </c>
      <c r="B15308" t="s">
        <v>3544</v>
      </c>
    </row>
    <row r="15309" spans="1:8" x14ac:dyDescent="0.25">
      <c r="A15309" t="str">
        <f>"&lt;min&gt;" &amp;$G$15305&amp;"&lt;/min&gt;"</f>
        <v>&lt;min&gt;1&lt;/min&gt;</v>
      </c>
      <c r="B15309" t="s">
        <v>3544</v>
      </c>
    </row>
    <row r="15310" spans="1:8" x14ac:dyDescent="0.25">
      <c r="A15310" t="s">
        <v>16</v>
      </c>
      <c r="B15310" t="s">
        <v>3544</v>
      </c>
    </row>
    <row r="15311" spans="1:8" x14ac:dyDescent="0.25">
      <c r="A15311" t="s">
        <v>17</v>
      </c>
      <c r="B15311" t="s">
        <v>3544</v>
      </c>
    </row>
    <row r="15312" spans="1:8" x14ac:dyDescent="0.25">
      <c r="A15312" t="s">
        <v>18</v>
      </c>
      <c r="B15312" t="s">
        <v>3544</v>
      </c>
    </row>
    <row r="15313" spans="1:8" x14ac:dyDescent="0.25">
      <c r="A15313" t="str">
        <f xml:space="preserve"> $H$15305</f>
        <v>&lt;flags count_in_cargo="0" count_in_hoarder="0" count_in_map="1" count_in_player="0" crafted="0" deloot="0"/&gt;</v>
      </c>
      <c r="B15313" t="s">
        <v>3544</v>
      </c>
    </row>
    <row r="15314" spans="1:8" x14ac:dyDescent="0.25">
      <c r="A15314" t="s">
        <v>22</v>
      </c>
      <c r="B15314" t="s">
        <v>3544</v>
      </c>
    </row>
    <row r="15315" spans="1:8" x14ac:dyDescent="0.25">
      <c r="A15315" t="s">
        <v>2586</v>
      </c>
      <c r="B15315" t="s">
        <v>3545</v>
      </c>
      <c r="D15315">
        <v>0</v>
      </c>
      <c r="E15315">
        <v>1800</v>
      </c>
      <c r="F15315">
        <v>0</v>
      </c>
      <c r="G15315">
        <v>1</v>
      </c>
      <c r="H15315" t="s">
        <v>19</v>
      </c>
    </row>
    <row r="15316" spans="1:8" x14ac:dyDescent="0.25">
      <c r="A15316" t="str">
        <f>"&lt;nominal&gt;" &amp;$D$15315&amp;"&lt;/nominal&gt;"</f>
        <v>&lt;nominal&gt;0&lt;/nominal&gt;</v>
      </c>
      <c r="B15316" t="s">
        <v>3545</v>
      </c>
    </row>
    <row r="15317" spans="1:8" x14ac:dyDescent="0.25">
      <c r="A15317" t="str">
        <f>"&lt;lifetime&gt;" &amp;$E$15315&amp;"&lt;/lifetime&gt;"</f>
        <v>&lt;lifetime&gt;1800&lt;/lifetime&gt;</v>
      </c>
      <c r="B15317" t="s">
        <v>3545</v>
      </c>
    </row>
    <row r="15318" spans="1:8" x14ac:dyDescent="0.25">
      <c r="A15318" t="str">
        <f>"&lt;restock&gt;" &amp;$F$15315&amp;"&lt;/restock&gt;"</f>
        <v>&lt;restock&gt;0&lt;/restock&gt;</v>
      </c>
      <c r="B15318" t="s">
        <v>3545</v>
      </c>
    </row>
    <row r="15319" spans="1:8" x14ac:dyDescent="0.25">
      <c r="A15319" t="str">
        <f>"&lt;min&gt;" &amp;$G$15315&amp;"&lt;/min&gt;"</f>
        <v>&lt;min&gt;1&lt;/min&gt;</v>
      </c>
      <c r="B15319" t="s">
        <v>3545</v>
      </c>
    </row>
    <row r="15320" spans="1:8" x14ac:dyDescent="0.25">
      <c r="A15320" t="s">
        <v>16</v>
      </c>
      <c r="B15320" t="s">
        <v>3545</v>
      </c>
    </row>
    <row r="15321" spans="1:8" x14ac:dyDescent="0.25">
      <c r="A15321" t="s">
        <v>17</v>
      </c>
      <c r="B15321" t="s">
        <v>3545</v>
      </c>
    </row>
    <row r="15322" spans="1:8" x14ac:dyDescent="0.25">
      <c r="A15322" t="s">
        <v>18</v>
      </c>
      <c r="B15322" t="s">
        <v>3545</v>
      </c>
    </row>
    <row r="15323" spans="1:8" x14ac:dyDescent="0.25">
      <c r="A15323" t="str">
        <f xml:space="preserve"> $H$15315</f>
        <v>&lt;flags count_in_cargo="0" count_in_hoarder="0" count_in_map="1" count_in_player="0" crafted="0" deloot="0"/&gt;</v>
      </c>
      <c r="B15323" t="s">
        <v>3545</v>
      </c>
    </row>
    <row r="15324" spans="1:8" x14ac:dyDescent="0.25">
      <c r="A15324" t="s">
        <v>22</v>
      </c>
      <c r="B15324" t="s">
        <v>3545</v>
      </c>
    </row>
    <row r="15325" spans="1:8" x14ac:dyDescent="0.25">
      <c r="A15325" t="s">
        <v>2587</v>
      </c>
      <c r="B15325" t="s">
        <v>3546</v>
      </c>
      <c r="D15325">
        <v>0</v>
      </c>
      <c r="E15325">
        <v>1800</v>
      </c>
      <c r="F15325">
        <v>0</v>
      </c>
      <c r="G15325">
        <v>1</v>
      </c>
      <c r="H15325" t="s">
        <v>19</v>
      </c>
    </row>
    <row r="15326" spans="1:8" x14ac:dyDescent="0.25">
      <c r="A15326" t="str">
        <f>"&lt;nominal&gt;" &amp;$D$15325&amp;"&lt;/nominal&gt;"</f>
        <v>&lt;nominal&gt;0&lt;/nominal&gt;</v>
      </c>
      <c r="B15326" t="s">
        <v>3546</v>
      </c>
    </row>
    <row r="15327" spans="1:8" x14ac:dyDescent="0.25">
      <c r="A15327" t="str">
        <f>"&lt;lifetime&gt;" &amp;$E$15325&amp;"&lt;/lifetime&gt;"</f>
        <v>&lt;lifetime&gt;1800&lt;/lifetime&gt;</v>
      </c>
      <c r="B15327" t="s">
        <v>3546</v>
      </c>
    </row>
    <row r="15328" spans="1:8" x14ac:dyDescent="0.25">
      <c r="A15328" t="str">
        <f>"&lt;restock&gt;" &amp;$F$15325&amp;"&lt;/restock&gt;"</f>
        <v>&lt;restock&gt;0&lt;/restock&gt;</v>
      </c>
      <c r="B15328" t="s">
        <v>3546</v>
      </c>
    </row>
    <row r="15329" spans="1:8" x14ac:dyDescent="0.25">
      <c r="A15329" t="str">
        <f>"&lt;min&gt;" &amp;$G$15325&amp;"&lt;/min&gt;"</f>
        <v>&lt;min&gt;1&lt;/min&gt;</v>
      </c>
      <c r="B15329" t="s">
        <v>3546</v>
      </c>
    </row>
    <row r="15330" spans="1:8" x14ac:dyDescent="0.25">
      <c r="A15330" t="s">
        <v>16</v>
      </c>
      <c r="B15330" t="s">
        <v>3546</v>
      </c>
    </row>
    <row r="15331" spans="1:8" x14ac:dyDescent="0.25">
      <c r="A15331" t="s">
        <v>17</v>
      </c>
      <c r="B15331" t="s">
        <v>3546</v>
      </c>
    </row>
    <row r="15332" spans="1:8" x14ac:dyDescent="0.25">
      <c r="A15332" t="s">
        <v>18</v>
      </c>
      <c r="B15332" t="s">
        <v>3546</v>
      </c>
    </row>
    <row r="15333" spans="1:8" x14ac:dyDescent="0.25">
      <c r="A15333" t="str">
        <f xml:space="preserve"> $H$15325</f>
        <v>&lt;flags count_in_cargo="0" count_in_hoarder="0" count_in_map="1" count_in_player="0" crafted="0" deloot="0"/&gt;</v>
      </c>
      <c r="B15333" t="s">
        <v>3546</v>
      </c>
    </row>
    <row r="15334" spans="1:8" x14ac:dyDescent="0.25">
      <c r="A15334" t="s">
        <v>22</v>
      </c>
      <c r="B15334" t="s">
        <v>3546</v>
      </c>
    </row>
    <row r="15335" spans="1:8" x14ac:dyDescent="0.25">
      <c r="A15335" t="s">
        <v>2588</v>
      </c>
      <c r="B15335" t="s">
        <v>3547</v>
      </c>
      <c r="D15335">
        <v>0</v>
      </c>
      <c r="E15335">
        <v>1800</v>
      </c>
      <c r="F15335">
        <v>0</v>
      </c>
      <c r="G15335">
        <v>1</v>
      </c>
      <c r="H15335" t="s">
        <v>19</v>
      </c>
    </row>
    <row r="15336" spans="1:8" x14ac:dyDescent="0.25">
      <c r="A15336" t="str">
        <f>"&lt;nominal&gt;" &amp;$D$15335&amp;"&lt;/nominal&gt;"</f>
        <v>&lt;nominal&gt;0&lt;/nominal&gt;</v>
      </c>
      <c r="B15336" t="s">
        <v>3547</v>
      </c>
    </row>
    <row r="15337" spans="1:8" x14ac:dyDescent="0.25">
      <c r="A15337" t="str">
        <f>"&lt;lifetime&gt;" &amp;$E$15335&amp;"&lt;/lifetime&gt;"</f>
        <v>&lt;lifetime&gt;1800&lt;/lifetime&gt;</v>
      </c>
      <c r="B15337" t="s">
        <v>3547</v>
      </c>
    </row>
    <row r="15338" spans="1:8" x14ac:dyDescent="0.25">
      <c r="A15338" t="str">
        <f>"&lt;restock&gt;" &amp;$F$15335&amp;"&lt;/restock&gt;"</f>
        <v>&lt;restock&gt;0&lt;/restock&gt;</v>
      </c>
      <c r="B15338" t="s">
        <v>3547</v>
      </c>
    </row>
    <row r="15339" spans="1:8" x14ac:dyDescent="0.25">
      <c r="A15339" t="str">
        <f>"&lt;min&gt;" &amp;$G$15335&amp;"&lt;/min&gt;"</f>
        <v>&lt;min&gt;1&lt;/min&gt;</v>
      </c>
      <c r="B15339" t="s">
        <v>3547</v>
      </c>
    </row>
    <row r="15340" spans="1:8" x14ac:dyDescent="0.25">
      <c r="A15340" t="s">
        <v>16</v>
      </c>
      <c r="B15340" t="s">
        <v>3547</v>
      </c>
    </row>
    <row r="15341" spans="1:8" x14ac:dyDescent="0.25">
      <c r="A15341" t="s">
        <v>17</v>
      </c>
      <c r="B15341" t="s">
        <v>3547</v>
      </c>
    </row>
    <row r="15342" spans="1:8" x14ac:dyDescent="0.25">
      <c r="A15342" t="s">
        <v>18</v>
      </c>
      <c r="B15342" t="s">
        <v>3547</v>
      </c>
    </row>
    <row r="15343" spans="1:8" x14ac:dyDescent="0.25">
      <c r="A15343" t="str">
        <f xml:space="preserve"> $H$15335</f>
        <v>&lt;flags count_in_cargo="0" count_in_hoarder="0" count_in_map="1" count_in_player="0" crafted="0" deloot="0"/&gt;</v>
      </c>
      <c r="B15343" t="s">
        <v>3547</v>
      </c>
    </row>
    <row r="15344" spans="1:8" x14ac:dyDescent="0.25">
      <c r="A15344" t="s">
        <v>22</v>
      </c>
      <c r="B15344" t="s">
        <v>3547</v>
      </c>
    </row>
    <row r="15345" spans="1:8" x14ac:dyDescent="0.25">
      <c r="A15345" t="s">
        <v>2589</v>
      </c>
      <c r="B15345" t="s">
        <v>3548</v>
      </c>
      <c r="D15345">
        <v>0</v>
      </c>
      <c r="E15345">
        <v>1800</v>
      </c>
      <c r="F15345">
        <v>0</v>
      </c>
      <c r="G15345">
        <v>1</v>
      </c>
      <c r="H15345" t="s">
        <v>19</v>
      </c>
    </row>
    <row r="15346" spans="1:8" x14ac:dyDescent="0.25">
      <c r="A15346" t="str">
        <f>"&lt;nominal&gt;" &amp;$D$15345&amp;"&lt;/nominal&gt;"</f>
        <v>&lt;nominal&gt;0&lt;/nominal&gt;</v>
      </c>
      <c r="B15346" t="s">
        <v>3548</v>
      </c>
    </row>
    <row r="15347" spans="1:8" x14ac:dyDescent="0.25">
      <c r="A15347" t="str">
        <f>"&lt;lifetime&gt;" &amp;$E$15345&amp;"&lt;/lifetime&gt;"</f>
        <v>&lt;lifetime&gt;1800&lt;/lifetime&gt;</v>
      </c>
      <c r="B15347" t="s">
        <v>3548</v>
      </c>
    </row>
    <row r="15348" spans="1:8" x14ac:dyDescent="0.25">
      <c r="A15348" t="str">
        <f>"&lt;restock&gt;" &amp;$F$15345&amp;"&lt;/restock&gt;"</f>
        <v>&lt;restock&gt;0&lt;/restock&gt;</v>
      </c>
      <c r="B15348" t="s">
        <v>3548</v>
      </c>
    </row>
    <row r="15349" spans="1:8" x14ac:dyDescent="0.25">
      <c r="A15349" t="str">
        <f>"&lt;min&gt;" &amp;$G$15345&amp;"&lt;/min&gt;"</f>
        <v>&lt;min&gt;1&lt;/min&gt;</v>
      </c>
      <c r="B15349" t="s">
        <v>3548</v>
      </c>
    </row>
    <row r="15350" spans="1:8" x14ac:dyDescent="0.25">
      <c r="A15350" t="s">
        <v>16</v>
      </c>
      <c r="B15350" t="s">
        <v>3548</v>
      </c>
    </row>
    <row r="15351" spans="1:8" x14ac:dyDescent="0.25">
      <c r="A15351" t="s">
        <v>17</v>
      </c>
      <c r="B15351" t="s">
        <v>3548</v>
      </c>
    </row>
    <row r="15352" spans="1:8" x14ac:dyDescent="0.25">
      <c r="A15352" t="s">
        <v>18</v>
      </c>
      <c r="B15352" t="s">
        <v>3548</v>
      </c>
    </row>
    <row r="15353" spans="1:8" x14ac:dyDescent="0.25">
      <c r="A15353" t="str">
        <f xml:space="preserve"> $H$15345</f>
        <v>&lt;flags count_in_cargo="0" count_in_hoarder="0" count_in_map="1" count_in_player="0" crafted="0" deloot="0"/&gt;</v>
      </c>
      <c r="B15353" t="s">
        <v>3548</v>
      </c>
    </row>
    <row r="15354" spans="1:8" x14ac:dyDescent="0.25">
      <c r="A15354" t="s">
        <v>22</v>
      </c>
      <c r="B15354" t="s">
        <v>3548</v>
      </c>
    </row>
    <row r="15355" spans="1:8" x14ac:dyDescent="0.25">
      <c r="A15355" t="s">
        <v>2590</v>
      </c>
      <c r="B15355" t="s">
        <v>3549</v>
      </c>
      <c r="D15355">
        <v>0</v>
      </c>
      <c r="E15355">
        <v>1800</v>
      </c>
      <c r="F15355">
        <v>0</v>
      </c>
      <c r="G15355">
        <v>1</v>
      </c>
      <c r="H15355" t="s">
        <v>19</v>
      </c>
    </row>
    <row r="15356" spans="1:8" x14ac:dyDescent="0.25">
      <c r="A15356" t="str">
        <f>"&lt;nominal&gt;" &amp;$D$15355&amp;"&lt;/nominal&gt;"</f>
        <v>&lt;nominal&gt;0&lt;/nominal&gt;</v>
      </c>
      <c r="B15356" t="s">
        <v>3549</v>
      </c>
    </row>
    <row r="15357" spans="1:8" x14ac:dyDescent="0.25">
      <c r="A15357" t="str">
        <f>"&lt;lifetime&gt;" &amp;$E$15355&amp;"&lt;/lifetime&gt;"</f>
        <v>&lt;lifetime&gt;1800&lt;/lifetime&gt;</v>
      </c>
      <c r="B15357" t="s">
        <v>3549</v>
      </c>
    </row>
    <row r="15358" spans="1:8" x14ac:dyDescent="0.25">
      <c r="A15358" t="str">
        <f>"&lt;restock&gt;" &amp;$F$15355&amp;"&lt;/restock&gt;"</f>
        <v>&lt;restock&gt;0&lt;/restock&gt;</v>
      </c>
      <c r="B15358" t="s">
        <v>3549</v>
      </c>
    </row>
    <row r="15359" spans="1:8" x14ac:dyDescent="0.25">
      <c r="A15359" t="str">
        <f>"&lt;min&gt;" &amp;$G$15355&amp;"&lt;/min&gt;"</f>
        <v>&lt;min&gt;1&lt;/min&gt;</v>
      </c>
      <c r="B15359" t="s">
        <v>3549</v>
      </c>
    </row>
    <row r="15360" spans="1:8" x14ac:dyDescent="0.25">
      <c r="A15360" t="s">
        <v>16</v>
      </c>
      <c r="B15360" t="s">
        <v>3549</v>
      </c>
    </row>
    <row r="15361" spans="1:8" x14ac:dyDescent="0.25">
      <c r="A15361" t="s">
        <v>17</v>
      </c>
      <c r="B15361" t="s">
        <v>3549</v>
      </c>
    </row>
    <row r="15362" spans="1:8" x14ac:dyDescent="0.25">
      <c r="A15362" t="s">
        <v>18</v>
      </c>
      <c r="B15362" t="s">
        <v>3549</v>
      </c>
    </row>
    <row r="15363" spans="1:8" x14ac:dyDescent="0.25">
      <c r="A15363" t="str">
        <f xml:space="preserve"> $H$15355</f>
        <v>&lt;flags count_in_cargo="0" count_in_hoarder="0" count_in_map="1" count_in_player="0" crafted="0" deloot="0"/&gt;</v>
      </c>
      <c r="B15363" t="s">
        <v>3549</v>
      </c>
    </row>
    <row r="15364" spans="1:8" x14ac:dyDescent="0.25">
      <c r="A15364" t="s">
        <v>22</v>
      </c>
      <c r="B15364" t="s">
        <v>3549</v>
      </c>
    </row>
    <row r="15365" spans="1:8" x14ac:dyDescent="0.25">
      <c r="A15365" t="s">
        <v>2591</v>
      </c>
      <c r="B15365" t="s">
        <v>3550</v>
      </c>
      <c r="D15365">
        <v>0</v>
      </c>
      <c r="E15365">
        <v>1800</v>
      </c>
      <c r="F15365">
        <v>0</v>
      </c>
      <c r="G15365">
        <v>1</v>
      </c>
      <c r="H15365" t="s">
        <v>19</v>
      </c>
    </row>
    <row r="15366" spans="1:8" x14ac:dyDescent="0.25">
      <c r="A15366" t="str">
        <f>"&lt;nominal&gt;" &amp;$D$15365&amp;"&lt;/nominal&gt;"</f>
        <v>&lt;nominal&gt;0&lt;/nominal&gt;</v>
      </c>
      <c r="B15366" t="s">
        <v>3550</v>
      </c>
    </row>
    <row r="15367" spans="1:8" x14ac:dyDescent="0.25">
      <c r="A15367" t="str">
        <f>"&lt;lifetime&gt;" &amp;$E$15365&amp;"&lt;/lifetime&gt;"</f>
        <v>&lt;lifetime&gt;1800&lt;/lifetime&gt;</v>
      </c>
      <c r="B15367" t="s">
        <v>3550</v>
      </c>
    </row>
    <row r="15368" spans="1:8" x14ac:dyDescent="0.25">
      <c r="A15368" t="str">
        <f>"&lt;restock&gt;" &amp;$F$15365&amp;"&lt;/restock&gt;"</f>
        <v>&lt;restock&gt;0&lt;/restock&gt;</v>
      </c>
      <c r="B15368" t="s">
        <v>3550</v>
      </c>
    </row>
    <row r="15369" spans="1:8" x14ac:dyDescent="0.25">
      <c r="A15369" t="str">
        <f>"&lt;min&gt;" &amp;$G$15365&amp;"&lt;/min&gt;"</f>
        <v>&lt;min&gt;1&lt;/min&gt;</v>
      </c>
      <c r="B15369" t="s">
        <v>3550</v>
      </c>
    </row>
    <row r="15370" spans="1:8" x14ac:dyDescent="0.25">
      <c r="A15370" t="s">
        <v>16</v>
      </c>
      <c r="B15370" t="s">
        <v>3550</v>
      </c>
    </row>
    <row r="15371" spans="1:8" x14ac:dyDescent="0.25">
      <c r="A15371" t="s">
        <v>17</v>
      </c>
      <c r="B15371" t="s">
        <v>3550</v>
      </c>
    </row>
    <row r="15372" spans="1:8" x14ac:dyDescent="0.25">
      <c r="A15372" t="s">
        <v>18</v>
      </c>
      <c r="B15372" t="s">
        <v>3550</v>
      </c>
    </row>
    <row r="15373" spans="1:8" x14ac:dyDescent="0.25">
      <c r="A15373" t="str">
        <f xml:space="preserve"> $H$15365</f>
        <v>&lt;flags count_in_cargo="0" count_in_hoarder="0" count_in_map="1" count_in_player="0" crafted="0" deloot="0"/&gt;</v>
      </c>
      <c r="B15373" t="s">
        <v>3550</v>
      </c>
    </row>
    <row r="15374" spans="1:8" x14ac:dyDescent="0.25">
      <c r="A15374" t="s">
        <v>22</v>
      </c>
      <c r="B15374" t="s">
        <v>3550</v>
      </c>
    </row>
    <row r="15375" spans="1:8" x14ac:dyDescent="0.25">
      <c r="A15375" t="s">
        <v>2592</v>
      </c>
      <c r="B15375" t="s">
        <v>3551</v>
      </c>
      <c r="D15375">
        <v>0</v>
      </c>
      <c r="E15375">
        <v>1800</v>
      </c>
      <c r="F15375">
        <v>0</v>
      </c>
      <c r="G15375">
        <v>1</v>
      </c>
      <c r="H15375" t="s">
        <v>19</v>
      </c>
    </row>
    <row r="15376" spans="1:8" x14ac:dyDescent="0.25">
      <c r="A15376" t="str">
        <f>"&lt;nominal&gt;" &amp;$D$15375&amp;"&lt;/nominal&gt;"</f>
        <v>&lt;nominal&gt;0&lt;/nominal&gt;</v>
      </c>
      <c r="B15376" t="s">
        <v>3551</v>
      </c>
    </row>
    <row r="15377" spans="1:8" x14ac:dyDescent="0.25">
      <c r="A15377" t="str">
        <f>"&lt;lifetime&gt;" &amp;$E$15375&amp;"&lt;/lifetime&gt;"</f>
        <v>&lt;lifetime&gt;1800&lt;/lifetime&gt;</v>
      </c>
      <c r="B15377" t="s">
        <v>3551</v>
      </c>
    </row>
    <row r="15378" spans="1:8" x14ac:dyDescent="0.25">
      <c r="A15378" t="str">
        <f>"&lt;restock&gt;" &amp;$F$15375&amp;"&lt;/restock&gt;"</f>
        <v>&lt;restock&gt;0&lt;/restock&gt;</v>
      </c>
      <c r="B15378" t="s">
        <v>3551</v>
      </c>
    </row>
    <row r="15379" spans="1:8" x14ac:dyDescent="0.25">
      <c r="A15379" t="str">
        <f>"&lt;min&gt;" &amp;$G$15375&amp;"&lt;/min&gt;"</f>
        <v>&lt;min&gt;1&lt;/min&gt;</v>
      </c>
      <c r="B15379" t="s">
        <v>3551</v>
      </c>
    </row>
    <row r="15380" spans="1:8" x14ac:dyDescent="0.25">
      <c r="A15380" t="s">
        <v>16</v>
      </c>
      <c r="B15380" t="s">
        <v>3551</v>
      </c>
    </row>
    <row r="15381" spans="1:8" x14ac:dyDescent="0.25">
      <c r="A15381" t="s">
        <v>17</v>
      </c>
      <c r="B15381" t="s">
        <v>3551</v>
      </c>
    </row>
    <row r="15382" spans="1:8" x14ac:dyDescent="0.25">
      <c r="A15382" t="s">
        <v>18</v>
      </c>
      <c r="B15382" t="s">
        <v>3551</v>
      </c>
    </row>
    <row r="15383" spans="1:8" x14ac:dyDescent="0.25">
      <c r="A15383" t="str">
        <f xml:space="preserve"> $H$15375</f>
        <v>&lt;flags count_in_cargo="0" count_in_hoarder="0" count_in_map="1" count_in_player="0" crafted="0" deloot="0"/&gt;</v>
      </c>
      <c r="B15383" t="s">
        <v>3551</v>
      </c>
    </row>
    <row r="15384" spans="1:8" x14ac:dyDescent="0.25">
      <c r="A15384" t="s">
        <v>22</v>
      </c>
      <c r="B15384" t="s">
        <v>3551</v>
      </c>
    </row>
    <row r="15385" spans="1:8" x14ac:dyDescent="0.25">
      <c r="A15385" t="s">
        <v>2593</v>
      </c>
      <c r="B15385" t="s">
        <v>3552</v>
      </c>
      <c r="D15385">
        <v>0</v>
      </c>
      <c r="E15385">
        <v>1800</v>
      </c>
      <c r="F15385">
        <v>0</v>
      </c>
      <c r="G15385">
        <v>1</v>
      </c>
      <c r="H15385" t="s">
        <v>19</v>
      </c>
    </row>
    <row r="15386" spans="1:8" x14ac:dyDescent="0.25">
      <c r="A15386" t="str">
        <f>"&lt;nominal&gt;" &amp;$D$15385&amp;"&lt;/nominal&gt;"</f>
        <v>&lt;nominal&gt;0&lt;/nominal&gt;</v>
      </c>
      <c r="B15386" t="s">
        <v>3552</v>
      </c>
    </row>
    <row r="15387" spans="1:8" x14ac:dyDescent="0.25">
      <c r="A15387" t="str">
        <f>"&lt;lifetime&gt;" &amp;$E$15385&amp;"&lt;/lifetime&gt;"</f>
        <v>&lt;lifetime&gt;1800&lt;/lifetime&gt;</v>
      </c>
      <c r="B15387" t="s">
        <v>3552</v>
      </c>
    </row>
    <row r="15388" spans="1:8" x14ac:dyDescent="0.25">
      <c r="A15388" t="str">
        <f>"&lt;restock&gt;" &amp;$F$15385&amp;"&lt;/restock&gt;"</f>
        <v>&lt;restock&gt;0&lt;/restock&gt;</v>
      </c>
      <c r="B15388" t="s">
        <v>3552</v>
      </c>
    </row>
    <row r="15389" spans="1:8" x14ac:dyDescent="0.25">
      <c r="A15389" t="str">
        <f>"&lt;min&gt;" &amp;$G$15385&amp;"&lt;/min&gt;"</f>
        <v>&lt;min&gt;1&lt;/min&gt;</v>
      </c>
      <c r="B15389" t="s">
        <v>3552</v>
      </c>
    </row>
    <row r="15390" spans="1:8" x14ac:dyDescent="0.25">
      <c r="A15390" t="s">
        <v>16</v>
      </c>
      <c r="B15390" t="s">
        <v>3552</v>
      </c>
    </row>
    <row r="15391" spans="1:8" x14ac:dyDescent="0.25">
      <c r="A15391" t="s">
        <v>17</v>
      </c>
      <c r="B15391" t="s">
        <v>3552</v>
      </c>
    </row>
    <row r="15392" spans="1:8" x14ac:dyDescent="0.25">
      <c r="A15392" t="s">
        <v>18</v>
      </c>
      <c r="B15392" t="s">
        <v>3552</v>
      </c>
    </row>
    <row r="15393" spans="1:8" x14ac:dyDescent="0.25">
      <c r="A15393" t="str">
        <f xml:space="preserve"> $H$15385</f>
        <v>&lt;flags count_in_cargo="0" count_in_hoarder="0" count_in_map="1" count_in_player="0" crafted="0" deloot="0"/&gt;</v>
      </c>
      <c r="B15393" t="s">
        <v>3552</v>
      </c>
    </row>
    <row r="15394" spans="1:8" x14ac:dyDescent="0.25">
      <c r="A15394" t="s">
        <v>22</v>
      </c>
      <c r="B15394" t="s">
        <v>3552</v>
      </c>
    </row>
    <row r="15395" spans="1:8" x14ac:dyDescent="0.25">
      <c r="A15395" t="s">
        <v>2594</v>
      </c>
      <c r="B15395" t="s">
        <v>3553</v>
      </c>
      <c r="D15395">
        <v>0</v>
      </c>
      <c r="E15395">
        <v>1800</v>
      </c>
      <c r="F15395">
        <v>0</v>
      </c>
      <c r="G15395">
        <v>1</v>
      </c>
      <c r="H15395" t="s">
        <v>19</v>
      </c>
    </row>
    <row r="15396" spans="1:8" x14ac:dyDescent="0.25">
      <c r="A15396" t="str">
        <f>"&lt;nominal&gt;" &amp;$D$15395&amp;"&lt;/nominal&gt;"</f>
        <v>&lt;nominal&gt;0&lt;/nominal&gt;</v>
      </c>
      <c r="B15396" t="s">
        <v>3553</v>
      </c>
    </row>
    <row r="15397" spans="1:8" x14ac:dyDescent="0.25">
      <c r="A15397" t="str">
        <f>"&lt;lifetime&gt;" &amp;$E$15395&amp;"&lt;/lifetime&gt;"</f>
        <v>&lt;lifetime&gt;1800&lt;/lifetime&gt;</v>
      </c>
      <c r="B15397" t="s">
        <v>3553</v>
      </c>
    </row>
    <row r="15398" spans="1:8" x14ac:dyDescent="0.25">
      <c r="A15398" t="str">
        <f>"&lt;restock&gt;" &amp;$F$15395&amp;"&lt;/restock&gt;"</f>
        <v>&lt;restock&gt;0&lt;/restock&gt;</v>
      </c>
      <c r="B15398" t="s">
        <v>3553</v>
      </c>
    </row>
    <row r="15399" spans="1:8" x14ac:dyDescent="0.25">
      <c r="A15399" t="str">
        <f>"&lt;min&gt;" &amp;$G$15395&amp;"&lt;/min&gt;"</f>
        <v>&lt;min&gt;1&lt;/min&gt;</v>
      </c>
      <c r="B15399" t="s">
        <v>3553</v>
      </c>
    </row>
    <row r="15400" spans="1:8" x14ac:dyDescent="0.25">
      <c r="A15400" t="s">
        <v>16</v>
      </c>
      <c r="B15400" t="s">
        <v>3553</v>
      </c>
    </row>
    <row r="15401" spans="1:8" x14ac:dyDescent="0.25">
      <c r="A15401" t="s">
        <v>17</v>
      </c>
      <c r="B15401" t="s">
        <v>3553</v>
      </c>
    </row>
    <row r="15402" spans="1:8" x14ac:dyDescent="0.25">
      <c r="A15402" t="s">
        <v>18</v>
      </c>
      <c r="B15402" t="s">
        <v>3553</v>
      </c>
    </row>
    <row r="15403" spans="1:8" x14ac:dyDescent="0.25">
      <c r="A15403" t="str">
        <f xml:space="preserve"> $H$15395</f>
        <v>&lt;flags count_in_cargo="0" count_in_hoarder="0" count_in_map="1" count_in_player="0" crafted="0" deloot="0"/&gt;</v>
      </c>
      <c r="B15403" t="s">
        <v>3553</v>
      </c>
    </row>
    <row r="15404" spans="1:8" x14ac:dyDescent="0.25">
      <c r="A15404" t="s">
        <v>22</v>
      </c>
      <c r="B15404" t="s">
        <v>3553</v>
      </c>
    </row>
    <row r="15405" spans="1:8" x14ac:dyDescent="0.25">
      <c r="A15405" t="s">
        <v>2595</v>
      </c>
      <c r="B15405" t="s">
        <v>3554</v>
      </c>
      <c r="D15405">
        <v>0</v>
      </c>
      <c r="E15405">
        <v>1800</v>
      </c>
      <c r="F15405">
        <v>0</v>
      </c>
      <c r="G15405">
        <v>1</v>
      </c>
      <c r="H15405" t="s">
        <v>19</v>
      </c>
    </row>
    <row r="15406" spans="1:8" x14ac:dyDescent="0.25">
      <c r="A15406" t="str">
        <f>"&lt;nominal&gt;" &amp;$D$15405&amp;"&lt;/nominal&gt;"</f>
        <v>&lt;nominal&gt;0&lt;/nominal&gt;</v>
      </c>
      <c r="B15406" t="s">
        <v>3554</v>
      </c>
    </row>
    <row r="15407" spans="1:8" x14ac:dyDescent="0.25">
      <c r="A15407" t="str">
        <f>"&lt;lifetime&gt;" &amp;$E$15405&amp;"&lt;/lifetime&gt;"</f>
        <v>&lt;lifetime&gt;1800&lt;/lifetime&gt;</v>
      </c>
      <c r="B15407" t="s">
        <v>3554</v>
      </c>
    </row>
    <row r="15408" spans="1:8" x14ac:dyDescent="0.25">
      <c r="A15408" t="str">
        <f>"&lt;restock&gt;" &amp;$F$15405&amp;"&lt;/restock&gt;"</f>
        <v>&lt;restock&gt;0&lt;/restock&gt;</v>
      </c>
      <c r="B15408" t="s">
        <v>3554</v>
      </c>
    </row>
    <row r="15409" spans="1:8" x14ac:dyDescent="0.25">
      <c r="A15409" t="str">
        <f>"&lt;min&gt;" &amp;$G$15405&amp;"&lt;/min&gt;"</f>
        <v>&lt;min&gt;1&lt;/min&gt;</v>
      </c>
      <c r="B15409" t="s">
        <v>3554</v>
      </c>
    </row>
    <row r="15410" spans="1:8" x14ac:dyDescent="0.25">
      <c r="A15410" t="s">
        <v>16</v>
      </c>
      <c r="B15410" t="s">
        <v>3554</v>
      </c>
    </row>
    <row r="15411" spans="1:8" x14ac:dyDescent="0.25">
      <c r="A15411" t="s">
        <v>17</v>
      </c>
      <c r="B15411" t="s">
        <v>3554</v>
      </c>
    </row>
    <row r="15412" spans="1:8" x14ac:dyDescent="0.25">
      <c r="A15412" t="s">
        <v>18</v>
      </c>
      <c r="B15412" t="s">
        <v>3554</v>
      </c>
    </row>
    <row r="15413" spans="1:8" x14ac:dyDescent="0.25">
      <c r="A15413" t="str">
        <f xml:space="preserve"> $H$15405</f>
        <v>&lt;flags count_in_cargo="0" count_in_hoarder="0" count_in_map="1" count_in_player="0" crafted="0" deloot="0"/&gt;</v>
      </c>
      <c r="B15413" t="s">
        <v>3554</v>
      </c>
    </row>
    <row r="15414" spans="1:8" x14ac:dyDescent="0.25">
      <c r="A15414" t="s">
        <v>22</v>
      </c>
      <c r="B15414" t="s">
        <v>3554</v>
      </c>
    </row>
    <row r="15415" spans="1:8" x14ac:dyDescent="0.25">
      <c r="A15415" t="s">
        <v>2596</v>
      </c>
      <c r="B15415" t="s">
        <v>3555</v>
      </c>
      <c r="D15415">
        <v>0</v>
      </c>
      <c r="E15415">
        <v>1800</v>
      </c>
      <c r="F15415">
        <v>0</v>
      </c>
      <c r="G15415">
        <v>1</v>
      </c>
      <c r="H15415" t="s">
        <v>19</v>
      </c>
    </row>
    <row r="15416" spans="1:8" x14ac:dyDescent="0.25">
      <c r="A15416" t="str">
        <f>"&lt;nominal&gt;" &amp;$D$15415&amp;"&lt;/nominal&gt;"</f>
        <v>&lt;nominal&gt;0&lt;/nominal&gt;</v>
      </c>
      <c r="B15416" t="s">
        <v>3555</v>
      </c>
    </row>
    <row r="15417" spans="1:8" x14ac:dyDescent="0.25">
      <c r="A15417" t="str">
        <f>"&lt;lifetime&gt;" &amp;$E$15415&amp;"&lt;/lifetime&gt;"</f>
        <v>&lt;lifetime&gt;1800&lt;/lifetime&gt;</v>
      </c>
      <c r="B15417" t="s">
        <v>3555</v>
      </c>
    </row>
    <row r="15418" spans="1:8" x14ac:dyDescent="0.25">
      <c r="A15418" t="str">
        <f>"&lt;restock&gt;" &amp;$F$15415&amp;"&lt;/restock&gt;"</f>
        <v>&lt;restock&gt;0&lt;/restock&gt;</v>
      </c>
      <c r="B15418" t="s">
        <v>3555</v>
      </c>
    </row>
    <row r="15419" spans="1:8" x14ac:dyDescent="0.25">
      <c r="A15419" t="str">
        <f>"&lt;min&gt;" &amp;$G$15415&amp;"&lt;/min&gt;"</f>
        <v>&lt;min&gt;1&lt;/min&gt;</v>
      </c>
      <c r="B15419" t="s">
        <v>3555</v>
      </c>
    </row>
    <row r="15420" spans="1:8" x14ac:dyDescent="0.25">
      <c r="A15420" t="s">
        <v>16</v>
      </c>
      <c r="B15420" t="s">
        <v>3555</v>
      </c>
    </row>
    <row r="15421" spans="1:8" x14ac:dyDescent="0.25">
      <c r="A15421" t="s">
        <v>17</v>
      </c>
      <c r="B15421" t="s">
        <v>3555</v>
      </c>
    </row>
    <row r="15422" spans="1:8" x14ac:dyDescent="0.25">
      <c r="A15422" t="s">
        <v>18</v>
      </c>
      <c r="B15422" t="s">
        <v>3555</v>
      </c>
    </row>
    <row r="15423" spans="1:8" x14ac:dyDescent="0.25">
      <c r="A15423" t="str">
        <f xml:space="preserve"> $H$15415</f>
        <v>&lt;flags count_in_cargo="0" count_in_hoarder="0" count_in_map="1" count_in_player="0" crafted="0" deloot="0"/&gt;</v>
      </c>
      <c r="B15423" t="s">
        <v>3555</v>
      </c>
    </row>
    <row r="15424" spans="1:8" x14ac:dyDescent="0.25">
      <c r="A15424" t="s">
        <v>22</v>
      </c>
      <c r="B15424" t="s">
        <v>3555</v>
      </c>
    </row>
    <row r="15425" spans="1:8" x14ac:dyDescent="0.25">
      <c r="A15425" t="s">
        <v>2597</v>
      </c>
      <c r="B15425" t="s">
        <v>3556</v>
      </c>
      <c r="D15425">
        <v>0</v>
      </c>
      <c r="E15425">
        <v>1800</v>
      </c>
      <c r="F15425">
        <v>0</v>
      </c>
      <c r="G15425">
        <v>1</v>
      </c>
      <c r="H15425" t="s">
        <v>19</v>
      </c>
    </row>
    <row r="15426" spans="1:8" x14ac:dyDescent="0.25">
      <c r="A15426" t="str">
        <f>"&lt;nominal&gt;" &amp;$D$15425&amp;"&lt;/nominal&gt;"</f>
        <v>&lt;nominal&gt;0&lt;/nominal&gt;</v>
      </c>
      <c r="B15426" t="s">
        <v>3556</v>
      </c>
    </row>
    <row r="15427" spans="1:8" x14ac:dyDescent="0.25">
      <c r="A15427" t="str">
        <f>"&lt;lifetime&gt;" &amp;$E$15425&amp;"&lt;/lifetime&gt;"</f>
        <v>&lt;lifetime&gt;1800&lt;/lifetime&gt;</v>
      </c>
      <c r="B15427" t="s">
        <v>3556</v>
      </c>
    </row>
    <row r="15428" spans="1:8" x14ac:dyDescent="0.25">
      <c r="A15428" t="str">
        <f>"&lt;restock&gt;" &amp;$F$15425&amp;"&lt;/restock&gt;"</f>
        <v>&lt;restock&gt;0&lt;/restock&gt;</v>
      </c>
      <c r="B15428" t="s">
        <v>3556</v>
      </c>
    </row>
    <row r="15429" spans="1:8" x14ac:dyDescent="0.25">
      <c r="A15429" t="str">
        <f>"&lt;min&gt;" &amp;$G$15425&amp;"&lt;/min&gt;"</f>
        <v>&lt;min&gt;1&lt;/min&gt;</v>
      </c>
      <c r="B15429" t="s">
        <v>3556</v>
      </c>
    </row>
    <row r="15430" spans="1:8" x14ac:dyDescent="0.25">
      <c r="A15430" t="s">
        <v>16</v>
      </c>
      <c r="B15430" t="s">
        <v>3556</v>
      </c>
    </row>
    <row r="15431" spans="1:8" x14ac:dyDescent="0.25">
      <c r="A15431" t="s">
        <v>17</v>
      </c>
      <c r="B15431" t="s">
        <v>3556</v>
      </c>
    </row>
    <row r="15432" spans="1:8" x14ac:dyDescent="0.25">
      <c r="A15432" t="s">
        <v>18</v>
      </c>
      <c r="B15432" t="s">
        <v>3556</v>
      </c>
    </row>
    <row r="15433" spans="1:8" x14ac:dyDescent="0.25">
      <c r="A15433" t="str">
        <f xml:space="preserve"> $H$15425</f>
        <v>&lt;flags count_in_cargo="0" count_in_hoarder="0" count_in_map="1" count_in_player="0" crafted="0" deloot="0"/&gt;</v>
      </c>
      <c r="B15433" t="s">
        <v>3556</v>
      </c>
    </row>
    <row r="15434" spans="1:8" x14ac:dyDescent="0.25">
      <c r="A15434" t="s">
        <v>22</v>
      </c>
      <c r="B15434" t="s">
        <v>3556</v>
      </c>
    </row>
    <row r="15435" spans="1:8" x14ac:dyDescent="0.25">
      <c r="A15435" t="s">
        <v>2598</v>
      </c>
      <c r="B15435" t="s">
        <v>3557</v>
      </c>
      <c r="D15435">
        <v>0</v>
      </c>
      <c r="E15435">
        <v>1800</v>
      </c>
      <c r="F15435">
        <v>0</v>
      </c>
      <c r="G15435">
        <v>1</v>
      </c>
      <c r="H15435" t="s">
        <v>19</v>
      </c>
    </row>
    <row r="15436" spans="1:8" x14ac:dyDescent="0.25">
      <c r="A15436" t="str">
        <f>"&lt;nominal&gt;" &amp;$D$15435&amp;"&lt;/nominal&gt;"</f>
        <v>&lt;nominal&gt;0&lt;/nominal&gt;</v>
      </c>
      <c r="B15436" t="s">
        <v>3557</v>
      </c>
    </row>
    <row r="15437" spans="1:8" x14ac:dyDescent="0.25">
      <c r="A15437" t="str">
        <f>"&lt;lifetime&gt;" &amp;$E$15435&amp;"&lt;/lifetime&gt;"</f>
        <v>&lt;lifetime&gt;1800&lt;/lifetime&gt;</v>
      </c>
      <c r="B15437" t="s">
        <v>3557</v>
      </c>
    </row>
    <row r="15438" spans="1:8" x14ac:dyDescent="0.25">
      <c r="A15438" t="str">
        <f>"&lt;restock&gt;" &amp;$F$15435&amp;"&lt;/restock&gt;"</f>
        <v>&lt;restock&gt;0&lt;/restock&gt;</v>
      </c>
      <c r="B15438" t="s">
        <v>3557</v>
      </c>
    </row>
    <row r="15439" spans="1:8" x14ac:dyDescent="0.25">
      <c r="A15439" t="str">
        <f>"&lt;min&gt;" &amp;$G$15435&amp;"&lt;/min&gt;"</f>
        <v>&lt;min&gt;1&lt;/min&gt;</v>
      </c>
      <c r="B15439" t="s">
        <v>3557</v>
      </c>
    </row>
    <row r="15440" spans="1:8" x14ac:dyDescent="0.25">
      <c r="A15440" t="s">
        <v>16</v>
      </c>
      <c r="B15440" t="s">
        <v>3557</v>
      </c>
    </row>
    <row r="15441" spans="1:8" x14ac:dyDescent="0.25">
      <c r="A15441" t="s">
        <v>17</v>
      </c>
      <c r="B15441" t="s">
        <v>3557</v>
      </c>
    </row>
    <row r="15442" spans="1:8" x14ac:dyDescent="0.25">
      <c r="A15442" t="s">
        <v>18</v>
      </c>
      <c r="B15442" t="s">
        <v>3557</v>
      </c>
    </row>
    <row r="15443" spans="1:8" x14ac:dyDescent="0.25">
      <c r="A15443" t="str">
        <f xml:space="preserve"> $H$15435</f>
        <v>&lt;flags count_in_cargo="0" count_in_hoarder="0" count_in_map="1" count_in_player="0" crafted="0" deloot="0"/&gt;</v>
      </c>
      <c r="B15443" t="s">
        <v>3557</v>
      </c>
    </row>
    <row r="15444" spans="1:8" x14ac:dyDescent="0.25">
      <c r="A15444" t="s">
        <v>22</v>
      </c>
      <c r="B15444" t="s">
        <v>3557</v>
      </c>
    </row>
    <row r="15445" spans="1:8" x14ac:dyDescent="0.25">
      <c r="A15445" t="s">
        <v>2599</v>
      </c>
      <c r="B15445" t="s">
        <v>3558</v>
      </c>
      <c r="D15445">
        <v>0</v>
      </c>
      <c r="E15445">
        <v>1800</v>
      </c>
      <c r="F15445">
        <v>0</v>
      </c>
      <c r="G15445">
        <v>1</v>
      </c>
      <c r="H15445" t="s">
        <v>19</v>
      </c>
    </row>
    <row r="15446" spans="1:8" x14ac:dyDescent="0.25">
      <c r="A15446" t="str">
        <f>"&lt;nominal&gt;" &amp;$D$15445&amp;"&lt;/nominal&gt;"</f>
        <v>&lt;nominal&gt;0&lt;/nominal&gt;</v>
      </c>
      <c r="B15446" t="s">
        <v>3558</v>
      </c>
    </row>
    <row r="15447" spans="1:8" x14ac:dyDescent="0.25">
      <c r="A15447" t="str">
        <f>"&lt;lifetime&gt;" &amp;$E$15445&amp;"&lt;/lifetime&gt;"</f>
        <v>&lt;lifetime&gt;1800&lt;/lifetime&gt;</v>
      </c>
      <c r="B15447" t="s">
        <v>3558</v>
      </c>
    </row>
    <row r="15448" spans="1:8" x14ac:dyDescent="0.25">
      <c r="A15448" t="str">
        <f>"&lt;restock&gt;" &amp;$F$15445&amp;"&lt;/restock&gt;"</f>
        <v>&lt;restock&gt;0&lt;/restock&gt;</v>
      </c>
      <c r="B15448" t="s">
        <v>3558</v>
      </c>
    </row>
    <row r="15449" spans="1:8" x14ac:dyDescent="0.25">
      <c r="A15449" t="str">
        <f>"&lt;min&gt;" &amp;$G$15445&amp;"&lt;/min&gt;"</f>
        <v>&lt;min&gt;1&lt;/min&gt;</v>
      </c>
      <c r="B15449" t="s">
        <v>3558</v>
      </c>
    </row>
    <row r="15450" spans="1:8" x14ac:dyDescent="0.25">
      <c r="A15450" t="s">
        <v>16</v>
      </c>
      <c r="B15450" t="s">
        <v>3558</v>
      </c>
    </row>
    <row r="15451" spans="1:8" x14ac:dyDescent="0.25">
      <c r="A15451" t="s">
        <v>17</v>
      </c>
      <c r="B15451" t="s">
        <v>3558</v>
      </c>
    </row>
    <row r="15452" spans="1:8" x14ac:dyDescent="0.25">
      <c r="A15452" t="s">
        <v>18</v>
      </c>
      <c r="B15452" t="s">
        <v>3558</v>
      </c>
    </row>
    <row r="15453" spans="1:8" x14ac:dyDescent="0.25">
      <c r="A15453" t="str">
        <f xml:space="preserve"> $H$15445</f>
        <v>&lt;flags count_in_cargo="0" count_in_hoarder="0" count_in_map="1" count_in_player="0" crafted="0" deloot="0"/&gt;</v>
      </c>
      <c r="B15453" t="s">
        <v>3558</v>
      </c>
    </row>
    <row r="15454" spans="1:8" x14ac:dyDescent="0.25">
      <c r="A15454" t="s">
        <v>22</v>
      </c>
      <c r="B15454" t="s">
        <v>3558</v>
      </c>
    </row>
    <row r="15455" spans="1:8" x14ac:dyDescent="0.25">
      <c r="A15455" t="s">
        <v>2600</v>
      </c>
      <c r="B15455" t="s">
        <v>3559</v>
      </c>
      <c r="D15455">
        <v>0</v>
      </c>
      <c r="E15455">
        <v>1800</v>
      </c>
      <c r="F15455">
        <v>0</v>
      </c>
      <c r="G15455">
        <v>1</v>
      </c>
      <c r="H15455" t="s">
        <v>19</v>
      </c>
    </row>
    <row r="15456" spans="1:8" x14ac:dyDescent="0.25">
      <c r="A15456" t="str">
        <f>"&lt;nominal&gt;" &amp;$D$15455&amp;"&lt;/nominal&gt;"</f>
        <v>&lt;nominal&gt;0&lt;/nominal&gt;</v>
      </c>
      <c r="B15456" t="s">
        <v>3559</v>
      </c>
    </row>
    <row r="15457" spans="1:8" x14ac:dyDescent="0.25">
      <c r="A15457" t="str">
        <f>"&lt;lifetime&gt;" &amp;$E$15455&amp;"&lt;/lifetime&gt;"</f>
        <v>&lt;lifetime&gt;1800&lt;/lifetime&gt;</v>
      </c>
      <c r="B15457" t="s">
        <v>3559</v>
      </c>
    </row>
    <row r="15458" spans="1:8" x14ac:dyDescent="0.25">
      <c r="A15458" t="str">
        <f>"&lt;restock&gt;" &amp;$F$15455&amp;"&lt;/restock&gt;"</f>
        <v>&lt;restock&gt;0&lt;/restock&gt;</v>
      </c>
      <c r="B15458" t="s">
        <v>3559</v>
      </c>
    </row>
    <row r="15459" spans="1:8" x14ac:dyDescent="0.25">
      <c r="A15459" t="str">
        <f>"&lt;min&gt;" &amp;$G$15455&amp;"&lt;/min&gt;"</f>
        <v>&lt;min&gt;1&lt;/min&gt;</v>
      </c>
      <c r="B15459" t="s">
        <v>3559</v>
      </c>
    </row>
    <row r="15460" spans="1:8" x14ac:dyDescent="0.25">
      <c r="A15460" t="s">
        <v>16</v>
      </c>
      <c r="B15460" t="s">
        <v>3559</v>
      </c>
    </row>
    <row r="15461" spans="1:8" x14ac:dyDescent="0.25">
      <c r="A15461" t="s">
        <v>17</v>
      </c>
      <c r="B15461" t="s">
        <v>3559</v>
      </c>
    </row>
    <row r="15462" spans="1:8" x14ac:dyDescent="0.25">
      <c r="A15462" t="s">
        <v>18</v>
      </c>
      <c r="B15462" t="s">
        <v>3559</v>
      </c>
    </row>
    <row r="15463" spans="1:8" x14ac:dyDescent="0.25">
      <c r="A15463" t="str">
        <f xml:space="preserve"> $H$15455</f>
        <v>&lt;flags count_in_cargo="0" count_in_hoarder="0" count_in_map="1" count_in_player="0" crafted="0" deloot="0"/&gt;</v>
      </c>
      <c r="B15463" t="s">
        <v>3559</v>
      </c>
    </row>
    <row r="15464" spans="1:8" x14ac:dyDescent="0.25">
      <c r="A15464" t="s">
        <v>22</v>
      </c>
      <c r="B15464" t="s">
        <v>3559</v>
      </c>
    </row>
    <row r="15465" spans="1:8" x14ac:dyDescent="0.25">
      <c r="A15465" t="s">
        <v>2601</v>
      </c>
      <c r="B15465" t="s">
        <v>3560</v>
      </c>
      <c r="D15465">
        <v>0</v>
      </c>
      <c r="E15465">
        <v>1800</v>
      </c>
      <c r="F15465">
        <v>0</v>
      </c>
      <c r="G15465">
        <v>1</v>
      </c>
      <c r="H15465" t="s">
        <v>19</v>
      </c>
    </row>
    <row r="15466" spans="1:8" x14ac:dyDescent="0.25">
      <c r="A15466" t="str">
        <f>"&lt;nominal&gt;" &amp;$D$15465&amp;"&lt;/nominal&gt;"</f>
        <v>&lt;nominal&gt;0&lt;/nominal&gt;</v>
      </c>
      <c r="B15466" t="s">
        <v>3560</v>
      </c>
    </row>
    <row r="15467" spans="1:8" x14ac:dyDescent="0.25">
      <c r="A15467" t="str">
        <f>"&lt;lifetime&gt;" &amp;$E$15465&amp;"&lt;/lifetime&gt;"</f>
        <v>&lt;lifetime&gt;1800&lt;/lifetime&gt;</v>
      </c>
      <c r="B15467" t="s">
        <v>3560</v>
      </c>
    </row>
    <row r="15468" spans="1:8" x14ac:dyDescent="0.25">
      <c r="A15468" t="str">
        <f>"&lt;restock&gt;" &amp;$F$15465&amp;"&lt;/restock&gt;"</f>
        <v>&lt;restock&gt;0&lt;/restock&gt;</v>
      </c>
      <c r="B15468" t="s">
        <v>3560</v>
      </c>
    </row>
    <row r="15469" spans="1:8" x14ac:dyDescent="0.25">
      <c r="A15469" t="str">
        <f>"&lt;min&gt;" &amp;$G$15465&amp;"&lt;/min&gt;"</f>
        <v>&lt;min&gt;1&lt;/min&gt;</v>
      </c>
      <c r="B15469" t="s">
        <v>3560</v>
      </c>
    </row>
    <row r="15470" spans="1:8" x14ac:dyDescent="0.25">
      <c r="A15470" t="s">
        <v>16</v>
      </c>
      <c r="B15470" t="s">
        <v>3560</v>
      </c>
    </row>
    <row r="15471" spans="1:8" x14ac:dyDescent="0.25">
      <c r="A15471" t="s">
        <v>17</v>
      </c>
      <c r="B15471" t="s">
        <v>3560</v>
      </c>
    </row>
    <row r="15472" spans="1:8" x14ac:dyDescent="0.25">
      <c r="A15472" t="s">
        <v>18</v>
      </c>
      <c r="B15472" t="s">
        <v>3560</v>
      </c>
    </row>
    <row r="15473" spans="1:8" x14ac:dyDescent="0.25">
      <c r="A15473" t="str">
        <f xml:space="preserve"> $H$15465</f>
        <v>&lt;flags count_in_cargo="0" count_in_hoarder="0" count_in_map="1" count_in_player="0" crafted="0" deloot="0"/&gt;</v>
      </c>
      <c r="B15473" t="s">
        <v>3560</v>
      </c>
    </row>
    <row r="15474" spans="1:8" x14ac:dyDescent="0.25">
      <c r="A15474" t="s">
        <v>22</v>
      </c>
      <c r="B15474" t="s">
        <v>3560</v>
      </c>
    </row>
    <row r="15475" spans="1:8" x14ac:dyDescent="0.25">
      <c r="A15475" t="s">
        <v>2602</v>
      </c>
      <c r="B15475" t="s">
        <v>3561</v>
      </c>
      <c r="D15475">
        <v>0</v>
      </c>
      <c r="E15475">
        <v>1800</v>
      </c>
      <c r="F15475">
        <v>0</v>
      </c>
      <c r="G15475">
        <v>1</v>
      </c>
      <c r="H15475" t="s">
        <v>19</v>
      </c>
    </row>
    <row r="15476" spans="1:8" x14ac:dyDescent="0.25">
      <c r="A15476" t="str">
        <f>"&lt;nominal&gt;" &amp;$D$15475&amp;"&lt;/nominal&gt;"</f>
        <v>&lt;nominal&gt;0&lt;/nominal&gt;</v>
      </c>
      <c r="B15476" t="s">
        <v>3561</v>
      </c>
    </row>
    <row r="15477" spans="1:8" x14ac:dyDescent="0.25">
      <c r="A15477" t="str">
        <f>"&lt;lifetime&gt;" &amp;$E$15475&amp;"&lt;/lifetime&gt;"</f>
        <v>&lt;lifetime&gt;1800&lt;/lifetime&gt;</v>
      </c>
      <c r="B15477" t="s">
        <v>3561</v>
      </c>
    </row>
    <row r="15478" spans="1:8" x14ac:dyDescent="0.25">
      <c r="A15478" t="str">
        <f>"&lt;restock&gt;" &amp;$F$15475&amp;"&lt;/restock&gt;"</f>
        <v>&lt;restock&gt;0&lt;/restock&gt;</v>
      </c>
      <c r="B15478" t="s">
        <v>3561</v>
      </c>
    </row>
    <row r="15479" spans="1:8" x14ac:dyDescent="0.25">
      <c r="A15479" t="str">
        <f>"&lt;min&gt;" &amp;$G$15475&amp;"&lt;/min&gt;"</f>
        <v>&lt;min&gt;1&lt;/min&gt;</v>
      </c>
      <c r="B15479" t="s">
        <v>3561</v>
      </c>
    </row>
    <row r="15480" spans="1:8" x14ac:dyDescent="0.25">
      <c r="A15480" t="s">
        <v>16</v>
      </c>
      <c r="B15480" t="s">
        <v>3561</v>
      </c>
    </row>
    <row r="15481" spans="1:8" x14ac:dyDescent="0.25">
      <c r="A15481" t="s">
        <v>17</v>
      </c>
      <c r="B15481" t="s">
        <v>3561</v>
      </c>
    </row>
    <row r="15482" spans="1:8" x14ac:dyDescent="0.25">
      <c r="A15482" t="s">
        <v>18</v>
      </c>
      <c r="B15482" t="s">
        <v>3561</v>
      </c>
    </row>
    <row r="15483" spans="1:8" x14ac:dyDescent="0.25">
      <c r="A15483" t="str">
        <f xml:space="preserve"> $H$15475</f>
        <v>&lt;flags count_in_cargo="0" count_in_hoarder="0" count_in_map="1" count_in_player="0" crafted="0" deloot="0"/&gt;</v>
      </c>
      <c r="B15483" t="s">
        <v>3561</v>
      </c>
    </row>
    <row r="15484" spans="1:8" x14ac:dyDescent="0.25">
      <c r="A15484" t="s">
        <v>22</v>
      </c>
      <c r="B15484" t="s">
        <v>3561</v>
      </c>
    </row>
    <row r="15485" spans="1:8" x14ac:dyDescent="0.25">
      <c r="A15485" t="s">
        <v>2603</v>
      </c>
      <c r="B15485" t="s">
        <v>3562</v>
      </c>
      <c r="D15485">
        <v>0</v>
      </c>
      <c r="E15485">
        <v>1800</v>
      </c>
      <c r="F15485">
        <v>0</v>
      </c>
      <c r="G15485">
        <v>1</v>
      </c>
      <c r="H15485" t="s">
        <v>19</v>
      </c>
    </row>
    <row r="15486" spans="1:8" x14ac:dyDescent="0.25">
      <c r="A15486" t="str">
        <f>"&lt;nominal&gt;" &amp;$D$15485&amp;"&lt;/nominal&gt;"</f>
        <v>&lt;nominal&gt;0&lt;/nominal&gt;</v>
      </c>
      <c r="B15486" t="s">
        <v>3562</v>
      </c>
    </row>
    <row r="15487" spans="1:8" x14ac:dyDescent="0.25">
      <c r="A15487" t="str">
        <f>"&lt;lifetime&gt;" &amp;$E$15485&amp;"&lt;/lifetime&gt;"</f>
        <v>&lt;lifetime&gt;1800&lt;/lifetime&gt;</v>
      </c>
      <c r="B15487" t="s">
        <v>3562</v>
      </c>
    </row>
    <row r="15488" spans="1:8" x14ac:dyDescent="0.25">
      <c r="A15488" t="str">
        <f>"&lt;restock&gt;" &amp;$F$15485&amp;"&lt;/restock&gt;"</f>
        <v>&lt;restock&gt;0&lt;/restock&gt;</v>
      </c>
      <c r="B15488" t="s">
        <v>3562</v>
      </c>
    </row>
    <row r="15489" spans="1:8" x14ac:dyDescent="0.25">
      <c r="A15489" t="str">
        <f>"&lt;min&gt;" &amp;$G$15485&amp;"&lt;/min&gt;"</f>
        <v>&lt;min&gt;1&lt;/min&gt;</v>
      </c>
      <c r="B15489" t="s">
        <v>3562</v>
      </c>
    </row>
    <row r="15490" spans="1:8" x14ac:dyDescent="0.25">
      <c r="A15490" t="s">
        <v>16</v>
      </c>
      <c r="B15490" t="s">
        <v>3562</v>
      </c>
    </row>
    <row r="15491" spans="1:8" x14ac:dyDescent="0.25">
      <c r="A15491" t="s">
        <v>17</v>
      </c>
      <c r="B15491" t="s">
        <v>3562</v>
      </c>
    </row>
    <row r="15492" spans="1:8" x14ac:dyDescent="0.25">
      <c r="A15492" t="s">
        <v>18</v>
      </c>
      <c r="B15492" t="s">
        <v>3562</v>
      </c>
    </row>
    <row r="15493" spans="1:8" x14ac:dyDescent="0.25">
      <c r="A15493" t="str">
        <f xml:space="preserve"> $H$15485</f>
        <v>&lt;flags count_in_cargo="0" count_in_hoarder="0" count_in_map="1" count_in_player="0" crafted="0" deloot="0"/&gt;</v>
      </c>
      <c r="B15493" t="s">
        <v>3562</v>
      </c>
    </row>
    <row r="15494" spans="1:8" x14ac:dyDescent="0.25">
      <c r="A15494" t="s">
        <v>22</v>
      </c>
      <c r="B15494" t="s">
        <v>3562</v>
      </c>
    </row>
    <row r="15495" spans="1:8" x14ac:dyDescent="0.25">
      <c r="A15495" t="s">
        <v>2604</v>
      </c>
      <c r="B15495" t="s">
        <v>3563</v>
      </c>
      <c r="D15495">
        <v>0</v>
      </c>
      <c r="E15495">
        <v>1800</v>
      </c>
      <c r="F15495">
        <v>0</v>
      </c>
      <c r="G15495">
        <v>1</v>
      </c>
      <c r="H15495" t="s">
        <v>19</v>
      </c>
    </row>
    <row r="15496" spans="1:8" x14ac:dyDescent="0.25">
      <c r="A15496" t="str">
        <f>"&lt;nominal&gt;" &amp;$D$15495&amp;"&lt;/nominal&gt;"</f>
        <v>&lt;nominal&gt;0&lt;/nominal&gt;</v>
      </c>
      <c r="B15496" t="s">
        <v>3563</v>
      </c>
    </row>
    <row r="15497" spans="1:8" x14ac:dyDescent="0.25">
      <c r="A15497" t="str">
        <f>"&lt;lifetime&gt;" &amp;$E$15495&amp;"&lt;/lifetime&gt;"</f>
        <v>&lt;lifetime&gt;1800&lt;/lifetime&gt;</v>
      </c>
      <c r="B15497" t="s">
        <v>3563</v>
      </c>
    </row>
    <row r="15498" spans="1:8" x14ac:dyDescent="0.25">
      <c r="A15498" t="str">
        <f>"&lt;restock&gt;" &amp;$F$15495&amp;"&lt;/restock&gt;"</f>
        <v>&lt;restock&gt;0&lt;/restock&gt;</v>
      </c>
      <c r="B15498" t="s">
        <v>3563</v>
      </c>
    </row>
    <row r="15499" spans="1:8" x14ac:dyDescent="0.25">
      <c r="A15499" t="str">
        <f>"&lt;min&gt;" &amp;$G$15495&amp;"&lt;/min&gt;"</f>
        <v>&lt;min&gt;1&lt;/min&gt;</v>
      </c>
      <c r="B15499" t="s">
        <v>3563</v>
      </c>
    </row>
    <row r="15500" spans="1:8" x14ac:dyDescent="0.25">
      <c r="A15500" t="s">
        <v>16</v>
      </c>
      <c r="B15500" t="s">
        <v>3563</v>
      </c>
    </row>
    <row r="15501" spans="1:8" x14ac:dyDescent="0.25">
      <c r="A15501" t="s">
        <v>17</v>
      </c>
      <c r="B15501" t="s">
        <v>3563</v>
      </c>
    </row>
    <row r="15502" spans="1:8" x14ac:dyDescent="0.25">
      <c r="A15502" t="s">
        <v>18</v>
      </c>
      <c r="B15502" t="s">
        <v>3563</v>
      </c>
    </row>
    <row r="15503" spans="1:8" x14ac:dyDescent="0.25">
      <c r="A15503" t="str">
        <f xml:space="preserve"> $H$15495</f>
        <v>&lt;flags count_in_cargo="0" count_in_hoarder="0" count_in_map="1" count_in_player="0" crafted="0" deloot="0"/&gt;</v>
      </c>
      <c r="B15503" t="s">
        <v>3563</v>
      </c>
    </row>
    <row r="15504" spans="1:8" x14ac:dyDescent="0.25">
      <c r="A15504" t="s">
        <v>22</v>
      </c>
      <c r="B15504" t="s">
        <v>3563</v>
      </c>
    </row>
    <row r="15505" spans="1:8" x14ac:dyDescent="0.25">
      <c r="A15505" t="s">
        <v>2605</v>
      </c>
      <c r="B15505" t="s">
        <v>3564</v>
      </c>
      <c r="D15505">
        <v>0</v>
      </c>
      <c r="E15505">
        <v>1800</v>
      </c>
      <c r="F15505">
        <v>0</v>
      </c>
      <c r="G15505">
        <v>1</v>
      </c>
      <c r="H15505" t="s">
        <v>19</v>
      </c>
    </row>
    <row r="15506" spans="1:8" x14ac:dyDescent="0.25">
      <c r="A15506" t="str">
        <f>"&lt;nominal&gt;" &amp;$D$15505&amp;"&lt;/nominal&gt;"</f>
        <v>&lt;nominal&gt;0&lt;/nominal&gt;</v>
      </c>
      <c r="B15506" t="s">
        <v>3564</v>
      </c>
    </row>
    <row r="15507" spans="1:8" x14ac:dyDescent="0.25">
      <c r="A15507" t="str">
        <f>"&lt;lifetime&gt;" &amp;$E$15505&amp;"&lt;/lifetime&gt;"</f>
        <v>&lt;lifetime&gt;1800&lt;/lifetime&gt;</v>
      </c>
      <c r="B15507" t="s">
        <v>3564</v>
      </c>
    </row>
    <row r="15508" spans="1:8" x14ac:dyDescent="0.25">
      <c r="A15508" t="str">
        <f>"&lt;restock&gt;" &amp;$F$15505&amp;"&lt;/restock&gt;"</f>
        <v>&lt;restock&gt;0&lt;/restock&gt;</v>
      </c>
      <c r="B15508" t="s">
        <v>3564</v>
      </c>
    </row>
    <row r="15509" spans="1:8" x14ac:dyDescent="0.25">
      <c r="A15509" t="str">
        <f>"&lt;min&gt;" &amp;$G$15505&amp;"&lt;/min&gt;"</f>
        <v>&lt;min&gt;1&lt;/min&gt;</v>
      </c>
      <c r="B15509" t="s">
        <v>3564</v>
      </c>
    </row>
    <row r="15510" spans="1:8" x14ac:dyDescent="0.25">
      <c r="A15510" t="s">
        <v>16</v>
      </c>
      <c r="B15510" t="s">
        <v>3564</v>
      </c>
    </row>
    <row r="15511" spans="1:8" x14ac:dyDescent="0.25">
      <c r="A15511" t="s">
        <v>17</v>
      </c>
      <c r="B15511" t="s">
        <v>3564</v>
      </c>
    </row>
    <row r="15512" spans="1:8" x14ac:dyDescent="0.25">
      <c r="A15512" t="s">
        <v>18</v>
      </c>
      <c r="B15512" t="s">
        <v>3564</v>
      </c>
    </row>
    <row r="15513" spans="1:8" x14ac:dyDescent="0.25">
      <c r="A15513" t="str">
        <f xml:space="preserve"> $H$15505</f>
        <v>&lt;flags count_in_cargo="0" count_in_hoarder="0" count_in_map="1" count_in_player="0" crafted="0" deloot="0"/&gt;</v>
      </c>
      <c r="B15513" t="s">
        <v>3564</v>
      </c>
    </row>
    <row r="15514" spans="1:8" x14ac:dyDescent="0.25">
      <c r="A15514" t="s">
        <v>22</v>
      </c>
      <c r="B15514" t="s">
        <v>3564</v>
      </c>
    </row>
    <row r="15515" spans="1:8" x14ac:dyDescent="0.25">
      <c r="A15515" t="s">
        <v>2606</v>
      </c>
      <c r="B15515" t="s">
        <v>3565</v>
      </c>
      <c r="D15515">
        <v>0</v>
      </c>
      <c r="E15515">
        <v>1800</v>
      </c>
      <c r="F15515">
        <v>0</v>
      </c>
      <c r="G15515">
        <v>1</v>
      </c>
      <c r="H15515" t="s">
        <v>19</v>
      </c>
    </row>
    <row r="15516" spans="1:8" x14ac:dyDescent="0.25">
      <c r="A15516" t="str">
        <f>"&lt;nominal&gt;" &amp;$D$15515&amp;"&lt;/nominal&gt;"</f>
        <v>&lt;nominal&gt;0&lt;/nominal&gt;</v>
      </c>
      <c r="B15516" t="s">
        <v>3565</v>
      </c>
    </row>
    <row r="15517" spans="1:8" x14ac:dyDescent="0.25">
      <c r="A15517" t="str">
        <f>"&lt;lifetime&gt;" &amp;$E$15515&amp;"&lt;/lifetime&gt;"</f>
        <v>&lt;lifetime&gt;1800&lt;/lifetime&gt;</v>
      </c>
      <c r="B15517" t="s">
        <v>3565</v>
      </c>
    </row>
    <row r="15518" spans="1:8" x14ac:dyDescent="0.25">
      <c r="A15518" t="str">
        <f>"&lt;restock&gt;" &amp;$F$15515&amp;"&lt;/restock&gt;"</f>
        <v>&lt;restock&gt;0&lt;/restock&gt;</v>
      </c>
      <c r="B15518" t="s">
        <v>3565</v>
      </c>
    </row>
    <row r="15519" spans="1:8" x14ac:dyDescent="0.25">
      <c r="A15519" t="str">
        <f>"&lt;min&gt;" &amp;$G$15515&amp;"&lt;/min&gt;"</f>
        <v>&lt;min&gt;1&lt;/min&gt;</v>
      </c>
      <c r="B15519" t="s">
        <v>3565</v>
      </c>
    </row>
    <row r="15520" spans="1:8" x14ac:dyDescent="0.25">
      <c r="A15520" t="s">
        <v>16</v>
      </c>
      <c r="B15520" t="s">
        <v>3565</v>
      </c>
    </row>
    <row r="15521" spans="1:8" x14ac:dyDescent="0.25">
      <c r="A15521" t="s">
        <v>17</v>
      </c>
      <c r="B15521" t="s">
        <v>3565</v>
      </c>
    </row>
    <row r="15522" spans="1:8" x14ac:dyDescent="0.25">
      <c r="A15522" t="s">
        <v>18</v>
      </c>
      <c r="B15522" t="s">
        <v>3565</v>
      </c>
    </row>
    <row r="15523" spans="1:8" x14ac:dyDescent="0.25">
      <c r="A15523" t="str">
        <f xml:space="preserve"> $H$15515</f>
        <v>&lt;flags count_in_cargo="0" count_in_hoarder="0" count_in_map="1" count_in_player="0" crafted="0" deloot="0"/&gt;</v>
      </c>
      <c r="B15523" t="s">
        <v>3565</v>
      </c>
    </row>
    <row r="15524" spans="1:8" x14ac:dyDescent="0.25">
      <c r="A15524" t="s">
        <v>22</v>
      </c>
      <c r="B15524" t="s">
        <v>3565</v>
      </c>
    </row>
    <row r="15525" spans="1:8" x14ac:dyDescent="0.25">
      <c r="A15525" t="s">
        <v>2607</v>
      </c>
      <c r="B15525" t="s">
        <v>3566</v>
      </c>
      <c r="D15525">
        <v>0</v>
      </c>
      <c r="E15525">
        <v>1800</v>
      </c>
      <c r="F15525">
        <v>0</v>
      </c>
      <c r="G15525">
        <v>1</v>
      </c>
      <c r="H15525" t="s">
        <v>19</v>
      </c>
    </row>
    <row r="15526" spans="1:8" x14ac:dyDescent="0.25">
      <c r="A15526" t="str">
        <f>"&lt;nominal&gt;" &amp;$D$15525&amp;"&lt;/nominal&gt;"</f>
        <v>&lt;nominal&gt;0&lt;/nominal&gt;</v>
      </c>
      <c r="B15526" t="s">
        <v>3566</v>
      </c>
    </row>
    <row r="15527" spans="1:8" x14ac:dyDescent="0.25">
      <c r="A15527" t="str">
        <f>"&lt;lifetime&gt;" &amp;$E$15525&amp;"&lt;/lifetime&gt;"</f>
        <v>&lt;lifetime&gt;1800&lt;/lifetime&gt;</v>
      </c>
      <c r="B15527" t="s">
        <v>3566</v>
      </c>
    </row>
    <row r="15528" spans="1:8" x14ac:dyDescent="0.25">
      <c r="A15528" t="str">
        <f>"&lt;restock&gt;" &amp;$F$15525&amp;"&lt;/restock&gt;"</f>
        <v>&lt;restock&gt;0&lt;/restock&gt;</v>
      </c>
      <c r="B15528" t="s">
        <v>3566</v>
      </c>
    </row>
    <row r="15529" spans="1:8" x14ac:dyDescent="0.25">
      <c r="A15529" t="str">
        <f>"&lt;min&gt;" &amp;$G$15525&amp;"&lt;/min&gt;"</f>
        <v>&lt;min&gt;1&lt;/min&gt;</v>
      </c>
      <c r="B15529" t="s">
        <v>3566</v>
      </c>
    </row>
    <row r="15530" spans="1:8" x14ac:dyDescent="0.25">
      <c r="A15530" t="s">
        <v>16</v>
      </c>
      <c r="B15530" t="s">
        <v>3566</v>
      </c>
    </row>
    <row r="15531" spans="1:8" x14ac:dyDescent="0.25">
      <c r="A15531" t="s">
        <v>17</v>
      </c>
      <c r="B15531" t="s">
        <v>3566</v>
      </c>
    </row>
    <row r="15532" spans="1:8" x14ac:dyDescent="0.25">
      <c r="A15532" t="s">
        <v>18</v>
      </c>
      <c r="B15532" t="s">
        <v>3566</v>
      </c>
    </row>
    <row r="15533" spans="1:8" x14ac:dyDescent="0.25">
      <c r="A15533" t="str">
        <f xml:space="preserve"> $H$15525</f>
        <v>&lt;flags count_in_cargo="0" count_in_hoarder="0" count_in_map="1" count_in_player="0" crafted="0" deloot="0"/&gt;</v>
      </c>
      <c r="B15533" t="s">
        <v>3566</v>
      </c>
    </row>
    <row r="15534" spans="1:8" x14ac:dyDescent="0.25">
      <c r="A15534" t="s">
        <v>22</v>
      </c>
      <c r="B15534" t="s">
        <v>3566</v>
      </c>
    </row>
    <row r="15535" spans="1:8" x14ac:dyDescent="0.25">
      <c r="A15535" t="s">
        <v>2608</v>
      </c>
      <c r="B15535" t="s">
        <v>3567</v>
      </c>
      <c r="D15535">
        <v>0</v>
      </c>
      <c r="E15535">
        <v>1800</v>
      </c>
      <c r="F15535">
        <v>0</v>
      </c>
      <c r="G15535">
        <v>1</v>
      </c>
      <c r="H15535" t="s">
        <v>19</v>
      </c>
    </row>
    <row r="15536" spans="1:8" x14ac:dyDescent="0.25">
      <c r="A15536" t="str">
        <f>"&lt;nominal&gt;" &amp;$D$15535&amp;"&lt;/nominal&gt;"</f>
        <v>&lt;nominal&gt;0&lt;/nominal&gt;</v>
      </c>
      <c r="B15536" t="s">
        <v>3567</v>
      </c>
    </row>
    <row r="15537" spans="1:8" x14ac:dyDescent="0.25">
      <c r="A15537" t="str">
        <f>"&lt;lifetime&gt;" &amp;$E$15535&amp;"&lt;/lifetime&gt;"</f>
        <v>&lt;lifetime&gt;1800&lt;/lifetime&gt;</v>
      </c>
      <c r="B15537" t="s">
        <v>3567</v>
      </c>
    </row>
    <row r="15538" spans="1:8" x14ac:dyDescent="0.25">
      <c r="A15538" t="str">
        <f>"&lt;restock&gt;" &amp;$F$15535&amp;"&lt;/restock&gt;"</f>
        <v>&lt;restock&gt;0&lt;/restock&gt;</v>
      </c>
      <c r="B15538" t="s">
        <v>3567</v>
      </c>
    </row>
    <row r="15539" spans="1:8" x14ac:dyDescent="0.25">
      <c r="A15539" t="str">
        <f>"&lt;min&gt;" &amp;$G$15535&amp;"&lt;/min&gt;"</f>
        <v>&lt;min&gt;1&lt;/min&gt;</v>
      </c>
      <c r="B15539" t="s">
        <v>3567</v>
      </c>
    </row>
    <row r="15540" spans="1:8" x14ac:dyDescent="0.25">
      <c r="A15540" t="s">
        <v>16</v>
      </c>
      <c r="B15540" t="s">
        <v>3567</v>
      </c>
    </row>
    <row r="15541" spans="1:8" x14ac:dyDescent="0.25">
      <c r="A15541" t="s">
        <v>17</v>
      </c>
      <c r="B15541" t="s">
        <v>3567</v>
      </c>
    </row>
    <row r="15542" spans="1:8" x14ac:dyDescent="0.25">
      <c r="A15542" t="s">
        <v>18</v>
      </c>
      <c r="B15542" t="s">
        <v>3567</v>
      </c>
    </row>
    <row r="15543" spans="1:8" x14ac:dyDescent="0.25">
      <c r="A15543" t="str">
        <f xml:space="preserve"> $H$15535</f>
        <v>&lt;flags count_in_cargo="0" count_in_hoarder="0" count_in_map="1" count_in_player="0" crafted="0" deloot="0"/&gt;</v>
      </c>
      <c r="B15543" t="s">
        <v>3567</v>
      </c>
    </row>
    <row r="15544" spans="1:8" x14ac:dyDescent="0.25">
      <c r="A15544" t="s">
        <v>22</v>
      </c>
      <c r="B15544" t="s">
        <v>3567</v>
      </c>
    </row>
    <row r="15545" spans="1:8" x14ac:dyDescent="0.25">
      <c r="A15545" t="s">
        <v>2609</v>
      </c>
      <c r="B15545" t="s">
        <v>3568</v>
      </c>
      <c r="D15545">
        <v>0</v>
      </c>
      <c r="E15545">
        <v>1800</v>
      </c>
      <c r="F15545">
        <v>0</v>
      </c>
      <c r="G15545">
        <v>1</v>
      </c>
      <c r="H15545" t="s">
        <v>19</v>
      </c>
    </row>
    <row r="15546" spans="1:8" x14ac:dyDescent="0.25">
      <c r="A15546" t="str">
        <f>"&lt;nominal&gt;" &amp;$D$15545&amp;"&lt;/nominal&gt;"</f>
        <v>&lt;nominal&gt;0&lt;/nominal&gt;</v>
      </c>
      <c r="B15546" t="s">
        <v>3568</v>
      </c>
    </row>
    <row r="15547" spans="1:8" x14ac:dyDescent="0.25">
      <c r="A15547" t="str">
        <f>"&lt;lifetime&gt;" &amp;$E$15545&amp;"&lt;/lifetime&gt;"</f>
        <v>&lt;lifetime&gt;1800&lt;/lifetime&gt;</v>
      </c>
      <c r="B15547" t="s">
        <v>3568</v>
      </c>
    </row>
    <row r="15548" spans="1:8" x14ac:dyDescent="0.25">
      <c r="A15548" t="str">
        <f>"&lt;restock&gt;" &amp;$F$15545&amp;"&lt;/restock&gt;"</f>
        <v>&lt;restock&gt;0&lt;/restock&gt;</v>
      </c>
      <c r="B15548" t="s">
        <v>3568</v>
      </c>
    </row>
    <row r="15549" spans="1:8" x14ac:dyDescent="0.25">
      <c r="A15549" t="str">
        <f>"&lt;min&gt;" &amp;$G$15545&amp;"&lt;/min&gt;"</f>
        <v>&lt;min&gt;1&lt;/min&gt;</v>
      </c>
      <c r="B15549" t="s">
        <v>3568</v>
      </c>
    </row>
    <row r="15550" spans="1:8" x14ac:dyDescent="0.25">
      <c r="A15550" t="s">
        <v>16</v>
      </c>
      <c r="B15550" t="s">
        <v>3568</v>
      </c>
    </row>
    <row r="15551" spans="1:8" x14ac:dyDescent="0.25">
      <c r="A15551" t="s">
        <v>17</v>
      </c>
      <c r="B15551" t="s">
        <v>3568</v>
      </c>
    </row>
    <row r="15552" spans="1:8" x14ac:dyDescent="0.25">
      <c r="A15552" t="s">
        <v>18</v>
      </c>
      <c r="B15552" t="s">
        <v>3568</v>
      </c>
    </row>
    <row r="15553" spans="1:8" x14ac:dyDescent="0.25">
      <c r="A15553" t="str">
        <f xml:space="preserve"> $H$15545</f>
        <v>&lt;flags count_in_cargo="0" count_in_hoarder="0" count_in_map="1" count_in_player="0" crafted="0" deloot="0"/&gt;</v>
      </c>
      <c r="B15553" t="s">
        <v>3568</v>
      </c>
    </row>
    <row r="15554" spans="1:8" x14ac:dyDescent="0.25">
      <c r="A15554" t="s">
        <v>22</v>
      </c>
      <c r="B15554" t="s">
        <v>3568</v>
      </c>
    </row>
    <row r="15555" spans="1:8" x14ac:dyDescent="0.25">
      <c r="A15555" t="s">
        <v>2610</v>
      </c>
      <c r="B15555" t="s">
        <v>3569</v>
      </c>
      <c r="D15555">
        <v>0</v>
      </c>
      <c r="E15555">
        <v>1800</v>
      </c>
      <c r="F15555">
        <v>0</v>
      </c>
      <c r="G15555">
        <v>1</v>
      </c>
      <c r="H15555" t="s">
        <v>19</v>
      </c>
    </row>
    <row r="15556" spans="1:8" x14ac:dyDescent="0.25">
      <c r="A15556" t="str">
        <f>"&lt;nominal&gt;" &amp;$D$15555&amp;"&lt;/nominal&gt;"</f>
        <v>&lt;nominal&gt;0&lt;/nominal&gt;</v>
      </c>
      <c r="B15556" t="s">
        <v>3569</v>
      </c>
    </row>
    <row r="15557" spans="1:8" x14ac:dyDescent="0.25">
      <c r="A15557" t="str">
        <f>"&lt;lifetime&gt;" &amp;$E$15555&amp;"&lt;/lifetime&gt;"</f>
        <v>&lt;lifetime&gt;1800&lt;/lifetime&gt;</v>
      </c>
      <c r="B15557" t="s">
        <v>3569</v>
      </c>
    </row>
    <row r="15558" spans="1:8" x14ac:dyDescent="0.25">
      <c r="A15558" t="str">
        <f>"&lt;restock&gt;" &amp;$F$15555&amp;"&lt;/restock&gt;"</f>
        <v>&lt;restock&gt;0&lt;/restock&gt;</v>
      </c>
      <c r="B15558" t="s">
        <v>3569</v>
      </c>
    </row>
    <row r="15559" spans="1:8" x14ac:dyDescent="0.25">
      <c r="A15559" t="str">
        <f>"&lt;min&gt;" &amp;$G$15555&amp;"&lt;/min&gt;"</f>
        <v>&lt;min&gt;1&lt;/min&gt;</v>
      </c>
      <c r="B15559" t="s">
        <v>3569</v>
      </c>
    </row>
    <row r="15560" spans="1:8" x14ac:dyDescent="0.25">
      <c r="A15560" t="s">
        <v>16</v>
      </c>
      <c r="B15560" t="s">
        <v>3569</v>
      </c>
    </row>
    <row r="15561" spans="1:8" x14ac:dyDescent="0.25">
      <c r="A15561" t="s">
        <v>17</v>
      </c>
      <c r="B15561" t="s">
        <v>3569</v>
      </c>
    </row>
    <row r="15562" spans="1:8" x14ac:dyDescent="0.25">
      <c r="A15562" t="s">
        <v>18</v>
      </c>
      <c r="B15562" t="s">
        <v>3569</v>
      </c>
    </row>
    <row r="15563" spans="1:8" x14ac:dyDescent="0.25">
      <c r="A15563" t="str">
        <f xml:space="preserve"> $H$15555</f>
        <v>&lt;flags count_in_cargo="0" count_in_hoarder="0" count_in_map="1" count_in_player="0" crafted="0" deloot="0"/&gt;</v>
      </c>
      <c r="B15563" t="s">
        <v>3569</v>
      </c>
    </row>
    <row r="15564" spans="1:8" x14ac:dyDescent="0.25">
      <c r="A15564" t="s">
        <v>22</v>
      </c>
      <c r="B15564" t="s">
        <v>3569</v>
      </c>
    </row>
    <row r="15565" spans="1:8" x14ac:dyDescent="0.25">
      <c r="A15565" t="s">
        <v>2611</v>
      </c>
      <c r="B15565" t="s">
        <v>3570</v>
      </c>
      <c r="D15565">
        <v>0</v>
      </c>
      <c r="E15565">
        <v>1800</v>
      </c>
      <c r="F15565">
        <v>0</v>
      </c>
      <c r="G15565">
        <v>1</v>
      </c>
      <c r="H15565" t="s">
        <v>19</v>
      </c>
    </row>
    <row r="15566" spans="1:8" x14ac:dyDescent="0.25">
      <c r="A15566" t="str">
        <f>"&lt;nominal&gt;" &amp;$D$15565&amp;"&lt;/nominal&gt;"</f>
        <v>&lt;nominal&gt;0&lt;/nominal&gt;</v>
      </c>
      <c r="B15566" t="s">
        <v>3570</v>
      </c>
    </row>
    <row r="15567" spans="1:8" x14ac:dyDescent="0.25">
      <c r="A15567" t="str">
        <f>"&lt;lifetime&gt;" &amp;$E$15565&amp;"&lt;/lifetime&gt;"</f>
        <v>&lt;lifetime&gt;1800&lt;/lifetime&gt;</v>
      </c>
      <c r="B15567" t="s">
        <v>3570</v>
      </c>
    </row>
    <row r="15568" spans="1:8" x14ac:dyDescent="0.25">
      <c r="A15568" t="str">
        <f>"&lt;restock&gt;" &amp;$F$15565&amp;"&lt;/restock&gt;"</f>
        <v>&lt;restock&gt;0&lt;/restock&gt;</v>
      </c>
      <c r="B15568" t="s">
        <v>3570</v>
      </c>
    </row>
    <row r="15569" spans="1:8" x14ac:dyDescent="0.25">
      <c r="A15569" t="str">
        <f>"&lt;min&gt;" &amp;$G$15565&amp;"&lt;/min&gt;"</f>
        <v>&lt;min&gt;1&lt;/min&gt;</v>
      </c>
      <c r="B15569" t="s">
        <v>3570</v>
      </c>
    </row>
    <row r="15570" spans="1:8" x14ac:dyDescent="0.25">
      <c r="A15570" t="s">
        <v>16</v>
      </c>
      <c r="B15570" t="s">
        <v>3570</v>
      </c>
    </row>
    <row r="15571" spans="1:8" x14ac:dyDescent="0.25">
      <c r="A15571" t="s">
        <v>17</v>
      </c>
      <c r="B15571" t="s">
        <v>3570</v>
      </c>
    </row>
    <row r="15572" spans="1:8" x14ac:dyDescent="0.25">
      <c r="A15572" t="s">
        <v>18</v>
      </c>
      <c r="B15572" t="s">
        <v>3570</v>
      </c>
    </row>
    <row r="15573" spans="1:8" x14ac:dyDescent="0.25">
      <c r="A15573" t="str">
        <f xml:space="preserve"> $H$15565</f>
        <v>&lt;flags count_in_cargo="0" count_in_hoarder="0" count_in_map="1" count_in_player="0" crafted="0" deloot="0"/&gt;</v>
      </c>
      <c r="B15573" t="s">
        <v>3570</v>
      </c>
    </row>
    <row r="15574" spans="1:8" x14ac:dyDescent="0.25">
      <c r="A15574" t="s">
        <v>22</v>
      </c>
      <c r="B15574" t="s">
        <v>3570</v>
      </c>
    </row>
    <row r="15575" spans="1:8" x14ac:dyDescent="0.25">
      <c r="A15575" t="s">
        <v>2612</v>
      </c>
      <c r="B15575" t="s">
        <v>3571</v>
      </c>
      <c r="D15575">
        <v>0</v>
      </c>
      <c r="E15575">
        <v>1800</v>
      </c>
      <c r="F15575">
        <v>0</v>
      </c>
      <c r="G15575">
        <v>1</v>
      </c>
      <c r="H15575" t="s">
        <v>19</v>
      </c>
    </row>
    <row r="15576" spans="1:8" x14ac:dyDescent="0.25">
      <c r="A15576" t="str">
        <f>"&lt;nominal&gt;" &amp;$D$15575&amp;"&lt;/nominal&gt;"</f>
        <v>&lt;nominal&gt;0&lt;/nominal&gt;</v>
      </c>
      <c r="B15576" t="s">
        <v>3571</v>
      </c>
    </row>
    <row r="15577" spans="1:8" x14ac:dyDescent="0.25">
      <c r="A15577" t="str">
        <f>"&lt;lifetime&gt;" &amp;$E$15575&amp;"&lt;/lifetime&gt;"</f>
        <v>&lt;lifetime&gt;1800&lt;/lifetime&gt;</v>
      </c>
      <c r="B15577" t="s">
        <v>3571</v>
      </c>
    </row>
    <row r="15578" spans="1:8" x14ac:dyDescent="0.25">
      <c r="A15578" t="str">
        <f>"&lt;restock&gt;" &amp;$F$15575&amp;"&lt;/restock&gt;"</f>
        <v>&lt;restock&gt;0&lt;/restock&gt;</v>
      </c>
      <c r="B15578" t="s">
        <v>3571</v>
      </c>
    </row>
    <row r="15579" spans="1:8" x14ac:dyDescent="0.25">
      <c r="A15579" t="str">
        <f>"&lt;min&gt;" &amp;$G$15575&amp;"&lt;/min&gt;"</f>
        <v>&lt;min&gt;1&lt;/min&gt;</v>
      </c>
      <c r="B15579" t="s">
        <v>3571</v>
      </c>
    </row>
    <row r="15580" spans="1:8" x14ac:dyDescent="0.25">
      <c r="A15580" t="s">
        <v>16</v>
      </c>
      <c r="B15580" t="s">
        <v>3571</v>
      </c>
    </row>
    <row r="15581" spans="1:8" x14ac:dyDescent="0.25">
      <c r="A15581" t="s">
        <v>17</v>
      </c>
      <c r="B15581" t="s">
        <v>3571</v>
      </c>
    </row>
    <row r="15582" spans="1:8" x14ac:dyDescent="0.25">
      <c r="A15582" t="s">
        <v>18</v>
      </c>
      <c r="B15582" t="s">
        <v>3571</v>
      </c>
    </row>
    <row r="15583" spans="1:8" x14ac:dyDescent="0.25">
      <c r="A15583" t="str">
        <f xml:space="preserve"> $H$15575</f>
        <v>&lt;flags count_in_cargo="0" count_in_hoarder="0" count_in_map="1" count_in_player="0" crafted="0" deloot="0"/&gt;</v>
      </c>
      <c r="B15583" t="s">
        <v>3571</v>
      </c>
    </row>
    <row r="15584" spans="1:8" x14ac:dyDescent="0.25">
      <c r="A15584" t="s">
        <v>22</v>
      </c>
      <c r="B15584" t="s">
        <v>3571</v>
      </c>
    </row>
    <row r="15585" spans="1:8" x14ac:dyDescent="0.25">
      <c r="A15585" t="s">
        <v>2613</v>
      </c>
      <c r="B15585" t="s">
        <v>3572</v>
      </c>
      <c r="D15585">
        <v>0</v>
      </c>
      <c r="E15585">
        <v>1800</v>
      </c>
      <c r="F15585">
        <v>0</v>
      </c>
      <c r="G15585">
        <v>1</v>
      </c>
      <c r="H15585" t="s">
        <v>19</v>
      </c>
    </row>
    <row r="15586" spans="1:8" x14ac:dyDescent="0.25">
      <c r="A15586" t="str">
        <f>"&lt;nominal&gt;" &amp;$D$15585&amp;"&lt;/nominal&gt;"</f>
        <v>&lt;nominal&gt;0&lt;/nominal&gt;</v>
      </c>
      <c r="B15586" t="s">
        <v>3572</v>
      </c>
    </row>
    <row r="15587" spans="1:8" x14ac:dyDescent="0.25">
      <c r="A15587" t="str">
        <f>"&lt;lifetime&gt;" &amp;$E$15585&amp;"&lt;/lifetime&gt;"</f>
        <v>&lt;lifetime&gt;1800&lt;/lifetime&gt;</v>
      </c>
      <c r="B15587" t="s">
        <v>3572</v>
      </c>
    </row>
    <row r="15588" spans="1:8" x14ac:dyDescent="0.25">
      <c r="A15588" t="str">
        <f>"&lt;restock&gt;" &amp;$F$15585&amp;"&lt;/restock&gt;"</f>
        <v>&lt;restock&gt;0&lt;/restock&gt;</v>
      </c>
      <c r="B15588" t="s">
        <v>3572</v>
      </c>
    </row>
    <row r="15589" spans="1:8" x14ac:dyDescent="0.25">
      <c r="A15589" t="str">
        <f>"&lt;min&gt;" &amp;$G$15585&amp;"&lt;/min&gt;"</f>
        <v>&lt;min&gt;1&lt;/min&gt;</v>
      </c>
      <c r="B15589" t="s">
        <v>3572</v>
      </c>
    </row>
    <row r="15590" spans="1:8" x14ac:dyDescent="0.25">
      <c r="A15590" t="s">
        <v>16</v>
      </c>
      <c r="B15590" t="s">
        <v>3572</v>
      </c>
    </row>
    <row r="15591" spans="1:8" x14ac:dyDescent="0.25">
      <c r="A15591" t="s">
        <v>17</v>
      </c>
      <c r="B15591" t="s">
        <v>3572</v>
      </c>
    </row>
    <row r="15592" spans="1:8" x14ac:dyDescent="0.25">
      <c r="A15592" t="s">
        <v>18</v>
      </c>
      <c r="B15592" t="s">
        <v>3572</v>
      </c>
    </row>
    <row r="15593" spans="1:8" x14ac:dyDescent="0.25">
      <c r="A15593" t="str">
        <f xml:space="preserve"> $H$15585</f>
        <v>&lt;flags count_in_cargo="0" count_in_hoarder="0" count_in_map="1" count_in_player="0" crafted="0" deloot="0"/&gt;</v>
      </c>
      <c r="B15593" t="s">
        <v>3572</v>
      </c>
    </row>
    <row r="15594" spans="1:8" x14ac:dyDescent="0.25">
      <c r="A15594" t="s">
        <v>22</v>
      </c>
      <c r="B15594" t="s">
        <v>3572</v>
      </c>
    </row>
    <row r="15595" spans="1:8" x14ac:dyDescent="0.25">
      <c r="A15595" t="s">
        <v>2614</v>
      </c>
      <c r="B15595" t="s">
        <v>3573</v>
      </c>
      <c r="D15595">
        <v>0</v>
      </c>
      <c r="E15595">
        <v>1800</v>
      </c>
      <c r="F15595">
        <v>0</v>
      </c>
      <c r="G15595">
        <v>1</v>
      </c>
      <c r="H15595" t="s">
        <v>19</v>
      </c>
    </row>
    <row r="15596" spans="1:8" x14ac:dyDescent="0.25">
      <c r="A15596" t="str">
        <f>"&lt;nominal&gt;" &amp;$D$15595&amp;"&lt;/nominal&gt;"</f>
        <v>&lt;nominal&gt;0&lt;/nominal&gt;</v>
      </c>
      <c r="B15596" t="s">
        <v>3573</v>
      </c>
    </row>
    <row r="15597" spans="1:8" x14ac:dyDescent="0.25">
      <c r="A15597" t="str">
        <f>"&lt;lifetime&gt;" &amp;$E$15595&amp;"&lt;/lifetime&gt;"</f>
        <v>&lt;lifetime&gt;1800&lt;/lifetime&gt;</v>
      </c>
      <c r="B15597" t="s">
        <v>3573</v>
      </c>
    </row>
    <row r="15598" spans="1:8" x14ac:dyDescent="0.25">
      <c r="A15598" t="str">
        <f>"&lt;restock&gt;" &amp;$F$15595&amp;"&lt;/restock&gt;"</f>
        <v>&lt;restock&gt;0&lt;/restock&gt;</v>
      </c>
      <c r="B15598" t="s">
        <v>3573</v>
      </c>
    </row>
    <row r="15599" spans="1:8" x14ac:dyDescent="0.25">
      <c r="A15599" t="str">
        <f>"&lt;min&gt;" &amp;$G$15595&amp;"&lt;/min&gt;"</f>
        <v>&lt;min&gt;1&lt;/min&gt;</v>
      </c>
      <c r="B15599" t="s">
        <v>3573</v>
      </c>
    </row>
    <row r="15600" spans="1:8" x14ac:dyDescent="0.25">
      <c r="A15600" t="s">
        <v>16</v>
      </c>
      <c r="B15600" t="s">
        <v>3573</v>
      </c>
    </row>
    <row r="15601" spans="1:8" x14ac:dyDescent="0.25">
      <c r="A15601" t="s">
        <v>17</v>
      </c>
      <c r="B15601" t="s">
        <v>3573</v>
      </c>
    </row>
    <row r="15602" spans="1:8" x14ac:dyDescent="0.25">
      <c r="A15602" t="s">
        <v>18</v>
      </c>
      <c r="B15602" t="s">
        <v>3573</v>
      </c>
    </row>
    <row r="15603" spans="1:8" x14ac:dyDescent="0.25">
      <c r="A15603" t="str">
        <f xml:space="preserve"> $H$15595</f>
        <v>&lt;flags count_in_cargo="0" count_in_hoarder="0" count_in_map="1" count_in_player="0" crafted="0" deloot="0"/&gt;</v>
      </c>
      <c r="B15603" t="s">
        <v>3573</v>
      </c>
    </row>
    <row r="15604" spans="1:8" x14ac:dyDescent="0.25">
      <c r="A15604" t="s">
        <v>22</v>
      </c>
      <c r="B15604" t="s">
        <v>3573</v>
      </c>
    </row>
    <row r="15605" spans="1:8" x14ac:dyDescent="0.25">
      <c r="A15605" t="s">
        <v>2615</v>
      </c>
      <c r="B15605" t="s">
        <v>3574</v>
      </c>
      <c r="D15605">
        <v>0</v>
      </c>
      <c r="E15605">
        <v>1800</v>
      </c>
      <c r="F15605">
        <v>0</v>
      </c>
      <c r="G15605">
        <v>1</v>
      </c>
      <c r="H15605" t="s">
        <v>19</v>
      </c>
    </row>
    <row r="15606" spans="1:8" x14ac:dyDescent="0.25">
      <c r="A15606" t="str">
        <f>"&lt;nominal&gt;" &amp;$D$15605&amp;"&lt;/nominal&gt;"</f>
        <v>&lt;nominal&gt;0&lt;/nominal&gt;</v>
      </c>
      <c r="B15606" t="s">
        <v>3574</v>
      </c>
    </row>
    <row r="15607" spans="1:8" x14ac:dyDescent="0.25">
      <c r="A15607" t="str">
        <f>"&lt;lifetime&gt;" &amp;$E$15605&amp;"&lt;/lifetime&gt;"</f>
        <v>&lt;lifetime&gt;1800&lt;/lifetime&gt;</v>
      </c>
      <c r="B15607" t="s">
        <v>3574</v>
      </c>
    </row>
    <row r="15608" spans="1:8" x14ac:dyDescent="0.25">
      <c r="A15608" t="str">
        <f>"&lt;restock&gt;" &amp;$F$15605&amp;"&lt;/restock&gt;"</f>
        <v>&lt;restock&gt;0&lt;/restock&gt;</v>
      </c>
      <c r="B15608" t="s">
        <v>3574</v>
      </c>
    </row>
    <row r="15609" spans="1:8" x14ac:dyDescent="0.25">
      <c r="A15609" t="str">
        <f>"&lt;min&gt;" &amp;$G$15605&amp;"&lt;/min&gt;"</f>
        <v>&lt;min&gt;1&lt;/min&gt;</v>
      </c>
      <c r="B15609" t="s">
        <v>3574</v>
      </c>
    </row>
    <row r="15610" spans="1:8" x14ac:dyDescent="0.25">
      <c r="A15610" t="s">
        <v>16</v>
      </c>
      <c r="B15610" t="s">
        <v>3574</v>
      </c>
    </row>
    <row r="15611" spans="1:8" x14ac:dyDescent="0.25">
      <c r="A15611" t="s">
        <v>17</v>
      </c>
      <c r="B15611" t="s">
        <v>3574</v>
      </c>
    </row>
    <row r="15612" spans="1:8" x14ac:dyDescent="0.25">
      <c r="A15612" t="s">
        <v>18</v>
      </c>
      <c r="B15612" t="s">
        <v>3574</v>
      </c>
    </row>
    <row r="15613" spans="1:8" x14ac:dyDescent="0.25">
      <c r="A15613" t="str">
        <f xml:space="preserve"> $H$15605</f>
        <v>&lt;flags count_in_cargo="0" count_in_hoarder="0" count_in_map="1" count_in_player="0" crafted="0" deloot="0"/&gt;</v>
      </c>
      <c r="B15613" t="s">
        <v>3574</v>
      </c>
    </row>
    <row r="15614" spans="1:8" x14ac:dyDescent="0.25">
      <c r="A15614" t="s">
        <v>22</v>
      </c>
      <c r="B15614" t="s">
        <v>3574</v>
      </c>
    </row>
    <row r="15615" spans="1:8" x14ac:dyDescent="0.25">
      <c r="A15615" t="s">
        <v>2616</v>
      </c>
      <c r="B15615" t="s">
        <v>3575</v>
      </c>
      <c r="D15615">
        <v>0</v>
      </c>
      <c r="E15615">
        <v>1800</v>
      </c>
      <c r="F15615">
        <v>0</v>
      </c>
      <c r="G15615">
        <v>1</v>
      </c>
      <c r="H15615" t="s">
        <v>19</v>
      </c>
    </row>
    <row r="15616" spans="1:8" x14ac:dyDescent="0.25">
      <c r="A15616" t="str">
        <f>"&lt;nominal&gt;" &amp;$D$15615&amp;"&lt;/nominal&gt;"</f>
        <v>&lt;nominal&gt;0&lt;/nominal&gt;</v>
      </c>
      <c r="B15616" t="s">
        <v>3575</v>
      </c>
    </row>
    <row r="15617" spans="1:8" x14ac:dyDescent="0.25">
      <c r="A15617" t="str">
        <f>"&lt;lifetime&gt;" &amp;$E$15615&amp;"&lt;/lifetime&gt;"</f>
        <v>&lt;lifetime&gt;1800&lt;/lifetime&gt;</v>
      </c>
      <c r="B15617" t="s">
        <v>3575</v>
      </c>
    </row>
    <row r="15618" spans="1:8" x14ac:dyDescent="0.25">
      <c r="A15618" t="str">
        <f>"&lt;restock&gt;" &amp;$F$15615&amp;"&lt;/restock&gt;"</f>
        <v>&lt;restock&gt;0&lt;/restock&gt;</v>
      </c>
      <c r="B15618" t="s">
        <v>3575</v>
      </c>
    </row>
    <row r="15619" spans="1:8" x14ac:dyDescent="0.25">
      <c r="A15619" t="str">
        <f>"&lt;min&gt;" &amp;$G$15615&amp;"&lt;/min&gt;"</f>
        <v>&lt;min&gt;1&lt;/min&gt;</v>
      </c>
      <c r="B15619" t="s">
        <v>3575</v>
      </c>
    </row>
    <row r="15620" spans="1:8" x14ac:dyDescent="0.25">
      <c r="A15620" t="s">
        <v>16</v>
      </c>
      <c r="B15620" t="s">
        <v>3575</v>
      </c>
    </row>
    <row r="15621" spans="1:8" x14ac:dyDescent="0.25">
      <c r="A15621" t="s">
        <v>17</v>
      </c>
      <c r="B15621" t="s">
        <v>3575</v>
      </c>
    </row>
    <row r="15622" spans="1:8" x14ac:dyDescent="0.25">
      <c r="A15622" t="s">
        <v>18</v>
      </c>
      <c r="B15622" t="s">
        <v>3575</v>
      </c>
    </row>
    <row r="15623" spans="1:8" x14ac:dyDescent="0.25">
      <c r="A15623" t="str">
        <f xml:space="preserve"> $H$15615</f>
        <v>&lt;flags count_in_cargo="0" count_in_hoarder="0" count_in_map="1" count_in_player="0" crafted="0" deloot="0"/&gt;</v>
      </c>
      <c r="B15623" t="s">
        <v>3575</v>
      </c>
    </row>
    <row r="15624" spans="1:8" x14ac:dyDescent="0.25">
      <c r="A15624" t="s">
        <v>22</v>
      </c>
      <c r="B15624" t="s">
        <v>3575</v>
      </c>
    </row>
    <row r="15625" spans="1:8" x14ac:dyDescent="0.25">
      <c r="A15625" t="s">
        <v>2617</v>
      </c>
      <c r="B15625" t="s">
        <v>3576</v>
      </c>
      <c r="D15625">
        <v>0</v>
      </c>
      <c r="E15625">
        <v>1800</v>
      </c>
      <c r="F15625">
        <v>0</v>
      </c>
      <c r="G15625">
        <v>1</v>
      </c>
      <c r="H15625" t="s">
        <v>19</v>
      </c>
    </row>
    <row r="15626" spans="1:8" x14ac:dyDescent="0.25">
      <c r="A15626" t="str">
        <f>"&lt;nominal&gt;" &amp;$D$15625&amp;"&lt;/nominal&gt;"</f>
        <v>&lt;nominal&gt;0&lt;/nominal&gt;</v>
      </c>
      <c r="B15626" t="s">
        <v>3576</v>
      </c>
    </row>
    <row r="15627" spans="1:8" x14ac:dyDescent="0.25">
      <c r="A15627" t="str">
        <f>"&lt;lifetime&gt;" &amp;$E$15625&amp;"&lt;/lifetime&gt;"</f>
        <v>&lt;lifetime&gt;1800&lt;/lifetime&gt;</v>
      </c>
      <c r="B15627" t="s">
        <v>3576</v>
      </c>
    </row>
    <row r="15628" spans="1:8" x14ac:dyDescent="0.25">
      <c r="A15628" t="str">
        <f>"&lt;restock&gt;" &amp;$F$15625&amp;"&lt;/restock&gt;"</f>
        <v>&lt;restock&gt;0&lt;/restock&gt;</v>
      </c>
      <c r="B15628" t="s">
        <v>3576</v>
      </c>
    </row>
    <row r="15629" spans="1:8" x14ac:dyDescent="0.25">
      <c r="A15629" t="str">
        <f>"&lt;min&gt;" &amp;$G$15625&amp;"&lt;/min&gt;"</f>
        <v>&lt;min&gt;1&lt;/min&gt;</v>
      </c>
      <c r="B15629" t="s">
        <v>3576</v>
      </c>
    </row>
    <row r="15630" spans="1:8" x14ac:dyDescent="0.25">
      <c r="A15630" t="s">
        <v>16</v>
      </c>
      <c r="B15630" t="s">
        <v>3576</v>
      </c>
    </row>
    <row r="15631" spans="1:8" x14ac:dyDescent="0.25">
      <c r="A15631" t="s">
        <v>17</v>
      </c>
      <c r="B15631" t="s">
        <v>3576</v>
      </c>
    </row>
    <row r="15632" spans="1:8" x14ac:dyDescent="0.25">
      <c r="A15632" t="s">
        <v>18</v>
      </c>
      <c r="B15632" t="s">
        <v>3576</v>
      </c>
    </row>
    <row r="15633" spans="1:8" x14ac:dyDescent="0.25">
      <c r="A15633" t="str">
        <f xml:space="preserve"> $H$15625</f>
        <v>&lt;flags count_in_cargo="0" count_in_hoarder="0" count_in_map="1" count_in_player="0" crafted="0" deloot="0"/&gt;</v>
      </c>
      <c r="B15633" t="s">
        <v>3576</v>
      </c>
    </row>
    <row r="15634" spans="1:8" x14ac:dyDescent="0.25">
      <c r="A15634" t="s">
        <v>22</v>
      </c>
      <c r="B15634" t="s">
        <v>3576</v>
      </c>
    </row>
    <row r="15635" spans="1:8" x14ac:dyDescent="0.25">
      <c r="A15635" t="s">
        <v>2618</v>
      </c>
      <c r="B15635" t="s">
        <v>3577</v>
      </c>
      <c r="D15635">
        <v>0</v>
      </c>
      <c r="E15635">
        <v>1800</v>
      </c>
      <c r="F15635">
        <v>0</v>
      </c>
      <c r="G15635">
        <v>1</v>
      </c>
      <c r="H15635" t="s">
        <v>19</v>
      </c>
    </row>
    <row r="15636" spans="1:8" x14ac:dyDescent="0.25">
      <c r="A15636" t="str">
        <f>"&lt;nominal&gt;" &amp;$D$15635&amp;"&lt;/nominal&gt;"</f>
        <v>&lt;nominal&gt;0&lt;/nominal&gt;</v>
      </c>
      <c r="B15636" t="s">
        <v>3577</v>
      </c>
    </row>
    <row r="15637" spans="1:8" x14ac:dyDescent="0.25">
      <c r="A15637" t="str">
        <f>"&lt;lifetime&gt;" &amp;$E$15635&amp;"&lt;/lifetime&gt;"</f>
        <v>&lt;lifetime&gt;1800&lt;/lifetime&gt;</v>
      </c>
      <c r="B15637" t="s">
        <v>3577</v>
      </c>
    </row>
    <row r="15638" spans="1:8" x14ac:dyDescent="0.25">
      <c r="A15638" t="str">
        <f>"&lt;restock&gt;" &amp;$F$15635&amp;"&lt;/restock&gt;"</f>
        <v>&lt;restock&gt;0&lt;/restock&gt;</v>
      </c>
      <c r="B15638" t="s">
        <v>3577</v>
      </c>
    </row>
    <row r="15639" spans="1:8" x14ac:dyDescent="0.25">
      <c r="A15639" t="str">
        <f>"&lt;min&gt;" &amp;$G$15635&amp;"&lt;/min&gt;"</f>
        <v>&lt;min&gt;1&lt;/min&gt;</v>
      </c>
      <c r="B15639" t="s">
        <v>3577</v>
      </c>
    </row>
    <row r="15640" spans="1:8" x14ac:dyDescent="0.25">
      <c r="A15640" t="s">
        <v>16</v>
      </c>
      <c r="B15640" t="s">
        <v>3577</v>
      </c>
    </row>
    <row r="15641" spans="1:8" x14ac:dyDescent="0.25">
      <c r="A15641" t="s">
        <v>17</v>
      </c>
      <c r="B15641" t="s">
        <v>3577</v>
      </c>
    </row>
    <row r="15642" spans="1:8" x14ac:dyDescent="0.25">
      <c r="A15642" t="s">
        <v>18</v>
      </c>
      <c r="B15642" t="s">
        <v>3577</v>
      </c>
    </row>
    <row r="15643" spans="1:8" x14ac:dyDescent="0.25">
      <c r="A15643" t="str">
        <f xml:space="preserve"> $H$15635</f>
        <v>&lt;flags count_in_cargo="0" count_in_hoarder="0" count_in_map="1" count_in_player="0" crafted="0" deloot="0"/&gt;</v>
      </c>
      <c r="B15643" t="s">
        <v>3577</v>
      </c>
    </row>
    <row r="15644" spans="1:8" x14ac:dyDescent="0.25">
      <c r="A15644" t="s">
        <v>22</v>
      </c>
      <c r="B15644" t="s">
        <v>3577</v>
      </c>
    </row>
    <row r="15645" spans="1:8" x14ac:dyDescent="0.25">
      <c r="A15645" t="s">
        <v>2619</v>
      </c>
      <c r="B15645" t="s">
        <v>3578</v>
      </c>
      <c r="D15645">
        <v>0</v>
      </c>
      <c r="E15645">
        <v>1800</v>
      </c>
      <c r="F15645">
        <v>0</v>
      </c>
      <c r="G15645">
        <v>1</v>
      </c>
      <c r="H15645" t="s">
        <v>19</v>
      </c>
    </row>
    <row r="15646" spans="1:8" x14ac:dyDescent="0.25">
      <c r="A15646" t="str">
        <f>"&lt;nominal&gt;" &amp;$D$15645&amp;"&lt;/nominal&gt;"</f>
        <v>&lt;nominal&gt;0&lt;/nominal&gt;</v>
      </c>
      <c r="B15646" t="s">
        <v>3578</v>
      </c>
    </row>
    <row r="15647" spans="1:8" x14ac:dyDescent="0.25">
      <c r="A15647" t="str">
        <f>"&lt;lifetime&gt;" &amp;$E$15645&amp;"&lt;/lifetime&gt;"</f>
        <v>&lt;lifetime&gt;1800&lt;/lifetime&gt;</v>
      </c>
      <c r="B15647" t="s">
        <v>3578</v>
      </c>
    </row>
    <row r="15648" spans="1:8" x14ac:dyDescent="0.25">
      <c r="A15648" t="str">
        <f>"&lt;restock&gt;" &amp;$F$15645&amp;"&lt;/restock&gt;"</f>
        <v>&lt;restock&gt;0&lt;/restock&gt;</v>
      </c>
      <c r="B15648" t="s">
        <v>3578</v>
      </c>
    </row>
    <row r="15649" spans="1:8" x14ac:dyDescent="0.25">
      <c r="A15649" t="str">
        <f>"&lt;min&gt;" &amp;$G$15645&amp;"&lt;/min&gt;"</f>
        <v>&lt;min&gt;1&lt;/min&gt;</v>
      </c>
      <c r="B15649" t="s">
        <v>3578</v>
      </c>
    </row>
    <row r="15650" spans="1:8" x14ac:dyDescent="0.25">
      <c r="A15650" t="s">
        <v>16</v>
      </c>
      <c r="B15650" t="s">
        <v>3578</v>
      </c>
    </row>
    <row r="15651" spans="1:8" x14ac:dyDescent="0.25">
      <c r="A15651" t="s">
        <v>17</v>
      </c>
      <c r="B15651" t="s">
        <v>3578</v>
      </c>
    </row>
    <row r="15652" spans="1:8" x14ac:dyDescent="0.25">
      <c r="A15652" t="s">
        <v>18</v>
      </c>
      <c r="B15652" t="s">
        <v>3578</v>
      </c>
    </row>
    <row r="15653" spans="1:8" x14ac:dyDescent="0.25">
      <c r="A15653" t="str">
        <f xml:space="preserve"> $H$15645</f>
        <v>&lt;flags count_in_cargo="0" count_in_hoarder="0" count_in_map="1" count_in_player="0" crafted="0" deloot="0"/&gt;</v>
      </c>
      <c r="B15653" t="s">
        <v>3578</v>
      </c>
    </row>
    <row r="15654" spans="1:8" x14ac:dyDescent="0.25">
      <c r="A15654" t="s">
        <v>22</v>
      </c>
      <c r="B15654" t="s">
        <v>3578</v>
      </c>
    </row>
    <row r="15655" spans="1:8" x14ac:dyDescent="0.25">
      <c r="A15655" t="s">
        <v>2620</v>
      </c>
      <c r="B15655" t="s">
        <v>3579</v>
      </c>
      <c r="D15655">
        <v>0</v>
      </c>
      <c r="E15655">
        <v>1800</v>
      </c>
      <c r="F15655">
        <v>0</v>
      </c>
      <c r="G15655">
        <v>1</v>
      </c>
      <c r="H15655" t="s">
        <v>19</v>
      </c>
    </row>
    <row r="15656" spans="1:8" x14ac:dyDescent="0.25">
      <c r="A15656" t="str">
        <f>"&lt;nominal&gt;" &amp;$D$15655&amp;"&lt;/nominal&gt;"</f>
        <v>&lt;nominal&gt;0&lt;/nominal&gt;</v>
      </c>
      <c r="B15656" t="s">
        <v>3579</v>
      </c>
    </row>
    <row r="15657" spans="1:8" x14ac:dyDescent="0.25">
      <c r="A15657" t="str">
        <f>"&lt;lifetime&gt;" &amp;$E$15655&amp;"&lt;/lifetime&gt;"</f>
        <v>&lt;lifetime&gt;1800&lt;/lifetime&gt;</v>
      </c>
      <c r="B15657" t="s">
        <v>3579</v>
      </c>
    </row>
    <row r="15658" spans="1:8" x14ac:dyDescent="0.25">
      <c r="A15658" t="str">
        <f>"&lt;restock&gt;" &amp;$F$15655&amp;"&lt;/restock&gt;"</f>
        <v>&lt;restock&gt;0&lt;/restock&gt;</v>
      </c>
      <c r="B15658" t="s">
        <v>3579</v>
      </c>
    </row>
    <row r="15659" spans="1:8" x14ac:dyDescent="0.25">
      <c r="A15659" t="str">
        <f>"&lt;min&gt;" &amp;$G$15655&amp;"&lt;/min&gt;"</f>
        <v>&lt;min&gt;1&lt;/min&gt;</v>
      </c>
      <c r="B15659" t="s">
        <v>3579</v>
      </c>
    </row>
    <row r="15660" spans="1:8" x14ac:dyDescent="0.25">
      <c r="A15660" t="s">
        <v>16</v>
      </c>
      <c r="B15660" t="s">
        <v>3579</v>
      </c>
    </row>
    <row r="15661" spans="1:8" x14ac:dyDescent="0.25">
      <c r="A15661" t="s">
        <v>17</v>
      </c>
      <c r="B15661" t="s">
        <v>3579</v>
      </c>
    </row>
    <row r="15662" spans="1:8" x14ac:dyDescent="0.25">
      <c r="A15662" t="s">
        <v>18</v>
      </c>
      <c r="B15662" t="s">
        <v>3579</v>
      </c>
    </row>
    <row r="15663" spans="1:8" x14ac:dyDescent="0.25">
      <c r="A15663" t="str">
        <f xml:space="preserve"> $H$15655</f>
        <v>&lt;flags count_in_cargo="0" count_in_hoarder="0" count_in_map="1" count_in_player="0" crafted="0" deloot="0"/&gt;</v>
      </c>
      <c r="B15663" t="s">
        <v>3579</v>
      </c>
    </row>
    <row r="15664" spans="1:8" x14ac:dyDescent="0.25">
      <c r="A15664" t="s">
        <v>22</v>
      </c>
      <c r="B15664" t="s">
        <v>3579</v>
      </c>
    </row>
    <row r="15665" spans="1:8" x14ac:dyDescent="0.25">
      <c r="A15665" t="s">
        <v>2621</v>
      </c>
      <c r="B15665" t="s">
        <v>3580</v>
      </c>
      <c r="D15665">
        <v>0</v>
      </c>
      <c r="E15665">
        <v>1800</v>
      </c>
      <c r="F15665">
        <v>0</v>
      </c>
      <c r="G15665">
        <v>1</v>
      </c>
      <c r="H15665" t="s">
        <v>19</v>
      </c>
    </row>
    <row r="15666" spans="1:8" x14ac:dyDescent="0.25">
      <c r="A15666" t="str">
        <f>"&lt;nominal&gt;" &amp;$D$15665&amp;"&lt;/nominal&gt;"</f>
        <v>&lt;nominal&gt;0&lt;/nominal&gt;</v>
      </c>
      <c r="B15666" t="s">
        <v>3580</v>
      </c>
    </row>
    <row r="15667" spans="1:8" x14ac:dyDescent="0.25">
      <c r="A15667" t="str">
        <f>"&lt;lifetime&gt;" &amp;$E$15665&amp;"&lt;/lifetime&gt;"</f>
        <v>&lt;lifetime&gt;1800&lt;/lifetime&gt;</v>
      </c>
      <c r="B15667" t="s">
        <v>3580</v>
      </c>
    </row>
    <row r="15668" spans="1:8" x14ac:dyDescent="0.25">
      <c r="A15668" t="str">
        <f>"&lt;restock&gt;" &amp;$F$15665&amp;"&lt;/restock&gt;"</f>
        <v>&lt;restock&gt;0&lt;/restock&gt;</v>
      </c>
      <c r="B15668" t="s">
        <v>3580</v>
      </c>
    </row>
    <row r="15669" spans="1:8" x14ac:dyDescent="0.25">
      <c r="A15669" t="str">
        <f>"&lt;min&gt;" &amp;$G$15665&amp;"&lt;/min&gt;"</f>
        <v>&lt;min&gt;1&lt;/min&gt;</v>
      </c>
      <c r="B15669" t="s">
        <v>3580</v>
      </c>
    </row>
    <row r="15670" spans="1:8" x14ac:dyDescent="0.25">
      <c r="A15670" t="s">
        <v>16</v>
      </c>
      <c r="B15670" t="s">
        <v>3580</v>
      </c>
    </row>
    <row r="15671" spans="1:8" x14ac:dyDescent="0.25">
      <c r="A15671" t="s">
        <v>17</v>
      </c>
      <c r="B15671" t="s">
        <v>3580</v>
      </c>
    </row>
    <row r="15672" spans="1:8" x14ac:dyDescent="0.25">
      <c r="A15672" t="s">
        <v>18</v>
      </c>
      <c r="B15672" t="s">
        <v>3580</v>
      </c>
    </row>
    <row r="15673" spans="1:8" x14ac:dyDescent="0.25">
      <c r="A15673" t="str">
        <f xml:space="preserve"> $H$15665</f>
        <v>&lt;flags count_in_cargo="0" count_in_hoarder="0" count_in_map="1" count_in_player="0" crafted="0" deloot="0"/&gt;</v>
      </c>
      <c r="B15673" t="s">
        <v>3580</v>
      </c>
    </row>
    <row r="15674" spans="1:8" x14ac:dyDescent="0.25">
      <c r="A15674" t="s">
        <v>22</v>
      </c>
      <c r="B15674" t="s">
        <v>3580</v>
      </c>
    </row>
    <row r="15675" spans="1:8" x14ac:dyDescent="0.25">
      <c r="A15675" t="s">
        <v>2622</v>
      </c>
      <c r="B15675" t="s">
        <v>3581</v>
      </c>
      <c r="D15675">
        <v>0</v>
      </c>
      <c r="E15675">
        <v>1800</v>
      </c>
      <c r="F15675">
        <v>0</v>
      </c>
      <c r="G15675">
        <v>1</v>
      </c>
      <c r="H15675" t="s">
        <v>19</v>
      </c>
    </row>
    <row r="15676" spans="1:8" x14ac:dyDescent="0.25">
      <c r="A15676" t="str">
        <f>"&lt;nominal&gt;" &amp;$D$15675&amp;"&lt;/nominal&gt;"</f>
        <v>&lt;nominal&gt;0&lt;/nominal&gt;</v>
      </c>
      <c r="B15676" t="s">
        <v>3581</v>
      </c>
    </row>
    <row r="15677" spans="1:8" x14ac:dyDescent="0.25">
      <c r="A15677" t="str">
        <f>"&lt;lifetime&gt;" &amp;$E$15675&amp;"&lt;/lifetime&gt;"</f>
        <v>&lt;lifetime&gt;1800&lt;/lifetime&gt;</v>
      </c>
      <c r="B15677" t="s">
        <v>3581</v>
      </c>
    </row>
    <row r="15678" spans="1:8" x14ac:dyDescent="0.25">
      <c r="A15678" t="str">
        <f>"&lt;restock&gt;" &amp;$F$15675&amp;"&lt;/restock&gt;"</f>
        <v>&lt;restock&gt;0&lt;/restock&gt;</v>
      </c>
      <c r="B15678" t="s">
        <v>3581</v>
      </c>
    </row>
    <row r="15679" spans="1:8" x14ac:dyDescent="0.25">
      <c r="A15679" t="str">
        <f>"&lt;min&gt;" &amp;$G$15675&amp;"&lt;/min&gt;"</f>
        <v>&lt;min&gt;1&lt;/min&gt;</v>
      </c>
      <c r="B15679" t="s">
        <v>3581</v>
      </c>
    </row>
    <row r="15680" spans="1:8" x14ac:dyDescent="0.25">
      <c r="A15680" t="s">
        <v>16</v>
      </c>
      <c r="B15680" t="s">
        <v>3581</v>
      </c>
    </row>
    <row r="15681" spans="1:8" x14ac:dyDescent="0.25">
      <c r="A15681" t="s">
        <v>17</v>
      </c>
      <c r="B15681" t="s">
        <v>3581</v>
      </c>
    </row>
    <row r="15682" spans="1:8" x14ac:dyDescent="0.25">
      <c r="A15682" t="s">
        <v>18</v>
      </c>
      <c r="B15682" t="s">
        <v>3581</v>
      </c>
    </row>
    <row r="15683" spans="1:8" x14ac:dyDescent="0.25">
      <c r="A15683" t="str">
        <f xml:space="preserve"> $H$15675</f>
        <v>&lt;flags count_in_cargo="0" count_in_hoarder="0" count_in_map="1" count_in_player="0" crafted="0" deloot="0"/&gt;</v>
      </c>
      <c r="B15683" t="s">
        <v>3581</v>
      </c>
    </row>
    <row r="15684" spans="1:8" x14ac:dyDescent="0.25">
      <c r="A15684" t="s">
        <v>22</v>
      </c>
      <c r="B15684" t="s">
        <v>3581</v>
      </c>
    </row>
    <row r="15685" spans="1:8" x14ac:dyDescent="0.25">
      <c r="A15685" t="s">
        <v>2623</v>
      </c>
      <c r="B15685" t="s">
        <v>3582</v>
      </c>
      <c r="D15685">
        <v>0</v>
      </c>
      <c r="E15685">
        <v>1800</v>
      </c>
      <c r="F15685">
        <v>0</v>
      </c>
      <c r="G15685">
        <v>1</v>
      </c>
      <c r="H15685" t="s">
        <v>19</v>
      </c>
    </row>
    <row r="15686" spans="1:8" x14ac:dyDescent="0.25">
      <c r="A15686" t="str">
        <f>"&lt;nominal&gt;" &amp;$D$15685&amp;"&lt;/nominal&gt;"</f>
        <v>&lt;nominal&gt;0&lt;/nominal&gt;</v>
      </c>
      <c r="B15686" t="s">
        <v>3582</v>
      </c>
    </row>
    <row r="15687" spans="1:8" x14ac:dyDescent="0.25">
      <c r="A15687" t="str">
        <f>"&lt;lifetime&gt;" &amp;$E$15685&amp;"&lt;/lifetime&gt;"</f>
        <v>&lt;lifetime&gt;1800&lt;/lifetime&gt;</v>
      </c>
      <c r="B15687" t="s">
        <v>3582</v>
      </c>
    </row>
    <row r="15688" spans="1:8" x14ac:dyDescent="0.25">
      <c r="A15688" t="str">
        <f>"&lt;restock&gt;" &amp;$F$15685&amp;"&lt;/restock&gt;"</f>
        <v>&lt;restock&gt;0&lt;/restock&gt;</v>
      </c>
      <c r="B15688" t="s">
        <v>3582</v>
      </c>
    </row>
    <row r="15689" spans="1:8" x14ac:dyDescent="0.25">
      <c r="A15689" t="str">
        <f>"&lt;min&gt;" &amp;$G$15685&amp;"&lt;/min&gt;"</f>
        <v>&lt;min&gt;1&lt;/min&gt;</v>
      </c>
      <c r="B15689" t="s">
        <v>3582</v>
      </c>
    </row>
    <row r="15690" spans="1:8" x14ac:dyDescent="0.25">
      <c r="A15690" t="s">
        <v>16</v>
      </c>
      <c r="B15690" t="s">
        <v>3582</v>
      </c>
    </row>
    <row r="15691" spans="1:8" x14ac:dyDescent="0.25">
      <c r="A15691" t="s">
        <v>17</v>
      </c>
      <c r="B15691" t="s">
        <v>3582</v>
      </c>
    </row>
    <row r="15692" spans="1:8" x14ac:dyDescent="0.25">
      <c r="A15692" t="s">
        <v>18</v>
      </c>
      <c r="B15692" t="s">
        <v>3582</v>
      </c>
    </row>
    <row r="15693" spans="1:8" x14ac:dyDescent="0.25">
      <c r="A15693" t="str">
        <f xml:space="preserve"> $H$15685</f>
        <v>&lt;flags count_in_cargo="0" count_in_hoarder="0" count_in_map="1" count_in_player="0" crafted="0" deloot="0"/&gt;</v>
      </c>
      <c r="B15693" t="s">
        <v>3582</v>
      </c>
    </row>
    <row r="15694" spans="1:8" x14ac:dyDescent="0.25">
      <c r="A15694" t="s">
        <v>22</v>
      </c>
      <c r="B15694" t="s">
        <v>3582</v>
      </c>
    </row>
    <row r="15695" spans="1:8" x14ac:dyDescent="0.25">
      <c r="A15695" t="s">
        <v>2624</v>
      </c>
      <c r="B15695" t="s">
        <v>3583</v>
      </c>
      <c r="D15695">
        <v>0</v>
      </c>
      <c r="E15695">
        <v>1800</v>
      </c>
      <c r="F15695">
        <v>0</v>
      </c>
      <c r="G15695">
        <v>1</v>
      </c>
      <c r="H15695" t="s">
        <v>19</v>
      </c>
    </row>
    <row r="15696" spans="1:8" x14ac:dyDescent="0.25">
      <c r="A15696" t="str">
        <f>"&lt;nominal&gt;" &amp;$D$15695&amp;"&lt;/nominal&gt;"</f>
        <v>&lt;nominal&gt;0&lt;/nominal&gt;</v>
      </c>
      <c r="B15696" t="s">
        <v>3583</v>
      </c>
    </row>
    <row r="15697" spans="1:8" x14ac:dyDescent="0.25">
      <c r="A15697" t="str">
        <f>"&lt;lifetime&gt;" &amp;$E$15695&amp;"&lt;/lifetime&gt;"</f>
        <v>&lt;lifetime&gt;1800&lt;/lifetime&gt;</v>
      </c>
      <c r="B15697" t="s">
        <v>3583</v>
      </c>
    </row>
    <row r="15698" spans="1:8" x14ac:dyDescent="0.25">
      <c r="A15698" t="str">
        <f>"&lt;restock&gt;" &amp;$F$15695&amp;"&lt;/restock&gt;"</f>
        <v>&lt;restock&gt;0&lt;/restock&gt;</v>
      </c>
      <c r="B15698" t="s">
        <v>3583</v>
      </c>
    </row>
    <row r="15699" spans="1:8" x14ac:dyDescent="0.25">
      <c r="A15699" t="str">
        <f>"&lt;min&gt;" &amp;$G$15695&amp;"&lt;/min&gt;"</f>
        <v>&lt;min&gt;1&lt;/min&gt;</v>
      </c>
      <c r="B15699" t="s">
        <v>3583</v>
      </c>
    </row>
    <row r="15700" spans="1:8" x14ac:dyDescent="0.25">
      <c r="A15700" t="s">
        <v>16</v>
      </c>
      <c r="B15700" t="s">
        <v>3583</v>
      </c>
    </row>
    <row r="15701" spans="1:8" x14ac:dyDescent="0.25">
      <c r="A15701" t="s">
        <v>17</v>
      </c>
      <c r="B15701" t="s">
        <v>3583</v>
      </c>
    </row>
    <row r="15702" spans="1:8" x14ac:dyDescent="0.25">
      <c r="A15702" t="s">
        <v>18</v>
      </c>
      <c r="B15702" t="s">
        <v>3583</v>
      </c>
    </row>
    <row r="15703" spans="1:8" x14ac:dyDescent="0.25">
      <c r="A15703" t="str">
        <f xml:space="preserve"> $H$15695</f>
        <v>&lt;flags count_in_cargo="0" count_in_hoarder="0" count_in_map="1" count_in_player="0" crafted="0" deloot="0"/&gt;</v>
      </c>
      <c r="B15703" t="s">
        <v>3583</v>
      </c>
    </row>
    <row r="15704" spans="1:8" x14ac:dyDescent="0.25">
      <c r="A15704" t="s">
        <v>22</v>
      </c>
      <c r="B15704" t="s">
        <v>3583</v>
      </c>
    </row>
    <row r="15705" spans="1:8" x14ac:dyDescent="0.25">
      <c r="A15705" t="s">
        <v>2625</v>
      </c>
      <c r="B15705" t="s">
        <v>3584</v>
      </c>
      <c r="D15705">
        <v>0</v>
      </c>
      <c r="E15705">
        <v>1800</v>
      </c>
      <c r="F15705">
        <v>0</v>
      </c>
      <c r="G15705">
        <v>1</v>
      </c>
      <c r="H15705" t="s">
        <v>19</v>
      </c>
    </row>
    <row r="15706" spans="1:8" x14ac:dyDescent="0.25">
      <c r="A15706" t="str">
        <f>"&lt;nominal&gt;" &amp;$D$15705&amp;"&lt;/nominal&gt;"</f>
        <v>&lt;nominal&gt;0&lt;/nominal&gt;</v>
      </c>
      <c r="B15706" t="s">
        <v>3584</v>
      </c>
    </row>
    <row r="15707" spans="1:8" x14ac:dyDescent="0.25">
      <c r="A15707" t="str">
        <f>"&lt;lifetime&gt;" &amp;$E$15705&amp;"&lt;/lifetime&gt;"</f>
        <v>&lt;lifetime&gt;1800&lt;/lifetime&gt;</v>
      </c>
      <c r="B15707" t="s">
        <v>3584</v>
      </c>
    </row>
    <row r="15708" spans="1:8" x14ac:dyDescent="0.25">
      <c r="A15708" t="str">
        <f>"&lt;restock&gt;" &amp;$F$15705&amp;"&lt;/restock&gt;"</f>
        <v>&lt;restock&gt;0&lt;/restock&gt;</v>
      </c>
      <c r="B15708" t="s">
        <v>3584</v>
      </c>
    </row>
    <row r="15709" spans="1:8" x14ac:dyDescent="0.25">
      <c r="A15709" t="str">
        <f>"&lt;min&gt;" &amp;$G$15705&amp;"&lt;/min&gt;"</f>
        <v>&lt;min&gt;1&lt;/min&gt;</v>
      </c>
      <c r="B15709" t="s">
        <v>3584</v>
      </c>
    </row>
    <row r="15710" spans="1:8" x14ac:dyDescent="0.25">
      <c r="A15710" t="s">
        <v>16</v>
      </c>
      <c r="B15710" t="s">
        <v>3584</v>
      </c>
    </row>
    <row r="15711" spans="1:8" x14ac:dyDescent="0.25">
      <c r="A15711" t="s">
        <v>17</v>
      </c>
      <c r="B15711" t="s">
        <v>3584</v>
      </c>
    </row>
    <row r="15712" spans="1:8" x14ac:dyDescent="0.25">
      <c r="A15712" t="s">
        <v>18</v>
      </c>
      <c r="B15712" t="s">
        <v>3584</v>
      </c>
    </row>
    <row r="15713" spans="1:8" x14ac:dyDescent="0.25">
      <c r="A15713" t="str">
        <f xml:space="preserve"> $H$15705</f>
        <v>&lt;flags count_in_cargo="0" count_in_hoarder="0" count_in_map="1" count_in_player="0" crafted="0" deloot="0"/&gt;</v>
      </c>
      <c r="B15713" t="s">
        <v>3584</v>
      </c>
    </row>
    <row r="15714" spans="1:8" x14ac:dyDescent="0.25">
      <c r="A15714" t="s">
        <v>22</v>
      </c>
      <c r="B15714" t="s">
        <v>3584</v>
      </c>
    </row>
    <row r="15715" spans="1:8" x14ac:dyDescent="0.25">
      <c r="A15715" t="s">
        <v>2626</v>
      </c>
      <c r="B15715" t="s">
        <v>3585</v>
      </c>
      <c r="D15715">
        <v>0</v>
      </c>
      <c r="E15715">
        <v>1800</v>
      </c>
      <c r="F15715">
        <v>0</v>
      </c>
      <c r="G15715">
        <v>1</v>
      </c>
      <c r="H15715" t="s">
        <v>19</v>
      </c>
    </row>
    <row r="15716" spans="1:8" x14ac:dyDescent="0.25">
      <c r="A15716" t="str">
        <f>"&lt;nominal&gt;" &amp;$D$15715&amp;"&lt;/nominal&gt;"</f>
        <v>&lt;nominal&gt;0&lt;/nominal&gt;</v>
      </c>
      <c r="B15716" t="s">
        <v>3585</v>
      </c>
    </row>
    <row r="15717" spans="1:8" x14ac:dyDescent="0.25">
      <c r="A15717" t="str">
        <f>"&lt;lifetime&gt;" &amp;$E$15715&amp;"&lt;/lifetime&gt;"</f>
        <v>&lt;lifetime&gt;1800&lt;/lifetime&gt;</v>
      </c>
      <c r="B15717" t="s">
        <v>3585</v>
      </c>
    </row>
    <row r="15718" spans="1:8" x14ac:dyDescent="0.25">
      <c r="A15718" t="str">
        <f>"&lt;restock&gt;" &amp;$F$15715&amp;"&lt;/restock&gt;"</f>
        <v>&lt;restock&gt;0&lt;/restock&gt;</v>
      </c>
      <c r="B15718" t="s">
        <v>3585</v>
      </c>
    </row>
    <row r="15719" spans="1:8" x14ac:dyDescent="0.25">
      <c r="A15719" t="str">
        <f>"&lt;min&gt;" &amp;$G$15715&amp;"&lt;/min&gt;"</f>
        <v>&lt;min&gt;1&lt;/min&gt;</v>
      </c>
      <c r="B15719" t="s">
        <v>3585</v>
      </c>
    </row>
    <row r="15720" spans="1:8" x14ac:dyDescent="0.25">
      <c r="A15720" t="s">
        <v>16</v>
      </c>
      <c r="B15720" t="s">
        <v>3585</v>
      </c>
    </row>
    <row r="15721" spans="1:8" x14ac:dyDescent="0.25">
      <c r="A15721" t="s">
        <v>17</v>
      </c>
      <c r="B15721" t="s">
        <v>3585</v>
      </c>
    </row>
    <row r="15722" spans="1:8" x14ac:dyDescent="0.25">
      <c r="A15722" t="s">
        <v>18</v>
      </c>
      <c r="B15722" t="s">
        <v>3585</v>
      </c>
    </row>
    <row r="15723" spans="1:8" x14ac:dyDescent="0.25">
      <c r="A15723" t="str">
        <f xml:space="preserve"> $H$15715</f>
        <v>&lt;flags count_in_cargo="0" count_in_hoarder="0" count_in_map="1" count_in_player="0" crafted="0" deloot="0"/&gt;</v>
      </c>
      <c r="B15723" t="s">
        <v>3585</v>
      </c>
    </row>
    <row r="15724" spans="1:8" x14ac:dyDescent="0.25">
      <c r="A15724" t="s">
        <v>22</v>
      </c>
      <c r="B15724" t="s">
        <v>3585</v>
      </c>
    </row>
    <row r="15725" spans="1:8" x14ac:dyDescent="0.25">
      <c r="A15725" t="s">
        <v>2627</v>
      </c>
      <c r="B15725" t="s">
        <v>3586</v>
      </c>
      <c r="D15725">
        <v>0</v>
      </c>
      <c r="E15725">
        <v>1800</v>
      </c>
      <c r="F15725">
        <v>0</v>
      </c>
      <c r="G15725">
        <v>1</v>
      </c>
      <c r="H15725" t="s">
        <v>19</v>
      </c>
    </row>
    <row r="15726" spans="1:8" x14ac:dyDescent="0.25">
      <c r="A15726" t="str">
        <f>"&lt;nominal&gt;" &amp;$D$15725&amp;"&lt;/nominal&gt;"</f>
        <v>&lt;nominal&gt;0&lt;/nominal&gt;</v>
      </c>
      <c r="B15726" t="s">
        <v>3586</v>
      </c>
    </row>
    <row r="15727" spans="1:8" x14ac:dyDescent="0.25">
      <c r="A15727" t="str">
        <f>"&lt;lifetime&gt;" &amp;$E$15725&amp;"&lt;/lifetime&gt;"</f>
        <v>&lt;lifetime&gt;1800&lt;/lifetime&gt;</v>
      </c>
      <c r="B15727" t="s">
        <v>3586</v>
      </c>
    </row>
    <row r="15728" spans="1:8" x14ac:dyDescent="0.25">
      <c r="A15728" t="str">
        <f>"&lt;restock&gt;" &amp;$F$15725&amp;"&lt;/restock&gt;"</f>
        <v>&lt;restock&gt;0&lt;/restock&gt;</v>
      </c>
      <c r="B15728" t="s">
        <v>3586</v>
      </c>
    </row>
    <row r="15729" spans="1:8" x14ac:dyDescent="0.25">
      <c r="A15729" t="str">
        <f>"&lt;min&gt;" &amp;$G$15725&amp;"&lt;/min&gt;"</f>
        <v>&lt;min&gt;1&lt;/min&gt;</v>
      </c>
      <c r="B15729" t="s">
        <v>3586</v>
      </c>
    </row>
    <row r="15730" spans="1:8" x14ac:dyDescent="0.25">
      <c r="A15730" t="s">
        <v>16</v>
      </c>
      <c r="B15730" t="s">
        <v>3586</v>
      </c>
    </row>
    <row r="15731" spans="1:8" x14ac:dyDescent="0.25">
      <c r="A15731" t="s">
        <v>17</v>
      </c>
      <c r="B15731" t="s">
        <v>3586</v>
      </c>
    </row>
    <row r="15732" spans="1:8" x14ac:dyDescent="0.25">
      <c r="A15732" t="s">
        <v>18</v>
      </c>
      <c r="B15732" t="s">
        <v>3586</v>
      </c>
    </row>
    <row r="15733" spans="1:8" x14ac:dyDescent="0.25">
      <c r="A15733" t="str">
        <f xml:space="preserve"> $H$15725</f>
        <v>&lt;flags count_in_cargo="0" count_in_hoarder="0" count_in_map="1" count_in_player="0" crafted="0" deloot="0"/&gt;</v>
      </c>
      <c r="B15733" t="s">
        <v>3586</v>
      </c>
    </row>
    <row r="15734" spans="1:8" x14ac:dyDescent="0.25">
      <c r="A15734" t="s">
        <v>22</v>
      </c>
      <c r="B15734" t="s">
        <v>3586</v>
      </c>
    </row>
    <row r="15735" spans="1:8" x14ac:dyDescent="0.25">
      <c r="A15735" t="s">
        <v>2628</v>
      </c>
      <c r="B15735" t="s">
        <v>3587</v>
      </c>
      <c r="D15735">
        <v>0</v>
      </c>
      <c r="E15735">
        <v>1800</v>
      </c>
      <c r="F15735">
        <v>0</v>
      </c>
      <c r="G15735">
        <v>1</v>
      </c>
      <c r="H15735" t="s">
        <v>19</v>
      </c>
    </row>
    <row r="15736" spans="1:8" x14ac:dyDescent="0.25">
      <c r="A15736" t="str">
        <f>"&lt;nominal&gt;" &amp;$D$15735&amp;"&lt;/nominal&gt;"</f>
        <v>&lt;nominal&gt;0&lt;/nominal&gt;</v>
      </c>
      <c r="B15736" t="s">
        <v>3587</v>
      </c>
    </row>
    <row r="15737" spans="1:8" x14ac:dyDescent="0.25">
      <c r="A15737" t="str">
        <f>"&lt;lifetime&gt;" &amp;$E$15735&amp;"&lt;/lifetime&gt;"</f>
        <v>&lt;lifetime&gt;1800&lt;/lifetime&gt;</v>
      </c>
      <c r="B15737" t="s">
        <v>3587</v>
      </c>
    </row>
    <row r="15738" spans="1:8" x14ac:dyDescent="0.25">
      <c r="A15738" t="str">
        <f>"&lt;restock&gt;" &amp;$F$15735&amp;"&lt;/restock&gt;"</f>
        <v>&lt;restock&gt;0&lt;/restock&gt;</v>
      </c>
      <c r="B15738" t="s">
        <v>3587</v>
      </c>
    </row>
    <row r="15739" spans="1:8" x14ac:dyDescent="0.25">
      <c r="A15739" t="str">
        <f>"&lt;min&gt;" &amp;$G$15735&amp;"&lt;/min&gt;"</f>
        <v>&lt;min&gt;1&lt;/min&gt;</v>
      </c>
      <c r="B15739" t="s">
        <v>3587</v>
      </c>
    </row>
    <row r="15740" spans="1:8" x14ac:dyDescent="0.25">
      <c r="A15740" t="s">
        <v>16</v>
      </c>
      <c r="B15740" t="s">
        <v>3587</v>
      </c>
    </row>
    <row r="15741" spans="1:8" x14ac:dyDescent="0.25">
      <c r="A15741" t="s">
        <v>17</v>
      </c>
      <c r="B15741" t="s">
        <v>3587</v>
      </c>
    </row>
    <row r="15742" spans="1:8" x14ac:dyDescent="0.25">
      <c r="A15742" t="s">
        <v>18</v>
      </c>
      <c r="B15742" t="s">
        <v>3587</v>
      </c>
    </row>
    <row r="15743" spans="1:8" x14ac:dyDescent="0.25">
      <c r="A15743" t="str">
        <f xml:space="preserve"> $H$15735</f>
        <v>&lt;flags count_in_cargo="0" count_in_hoarder="0" count_in_map="1" count_in_player="0" crafted="0" deloot="0"/&gt;</v>
      </c>
      <c r="B15743" t="s">
        <v>3587</v>
      </c>
    </row>
    <row r="15744" spans="1:8" x14ac:dyDescent="0.25">
      <c r="A15744" t="s">
        <v>22</v>
      </c>
      <c r="B15744" t="s">
        <v>3587</v>
      </c>
    </row>
    <row r="15745" spans="1:8" x14ac:dyDescent="0.25">
      <c r="A15745" t="s">
        <v>2629</v>
      </c>
      <c r="B15745" t="s">
        <v>3588</v>
      </c>
      <c r="D15745">
        <v>0</v>
      </c>
      <c r="E15745">
        <v>1800</v>
      </c>
      <c r="F15745">
        <v>0</v>
      </c>
      <c r="G15745">
        <v>1</v>
      </c>
      <c r="H15745" t="s">
        <v>19</v>
      </c>
    </row>
    <row r="15746" spans="1:8" x14ac:dyDescent="0.25">
      <c r="A15746" t="str">
        <f>"&lt;nominal&gt;" &amp;$D$15745&amp;"&lt;/nominal&gt;"</f>
        <v>&lt;nominal&gt;0&lt;/nominal&gt;</v>
      </c>
      <c r="B15746" t="s">
        <v>3588</v>
      </c>
    </row>
    <row r="15747" spans="1:8" x14ac:dyDescent="0.25">
      <c r="A15747" t="str">
        <f>"&lt;lifetime&gt;" &amp;$E$15745&amp;"&lt;/lifetime&gt;"</f>
        <v>&lt;lifetime&gt;1800&lt;/lifetime&gt;</v>
      </c>
      <c r="B15747" t="s">
        <v>3588</v>
      </c>
    </row>
    <row r="15748" spans="1:8" x14ac:dyDescent="0.25">
      <c r="A15748" t="str">
        <f>"&lt;restock&gt;" &amp;$F$15745&amp;"&lt;/restock&gt;"</f>
        <v>&lt;restock&gt;0&lt;/restock&gt;</v>
      </c>
      <c r="B15748" t="s">
        <v>3588</v>
      </c>
    </row>
    <row r="15749" spans="1:8" x14ac:dyDescent="0.25">
      <c r="A15749" t="str">
        <f>"&lt;min&gt;" &amp;$G$15745&amp;"&lt;/min&gt;"</f>
        <v>&lt;min&gt;1&lt;/min&gt;</v>
      </c>
      <c r="B15749" t="s">
        <v>3588</v>
      </c>
    </row>
    <row r="15750" spans="1:8" x14ac:dyDescent="0.25">
      <c r="A15750" t="s">
        <v>16</v>
      </c>
      <c r="B15750" t="s">
        <v>3588</v>
      </c>
    </row>
    <row r="15751" spans="1:8" x14ac:dyDescent="0.25">
      <c r="A15751" t="s">
        <v>17</v>
      </c>
      <c r="B15751" t="s">
        <v>3588</v>
      </c>
    </row>
    <row r="15752" spans="1:8" x14ac:dyDescent="0.25">
      <c r="A15752" t="s">
        <v>18</v>
      </c>
      <c r="B15752" t="s">
        <v>3588</v>
      </c>
    </row>
    <row r="15753" spans="1:8" x14ac:dyDescent="0.25">
      <c r="A15753" t="str">
        <f xml:space="preserve"> $H$15745</f>
        <v>&lt;flags count_in_cargo="0" count_in_hoarder="0" count_in_map="1" count_in_player="0" crafted="0" deloot="0"/&gt;</v>
      </c>
      <c r="B15753" t="s">
        <v>3588</v>
      </c>
    </row>
    <row r="15754" spans="1:8" x14ac:dyDescent="0.25">
      <c r="A15754" t="s">
        <v>22</v>
      </c>
      <c r="B15754" t="s">
        <v>3588</v>
      </c>
    </row>
    <row r="15755" spans="1:8" x14ac:dyDescent="0.25">
      <c r="A15755" t="s">
        <v>2630</v>
      </c>
      <c r="B15755" t="s">
        <v>3589</v>
      </c>
      <c r="D15755">
        <v>0</v>
      </c>
      <c r="E15755">
        <v>1800</v>
      </c>
      <c r="F15755">
        <v>0</v>
      </c>
      <c r="G15755">
        <v>1</v>
      </c>
      <c r="H15755" t="s">
        <v>19</v>
      </c>
    </row>
    <row r="15756" spans="1:8" x14ac:dyDescent="0.25">
      <c r="A15756" t="str">
        <f>"&lt;nominal&gt;" &amp;$D$15755&amp;"&lt;/nominal&gt;"</f>
        <v>&lt;nominal&gt;0&lt;/nominal&gt;</v>
      </c>
      <c r="B15756" t="s">
        <v>3589</v>
      </c>
    </row>
    <row r="15757" spans="1:8" x14ac:dyDescent="0.25">
      <c r="A15757" t="str">
        <f>"&lt;lifetime&gt;" &amp;$E$15755&amp;"&lt;/lifetime&gt;"</f>
        <v>&lt;lifetime&gt;1800&lt;/lifetime&gt;</v>
      </c>
      <c r="B15757" t="s">
        <v>3589</v>
      </c>
    </row>
    <row r="15758" spans="1:8" x14ac:dyDescent="0.25">
      <c r="A15758" t="str">
        <f>"&lt;restock&gt;" &amp;$F$15755&amp;"&lt;/restock&gt;"</f>
        <v>&lt;restock&gt;0&lt;/restock&gt;</v>
      </c>
      <c r="B15758" t="s">
        <v>3589</v>
      </c>
    </row>
    <row r="15759" spans="1:8" x14ac:dyDescent="0.25">
      <c r="A15759" t="str">
        <f>"&lt;min&gt;" &amp;$G$15755&amp;"&lt;/min&gt;"</f>
        <v>&lt;min&gt;1&lt;/min&gt;</v>
      </c>
      <c r="B15759" t="s">
        <v>3589</v>
      </c>
    </row>
    <row r="15760" spans="1:8" x14ac:dyDescent="0.25">
      <c r="A15760" t="s">
        <v>16</v>
      </c>
      <c r="B15760" t="s">
        <v>3589</v>
      </c>
    </row>
    <row r="15761" spans="1:8" x14ac:dyDescent="0.25">
      <c r="A15761" t="s">
        <v>17</v>
      </c>
      <c r="B15761" t="s">
        <v>3589</v>
      </c>
    </row>
    <row r="15762" spans="1:8" x14ac:dyDescent="0.25">
      <c r="A15762" t="s">
        <v>18</v>
      </c>
      <c r="B15762" t="s">
        <v>3589</v>
      </c>
    </row>
    <row r="15763" spans="1:8" x14ac:dyDescent="0.25">
      <c r="A15763" t="str">
        <f xml:space="preserve"> $H$15755</f>
        <v>&lt;flags count_in_cargo="0" count_in_hoarder="0" count_in_map="1" count_in_player="0" crafted="0" deloot="0"/&gt;</v>
      </c>
      <c r="B15763" t="s">
        <v>3589</v>
      </c>
    </row>
    <row r="15764" spans="1:8" x14ac:dyDescent="0.25">
      <c r="A15764" t="s">
        <v>22</v>
      </c>
      <c r="B15764" t="s">
        <v>3589</v>
      </c>
    </row>
    <row r="15765" spans="1:8" x14ac:dyDescent="0.25">
      <c r="A15765" t="s">
        <v>2631</v>
      </c>
      <c r="B15765" t="s">
        <v>3590</v>
      </c>
      <c r="D15765">
        <v>0</v>
      </c>
      <c r="E15765">
        <v>1800</v>
      </c>
      <c r="F15765">
        <v>0</v>
      </c>
      <c r="G15765">
        <v>1</v>
      </c>
      <c r="H15765" t="s">
        <v>19</v>
      </c>
    </row>
    <row r="15766" spans="1:8" x14ac:dyDescent="0.25">
      <c r="A15766" t="str">
        <f>"&lt;nominal&gt;" &amp;$D$15765&amp;"&lt;/nominal&gt;"</f>
        <v>&lt;nominal&gt;0&lt;/nominal&gt;</v>
      </c>
      <c r="B15766" t="s">
        <v>3590</v>
      </c>
    </row>
    <row r="15767" spans="1:8" x14ac:dyDescent="0.25">
      <c r="A15767" t="str">
        <f>"&lt;lifetime&gt;" &amp;$E$15765&amp;"&lt;/lifetime&gt;"</f>
        <v>&lt;lifetime&gt;1800&lt;/lifetime&gt;</v>
      </c>
      <c r="B15767" t="s">
        <v>3590</v>
      </c>
    </row>
    <row r="15768" spans="1:8" x14ac:dyDescent="0.25">
      <c r="A15768" t="str">
        <f>"&lt;restock&gt;" &amp;$F$15765&amp;"&lt;/restock&gt;"</f>
        <v>&lt;restock&gt;0&lt;/restock&gt;</v>
      </c>
      <c r="B15768" t="s">
        <v>3590</v>
      </c>
    </row>
    <row r="15769" spans="1:8" x14ac:dyDescent="0.25">
      <c r="A15769" t="str">
        <f>"&lt;min&gt;" &amp;$G$15765&amp;"&lt;/min&gt;"</f>
        <v>&lt;min&gt;1&lt;/min&gt;</v>
      </c>
      <c r="B15769" t="s">
        <v>3590</v>
      </c>
    </row>
    <row r="15770" spans="1:8" x14ac:dyDescent="0.25">
      <c r="A15770" t="s">
        <v>16</v>
      </c>
      <c r="B15770" t="s">
        <v>3590</v>
      </c>
    </row>
    <row r="15771" spans="1:8" x14ac:dyDescent="0.25">
      <c r="A15771" t="s">
        <v>17</v>
      </c>
      <c r="B15771" t="s">
        <v>3590</v>
      </c>
    </row>
    <row r="15772" spans="1:8" x14ac:dyDescent="0.25">
      <c r="A15772" t="s">
        <v>18</v>
      </c>
      <c r="B15772" t="s">
        <v>3590</v>
      </c>
    </row>
    <row r="15773" spans="1:8" x14ac:dyDescent="0.25">
      <c r="A15773" t="str">
        <f xml:space="preserve"> $H$15765</f>
        <v>&lt;flags count_in_cargo="0" count_in_hoarder="0" count_in_map="1" count_in_player="0" crafted="0" deloot="0"/&gt;</v>
      </c>
      <c r="B15773" t="s">
        <v>3590</v>
      </c>
    </row>
    <row r="15774" spans="1:8" x14ac:dyDescent="0.25">
      <c r="A15774" t="s">
        <v>22</v>
      </c>
      <c r="B15774" t="s">
        <v>3590</v>
      </c>
    </row>
    <row r="15775" spans="1:8" x14ac:dyDescent="0.25">
      <c r="A15775" t="s">
        <v>2632</v>
      </c>
      <c r="B15775" t="s">
        <v>3591</v>
      </c>
      <c r="D15775">
        <v>0</v>
      </c>
      <c r="E15775">
        <v>1800</v>
      </c>
      <c r="F15775">
        <v>0</v>
      </c>
      <c r="G15775">
        <v>1</v>
      </c>
      <c r="H15775" t="s">
        <v>19</v>
      </c>
    </row>
    <row r="15776" spans="1:8" x14ac:dyDescent="0.25">
      <c r="A15776" t="str">
        <f>"&lt;nominal&gt;" &amp;$D$15775&amp;"&lt;/nominal&gt;"</f>
        <v>&lt;nominal&gt;0&lt;/nominal&gt;</v>
      </c>
      <c r="B15776" t="s">
        <v>3591</v>
      </c>
    </row>
    <row r="15777" spans="1:8" x14ac:dyDescent="0.25">
      <c r="A15777" t="str">
        <f>"&lt;lifetime&gt;" &amp;$E$15775&amp;"&lt;/lifetime&gt;"</f>
        <v>&lt;lifetime&gt;1800&lt;/lifetime&gt;</v>
      </c>
      <c r="B15777" t="s">
        <v>3591</v>
      </c>
    </row>
    <row r="15778" spans="1:8" x14ac:dyDescent="0.25">
      <c r="A15778" t="str">
        <f>"&lt;restock&gt;" &amp;$F$15775&amp;"&lt;/restock&gt;"</f>
        <v>&lt;restock&gt;0&lt;/restock&gt;</v>
      </c>
      <c r="B15778" t="s">
        <v>3591</v>
      </c>
    </row>
    <row r="15779" spans="1:8" x14ac:dyDescent="0.25">
      <c r="A15779" t="str">
        <f>"&lt;min&gt;" &amp;$G$15775&amp;"&lt;/min&gt;"</f>
        <v>&lt;min&gt;1&lt;/min&gt;</v>
      </c>
      <c r="B15779" t="s">
        <v>3591</v>
      </c>
    </row>
    <row r="15780" spans="1:8" x14ac:dyDescent="0.25">
      <c r="A15780" t="s">
        <v>16</v>
      </c>
      <c r="B15780" t="s">
        <v>3591</v>
      </c>
    </row>
    <row r="15781" spans="1:8" x14ac:dyDescent="0.25">
      <c r="A15781" t="s">
        <v>17</v>
      </c>
      <c r="B15781" t="s">
        <v>3591</v>
      </c>
    </row>
    <row r="15782" spans="1:8" x14ac:dyDescent="0.25">
      <c r="A15782" t="s">
        <v>18</v>
      </c>
      <c r="B15782" t="s">
        <v>3591</v>
      </c>
    </row>
    <row r="15783" spans="1:8" x14ac:dyDescent="0.25">
      <c r="A15783" t="str">
        <f xml:space="preserve"> $H$15775</f>
        <v>&lt;flags count_in_cargo="0" count_in_hoarder="0" count_in_map="1" count_in_player="0" crafted="0" deloot="0"/&gt;</v>
      </c>
      <c r="B15783" t="s">
        <v>3591</v>
      </c>
    </row>
    <row r="15784" spans="1:8" x14ac:dyDescent="0.25">
      <c r="A15784" t="s">
        <v>22</v>
      </c>
      <c r="B15784" t="s">
        <v>3591</v>
      </c>
    </row>
    <row r="15785" spans="1:8" x14ac:dyDescent="0.25">
      <c r="A15785" t="s">
        <v>2633</v>
      </c>
      <c r="B15785" t="s">
        <v>3592</v>
      </c>
      <c r="D15785">
        <v>0</v>
      </c>
      <c r="E15785">
        <v>1800</v>
      </c>
      <c r="F15785">
        <v>0</v>
      </c>
      <c r="G15785">
        <v>1</v>
      </c>
      <c r="H15785" t="s">
        <v>19</v>
      </c>
    </row>
    <row r="15786" spans="1:8" x14ac:dyDescent="0.25">
      <c r="A15786" t="str">
        <f>"&lt;nominal&gt;" &amp;$D$15785&amp;"&lt;/nominal&gt;"</f>
        <v>&lt;nominal&gt;0&lt;/nominal&gt;</v>
      </c>
      <c r="B15786" t="s">
        <v>3592</v>
      </c>
    </row>
    <row r="15787" spans="1:8" x14ac:dyDescent="0.25">
      <c r="A15787" t="str">
        <f>"&lt;lifetime&gt;" &amp;$E$15785&amp;"&lt;/lifetime&gt;"</f>
        <v>&lt;lifetime&gt;1800&lt;/lifetime&gt;</v>
      </c>
      <c r="B15787" t="s">
        <v>3592</v>
      </c>
    </row>
    <row r="15788" spans="1:8" x14ac:dyDescent="0.25">
      <c r="A15788" t="str">
        <f>"&lt;restock&gt;" &amp;$F$15785&amp;"&lt;/restock&gt;"</f>
        <v>&lt;restock&gt;0&lt;/restock&gt;</v>
      </c>
      <c r="B15788" t="s">
        <v>3592</v>
      </c>
    </row>
    <row r="15789" spans="1:8" x14ac:dyDescent="0.25">
      <c r="A15789" t="str">
        <f>"&lt;min&gt;" &amp;$G$15785&amp;"&lt;/min&gt;"</f>
        <v>&lt;min&gt;1&lt;/min&gt;</v>
      </c>
      <c r="B15789" t="s">
        <v>3592</v>
      </c>
    </row>
    <row r="15790" spans="1:8" x14ac:dyDescent="0.25">
      <c r="A15790" t="s">
        <v>16</v>
      </c>
      <c r="B15790" t="s">
        <v>3592</v>
      </c>
    </row>
    <row r="15791" spans="1:8" x14ac:dyDescent="0.25">
      <c r="A15791" t="s">
        <v>17</v>
      </c>
      <c r="B15791" t="s">
        <v>3592</v>
      </c>
    </row>
    <row r="15792" spans="1:8" x14ac:dyDescent="0.25">
      <c r="A15792" t="s">
        <v>18</v>
      </c>
      <c r="B15792" t="s">
        <v>3592</v>
      </c>
    </row>
    <row r="15793" spans="1:8" x14ac:dyDescent="0.25">
      <c r="A15793" t="str">
        <f xml:space="preserve"> $H$15785</f>
        <v>&lt;flags count_in_cargo="0" count_in_hoarder="0" count_in_map="1" count_in_player="0" crafted="0" deloot="0"/&gt;</v>
      </c>
      <c r="B15793" t="s">
        <v>3592</v>
      </c>
    </row>
    <row r="15794" spans="1:8" x14ac:dyDescent="0.25">
      <c r="A15794" t="s">
        <v>22</v>
      </c>
      <c r="B15794" t="s">
        <v>3592</v>
      </c>
    </row>
    <row r="15795" spans="1:8" x14ac:dyDescent="0.25">
      <c r="A15795" t="s">
        <v>2634</v>
      </c>
      <c r="B15795" t="s">
        <v>3593</v>
      </c>
      <c r="D15795">
        <v>0</v>
      </c>
      <c r="E15795">
        <v>1800</v>
      </c>
      <c r="F15795">
        <v>0</v>
      </c>
      <c r="G15795">
        <v>1</v>
      </c>
      <c r="H15795" t="s">
        <v>19</v>
      </c>
    </row>
    <row r="15796" spans="1:8" x14ac:dyDescent="0.25">
      <c r="A15796" t="str">
        <f>"&lt;nominal&gt;" &amp;$D$15795&amp;"&lt;/nominal&gt;"</f>
        <v>&lt;nominal&gt;0&lt;/nominal&gt;</v>
      </c>
      <c r="B15796" t="s">
        <v>3593</v>
      </c>
    </row>
    <row r="15797" spans="1:8" x14ac:dyDescent="0.25">
      <c r="A15797" t="str">
        <f>"&lt;lifetime&gt;" &amp;$E$15795&amp;"&lt;/lifetime&gt;"</f>
        <v>&lt;lifetime&gt;1800&lt;/lifetime&gt;</v>
      </c>
      <c r="B15797" t="s">
        <v>3593</v>
      </c>
    </row>
    <row r="15798" spans="1:8" x14ac:dyDescent="0.25">
      <c r="A15798" t="str">
        <f>"&lt;restock&gt;" &amp;$F$15795&amp;"&lt;/restock&gt;"</f>
        <v>&lt;restock&gt;0&lt;/restock&gt;</v>
      </c>
      <c r="B15798" t="s">
        <v>3593</v>
      </c>
    </row>
    <row r="15799" spans="1:8" x14ac:dyDescent="0.25">
      <c r="A15799" t="str">
        <f>"&lt;min&gt;" &amp;$G$15795&amp;"&lt;/min&gt;"</f>
        <v>&lt;min&gt;1&lt;/min&gt;</v>
      </c>
      <c r="B15799" t="s">
        <v>3593</v>
      </c>
    </row>
    <row r="15800" spans="1:8" x14ac:dyDescent="0.25">
      <c r="A15800" t="s">
        <v>16</v>
      </c>
      <c r="B15800" t="s">
        <v>3593</v>
      </c>
    </row>
    <row r="15801" spans="1:8" x14ac:dyDescent="0.25">
      <c r="A15801" t="s">
        <v>17</v>
      </c>
      <c r="B15801" t="s">
        <v>3593</v>
      </c>
    </row>
    <row r="15802" spans="1:8" x14ac:dyDescent="0.25">
      <c r="A15802" t="s">
        <v>18</v>
      </c>
      <c r="B15802" t="s">
        <v>3593</v>
      </c>
    </row>
    <row r="15803" spans="1:8" x14ac:dyDescent="0.25">
      <c r="A15803" t="str">
        <f xml:space="preserve"> $H$15795</f>
        <v>&lt;flags count_in_cargo="0" count_in_hoarder="0" count_in_map="1" count_in_player="0" crafted="0" deloot="0"/&gt;</v>
      </c>
      <c r="B15803" t="s">
        <v>3593</v>
      </c>
    </row>
    <row r="15804" spans="1:8" x14ac:dyDescent="0.25">
      <c r="A15804" t="s">
        <v>22</v>
      </c>
      <c r="B15804" t="s">
        <v>3593</v>
      </c>
    </row>
    <row r="15805" spans="1:8" x14ac:dyDescent="0.25">
      <c r="A15805" t="s">
        <v>2635</v>
      </c>
      <c r="B15805" t="s">
        <v>3594</v>
      </c>
      <c r="D15805">
        <v>0</v>
      </c>
      <c r="E15805">
        <v>1800</v>
      </c>
      <c r="F15805">
        <v>0</v>
      </c>
      <c r="G15805">
        <v>1</v>
      </c>
      <c r="H15805" t="s">
        <v>19</v>
      </c>
    </row>
    <row r="15806" spans="1:8" x14ac:dyDescent="0.25">
      <c r="A15806" t="str">
        <f>"&lt;nominal&gt;" &amp;$D$15805&amp;"&lt;/nominal&gt;"</f>
        <v>&lt;nominal&gt;0&lt;/nominal&gt;</v>
      </c>
      <c r="B15806" t="s">
        <v>3594</v>
      </c>
    </row>
    <row r="15807" spans="1:8" x14ac:dyDescent="0.25">
      <c r="A15807" t="str">
        <f>"&lt;lifetime&gt;" &amp;$E$15805&amp;"&lt;/lifetime&gt;"</f>
        <v>&lt;lifetime&gt;1800&lt;/lifetime&gt;</v>
      </c>
      <c r="B15807" t="s">
        <v>3594</v>
      </c>
    </row>
    <row r="15808" spans="1:8" x14ac:dyDescent="0.25">
      <c r="A15808" t="str">
        <f>"&lt;restock&gt;" &amp;$F$15805&amp;"&lt;/restock&gt;"</f>
        <v>&lt;restock&gt;0&lt;/restock&gt;</v>
      </c>
      <c r="B15808" t="s">
        <v>3594</v>
      </c>
    </row>
    <row r="15809" spans="1:8" x14ac:dyDescent="0.25">
      <c r="A15809" t="str">
        <f>"&lt;min&gt;" &amp;$G$15805&amp;"&lt;/min&gt;"</f>
        <v>&lt;min&gt;1&lt;/min&gt;</v>
      </c>
      <c r="B15809" t="s">
        <v>3594</v>
      </c>
    </row>
    <row r="15810" spans="1:8" x14ac:dyDescent="0.25">
      <c r="A15810" t="s">
        <v>16</v>
      </c>
      <c r="B15810" t="s">
        <v>3594</v>
      </c>
    </row>
    <row r="15811" spans="1:8" x14ac:dyDescent="0.25">
      <c r="A15811" t="s">
        <v>17</v>
      </c>
      <c r="B15811" t="s">
        <v>3594</v>
      </c>
    </row>
    <row r="15812" spans="1:8" x14ac:dyDescent="0.25">
      <c r="A15812" t="s">
        <v>18</v>
      </c>
      <c r="B15812" t="s">
        <v>3594</v>
      </c>
    </row>
    <row r="15813" spans="1:8" x14ac:dyDescent="0.25">
      <c r="A15813" t="str">
        <f xml:space="preserve"> $H$15805</f>
        <v>&lt;flags count_in_cargo="0" count_in_hoarder="0" count_in_map="1" count_in_player="0" crafted="0" deloot="0"/&gt;</v>
      </c>
      <c r="B15813" t="s">
        <v>3594</v>
      </c>
    </row>
    <row r="15814" spans="1:8" x14ac:dyDescent="0.25">
      <c r="A15814" t="s">
        <v>22</v>
      </c>
      <c r="B15814" t="s">
        <v>3594</v>
      </c>
    </row>
    <row r="15815" spans="1:8" x14ac:dyDescent="0.25">
      <c r="A15815" t="s">
        <v>2636</v>
      </c>
      <c r="B15815" t="s">
        <v>3595</v>
      </c>
      <c r="D15815">
        <v>0</v>
      </c>
      <c r="E15815">
        <v>1800</v>
      </c>
      <c r="F15815">
        <v>0</v>
      </c>
      <c r="G15815">
        <v>1</v>
      </c>
      <c r="H15815" t="s">
        <v>19</v>
      </c>
    </row>
    <row r="15816" spans="1:8" x14ac:dyDescent="0.25">
      <c r="A15816" t="str">
        <f>"&lt;nominal&gt;" &amp;$D$15815&amp;"&lt;/nominal&gt;"</f>
        <v>&lt;nominal&gt;0&lt;/nominal&gt;</v>
      </c>
      <c r="B15816" t="s">
        <v>3595</v>
      </c>
    </row>
    <row r="15817" spans="1:8" x14ac:dyDescent="0.25">
      <c r="A15817" t="str">
        <f>"&lt;lifetime&gt;" &amp;$E$15815&amp;"&lt;/lifetime&gt;"</f>
        <v>&lt;lifetime&gt;1800&lt;/lifetime&gt;</v>
      </c>
      <c r="B15817" t="s">
        <v>3595</v>
      </c>
    </row>
    <row r="15818" spans="1:8" x14ac:dyDescent="0.25">
      <c r="A15818" t="str">
        <f>"&lt;restock&gt;" &amp;$F$15815&amp;"&lt;/restock&gt;"</f>
        <v>&lt;restock&gt;0&lt;/restock&gt;</v>
      </c>
      <c r="B15818" t="s">
        <v>3595</v>
      </c>
    </row>
    <row r="15819" spans="1:8" x14ac:dyDescent="0.25">
      <c r="A15819" t="str">
        <f>"&lt;min&gt;" &amp;$G$15815&amp;"&lt;/min&gt;"</f>
        <v>&lt;min&gt;1&lt;/min&gt;</v>
      </c>
      <c r="B15819" t="s">
        <v>3595</v>
      </c>
    </row>
    <row r="15820" spans="1:8" x14ac:dyDescent="0.25">
      <c r="A15820" t="s">
        <v>16</v>
      </c>
      <c r="B15820" t="s">
        <v>3595</v>
      </c>
    </row>
    <row r="15821" spans="1:8" x14ac:dyDescent="0.25">
      <c r="A15821" t="s">
        <v>17</v>
      </c>
      <c r="B15821" t="s">
        <v>3595</v>
      </c>
    </row>
    <row r="15822" spans="1:8" x14ac:dyDescent="0.25">
      <c r="A15822" t="s">
        <v>18</v>
      </c>
      <c r="B15822" t="s">
        <v>3595</v>
      </c>
    </row>
    <row r="15823" spans="1:8" x14ac:dyDescent="0.25">
      <c r="A15823" t="str">
        <f xml:space="preserve"> $H$15815</f>
        <v>&lt;flags count_in_cargo="0" count_in_hoarder="0" count_in_map="1" count_in_player="0" crafted="0" deloot="0"/&gt;</v>
      </c>
      <c r="B15823" t="s">
        <v>3595</v>
      </c>
    </row>
    <row r="15824" spans="1:8" x14ac:dyDescent="0.25">
      <c r="A15824" t="s">
        <v>22</v>
      </c>
      <c r="B15824" t="s">
        <v>3595</v>
      </c>
    </row>
    <row r="15825" spans="1:8" x14ac:dyDescent="0.25">
      <c r="A15825" t="s">
        <v>2637</v>
      </c>
      <c r="B15825" t="s">
        <v>3596</v>
      </c>
      <c r="D15825">
        <v>0</v>
      </c>
      <c r="E15825">
        <v>1800</v>
      </c>
      <c r="F15825">
        <v>0</v>
      </c>
      <c r="G15825">
        <v>1</v>
      </c>
      <c r="H15825" t="s">
        <v>19</v>
      </c>
    </row>
    <row r="15826" spans="1:8" x14ac:dyDescent="0.25">
      <c r="A15826" t="str">
        <f>"&lt;nominal&gt;" &amp;$D$15825&amp;"&lt;/nominal&gt;"</f>
        <v>&lt;nominal&gt;0&lt;/nominal&gt;</v>
      </c>
      <c r="B15826" t="s">
        <v>3596</v>
      </c>
    </row>
    <row r="15827" spans="1:8" x14ac:dyDescent="0.25">
      <c r="A15827" t="str">
        <f>"&lt;lifetime&gt;" &amp;$E$15825&amp;"&lt;/lifetime&gt;"</f>
        <v>&lt;lifetime&gt;1800&lt;/lifetime&gt;</v>
      </c>
      <c r="B15827" t="s">
        <v>3596</v>
      </c>
    </row>
    <row r="15828" spans="1:8" x14ac:dyDescent="0.25">
      <c r="A15828" t="str">
        <f>"&lt;restock&gt;" &amp;$F$15825&amp;"&lt;/restock&gt;"</f>
        <v>&lt;restock&gt;0&lt;/restock&gt;</v>
      </c>
      <c r="B15828" t="s">
        <v>3596</v>
      </c>
    </row>
    <row r="15829" spans="1:8" x14ac:dyDescent="0.25">
      <c r="A15829" t="str">
        <f>"&lt;min&gt;" &amp;$G$15825&amp;"&lt;/min&gt;"</f>
        <v>&lt;min&gt;1&lt;/min&gt;</v>
      </c>
      <c r="B15829" t="s">
        <v>3596</v>
      </c>
    </row>
    <row r="15830" spans="1:8" x14ac:dyDescent="0.25">
      <c r="A15830" t="s">
        <v>16</v>
      </c>
      <c r="B15830" t="s">
        <v>3596</v>
      </c>
    </row>
    <row r="15831" spans="1:8" x14ac:dyDescent="0.25">
      <c r="A15831" t="s">
        <v>17</v>
      </c>
      <c r="B15831" t="s">
        <v>3596</v>
      </c>
    </row>
    <row r="15832" spans="1:8" x14ac:dyDescent="0.25">
      <c r="A15832" t="s">
        <v>18</v>
      </c>
      <c r="B15832" t="s">
        <v>3596</v>
      </c>
    </row>
    <row r="15833" spans="1:8" x14ac:dyDescent="0.25">
      <c r="A15833" t="str">
        <f xml:space="preserve"> $H$15825</f>
        <v>&lt;flags count_in_cargo="0" count_in_hoarder="0" count_in_map="1" count_in_player="0" crafted="0" deloot="0"/&gt;</v>
      </c>
      <c r="B15833" t="s">
        <v>3596</v>
      </c>
    </row>
    <row r="15834" spans="1:8" x14ac:dyDescent="0.25">
      <c r="A15834" t="s">
        <v>22</v>
      </c>
      <c r="B15834" t="s">
        <v>3596</v>
      </c>
    </row>
    <row r="15835" spans="1:8" x14ac:dyDescent="0.25">
      <c r="A15835" t="s">
        <v>2638</v>
      </c>
      <c r="B15835" t="s">
        <v>3597</v>
      </c>
      <c r="D15835">
        <v>0</v>
      </c>
      <c r="E15835">
        <v>1800</v>
      </c>
      <c r="F15835">
        <v>0</v>
      </c>
      <c r="G15835">
        <v>1</v>
      </c>
      <c r="H15835" t="s">
        <v>19</v>
      </c>
    </row>
    <row r="15836" spans="1:8" x14ac:dyDescent="0.25">
      <c r="A15836" t="str">
        <f>"&lt;nominal&gt;" &amp;$D$15835&amp;"&lt;/nominal&gt;"</f>
        <v>&lt;nominal&gt;0&lt;/nominal&gt;</v>
      </c>
      <c r="B15836" t="s">
        <v>3597</v>
      </c>
    </row>
    <row r="15837" spans="1:8" x14ac:dyDescent="0.25">
      <c r="A15837" t="str">
        <f>"&lt;lifetime&gt;" &amp;$E$15835&amp;"&lt;/lifetime&gt;"</f>
        <v>&lt;lifetime&gt;1800&lt;/lifetime&gt;</v>
      </c>
      <c r="B15837" t="s">
        <v>3597</v>
      </c>
    </row>
    <row r="15838" spans="1:8" x14ac:dyDescent="0.25">
      <c r="A15838" t="str">
        <f>"&lt;restock&gt;" &amp;$F$15835&amp;"&lt;/restock&gt;"</f>
        <v>&lt;restock&gt;0&lt;/restock&gt;</v>
      </c>
      <c r="B15838" t="s">
        <v>3597</v>
      </c>
    </row>
    <row r="15839" spans="1:8" x14ac:dyDescent="0.25">
      <c r="A15839" t="str">
        <f>"&lt;min&gt;" &amp;$G$15835&amp;"&lt;/min&gt;"</f>
        <v>&lt;min&gt;1&lt;/min&gt;</v>
      </c>
      <c r="B15839" t="s">
        <v>3597</v>
      </c>
    </row>
    <row r="15840" spans="1:8" x14ac:dyDescent="0.25">
      <c r="A15840" t="s">
        <v>16</v>
      </c>
      <c r="B15840" t="s">
        <v>3597</v>
      </c>
    </row>
    <row r="15841" spans="1:8" x14ac:dyDescent="0.25">
      <c r="A15841" t="s">
        <v>17</v>
      </c>
      <c r="B15841" t="s">
        <v>3597</v>
      </c>
    </row>
    <row r="15842" spans="1:8" x14ac:dyDescent="0.25">
      <c r="A15842" t="s">
        <v>18</v>
      </c>
      <c r="B15842" t="s">
        <v>3597</v>
      </c>
    </row>
    <row r="15843" spans="1:8" x14ac:dyDescent="0.25">
      <c r="A15843" t="str">
        <f xml:space="preserve"> $H$15835</f>
        <v>&lt;flags count_in_cargo="0" count_in_hoarder="0" count_in_map="1" count_in_player="0" crafted="0" deloot="0"/&gt;</v>
      </c>
      <c r="B15843" t="s">
        <v>3597</v>
      </c>
    </row>
    <row r="15844" spans="1:8" x14ac:dyDescent="0.25">
      <c r="A15844" t="s">
        <v>22</v>
      </c>
      <c r="B15844" t="s">
        <v>3597</v>
      </c>
    </row>
    <row r="15845" spans="1:8" x14ac:dyDescent="0.25">
      <c r="A15845" t="s">
        <v>2639</v>
      </c>
      <c r="B15845" t="s">
        <v>3598</v>
      </c>
      <c r="D15845">
        <v>0</v>
      </c>
      <c r="E15845">
        <v>1800</v>
      </c>
      <c r="F15845">
        <v>0</v>
      </c>
      <c r="G15845">
        <v>1</v>
      </c>
      <c r="H15845" t="s">
        <v>19</v>
      </c>
    </row>
    <row r="15846" spans="1:8" x14ac:dyDescent="0.25">
      <c r="A15846" t="str">
        <f>"&lt;nominal&gt;" &amp;$D$15845&amp;"&lt;/nominal&gt;"</f>
        <v>&lt;nominal&gt;0&lt;/nominal&gt;</v>
      </c>
      <c r="B15846" t="s">
        <v>3598</v>
      </c>
    </row>
    <row r="15847" spans="1:8" x14ac:dyDescent="0.25">
      <c r="A15847" t="str">
        <f>"&lt;lifetime&gt;" &amp;$E$15845&amp;"&lt;/lifetime&gt;"</f>
        <v>&lt;lifetime&gt;1800&lt;/lifetime&gt;</v>
      </c>
      <c r="B15847" t="s">
        <v>3598</v>
      </c>
    </row>
    <row r="15848" spans="1:8" x14ac:dyDescent="0.25">
      <c r="A15848" t="str">
        <f>"&lt;restock&gt;" &amp;$F$15845&amp;"&lt;/restock&gt;"</f>
        <v>&lt;restock&gt;0&lt;/restock&gt;</v>
      </c>
      <c r="B15848" t="s">
        <v>3598</v>
      </c>
    </row>
    <row r="15849" spans="1:8" x14ac:dyDescent="0.25">
      <c r="A15849" t="str">
        <f>"&lt;min&gt;" &amp;$G$15845&amp;"&lt;/min&gt;"</f>
        <v>&lt;min&gt;1&lt;/min&gt;</v>
      </c>
      <c r="B15849" t="s">
        <v>3598</v>
      </c>
    </row>
    <row r="15850" spans="1:8" x14ac:dyDescent="0.25">
      <c r="A15850" t="s">
        <v>16</v>
      </c>
      <c r="B15850" t="s">
        <v>3598</v>
      </c>
    </row>
    <row r="15851" spans="1:8" x14ac:dyDescent="0.25">
      <c r="A15851" t="s">
        <v>17</v>
      </c>
      <c r="B15851" t="s">
        <v>3598</v>
      </c>
    </row>
    <row r="15852" spans="1:8" x14ac:dyDescent="0.25">
      <c r="A15852" t="s">
        <v>18</v>
      </c>
      <c r="B15852" t="s">
        <v>3598</v>
      </c>
    </row>
    <row r="15853" spans="1:8" x14ac:dyDescent="0.25">
      <c r="A15853" t="str">
        <f xml:space="preserve"> $H$15845</f>
        <v>&lt;flags count_in_cargo="0" count_in_hoarder="0" count_in_map="1" count_in_player="0" crafted="0" deloot="0"/&gt;</v>
      </c>
      <c r="B15853" t="s">
        <v>3598</v>
      </c>
    </row>
    <row r="15854" spans="1:8" x14ac:dyDescent="0.25">
      <c r="A15854" t="s">
        <v>22</v>
      </c>
      <c r="B15854" t="s">
        <v>3598</v>
      </c>
    </row>
    <row r="15855" spans="1:8" x14ac:dyDescent="0.25">
      <c r="A15855" t="s">
        <v>2640</v>
      </c>
      <c r="B15855" t="s">
        <v>3599</v>
      </c>
      <c r="D15855">
        <v>0</v>
      </c>
      <c r="E15855">
        <v>1800</v>
      </c>
      <c r="F15855">
        <v>0</v>
      </c>
      <c r="G15855">
        <v>1</v>
      </c>
      <c r="H15855" t="s">
        <v>19</v>
      </c>
    </row>
    <row r="15856" spans="1:8" x14ac:dyDescent="0.25">
      <c r="A15856" t="str">
        <f>"&lt;nominal&gt;" &amp;$D$15855&amp;"&lt;/nominal&gt;"</f>
        <v>&lt;nominal&gt;0&lt;/nominal&gt;</v>
      </c>
      <c r="B15856" t="s">
        <v>3599</v>
      </c>
    </row>
    <row r="15857" spans="1:8" x14ac:dyDescent="0.25">
      <c r="A15857" t="str">
        <f>"&lt;lifetime&gt;" &amp;$E$15855&amp;"&lt;/lifetime&gt;"</f>
        <v>&lt;lifetime&gt;1800&lt;/lifetime&gt;</v>
      </c>
      <c r="B15857" t="s">
        <v>3599</v>
      </c>
    </row>
    <row r="15858" spans="1:8" x14ac:dyDescent="0.25">
      <c r="A15858" t="str">
        <f>"&lt;restock&gt;" &amp;$F$15855&amp;"&lt;/restock&gt;"</f>
        <v>&lt;restock&gt;0&lt;/restock&gt;</v>
      </c>
      <c r="B15858" t="s">
        <v>3599</v>
      </c>
    </row>
    <row r="15859" spans="1:8" x14ac:dyDescent="0.25">
      <c r="A15859" t="str">
        <f>"&lt;min&gt;" &amp;$G$15855&amp;"&lt;/min&gt;"</f>
        <v>&lt;min&gt;1&lt;/min&gt;</v>
      </c>
      <c r="B15859" t="s">
        <v>3599</v>
      </c>
    </row>
    <row r="15860" spans="1:8" x14ac:dyDescent="0.25">
      <c r="A15860" t="s">
        <v>16</v>
      </c>
      <c r="B15860" t="s">
        <v>3599</v>
      </c>
    </row>
    <row r="15861" spans="1:8" x14ac:dyDescent="0.25">
      <c r="A15861" t="s">
        <v>17</v>
      </c>
      <c r="B15861" t="s">
        <v>3599</v>
      </c>
    </row>
    <row r="15862" spans="1:8" x14ac:dyDescent="0.25">
      <c r="A15862" t="s">
        <v>18</v>
      </c>
      <c r="B15862" t="s">
        <v>3599</v>
      </c>
    </row>
    <row r="15863" spans="1:8" x14ac:dyDescent="0.25">
      <c r="A15863" t="str">
        <f xml:space="preserve"> $H$15855</f>
        <v>&lt;flags count_in_cargo="0" count_in_hoarder="0" count_in_map="1" count_in_player="0" crafted="0" deloot="0"/&gt;</v>
      </c>
      <c r="B15863" t="s">
        <v>3599</v>
      </c>
    </row>
    <row r="15864" spans="1:8" x14ac:dyDescent="0.25">
      <c r="A15864" t="s">
        <v>22</v>
      </c>
      <c r="B15864" t="s">
        <v>3599</v>
      </c>
    </row>
    <row r="15865" spans="1:8" x14ac:dyDescent="0.25">
      <c r="A15865" t="s">
        <v>2641</v>
      </c>
      <c r="B15865" t="s">
        <v>3600</v>
      </c>
      <c r="D15865">
        <v>0</v>
      </c>
      <c r="E15865">
        <v>1800</v>
      </c>
      <c r="F15865">
        <v>0</v>
      </c>
      <c r="G15865">
        <v>1</v>
      </c>
      <c r="H15865" t="s">
        <v>19</v>
      </c>
    </row>
    <row r="15866" spans="1:8" x14ac:dyDescent="0.25">
      <c r="A15866" t="str">
        <f>"&lt;nominal&gt;" &amp;$D$15865&amp;"&lt;/nominal&gt;"</f>
        <v>&lt;nominal&gt;0&lt;/nominal&gt;</v>
      </c>
      <c r="B15866" t="s">
        <v>3600</v>
      </c>
    </row>
    <row r="15867" spans="1:8" x14ac:dyDescent="0.25">
      <c r="A15867" t="str">
        <f>"&lt;lifetime&gt;" &amp;$E$15865&amp;"&lt;/lifetime&gt;"</f>
        <v>&lt;lifetime&gt;1800&lt;/lifetime&gt;</v>
      </c>
      <c r="B15867" t="s">
        <v>3600</v>
      </c>
    </row>
    <row r="15868" spans="1:8" x14ac:dyDescent="0.25">
      <c r="A15868" t="str">
        <f>"&lt;restock&gt;" &amp;$F$15865&amp;"&lt;/restock&gt;"</f>
        <v>&lt;restock&gt;0&lt;/restock&gt;</v>
      </c>
      <c r="B15868" t="s">
        <v>3600</v>
      </c>
    </row>
    <row r="15869" spans="1:8" x14ac:dyDescent="0.25">
      <c r="A15869" t="str">
        <f>"&lt;min&gt;" &amp;$G$15865&amp;"&lt;/min&gt;"</f>
        <v>&lt;min&gt;1&lt;/min&gt;</v>
      </c>
      <c r="B15869" t="s">
        <v>3600</v>
      </c>
    </row>
    <row r="15870" spans="1:8" x14ac:dyDescent="0.25">
      <c r="A15870" t="s">
        <v>16</v>
      </c>
      <c r="B15870" t="s">
        <v>3600</v>
      </c>
    </row>
    <row r="15871" spans="1:8" x14ac:dyDescent="0.25">
      <c r="A15871" t="s">
        <v>17</v>
      </c>
      <c r="B15871" t="s">
        <v>3600</v>
      </c>
    </row>
    <row r="15872" spans="1:8" x14ac:dyDescent="0.25">
      <c r="A15872" t="s">
        <v>18</v>
      </c>
      <c r="B15872" t="s">
        <v>3600</v>
      </c>
    </row>
    <row r="15873" spans="1:8" x14ac:dyDescent="0.25">
      <c r="A15873" t="str">
        <f xml:space="preserve"> $H$15865</f>
        <v>&lt;flags count_in_cargo="0" count_in_hoarder="0" count_in_map="1" count_in_player="0" crafted="0" deloot="0"/&gt;</v>
      </c>
      <c r="B15873" t="s">
        <v>3600</v>
      </c>
    </row>
    <row r="15874" spans="1:8" x14ac:dyDescent="0.25">
      <c r="A15874" t="s">
        <v>22</v>
      </c>
      <c r="B15874" t="s">
        <v>3600</v>
      </c>
    </row>
    <row r="15875" spans="1:8" x14ac:dyDescent="0.25">
      <c r="A15875" t="s">
        <v>2642</v>
      </c>
      <c r="B15875" t="s">
        <v>3601</v>
      </c>
      <c r="D15875">
        <v>0</v>
      </c>
      <c r="E15875">
        <v>1800</v>
      </c>
      <c r="F15875">
        <v>0</v>
      </c>
      <c r="G15875">
        <v>1</v>
      </c>
      <c r="H15875" t="s">
        <v>19</v>
      </c>
    </row>
    <row r="15876" spans="1:8" x14ac:dyDescent="0.25">
      <c r="A15876" t="str">
        <f>"&lt;nominal&gt;" &amp;$D$15875&amp;"&lt;/nominal&gt;"</f>
        <v>&lt;nominal&gt;0&lt;/nominal&gt;</v>
      </c>
      <c r="B15876" t="s">
        <v>3601</v>
      </c>
    </row>
    <row r="15877" spans="1:8" x14ac:dyDescent="0.25">
      <c r="A15877" t="str">
        <f>"&lt;lifetime&gt;" &amp;$E$15875&amp;"&lt;/lifetime&gt;"</f>
        <v>&lt;lifetime&gt;1800&lt;/lifetime&gt;</v>
      </c>
      <c r="B15877" t="s">
        <v>3601</v>
      </c>
    </row>
    <row r="15878" spans="1:8" x14ac:dyDescent="0.25">
      <c r="A15878" t="str">
        <f>"&lt;restock&gt;" &amp;$F$15875&amp;"&lt;/restock&gt;"</f>
        <v>&lt;restock&gt;0&lt;/restock&gt;</v>
      </c>
      <c r="B15878" t="s">
        <v>3601</v>
      </c>
    </row>
    <row r="15879" spans="1:8" x14ac:dyDescent="0.25">
      <c r="A15879" t="str">
        <f>"&lt;min&gt;" &amp;$G$15875&amp;"&lt;/min&gt;"</f>
        <v>&lt;min&gt;1&lt;/min&gt;</v>
      </c>
      <c r="B15879" t="s">
        <v>3601</v>
      </c>
    </row>
    <row r="15880" spans="1:8" x14ac:dyDescent="0.25">
      <c r="A15880" t="s">
        <v>16</v>
      </c>
      <c r="B15880" t="s">
        <v>3601</v>
      </c>
    </row>
    <row r="15881" spans="1:8" x14ac:dyDescent="0.25">
      <c r="A15881" t="s">
        <v>17</v>
      </c>
      <c r="B15881" t="s">
        <v>3601</v>
      </c>
    </row>
    <row r="15882" spans="1:8" x14ac:dyDescent="0.25">
      <c r="A15882" t="s">
        <v>18</v>
      </c>
      <c r="B15882" t="s">
        <v>3601</v>
      </c>
    </row>
    <row r="15883" spans="1:8" x14ac:dyDescent="0.25">
      <c r="A15883" t="str">
        <f xml:space="preserve"> $H$15875</f>
        <v>&lt;flags count_in_cargo="0" count_in_hoarder="0" count_in_map="1" count_in_player="0" crafted="0" deloot="0"/&gt;</v>
      </c>
      <c r="B15883" t="s">
        <v>3601</v>
      </c>
    </row>
    <row r="15884" spans="1:8" x14ac:dyDescent="0.25">
      <c r="A15884" t="s">
        <v>22</v>
      </c>
      <c r="B15884" t="s">
        <v>3601</v>
      </c>
    </row>
    <row r="15885" spans="1:8" x14ac:dyDescent="0.25">
      <c r="A15885" t="s">
        <v>2643</v>
      </c>
      <c r="B15885" t="s">
        <v>3602</v>
      </c>
      <c r="D15885">
        <v>0</v>
      </c>
      <c r="E15885">
        <v>1800</v>
      </c>
      <c r="F15885">
        <v>0</v>
      </c>
      <c r="G15885">
        <v>1</v>
      </c>
      <c r="H15885" t="s">
        <v>19</v>
      </c>
    </row>
    <row r="15886" spans="1:8" x14ac:dyDescent="0.25">
      <c r="A15886" t="str">
        <f>"&lt;nominal&gt;" &amp;$D$15885&amp;"&lt;/nominal&gt;"</f>
        <v>&lt;nominal&gt;0&lt;/nominal&gt;</v>
      </c>
      <c r="B15886" t="s">
        <v>3602</v>
      </c>
    </row>
    <row r="15887" spans="1:8" x14ac:dyDescent="0.25">
      <c r="A15887" t="str">
        <f>"&lt;lifetime&gt;" &amp;$E$15885&amp;"&lt;/lifetime&gt;"</f>
        <v>&lt;lifetime&gt;1800&lt;/lifetime&gt;</v>
      </c>
      <c r="B15887" t="s">
        <v>3602</v>
      </c>
    </row>
    <row r="15888" spans="1:8" x14ac:dyDescent="0.25">
      <c r="A15888" t="str">
        <f>"&lt;restock&gt;" &amp;$F$15885&amp;"&lt;/restock&gt;"</f>
        <v>&lt;restock&gt;0&lt;/restock&gt;</v>
      </c>
      <c r="B15888" t="s">
        <v>3602</v>
      </c>
    </row>
    <row r="15889" spans="1:8" x14ac:dyDescent="0.25">
      <c r="A15889" t="str">
        <f>"&lt;min&gt;" &amp;$G$15885&amp;"&lt;/min&gt;"</f>
        <v>&lt;min&gt;1&lt;/min&gt;</v>
      </c>
      <c r="B15889" t="s">
        <v>3602</v>
      </c>
    </row>
    <row r="15890" spans="1:8" x14ac:dyDescent="0.25">
      <c r="A15890" t="s">
        <v>16</v>
      </c>
      <c r="B15890" t="s">
        <v>3602</v>
      </c>
    </row>
    <row r="15891" spans="1:8" x14ac:dyDescent="0.25">
      <c r="A15891" t="s">
        <v>17</v>
      </c>
      <c r="B15891" t="s">
        <v>3602</v>
      </c>
    </row>
    <row r="15892" spans="1:8" x14ac:dyDescent="0.25">
      <c r="A15892" t="s">
        <v>18</v>
      </c>
      <c r="B15892" t="s">
        <v>3602</v>
      </c>
    </row>
    <row r="15893" spans="1:8" x14ac:dyDescent="0.25">
      <c r="A15893" t="str">
        <f xml:space="preserve"> $H$15885</f>
        <v>&lt;flags count_in_cargo="0" count_in_hoarder="0" count_in_map="1" count_in_player="0" crafted="0" deloot="0"/&gt;</v>
      </c>
      <c r="B15893" t="s">
        <v>3602</v>
      </c>
    </row>
    <row r="15894" spans="1:8" x14ac:dyDescent="0.25">
      <c r="A15894" t="s">
        <v>22</v>
      </c>
      <c r="B15894" t="s">
        <v>3602</v>
      </c>
    </row>
    <row r="15895" spans="1:8" x14ac:dyDescent="0.25">
      <c r="A15895" t="s">
        <v>2644</v>
      </c>
      <c r="B15895" t="s">
        <v>3603</v>
      </c>
      <c r="D15895">
        <v>0</v>
      </c>
      <c r="E15895">
        <v>1800</v>
      </c>
      <c r="F15895">
        <v>0</v>
      </c>
      <c r="G15895">
        <v>1</v>
      </c>
      <c r="H15895" t="s">
        <v>19</v>
      </c>
    </row>
    <row r="15896" spans="1:8" x14ac:dyDescent="0.25">
      <c r="A15896" t="str">
        <f>"&lt;nominal&gt;" &amp;$D$15895&amp;"&lt;/nominal&gt;"</f>
        <v>&lt;nominal&gt;0&lt;/nominal&gt;</v>
      </c>
      <c r="B15896" t="s">
        <v>3603</v>
      </c>
    </row>
    <row r="15897" spans="1:8" x14ac:dyDescent="0.25">
      <c r="A15897" t="str">
        <f>"&lt;lifetime&gt;" &amp;$E$15895&amp;"&lt;/lifetime&gt;"</f>
        <v>&lt;lifetime&gt;1800&lt;/lifetime&gt;</v>
      </c>
      <c r="B15897" t="s">
        <v>3603</v>
      </c>
    </row>
    <row r="15898" spans="1:8" x14ac:dyDescent="0.25">
      <c r="A15898" t="str">
        <f>"&lt;restock&gt;" &amp;$F$15895&amp;"&lt;/restock&gt;"</f>
        <v>&lt;restock&gt;0&lt;/restock&gt;</v>
      </c>
      <c r="B15898" t="s">
        <v>3603</v>
      </c>
    </row>
    <row r="15899" spans="1:8" x14ac:dyDescent="0.25">
      <c r="A15899" t="str">
        <f>"&lt;min&gt;" &amp;$G$15895&amp;"&lt;/min&gt;"</f>
        <v>&lt;min&gt;1&lt;/min&gt;</v>
      </c>
      <c r="B15899" t="s">
        <v>3603</v>
      </c>
    </row>
    <row r="15900" spans="1:8" x14ac:dyDescent="0.25">
      <c r="A15900" t="s">
        <v>16</v>
      </c>
      <c r="B15900" t="s">
        <v>3603</v>
      </c>
    </row>
    <row r="15901" spans="1:8" x14ac:dyDescent="0.25">
      <c r="A15901" t="s">
        <v>17</v>
      </c>
      <c r="B15901" t="s">
        <v>3603</v>
      </c>
    </row>
    <row r="15902" spans="1:8" x14ac:dyDescent="0.25">
      <c r="A15902" t="s">
        <v>18</v>
      </c>
      <c r="B15902" t="s">
        <v>3603</v>
      </c>
    </row>
    <row r="15903" spans="1:8" x14ac:dyDescent="0.25">
      <c r="A15903" t="str">
        <f xml:space="preserve"> $H$15895</f>
        <v>&lt;flags count_in_cargo="0" count_in_hoarder="0" count_in_map="1" count_in_player="0" crafted="0" deloot="0"/&gt;</v>
      </c>
      <c r="B15903" t="s">
        <v>3603</v>
      </c>
    </row>
    <row r="15904" spans="1:8" x14ac:dyDescent="0.25">
      <c r="A15904" t="s">
        <v>22</v>
      </c>
      <c r="B15904" t="s">
        <v>3603</v>
      </c>
    </row>
    <row r="15905" spans="1:8" x14ac:dyDescent="0.25">
      <c r="A15905" t="s">
        <v>2645</v>
      </c>
      <c r="B15905" t="s">
        <v>3604</v>
      </c>
      <c r="D15905">
        <v>0</v>
      </c>
      <c r="E15905">
        <v>1800</v>
      </c>
      <c r="F15905">
        <v>0</v>
      </c>
      <c r="G15905">
        <v>1</v>
      </c>
      <c r="H15905" t="s">
        <v>19</v>
      </c>
    </row>
    <row r="15906" spans="1:8" x14ac:dyDescent="0.25">
      <c r="A15906" t="str">
        <f>"&lt;nominal&gt;" &amp;$D$15905&amp;"&lt;/nominal&gt;"</f>
        <v>&lt;nominal&gt;0&lt;/nominal&gt;</v>
      </c>
      <c r="B15906" t="s">
        <v>3604</v>
      </c>
    </row>
    <row r="15907" spans="1:8" x14ac:dyDescent="0.25">
      <c r="A15907" t="str">
        <f>"&lt;lifetime&gt;" &amp;$E$15905&amp;"&lt;/lifetime&gt;"</f>
        <v>&lt;lifetime&gt;1800&lt;/lifetime&gt;</v>
      </c>
      <c r="B15907" t="s">
        <v>3604</v>
      </c>
    </row>
    <row r="15908" spans="1:8" x14ac:dyDescent="0.25">
      <c r="A15908" t="str">
        <f>"&lt;restock&gt;" &amp;$F$15905&amp;"&lt;/restock&gt;"</f>
        <v>&lt;restock&gt;0&lt;/restock&gt;</v>
      </c>
      <c r="B15908" t="s">
        <v>3604</v>
      </c>
    </row>
    <row r="15909" spans="1:8" x14ac:dyDescent="0.25">
      <c r="A15909" t="str">
        <f>"&lt;min&gt;" &amp;$G$15905&amp;"&lt;/min&gt;"</f>
        <v>&lt;min&gt;1&lt;/min&gt;</v>
      </c>
      <c r="B15909" t="s">
        <v>3604</v>
      </c>
    </row>
    <row r="15910" spans="1:8" x14ac:dyDescent="0.25">
      <c r="A15910" t="s">
        <v>16</v>
      </c>
      <c r="B15910" t="s">
        <v>3604</v>
      </c>
    </row>
    <row r="15911" spans="1:8" x14ac:dyDescent="0.25">
      <c r="A15911" t="s">
        <v>17</v>
      </c>
      <c r="B15911" t="s">
        <v>3604</v>
      </c>
    </row>
    <row r="15912" spans="1:8" x14ac:dyDescent="0.25">
      <c r="A15912" t="s">
        <v>18</v>
      </c>
      <c r="B15912" t="s">
        <v>3604</v>
      </c>
    </row>
    <row r="15913" spans="1:8" x14ac:dyDescent="0.25">
      <c r="A15913" t="str">
        <f xml:space="preserve"> $H$15905</f>
        <v>&lt;flags count_in_cargo="0" count_in_hoarder="0" count_in_map="1" count_in_player="0" crafted="0" deloot="0"/&gt;</v>
      </c>
      <c r="B15913" t="s">
        <v>3604</v>
      </c>
    </row>
    <row r="15914" spans="1:8" x14ac:dyDescent="0.25">
      <c r="A15914" t="s">
        <v>22</v>
      </c>
      <c r="B15914" t="s">
        <v>3604</v>
      </c>
    </row>
    <row r="15915" spans="1:8" x14ac:dyDescent="0.25">
      <c r="A15915" t="s">
        <v>2646</v>
      </c>
      <c r="B15915" t="s">
        <v>3605</v>
      </c>
      <c r="D15915">
        <v>0</v>
      </c>
      <c r="E15915">
        <v>1800</v>
      </c>
      <c r="F15915">
        <v>0</v>
      </c>
      <c r="G15915">
        <v>1</v>
      </c>
      <c r="H15915" t="s">
        <v>19</v>
      </c>
    </row>
    <row r="15916" spans="1:8" x14ac:dyDescent="0.25">
      <c r="A15916" t="str">
        <f>"&lt;nominal&gt;" &amp;$D$15915&amp;"&lt;/nominal&gt;"</f>
        <v>&lt;nominal&gt;0&lt;/nominal&gt;</v>
      </c>
      <c r="B15916" t="s">
        <v>3605</v>
      </c>
    </row>
    <row r="15917" spans="1:8" x14ac:dyDescent="0.25">
      <c r="A15917" t="str">
        <f>"&lt;lifetime&gt;" &amp;$E$15915&amp;"&lt;/lifetime&gt;"</f>
        <v>&lt;lifetime&gt;1800&lt;/lifetime&gt;</v>
      </c>
      <c r="B15917" t="s">
        <v>3605</v>
      </c>
    </row>
    <row r="15918" spans="1:8" x14ac:dyDescent="0.25">
      <c r="A15918" t="str">
        <f>"&lt;restock&gt;" &amp;$F$15915&amp;"&lt;/restock&gt;"</f>
        <v>&lt;restock&gt;0&lt;/restock&gt;</v>
      </c>
      <c r="B15918" t="s">
        <v>3605</v>
      </c>
    </row>
    <row r="15919" spans="1:8" x14ac:dyDescent="0.25">
      <c r="A15919" t="str">
        <f>"&lt;min&gt;" &amp;$G$15915&amp;"&lt;/min&gt;"</f>
        <v>&lt;min&gt;1&lt;/min&gt;</v>
      </c>
      <c r="B15919" t="s">
        <v>3605</v>
      </c>
    </row>
    <row r="15920" spans="1:8" x14ac:dyDescent="0.25">
      <c r="A15920" t="s">
        <v>16</v>
      </c>
      <c r="B15920" t="s">
        <v>3605</v>
      </c>
    </row>
    <row r="15921" spans="1:8" x14ac:dyDescent="0.25">
      <c r="A15921" t="s">
        <v>17</v>
      </c>
      <c r="B15921" t="s">
        <v>3605</v>
      </c>
    </row>
    <row r="15922" spans="1:8" x14ac:dyDescent="0.25">
      <c r="A15922" t="s">
        <v>18</v>
      </c>
      <c r="B15922" t="s">
        <v>3605</v>
      </c>
    </row>
    <row r="15923" spans="1:8" x14ac:dyDescent="0.25">
      <c r="A15923" t="str">
        <f xml:space="preserve"> $H$15915</f>
        <v>&lt;flags count_in_cargo="0" count_in_hoarder="0" count_in_map="1" count_in_player="0" crafted="0" deloot="0"/&gt;</v>
      </c>
      <c r="B15923" t="s">
        <v>3605</v>
      </c>
    </row>
    <row r="15924" spans="1:8" x14ac:dyDescent="0.25">
      <c r="A15924" t="s">
        <v>22</v>
      </c>
      <c r="B15924" t="s">
        <v>3605</v>
      </c>
    </row>
    <row r="15925" spans="1:8" x14ac:dyDescent="0.25">
      <c r="A15925" t="s">
        <v>2647</v>
      </c>
      <c r="B15925" t="s">
        <v>3606</v>
      </c>
      <c r="D15925">
        <v>0</v>
      </c>
      <c r="E15925">
        <v>1800</v>
      </c>
      <c r="F15925">
        <v>0</v>
      </c>
      <c r="G15925">
        <v>1</v>
      </c>
      <c r="H15925" t="s">
        <v>19</v>
      </c>
    </row>
    <row r="15926" spans="1:8" x14ac:dyDescent="0.25">
      <c r="A15926" t="str">
        <f>"&lt;nominal&gt;" &amp;$D$15925&amp;"&lt;/nominal&gt;"</f>
        <v>&lt;nominal&gt;0&lt;/nominal&gt;</v>
      </c>
      <c r="B15926" t="s">
        <v>3606</v>
      </c>
    </row>
    <row r="15927" spans="1:8" x14ac:dyDescent="0.25">
      <c r="A15927" t="str">
        <f>"&lt;lifetime&gt;" &amp;$E$15925&amp;"&lt;/lifetime&gt;"</f>
        <v>&lt;lifetime&gt;1800&lt;/lifetime&gt;</v>
      </c>
      <c r="B15927" t="s">
        <v>3606</v>
      </c>
    </row>
    <row r="15928" spans="1:8" x14ac:dyDescent="0.25">
      <c r="A15928" t="str">
        <f>"&lt;restock&gt;" &amp;$F$15925&amp;"&lt;/restock&gt;"</f>
        <v>&lt;restock&gt;0&lt;/restock&gt;</v>
      </c>
      <c r="B15928" t="s">
        <v>3606</v>
      </c>
    </row>
    <row r="15929" spans="1:8" x14ac:dyDescent="0.25">
      <c r="A15929" t="str">
        <f>"&lt;min&gt;" &amp;$G$15925&amp;"&lt;/min&gt;"</f>
        <v>&lt;min&gt;1&lt;/min&gt;</v>
      </c>
      <c r="B15929" t="s">
        <v>3606</v>
      </c>
    </row>
    <row r="15930" spans="1:8" x14ac:dyDescent="0.25">
      <c r="A15930" t="s">
        <v>16</v>
      </c>
      <c r="B15930" t="s">
        <v>3606</v>
      </c>
    </row>
    <row r="15931" spans="1:8" x14ac:dyDescent="0.25">
      <c r="A15931" t="s">
        <v>17</v>
      </c>
      <c r="B15931" t="s">
        <v>3606</v>
      </c>
    </row>
    <row r="15932" spans="1:8" x14ac:dyDescent="0.25">
      <c r="A15932" t="s">
        <v>18</v>
      </c>
      <c r="B15932" t="s">
        <v>3606</v>
      </c>
    </row>
    <row r="15933" spans="1:8" x14ac:dyDescent="0.25">
      <c r="A15933" t="str">
        <f xml:space="preserve"> $H$15925</f>
        <v>&lt;flags count_in_cargo="0" count_in_hoarder="0" count_in_map="1" count_in_player="0" crafted="0" deloot="0"/&gt;</v>
      </c>
      <c r="B15933" t="s">
        <v>3606</v>
      </c>
    </row>
    <row r="15934" spans="1:8" x14ac:dyDescent="0.25">
      <c r="A15934" t="s">
        <v>22</v>
      </c>
      <c r="B15934" t="s">
        <v>3606</v>
      </c>
    </row>
    <row r="15935" spans="1:8" x14ac:dyDescent="0.25">
      <c r="A15935" t="s">
        <v>2648</v>
      </c>
      <c r="B15935" t="s">
        <v>3607</v>
      </c>
      <c r="D15935">
        <v>0</v>
      </c>
      <c r="E15935">
        <v>1800</v>
      </c>
      <c r="F15935">
        <v>0</v>
      </c>
      <c r="G15935">
        <v>1</v>
      </c>
      <c r="H15935" t="s">
        <v>19</v>
      </c>
    </row>
    <row r="15936" spans="1:8" x14ac:dyDescent="0.25">
      <c r="A15936" t="str">
        <f>"&lt;nominal&gt;" &amp;$D$15935&amp;"&lt;/nominal&gt;"</f>
        <v>&lt;nominal&gt;0&lt;/nominal&gt;</v>
      </c>
      <c r="B15936" t="s">
        <v>3607</v>
      </c>
    </row>
    <row r="15937" spans="1:8" x14ac:dyDescent="0.25">
      <c r="A15937" t="str">
        <f>"&lt;lifetime&gt;" &amp;$E$15935&amp;"&lt;/lifetime&gt;"</f>
        <v>&lt;lifetime&gt;1800&lt;/lifetime&gt;</v>
      </c>
      <c r="B15937" t="s">
        <v>3607</v>
      </c>
    </row>
    <row r="15938" spans="1:8" x14ac:dyDescent="0.25">
      <c r="A15938" t="str">
        <f>"&lt;restock&gt;" &amp;$F$15935&amp;"&lt;/restock&gt;"</f>
        <v>&lt;restock&gt;0&lt;/restock&gt;</v>
      </c>
      <c r="B15938" t="s">
        <v>3607</v>
      </c>
    </row>
    <row r="15939" spans="1:8" x14ac:dyDescent="0.25">
      <c r="A15939" t="str">
        <f>"&lt;min&gt;" &amp;$G$15935&amp;"&lt;/min&gt;"</f>
        <v>&lt;min&gt;1&lt;/min&gt;</v>
      </c>
      <c r="B15939" t="s">
        <v>3607</v>
      </c>
    </row>
    <row r="15940" spans="1:8" x14ac:dyDescent="0.25">
      <c r="A15940" t="s">
        <v>16</v>
      </c>
      <c r="B15940" t="s">
        <v>3607</v>
      </c>
    </row>
    <row r="15941" spans="1:8" x14ac:dyDescent="0.25">
      <c r="A15941" t="s">
        <v>17</v>
      </c>
      <c r="B15941" t="s">
        <v>3607</v>
      </c>
    </row>
    <row r="15942" spans="1:8" x14ac:dyDescent="0.25">
      <c r="A15942" t="s">
        <v>18</v>
      </c>
      <c r="B15942" t="s">
        <v>3607</v>
      </c>
    </row>
    <row r="15943" spans="1:8" x14ac:dyDescent="0.25">
      <c r="A15943" t="str">
        <f xml:space="preserve"> $H$15935</f>
        <v>&lt;flags count_in_cargo="0" count_in_hoarder="0" count_in_map="1" count_in_player="0" crafted="0" deloot="0"/&gt;</v>
      </c>
      <c r="B15943" t="s">
        <v>3607</v>
      </c>
    </row>
    <row r="15944" spans="1:8" x14ac:dyDescent="0.25">
      <c r="A15944" t="s">
        <v>22</v>
      </c>
      <c r="B15944" t="s">
        <v>3607</v>
      </c>
    </row>
    <row r="15945" spans="1:8" x14ac:dyDescent="0.25">
      <c r="A15945" t="s">
        <v>2649</v>
      </c>
      <c r="B15945" t="s">
        <v>3608</v>
      </c>
      <c r="D15945">
        <v>0</v>
      </c>
      <c r="E15945">
        <v>1800</v>
      </c>
      <c r="F15945">
        <v>0</v>
      </c>
      <c r="G15945">
        <v>1</v>
      </c>
      <c r="H15945" t="s">
        <v>19</v>
      </c>
    </row>
    <row r="15946" spans="1:8" x14ac:dyDescent="0.25">
      <c r="A15946" t="str">
        <f>"&lt;nominal&gt;" &amp;$D$15945&amp;"&lt;/nominal&gt;"</f>
        <v>&lt;nominal&gt;0&lt;/nominal&gt;</v>
      </c>
      <c r="B15946" t="s">
        <v>3608</v>
      </c>
    </row>
    <row r="15947" spans="1:8" x14ac:dyDescent="0.25">
      <c r="A15947" t="str">
        <f>"&lt;lifetime&gt;" &amp;$E$15945&amp;"&lt;/lifetime&gt;"</f>
        <v>&lt;lifetime&gt;1800&lt;/lifetime&gt;</v>
      </c>
      <c r="B15947" t="s">
        <v>3608</v>
      </c>
    </row>
    <row r="15948" spans="1:8" x14ac:dyDescent="0.25">
      <c r="A15948" t="str">
        <f>"&lt;restock&gt;" &amp;$F$15945&amp;"&lt;/restock&gt;"</f>
        <v>&lt;restock&gt;0&lt;/restock&gt;</v>
      </c>
      <c r="B15948" t="s">
        <v>3608</v>
      </c>
    </row>
    <row r="15949" spans="1:8" x14ac:dyDescent="0.25">
      <c r="A15949" t="str">
        <f>"&lt;min&gt;" &amp;$G$15945&amp;"&lt;/min&gt;"</f>
        <v>&lt;min&gt;1&lt;/min&gt;</v>
      </c>
      <c r="B15949" t="s">
        <v>3608</v>
      </c>
    </row>
    <row r="15950" spans="1:8" x14ac:dyDescent="0.25">
      <c r="A15950" t="s">
        <v>16</v>
      </c>
      <c r="B15950" t="s">
        <v>3608</v>
      </c>
    </row>
    <row r="15951" spans="1:8" x14ac:dyDescent="0.25">
      <c r="A15951" t="s">
        <v>17</v>
      </c>
      <c r="B15951" t="s">
        <v>3608</v>
      </c>
    </row>
    <row r="15952" spans="1:8" x14ac:dyDescent="0.25">
      <c r="A15952" t="s">
        <v>18</v>
      </c>
      <c r="B15952" t="s">
        <v>3608</v>
      </c>
    </row>
    <row r="15953" spans="1:8" x14ac:dyDescent="0.25">
      <c r="A15953" t="str">
        <f xml:space="preserve"> $H$15945</f>
        <v>&lt;flags count_in_cargo="0" count_in_hoarder="0" count_in_map="1" count_in_player="0" crafted="0" deloot="0"/&gt;</v>
      </c>
      <c r="B15953" t="s">
        <v>3608</v>
      </c>
    </row>
    <row r="15954" spans="1:8" x14ac:dyDescent="0.25">
      <c r="A15954" t="s">
        <v>22</v>
      </c>
      <c r="B15954" t="s">
        <v>3608</v>
      </c>
    </row>
    <row r="15955" spans="1:8" x14ac:dyDescent="0.25">
      <c r="A15955" t="s">
        <v>2650</v>
      </c>
      <c r="B15955" t="s">
        <v>3609</v>
      </c>
      <c r="D15955">
        <v>0</v>
      </c>
      <c r="E15955">
        <v>1800</v>
      </c>
      <c r="F15955">
        <v>0</v>
      </c>
      <c r="G15955">
        <v>1</v>
      </c>
      <c r="H15955" t="s">
        <v>19</v>
      </c>
    </row>
    <row r="15956" spans="1:8" x14ac:dyDescent="0.25">
      <c r="A15956" t="str">
        <f>"&lt;nominal&gt;" &amp;$D$15955&amp;"&lt;/nominal&gt;"</f>
        <v>&lt;nominal&gt;0&lt;/nominal&gt;</v>
      </c>
      <c r="B15956" t="s">
        <v>3609</v>
      </c>
    </row>
    <row r="15957" spans="1:8" x14ac:dyDescent="0.25">
      <c r="A15957" t="str">
        <f>"&lt;lifetime&gt;" &amp;$E$15955&amp;"&lt;/lifetime&gt;"</f>
        <v>&lt;lifetime&gt;1800&lt;/lifetime&gt;</v>
      </c>
      <c r="B15957" t="s">
        <v>3609</v>
      </c>
    </row>
    <row r="15958" spans="1:8" x14ac:dyDescent="0.25">
      <c r="A15958" t="str">
        <f>"&lt;restock&gt;" &amp;$F$15955&amp;"&lt;/restock&gt;"</f>
        <v>&lt;restock&gt;0&lt;/restock&gt;</v>
      </c>
      <c r="B15958" t="s">
        <v>3609</v>
      </c>
    </row>
    <row r="15959" spans="1:8" x14ac:dyDescent="0.25">
      <c r="A15959" t="str">
        <f>"&lt;min&gt;" &amp;$G$15955&amp;"&lt;/min&gt;"</f>
        <v>&lt;min&gt;1&lt;/min&gt;</v>
      </c>
      <c r="B15959" t="s">
        <v>3609</v>
      </c>
    </row>
    <row r="15960" spans="1:8" x14ac:dyDescent="0.25">
      <c r="A15960" t="s">
        <v>16</v>
      </c>
      <c r="B15960" t="s">
        <v>3609</v>
      </c>
    </row>
    <row r="15961" spans="1:8" x14ac:dyDescent="0.25">
      <c r="A15961" t="s">
        <v>17</v>
      </c>
      <c r="B15961" t="s">
        <v>3609</v>
      </c>
    </row>
    <row r="15962" spans="1:8" x14ac:dyDescent="0.25">
      <c r="A15962" t="s">
        <v>18</v>
      </c>
      <c r="B15962" t="s">
        <v>3609</v>
      </c>
    </row>
    <row r="15963" spans="1:8" x14ac:dyDescent="0.25">
      <c r="A15963" t="str">
        <f xml:space="preserve"> $H$15955</f>
        <v>&lt;flags count_in_cargo="0" count_in_hoarder="0" count_in_map="1" count_in_player="0" crafted="0" deloot="0"/&gt;</v>
      </c>
      <c r="B15963" t="s">
        <v>3609</v>
      </c>
    </row>
    <row r="15964" spans="1:8" x14ac:dyDescent="0.25">
      <c r="A15964" t="s">
        <v>22</v>
      </c>
      <c r="B15964" t="s">
        <v>3609</v>
      </c>
    </row>
    <row r="15965" spans="1:8" x14ac:dyDescent="0.25">
      <c r="A15965" t="s">
        <v>2651</v>
      </c>
      <c r="B15965" t="s">
        <v>3610</v>
      </c>
      <c r="D15965">
        <v>0</v>
      </c>
      <c r="E15965">
        <v>1800</v>
      </c>
      <c r="F15965">
        <v>0</v>
      </c>
      <c r="G15965">
        <v>1</v>
      </c>
      <c r="H15965" t="s">
        <v>19</v>
      </c>
    </row>
    <row r="15966" spans="1:8" x14ac:dyDescent="0.25">
      <c r="A15966" t="str">
        <f>"&lt;nominal&gt;" &amp;$D$15965&amp;"&lt;/nominal&gt;"</f>
        <v>&lt;nominal&gt;0&lt;/nominal&gt;</v>
      </c>
      <c r="B15966" t="s">
        <v>3610</v>
      </c>
    </row>
    <row r="15967" spans="1:8" x14ac:dyDescent="0.25">
      <c r="A15967" t="str">
        <f>"&lt;lifetime&gt;" &amp;$E$15965&amp;"&lt;/lifetime&gt;"</f>
        <v>&lt;lifetime&gt;1800&lt;/lifetime&gt;</v>
      </c>
      <c r="B15967" t="s">
        <v>3610</v>
      </c>
    </row>
    <row r="15968" spans="1:8" x14ac:dyDescent="0.25">
      <c r="A15968" t="str">
        <f>"&lt;restock&gt;" &amp;$F$15965&amp;"&lt;/restock&gt;"</f>
        <v>&lt;restock&gt;0&lt;/restock&gt;</v>
      </c>
      <c r="B15968" t="s">
        <v>3610</v>
      </c>
    </row>
    <row r="15969" spans="1:8" x14ac:dyDescent="0.25">
      <c r="A15969" t="str">
        <f>"&lt;min&gt;" &amp;$G$15965&amp;"&lt;/min&gt;"</f>
        <v>&lt;min&gt;1&lt;/min&gt;</v>
      </c>
      <c r="B15969" t="s">
        <v>3610</v>
      </c>
    </row>
    <row r="15970" spans="1:8" x14ac:dyDescent="0.25">
      <c r="A15970" t="s">
        <v>16</v>
      </c>
      <c r="B15970" t="s">
        <v>3610</v>
      </c>
    </row>
    <row r="15971" spans="1:8" x14ac:dyDescent="0.25">
      <c r="A15971" t="s">
        <v>17</v>
      </c>
      <c r="B15971" t="s">
        <v>3610</v>
      </c>
    </row>
    <row r="15972" spans="1:8" x14ac:dyDescent="0.25">
      <c r="A15972" t="s">
        <v>18</v>
      </c>
      <c r="B15972" t="s">
        <v>3610</v>
      </c>
    </row>
    <row r="15973" spans="1:8" x14ac:dyDescent="0.25">
      <c r="A15973" t="str">
        <f xml:space="preserve"> $H$15965</f>
        <v>&lt;flags count_in_cargo="0" count_in_hoarder="0" count_in_map="1" count_in_player="0" crafted="0" deloot="0"/&gt;</v>
      </c>
      <c r="B15973" t="s">
        <v>3610</v>
      </c>
    </row>
    <row r="15974" spans="1:8" x14ac:dyDescent="0.25">
      <c r="A15974" t="s">
        <v>22</v>
      </c>
      <c r="B15974" t="s">
        <v>3610</v>
      </c>
    </row>
    <row r="15975" spans="1:8" x14ac:dyDescent="0.25">
      <c r="A15975" t="s">
        <v>2652</v>
      </c>
      <c r="B15975" t="s">
        <v>3611</v>
      </c>
      <c r="D15975">
        <v>0</v>
      </c>
      <c r="E15975">
        <v>1800</v>
      </c>
      <c r="F15975">
        <v>0</v>
      </c>
      <c r="G15975">
        <v>1</v>
      </c>
      <c r="H15975" t="s">
        <v>19</v>
      </c>
    </row>
    <row r="15976" spans="1:8" x14ac:dyDescent="0.25">
      <c r="A15976" t="str">
        <f>"&lt;nominal&gt;" &amp;$D$15975&amp;"&lt;/nominal&gt;"</f>
        <v>&lt;nominal&gt;0&lt;/nominal&gt;</v>
      </c>
      <c r="B15976" t="s">
        <v>3611</v>
      </c>
    </row>
    <row r="15977" spans="1:8" x14ac:dyDescent="0.25">
      <c r="A15977" t="str">
        <f>"&lt;lifetime&gt;" &amp;$E$15975&amp;"&lt;/lifetime&gt;"</f>
        <v>&lt;lifetime&gt;1800&lt;/lifetime&gt;</v>
      </c>
      <c r="B15977" t="s">
        <v>3611</v>
      </c>
    </row>
    <row r="15978" spans="1:8" x14ac:dyDescent="0.25">
      <c r="A15978" t="str">
        <f>"&lt;restock&gt;" &amp;$F$15975&amp;"&lt;/restock&gt;"</f>
        <v>&lt;restock&gt;0&lt;/restock&gt;</v>
      </c>
      <c r="B15978" t="s">
        <v>3611</v>
      </c>
    </row>
    <row r="15979" spans="1:8" x14ac:dyDescent="0.25">
      <c r="A15979" t="str">
        <f>"&lt;min&gt;" &amp;$G$15975&amp;"&lt;/min&gt;"</f>
        <v>&lt;min&gt;1&lt;/min&gt;</v>
      </c>
      <c r="B15979" t="s">
        <v>3611</v>
      </c>
    </row>
    <row r="15980" spans="1:8" x14ac:dyDescent="0.25">
      <c r="A15980" t="s">
        <v>16</v>
      </c>
      <c r="B15980" t="s">
        <v>3611</v>
      </c>
    </row>
    <row r="15981" spans="1:8" x14ac:dyDescent="0.25">
      <c r="A15981" t="s">
        <v>17</v>
      </c>
      <c r="B15981" t="s">
        <v>3611</v>
      </c>
    </row>
    <row r="15982" spans="1:8" x14ac:dyDescent="0.25">
      <c r="A15982" t="s">
        <v>18</v>
      </c>
      <c r="B15982" t="s">
        <v>3611</v>
      </c>
    </row>
    <row r="15983" spans="1:8" x14ac:dyDescent="0.25">
      <c r="A15983" t="str">
        <f xml:space="preserve"> $H$15975</f>
        <v>&lt;flags count_in_cargo="0" count_in_hoarder="0" count_in_map="1" count_in_player="0" crafted="0" deloot="0"/&gt;</v>
      </c>
      <c r="B15983" t="s">
        <v>3611</v>
      </c>
    </row>
    <row r="15984" spans="1:8" x14ac:dyDescent="0.25">
      <c r="A15984" t="s">
        <v>22</v>
      </c>
      <c r="B15984" t="s">
        <v>3611</v>
      </c>
    </row>
    <row r="15985" spans="1:8" x14ac:dyDescent="0.25">
      <c r="A15985" t="s">
        <v>2653</v>
      </c>
      <c r="B15985" t="s">
        <v>3612</v>
      </c>
      <c r="D15985">
        <v>0</v>
      </c>
      <c r="E15985">
        <v>1800</v>
      </c>
      <c r="F15985">
        <v>0</v>
      </c>
      <c r="G15985">
        <v>1</v>
      </c>
      <c r="H15985" t="s">
        <v>19</v>
      </c>
    </row>
    <row r="15986" spans="1:8" x14ac:dyDescent="0.25">
      <c r="A15986" t="str">
        <f>"&lt;nominal&gt;" &amp;$D$15985&amp;"&lt;/nominal&gt;"</f>
        <v>&lt;nominal&gt;0&lt;/nominal&gt;</v>
      </c>
      <c r="B15986" t="s">
        <v>3612</v>
      </c>
    </row>
    <row r="15987" spans="1:8" x14ac:dyDescent="0.25">
      <c r="A15987" t="str">
        <f>"&lt;lifetime&gt;" &amp;$E$15985&amp;"&lt;/lifetime&gt;"</f>
        <v>&lt;lifetime&gt;1800&lt;/lifetime&gt;</v>
      </c>
      <c r="B15987" t="s">
        <v>3612</v>
      </c>
    </row>
    <row r="15988" spans="1:8" x14ac:dyDescent="0.25">
      <c r="A15988" t="str">
        <f>"&lt;restock&gt;" &amp;$F$15985&amp;"&lt;/restock&gt;"</f>
        <v>&lt;restock&gt;0&lt;/restock&gt;</v>
      </c>
      <c r="B15988" t="s">
        <v>3612</v>
      </c>
    </row>
    <row r="15989" spans="1:8" x14ac:dyDescent="0.25">
      <c r="A15989" t="str">
        <f>"&lt;min&gt;" &amp;$G$15985&amp;"&lt;/min&gt;"</f>
        <v>&lt;min&gt;1&lt;/min&gt;</v>
      </c>
      <c r="B15989" t="s">
        <v>3612</v>
      </c>
    </row>
    <row r="15990" spans="1:8" x14ac:dyDescent="0.25">
      <c r="A15990" t="s">
        <v>16</v>
      </c>
      <c r="B15990" t="s">
        <v>3612</v>
      </c>
    </row>
    <row r="15991" spans="1:8" x14ac:dyDescent="0.25">
      <c r="A15991" t="s">
        <v>17</v>
      </c>
      <c r="B15991" t="s">
        <v>3612</v>
      </c>
    </row>
    <row r="15992" spans="1:8" x14ac:dyDescent="0.25">
      <c r="A15992" t="s">
        <v>18</v>
      </c>
      <c r="B15992" t="s">
        <v>3612</v>
      </c>
    </row>
    <row r="15993" spans="1:8" x14ac:dyDescent="0.25">
      <c r="A15993" t="str">
        <f xml:space="preserve"> $H$15985</f>
        <v>&lt;flags count_in_cargo="0" count_in_hoarder="0" count_in_map="1" count_in_player="0" crafted="0" deloot="0"/&gt;</v>
      </c>
      <c r="B15993" t="s">
        <v>3612</v>
      </c>
    </row>
    <row r="15994" spans="1:8" x14ac:dyDescent="0.25">
      <c r="A15994" t="s">
        <v>22</v>
      </c>
      <c r="B15994" t="s">
        <v>3612</v>
      </c>
    </row>
    <row r="15995" spans="1:8" x14ac:dyDescent="0.25">
      <c r="A15995" t="s">
        <v>2654</v>
      </c>
      <c r="B15995" t="s">
        <v>3613</v>
      </c>
      <c r="D15995">
        <v>0</v>
      </c>
      <c r="E15995">
        <v>1800</v>
      </c>
      <c r="F15995">
        <v>0</v>
      </c>
      <c r="G15995">
        <v>1</v>
      </c>
      <c r="H15995" t="s">
        <v>19</v>
      </c>
    </row>
    <row r="15996" spans="1:8" x14ac:dyDescent="0.25">
      <c r="A15996" t="str">
        <f>"&lt;nominal&gt;" &amp;$D$15995&amp;"&lt;/nominal&gt;"</f>
        <v>&lt;nominal&gt;0&lt;/nominal&gt;</v>
      </c>
      <c r="B15996" t="s">
        <v>3613</v>
      </c>
    </row>
    <row r="15997" spans="1:8" x14ac:dyDescent="0.25">
      <c r="A15997" t="str">
        <f>"&lt;lifetime&gt;" &amp;$E$15995&amp;"&lt;/lifetime&gt;"</f>
        <v>&lt;lifetime&gt;1800&lt;/lifetime&gt;</v>
      </c>
      <c r="B15997" t="s">
        <v>3613</v>
      </c>
    </row>
    <row r="15998" spans="1:8" x14ac:dyDescent="0.25">
      <c r="A15998" t="str">
        <f>"&lt;restock&gt;" &amp;$F$15995&amp;"&lt;/restock&gt;"</f>
        <v>&lt;restock&gt;0&lt;/restock&gt;</v>
      </c>
      <c r="B15998" t="s">
        <v>3613</v>
      </c>
    </row>
    <row r="15999" spans="1:8" x14ac:dyDescent="0.25">
      <c r="A15999" t="str">
        <f>"&lt;min&gt;" &amp;$G$15995&amp;"&lt;/min&gt;"</f>
        <v>&lt;min&gt;1&lt;/min&gt;</v>
      </c>
      <c r="B15999" t="s">
        <v>3613</v>
      </c>
    </row>
    <row r="16000" spans="1:8" x14ac:dyDescent="0.25">
      <c r="A16000" t="s">
        <v>16</v>
      </c>
      <c r="B16000" t="s">
        <v>3613</v>
      </c>
    </row>
    <row r="16001" spans="1:8" x14ac:dyDescent="0.25">
      <c r="A16001" t="s">
        <v>17</v>
      </c>
      <c r="B16001" t="s">
        <v>3613</v>
      </c>
    </row>
    <row r="16002" spans="1:8" x14ac:dyDescent="0.25">
      <c r="A16002" t="s">
        <v>18</v>
      </c>
      <c r="B16002" t="s">
        <v>3613</v>
      </c>
    </row>
    <row r="16003" spans="1:8" x14ac:dyDescent="0.25">
      <c r="A16003" t="str">
        <f xml:space="preserve"> $H$15995</f>
        <v>&lt;flags count_in_cargo="0" count_in_hoarder="0" count_in_map="1" count_in_player="0" crafted="0" deloot="0"/&gt;</v>
      </c>
      <c r="B16003" t="s">
        <v>3613</v>
      </c>
    </row>
    <row r="16004" spans="1:8" x14ac:dyDescent="0.25">
      <c r="A16004" t="s">
        <v>22</v>
      </c>
      <c r="B16004" t="s">
        <v>3613</v>
      </c>
    </row>
    <row r="16005" spans="1:8" x14ac:dyDescent="0.25">
      <c r="A16005" t="s">
        <v>2655</v>
      </c>
      <c r="B16005" t="s">
        <v>3614</v>
      </c>
      <c r="D16005">
        <v>0</v>
      </c>
      <c r="E16005">
        <v>1800</v>
      </c>
      <c r="F16005">
        <v>0</v>
      </c>
      <c r="G16005">
        <v>1</v>
      </c>
      <c r="H16005" t="s">
        <v>19</v>
      </c>
    </row>
    <row r="16006" spans="1:8" x14ac:dyDescent="0.25">
      <c r="A16006" t="str">
        <f>"&lt;nominal&gt;" &amp;$D$16005&amp;"&lt;/nominal&gt;"</f>
        <v>&lt;nominal&gt;0&lt;/nominal&gt;</v>
      </c>
      <c r="B16006" t="s">
        <v>3614</v>
      </c>
    </row>
    <row r="16007" spans="1:8" x14ac:dyDescent="0.25">
      <c r="A16007" t="str">
        <f>"&lt;lifetime&gt;" &amp;$E$16005&amp;"&lt;/lifetime&gt;"</f>
        <v>&lt;lifetime&gt;1800&lt;/lifetime&gt;</v>
      </c>
      <c r="B16007" t="s">
        <v>3614</v>
      </c>
    </row>
    <row r="16008" spans="1:8" x14ac:dyDescent="0.25">
      <c r="A16008" t="str">
        <f>"&lt;restock&gt;" &amp;$F$16005&amp;"&lt;/restock&gt;"</f>
        <v>&lt;restock&gt;0&lt;/restock&gt;</v>
      </c>
      <c r="B16008" t="s">
        <v>3614</v>
      </c>
    </row>
    <row r="16009" spans="1:8" x14ac:dyDescent="0.25">
      <c r="A16009" t="str">
        <f>"&lt;min&gt;" &amp;$G$16005&amp;"&lt;/min&gt;"</f>
        <v>&lt;min&gt;1&lt;/min&gt;</v>
      </c>
      <c r="B16009" t="s">
        <v>3614</v>
      </c>
    </row>
    <row r="16010" spans="1:8" x14ac:dyDescent="0.25">
      <c r="A16010" t="s">
        <v>16</v>
      </c>
      <c r="B16010" t="s">
        <v>3614</v>
      </c>
    </row>
    <row r="16011" spans="1:8" x14ac:dyDescent="0.25">
      <c r="A16011" t="s">
        <v>17</v>
      </c>
      <c r="B16011" t="s">
        <v>3614</v>
      </c>
    </row>
    <row r="16012" spans="1:8" x14ac:dyDescent="0.25">
      <c r="A16012" t="s">
        <v>18</v>
      </c>
      <c r="B16012" t="s">
        <v>3614</v>
      </c>
    </row>
    <row r="16013" spans="1:8" x14ac:dyDescent="0.25">
      <c r="A16013" t="str">
        <f xml:space="preserve"> $H$16005</f>
        <v>&lt;flags count_in_cargo="0" count_in_hoarder="0" count_in_map="1" count_in_player="0" crafted="0" deloot="0"/&gt;</v>
      </c>
      <c r="B16013" t="s">
        <v>3614</v>
      </c>
    </row>
    <row r="16014" spans="1:8" x14ac:dyDescent="0.25">
      <c r="A16014" t="s">
        <v>22</v>
      </c>
      <c r="B16014" t="s">
        <v>3614</v>
      </c>
    </row>
    <row r="16015" spans="1:8" x14ac:dyDescent="0.25">
      <c r="A16015" t="s">
        <v>2656</v>
      </c>
      <c r="B16015" t="s">
        <v>3615</v>
      </c>
      <c r="D16015">
        <v>0</v>
      </c>
      <c r="E16015">
        <v>1800</v>
      </c>
      <c r="F16015">
        <v>0</v>
      </c>
      <c r="G16015">
        <v>1</v>
      </c>
      <c r="H16015" t="s">
        <v>19</v>
      </c>
    </row>
    <row r="16016" spans="1:8" x14ac:dyDescent="0.25">
      <c r="A16016" t="str">
        <f>"&lt;nominal&gt;" &amp;$D$16015&amp;"&lt;/nominal&gt;"</f>
        <v>&lt;nominal&gt;0&lt;/nominal&gt;</v>
      </c>
      <c r="B16016" t="s">
        <v>3615</v>
      </c>
    </row>
    <row r="16017" spans="1:8" x14ac:dyDescent="0.25">
      <c r="A16017" t="str">
        <f>"&lt;lifetime&gt;" &amp;$E$16015&amp;"&lt;/lifetime&gt;"</f>
        <v>&lt;lifetime&gt;1800&lt;/lifetime&gt;</v>
      </c>
      <c r="B16017" t="s">
        <v>3615</v>
      </c>
    </row>
    <row r="16018" spans="1:8" x14ac:dyDescent="0.25">
      <c r="A16018" t="str">
        <f>"&lt;restock&gt;" &amp;$F$16015&amp;"&lt;/restock&gt;"</f>
        <v>&lt;restock&gt;0&lt;/restock&gt;</v>
      </c>
      <c r="B16018" t="s">
        <v>3615</v>
      </c>
    </row>
    <row r="16019" spans="1:8" x14ac:dyDescent="0.25">
      <c r="A16019" t="str">
        <f>"&lt;min&gt;" &amp;$G$16015&amp;"&lt;/min&gt;"</f>
        <v>&lt;min&gt;1&lt;/min&gt;</v>
      </c>
      <c r="B16019" t="s">
        <v>3615</v>
      </c>
    </row>
    <row r="16020" spans="1:8" x14ac:dyDescent="0.25">
      <c r="A16020" t="s">
        <v>16</v>
      </c>
      <c r="B16020" t="s">
        <v>3615</v>
      </c>
    </row>
    <row r="16021" spans="1:8" x14ac:dyDescent="0.25">
      <c r="A16021" t="s">
        <v>17</v>
      </c>
      <c r="B16021" t="s">
        <v>3615</v>
      </c>
    </row>
    <row r="16022" spans="1:8" x14ac:dyDescent="0.25">
      <c r="A16022" t="s">
        <v>18</v>
      </c>
      <c r="B16022" t="s">
        <v>3615</v>
      </c>
    </row>
    <row r="16023" spans="1:8" x14ac:dyDescent="0.25">
      <c r="A16023" t="str">
        <f xml:space="preserve"> $H$16015</f>
        <v>&lt;flags count_in_cargo="0" count_in_hoarder="0" count_in_map="1" count_in_player="0" crafted="0" deloot="0"/&gt;</v>
      </c>
      <c r="B16023" t="s">
        <v>3615</v>
      </c>
    </row>
    <row r="16024" spans="1:8" x14ac:dyDescent="0.25">
      <c r="A16024" t="s">
        <v>22</v>
      </c>
      <c r="B16024" t="s">
        <v>3615</v>
      </c>
    </row>
    <row r="16025" spans="1:8" x14ac:dyDescent="0.25">
      <c r="A16025" t="s">
        <v>2657</v>
      </c>
      <c r="B16025" t="s">
        <v>3616</v>
      </c>
      <c r="D16025">
        <v>0</v>
      </c>
      <c r="E16025">
        <v>1800</v>
      </c>
      <c r="F16025">
        <v>0</v>
      </c>
      <c r="G16025">
        <v>1</v>
      </c>
      <c r="H16025" t="s">
        <v>19</v>
      </c>
    </row>
    <row r="16026" spans="1:8" x14ac:dyDescent="0.25">
      <c r="A16026" t="str">
        <f>"&lt;nominal&gt;" &amp;$D$16025&amp;"&lt;/nominal&gt;"</f>
        <v>&lt;nominal&gt;0&lt;/nominal&gt;</v>
      </c>
      <c r="B16026" t="s">
        <v>3616</v>
      </c>
    </row>
    <row r="16027" spans="1:8" x14ac:dyDescent="0.25">
      <c r="A16027" t="str">
        <f>"&lt;lifetime&gt;" &amp;$E$16025&amp;"&lt;/lifetime&gt;"</f>
        <v>&lt;lifetime&gt;1800&lt;/lifetime&gt;</v>
      </c>
      <c r="B16027" t="s">
        <v>3616</v>
      </c>
    </row>
    <row r="16028" spans="1:8" x14ac:dyDescent="0.25">
      <c r="A16028" t="str">
        <f>"&lt;restock&gt;" &amp;$F$16025&amp;"&lt;/restock&gt;"</f>
        <v>&lt;restock&gt;0&lt;/restock&gt;</v>
      </c>
      <c r="B16028" t="s">
        <v>3616</v>
      </c>
    </row>
    <row r="16029" spans="1:8" x14ac:dyDescent="0.25">
      <c r="A16029" t="str">
        <f>"&lt;min&gt;" &amp;$G$16025&amp;"&lt;/min&gt;"</f>
        <v>&lt;min&gt;1&lt;/min&gt;</v>
      </c>
      <c r="B16029" t="s">
        <v>3616</v>
      </c>
    </row>
    <row r="16030" spans="1:8" x14ac:dyDescent="0.25">
      <c r="A16030" t="s">
        <v>16</v>
      </c>
      <c r="B16030" t="s">
        <v>3616</v>
      </c>
    </row>
    <row r="16031" spans="1:8" x14ac:dyDescent="0.25">
      <c r="A16031" t="s">
        <v>17</v>
      </c>
      <c r="B16031" t="s">
        <v>3616</v>
      </c>
    </row>
    <row r="16032" spans="1:8" x14ac:dyDescent="0.25">
      <c r="A16032" t="s">
        <v>18</v>
      </c>
      <c r="B16032" t="s">
        <v>3616</v>
      </c>
    </row>
    <row r="16033" spans="1:8" x14ac:dyDescent="0.25">
      <c r="A16033" t="str">
        <f xml:space="preserve"> $H$16025</f>
        <v>&lt;flags count_in_cargo="0" count_in_hoarder="0" count_in_map="1" count_in_player="0" crafted="0" deloot="0"/&gt;</v>
      </c>
      <c r="B16033" t="s">
        <v>3616</v>
      </c>
    </row>
    <row r="16034" spans="1:8" x14ac:dyDescent="0.25">
      <c r="A16034" t="s">
        <v>22</v>
      </c>
      <c r="B16034" t="s">
        <v>3616</v>
      </c>
    </row>
    <row r="16035" spans="1:8" x14ac:dyDescent="0.25">
      <c r="A16035" t="s">
        <v>2658</v>
      </c>
      <c r="B16035" t="s">
        <v>3617</v>
      </c>
      <c r="D16035">
        <v>0</v>
      </c>
      <c r="E16035">
        <v>1800</v>
      </c>
      <c r="F16035">
        <v>0</v>
      </c>
      <c r="G16035">
        <v>1</v>
      </c>
      <c r="H16035" t="s">
        <v>19</v>
      </c>
    </row>
    <row r="16036" spans="1:8" x14ac:dyDescent="0.25">
      <c r="A16036" t="str">
        <f>"&lt;nominal&gt;" &amp;$D$16035&amp;"&lt;/nominal&gt;"</f>
        <v>&lt;nominal&gt;0&lt;/nominal&gt;</v>
      </c>
      <c r="B16036" t="s">
        <v>3617</v>
      </c>
    </row>
    <row r="16037" spans="1:8" x14ac:dyDescent="0.25">
      <c r="A16037" t="str">
        <f>"&lt;lifetime&gt;" &amp;$E$16035&amp;"&lt;/lifetime&gt;"</f>
        <v>&lt;lifetime&gt;1800&lt;/lifetime&gt;</v>
      </c>
      <c r="B16037" t="s">
        <v>3617</v>
      </c>
    </row>
    <row r="16038" spans="1:8" x14ac:dyDescent="0.25">
      <c r="A16038" t="str">
        <f>"&lt;restock&gt;" &amp;$F$16035&amp;"&lt;/restock&gt;"</f>
        <v>&lt;restock&gt;0&lt;/restock&gt;</v>
      </c>
      <c r="B16038" t="s">
        <v>3617</v>
      </c>
    </row>
    <row r="16039" spans="1:8" x14ac:dyDescent="0.25">
      <c r="A16039" t="str">
        <f>"&lt;min&gt;" &amp;$G$16035&amp;"&lt;/min&gt;"</f>
        <v>&lt;min&gt;1&lt;/min&gt;</v>
      </c>
      <c r="B16039" t="s">
        <v>3617</v>
      </c>
    </row>
    <row r="16040" spans="1:8" x14ac:dyDescent="0.25">
      <c r="A16040" t="s">
        <v>16</v>
      </c>
      <c r="B16040" t="s">
        <v>3617</v>
      </c>
    </row>
    <row r="16041" spans="1:8" x14ac:dyDescent="0.25">
      <c r="A16041" t="s">
        <v>17</v>
      </c>
      <c r="B16041" t="s">
        <v>3617</v>
      </c>
    </row>
    <row r="16042" spans="1:8" x14ac:dyDescent="0.25">
      <c r="A16042" t="s">
        <v>18</v>
      </c>
      <c r="B16042" t="s">
        <v>3617</v>
      </c>
    </row>
    <row r="16043" spans="1:8" x14ac:dyDescent="0.25">
      <c r="A16043" t="str">
        <f xml:space="preserve"> $H$16035</f>
        <v>&lt;flags count_in_cargo="0" count_in_hoarder="0" count_in_map="1" count_in_player="0" crafted="0" deloot="0"/&gt;</v>
      </c>
      <c r="B16043" t="s">
        <v>3617</v>
      </c>
    </row>
    <row r="16044" spans="1:8" x14ac:dyDescent="0.25">
      <c r="A16044" t="s">
        <v>22</v>
      </c>
      <c r="B16044" t="s">
        <v>3617</v>
      </c>
    </row>
    <row r="16045" spans="1:8" x14ac:dyDescent="0.25">
      <c r="A16045" t="s">
        <v>2659</v>
      </c>
      <c r="B16045" t="s">
        <v>3618</v>
      </c>
      <c r="D16045">
        <v>0</v>
      </c>
      <c r="E16045">
        <v>1800</v>
      </c>
      <c r="F16045">
        <v>0</v>
      </c>
      <c r="G16045">
        <v>1</v>
      </c>
      <c r="H16045" t="s">
        <v>19</v>
      </c>
    </row>
    <row r="16046" spans="1:8" x14ac:dyDescent="0.25">
      <c r="A16046" t="str">
        <f>"&lt;nominal&gt;" &amp;$D$16045&amp;"&lt;/nominal&gt;"</f>
        <v>&lt;nominal&gt;0&lt;/nominal&gt;</v>
      </c>
      <c r="B16046" t="s">
        <v>3618</v>
      </c>
    </row>
    <row r="16047" spans="1:8" x14ac:dyDescent="0.25">
      <c r="A16047" t="str">
        <f>"&lt;lifetime&gt;" &amp;$E$16045&amp;"&lt;/lifetime&gt;"</f>
        <v>&lt;lifetime&gt;1800&lt;/lifetime&gt;</v>
      </c>
      <c r="B16047" t="s">
        <v>3618</v>
      </c>
    </row>
    <row r="16048" spans="1:8" x14ac:dyDescent="0.25">
      <c r="A16048" t="str">
        <f>"&lt;restock&gt;" &amp;$F$16045&amp;"&lt;/restock&gt;"</f>
        <v>&lt;restock&gt;0&lt;/restock&gt;</v>
      </c>
      <c r="B16048" t="s">
        <v>3618</v>
      </c>
    </row>
    <row r="16049" spans="1:8" x14ac:dyDescent="0.25">
      <c r="A16049" t="str">
        <f>"&lt;min&gt;" &amp;$G$16045&amp;"&lt;/min&gt;"</f>
        <v>&lt;min&gt;1&lt;/min&gt;</v>
      </c>
      <c r="B16049" t="s">
        <v>3618</v>
      </c>
    </row>
    <row r="16050" spans="1:8" x14ac:dyDescent="0.25">
      <c r="A16050" t="s">
        <v>16</v>
      </c>
      <c r="B16050" t="s">
        <v>3618</v>
      </c>
    </row>
    <row r="16051" spans="1:8" x14ac:dyDescent="0.25">
      <c r="A16051" t="s">
        <v>17</v>
      </c>
      <c r="B16051" t="s">
        <v>3618</v>
      </c>
    </row>
    <row r="16052" spans="1:8" x14ac:dyDescent="0.25">
      <c r="A16052" t="s">
        <v>18</v>
      </c>
      <c r="B16052" t="s">
        <v>3618</v>
      </c>
    </row>
    <row r="16053" spans="1:8" x14ac:dyDescent="0.25">
      <c r="A16053" t="str">
        <f xml:space="preserve"> $H$16045</f>
        <v>&lt;flags count_in_cargo="0" count_in_hoarder="0" count_in_map="1" count_in_player="0" crafted="0" deloot="0"/&gt;</v>
      </c>
      <c r="B16053" t="s">
        <v>3618</v>
      </c>
    </row>
    <row r="16054" spans="1:8" x14ac:dyDescent="0.25">
      <c r="A16054" t="s">
        <v>22</v>
      </c>
      <c r="B16054" t="s">
        <v>3618</v>
      </c>
    </row>
    <row r="16055" spans="1:8" x14ac:dyDescent="0.25">
      <c r="A16055" t="s">
        <v>2660</v>
      </c>
      <c r="B16055" t="s">
        <v>3619</v>
      </c>
      <c r="D16055">
        <v>0</v>
      </c>
      <c r="E16055">
        <v>1800</v>
      </c>
      <c r="F16055">
        <v>0</v>
      </c>
      <c r="G16055">
        <v>1</v>
      </c>
      <c r="H16055" t="s">
        <v>19</v>
      </c>
    </row>
    <row r="16056" spans="1:8" x14ac:dyDescent="0.25">
      <c r="A16056" t="str">
        <f>"&lt;nominal&gt;" &amp;$D$16055&amp;"&lt;/nominal&gt;"</f>
        <v>&lt;nominal&gt;0&lt;/nominal&gt;</v>
      </c>
      <c r="B16056" t="s">
        <v>3619</v>
      </c>
    </row>
    <row r="16057" spans="1:8" x14ac:dyDescent="0.25">
      <c r="A16057" t="str">
        <f>"&lt;lifetime&gt;" &amp;$E$16055&amp;"&lt;/lifetime&gt;"</f>
        <v>&lt;lifetime&gt;1800&lt;/lifetime&gt;</v>
      </c>
      <c r="B16057" t="s">
        <v>3619</v>
      </c>
    </row>
    <row r="16058" spans="1:8" x14ac:dyDescent="0.25">
      <c r="A16058" t="str">
        <f>"&lt;restock&gt;" &amp;$F$16055&amp;"&lt;/restock&gt;"</f>
        <v>&lt;restock&gt;0&lt;/restock&gt;</v>
      </c>
      <c r="B16058" t="s">
        <v>3619</v>
      </c>
    </row>
    <row r="16059" spans="1:8" x14ac:dyDescent="0.25">
      <c r="A16059" t="str">
        <f>"&lt;min&gt;" &amp;$G$16055&amp;"&lt;/min&gt;"</f>
        <v>&lt;min&gt;1&lt;/min&gt;</v>
      </c>
      <c r="B16059" t="s">
        <v>3619</v>
      </c>
    </row>
    <row r="16060" spans="1:8" x14ac:dyDescent="0.25">
      <c r="A16060" t="s">
        <v>16</v>
      </c>
      <c r="B16060" t="s">
        <v>3619</v>
      </c>
    </row>
    <row r="16061" spans="1:8" x14ac:dyDescent="0.25">
      <c r="A16061" t="s">
        <v>17</v>
      </c>
      <c r="B16061" t="s">
        <v>3619</v>
      </c>
    </row>
    <row r="16062" spans="1:8" x14ac:dyDescent="0.25">
      <c r="A16062" t="s">
        <v>18</v>
      </c>
      <c r="B16062" t="s">
        <v>3619</v>
      </c>
    </row>
    <row r="16063" spans="1:8" x14ac:dyDescent="0.25">
      <c r="A16063" t="str">
        <f xml:space="preserve"> $H$16055</f>
        <v>&lt;flags count_in_cargo="0" count_in_hoarder="0" count_in_map="1" count_in_player="0" crafted="0" deloot="0"/&gt;</v>
      </c>
      <c r="B16063" t="s">
        <v>3619</v>
      </c>
    </row>
    <row r="16064" spans="1:8" x14ac:dyDescent="0.25">
      <c r="A16064" t="s">
        <v>22</v>
      </c>
      <c r="B16064" t="s">
        <v>3619</v>
      </c>
    </row>
    <row r="16065" spans="1:8" x14ac:dyDescent="0.25">
      <c r="A16065" t="s">
        <v>2661</v>
      </c>
      <c r="B16065" t="s">
        <v>3620</v>
      </c>
      <c r="D16065">
        <v>0</v>
      </c>
      <c r="E16065">
        <v>1800</v>
      </c>
      <c r="F16065">
        <v>0</v>
      </c>
      <c r="G16065">
        <v>1</v>
      </c>
      <c r="H16065" t="s">
        <v>19</v>
      </c>
    </row>
    <row r="16066" spans="1:8" x14ac:dyDescent="0.25">
      <c r="A16066" t="str">
        <f>"&lt;nominal&gt;" &amp;$D$16065&amp;"&lt;/nominal&gt;"</f>
        <v>&lt;nominal&gt;0&lt;/nominal&gt;</v>
      </c>
      <c r="B16066" t="s">
        <v>3620</v>
      </c>
    </row>
    <row r="16067" spans="1:8" x14ac:dyDescent="0.25">
      <c r="A16067" t="str">
        <f>"&lt;lifetime&gt;" &amp;$E$16065&amp;"&lt;/lifetime&gt;"</f>
        <v>&lt;lifetime&gt;1800&lt;/lifetime&gt;</v>
      </c>
      <c r="B16067" t="s">
        <v>3620</v>
      </c>
    </row>
    <row r="16068" spans="1:8" x14ac:dyDescent="0.25">
      <c r="A16068" t="str">
        <f>"&lt;restock&gt;" &amp;$F$16065&amp;"&lt;/restock&gt;"</f>
        <v>&lt;restock&gt;0&lt;/restock&gt;</v>
      </c>
      <c r="B16068" t="s">
        <v>3620</v>
      </c>
    </row>
    <row r="16069" spans="1:8" x14ac:dyDescent="0.25">
      <c r="A16069" t="str">
        <f>"&lt;min&gt;" &amp;$G$16065&amp;"&lt;/min&gt;"</f>
        <v>&lt;min&gt;1&lt;/min&gt;</v>
      </c>
      <c r="B16069" t="s">
        <v>3620</v>
      </c>
    </row>
    <row r="16070" spans="1:8" x14ac:dyDescent="0.25">
      <c r="A16070" t="s">
        <v>16</v>
      </c>
      <c r="B16070" t="s">
        <v>3620</v>
      </c>
    </row>
    <row r="16071" spans="1:8" x14ac:dyDescent="0.25">
      <c r="A16071" t="s">
        <v>17</v>
      </c>
      <c r="B16071" t="s">
        <v>3620</v>
      </c>
    </row>
    <row r="16072" spans="1:8" x14ac:dyDescent="0.25">
      <c r="A16072" t="s">
        <v>18</v>
      </c>
      <c r="B16072" t="s">
        <v>3620</v>
      </c>
    </row>
    <row r="16073" spans="1:8" x14ac:dyDescent="0.25">
      <c r="A16073" t="str">
        <f xml:space="preserve"> $H$16065</f>
        <v>&lt;flags count_in_cargo="0" count_in_hoarder="0" count_in_map="1" count_in_player="0" crafted="0" deloot="0"/&gt;</v>
      </c>
      <c r="B16073" t="s">
        <v>3620</v>
      </c>
    </row>
    <row r="16074" spans="1:8" x14ac:dyDescent="0.25">
      <c r="A16074" t="s">
        <v>22</v>
      </c>
      <c r="B16074" t="s">
        <v>3620</v>
      </c>
    </row>
    <row r="16075" spans="1:8" x14ac:dyDescent="0.25">
      <c r="A16075" t="s">
        <v>2662</v>
      </c>
      <c r="B16075" t="s">
        <v>3621</v>
      </c>
      <c r="D16075">
        <v>0</v>
      </c>
      <c r="E16075">
        <v>1800</v>
      </c>
      <c r="F16075">
        <v>0</v>
      </c>
      <c r="G16075">
        <v>1</v>
      </c>
      <c r="H16075" t="s">
        <v>19</v>
      </c>
    </row>
    <row r="16076" spans="1:8" x14ac:dyDescent="0.25">
      <c r="A16076" t="str">
        <f>"&lt;nominal&gt;" &amp;$D$16075&amp;"&lt;/nominal&gt;"</f>
        <v>&lt;nominal&gt;0&lt;/nominal&gt;</v>
      </c>
      <c r="B16076" t="s">
        <v>3621</v>
      </c>
    </row>
    <row r="16077" spans="1:8" x14ac:dyDescent="0.25">
      <c r="A16077" t="str">
        <f>"&lt;lifetime&gt;" &amp;$E$16075&amp;"&lt;/lifetime&gt;"</f>
        <v>&lt;lifetime&gt;1800&lt;/lifetime&gt;</v>
      </c>
      <c r="B16077" t="s">
        <v>3621</v>
      </c>
    </row>
    <row r="16078" spans="1:8" x14ac:dyDescent="0.25">
      <c r="A16078" t="str">
        <f>"&lt;restock&gt;" &amp;$F$16075&amp;"&lt;/restock&gt;"</f>
        <v>&lt;restock&gt;0&lt;/restock&gt;</v>
      </c>
      <c r="B16078" t="s">
        <v>3621</v>
      </c>
    </row>
    <row r="16079" spans="1:8" x14ac:dyDescent="0.25">
      <c r="A16079" t="str">
        <f>"&lt;min&gt;" &amp;$G$16075&amp;"&lt;/min&gt;"</f>
        <v>&lt;min&gt;1&lt;/min&gt;</v>
      </c>
      <c r="B16079" t="s">
        <v>3621</v>
      </c>
    </row>
    <row r="16080" spans="1:8" x14ac:dyDescent="0.25">
      <c r="A16080" t="s">
        <v>16</v>
      </c>
      <c r="B16080" t="s">
        <v>3621</v>
      </c>
    </row>
    <row r="16081" spans="1:8" x14ac:dyDescent="0.25">
      <c r="A16081" t="s">
        <v>17</v>
      </c>
      <c r="B16081" t="s">
        <v>3621</v>
      </c>
    </row>
    <row r="16082" spans="1:8" x14ac:dyDescent="0.25">
      <c r="A16082" t="s">
        <v>18</v>
      </c>
      <c r="B16082" t="s">
        <v>3621</v>
      </c>
    </row>
    <row r="16083" spans="1:8" x14ac:dyDescent="0.25">
      <c r="A16083" t="str">
        <f xml:space="preserve"> $H$16075</f>
        <v>&lt;flags count_in_cargo="0" count_in_hoarder="0" count_in_map="1" count_in_player="0" crafted="0" deloot="0"/&gt;</v>
      </c>
      <c r="B16083" t="s">
        <v>3621</v>
      </c>
    </row>
    <row r="16084" spans="1:8" x14ac:dyDescent="0.25">
      <c r="A16084" t="s">
        <v>22</v>
      </c>
      <c r="B16084" t="s">
        <v>3621</v>
      </c>
    </row>
    <row r="16085" spans="1:8" x14ac:dyDescent="0.25">
      <c r="A16085" t="s">
        <v>2663</v>
      </c>
      <c r="B16085" t="s">
        <v>3622</v>
      </c>
      <c r="D16085">
        <v>0</v>
      </c>
      <c r="E16085">
        <v>1800</v>
      </c>
      <c r="F16085">
        <v>0</v>
      </c>
      <c r="G16085">
        <v>1</v>
      </c>
      <c r="H16085" t="s">
        <v>19</v>
      </c>
    </row>
    <row r="16086" spans="1:8" x14ac:dyDescent="0.25">
      <c r="A16086" t="str">
        <f>"&lt;nominal&gt;" &amp;$D$16085&amp;"&lt;/nominal&gt;"</f>
        <v>&lt;nominal&gt;0&lt;/nominal&gt;</v>
      </c>
      <c r="B16086" t="s">
        <v>3622</v>
      </c>
    </row>
    <row r="16087" spans="1:8" x14ac:dyDescent="0.25">
      <c r="A16087" t="str">
        <f>"&lt;lifetime&gt;" &amp;$E$16085&amp;"&lt;/lifetime&gt;"</f>
        <v>&lt;lifetime&gt;1800&lt;/lifetime&gt;</v>
      </c>
      <c r="B16087" t="s">
        <v>3622</v>
      </c>
    </row>
    <row r="16088" spans="1:8" x14ac:dyDescent="0.25">
      <c r="A16088" t="str">
        <f>"&lt;restock&gt;" &amp;$F$16085&amp;"&lt;/restock&gt;"</f>
        <v>&lt;restock&gt;0&lt;/restock&gt;</v>
      </c>
      <c r="B16088" t="s">
        <v>3622</v>
      </c>
    </row>
    <row r="16089" spans="1:8" x14ac:dyDescent="0.25">
      <c r="A16089" t="str">
        <f>"&lt;min&gt;" &amp;$G$16085&amp;"&lt;/min&gt;"</f>
        <v>&lt;min&gt;1&lt;/min&gt;</v>
      </c>
      <c r="B16089" t="s">
        <v>3622</v>
      </c>
    </row>
    <row r="16090" spans="1:8" x14ac:dyDescent="0.25">
      <c r="A16090" t="s">
        <v>16</v>
      </c>
      <c r="B16090" t="s">
        <v>3622</v>
      </c>
    </row>
    <row r="16091" spans="1:8" x14ac:dyDescent="0.25">
      <c r="A16091" t="s">
        <v>17</v>
      </c>
      <c r="B16091" t="s">
        <v>3622</v>
      </c>
    </row>
    <row r="16092" spans="1:8" x14ac:dyDescent="0.25">
      <c r="A16092" t="s">
        <v>18</v>
      </c>
      <c r="B16092" t="s">
        <v>3622</v>
      </c>
    </row>
    <row r="16093" spans="1:8" x14ac:dyDescent="0.25">
      <c r="A16093" t="str">
        <f xml:space="preserve"> $H$16085</f>
        <v>&lt;flags count_in_cargo="0" count_in_hoarder="0" count_in_map="1" count_in_player="0" crafted="0" deloot="0"/&gt;</v>
      </c>
      <c r="B16093" t="s">
        <v>3622</v>
      </c>
    </row>
    <row r="16094" spans="1:8" x14ac:dyDescent="0.25">
      <c r="A16094" t="s">
        <v>22</v>
      </c>
      <c r="B16094" t="s">
        <v>3622</v>
      </c>
    </row>
    <row r="16095" spans="1:8" x14ac:dyDescent="0.25">
      <c r="A16095" t="s">
        <v>2664</v>
      </c>
      <c r="B16095" t="s">
        <v>3623</v>
      </c>
      <c r="D16095">
        <v>0</v>
      </c>
      <c r="E16095">
        <v>1800</v>
      </c>
      <c r="F16095">
        <v>0</v>
      </c>
      <c r="G16095">
        <v>1</v>
      </c>
      <c r="H16095" t="s">
        <v>19</v>
      </c>
    </row>
    <row r="16096" spans="1:8" x14ac:dyDescent="0.25">
      <c r="A16096" t="str">
        <f>"&lt;nominal&gt;" &amp;$D$16095&amp;"&lt;/nominal&gt;"</f>
        <v>&lt;nominal&gt;0&lt;/nominal&gt;</v>
      </c>
      <c r="B16096" t="s">
        <v>3623</v>
      </c>
    </row>
    <row r="16097" spans="1:8" x14ac:dyDescent="0.25">
      <c r="A16097" t="str">
        <f>"&lt;lifetime&gt;" &amp;$E$16095&amp;"&lt;/lifetime&gt;"</f>
        <v>&lt;lifetime&gt;1800&lt;/lifetime&gt;</v>
      </c>
      <c r="B16097" t="s">
        <v>3623</v>
      </c>
    </row>
    <row r="16098" spans="1:8" x14ac:dyDescent="0.25">
      <c r="A16098" t="str">
        <f>"&lt;restock&gt;" &amp;$F$16095&amp;"&lt;/restock&gt;"</f>
        <v>&lt;restock&gt;0&lt;/restock&gt;</v>
      </c>
      <c r="B16098" t="s">
        <v>3623</v>
      </c>
    </row>
    <row r="16099" spans="1:8" x14ac:dyDescent="0.25">
      <c r="A16099" t="str">
        <f>"&lt;min&gt;" &amp;$G$16095&amp;"&lt;/min&gt;"</f>
        <v>&lt;min&gt;1&lt;/min&gt;</v>
      </c>
      <c r="B16099" t="s">
        <v>3623</v>
      </c>
    </row>
    <row r="16100" spans="1:8" x14ac:dyDescent="0.25">
      <c r="A16100" t="s">
        <v>16</v>
      </c>
      <c r="B16100" t="s">
        <v>3623</v>
      </c>
    </row>
    <row r="16101" spans="1:8" x14ac:dyDescent="0.25">
      <c r="A16101" t="s">
        <v>17</v>
      </c>
      <c r="B16101" t="s">
        <v>3623</v>
      </c>
    </row>
    <row r="16102" spans="1:8" x14ac:dyDescent="0.25">
      <c r="A16102" t="s">
        <v>18</v>
      </c>
      <c r="B16102" t="s">
        <v>3623</v>
      </c>
    </row>
    <row r="16103" spans="1:8" x14ac:dyDescent="0.25">
      <c r="A16103" t="str">
        <f xml:space="preserve"> $H$16095</f>
        <v>&lt;flags count_in_cargo="0" count_in_hoarder="0" count_in_map="1" count_in_player="0" crafted="0" deloot="0"/&gt;</v>
      </c>
      <c r="B16103" t="s">
        <v>3623</v>
      </c>
    </row>
    <row r="16104" spans="1:8" x14ac:dyDescent="0.25">
      <c r="A16104" t="s">
        <v>22</v>
      </c>
      <c r="B16104" t="s">
        <v>3623</v>
      </c>
    </row>
    <row r="16105" spans="1:8" x14ac:dyDescent="0.25">
      <c r="A16105" t="s">
        <v>2665</v>
      </c>
      <c r="B16105" t="s">
        <v>3624</v>
      </c>
      <c r="D16105">
        <v>0</v>
      </c>
      <c r="E16105">
        <v>1800</v>
      </c>
      <c r="F16105">
        <v>0</v>
      </c>
      <c r="G16105">
        <v>1</v>
      </c>
      <c r="H16105" t="s">
        <v>19</v>
      </c>
    </row>
    <row r="16106" spans="1:8" x14ac:dyDescent="0.25">
      <c r="A16106" t="str">
        <f>"&lt;nominal&gt;" &amp;$D$16105&amp;"&lt;/nominal&gt;"</f>
        <v>&lt;nominal&gt;0&lt;/nominal&gt;</v>
      </c>
      <c r="B16106" t="s">
        <v>3624</v>
      </c>
    </row>
    <row r="16107" spans="1:8" x14ac:dyDescent="0.25">
      <c r="A16107" t="str">
        <f>"&lt;lifetime&gt;" &amp;$E$16105&amp;"&lt;/lifetime&gt;"</f>
        <v>&lt;lifetime&gt;1800&lt;/lifetime&gt;</v>
      </c>
      <c r="B16107" t="s">
        <v>3624</v>
      </c>
    </row>
    <row r="16108" spans="1:8" x14ac:dyDescent="0.25">
      <c r="A16108" t="str">
        <f>"&lt;restock&gt;" &amp;$F$16105&amp;"&lt;/restock&gt;"</f>
        <v>&lt;restock&gt;0&lt;/restock&gt;</v>
      </c>
      <c r="B16108" t="s">
        <v>3624</v>
      </c>
    </row>
    <row r="16109" spans="1:8" x14ac:dyDescent="0.25">
      <c r="A16109" t="str">
        <f>"&lt;min&gt;" &amp;$G$16105&amp;"&lt;/min&gt;"</f>
        <v>&lt;min&gt;1&lt;/min&gt;</v>
      </c>
      <c r="B16109" t="s">
        <v>3624</v>
      </c>
    </row>
    <row r="16110" spans="1:8" x14ac:dyDescent="0.25">
      <c r="A16110" t="s">
        <v>16</v>
      </c>
      <c r="B16110" t="s">
        <v>3624</v>
      </c>
    </row>
    <row r="16111" spans="1:8" x14ac:dyDescent="0.25">
      <c r="A16111" t="s">
        <v>17</v>
      </c>
      <c r="B16111" t="s">
        <v>3624</v>
      </c>
    </row>
    <row r="16112" spans="1:8" x14ac:dyDescent="0.25">
      <c r="A16112" t="s">
        <v>18</v>
      </c>
      <c r="B16112" t="s">
        <v>3624</v>
      </c>
    </row>
    <row r="16113" spans="1:8" x14ac:dyDescent="0.25">
      <c r="A16113" t="str">
        <f xml:space="preserve"> $H$16105</f>
        <v>&lt;flags count_in_cargo="0" count_in_hoarder="0" count_in_map="1" count_in_player="0" crafted="0" deloot="0"/&gt;</v>
      </c>
      <c r="B16113" t="s">
        <v>3624</v>
      </c>
    </row>
    <row r="16114" spans="1:8" x14ac:dyDescent="0.25">
      <c r="A16114" t="s">
        <v>22</v>
      </c>
      <c r="B16114" t="s">
        <v>3624</v>
      </c>
    </row>
    <row r="16115" spans="1:8" x14ac:dyDescent="0.25">
      <c r="A16115" t="s">
        <v>2666</v>
      </c>
      <c r="B16115" t="s">
        <v>3625</v>
      </c>
      <c r="D16115">
        <v>0</v>
      </c>
      <c r="E16115">
        <v>1800</v>
      </c>
      <c r="F16115">
        <v>0</v>
      </c>
      <c r="G16115">
        <v>1</v>
      </c>
      <c r="H16115" t="s">
        <v>19</v>
      </c>
    </row>
    <row r="16116" spans="1:8" x14ac:dyDescent="0.25">
      <c r="A16116" t="str">
        <f>"&lt;nominal&gt;" &amp;$D$16115&amp;"&lt;/nominal&gt;"</f>
        <v>&lt;nominal&gt;0&lt;/nominal&gt;</v>
      </c>
      <c r="B16116" t="s">
        <v>3625</v>
      </c>
    </row>
    <row r="16117" spans="1:8" x14ac:dyDescent="0.25">
      <c r="A16117" t="str">
        <f>"&lt;lifetime&gt;" &amp;$E$16115&amp;"&lt;/lifetime&gt;"</f>
        <v>&lt;lifetime&gt;1800&lt;/lifetime&gt;</v>
      </c>
      <c r="B16117" t="s">
        <v>3625</v>
      </c>
    </row>
    <row r="16118" spans="1:8" x14ac:dyDescent="0.25">
      <c r="A16118" t="str">
        <f>"&lt;restock&gt;" &amp;$F$16115&amp;"&lt;/restock&gt;"</f>
        <v>&lt;restock&gt;0&lt;/restock&gt;</v>
      </c>
      <c r="B16118" t="s">
        <v>3625</v>
      </c>
    </row>
    <row r="16119" spans="1:8" x14ac:dyDescent="0.25">
      <c r="A16119" t="str">
        <f>"&lt;min&gt;" &amp;$G$16115&amp;"&lt;/min&gt;"</f>
        <v>&lt;min&gt;1&lt;/min&gt;</v>
      </c>
      <c r="B16119" t="s">
        <v>3625</v>
      </c>
    </row>
    <row r="16120" spans="1:8" x14ac:dyDescent="0.25">
      <c r="A16120" t="s">
        <v>16</v>
      </c>
      <c r="B16120" t="s">
        <v>3625</v>
      </c>
    </row>
    <row r="16121" spans="1:8" x14ac:dyDescent="0.25">
      <c r="A16121" t="s">
        <v>17</v>
      </c>
      <c r="B16121" t="s">
        <v>3625</v>
      </c>
    </row>
    <row r="16122" spans="1:8" x14ac:dyDescent="0.25">
      <c r="A16122" t="s">
        <v>18</v>
      </c>
      <c r="B16122" t="s">
        <v>3625</v>
      </c>
    </row>
    <row r="16123" spans="1:8" x14ac:dyDescent="0.25">
      <c r="A16123" t="str">
        <f xml:space="preserve"> $H$16115</f>
        <v>&lt;flags count_in_cargo="0" count_in_hoarder="0" count_in_map="1" count_in_player="0" crafted="0" deloot="0"/&gt;</v>
      </c>
      <c r="B16123" t="s">
        <v>3625</v>
      </c>
    </row>
    <row r="16124" spans="1:8" x14ac:dyDescent="0.25">
      <c r="A16124" t="s">
        <v>22</v>
      </c>
      <c r="B16124" t="s">
        <v>3625</v>
      </c>
    </row>
    <row r="16125" spans="1:8" x14ac:dyDescent="0.25">
      <c r="A16125" t="s">
        <v>2667</v>
      </c>
      <c r="B16125" t="s">
        <v>3626</v>
      </c>
      <c r="D16125">
        <v>0</v>
      </c>
      <c r="E16125">
        <v>1800</v>
      </c>
      <c r="F16125">
        <v>0</v>
      </c>
      <c r="G16125">
        <v>1</v>
      </c>
      <c r="H16125" t="s">
        <v>19</v>
      </c>
    </row>
    <row r="16126" spans="1:8" x14ac:dyDescent="0.25">
      <c r="A16126" t="str">
        <f>"&lt;nominal&gt;" &amp;$D$16125&amp;"&lt;/nominal&gt;"</f>
        <v>&lt;nominal&gt;0&lt;/nominal&gt;</v>
      </c>
      <c r="B16126" t="s">
        <v>3626</v>
      </c>
    </row>
    <row r="16127" spans="1:8" x14ac:dyDescent="0.25">
      <c r="A16127" t="str">
        <f>"&lt;lifetime&gt;" &amp;$E$16125&amp;"&lt;/lifetime&gt;"</f>
        <v>&lt;lifetime&gt;1800&lt;/lifetime&gt;</v>
      </c>
      <c r="B16127" t="s">
        <v>3626</v>
      </c>
    </row>
    <row r="16128" spans="1:8" x14ac:dyDescent="0.25">
      <c r="A16128" t="str">
        <f>"&lt;restock&gt;" &amp;$F$16125&amp;"&lt;/restock&gt;"</f>
        <v>&lt;restock&gt;0&lt;/restock&gt;</v>
      </c>
      <c r="B16128" t="s">
        <v>3626</v>
      </c>
    </row>
    <row r="16129" spans="1:8" x14ac:dyDescent="0.25">
      <c r="A16129" t="str">
        <f>"&lt;min&gt;" &amp;$G$16125&amp;"&lt;/min&gt;"</f>
        <v>&lt;min&gt;1&lt;/min&gt;</v>
      </c>
      <c r="B16129" t="s">
        <v>3626</v>
      </c>
    </row>
    <row r="16130" spans="1:8" x14ac:dyDescent="0.25">
      <c r="A16130" t="s">
        <v>16</v>
      </c>
      <c r="B16130" t="s">
        <v>3626</v>
      </c>
    </row>
    <row r="16131" spans="1:8" x14ac:dyDescent="0.25">
      <c r="A16131" t="s">
        <v>17</v>
      </c>
      <c r="B16131" t="s">
        <v>3626</v>
      </c>
    </row>
    <row r="16132" spans="1:8" x14ac:dyDescent="0.25">
      <c r="A16132" t="s">
        <v>18</v>
      </c>
      <c r="B16132" t="s">
        <v>3626</v>
      </c>
    </row>
    <row r="16133" spans="1:8" x14ac:dyDescent="0.25">
      <c r="A16133" t="str">
        <f xml:space="preserve"> $H$16125</f>
        <v>&lt;flags count_in_cargo="0" count_in_hoarder="0" count_in_map="1" count_in_player="0" crafted="0" deloot="0"/&gt;</v>
      </c>
      <c r="B16133" t="s">
        <v>3626</v>
      </c>
    </row>
    <row r="16134" spans="1:8" x14ac:dyDescent="0.25">
      <c r="A16134" t="s">
        <v>22</v>
      </c>
      <c r="B16134" t="s">
        <v>3626</v>
      </c>
    </row>
    <row r="16135" spans="1:8" x14ac:dyDescent="0.25">
      <c r="A16135" t="s">
        <v>2668</v>
      </c>
      <c r="B16135" t="s">
        <v>3627</v>
      </c>
      <c r="D16135">
        <v>0</v>
      </c>
      <c r="E16135">
        <v>1800</v>
      </c>
      <c r="F16135">
        <v>0</v>
      </c>
      <c r="G16135">
        <v>1</v>
      </c>
      <c r="H16135" t="s">
        <v>19</v>
      </c>
    </row>
    <row r="16136" spans="1:8" x14ac:dyDescent="0.25">
      <c r="A16136" t="str">
        <f>"&lt;nominal&gt;" &amp;$D$16135&amp;"&lt;/nominal&gt;"</f>
        <v>&lt;nominal&gt;0&lt;/nominal&gt;</v>
      </c>
      <c r="B16136" t="s">
        <v>3627</v>
      </c>
    </row>
    <row r="16137" spans="1:8" x14ac:dyDescent="0.25">
      <c r="A16137" t="str">
        <f>"&lt;lifetime&gt;" &amp;$E$16135&amp;"&lt;/lifetime&gt;"</f>
        <v>&lt;lifetime&gt;1800&lt;/lifetime&gt;</v>
      </c>
      <c r="B16137" t="s">
        <v>3627</v>
      </c>
    </row>
    <row r="16138" spans="1:8" x14ac:dyDescent="0.25">
      <c r="A16138" t="str">
        <f>"&lt;restock&gt;" &amp;$F$16135&amp;"&lt;/restock&gt;"</f>
        <v>&lt;restock&gt;0&lt;/restock&gt;</v>
      </c>
      <c r="B16138" t="s">
        <v>3627</v>
      </c>
    </row>
    <row r="16139" spans="1:8" x14ac:dyDescent="0.25">
      <c r="A16139" t="str">
        <f>"&lt;min&gt;" &amp;$G$16135&amp;"&lt;/min&gt;"</f>
        <v>&lt;min&gt;1&lt;/min&gt;</v>
      </c>
      <c r="B16139" t="s">
        <v>3627</v>
      </c>
    </row>
    <row r="16140" spans="1:8" x14ac:dyDescent="0.25">
      <c r="A16140" t="s">
        <v>16</v>
      </c>
      <c r="B16140" t="s">
        <v>3627</v>
      </c>
    </row>
    <row r="16141" spans="1:8" x14ac:dyDescent="0.25">
      <c r="A16141" t="s">
        <v>17</v>
      </c>
      <c r="B16141" t="s">
        <v>3627</v>
      </c>
    </row>
    <row r="16142" spans="1:8" x14ac:dyDescent="0.25">
      <c r="A16142" t="s">
        <v>18</v>
      </c>
      <c r="B16142" t="s">
        <v>3627</v>
      </c>
    </row>
    <row r="16143" spans="1:8" x14ac:dyDescent="0.25">
      <c r="A16143" t="str">
        <f xml:space="preserve"> $H$16135</f>
        <v>&lt;flags count_in_cargo="0" count_in_hoarder="0" count_in_map="1" count_in_player="0" crafted="0" deloot="0"/&gt;</v>
      </c>
      <c r="B16143" t="s">
        <v>3627</v>
      </c>
    </row>
    <row r="16144" spans="1:8" x14ac:dyDescent="0.25">
      <c r="A16144" t="s">
        <v>22</v>
      </c>
      <c r="B16144" t="s">
        <v>3627</v>
      </c>
    </row>
    <row r="16145" spans="1:8" x14ac:dyDescent="0.25">
      <c r="A16145" t="s">
        <v>2669</v>
      </c>
      <c r="B16145" t="s">
        <v>3628</v>
      </c>
      <c r="D16145">
        <v>0</v>
      </c>
      <c r="E16145">
        <v>1800</v>
      </c>
      <c r="F16145">
        <v>0</v>
      </c>
      <c r="G16145">
        <v>1</v>
      </c>
      <c r="H16145" t="s">
        <v>19</v>
      </c>
    </row>
    <row r="16146" spans="1:8" x14ac:dyDescent="0.25">
      <c r="A16146" t="str">
        <f>"&lt;nominal&gt;" &amp;$D$16145&amp;"&lt;/nominal&gt;"</f>
        <v>&lt;nominal&gt;0&lt;/nominal&gt;</v>
      </c>
      <c r="B16146" t="s">
        <v>3628</v>
      </c>
    </row>
    <row r="16147" spans="1:8" x14ac:dyDescent="0.25">
      <c r="A16147" t="str">
        <f>"&lt;lifetime&gt;" &amp;$E$16145&amp;"&lt;/lifetime&gt;"</f>
        <v>&lt;lifetime&gt;1800&lt;/lifetime&gt;</v>
      </c>
      <c r="B16147" t="s">
        <v>3628</v>
      </c>
    </row>
    <row r="16148" spans="1:8" x14ac:dyDescent="0.25">
      <c r="A16148" t="str">
        <f>"&lt;restock&gt;" &amp;$F$16145&amp;"&lt;/restock&gt;"</f>
        <v>&lt;restock&gt;0&lt;/restock&gt;</v>
      </c>
      <c r="B16148" t="s">
        <v>3628</v>
      </c>
    </row>
    <row r="16149" spans="1:8" x14ac:dyDescent="0.25">
      <c r="A16149" t="str">
        <f>"&lt;min&gt;" &amp;$G$16145&amp;"&lt;/min&gt;"</f>
        <v>&lt;min&gt;1&lt;/min&gt;</v>
      </c>
      <c r="B16149" t="s">
        <v>3628</v>
      </c>
    </row>
    <row r="16150" spans="1:8" x14ac:dyDescent="0.25">
      <c r="A16150" t="s">
        <v>16</v>
      </c>
      <c r="B16150" t="s">
        <v>3628</v>
      </c>
    </row>
    <row r="16151" spans="1:8" x14ac:dyDescent="0.25">
      <c r="A16151" t="s">
        <v>17</v>
      </c>
      <c r="B16151" t="s">
        <v>3628</v>
      </c>
    </row>
    <row r="16152" spans="1:8" x14ac:dyDescent="0.25">
      <c r="A16152" t="s">
        <v>18</v>
      </c>
      <c r="B16152" t="s">
        <v>3628</v>
      </c>
    </row>
    <row r="16153" spans="1:8" x14ac:dyDescent="0.25">
      <c r="A16153" t="str">
        <f xml:space="preserve"> $H$16145</f>
        <v>&lt;flags count_in_cargo="0" count_in_hoarder="0" count_in_map="1" count_in_player="0" crafted="0" deloot="0"/&gt;</v>
      </c>
      <c r="B16153" t="s">
        <v>3628</v>
      </c>
    </row>
    <row r="16154" spans="1:8" x14ac:dyDescent="0.25">
      <c r="A16154" t="s">
        <v>22</v>
      </c>
      <c r="B16154" t="s">
        <v>3628</v>
      </c>
    </row>
    <row r="16155" spans="1:8" x14ac:dyDescent="0.25">
      <c r="A16155" t="s">
        <v>2670</v>
      </c>
      <c r="B16155" t="s">
        <v>3629</v>
      </c>
      <c r="D16155">
        <v>0</v>
      </c>
      <c r="E16155">
        <v>1800</v>
      </c>
      <c r="F16155">
        <v>0</v>
      </c>
      <c r="G16155">
        <v>1</v>
      </c>
      <c r="H16155" t="s">
        <v>19</v>
      </c>
    </row>
    <row r="16156" spans="1:8" x14ac:dyDescent="0.25">
      <c r="A16156" t="str">
        <f>"&lt;nominal&gt;" &amp;$D$16155&amp;"&lt;/nominal&gt;"</f>
        <v>&lt;nominal&gt;0&lt;/nominal&gt;</v>
      </c>
      <c r="B16156" t="s">
        <v>3629</v>
      </c>
    </row>
    <row r="16157" spans="1:8" x14ac:dyDescent="0.25">
      <c r="A16157" t="str">
        <f>"&lt;lifetime&gt;" &amp;$E$16155&amp;"&lt;/lifetime&gt;"</f>
        <v>&lt;lifetime&gt;1800&lt;/lifetime&gt;</v>
      </c>
      <c r="B16157" t="s">
        <v>3629</v>
      </c>
    </row>
    <row r="16158" spans="1:8" x14ac:dyDescent="0.25">
      <c r="A16158" t="str">
        <f>"&lt;restock&gt;" &amp;$F$16155&amp;"&lt;/restock&gt;"</f>
        <v>&lt;restock&gt;0&lt;/restock&gt;</v>
      </c>
      <c r="B16158" t="s">
        <v>3629</v>
      </c>
    </row>
    <row r="16159" spans="1:8" x14ac:dyDescent="0.25">
      <c r="A16159" t="str">
        <f>"&lt;min&gt;" &amp;$G$16155&amp;"&lt;/min&gt;"</f>
        <v>&lt;min&gt;1&lt;/min&gt;</v>
      </c>
      <c r="B16159" t="s">
        <v>3629</v>
      </c>
    </row>
    <row r="16160" spans="1:8" x14ac:dyDescent="0.25">
      <c r="A16160" t="s">
        <v>16</v>
      </c>
      <c r="B16160" t="s">
        <v>3629</v>
      </c>
    </row>
    <row r="16161" spans="1:8" x14ac:dyDescent="0.25">
      <c r="A16161" t="s">
        <v>17</v>
      </c>
      <c r="B16161" t="s">
        <v>3629</v>
      </c>
    </row>
    <row r="16162" spans="1:8" x14ac:dyDescent="0.25">
      <c r="A16162" t="s">
        <v>18</v>
      </c>
      <c r="B16162" t="s">
        <v>3629</v>
      </c>
    </row>
    <row r="16163" spans="1:8" x14ac:dyDescent="0.25">
      <c r="A16163" t="str">
        <f xml:space="preserve"> $H$16155</f>
        <v>&lt;flags count_in_cargo="0" count_in_hoarder="0" count_in_map="1" count_in_player="0" crafted="0" deloot="0"/&gt;</v>
      </c>
      <c r="B16163" t="s">
        <v>3629</v>
      </c>
    </row>
    <row r="16164" spans="1:8" x14ac:dyDescent="0.25">
      <c r="A16164" t="s">
        <v>22</v>
      </c>
      <c r="B16164" t="s">
        <v>3629</v>
      </c>
    </row>
    <row r="16165" spans="1:8" x14ac:dyDescent="0.25">
      <c r="A16165" t="s">
        <v>2671</v>
      </c>
      <c r="B16165" t="s">
        <v>3630</v>
      </c>
      <c r="D16165">
        <v>0</v>
      </c>
      <c r="E16165">
        <v>1800</v>
      </c>
      <c r="F16165">
        <v>0</v>
      </c>
      <c r="G16165">
        <v>1</v>
      </c>
      <c r="H16165" t="s">
        <v>19</v>
      </c>
    </row>
    <row r="16166" spans="1:8" x14ac:dyDescent="0.25">
      <c r="A16166" t="str">
        <f>"&lt;nominal&gt;" &amp;$D$16165&amp;"&lt;/nominal&gt;"</f>
        <v>&lt;nominal&gt;0&lt;/nominal&gt;</v>
      </c>
      <c r="B16166" t="s">
        <v>3630</v>
      </c>
    </row>
    <row r="16167" spans="1:8" x14ac:dyDescent="0.25">
      <c r="A16167" t="str">
        <f>"&lt;lifetime&gt;" &amp;$E$16165&amp;"&lt;/lifetime&gt;"</f>
        <v>&lt;lifetime&gt;1800&lt;/lifetime&gt;</v>
      </c>
      <c r="B16167" t="s">
        <v>3630</v>
      </c>
    </row>
    <row r="16168" spans="1:8" x14ac:dyDescent="0.25">
      <c r="A16168" t="str">
        <f>"&lt;restock&gt;" &amp;$F$16165&amp;"&lt;/restock&gt;"</f>
        <v>&lt;restock&gt;0&lt;/restock&gt;</v>
      </c>
      <c r="B16168" t="s">
        <v>3630</v>
      </c>
    </row>
    <row r="16169" spans="1:8" x14ac:dyDescent="0.25">
      <c r="A16169" t="str">
        <f>"&lt;min&gt;" &amp;$G$16165&amp;"&lt;/min&gt;"</f>
        <v>&lt;min&gt;1&lt;/min&gt;</v>
      </c>
      <c r="B16169" t="s">
        <v>3630</v>
      </c>
    </row>
    <row r="16170" spans="1:8" x14ac:dyDescent="0.25">
      <c r="A16170" t="s">
        <v>16</v>
      </c>
      <c r="B16170" t="s">
        <v>3630</v>
      </c>
    </row>
    <row r="16171" spans="1:8" x14ac:dyDescent="0.25">
      <c r="A16171" t="s">
        <v>17</v>
      </c>
      <c r="B16171" t="s">
        <v>3630</v>
      </c>
    </row>
    <row r="16172" spans="1:8" x14ac:dyDescent="0.25">
      <c r="A16172" t="s">
        <v>18</v>
      </c>
      <c r="B16172" t="s">
        <v>3630</v>
      </c>
    </row>
    <row r="16173" spans="1:8" x14ac:dyDescent="0.25">
      <c r="A16173" t="str">
        <f xml:space="preserve"> $H$16165</f>
        <v>&lt;flags count_in_cargo="0" count_in_hoarder="0" count_in_map="1" count_in_player="0" crafted="0" deloot="0"/&gt;</v>
      </c>
      <c r="B16173" t="s">
        <v>3630</v>
      </c>
    </row>
    <row r="16174" spans="1:8" x14ac:dyDescent="0.25">
      <c r="A16174" t="s">
        <v>22</v>
      </c>
      <c r="B16174" t="s">
        <v>3630</v>
      </c>
    </row>
    <row r="16175" spans="1:8" x14ac:dyDescent="0.25">
      <c r="A16175" t="s">
        <v>2672</v>
      </c>
      <c r="B16175" t="s">
        <v>3631</v>
      </c>
      <c r="D16175">
        <v>0</v>
      </c>
      <c r="E16175">
        <v>1800</v>
      </c>
      <c r="F16175">
        <v>0</v>
      </c>
      <c r="G16175">
        <v>1</v>
      </c>
      <c r="H16175" t="s">
        <v>19</v>
      </c>
    </row>
    <row r="16176" spans="1:8" x14ac:dyDescent="0.25">
      <c r="A16176" t="str">
        <f>"&lt;nominal&gt;" &amp;$D$16175&amp;"&lt;/nominal&gt;"</f>
        <v>&lt;nominal&gt;0&lt;/nominal&gt;</v>
      </c>
      <c r="B16176" t="s">
        <v>3631</v>
      </c>
    </row>
    <row r="16177" spans="1:8" x14ac:dyDescent="0.25">
      <c r="A16177" t="str">
        <f>"&lt;lifetime&gt;" &amp;$E$16175&amp;"&lt;/lifetime&gt;"</f>
        <v>&lt;lifetime&gt;1800&lt;/lifetime&gt;</v>
      </c>
      <c r="B16177" t="s">
        <v>3631</v>
      </c>
    </row>
    <row r="16178" spans="1:8" x14ac:dyDescent="0.25">
      <c r="A16178" t="str">
        <f>"&lt;restock&gt;" &amp;$F$16175&amp;"&lt;/restock&gt;"</f>
        <v>&lt;restock&gt;0&lt;/restock&gt;</v>
      </c>
      <c r="B16178" t="s">
        <v>3631</v>
      </c>
    </row>
    <row r="16179" spans="1:8" x14ac:dyDescent="0.25">
      <c r="A16179" t="str">
        <f>"&lt;min&gt;" &amp;$G$16175&amp;"&lt;/min&gt;"</f>
        <v>&lt;min&gt;1&lt;/min&gt;</v>
      </c>
      <c r="B16179" t="s">
        <v>3631</v>
      </c>
    </row>
    <row r="16180" spans="1:8" x14ac:dyDescent="0.25">
      <c r="A16180" t="s">
        <v>16</v>
      </c>
      <c r="B16180" t="s">
        <v>3631</v>
      </c>
    </row>
    <row r="16181" spans="1:8" x14ac:dyDescent="0.25">
      <c r="A16181" t="s">
        <v>17</v>
      </c>
      <c r="B16181" t="s">
        <v>3631</v>
      </c>
    </row>
    <row r="16182" spans="1:8" x14ac:dyDescent="0.25">
      <c r="A16182" t="s">
        <v>18</v>
      </c>
      <c r="B16182" t="s">
        <v>3631</v>
      </c>
    </row>
    <row r="16183" spans="1:8" x14ac:dyDescent="0.25">
      <c r="A16183" t="str">
        <f xml:space="preserve"> $H$16175</f>
        <v>&lt;flags count_in_cargo="0" count_in_hoarder="0" count_in_map="1" count_in_player="0" crafted="0" deloot="0"/&gt;</v>
      </c>
      <c r="B16183" t="s">
        <v>3631</v>
      </c>
    </row>
    <row r="16184" spans="1:8" x14ac:dyDescent="0.25">
      <c r="A16184" t="s">
        <v>22</v>
      </c>
      <c r="B16184" t="s">
        <v>3631</v>
      </c>
    </row>
    <row r="16185" spans="1:8" x14ac:dyDescent="0.25">
      <c r="A16185" t="s">
        <v>2673</v>
      </c>
      <c r="B16185" t="s">
        <v>3632</v>
      </c>
      <c r="D16185">
        <v>0</v>
      </c>
      <c r="E16185">
        <v>1800</v>
      </c>
      <c r="F16185">
        <v>0</v>
      </c>
      <c r="G16185">
        <v>1</v>
      </c>
      <c r="H16185" t="s">
        <v>19</v>
      </c>
    </row>
    <row r="16186" spans="1:8" x14ac:dyDescent="0.25">
      <c r="A16186" t="str">
        <f>"&lt;nominal&gt;" &amp;$D$16185&amp;"&lt;/nominal&gt;"</f>
        <v>&lt;nominal&gt;0&lt;/nominal&gt;</v>
      </c>
      <c r="B16186" t="s">
        <v>3632</v>
      </c>
    </row>
    <row r="16187" spans="1:8" x14ac:dyDescent="0.25">
      <c r="A16187" t="str">
        <f>"&lt;lifetime&gt;" &amp;$E$16185&amp;"&lt;/lifetime&gt;"</f>
        <v>&lt;lifetime&gt;1800&lt;/lifetime&gt;</v>
      </c>
      <c r="B16187" t="s">
        <v>3632</v>
      </c>
    </row>
    <row r="16188" spans="1:8" x14ac:dyDescent="0.25">
      <c r="A16188" t="str">
        <f>"&lt;restock&gt;" &amp;$F$16185&amp;"&lt;/restock&gt;"</f>
        <v>&lt;restock&gt;0&lt;/restock&gt;</v>
      </c>
      <c r="B16188" t="s">
        <v>3632</v>
      </c>
    </row>
    <row r="16189" spans="1:8" x14ac:dyDescent="0.25">
      <c r="A16189" t="str">
        <f>"&lt;min&gt;" &amp;$G$16185&amp;"&lt;/min&gt;"</f>
        <v>&lt;min&gt;1&lt;/min&gt;</v>
      </c>
      <c r="B16189" t="s">
        <v>3632</v>
      </c>
    </row>
    <row r="16190" spans="1:8" x14ac:dyDescent="0.25">
      <c r="A16190" t="s">
        <v>16</v>
      </c>
      <c r="B16190" t="s">
        <v>3632</v>
      </c>
    </row>
    <row r="16191" spans="1:8" x14ac:dyDescent="0.25">
      <c r="A16191" t="s">
        <v>17</v>
      </c>
      <c r="B16191" t="s">
        <v>3632</v>
      </c>
    </row>
    <row r="16192" spans="1:8" x14ac:dyDescent="0.25">
      <c r="A16192" t="s">
        <v>18</v>
      </c>
      <c r="B16192" t="s">
        <v>3632</v>
      </c>
    </row>
    <row r="16193" spans="1:8" x14ac:dyDescent="0.25">
      <c r="A16193" t="str">
        <f xml:space="preserve"> $H$16185</f>
        <v>&lt;flags count_in_cargo="0" count_in_hoarder="0" count_in_map="1" count_in_player="0" crafted="0" deloot="0"/&gt;</v>
      </c>
      <c r="B16193" t="s">
        <v>3632</v>
      </c>
    </row>
    <row r="16194" spans="1:8" x14ac:dyDescent="0.25">
      <c r="A16194" t="s">
        <v>22</v>
      </c>
      <c r="B16194" t="s">
        <v>3632</v>
      </c>
    </row>
    <row r="16195" spans="1:8" x14ac:dyDescent="0.25">
      <c r="A16195" t="s">
        <v>2674</v>
      </c>
      <c r="B16195" t="s">
        <v>3633</v>
      </c>
      <c r="D16195">
        <v>0</v>
      </c>
      <c r="E16195">
        <v>1800</v>
      </c>
      <c r="F16195">
        <v>0</v>
      </c>
      <c r="G16195">
        <v>1</v>
      </c>
      <c r="H16195" t="s">
        <v>19</v>
      </c>
    </row>
    <row r="16196" spans="1:8" x14ac:dyDescent="0.25">
      <c r="A16196" t="str">
        <f>"&lt;nominal&gt;" &amp;$D$16195&amp;"&lt;/nominal&gt;"</f>
        <v>&lt;nominal&gt;0&lt;/nominal&gt;</v>
      </c>
      <c r="B16196" t="s">
        <v>3633</v>
      </c>
    </row>
    <row r="16197" spans="1:8" x14ac:dyDescent="0.25">
      <c r="A16197" t="str">
        <f>"&lt;lifetime&gt;" &amp;$E$16195&amp;"&lt;/lifetime&gt;"</f>
        <v>&lt;lifetime&gt;1800&lt;/lifetime&gt;</v>
      </c>
      <c r="B16197" t="s">
        <v>3633</v>
      </c>
    </row>
    <row r="16198" spans="1:8" x14ac:dyDescent="0.25">
      <c r="A16198" t="str">
        <f>"&lt;restock&gt;" &amp;$F$16195&amp;"&lt;/restock&gt;"</f>
        <v>&lt;restock&gt;0&lt;/restock&gt;</v>
      </c>
      <c r="B16198" t="s">
        <v>3633</v>
      </c>
    </row>
    <row r="16199" spans="1:8" x14ac:dyDescent="0.25">
      <c r="A16199" t="str">
        <f>"&lt;min&gt;" &amp;$G$16195&amp;"&lt;/min&gt;"</f>
        <v>&lt;min&gt;1&lt;/min&gt;</v>
      </c>
      <c r="B16199" t="s">
        <v>3633</v>
      </c>
    </row>
    <row r="16200" spans="1:8" x14ac:dyDescent="0.25">
      <c r="A16200" t="s">
        <v>16</v>
      </c>
      <c r="B16200" t="s">
        <v>3633</v>
      </c>
    </row>
    <row r="16201" spans="1:8" x14ac:dyDescent="0.25">
      <c r="A16201" t="s">
        <v>17</v>
      </c>
      <c r="B16201" t="s">
        <v>3633</v>
      </c>
    </row>
    <row r="16202" spans="1:8" x14ac:dyDescent="0.25">
      <c r="A16202" t="s">
        <v>18</v>
      </c>
      <c r="B16202" t="s">
        <v>3633</v>
      </c>
    </row>
    <row r="16203" spans="1:8" x14ac:dyDescent="0.25">
      <c r="A16203" t="str">
        <f xml:space="preserve"> $H$16195</f>
        <v>&lt;flags count_in_cargo="0" count_in_hoarder="0" count_in_map="1" count_in_player="0" crafted="0" deloot="0"/&gt;</v>
      </c>
      <c r="B16203" t="s">
        <v>3633</v>
      </c>
    </row>
    <row r="16204" spans="1:8" x14ac:dyDescent="0.25">
      <c r="A16204" t="s">
        <v>22</v>
      </c>
      <c r="B16204" t="s">
        <v>3633</v>
      </c>
    </row>
    <row r="16205" spans="1:8" x14ac:dyDescent="0.25">
      <c r="A16205" t="s">
        <v>2675</v>
      </c>
      <c r="B16205" t="s">
        <v>3634</v>
      </c>
      <c r="D16205">
        <v>0</v>
      </c>
      <c r="E16205">
        <v>1800</v>
      </c>
      <c r="F16205">
        <v>0</v>
      </c>
      <c r="G16205">
        <v>1</v>
      </c>
      <c r="H16205" t="s">
        <v>19</v>
      </c>
    </row>
    <row r="16206" spans="1:8" x14ac:dyDescent="0.25">
      <c r="A16206" t="str">
        <f>"&lt;nominal&gt;" &amp;$D$16205&amp;"&lt;/nominal&gt;"</f>
        <v>&lt;nominal&gt;0&lt;/nominal&gt;</v>
      </c>
      <c r="B16206" t="s">
        <v>3634</v>
      </c>
    </row>
    <row r="16207" spans="1:8" x14ac:dyDescent="0.25">
      <c r="A16207" t="str">
        <f>"&lt;lifetime&gt;" &amp;$E$16205&amp;"&lt;/lifetime&gt;"</f>
        <v>&lt;lifetime&gt;1800&lt;/lifetime&gt;</v>
      </c>
      <c r="B16207" t="s">
        <v>3634</v>
      </c>
    </row>
    <row r="16208" spans="1:8" x14ac:dyDescent="0.25">
      <c r="A16208" t="str">
        <f>"&lt;restock&gt;" &amp;$F$16205&amp;"&lt;/restock&gt;"</f>
        <v>&lt;restock&gt;0&lt;/restock&gt;</v>
      </c>
      <c r="B16208" t="s">
        <v>3634</v>
      </c>
    </row>
    <row r="16209" spans="1:8" x14ac:dyDescent="0.25">
      <c r="A16209" t="str">
        <f>"&lt;min&gt;" &amp;$G$16205&amp;"&lt;/min&gt;"</f>
        <v>&lt;min&gt;1&lt;/min&gt;</v>
      </c>
      <c r="B16209" t="s">
        <v>3634</v>
      </c>
    </row>
    <row r="16210" spans="1:8" x14ac:dyDescent="0.25">
      <c r="A16210" t="s">
        <v>16</v>
      </c>
      <c r="B16210" t="s">
        <v>3634</v>
      </c>
    </row>
    <row r="16211" spans="1:8" x14ac:dyDescent="0.25">
      <c r="A16211" t="s">
        <v>17</v>
      </c>
      <c r="B16211" t="s">
        <v>3634</v>
      </c>
    </row>
    <row r="16212" spans="1:8" x14ac:dyDescent="0.25">
      <c r="A16212" t="s">
        <v>18</v>
      </c>
      <c r="B16212" t="s">
        <v>3634</v>
      </c>
    </row>
    <row r="16213" spans="1:8" x14ac:dyDescent="0.25">
      <c r="A16213" t="str">
        <f xml:space="preserve"> $H$16205</f>
        <v>&lt;flags count_in_cargo="0" count_in_hoarder="0" count_in_map="1" count_in_player="0" crafted="0" deloot="0"/&gt;</v>
      </c>
      <c r="B16213" t="s">
        <v>3634</v>
      </c>
    </row>
    <row r="16214" spans="1:8" x14ac:dyDescent="0.25">
      <c r="A16214" t="s">
        <v>22</v>
      </c>
      <c r="B16214" t="s">
        <v>3634</v>
      </c>
    </row>
    <row r="16215" spans="1:8" x14ac:dyDescent="0.25">
      <c r="A16215" t="s">
        <v>2676</v>
      </c>
      <c r="B16215" t="s">
        <v>3635</v>
      </c>
      <c r="D16215">
        <v>0</v>
      </c>
      <c r="E16215">
        <v>1800</v>
      </c>
      <c r="F16215">
        <v>0</v>
      </c>
      <c r="G16215">
        <v>1</v>
      </c>
      <c r="H16215" t="s">
        <v>19</v>
      </c>
    </row>
    <row r="16216" spans="1:8" x14ac:dyDescent="0.25">
      <c r="A16216" t="str">
        <f>"&lt;nominal&gt;" &amp;$D$16215&amp;"&lt;/nominal&gt;"</f>
        <v>&lt;nominal&gt;0&lt;/nominal&gt;</v>
      </c>
      <c r="B16216" t="s">
        <v>3635</v>
      </c>
    </row>
    <row r="16217" spans="1:8" x14ac:dyDescent="0.25">
      <c r="A16217" t="str">
        <f>"&lt;lifetime&gt;" &amp;$E$16215&amp;"&lt;/lifetime&gt;"</f>
        <v>&lt;lifetime&gt;1800&lt;/lifetime&gt;</v>
      </c>
      <c r="B16217" t="s">
        <v>3635</v>
      </c>
    </row>
    <row r="16218" spans="1:8" x14ac:dyDescent="0.25">
      <c r="A16218" t="str">
        <f>"&lt;restock&gt;" &amp;$F$16215&amp;"&lt;/restock&gt;"</f>
        <v>&lt;restock&gt;0&lt;/restock&gt;</v>
      </c>
      <c r="B16218" t="s">
        <v>3635</v>
      </c>
    </row>
    <row r="16219" spans="1:8" x14ac:dyDescent="0.25">
      <c r="A16219" t="str">
        <f>"&lt;min&gt;" &amp;$G$16215&amp;"&lt;/min&gt;"</f>
        <v>&lt;min&gt;1&lt;/min&gt;</v>
      </c>
      <c r="B16219" t="s">
        <v>3635</v>
      </c>
    </row>
    <row r="16220" spans="1:8" x14ac:dyDescent="0.25">
      <c r="A16220" t="s">
        <v>16</v>
      </c>
      <c r="B16220" t="s">
        <v>3635</v>
      </c>
    </row>
    <row r="16221" spans="1:8" x14ac:dyDescent="0.25">
      <c r="A16221" t="s">
        <v>17</v>
      </c>
      <c r="B16221" t="s">
        <v>3635</v>
      </c>
    </row>
    <row r="16222" spans="1:8" x14ac:dyDescent="0.25">
      <c r="A16222" t="s">
        <v>18</v>
      </c>
      <c r="B16222" t="s">
        <v>3635</v>
      </c>
    </row>
    <row r="16223" spans="1:8" x14ac:dyDescent="0.25">
      <c r="A16223" t="str">
        <f xml:space="preserve"> $H$16215</f>
        <v>&lt;flags count_in_cargo="0" count_in_hoarder="0" count_in_map="1" count_in_player="0" crafted="0" deloot="0"/&gt;</v>
      </c>
      <c r="B16223" t="s">
        <v>3635</v>
      </c>
    </row>
    <row r="16224" spans="1:8" x14ac:dyDescent="0.25">
      <c r="A16224" t="s">
        <v>22</v>
      </c>
      <c r="B16224" t="s">
        <v>3635</v>
      </c>
    </row>
    <row r="16225" spans="1:8" x14ac:dyDescent="0.25">
      <c r="A16225" t="s">
        <v>2677</v>
      </c>
      <c r="B16225" t="s">
        <v>3636</v>
      </c>
      <c r="D16225">
        <v>0</v>
      </c>
      <c r="E16225">
        <v>1800</v>
      </c>
      <c r="F16225">
        <v>0</v>
      </c>
      <c r="G16225">
        <v>1</v>
      </c>
      <c r="H16225" t="s">
        <v>19</v>
      </c>
    </row>
    <row r="16226" spans="1:8" x14ac:dyDescent="0.25">
      <c r="A16226" t="str">
        <f>"&lt;nominal&gt;" &amp;$D$16225&amp;"&lt;/nominal&gt;"</f>
        <v>&lt;nominal&gt;0&lt;/nominal&gt;</v>
      </c>
      <c r="B16226" t="s">
        <v>3636</v>
      </c>
    </row>
    <row r="16227" spans="1:8" x14ac:dyDescent="0.25">
      <c r="A16227" t="str">
        <f>"&lt;lifetime&gt;" &amp;$E$16225&amp;"&lt;/lifetime&gt;"</f>
        <v>&lt;lifetime&gt;1800&lt;/lifetime&gt;</v>
      </c>
      <c r="B16227" t="s">
        <v>3636</v>
      </c>
    </row>
    <row r="16228" spans="1:8" x14ac:dyDescent="0.25">
      <c r="A16228" t="str">
        <f>"&lt;restock&gt;" &amp;$F$16225&amp;"&lt;/restock&gt;"</f>
        <v>&lt;restock&gt;0&lt;/restock&gt;</v>
      </c>
      <c r="B16228" t="s">
        <v>3636</v>
      </c>
    </row>
    <row r="16229" spans="1:8" x14ac:dyDescent="0.25">
      <c r="A16229" t="str">
        <f>"&lt;min&gt;" &amp;$G$16225&amp;"&lt;/min&gt;"</f>
        <v>&lt;min&gt;1&lt;/min&gt;</v>
      </c>
      <c r="B16229" t="s">
        <v>3636</v>
      </c>
    </row>
    <row r="16230" spans="1:8" x14ac:dyDescent="0.25">
      <c r="A16230" t="s">
        <v>16</v>
      </c>
      <c r="B16230" t="s">
        <v>3636</v>
      </c>
    </row>
    <row r="16231" spans="1:8" x14ac:dyDescent="0.25">
      <c r="A16231" t="s">
        <v>17</v>
      </c>
      <c r="B16231" t="s">
        <v>3636</v>
      </c>
    </row>
    <row r="16232" spans="1:8" x14ac:dyDescent="0.25">
      <c r="A16232" t="s">
        <v>18</v>
      </c>
      <c r="B16232" t="s">
        <v>3636</v>
      </c>
    </row>
    <row r="16233" spans="1:8" x14ac:dyDescent="0.25">
      <c r="A16233" t="str">
        <f xml:space="preserve"> $H$16225</f>
        <v>&lt;flags count_in_cargo="0" count_in_hoarder="0" count_in_map="1" count_in_player="0" crafted="0" deloot="0"/&gt;</v>
      </c>
      <c r="B16233" t="s">
        <v>3636</v>
      </c>
    </row>
    <row r="16234" spans="1:8" x14ac:dyDescent="0.25">
      <c r="A16234" t="s">
        <v>22</v>
      </c>
      <c r="B16234" t="s">
        <v>3636</v>
      </c>
    </row>
    <row r="16235" spans="1:8" x14ac:dyDescent="0.25">
      <c r="A16235" t="s">
        <v>2678</v>
      </c>
      <c r="B16235" t="s">
        <v>3637</v>
      </c>
      <c r="D16235">
        <v>0</v>
      </c>
      <c r="E16235">
        <v>1800</v>
      </c>
      <c r="F16235">
        <v>0</v>
      </c>
      <c r="G16235">
        <v>1</v>
      </c>
      <c r="H16235" t="s">
        <v>19</v>
      </c>
    </row>
    <row r="16236" spans="1:8" x14ac:dyDescent="0.25">
      <c r="A16236" t="str">
        <f>"&lt;nominal&gt;" &amp;$D$16235&amp;"&lt;/nominal&gt;"</f>
        <v>&lt;nominal&gt;0&lt;/nominal&gt;</v>
      </c>
      <c r="B16236" t="s">
        <v>3637</v>
      </c>
    </row>
    <row r="16237" spans="1:8" x14ac:dyDescent="0.25">
      <c r="A16237" t="str">
        <f>"&lt;lifetime&gt;" &amp;$E$16235&amp;"&lt;/lifetime&gt;"</f>
        <v>&lt;lifetime&gt;1800&lt;/lifetime&gt;</v>
      </c>
      <c r="B16237" t="s">
        <v>3637</v>
      </c>
    </row>
    <row r="16238" spans="1:8" x14ac:dyDescent="0.25">
      <c r="A16238" t="str">
        <f>"&lt;restock&gt;" &amp;$F$16235&amp;"&lt;/restock&gt;"</f>
        <v>&lt;restock&gt;0&lt;/restock&gt;</v>
      </c>
      <c r="B16238" t="s">
        <v>3637</v>
      </c>
    </row>
    <row r="16239" spans="1:8" x14ac:dyDescent="0.25">
      <c r="A16239" t="str">
        <f>"&lt;min&gt;" &amp;$G$16235&amp;"&lt;/min&gt;"</f>
        <v>&lt;min&gt;1&lt;/min&gt;</v>
      </c>
      <c r="B16239" t="s">
        <v>3637</v>
      </c>
    </row>
    <row r="16240" spans="1:8" x14ac:dyDescent="0.25">
      <c r="A16240" t="s">
        <v>16</v>
      </c>
      <c r="B16240" t="s">
        <v>3637</v>
      </c>
    </row>
    <row r="16241" spans="1:8" x14ac:dyDescent="0.25">
      <c r="A16241" t="s">
        <v>17</v>
      </c>
      <c r="B16241" t="s">
        <v>3637</v>
      </c>
    </row>
    <row r="16242" spans="1:8" x14ac:dyDescent="0.25">
      <c r="A16242" t="s">
        <v>18</v>
      </c>
      <c r="B16242" t="s">
        <v>3637</v>
      </c>
    </row>
    <row r="16243" spans="1:8" x14ac:dyDescent="0.25">
      <c r="A16243" t="str">
        <f xml:space="preserve"> $H$16235</f>
        <v>&lt;flags count_in_cargo="0" count_in_hoarder="0" count_in_map="1" count_in_player="0" crafted="0" deloot="0"/&gt;</v>
      </c>
      <c r="B16243" t="s">
        <v>3637</v>
      </c>
    </row>
    <row r="16244" spans="1:8" x14ac:dyDescent="0.25">
      <c r="A16244" t="s">
        <v>22</v>
      </c>
      <c r="B16244" t="s">
        <v>3637</v>
      </c>
    </row>
    <row r="16245" spans="1:8" x14ac:dyDescent="0.25">
      <c r="A16245" t="s">
        <v>2679</v>
      </c>
      <c r="B16245" t="s">
        <v>1215</v>
      </c>
      <c r="C16245" t="s">
        <v>403</v>
      </c>
      <c r="D16245">
        <v>30</v>
      </c>
      <c r="E16245">
        <v>1800</v>
      </c>
      <c r="F16245">
        <v>0</v>
      </c>
      <c r="G16245">
        <v>20</v>
      </c>
      <c r="H16245" t="s">
        <v>19</v>
      </c>
    </row>
    <row r="16246" spans="1:8" x14ac:dyDescent="0.25">
      <c r="A16246" t="str">
        <f>"&lt;nominal&gt;" &amp;$D$16245&amp;"&lt;/nominal&gt;"</f>
        <v>&lt;nominal&gt;30&lt;/nominal&gt;</v>
      </c>
      <c r="B16246" t="s">
        <v>1215</v>
      </c>
    </row>
    <row r="16247" spans="1:8" x14ac:dyDescent="0.25">
      <c r="A16247" t="str">
        <f>"&lt;lifetime&gt;" &amp;$E$16245&amp;"&lt;/lifetime&gt;"</f>
        <v>&lt;lifetime&gt;1800&lt;/lifetime&gt;</v>
      </c>
      <c r="B16247" t="s">
        <v>1215</v>
      </c>
    </row>
    <row r="16248" spans="1:8" x14ac:dyDescent="0.25">
      <c r="A16248" t="str">
        <f>"&lt;restock&gt;" &amp;$F$16245&amp;"&lt;/restock&gt;"</f>
        <v>&lt;restock&gt;0&lt;/restock&gt;</v>
      </c>
      <c r="B16248" t="s">
        <v>1215</v>
      </c>
    </row>
    <row r="16249" spans="1:8" x14ac:dyDescent="0.25">
      <c r="A16249" t="str">
        <f>"&lt;min&gt;" &amp;$G$16245&amp;"&lt;/min&gt;"</f>
        <v>&lt;min&gt;20&lt;/min&gt;</v>
      </c>
      <c r="B16249" t="s">
        <v>1215</v>
      </c>
    </row>
    <row r="16250" spans="1:8" x14ac:dyDescent="0.25">
      <c r="A16250" t="s">
        <v>16</v>
      </c>
      <c r="B16250" t="s">
        <v>1215</v>
      </c>
    </row>
    <row r="16251" spans="1:8" x14ac:dyDescent="0.25">
      <c r="A16251" t="s">
        <v>17</v>
      </c>
      <c r="B16251" t="s">
        <v>1215</v>
      </c>
    </row>
    <row r="16252" spans="1:8" x14ac:dyDescent="0.25">
      <c r="A16252" t="s">
        <v>18</v>
      </c>
      <c r="B16252" t="s">
        <v>1215</v>
      </c>
    </row>
    <row r="16253" spans="1:8" x14ac:dyDescent="0.25">
      <c r="A16253" t="str">
        <f xml:space="preserve"> $H$16245</f>
        <v>&lt;flags count_in_cargo="0" count_in_hoarder="0" count_in_map="1" count_in_player="0" crafted="0" deloot="0"/&gt;</v>
      </c>
      <c r="B16253" t="s">
        <v>1215</v>
      </c>
    </row>
    <row r="16254" spans="1:8" x14ac:dyDescent="0.25">
      <c r="A16254" t="str">
        <f>"&lt;category name=" &amp;"""" &amp;$C$16245&amp;"""/&gt;"</f>
        <v>&lt;category name="clothes"/&gt;</v>
      </c>
      <c r="B16254" t="s">
        <v>1215</v>
      </c>
    </row>
    <row r="16255" spans="1:8" x14ac:dyDescent="0.25">
      <c r="A16255" t="s">
        <v>20</v>
      </c>
      <c r="B16255" t="s">
        <v>1215</v>
      </c>
    </row>
    <row r="16256" spans="1:8" x14ac:dyDescent="0.25">
      <c r="A16256" t="s">
        <v>55</v>
      </c>
      <c r="B16256" t="s">
        <v>1215</v>
      </c>
    </row>
    <row r="16257" spans="1:8" x14ac:dyDescent="0.25">
      <c r="A16257" t="s">
        <v>56</v>
      </c>
      <c r="B16257" t="s">
        <v>1215</v>
      </c>
    </row>
    <row r="16258" spans="1:8" x14ac:dyDescent="0.25">
      <c r="A16258" t="s">
        <v>39</v>
      </c>
      <c r="B16258" t="s">
        <v>1215</v>
      </c>
    </row>
    <row r="16259" spans="1:8" x14ac:dyDescent="0.25">
      <c r="A16259" t="s">
        <v>40</v>
      </c>
      <c r="B16259" t="s">
        <v>1215</v>
      </c>
    </row>
    <row r="16260" spans="1:8" x14ac:dyDescent="0.25">
      <c r="A16260" t="s">
        <v>22</v>
      </c>
      <c r="B16260" t="s">
        <v>1215</v>
      </c>
    </row>
    <row r="16261" spans="1:8" x14ac:dyDescent="0.25">
      <c r="A16261" t="s">
        <v>2680</v>
      </c>
      <c r="B16261" t="s">
        <v>1216</v>
      </c>
      <c r="C16261" t="s">
        <v>403</v>
      </c>
      <c r="D16261">
        <v>30</v>
      </c>
      <c r="E16261">
        <v>1800</v>
      </c>
      <c r="F16261">
        <v>0</v>
      </c>
      <c r="G16261">
        <v>20</v>
      </c>
      <c r="H16261" t="s">
        <v>19</v>
      </c>
    </row>
    <row r="16262" spans="1:8" x14ac:dyDescent="0.25">
      <c r="A16262" t="str">
        <f>"&lt;nominal&gt;" &amp;$D$16261&amp;"&lt;/nominal&gt;"</f>
        <v>&lt;nominal&gt;30&lt;/nominal&gt;</v>
      </c>
      <c r="B16262" t="s">
        <v>1216</v>
      </c>
    </row>
    <row r="16263" spans="1:8" x14ac:dyDescent="0.25">
      <c r="A16263" t="str">
        <f>"&lt;lifetime&gt;" &amp;$E$16261&amp;"&lt;/lifetime&gt;"</f>
        <v>&lt;lifetime&gt;1800&lt;/lifetime&gt;</v>
      </c>
      <c r="B16263" t="s">
        <v>1216</v>
      </c>
    </row>
    <row r="16264" spans="1:8" x14ac:dyDescent="0.25">
      <c r="A16264" t="str">
        <f>"&lt;restock&gt;" &amp;$F$16261&amp;"&lt;/restock&gt;"</f>
        <v>&lt;restock&gt;0&lt;/restock&gt;</v>
      </c>
      <c r="B16264" t="s">
        <v>1216</v>
      </c>
    </row>
    <row r="16265" spans="1:8" x14ac:dyDescent="0.25">
      <c r="A16265" t="str">
        <f>"&lt;min&gt;" &amp;$G$16261&amp;"&lt;/min&gt;"</f>
        <v>&lt;min&gt;20&lt;/min&gt;</v>
      </c>
      <c r="B16265" t="s">
        <v>1216</v>
      </c>
    </row>
    <row r="16266" spans="1:8" x14ac:dyDescent="0.25">
      <c r="A16266" t="s">
        <v>16</v>
      </c>
      <c r="B16266" t="s">
        <v>1216</v>
      </c>
    </row>
    <row r="16267" spans="1:8" x14ac:dyDescent="0.25">
      <c r="A16267" t="s">
        <v>17</v>
      </c>
      <c r="B16267" t="s">
        <v>1216</v>
      </c>
    </row>
    <row r="16268" spans="1:8" x14ac:dyDescent="0.25">
      <c r="A16268" t="s">
        <v>18</v>
      </c>
      <c r="B16268" t="s">
        <v>1216</v>
      </c>
    </row>
    <row r="16269" spans="1:8" x14ac:dyDescent="0.25">
      <c r="A16269" t="str">
        <f xml:space="preserve"> $H$16261</f>
        <v>&lt;flags count_in_cargo="0" count_in_hoarder="0" count_in_map="1" count_in_player="0" crafted="0" deloot="0"/&gt;</v>
      </c>
      <c r="B16269" t="s">
        <v>1216</v>
      </c>
    </row>
    <row r="16270" spans="1:8" x14ac:dyDescent="0.25">
      <c r="A16270" t="str">
        <f>"&lt;category name=" &amp;"""" &amp;$C$16261&amp;"""/&gt;"</f>
        <v>&lt;category name="clothes"/&gt;</v>
      </c>
      <c r="B16270" t="s">
        <v>1216</v>
      </c>
    </row>
    <row r="16271" spans="1:8" x14ac:dyDescent="0.25">
      <c r="A16271" t="s">
        <v>20</v>
      </c>
      <c r="B16271" t="s">
        <v>1216</v>
      </c>
    </row>
    <row r="16272" spans="1:8" x14ac:dyDescent="0.25">
      <c r="A16272" t="s">
        <v>55</v>
      </c>
      <c r="B16272" t="s">
        <v>1216</v>
      </c>
    </row>
    <row r="16273" spans="1:8" x14ac:dyDescent="0.25">
      <c r="A16273" t="s">
        <v>56</v>
      </c>
      <c r="B16273" t="s">
        <v>1216</v>
      </c>
    </row>
    <row r="16274" spans="1:8" x14ac:dyDescent="0.25">
      <c r="A16274" t="s">
        <v>39</v>
      </c>
      <c r="B16274" t="s">
        <v>1216</v>
      </c>
    </row>
    <row r="16275" spans="1:8" x14ac:dyDescent="0.25">
      <c r="A16275" t="s">
        <v>40</v>
      </c>
      <c r="B16275" t="s">
        <v>1216</v>
      </c>
    </row>
    <row r="16276" spans="1:8" x14ac:dyDescent="0.25">
      <c r="A16276" t="s">
        <v>22</v>
      </c>
      <c r="B16276" t="s">
        <v>1216</v>
      </c>
    </row>
    <row r="16277" spans="1:8" x14ac:dyDescent="0.25">
      <c r="A16277" t="s">
        <v>2681</v>
      </c>
      <c r="B16277" t="s">
        <v>1217</v>
      </c>
      <c r="C16277" t="s">
        <v>403</v>
      </c>
      <c r="D16277">
        <v>30</v>
      </c>
      <c r="E16277">
        <v>1800</v>
      </c>
      <c r="F16277">
        <v>0</v>
      </c>
      <c r="G16277">
        <v>20</v>
      </c>
      <c r="H16277" t="s">
        <v>19</v>
      </c>
    </row>
    <row r="16278" spans="1:8" x14ac:dyDescent="0.25">
      <c r="A16278" t="str">
        <f>"&lt;nominal&gt;" &amp;$D$16277&amp;"&lt;/nominal&gt;"</f>
        <v>&lt;nominal&gt;30&lt;/nominal&gt;</v>
      </c>
      <c r="B16278" t="s">
        <v>1217</v>
      </c>
    </row>
    <row r="16279" spans="1:8" x14ac:dyDescent="0.25">
      <c r="A16279" t="str">
        <f>"&lt;lifetime&gt;" &amp;$E$16277&amp;"&lt;/lifetime&gt;"</f>
        <v>&lt;lifetime&gt;1800&lt;/lifetime&gt;</v>
      </c>
      <c r="B16279" t="s">
        <v>1217</v>
      </c>
    </row>
    <row r="16280" spans="1:8" x14ac:dyDescent="0.25">
      <c r="A16280" t="str">
        <f>"&lt;restock&gt;" &amp;$F$16277&amp;"&lt;/restock&gt;"</f>
        <v>&lt;restock&gt;0&lt;/restock&gt;</v>
      </c>
      <c r="B16280" t="s">
        <v>1217</v>
      </c>
    </row>
    <row r="16281" spans="1:8" x14ac:dyDescent="0.25">
      <c r="A16281" t="str">
        <f>"&lt;min&gt;" &amp;$G$16277&amp;"&lt;/min&gt;"</f>
        <v>&lt;min&gt;20&lt;/min&gt;</v>
      </c>
      <c r="B16281" t="s">
        <v>1217</v>
      </c>
    </row>
    <row r="16282" spans="1:8" x14ac:dyDescent="0.25">
      <c r="A16282" t="s">
        <v>16</v>
      </c>
      <c r="B16282" t="s">
        <v>1217</v>
      </c>
    </row>
    <row r="16283" spans="1:8" x14ac:dyDescent="0.25">
      <c r="A16283" t="s">
        <v>17</v>
      </c>
      <c r="B16283" t="s">
        <v>1217</v>
      </c>
    </row>
    <row r="16284" spans="1:8" x14ac:dyDescent="0.25">
      <c r="A16284" t="s">
        <v>18</v>
      </c>
      <c r="B16284" t="s">
        <v>1217</v>
      </c>
    </row>
    <row r="16285" spans="1:8" x14ac:dyDescent="0.25">
      <c r="A16285" t="str">
        <f xml:space="preserve"> $H$16277</f>
        <v>&lt;flags count_in_cargo="0" count_in_hoarder="0" count_in_map="1" count_in_player="0" crafted="0" deloot="0"/&gt;</v>
      </c>
      <c r="B16285" t="s">
        <v>1217</v>
      </c>
    </row>
    <row r="16286" spans="1:8" x14ac:dyDescent="0.25">
      <c r="A16286" t="str">
        <f>"&lt;category name=" &amp;"""" &amp;$C$16277&amp;"""/&gt;"</f>
        <v>&lt;category name="clothes"/&gt;</v>
      </c>
      <c r="B16286" t="s">
        <v>1217</v>
      </c>
    </row>
    <row r="16287" spans="1:8" x14ac:dyDescent="0.25">
      <c r="A16287" t="s">
        <v>20</v>
      </c>
      <c r="B16287" t="s">
        <v>1217</v>
      </c>
    </row>
    <row r="16288" spans="1:8" x14ac:dyDescent="0.25">
      <c r="A16288" t="s">
        <v>55</v>
      </c>
      <c r="B16288" t="s">
        <v>1217</v>
      </c>
    </row>
    <row r="16289" spans="1:8" x14ac:dyDescent="0.25">
      <c r="A16289" t="s">
        <v>56</v>
      </c>
      <c r="B16289" t="s">
        <v>1217</v>
      </c>
    </row>
    <row r="16290" spans="1:8" x14ac:dyDescent="0.25">
      <c r="A16290" t="s">
        <v>39</v>
      </c>
      <c r="B16290" t="s">
        <v>1217</v>
      </c>
    </row>
    <row r="16291" spans="1:8" x14ac:dyDescent="0.25">
      <c r="A16291" t="s">
        <v>40</v>
      </c>
      <c r="B16291" t="s">
        <v>1217</v>
      </c>
    </row>
    <row r="16292" spans="1:8" x14ac:dyDescent="0.25">
      <c r="A16292" t="s">
        <v>22</v>
      </c>
      <c r="B16292" t="s">
        <v>1217</v>
      </c>
    </row>
    <row r="16293" spans="1:8" x14ac:dyDescent="0.25">
      <c r="A16293" t="s">
        <v>2682</v>
      </c>
      <c r="B16293" t="s">
        <v>1218</v>
      </c>
      <c r="C16293" t="s">
        <v>403</v>
      </c>
      <c r="D16293">
        <v>30</v>
      </c>
      <c r="E16293">
        <v>1800</v>
      </c>
      <c r="F16293">
        <v>0</v>
      </c>
      <c r="G16293">
        <v>20</v>
      </c>
      <c r="H16293" t="s">
        <v>19</v>
      </c>
    </row>
    <row r="16294" spans="1:8" x14ac:dyDescent="0.25">
      <c r="A16294" t="str">
        <f>"&lt;nominal&gt;" &amp;$D$16293&amp;"&lt;/nominal&gt;"</f>
        <v>&lt;nominal&gt;30&lt;/nominal&gt;</v>
      </c>
      <c r="B16294" t="s">
        <v>1218</v>
      </c>
    </row>
    <row r="16295" spans="1:8" x14ac:dyDescent="0.25">
      <c r="A16295" t="str">
        <f>"&lt;lifetime&gt;" &amp;$E$16293&amp;"&lt;/lifetime&gt;"</f>
        <v>&lt;lifetime&gt;1800&lt;/lifetime&gt;</v>
      </c>
      <c r="B16295" t="s">
        <v>1218</v>
      </c>
    </row>
    <row r="16296" spans="1:8" x14ac:dyDescent="0.25">
      <c r="A16296" t="str">
        <f>"&lt;restock&gt;" &amp;$F$16293&amp;"&lt;/restock&gt;"</f>
        <v>&lt;restock&gt;0&lt;/restock&gt;</v>
      </c>
      <c r="B16296" t="s">
        <v>1218</v>
      </c>
    </row>
    <row r="16297" spans="1:8" x14ac:dyDescent="0.25">
      <c r="A16297" t="str">
        <f>"&lt;min&gt;" &amp;$G$16293&amp;"&lt;/min&gt;"</f>
        <v>&lt;min&gt;20&lt;/min&gt;</v>
      </c>
      <c r="B16297" t="s">
        <v>1218</v>
      </c>
    </row>
    <row r="16298" spans="1:8" x14ac:dyDescent="0.25">
      <c r="A16298" t="s">
        <v>16</v>
      </c>
      <c r="B16298" t="s">
        <v>1218</v>
      </c>
    </row>
    <row r="16299" spans="1:8" x14ac:dyDescent="0.25">
      <c r="A16299" t="s">
        <v>17</v>
      </c>
      <c r="B16299" t="s">
        <v>1218</v>
      </c>
    </row>
    <row r="16300" spans="1:8" x14ac:dyDescent="0.25">
      <c r="A16300" t="s">
        <v>18</v>
      </c>
      <c r="B16300" t="s">
        <v>1218</v>
      </c>
    </row>
    <row r="16301" spans="1:8" x14ac:dyDescent="0.25">
      <c r="A16301" t="str">
        <f xml:space="preserve"> $H$16293</f>
        <v>&lt;flags count_in_cargo="0" count_in_hoarder="0" count_in_map="1" count_in_player="0" crafted="0" deloot="0"/&gt;</v>
      </c>
      <c r="B16301" t="s">
        <v>1218</v>
      </c>
    </row>
    <row r="16302" spans="1:8" x14ac:dyDescent="0.25">
      <c r="A16302" t="str">
        <f>"&lt;category name=" &amp;"""" &amp;$C$16293&amp;"""/&gt;"</f>
        <v>&lt;category name="clothes"/&gt;</v>
      </c>
      <c r="B16302" t="s">
        <v>1218</v>
      </c>
    </row>
    <row r="16303" spans="1:8" x14ac:dyDescent="0.25">
      <c r="A16303" t="s">
        <v>20</v>
      </c>
      <c r="B16303" t="s">
        <v>1218</v>
      </c>
    </row>
    <row r="16304" spans="1:8" x14ac:dyDescent="0.25">
      <c r="A16304" t="s">
        <v>55</v>
      </c>
      <c r="B16304" t="s">
        <v>1218</v>
      </c>
    </row>
    <row r="16305" spans="1:8" x14ac:dyDescent="0.25">
      <c r="A16305" t="s">
        <v>56</v>
      </c>
      <c r="B16305" t="s">
        <v>1218</v>
      </c>
    </row>
    <row r="16306" spans="1:8" x14ac:dyDescent="0.25">
      <c r="A16306" t="s">
        <v>39</v>
      </c>
      <c r="B16306" t="s">
        <v>1218</v>
      </c>
    </row>
    <row r="16307" spans="1:8" x14ac:dyDescent="0.25">
      <c r="A16307" t="s">
        <v>40</v>
      </c>
      <c r="B16307" t="s">
        <v>1218</v>
      </c>
    </row>
    <row r="16308" spans="1:8" x14ac:dyDescent="0.25">
      <c r="A16308" t="s">
        <v>22</v>
      </c>
      <c r="B16308" t="s">
        <v>1218</v>
      </c>
    </row>
    <row r="16309" spans="1:8" x14ac:dyDescent="0.25">
      <c r="A16309" t="s">
        <v>2683</v>
      </c>
      <c r="B16309" t="s">
        <v>1219</v>
      </c>
      <c r="C16309" t="s">
        <v>403</v>
      </c>
      <c r="D16309">
        <v>30</v>
      </c>
      <c r="E16309">
        <v>1800</v>
      </c>
      <c r="F16309">
        <v>0</v>
      </c>
      <c r="G16309">
        <v>20</v>
      </c>
      <c r="H16309" t="s">
        <v>19</v>
      </c>
    </row>
    <row r="16310" spans="1:8" x14ac:dyDescent="0.25">
      <c r="A16310" t="str">
        <f>"&lt;nominal&gt;" &amp;$D$16309&amp;"&lt;/nominal&gt;"</f>
        <v>&lt;nominal&gt;30&lt;/nominal&gt;</v>
      </c>
      <c r="B16310" t="s">
        <v>1219</v>
      </c>
    </row>
    <row r="16311" spans="1:8" x14ac:dyDescent="0.25">
      <c r="A16311" t="str">
        <f>"&lt;lifetime&gt;" &amp;$E$16309&amp;"&lt;/lifetime&gt;"</f>
        <v>&lt;lifetime&gt;1800&lt;/lifetime&gt;</v>
      </c>
      <c r="B16311" t="s">
        <v>1219</v>
      </c>
    </row>
    <row r="16312" spans="1:8" x14ac:dyDescent="0.25">
      <c r="A16312" t="str">
        <f>"&lt;restock&gt;" &amp;$F$16309&amp;"&lt;/restock&gt;"</f>
        <v>&lt;restock&gt;0&lt;/restock&gt;</v>
      </c>
      <c r="B16312" t="s">
        <v>1219</v>
      </c>
    </row>
    <row r="16313" spans="1:8" x14ac:dyDescent="0.25">
      <c r="A16313" t="str">
        <f>"&lt;min&gt;" &amp;$G$16309&amp;"&lt;/min&gt;"</f>
        <v>&lt;min&gt;20&lt;/min&gt;</v>
      </c>
      <c r="B16313" t="s">
        <v>1219</v>
      </c>
    </row>
    <row r="16314" spans="1:8" x14ac:dyDescent="0.25">
      <c r="A16314" t="s">
        <v>16</v>
      </c>
      <c r="B16314" t="s">
        <v>1219</v>
      </c>
    </row>
    <row r="16315" spans="1:8" x14ac:dyDescent="0.25">
      <c r="A16315" t="s">
        <v>17</v>
      </c>
      <c r="B16315" t="s">
        <v>1219</v>
      </c>
    </row>
    <row r="16316" spans="1:8" x14ac:dyDescent="0.25">
      <c r="A16316" t="s">
        <v>18</v>
      </c>
      <c r="B16316" t="s">
        <v>1219</v>
      </c>
    </row>
    <row r="16317" spans="1:8" x14ac:dyDescent="0.25">
      <c r="A16317" t="str">
        <f xml:space="preserve"> $H$16309</f>
        <v>&lt;flags count_in_cargo="0" count_in_hoarder="0" count_in_map="1" count_in_player="0" crafted="0" deloot="0"/&gt;</v>
      </c>
      <c r="B16317" t="s">
        <v>1219</v>
      </c>
    </row>
    <row r="16318" spans="1:8" x14ac:dyDescent="0.25">
      <c r="A16318" t="str">
        <f>"&lt;category name=" &amp;"""" &amp;$C$16309&amp;"""/&gt;"</f>
        <v>&lt;category name="clothes"/&gt;</v>
      </c>
      <c r="B16318" t="s">
        <v>1219</v>
      </c>
    </row>
    <row r="16319" spans="1:8" x14ac:dyDescent="0.25">
      <c r="A16319" t="s">
        <v>20</v>
      </c>
      <c r="B16319" t="s">
        <v>1219</v>
      </c>
    </row>
    <row r="16320" spans="1:8" x14ac:dyDescent="0.25">
      <c r="A16320" t="s">
        <v>55</v>
      </c>
      <c r="B16320" t="s">
        <v>1219</v>
      </c>
    </row>
    <row r="16321" spans="1:8" x14ac:dyDescent="0.25">
      <c r="A16321" t="s">
        <v>56</v>
      </c>
      <c r="B16321" t="s">
        <v>1219</v>
      </c>
    </row>
    <row r="16322" spans="1:8" x14ac:dyDescent="0.25">
      <c r="A16322" t="s">
        <v>39</v>
      </c>
      <c r="B16322" t="s">
        <v>1219</v>
      </c>
    </row>
    <row r="16323" spans="1:8" x14ac:dyDescent="0.25">
      <c r="A16323" t="s">
        <v>40</v>
      </c>
      <c r="B16323" t="s">
        <v>1219</v>
      </c>
    </row>
    <row r="16324" spans="1:8" x14ac:dyDescent="0.25">
      <c r="A16324" t="s">
        <v>22</v>
      </c>
      <c r="B16324" t="s">
        <v>1219</v>
      </c>
    </row>
    <row r="16325" spans="1:8" x14ac:dyDescent="0.25">
      <c r="A16325" t="s">
        <v>2684</v>
      </c>
      <c r="B16325" t="s">
        <v>1220</v>
      </c>
      <c r="C16325" t="s">
        <v>399</v>
      </c>
      <c r="D16325">
        <v>2</v>
      </c>
      <c r="E16325">
        <v>3600</v>
      </c>
      <c r="F16325">
        <v>0</v>
      </c>
      <c r="G16325">
        <v>1</v>
      </c>
      <c r="H16325" t="s">
        <v>19</v>
      </c>
    </row>
    <row r="16326" spans="1:8" x14ac:dyDescent="0.25">
      <c r="A16326" t="str">
        <f>"&lt;nominal&gt;" &amp;$D$16325&amp;"&lt;/nominal&gt;"</f>
        <v>&lt;nominal&gt;2&lt;/nominal&gt;</v>
      </c>
      <c r="B16326" t="s">
        <v>1220</v>
      </c>
    </row>
    <row r="16327" spans="1:8" x14ac:dyDescent="0.25">
      <c r="A16327" t="str">
        <f>"&lt;lifetime&gt;" &amp;$E$16325&amp;"&lt;/lifetime&gt;"</f>
        <v>&lt;lifetime&gt;3600&lt;/lifetime&gt;</v>
      </c>
      <c r="B16327" t="s">
        <v>1220</v>
      </c>
    </row>
    <row r="16328" spans="1:8" x14ac:dyDescent="0.25">
      <c r="A16328" t="str">
        <f>"&lt;restock&gt;" &amp;$F$16325&amp;"&lt;/restock&gt;"</f>
        <v>&lt;restock&gt;0&lt;/restock&gt;</v>
      </c>
      <c r="B16328" t="s">
        <v>1220</v>
      </c>
    </row>
    <row r="16329" spans="1:8" x14ac:dyDescent="0.25">
      <c r="A16329" t="str">
        <f>"&lt;min&gt;" &amp;$G$16325&amp;"&lt;/min&gt;"</f>
        <v>&lt;min&gt;1&lt;/min&gt;</v>
      </c>
      <c r="B16329" t="s">
        <v>1220</v>
      </c>
    </row>
    <row r="16330" spans="1:8" x14ac:dyDescent="0.25">
      <c r="A16330" t="s">
        <v>16</v>
      </c>
      <c r="B16330" t="s">
        <v>1220</v>
      </c>
    </row>
    <row r="16331" spans="1:8" x14ac:dyDescent="0.25">
      <c r="A16331" t="s">
        <v>17</v>
      </c>
      <c r="B16331" t="s">
        <v>1220</v>
      </c>
    </row>
    <row r="16332" spans="1:8" x14ac:dyDescent="0.25">
      <c r="A16332" t="s">
        <v>18</v>
      </c>
      <c r="B16332" t="s">
        <v>1220</v>
      </c>
    </row>
    <row r="16333" spans="1:8" x14ac:dyDescent="0.25">
      <c r="A16333" t="str">
        <f xml:space="preserve"> $H$16325</f>
        <v>&lt;flags count_in_cargo="0" count_in_hoarder="0" count_in_map="1" count_in_player="0" crafted="0" deloot="0"/&gt;</v>
      </c>
      <c r="B16333" t="s">
        <v>1220</v>
      </c>
    </row>
    <row r="16334" spans="1:8" x14ac:dyDescent="0.25">
      <c r="A16334" t="str">
        <f>"&lt;category name=" &amp;"""" &amp;$C$16325&amp;"""/&gt;"</f>
        <v>&lt;category name="food"/&gt;</v>
      </c>
      <c r="B16334" t="s">
        <v>1220</v>
      </c>
    </row>
    <row r="16335" spans="1:8" x14ac:dyDescent="0.25">
      <c r="A16335" t="s">
        <v>20</v>
      </c>
      <c r="B16335" t="s">
        <v>1220</v>
      </c>
    </row>
    <row r="16336" spans="1:8" x14ac:dyDescent="0.25">
      <c r="A16336" t="s">
        <v>56</v>
      </c>
      <c r="B16336" t="s">
        <v>1220</v>
      </c>
    </row>
    <row r="16337" spans="1:8" x14ac:dyDescent="0.25">
      <c r="A16337" t="s">
        <v>39</v>
      </c>
      <c r="B16337" t="s">
        <v>1220</v>
      </c>
    </row>
    <row r="16338" spans="1:8" x14ac:dyDescent="0.25">
      <c r="A16338" t="s">
        <v>40</v>
      </c>
      <c r="B16338" t="s">
        <v>1220</v>
      </c>
    </row>
    <row r="16339" spans="1:8" x14ac:dyDescent="0.25">
      <c r="A16339" t="s">
        <v>22</v>
      </c>
      <c r="B16339" t="s">
        <v>1220</v>
      </c>
    </row>
    <row r="16340" spans="1:8" x14ac:dyDescent="0.25">
      <c r="A16340" t="s">
        <v>2685</v>
      </c>
      <c r="B16340" t="s">
        <v>3021</v>
      </c>
      <c r="C16340" t="s">
        <v>399</v>
      </c>
      <c r="D16340">
        <v>0</v>
      </c>
      <c r="E16340">
        <v>3600</v>
      </c>
      <c r="F16340">
        <v>0</v>
      </c>
      <c r="G16340">
        <v>0</v>
      </c>
      <c r="H16340" t="s">
        <v>62</v>
      </c>
    </row>
    <row r="16341" spans="1:8" x14ac:dyDescent="0.25">
      <c r="A16341" t="str">
        <f>"&lt;nominal&gt;" &amp;$D$16340&amp;"&lt;/nominal&gt;"</f>
        <v>&lt;nominal&gt;0&lt;/nominal&gt;</v>
      </c>
      <c r="B16341" t="s">
        <v>3021</v>
      </c>
    </row>
    <row r="16342" spans="1:8" x14ac:dyDescent="0.25">
      <c r="A16342" t="str">
        <f>"&lt;lifetime&gt;" &amp;$E$16340&amp;"&lt;/lifetime&gt;"</f>
        <v>&lt;lifetime&gt;3600&lt;/lifetime&gt;</v>
      </c>
      <c r="B16342" t="s">
        <v>3021</v>
      </c>
    </row>
    <row r="16343" spans="1:8" x14ac:dyDescent="0.25">
      <c r="A16343" t="str">
        <f>"&lt;restock&gt;" &amp;$F$16340&amp;"&lt;/restock&gt;"</f>
        <v>&lt;restock&gt;0&lt;/restock&gt;</v>
      </c>
      <c r="B16343" t="s">
        <v>3021</v>
      </c>
    </row>
    <row r="16344" spans="1:8" x14ac:dyDescent="0.25">
      <c r="A16344" t="str">
        <f>"&lt;min&gt;" &amp;$G$16340&amp;"&lt;/min&gt;"</f>
        <v>&lt;min&gt;0&lt;/min&gt;</v>
      </c>
      <c r="B16344" t="s">
        <v>3021</v>
      </c>
    </row>
    <row r="16345" spans="1:8" x14ac:dyDescent="0.25">
      <c r="A16345" t="s">
        <v>16</v>
      </c>
      <c r="B16345" t="s">
        <v>3021</v>
      </c>
    </row>
    <row r="16346" spans="1:8" x14ac:dyDescent="0.25">
      <c r="A16346" t="s">
        <v>17</v>
      </c>
      <c r="B16346" t="s">
        <v>3021</v>
      </c>
    </row>
    <row r="16347" spans="1:8" x14ac:dyDescent="0.25">
      <c r="A16347" t="s">
        <v>18</v>
      </c>
      <c r="B16347" t="s">
        <v>3021</v>
      </c>
    </row>
    <row r="16348" spans="1:8" x14ac:dyDescent="0.25">
      <c r="A16348" t="str">
        <f xml:space="preserve"> $H$16340</f>
        <v>&lt;flags count_in_cargo="0" count_in_hoarder="0" count_in_map="1" count_in_player="0" crafted="1" deloot="0"/&gt;</v>
      </c>
      <c r="B16348" t="s">
        <v>3021</v>
      </c>
    </row>
    <row r="16349" spans="1:8" x14ac:dyDescent="0.25">
      <c r="A16349" t="str">
        <f>"&lt;category name=" &amp;"""" &amp;$C$16340&amp;"""/&gt;"</f>
        <v>&lt;category name="food"/&gt;</v>
      </c>
      <c r="B16349" t="s">
        <v>3021</v>
      </c>
    </row>
    <row r="16350" spans="1:8" x14ac:dyDescent="0.25">
      <c r="A16350" t="s">
        <v>22</v>
      </c>
      <c r="B16350" t="s">
        <v>3021</v>
      </c>
    </row>
    <row r="16351" spans="1:8" x14ac:dyDescent="0.25">
      <c r="A16351" t="s">
        <v>2686</v>
      </c>
      <c r="B16351" t="s">
        <v>1221</v>
      </c>
      <c r="C16351" t="s">
        <v>399</v>
      </c>
      <c r="D16351">
        <v>10</v>
      </c>
      <c r="E16351">
        <v>3600</v>
      </c>
      <c r="F16351">
        <v>0</v>
      </c>
      <c r="G16351">
        <v>5</v>
      </c>
      <c r="H16351" t="s">
        <v>19</v>
      </c>
    </row>
    <row r="16352" spans="1:8" x14ac:dyDescent="0.25">
      <c r="A16352" t="str">
        <f>"&lt;nominal&gt;" &amp;$D$16351&amp;"&lt;/nominal&gt;"</f>
        <v>&lt;nominal&gt;10&lt;/nominal&gt;</v>
      </c>
      <c r="B16352" t="s">
        <v>1221</v>
      </c>
    </row>
    <row r="16353" spans="1:8" x14ac:dyDescent="0.25">
      <c r="A16353" t="str">
        <f>"&lt;lifetime&gt;" &amp;$E$16351&amp;"&lt;/lifetime&gt;"</f>
        <v>&lt;lifetime&gt;3600&lt;/lifetime&gt;</v>
      </c>
      <c r="B16353" t="s">
        <v>1221</v>
      </c>
    </row>
    <row r="16354" spans="1:8" x14ac:dyDescent="0.25">
      <c r="A16354" t="str">
        <f>"&lt;restock&gt;" &amp;$F$16351&amp;"&lt;/restock&gt;"</f>
        <v>&lt;restock&gt;0&lt;/restock&gt;</v>
      </c>
      <c r="B16354" t="s">
        <v>1221</v>
      </c>
    </row>
    <row r="16355" spans="1:8" x14ac:dyDescent="0.25">
      <c r="A16355" t="str">
        <f>"&lt;min&gt;" &amp;$G$16351&amp;"&lt;/min&gt;"</f>
        <v>&lt;min&gt;5&lt;/min&gt;</v>
      </c>
      <c r="B16355" t="s">
        <v>1221</v>
      </c>
    </row>
    <row r="16356" spans="1:8" x14ac:dyDescent="0.25">
      <c r="A16356" t="s">
        <v>16</v>
      </c>
      <c r="B16356" t="s">
        <v>1221</v>
      </c>
    </row>
    <row r="16357" spans="1:8" x14ac:dyDescent="0.25">
      <c r="A16357" t="s">
        <v>17</v>
      </c>
      <c r="B16357" t="s">
        <v>1221</v>
      </c>
    </row>
    <row r="16358" spans="1:8" x14ac:dyDescent="0.25">
      <c r="A16358" t="s">
        <v>18</v>
      </c>
      <c r="B16358" t="s">
        <v>1221</v>
      </c>
    </row>
    <row r="16359" spans="1:8" x14ac:dyDescent="0.25">
      <c r="A16359" t="str">
        <f xml:space="preserve"> $H$16351</f>
        <v>&lt;flags count_in_cargo="0" count_in_hoarder="0" count_in_map="1" count_in_player="0" crafted="0" deloot="0"/&gt;</v>
      </c>
      <c r="B16359" t="s">
        <v>1221</v>
      </c>
    </row>
    <row r="16360" spans="1:8" x14ac:dyDescent="0.25">
      <c r="A16360" t="str">
        <f>"&lt;category name=" &amp;"""" &amp;$C$16351&amp;"""/&gt;"</f>
        <v>&lt;category name="food"/&gt;</v>
      </c>
      <c r="B16360" t="s">
        <v>1221</v>
      </c>
    </row>
    <row r="16361" spans="1:8" x14ac:dyDescent="0.25">
      <c r="A16361" t="s">
        <v>56</v>
      </c>
      <c r="B16361" t="s">
        <v>1221</v>
      </c>
    </row>
    <row r="16362" spans="1:8" x14ac:dyDescent="0.25">
      <c r="A16362" t="s">
        <v>67</v>
      </c>
      <c r="B16362" t="s">
        <v>1221</v>
      </c>
    </row>
    <row r="16363" spans="1:8" x14ac:dyDescent="0.25">
      <c r="A16363" t="s">
        <v>22</v>
      </c>
      <c r="B16363" t="s">
        <v>1221</v>
      </c>
    </row>
    <row r="16364" spans="1:8" x14ac:dyDescent="0.25">
      <c r="A16364" t="s">
        <v>2687</v>
      </c>
      <c r="B16364" t="s">
        <v>1221</v>
      </c>
    </row>
    <row r="16365" spans="1:8" x14ac:dyDescent="0.25">
      <c r="B16365" t="s">
        <v>1221</v>
      </c>
    </row>
    <row r="16366" spans="1:8" x14ac:dyDescent="0.25">
      <c r="A16366" t="s">
        <v>2</v>
      </c>
      <c r="B16366" t="s">
        <v>1222</v>
      </c>
      <c r="C16366" t="s">
        <v>403</v>
      </c>
      <c r="D16366">
        <v>15</v>
      </c>
      <c r="E16366">
        <v>2700</v>
      </c>
      <c r="F16366">
        <v>0</v>
      </c>
      <c r="G16366">
        <v>25</v>
      </c>
      <c r="H16366" t="s">
        <v>19</v>
      </c>
    </row>
    <row r="16367" spans="1:8" x14ac:dyDescent="0.25">
      <c r="A16367" t="str">
        <f>"&lt;nominal&gt;" &amp;$D$16366&amp;"&lt;/nominal&gt;"</f>
        <v>&lt;nominal&gt;15&lt;/nominal&gt;</v>
      </c>
      <c r="B16367" t="s">
        <v>1222</v>
      </c>
    </row>
    <row r="16368" spans="1:8" x14ac:dyDescent="0.25">
      <c r="A16368" t="str">
        <f>"&lt;lifetime&gt;" &amp;$E$16366&amp;"&lt;/lifetime&gt;"</f>
        <v>&lt;lifetime&gt;2700&lt;/lifetime&gt;</v>
      </c>
      <c r="B16368" t="s">
        <v>1222</v>
      </c>
    </row>
    <row r="16369" spans="1:8" x14ac:dyDescent="0.25">
      <c r="A16369" t="str">
        <f>"&lt;restock&gt;" &amp;$F$16366&amp;"&lt;/restock&gt;"</f>
        <v>&lt;restock&gt;0&lt;/restock&gt;</v>
      </c>
      <c r="B16369" t="s">
        <v>1222</v>
      </c>
    </row>
    <row r="16370" spans="1:8" x14ac:dyDescent="0.25">
      <c r="A16370" t="str">
        <f>"&lt;min&gt;" &amp;$G$16366&amp;"&lt;/min&gt;"</f>
        <v>&lt;min&gt;25&lt;/min&gt;</v>
      </c>
      <c r="B16370" t="s">
        <v>1222</v>
      </c>
    </row>
    <row r="16371" spans="1:8" x14ac:dyDescent="0.25">
      <c r="A16371" t="s">
        <v>16</v>
      </c>
      <c r="B16371" t="s">
        <v>1222</v>
      </c>
    </row>
    <row r="16372" spans="1:8" x14ac:dyDescent="0.25">
      <c r="A16372" t="s">
        <v>17</v>
      </c>
      <c r="B16372" t="s">
        <v>1222</v>
      </c>
    </row>
    <row r="16373" spans="1:8" x14ac:dyDescent="0.25">
      <c r="A16373" t="s">
        <v>18</v>
      </c>
      <c r="B16373" t="s">
        <v>1222</v>
      </c>
    </row>
    <row r="16374" spans="1:8" x14ac:dyDescent="0.25">
      <c r="A16374" t="str">
        <f xml:space="preserve"> $H$16366</f>
        <v>&lt;flags count_in_cargo="0" count_in_hoarder="0" count_in_map="1" count_in_player="0" crafted="0" deloot="0"/&gt;</v>
      </c>
      <c r="B16374" t="s">
        <v>1222</v>
      </c>
    </row>
    <row r="16375" spans="1:8" x14ac:dyDescent="0.25">
      <c r="A16375" t="str">
        <f>"&lt;category name=" &amp;"""" &amp;$C$16366&amp;"""/&gt;"</f>
        <v>&lt;category name="clothes"/&gt;</v>
      </c>
      <c r="B16375" t="s">
        <v>1222</v>
      </c>
    </row>
    <row r="16376" spans="1:8" x14ac:dyDescent="0.25">
      <c r="A16376" t="s">
        <v>39</v>
      </c>
      <c r="B16376" t="s">
        <v>1222</v>
      </c>
    </row>
    <row r="16377" spans="1:8" x14ac:dyDescent="0.25">
      <c r="A16377" t="s">
        <v>40</v>
      </c>
      <c r="B16377" t="s">
        <v>1222</v>
      </c>
    </row>
    <row r="16378" spans="1:8" x14ac:dyDescent="0.25">
      <c r="A16378" t="s">
        <v>22</v>
      </c>
      <c r="B16378" t="s">
        <v>1222</v>
      </c>
    </row>
    <row r="16379" spans="1:8" x14ac:dyDescent="0.25">
      <c r="A16379" t="s">
        <v>2688</v>
      </c>
      <c r="B16379" t="s">
        <v>1223</v>
      </c>
      <c r="C16379" t="s">
        <v>403</v>
      </c>
      <c r="D16379">
        <v>15</v>
      </c>
      <c r="E16379">
        <v>2700</v>
      </c>
      <c r="F16379">
        <v>0</v>
      </c>
      <c r="G16379">
        <v>25</v>
      </c>
      <c r="H16379" t="s">
        <v>19</v>
      </c>
    </row>
    <row r="16380" spans="1:8" x14ac:dyDescent="0.25">
      <c r="A16380" t="str">
        <f>"&lt;nominal&gt;" &amp;$D$16379&amp;"&lt;/nominal&gt;"</f>
        <v>&lt;nominal&gt;15&lt;/nominal&gt;</v>
      </c>
      <c r="B16380" t="s">
        <v>1223</v>
      </c>
    </row>
    <row r="16381" spans="1:8" x14ac:dyDescent="0.25">
      <c r="A16381" t="str">
        <f>"&lt;lifetime&gt;" &amp;$E$16379&amp;"&lt;/lifetime&gt;"</f>
        <v>&lt;lifetime&gt;2700&lt;/lifetime&gt;</v>
      </c>
      <c r="B16381" t="s">
        <v>1223</v>
      </c>
    </row>
    <row r="16382" spans="1:8" x14ac:dyDescent="0.25">
      <c r="A16382" t="str">
        <f>"&lt;restock&gt;" &amp;$F$16379&amp;"&lt;/restock&gt;"</f>
        <v>&lt;restock&gt;0&lt;/restock&gt;</v>
      </c>
      <c r="B16382" t="s">
        <v>1223</v>
      </c>
    </row>
    <row r="16383" spans="1:8" x14ac:dyDescent="0.25">
      <c r="A16383" t="str">
        <f>"&lt;min&gt;" &amp;$G$16379&amp;"&lt;/min&gt;"</f>
        <v>&lt;min&gt;25&lt;/min&gt;</v>
      </c>
      <c r="B16383" t="s">
        <v>1223</v>
      </c>
    </row>
    <row r="16384" spans="1:8" x14ac:dyDescent="0.25">
      <c r="A16384" t="s">
        <v>16</v>
      </c>
      <c r="B16384" t="s">
        <v>1223</v>
      </c>
    </row>
    <row r="16385" spans="1:8" x14ac:dyDescent="0.25">
      <c r="A16385" t="s">
        <v>17</v>
      </c>
      <c r="B16385" t="s">
        <v>1223</v>
      </c>
    </row>
    <row r="16386" spans="1:8" x14ac:dyDescent="0.25">
      <c r="A16386" t="s">
        <v>18</v>
      </c>
      <c r="B16386" t="s">
        <v>1223</v>
      </c>
    </row>
    <row r="16387" spans="1:8" x14ac:dyDescent="0.25">
      <c r="A16387" t="str">
        <f xml:space="preserve"> $H$16379</f>
        <v>&lt;flags count_in_cargo="0" count_in_hoarder="0" count_in_map="1" count_in_player="0" crafted="0" deloot="0"/&gt;</v>
      </c>
      <c r="B16387" t="s">
        <v>1223</v>
      </c>
    </row>
    <row r="16388" spans="1:8" x14ac:dyDescent="0.25">
      <c r="A16388" t="str">
        <f>"&lt;category name=" &amp;"""" &amp;$C$16379&amp;"""/&gt;"</f>
        <v>&lt;category name="clothes"/&gt;</v>
      </c>
      <c r="B16388" t="s">
        <v>1223</v>
      </c>
    </row>
    <row r="16389" spans="1:8" x14ac:dyDescent="0.25">
      <c r="A16389" t="s">
        <v>39</v>
      </c>
      <c r="B16389" t="s">
        <v>1223</v>
      </c>
    </row>
    <row r="16390" spans="1:8" x14ac:dyDescent="0.25">
      <c r="A16390" t="s">
        <v>40</v>
      </c>
      <c r="B16390" t="s">
        <v>1223</v>
      </c>
    </row>
    <row r="16391" spans="1:8" x14ac:dyDescent="0.25">
      <c r="A16391" t="s">
        <v>22</v>
      </c>
      <c r="B16391" t="s">
        <v>1223</v>
      </c>
    </row>
    <row r="16392" spans="1:8" x14ac:dyDescent="0.25">
      <c r="A16392" t="s">
        <v>2689</v>
      </c>
      <c r="B16392" t="s">
        <v>1224</v>
      </c>
      <c r="C16392" t="s">
        <v>403</v>
      </c>
      <c r="D16392">
        <v>15</v>
      </c>
      <c r="E16392">
        <v>2700</v>
      </c>
      <c r="F16392">
        <v>0</v>
      </c>
      <c r="G16392">
        <v>25</v>
      </c>
      <c r="H16392" t="s">
        <v>19</v>
      </c>
    </row>
    <row r="16393" spans="1:8" x14ac:dyDescent="0.25">
      <c r="A16393" t="str">
        <f>"&lt;nominal&gt;" &amp;$D$16392&amp;"&lt;/nominal&gt;"</f>
        <v>&lt;nominal&gt;15&lt;/nominal&gt;</v>
      </c>
      <c r="B16393" t="s">
        <v>1224</v>
      </c>
    </row>
    <row r="16394" spans="1:8" x14ac:dyDescent="0.25">
      <c r="A16394" t="str">
        <f>"&lt;lifetime&gt;" &amp;$E$16392&amp;"&lt;/lifetime&gt;"</f>
        <v>&lt;lifetime&gt;2700&lt;/lifetime&gt;</v>
      </c>
      <c r="B16394" t="s">
        <v>1224</v>
      </c>
    </row>
    <row r="16395" spans="1:8" x14ac:dyDescent="0.25">
      <c r="A16395" t="str">
        <f>"&lt;restock&gt;" &amp;$F$16392&amp;"&lt;/restock&gt;"</f>
        <v>&lt;restock&gt;0&lt;/restock&gt;</v>
      </c>
      <c r="B16395" t="s">
        <v>1224</v>
      </c>
    </row>
    <row r="16396" spans="1:8" x14ac:dyDescent="0.25">
      <c r="A16396" t="str">
        <f>"&lt;min&gt;" &amp;$G$16392&amp;"&lt;/min&gt;"</f>
        <v>&lt;min&gt;25&lt;/min&gt;</v>
      </c>
      <c r="B16396" t="s">
        <v>1224</v>
      </c>
    </row>
    <row r="16397" spans="1:8" x14ac:dyDescent="0.25">
      <c r="A16397" t="s">
        <v>16</v>
      </c>
      <c r="B16397" t="s">
        <v>1224</v>
      </c>
    </row>
    <row r="16398" spans="1:8" x14ac:dyDescent="0.25">
      <c r="A16398" t="s">
        <v>17</v>
      </c>
      <c r="B16398" t="s">
        <v>1224</v>
      </c>
    </row>
    <row r="16399" spans="1:8" x14ac:dyDescent="0.25">
      <c r="A16399" t="s">
        <v>18</v>
      </c>
      <c r="B16399" t="s">
        <v>1224</v>
      </c>
    </row>
    <row r="16400" spans="1:8" x14ac:dyDescent="0.25">
      <c r="A16400" t="str">
        <f xml:space="preserve"> $H$16392</f>
        <v>&lt;flags count_in_cargo="0" count_in_hoarder="0" count_in_map="1" count_in_player="0" crafted="0" deloot="0"/&gt;</v>
      </c>
      <c r="B16400" t="s">
        <v>1224</v>
      </c>
    </row>
    <row r="16401" spans="1:8" x14ac:dyDescent="0.25">
      <c r="A16401" t="str">
        <f>"&lt;category name=" &amp;"""" &amp;$C$16392&amp;"""/&gt;"</f>
        <v>&lt;category name="clothes"/&gt;</v>
      </c>
      <c r="B16401" t="s">
        <v>1224</v>
      </c>
    </row>
    <row r="16402" spans="1:8" x14ac:dyDescent="0.25">
      <c r="A16402" t="s">
        <v>39</v>
      </c>
      <c r="B16402" t="s">
        <v>1224</v>
      </c>
    </row>
    <row r="16403" spans="1:8" x14ac:dyDescent="0.25">
      <c r="A16403" t="s">
        <v>40</v>
      </c>
      <c r="B16403" t="s">
        <v>1224</v>
      </c>
    </row>
    <row r="16404" spans="1:8" x14ac:dyDescent="0.25">
      <c r="A16404" t="s">
        <v>22</v>
      </c>
      <c r="B16404" t="s">
        <v>1224</v>
      </c>
    </row>
    <row r="16405" spans="1:8" x14ac:dyDescent="0.25">
      <c r="A16405" t="s">
        <v>2690</v>
      </c>
      <c r="B16405" t="s">
        <v>1225</v>
      </c>
      <c r="C16405" t="s">
        <v>403</v>
      </c>
      <c r="D16405">
        <v>15</v>
      </c>
      <c r="E16405">
        <v>2700</v>
      </c>
      <c r="F16405">
        <v>0</v>
      </c>
      <c r="G16405">
        <v>25</v>
      </c>
      <c r="H16405" t="s">
        <v>19</v>
      </c>
    </row>
    <row r="16406" spans="1:8" x14ac:dyDescent="0.25">
      <c r="A16406" t="str">
        <f>"&lt;nominal&gt;" &amp;$D$16405&amp;"&lt;/nominal&gt;"</f>
        <v>&lt;nominal&gt;15&lt;/nominal&gt;</v>
      </c>
      <c r="B16406" t="s">
        <v>1225</v>
      </c>
    </row>
    <row r="16407" spans="1:8" x14ac:dyDescent="0.25">
      <c r="A16407" t="str">
        <f>"&lt;lifetime&gt;" &amp;$E$16405&amp;"&lt;/lifetime&gt;"</f>
        <v>&lt;lifetime&gt;2700&lt;/lifetime&gt;</v>
      </c>
      <c r="B16407" t="s">
        <v>1225</v>
      </c>
    </row>
    <row r="16408" spans="1:8" x14ac:dyDescent="0.25">
      <c r="A16408" t="str">
        <f>"&lt;restock&gt;" &amp;$F$16405&amp;"&lt;/restock&gt;"</f>
        <v>&lt;restock&gt;0&lt;/restock&gt;</v>
      </c>
      <c r="B16408" t="s">
        <v>1225</v>
      </c>
    </row>
    <row r="16409" spans="1:8" x14ac:dyDescent="0.25">
      <c r="A16409" t="str">
        <f>"&lt;min&gt;" &amp;$G$16405&amp;"&lt;/min&gt;"</f>
        <v>&lt;min&gt;25&lt;/min&gt;</v>
      </c>
      <c r="B16409" t="s">
        <v>1225</v>
      </c>
    </row>
    <row r="16410" spans="1:8" x14ac:dyDescent="0.25">
      <c r="A16410" t="s">
        <v>16</v>
      </c>
      <c r="B16410" t="s">
        <v>1225</v>
      </c>
    </row>
    <row r="16411" spans="1:8" x14ac:dyDescent="0.25">
      <c r="A16411" t="s">
        <v>17</v>
      </c>
      <c r="B16411" t="s">
        <v>1225</v>
      </c>
    </row>
    <row r="16412" spans="1:8" x14ac:dyDescent="0.25">
      <c r="A16412" t="s">
        <v>18</v>
      </c>
      <c r="B16412" t="s">
        <v>1225</v>
      </c>
    </row>
    <row r="16413" spans="1:8" x14ac:dyDescent="0.25">
      <c r="A16413" t="str">
        <f xml:space="preserve"> $H$16405</f>
        <v>&lt;flags count_in_cargo="0" count_in_hoarder="0" count_in_map="1" count_in_player="0" crafted="0" deloot="0"/&gt;</v>
      </c>
      <c r="B16413" t="s">
        <v>1225</v>
      </c>
    </row>
    <row r="16414" spans="1:8" x14ac:dyDescent="0.25">
      <c r="A16414" t="str">
        <f>"&lt;category name=" &amp;"""" &amp;$C$16405&amp;"""/&gt;"</f>
        <v>&lt;category name="clothes"/&gt;</v>
      </c>
      <c r="B16414" t="s">
        <v>1225</v>
      </c>
    </row>
    <row r="16415" spans="1:8" x14ac:dyDescent="0.25">
      <c r="A16415" t="s">
        <v>39</v>
      </c>
      <c r="B16415" t="s">
        <v>1225</v>
      </c>
    </row>
    <row r="16416" spans="1:8" x14ac:dyDescent="0.25">
      <c r="A16416" t="s">
        <v>40</v>
      </c>
      <c r="B16416" t="s">
        <v>1225</v>
      </c>
    </row>
    <row r="16417" spans="1:8" x14ac:dyDescent="0.25">
      <c r="A16417" t="s">
        <v>22</v>
      </c>
      <c r="B16417" t="s">
        <v>1225</v>
      </c>
    </row>
    <row r="16418" spans="1:8" x14ac:dyDescent="0.25">
      <c r="A16418" t="s">
        <v>2691</v>
      </c>
      <c r="B16418" t="s">
        <v>1226</v>
      </c>
      <c r="C16418" t="s">
        <v>403</v>
      </c>
      <c r="D16418">
        <v>15</v>
      </c>
      <c r="E16418">
        <v>2700</v>
      </c>
      <c r="F16418">
        <v>0</v>
      </c>
      <c r="G16418">
        <v>25</v>
      </c>
      <c r="H16418" t="s">
        <v>19</v>
      </c>
    </row>
    <row r="16419" spans="1:8" x14ac:dyDescent="0.25">
      <c r="A16419" t="str">
        <f>"&lt;nominal&gt;" &amp;$D$16418&amp;"&lt;/nominal&gt;"</f>
        <v>&lt;nominal&gt;15&lt;/nominal&gt;</v>
      </c>
      <c r="B16419" t="s">
        <v>1226</v>
      </c>
    </row>
    <row r="16420" spans="1:8" x14ac:dyDescent="0.25">
      <c r="A16420" t="str">
        <f>"&lt;lifetime&gt;" &amp;$E$16418&amp;"&lt;/lifetime&gt;"</f>
        <v>&lt;lifetime&gt;2700&lt;/lifetime&gt;</v>
      </c>
      <c r="B16420" t="s">
        <v>1226</v>
      </c>
    </row>
    <row r="16421" spans="1:8" x14ac:dyDescent="0.25">
      <c r="A16421" t="str">
        <f>"&lt;restock&gt;" &amp;$F$16418&amp;"&lt;/restock&gt;"</f>
        <v>&lt;restock&gt;0&lt;/restock&gt;</v>
      </c>
      <c r="B16421" t="s">
        <v>1226</v>
      </c>
    </row>
    <row r="16422" spans="1:8" x14ac:dyDescent="0.25">
      <c r="A16422" t="str">
        <f>"&lt;min&gt;" &amp;$G$16418&amp;"&lt;/min&gt;"</f>
        <v>&lt;min&gt;25&lt;/min&gt;</v>
      </c>
      <c r="B16422" t="s">
        <v>1226</v>
      </c>
    </row>
    <row r="16423" spans="1:8" x14ac:dyDescent="0.25">
      <c r="A16423" t="s">
        <v>16</v>
      </c>
      <c r="B16423" t="s">
        <v>1226</v>
      </c>
    </row>
    <row r="16424" spans="1:8" x14ac:dyDescent="0.25">
      <c r="A16424" t="s">
        <v>17</v>
      </c>
      <c r="B16424" t="s">
        <v>1226</v>
      </c>
    </row>
    <row r="16425" spans="1:8" x14ac:dyDescent="0.25">
      <c r="A16425" t="s">
        <v>18</v>
      </c>
      <c r="B16425" t="s">
        <v>1226</v>
      </c>
    </row>
    <row r="16426" spans="1:8" x14ac:dyDescent="0.25">
      <c r="A16426" t="str">
        <f xml:space="preserve"> $H$16418</f>
        <v>&lt;flags count_in_cargo="0" count_in_hoarder="0" count_in_map="1" count_in_player="0" crafted="0" deloot="0"/&gt;</v>
      </c>
      <c r="B16426" t="s">
        <v>1226</v>
      </c>
    </row>
    <row r="16427" spans="1:8" x14ac:dyDescent="0.25">
      <c r="A16427" t="str">
        <f>"&lt;category name=" &amp;"""" &amp;$C$16418&amp;"""/&gt;"</f>
        <v>&lt;category name="clothes"/&gt;</v>
      </c>
      <c r="B16427" t="s">
        <v>1226</v>
      </c>
    </row>
    <row r="16428" spans="1:8" x14ac:dyDescent="0.25">
      <c r="A16428" t="s">
        <v>39</v>
      </c>
      <c r="B16428" t="s">
        <v>1226</v>
      </c>
    </row>
    <row r="16429" spans="1:8" x14ac:dyDescent="0.25">
      <c r="A16429" t="s">
        <v>40</v>
      </c>
      <c r="B16429" t="s">
        <v>1226</v>
      </c>
    </row>
    <row r="16430" spans="1:8" x14ac:dyDescent="0.25">
      <c r="A16430" t="s">
        <v>22</v>
      </c>
      <c r="B16430" t="s">
        <v>1226</v>
      </c>
    </row>
    <row r="16431" spans="1:8" x14ac:dyDescent="0.25">
      <c r="A16431" t="s">
        <v>2692</v>
      </c>
      <c r="B16431" t="s">
        <v>1227</v>
      </c>
      <c r="C16431" t="s">
        <v>403</v>
      </c>
      <c r="D16431">
        <v>15</v>
      </c>
      <c r="E16431">
        <v>2700</v>
      </c>
      <c r="F16431">
        <v>0</v>
      </c>
      <c r="G16431">
        <v>25</v>
      </c>
      <c r="H16431" t="s">
        <v>19</v>
      </c>
    </row>
    <row r="16432" spans="1:8" x14ac:dyDescent="0.25">
      <c r="A16432" t="str">
        <f>"&lt;nominal&gt;" &amp;$D$16431&amp;"&lt;/nominal&gt;"</f>
        <v>&lt;nominal&gt;15&lt;/nominal&gt;</v>
      </c>
      <c r="B16432" t="s">
        <v>1227</v>
      </c>
    </row>
    <row r="16433" spans="1:8" x14ac:dyDescent="0.25">
      <c r="A16433" t="str">
        <f>"&lt;lifetime&gt;" &amp;$E$16431&amp;"&lt;/lifetime&gt;"</f>
        <v>&lt;lifetime&gt;2700&lt;/lifetime&gt;</v>
      </c>
      <c r="B16433" t="s">
        <v>1227</v>
      </c>
    </row>
    <row r="16434" spans="1:8" x14ac:dyDescent="0.25">
      <c r="A16434" t="str">
        <f>"&lt;restock&gt;" &amp;$F$16431&amp;"&lt;/restock&gt;"</f>
        <v>&lt;restock&gt;0&lt;/restock&gt;</v>
      </c>
      <c r="B16434" t="s">
        <v>1227</v>
      </c>
    </row>
    <row r="16435" spans="1:8" x14ac:dyDescent="0.25">
      <c r="A16435" t="str">
        <f>"&lt;min&gt;" &amp;$G$16431&amp;"&lt;/min&gt;"</f>
        <v>&lt;min&gt;25&lt;/min&gt;</v>
      </c>
      <c r="B16435" t="s">
        <v>1227</v>
      </c>
    </row>
    <row r="16436" spans="1:8" x14ac:dyDescent="0.25">
      <c r="A16436" t="s">
        <v>16</v>
      </c>
      <c r="B16436" t="s">
        <v>1227</v>
      </c>
    </row>
    <row r="16437" spans="1:8" x14ac:dyDescent="0.25">
      <c r="A16437" t="s">
        <v>17</v>
      </c>
      <c r="B16437" t="s">
        <v>1227</v>
      </c>
    </row>
    <row r="16438" spans="1:8" x14ac:dyDescent="0.25">
      <c r="A16438" t="s">
        <v>18</v>
      </c>
      <c r="B16438" t="s">
        <v>1227</v>
      </c>
    </row>
    <row r="16439" spans="1:8" x14ac:dyDescent="0.25">
      <c r="A16439" t="str">
        <f xml:space="preserve"> $H$16431</f>
        <v>&lt;flags count_in_cargo="0" count_in_hoarder="0" count_in_map="1" count_in_player="0" crafted="0" deloot="0"/&gt;</v>
      </c>
      <c r="B16439" t="s">
        <v>1227</v>
      </c>
    </row>
    <row r="16440" spans="1:8" x14ac:dyDescent="0.25">
      <c r="A16440" t="str">
        <f>"&lt;category name=" &amp;"""" &amp;$C$16431&amp;"""/&gt;"</f>
        <v>&lt;category name="clothes"/&gt;</v>
      </c>
      <c r="B16440" t="s">
        <v>1227</v>
      </c>
    </row>
    <row r="16441" spans="1:8" x14ac:dyDescent="0.25">
      <c r="A16441" t="s">
        <v>39</v>
      </c>
      <c r="B16441" t="s">
        <v>1227</v>
      </c>
    </row>
    <row r="16442" spans="1:8" x14ac:dyDescent="0.25">
      <c r="A16442" t="s">
        <v>40</v>
      </c>
      <c r="B16442" t="s">
        <v>1227</v>
      </c>
    </row>
    <row r="16443" spans="1:8" x14ac:dyDescent="0.25">
      <c r="A16443" t="s">
        <v>22</v>
      </c>
      <c r="B16443" t="s">
        <v>1227</v>
      </c>
    </row>
    <row r="16444" spans="1:8" x14ac:dyDescent="0.25">
      <c r="A16444" t="s">
        <v>2693</v>
      </c>
      <c r="B16444" t="s">
        <v>1228</v>
      </c>
      <c r="C16444" t="s">
        <v>403</v>
      </c>
      <c r="D16444">
        <v>15</v>
      </c>
      <c r="E16444">
        <v>7200</v>
      </c>
      <c r="F16444">
        <v>0</v>
      </c>
      <c r="G16444">
        <v>3</v>
      </c>
      <c r="H16444" t="s">
        <v>19</v>
      </c>
    </row>
    <row r="16445" spans="1:8" x14ac:dyDescent="0.25">
      <c r="A16445" t="str">
        <f>"&lt;nominal&gt;" &amp;$D$16444&amp;"&lt;/nominal&gt;"</f>
        <v>&lt;nominal&gt;15&lt;/nominal&gt;</v>
      </c>
      <c r="B16445" t="s">
        <v>1228</v>
      </c>
    </row>
    <row r="16446" spans="1:8" x14ac:dyDescent="0.25">
      <c r="A16446" t="str">
        <f>"&lt;lifetime&gt;" &amp;$E$16444&amp;"&lt;/lifetime&gt;"</f>
        <v>&lt;lifetime&gt;7200&lt;/lifetime&gt;</v>
      </c>
      <c r="B16446" t="s">
        <v>1228</v>
      </c>
    </row>
    <row r="16447" spans="1:8" x14ac:dyDescent="0.25">
      <c r="A16447" t="str">
        <f>"&lt;restock&gt;" &amp;$F$16444&amp;"&lt;/restock&gt;"</f>
        <v>&lt;restock&gt;0&lt;/restock&gt;</v>
      </c>
      <c r="B16447" t="s">
        <v>1228</v>
      </c>
    </row>
    <row r="16448" spans="1:8" x14ac:dyDescent="0.25">
      <c r="A16448" t="str">
        <f>"&lt;min&gt;" &amp;$G$16444&amp;"&lt;/min&gt;"</f>
        <v>&lt;min&gt;3&lt;/min&gt;</v>
      </c>
      <c r="B16448" t="s">
        <v>1228</v>
      </c>
    </row>
    <row r="16449" spans="1:8" x14ac:dyDescent="0.25">
      <c r="A16449" t="s">
        <v>16</v>
      </c>
      <c r="B16449" t="s">
        <v>1228</v>
      </c>
    </row>
    <row r="16450" spans="1:8" x14ac:dyDescent="0.25">
      <c r="A16450" t="s">
        <v>17</v>
      </c>
      <c r="B16450" t="s">
        <v>1228</v>
      </c>
    </row>
    <row r="16451" spans="1:8" x14ac:dyDescent="0.25">
      <c r="A16451" t="s">
        <v>18</v>
      </c>
      <c r="B16451" t="s">
        <v>1228</v>
      </c>
    </row>
    <row r="16452" spans="1:8" x14ac:dyDescent="0.25">
      <c r="A16452" t="str">
        <f xml:space="preserve"> $H$16444</f>
        <v>&lt;flags count_in_cargo="0" count_in_hoarder="0" count_in_map="1" count_in_player="0" crafted="0" deloot="0"/&gt;</v>
      </c>
      <c r="B16452" t="s">
        <v>1228</v>
      </c>
    </row>
    <row r="16453" spans="1:8" x14ac:dyDescent="0.25">
      <c r="A16453" t="str">
        <f>"&lt;category name=" &amp;"""" &amp;$C$16444&amp;"""/&gt;"</f>
        <v>&lt;category name="clothes"/&gt;</v>
      </c>
      <c r="B16453" t="s">
        <v>1228</v>
      </c>
    </row>
    <row r="16454" spans="1:8" x14ac:dyDescent="0.25">
      <c r="A16454" t="s">
        <v>29</v>
      </c>
      <c r="B16454" t="s">
        <v>1228</v>
      </c>
    </row>
    <row r="16455" spans="1:8" x14ac:dyDescent="0.25">
      <c r="A16455" t="s">
        <v>30</v>
      </c>
      <c r="B16455" t="s">
        <v>1228</v>
      </c>
    </row>
    <row r="16456" spans="1:8" x14ac:dyDescent="0.25">
      <c r="A16456" t="s">
        <v>31</v>
      </c>
      <c r="B16456" t="s">
        <v>1228</v>
      </c>
    </row>
    <row r="16457" spans="1:8" x14ac:dyDescent="0.25">
      <c r="A16457" t="s">
        <v>307</v>
      </c>
      <c r="B16457" t="s">
        <v>1228</v>
      </c>
    </row>
    <row r="16458" spans="1:8" x14ac:dyDescent="0.25">
      <c r="A16458" t="s">
        <v>22</v>
      </c>
      <c r="B16458" t="s">
        <v>1228</v>
      </c>
    </row>
    <row r="16459" spans="1:8" x14ac:dyDescent="0.25">
      <c r="A16459" t="s">
        <v>2694</v>
      </c>
      <c r="B16459" t="s">
        <v>1229</v>
      </c>
      <c r="C16459" t="s">
        <v>403</v>
      </c>
      <c r="D16459">
        <v>5</v>
      </c>
      <c r="E16459">
        <v>5600</v>
      </c>
      <c r="F16459">
        <v>0</v>
      </c>
      <c r="G16459">
        <v>25</v>
      </c>
      <c r="H16459" t="s">
        <v>19</v>
      </c>
    </row>
    <row r="16460" spans="1:8" x14ac:dyDescent="0.25">
      <c r="A16460" t="str">
        <f>"&lt;nominal&gt;" &amp;$D$16459&amp;"&lt;/nominal&gt;"</f>
        <v>&lt;nominal&gt;5&lt;/nominal&gt;</v>
      </c>
      <c r="B16460" t="s">
        <v>1229</v>
      </c>
    </row>
    <row r="16461" spans="1:8" x14ac:dyDescent="0.25">
      <c r="A16461" t="str">
        <f>"&lt;lifetime&gt;" &amp;$E$16459&amp;"&lt;/lifetime&gt;"</f>
        <v>&lt;lifetime&gt;5600&lt;/lifetime&gt;</v>
      </c>
      <c r="B16461" t="s">
        <v>1229</v>
      </c>
    </row>
    <row r="16462" spans="1:8" x14ac:dyDescent="0.25">
      <c r="A16462" t="str">
        <f>"&lt;restock&gt;" &amp;$F$16459&amp;"&lt;/restock&gt;"</f>
        <v>&lt;restock&gt;0&lt;/restock&gt;</v>
      </c>
      <c r="B16462" t="s">
        <v>1229</v>
      </c>
    </row>
    <row r="16463" spans="1:8" x14ac:dyDescent="0.25">
      <c r="A16463" t="str">
        <f>"&lt;min&gt;" &amp;$G$16459&amp;"&lt;/min&gt;"</f>
        <v>&lt;min&gt;25&lt;/min&gt;</v>
      </c>
      <c r="B16463" t="s">
        <v>1229</v>
      </c>
    </row>
    <row r="16464" spans="1:8" x14ac:dyDescent="0.25">
      <c r="A16464" t="s">
        <v>16</v>
      </c>
      <c r="B16464" t="s">
        <v>1229</v>
      </c>
    </row>
    <row r="16465" spans="1:8" x14ac:dyDescent="0.25">
      <c r="A16465" t="s">
        <v>17</v>
      </c>
      <c r="B16465" t="s">
        <v>1229</v>
      </c>
    </row>
    <row r="16466" spans="1:8" x14ac:dyDescent="0.25">
      <c r="A16466" t="s">
        <v>18</v>
      </c>
      <c r="B16466" t="s">
        <v>1229</v>
      </c>
    </row>
    <row r="16467" spans="1:8" x14ac:dyDescent="0.25">
      <c r="A16467" t="str">
        <f xml:space="preserve"> $H$16459</f>
        <v>&lt;flags count_in_cargo="0" count_in_hoarder="0" count_in_map="1" count_in_player="0" crafted="0" deloot="0"/&gt;</v>
      </c>
      <c r="B16467" t="s">
        <v>1229</v>
      </c>
    </row>
    <row r="16468" spans="1:8" x14ac:dyDescent="0.25">
      <c r="A16468" t="str">
        <f>"&lt;category name=" &amp;"""" &amp;$C$16459&amp;"""/&gt;"</f>
        <v>&lt;category name="clothes"/&gt;</v>
      </c>
      <c r="B16468" t="s">
        <v>1229</v>
      </c>
    </row>
    <row r="16469" spans="1:8" x14ac:dyDescent="0.25">
      <c r="A16469" t="s">
        <v>39</v>
      </c>
      <c r="B16469" t="s">
        <v>1229</v>
      </c>
    </row>
    <row r="16470" spans="1:8" x14ac:dyDescent="0.25">
      <c r="A16470" t="s">
        <v>40</v>
      </c>
      <c r="B16470" t="s">
        <v>1229</v>
      </c>
    </row>
    <row r="16471" spans="1:8" x14ac:dyDescent="0.25">
      <c r="A16471" t="s">
        <v>22</v>
      </c>
      <c r="B16471" t="s">
        <v>1229</v>
      </c>
    </row>
    <row r="16472" spans="1:8" x14ac:dyDescent="0.25">
      <c r="A16472" t="s">
        <v>2695</v>
      </c>
      <c r="B16472" t="s">
        <v>1230</v>
      </c>
      <c r="C16472" t="s">
        <v>403</v>
      </c>
      <c r="D16472">
        <v>5</v>
      </c>
      <c r="E16472">
        <v>5600</v>
      </c>
      <c r="F16472">
        <v>0</v>
      </c>
      <c r="G16472">
        <v>25</v>
      </c>
      <c r="H16472" t="s">
        <v>19</v>
      </c>
    </row>
    <row r="16473" spans="1:8" x14ac:dyDescent="0.25">
      <c r="A16473" t="str">
        <f>"&lt;nominal&gt;" &amp;$D$16472&amp;"&lt;/nominal&gt;"</f>
        <v>&lt;nominal&gt;5&lt;/nominal&gt;</v>
      </c>
      <c r="B16473" t="s">
        <v>1230</v>
      </c>
    </row>
    <row r="16474" spans="1:8" x14ac:dyDescent="0.25">
      <c r="A16474" t="str">
        <f>"&lt;lifetime&gt;" &amp;$E$16472&amp;"&lt;/lifetime&gt;"</f>
        <v>&lt;lifetime&gt;5600&lt;/lifetime&gt;</v>
      </c>
      <c r="B16474" t="s">
        <v>1230</v>
      </c>
    </row>
    <row r="16475" spans="1:8" x14ac:dyDescent="0.25">
      <c r="A16475" t="str">
        <f>"&lt;restock&gt;" &amp;$F$16472&amp;"&lt;/restock&gt;"</f>
        <v>&lt;restock&gt;0&lt;/restock&gt;</v>
      </c>
      <c r="B16475" t="s">
        <v>1230</v>
      </c>
    </row>
    <row r="16476" spans="1:8" x14ac:dyDescent="0.25">
      <c r="A16476" t="str">
        <f>"&lt;min&gt;" &amp;$G$16472&amp;"&lt;/min&gt;"</f>
        <v>&lt;min&gt;25&lt;/min&gt;</v>
      </c>
      <c r="B16476" t="s">
        <v>1230</v>
      </c>
    </row>
    <row r="16477" spans="1:8" x14ac:dyDescent="0.25">
      <c r="A16477" t="s">
        <v>16</v>
      </c>
      <c r="B16477" t="s">
        <v>1230</v>
      </c>
    </row>
    <row r="16478" spans="1:8" x14ac:dyDescent="0.25">
      <c r="A16478" t="s">
        <v>17</v>
      </c>
      <c r="B16478" t="s">
        <v>1230</v>
      </c>
    </row>
    <row r="16479" spans="1:8" x14ac:dyDescent="0.25">
      <c r="A16479" t="s">
        <v>18</v>
      </c>
      <c r="B16479" t="s">
        <v>1230</v>
      </c>
    </row>
    <row r="16480" spans="1:8" x14ac:dyDescent="0.25">
      <c r="A16480" t="str">
        <f xml:space="preserve"> $H$16472</f>
        <v>&lt;flags count_in_cargo="0" count_in_hoarder="0" count_in_map="1" count_in_player="0" crafted="0" deloot="0"/&gt;</v>
      </c>
      <c r="B16480" t="s">
        <v>1230</v>
      </c>
    </row>
    <row r="16481" spans="1:8" x14ac:dyDescent="0.25">
      <c r="A16481" t="str">
        <f>"&lt;category name=" &amp;"""" &amp;$C$16472&amp;"""/&gt;"</f>
        <v>&lt;category name="clothes"/&gt;</v>
      </c>
      <c r="B16481" t="s">
        <v>1230</v>
      </c>
    </row>
    <row r="16482" spans="1:8" x14ac:dyDescent="0.25">
      <c r="A16482" t="s">
        <v>39</v>
      </c>
      <c r="B16482" t="s">
        <v>1230</v>
      </c>
    </row>
    <row r="16483" spans="1:8" x14ac:dyDescent="0.25">
      <c r="A16483" t="s">
        <v>40</v>
      </c>
      <c r="B16483" t="s">
        <v>1230</v>
      </c>
    </row>
    <row r="16484" spans="1:8" x14ac:dyDescent="0.25">
      <c r="A16484" t="s">
        <v>22</v>
      </c>
      <c r="B16484" t="s">
        <v>1230</v>
      </c>
    </row>
    <row r="16485" spans="1:8" x14ac:dyDescent="0.25">
      <c r="A16485" t="s">
        <v>2696</v>
      </c>
      <c r="B16485" t="s">
        <v>1231</v>
      </c>
      <c r="C16485" t="s">
        <v>403</v>
      </c>
      <c r="D16485">
        <v>5</v>
      </c>
      <c r="E16485">
        <v>5600</v>
      </c>
      <c r="F16485">
        <v>0</v>
      </c>
      <c r="G16485">
        <v>25</v>
      </c>
      <c r="H16485" t="s">
        <v>19</v>
      </c>
    </row>
    <row r="16486" spans="1:8" x14ac:dyDescent="0.25">
      <c r="A16486" t="str">
        <f>"&lt;nominal&gt;" &amp;$D$16485&amp;"&lt;/nominal&gt;"</f>
        <v>&lt;nominal&gt;5&lt;/nominal&gt;</v>
      </c>
      <c r="B16486" t="s">
        <v>1231</v>
      </c>
    </row>
    <row r="16487" spans="1:8" x14ac:dyDescent="0.25">
      <c r="A16487" t="str">
        <f>"&lt;lifetime&gt;" &amp;$E$16485&amp;"&lt;/lifetime&gt;"</f>
        <v>&lt;lifetime&gt;5600&lt;/lifetime&gt;</v>
      </c>
      <c r="B16487" t="s">
        <v>1231</v>
      </c>
    </row>
    <row r="16488" spans="1:8" x14ac:dyDescent="0.25">
      <c r="A16488" t="str">
        <f>"&lt;restock&gt;" &amp;$F$16485&amp;"&lt;/restock&gt;"</f>
        <v>&lt;restock&gt;0&lt;/restock&gt;</v>
      </c>
      <c r="B16488" t="s">
        <v>1231</v>
      </c>
    </row>
    <row r="16489" spans="1:8" x14ac:dyDescent="0.25">
      <c r="A16489" t="str">
        <f>"&lt;min&gt;" &amp;$G$16485&amp;"&lt;/min&gt;"</f>
        <v>&lt;min&gt;25&lt;/min&gt;</v>
      </c>
      <c r="B16489" t="s">
        <v>1231</v>
      </c>
    </row>
    <row r="16490" spans="1:8" x14ac:dyDescent="0.25">
      <c r="A16490" t="s">
        <v>16</v>
      </c>
      <c r="B16490" t="s">
        <v>1231</v>
      </c>
    </row>
    <row r="16491" spans="1:8" x14ac:dyDescent="0.25">
      <c r="A16491" t="s">
        <v>17</v>
      </c>
      <c r="B16491" t="s">
        <v>1231</v>
      </c>
    </row>
    <row r="16492" spans="1:8" x14ac:dyDescent="0.25">
      <c r="A16492" t="s">
        <v>18</v>
      </c>
      <c r="B16492" t="s">
        <v>1231</v>
      </c>
    </row>
    <row r="16493" spans="1:8" x14ac:dyDescent="0.25">
      <c r="A16493" t="str">
        <f xml:space="preserve"> $H$16485</f>
        <v>&lt;flags count_in_cargo="0" count_in_hoarder="0" count_in_map="1" count_in_player="0" crafted="0" deloot="0"/&gt;</v>
      </c>
      <c r="B16493" t="s">
        <v>1231</v>
      </c>
    </row>
    <row r="16494" spans="1:8" x14ac:dyDescent="0.25">
      <c r="A16494" t="str">
        <f>"&lt;category name=" &amp;"""" &amp;$C$16485&amp;"""/&gt;"</f>
        <v>&lt;category name="clothes"/&gt;</v>
      </c>
      <c r="B16494" t="s">
        <v>1231</v>
      </c>
    </row>
    <row r="16495" spans="1:8" x14ac:dyDescent="0.25">
      <c r="A16495" t="s">
        <v>39</v>
      </c>
      <c r="B16495" t="s">
        <v>1231</v>
      </c>
    </row>
    <row r="16496" spans="1:8" x14ac:dyDescent="0.25">
      <c r="A16496" t="s">
        <v>40</v>
      </c>
      <c r="B16496" t="s">
        <v>1231</v>
      </c>
    </row>
    <row r="16497" spans="1:8" x14ac:dyDescent="0.25">
      <c r="A16497" t="s">
        <v>22</v>
      </c>
      <c r="B16497" t="s">
        <v>1231</v>
      </c>
    </row>
    <row r="16498" spans="1:8" x14ac:dyDescent="0.25">
      <c r="A16498" t="s">
        <v>2697</v>
      </c>
      <c r="B16498" t="s">
        <v>1232</v>
      </c>
      <c r="C16498" t="s">
        <v>403</v>
      </c>
      <c r="D16498">
        <v>5</v>
      </c>
      <c r="E16498">
        <v>5600</v>
      </c>
      <c r="F16498">
        <v>0</v>
      </c>
      <c r="G16498">
        <v>25</v>
      </c>
      <c r="H16498" t="s">
        <v>19</v>
      </c>
    </row>
    <row r="16499" spans="1:8" x14ac:dyDescent="0.25">
      <c r="A16499" t="str">
        <f>"&lt;nominal&gt;" &amp;$D$16498&amp;"&lt;/nominal&gt;"</f>
        <v>&lt;nominal&gt;5&lt;/nominal&gt;</v>
      </c>
      <c r="B16499" t="s">
        <v>1232</v>
      </c>
    </row>
    <row r="16500" spans="1:8" x14ac:dyDescent="0.25">
      <c r="A16500" t="str">
        <f>"&lt;lifetime&gt;" &amp;$E$16498&amp;"&lt;/lifetime&gt;"</f>
        <v>&lt;lifetime&gt;5600&lt;/lifetime&gt;</v>
      </c>
      <c r="B16500" t="s">
        <v>1232</v>
      </c>
    </row>
    <row r="16501" spans="1:8" x14ac:dyDescent="0.25">
      <c r="A16501" t="str">
        <f>"&lt;restock&gt;" &amp;$F$16498&amp;"&lt;/restock&gt;"</f>
        <v>&lt;restock&gt;0&lt;/restock&gt;</v>
      </c>
      <c r="B16501" t="s">
        <v>1232</v>
      </c>
    </row>
    <row r="16502" spans="1:8" x14ac:dyDescent="0.25">
      <c r="A16502" t="str">
        <f>"&lt;min&gt;" &amp;$G$16498&amp;"&lt;/min&gt;"</f>
        <v>&lt;min&gt;25&lt;/min&gt;</v>
      </c>
      <c r="B16502" t="s">
        <v>1232</v>
      </c>
    </row>
    <row r="16503" spans="1:8" x14ac:dyDescent="0.25">
      <c r="A16503" t="s">
        <v>16</v>
      </c>
      <c r="B16503" t="s">
        <v>1232</v>
      </c>
    </row>
    <row r="16504" spans="1:8" x14ac:dyDescent="0.25">
      <c r="A16504" t="s">
        <v>17</v>
      </c>
      <c r="B16504" t="s">
        <v>1232</v>
      </c>
    </row>
    <row r="16505" spans="1:8" x14ac:dyDescent="0.25">
      <c r="A16505" t="s">
        <v>18</v>
      </c>
      <c r="B16505" t="s">
        <v>1232</v>
      </c>
    </row>
    <row r="16506" spans="1:8" x14ac:dyDescent="0.25">
      <c r="A16506" t="str">
        <f xml:space="preserve"> $H$16498</f>
        <v>&lt;flags count_in_cargo="0" count_in_hoarder="0" count_in_map="1" count_in_player="0" crafted="0" deloot="0"/&gt;</v>
      </c>
      <c r="B16506" t="s">
        <v>1232</v>
      </c>
    </row>
    <row r="16507" spans="1:8" x14ac:dyDescent="0.25">
      <c r="A16507" t="str">
        <f>"&lt;category name=" &amp;"""" &amp;$C$16498&amp;"""/&gt;"</f>
        <v>&lt;category name="clothes"/&gt;</v>
      </c>
      <c r="B16507" t="s">
        <v>1232</v>
      </c>
    </row>
    <row r="16508" spans="1:8" x14ac:dyDescent="0.25">
      <c r="A16508" t="s">
        <v>39</v>
      </c>
      <c r="B16508" t="s">
        <v>1232</v>
      </c>
    </row>
    <row r="16509" spans="1:8" x14ac:dyDescent="0.25">
      <c r="A16509" t="s">
        <v>40</v>
      </c>
      <c r="B16509" t="s">
        <v>1232</v>
      </c>
    </row>
    <row r="16510" spans="1:8" x14ac:dyDescent="0.25">
      <c r="A16510" t="s">
        <v>22</v>
      </c>
      <c r="B16510" t="s">
        <v>1232</v>
      </c>
    </row>
    <row r="16511" spans="1:8" x14ac:dyDescent="0.25">
      <c r="A16511" t="s">
        <v>2698</v>
      </c>
      <c r="B16511" t="s">
        <v>1233</v>
      </c>
      <c r="C16511" t="s">
        <v>403</v>
      </c>
      <c r="D16511">
        <v>5</v>
      </c>
      <c r="E16511">
        <v>5600</v>
      </c>
      <c r="F16511">
        <v>0</v>
      </c>
      <c r="G16511">
        <v>25</v>
      </c>
      <c r="H16511" t="s">
        <v>19</v>
      </c>
    </row>
    <row r="16512" spans="1:8" x14ac:dyDescent="0.25">
      <c r="A16512" t="str">
        <f>"&lt;nominal&gt;" &amp;$D$16511&amp;"&lt;/nominal&gt;"</f>
        <v>&lt;nominal&gt;5&lt;/nominal&gt;</v>
      </c>
      <c r="B16512" t="s">
        <v>1233</v>
      </c>
    </row>
    <row r="16513" spans="1:8" x14ac:dyDescent="0.25">
      <c r="A16513" t="str">
        <f>"&lt;lifetime&gt;" &amp;$E$16511&amp;"&lt;/lifetime&gt;"</f>
        <v>&lt;lifetime&gt;5600&lt;/lifetime&gt;</v>
      </c>
      <c r="B16513" t="s">
        <v>1233</v>
      </c>
    </row>
    <row r="16514" spans="1:8" x14ac:dyDescent="0.25">
      <c r="A16514" t="str">
        <f>"&lt;restock&gt;" &amp;$F$16511&amp;"&lt;/restock&gt;"</f>
        <v>&lt;restock&gt;0&lt;/restock&gt;</v>
      </c>
      <c r="B16514" t="s">
        <v>1233</v>
      </c>
    </row>
    <row r="16515" spans="1:8" x14ac:dyDescent="0.25">
      <c r="A16515" t="str">
        <f>"&lt;min&gt;" &amp;$G$16511&amp;"&lt;/min&gt;"</f>
        <v>&lt;min&gt;25&lt;/min&gt;</v>
      </c>
      <c r="B16515" t="s">
        <v>1233</v>
      </c>
    </row>
    <row r="16516" spans="1:8" x14ac:dyDescent="0.25">
      <c r="A16516" t="s">
        <v>16</v>
      </c>
      <c r="B16516" t="s">
        <v>1233</v>
      </c>
    </row>
    <row r="16517" spans="1:8" x14ac:dyDescent="0.25">
      <c r="A16517" t="s">
        <v>17</v>
      </c>
      <c r="B16517" t="s">
        <v>1233</v>
      </c>
    </row>
    <row r="16518" spans="1:8" x14ac:dyDescent="0.25">
      <c r="A16518" t="s">
        <v>18</v>
      </c>
      <c r="B16518" t="s">
        <v>1233</v>
      </c>
    </row>
    <row r="16519" spans="1:8" x14ac:dyDescent="0.25">
      <c r="A16519" t="str">
        <f xml:space="preserve"> $H$16511</f>
        <v>&lt;flags count_in_cargo="0" count_in_hoarder="0" count_in_map="1" count_in_player="0" crafted="0" deloot="0"/&gt;</v>
      </c>
      <c r="B16519" t="s">
        <v>1233</v>
      </c>
    </row>
    <row r="16520" spans="1:8" x14ac:dyDescent="0.25">
      <c r="A16520" t="str">
        <f>"&lt;category name=" &amp;"""" &amp;$C$16511&amp;"""/&gt;"</f>
        <v>&lt;category name="clothes"/&gt;</v>
      </c>
      <c r="B16520" t="s">
        <v>1233</v>
      </c>
    </row>
    <row r="16521" spans="1:8" x14ac:dyDescent="0.25">
      <c r="A16521" t="s">
        <v>39</v>
      </c>
      <c r="B16521" t="s">
        <v>1233</v>
      </c>
    </row>
    <row r="16522" spans="1:8" x14ac:dyDescent="0.25">
      <c r="A16522" t="s">
        <v>40</v>
      </c>
      <c r="B16522" t="s">
        <v>1233</v>
      </c>
    </row>
    <row r="16523" spans="1:8" x14ac:dyDescent="0.25">
      <c r="A16523" t="s">
        <v>22</v>
      </c>
      <c r="B16523" t="s">
        <v>1233</v>
      </c>
    </row>
    <row r="16524" spans="1:8" x14ac:dyDescent="0.25">
      <c r="A16524" t="s">
        <v>2699</v>
      </c>
      <c r="B16524" t="s">
        <v>1234</v>
      </c>
      <c r="C16524" t="s">
        <v>403</v>
      </c>
      <c r="D16524">
        <v>5</v>
      </c>
      <c r="E16524">
        <v>5600</v>
      </c>
      <c r="F16524">
        <v>0</v>
      </c>
      <c r="G16524">
        <v>25</v>
      </c>
      <c r="H16524" t="s">
        <v>19</v>
      </c>
    </row>
    <row r="16525" spans="1:8" x14ac:dyDescent="0.25">
      <c r="A16525" t="str">
        <f>"&lt;nominal&gt;" &amp;$D$16524&amp;"&lt;/nominal&gt;"</f>
        <v>&lt;nominal&gt;5&lt;/nominal&gt;</v>
      </c>
      <c r="B16525" t="s">
        <v>1234</v>
      </c>
    </row>
    <row r="16526" spans="1:8" x14ac:dyDescent="0.25">
      <c r="A16526" t="str">
        <f>"&lt;lifetime&gt;" &amp;$E$16524&amp;"&lt;/lifetime&gt;"</f>
        <v>&lt;lifetime&gt;5600&lt;/lifetime&gt;</v>
      </c>
      <c r="B16526" t="s">
        <v>1234</v>
      </c>
    </row>
    <row r="16527" spans="1:8" x14ac:dyDescent="0.25">
      <c r="A16527" t="str">
        <f>"&lt;restock&gt;" &amp;$F$16524&amp;"&lt;/restock&gt;"</f>
        <v>&lt;restock&gt;0&lt;/restock&gt;</v>
      </c>
      <c r="B16527" t="s">
        <v>1234</v>
      </c>
    </row>
    <row r="16528" spans="1:8" x14ac:dyDescent="0.25">
      <c r="A16528" t="str">
        <f>"&lt;min&gt;" &amp;$G$16524&amp;"&lt;/min&gt;"</f>
        <v>&lt;min&gt;25&lt;/min&gt;</v>
      </c>
      <c r="B16528" t="s">
        <v>1234</v>
      </c>
    </row>
    <row r="16529" spans="1:8" x14ac:dyDescent="0.25">
      <c r="A16529" t="s">
        <v>16</v>
      </c>
      <c r="B16529" t="s">
        <v>1234</v>
      </c>
    </row>
    <row r="16530" spans="1:8" x14ac:dyDescent="0.25">
      <c r="A16530" t="s">
        <v>17</v>
      </c>
      <c r="B16530" t="s">
        <v>1234</v>
      </c>
    </row>
    <row r="16531" spans="1:8" x14ac:dyDescent="0.25">
      <c r="A16531" t="s">
        <v>18</v>
      </c>
      <c r="B16531" t="s">
        <v>1234</v>
      </c>
    </row>
    <row r="16532" spans="1:8" x14ac:dyDescent="0.25">
      <c r="A16532" t="str">
        <f xml:space="preserve"> $H$16524</f>
        <v>&lt;flags count_in_cargo="0" count_in_hoarder="0" count_in_map="1" count_in_player="0" crafted="0" deloot="0"/&gt;</v>
      </c>
      <c r="B16532" t="s">
        <v>1234</v>
      </c>
    </row>
    <row r="16533" spans="1:8" x14ac:dyDescent="0.25">
      <c r="A16533" t="str">
        <f>"&lt;category name=" &amp;"""" &amp;$C$16524&amp;"""/&gt;"</f>
        <v>&lt;category name="clothes"/&gt;</v>
      </c>
      <c r="B16533" t="s">
        <v>1234</v>
      </c>
    </row>
    <row r="16534" spans="1:8" x14ac:dyDescent="0.25">
      <c r="A16534" t="s">
        <v>39</v>
      </c>
      <c r="B16534" t="s">
        <v>1234</v>
      </c>
    </row>
    <row r="16535" spans="1:8" x14ac:dyDescent="0.25">
      <c r="A16535" t="s">
        <v>40</v>
      </c>
      <c r="B16535" t="s">
        <v>1234</v>
      </c>
    </row>
    <row r="16536" spans="1:8" x14ac:dyDescent="0.25">
      <c r="A16536" t="s">
        <v>22</v>
      </c>
      <c r="B16536" t="s">
        <v>1234</v>
      </c>
    </row>
    <row r="16537" spans="1:8" x14ac:dyDescent="0.25">
      <c r="A16537" t="s">
        <v>2700</v>
      </c>
      <c r="B16537" t="s">
        <v>1235</v>
      </c>
      <c r="C16537" t="s">
        <v>403</v>
      </c>
      <c r="D16537">
        <v>5</v>
      </c>
      <c r="E16537">
        <v>5600</v>
      </c>
      <c r="F16537">
        <v>0</v>
      </c>
      <c r="G16537">
        <v>25</v>
      </c>
      <c r="H16537" t="s">
        <v>19</v>
      </c>
    </row>
    <row r="16538" spans="1:8" x14ac:dyDescent="0.25">
      <c r="A16538" t="str">
        <f>"&lt;nominal&gt;" &amp;$D$16537&amp;"&lt;/nominal&gt;"</f>
        <v>&lt;nominal&gt;5&lt;/nominal&gt;</v>
      </c>
      <c r="B16538" t="s">
        <v>1235</v>
      </c>
    </row>
    <row r="16539" spans="1:8" x14ac:dyDescent="0.25">
      <c r="A16539" t="str">
        <f>"&lt;lifetime&gt;" &amp;$E$16537&amp;"&lt;/lifetime&gt;"</f>
        <v>&lt;lifetime&gt;5600&lt;/lifetime&gt;</v>
      </c>
      <c r="B16539" t="s">
        <v>1235</v>
      </c>
    </row>
    <row r="16540" spans="1:8" x14ac:dyDescent="0.25">
      <c r="A16540" t="str">
        <f>"&lt;restock&gt;" &amp;$F$16537&amp;"&lt;/restock&gt;"</f>
        <v>&lt;restock&gt;0&lt;/restock&gt;</v>
      </c>
      <c r="B16540" t="s">
        <v>1235</v>
      </c>
    </row>
    <row r="16541" spans="1:8" x14ac:dyDescent="0.25">
      <c r="A16541" t="str">
        <f>"&lt;min&gt;" &amp;$G$16537&amp;"&lt;/min&gt;"</f>
        <v>&lt;min&gt;25&lt;/min&gt;</v>
      </c>
      <c r="B16541" t="s">
        <v>1235</v>
      </c>
    </row>
    <row r="16542" spans="1:8" x14ac:dyDescent="0.25">
      <c r="A16542" t="s">
        <v>16</v>
      </c>
      <c r="B16542" t="s">
        <v>1235</v>
      </c>
    </row>
    <row r="16543" spans="1:8" x14ac:dyDescent="0.25">
      <c r="A16543" t="s">
        <v>17</v>
      </c>
      <c r="B16543" t="s">
        <v>1235</v>
      </c>
    </row>
    <row r="16544" spans="1:8" x14ac:dyDescent="0.25">
      <c r="A16544" t="s">
        <v>18</v>
      </c>
      <c r="B16544" t="s">
        <v>1235</v>
      </c>
    </row>
    <row r="16545" spans="1:8" x14ac:dyDescent="0.25">
      <c r="A16545" t="str">
        <f xml:space="preserve"> $H$16537</f>
        <v>&lt;flags count_in_cargo="0" count_in_hoarder="0" count_in_map="1" count_in_player="0" crafted="0" deloot="0"/&gt;</v>
      </c>
      <c r="B16545" t="s">
        <v>1235</v>
      </c>
    </row>
    <row r="16546" spans="1:8" x14ac:dyDescent="0.25">
      <c r="A16546" t="str">
        <f>"&lt;category name=" &amp;"""" &amp;$C$16537&amp;"""/&gt;"</f>
        <v>&lt;category name="clothes"/&gt;</v>
      </c>
      <c r="B16546" t="s">
        <v>1235</v>
      </c>
    </row>
    <row r="16547" spans="1:8" x14ac:dyDescent="0.25">
      <c r="A16547" t="s">
        <v>39</v>
      </c>
      <c r="B16547" t="s">
        <v>1235</v>
      </c>
    </row>
    <row r="16548" spans="1:8" x14ac:dyDescent="0.25">
      <c r="A16548" t="s">
        <v>40</v>
      </c>
      <c r="B16548" t="s">
        <v>1235</v>
      </c>
    </row>
    <row r="16549" spans="1:8" x14ac:dyDescent="0.25">
      <c r="A16549" t="s">
        <v>22</v>
      </c>
      <c r="B16549" t="s">
        <v>1235</v>
      </c>
    </row>
    <row r="16550" spans="1:8" x14ac:dyDescent="0.25">
      <c r="A16550" t="s">
        <v>2701</v>
      </c>
      <c r="B16550" t="s">
        <v>1236</v>
      </c>
      <c r="C16550" t="s">
        <v>403</v>
      </c>
      <c r="D16550">
        <v>5</v>
      </c>
      <c r="E16550">
        <v>5600</v>
      </c>
      <c r="F16550">
        <v>0</v>
      </c>
      <c r="G16550">
        <v>25</v>
      </c>
      <c r="H16550" t="s">
        <v>19</v>
      </c>
    </row>
    <row r="16551" spans="1:8" x14ac:dyDescent="0.25">
      <c r="A16551" t="str">
        <f>"&lt;nominal&gt;" &amp;$D$16550&amp;"&lt;/nominal&gt;"</f>
        <v>&lt;nominal&gt;5&lt;/nominal&gt;</v>
      </c>
      <c r="B16551" t="s">
        <v>1236</v>
      </c>
    </row>
    <row r="16552" spans="1:8" x14ac:dyDescent="0.25">
      <c r="A16552" t="str">
        <f>"&lt;lifetime&gt;" &amp;$E$16550&amp;"&lt;/lifetime&gt;"</f>
        <v>&lt;lifetime&gt;5600&lt;/lifetime&gt;</v>
      </c>
      <c r="B16552" t="s">
        <v>1236</v>
      </c>
    </row>
    <row r="16553" spans="1:8" x14ac:dyDescent="0.25">
      <c r="A16553" t="str">
        <f>"&lt;restock&gt;" &amp;$F$16550&amp;"&lt;/restock&gt;"</f>
        <v>&lt;restock&gt;0&lt;/restock&gt;</v>
      </c>
      <c r="B16553" t="s">
        <v>1236</v>
      </c>
    </row>
    <row r="16554" spans="1:8" x14ac:dyDescent="0.25">
      <c r="A16554" t="str">
        <f>"&lt;min&gt;" &amp;$G$16550&amp;"&lt;/min&gt;"</f>
        <v>&lt;min&gt;25&lt;/min&gt;</v>
      </c>
      <c r="B16554" t="s">
        <v>1236</v>
      </c>
    </row>
    <row r="16555" spans="1:8" x14ac:dyDescent="0.25">
      <c r="A16555" t="s">
        <v>16</v>
      </c>
      <c r="B16555" t="s">
        <v>1236</v>
      </c>
    </row>
    <row r="16556" spans="1:8" x14ac:dyDescent="0.25">
      <c r="A16556" t="s">
        <v>17</v>
      </c>
      <c r="B16556" t="s">
        <v>1236</v>
      </c>
    </row>
    <row r="16557" spans="1:8" x14ac:dyDescent="0.25">
      <c r="A16557" t="s">
        <v>18</v>
      </c>
      <c r="B16557" t="s">
        <v>1236</v>
      </c>
    </row>
    <row r="16558" spans="1:8" x14ac:dyDescent="0.25">
      <c r="A16558" t="str">
        <f xml:space="preserve"> $H$16550</f>
        <v>&lt;flags count_in_cargo="0" count_in_hoarder="0" count_in_map="1" count_in_player="0" crafted="0" deloot="0"/&gt;</v>
      </c>
      <c r="B16558" t="s">
        <v>1236</v>
      </c>
    </row>
    <row r="16559" spans="1:8" x14ac:dyDescent="0.25">
      <c r="A16559" t="str">
        <f>"&lt;category name=" &amp;"""" &amp;$C$16550&amp;"""/&gt;"</f>
        <v>&lt;category name="clothes"/&gt;</v>
      </c>
      <c r="B16559" t="s">
        <v>1236</v>
      </c>
    </row>
    <row r="16560" spans="1:8" x14ac:dyDescent="0.25">
      <c r="A16560" t="s">
        <v>39</v>
      </c>
      <c r="B16560" t="s">
        <v>1236</v>
      </c>
    </row>
    <row r="16561" spans="1:8" x14ac:dyDescent="0.25">
      <c r="A16561" t="s">
        <v>40</v>
      </c>
      <c r="B16561" t="s">
        <v>1236</v>
      </c>
    </row>
    <row r="16562" spans="1:8" x14ac:dyDescent="0.25">
      <c r="A16562" t="s">
        <v>22</v>
      </c>
      <c r="B16562" t="s">
        <v>1236</v>
      </c>
    </row>
    <row r="16563" spans="1:8" x14ac:dyDescent="0.25">
      <c r="A16563" t="s">
        <v>2702</v>
      </c>
      <c r="B16563" t="s">
        <v>1237</v>
      </c>
      <c r="C16563" t="s">
        <v>403</v>
      </c>
      <c r="D16563">
        <v>5</v>
      </c>
      <c r="E16563">
        <v>5600</v>
      </c>
      <c r="F16563">
        <v>0</v>
      </c>
      <c r="G16563">
        <v>25</v>
      </c>
      <c r="H16563" t="s">
        <v>19</v>
      </c>
    </row>
    <row r="16564" spans="1:8" x14ac:dyDescent="0.25">
      <c r="A16564" t="str">
        <f>"&lt;nominal&gt;" &amp;$D$16563&amp;"&lt;/nominal&gt;"</f>
        <v>&lt;nominal&gt;5&lt;/nominal&gt;</v>
      </c>
      <c r="B16564" t="s">
        <v>1237</v>
      </c>
    </row>
    <row r="16565" spans="1:8" x14ac:dyDescent="0.25">
      <c r="A16565" t="str">
        <f>"&lt;lifetime&gt;" &amp;$E$16563&amp;"&lt;/lifetime&gt;"</f>
        <v>&lt;lifetime&gt;5600&lt;/lifetime&gt;</v>
      </c>
      <c r="B16565" t="s">
        <v>1237</v>
      </c>
    </row>
    <row r="16566" spans="1:8" x14ac:dyDescent="0.25">
      <c r="A16566" t="str">
        <f>"&lt;restock&gt;" &amp;$F$16563&amp;"&lt;/restock&gt;"</f>
        <v>&lt;restock&gt;0&lt;/restock&gt;</v>
      </c>
      <c r="B16566" t="s">
        <v>1237</v>
      </c>
    </row>
    <row r="16567" spans="1:8" x14ac:dyDescent="0.25">
      <c r="A16567" t="str">
        <f>"&lt;min&gt;" &amp;$G$16563&amp;"&lt;/min&gt;"</f>
        <v>&lt;min&gt;25&lt;/min&gt;</v>
      </c>
      <c r="B16567" t="s">
        <v>1237</v>
      </c>
    </row>
    <row r="16568" spans="1:8" x14ac:dyDescent="0.25">
      <c r="A16568" t="s">
        <v>16</v>
      </c>
      <c r="B16568" t="s">
        <v>1237</v>
      </c>
    </row>
    <row r="16569" spans="1:8" x14ac:dyDescent="0.25">
      <c r="A16569" t="s">
        <v>17</v>
      </c>
      <c r="B16569" t="s">
        <v>1237</v>
      </c>
    </row>
    <row r="16570" spans="1:8" x14ac:dyDescent="0.25">
      <c r="A16570" t="s">
        <v>18</v>
      </c>
      <c r="B16570" t="s">
        <v>1237</v>
      </c>
    </row>
    <row r="16571" spans="1:8" x14ac:dyDescent="0.25">
      <c r="A16571" t="str">
        <f xml:space="preserve"> $H$16563</f>
        <v>&lt;flags count_in_cargo="0" count_in_hoarder="0" count_in_map="1" count_in_player="0" crafted="0" deloot="0"/&gt;</v>
      </c>
      <c r="B16571" t="s">
        <v>1237</v>
      </c>
    </row>
    <row r="16572" spans="1:8" x14ac:dyDescent="0.25">
      <c r="A16572" t="str">
        <f>"&lt;category name=" &amp;"""" &amp;$C$16563&amp;"""/&gt;"</f>
        <v>&lt;category name="clothes"/&gt;</v>
      </c>
      <c r="B16572" t="s">
        <v>1237</v>
      </c>
    </row>
    <row r="16573" spans="1:8" x14ac:dyDescent="0.25">
      <c r="A16573" t="s">
        <v>39</v>
      </c>
      <c r="B16573" t="s">
        <v>1237</v>
      </c>
    </row>
    <row r="16574" spans="1:8" x14ac:dyDescent="0.25">
      <c r="A16574" t="s">
        <v>40</v>
      </c>
      <c r="B16574" t="s">
        <v>1237</v>
      </c>
    </row>
    <row r="16575" spans="1:8" x14ac:dyDescent="0.25">
      <c r="A16575" t="s">
        <v>22</v>
      </c>
      <c r="B16575" t="s">
        <v>1237</v>
      </c>
    </row>
    <row r="16576" spans="1:8" x14ac:dyDescent="0.25">
      <c r="A16576" t="s">
        <v>2703</v>
      </c>
      <c r="B16576" t="s">
        <v>1238</v>
      </c>
      <c r="C16576" t="s">
        <v>403</v>
      </c>
      <c r="D16576">
        <v>5</v>
      </c>
      <c r="E16576">
        <v>5600</v>
      </c>
      <c r="F16576">
        <v>0</v>
      </c>
      <c r="G16576">
        <v>25</v>
      </c>
      <c r="H16576" t="s">
        <v>19</v>
      </c>
    </row>
    <row r="16577" spans="1:8" x14ac:dyDescent="0.25">
      <c r="A16577" t="str">
        <f>"&lt;nominal&gt;" &amp;$D$16576&amp;"&lt;/nominal&gt;"</f>
        <v>&lt;nominal&gt;5&lt;/nominal&gt;</v>
      </c>
      <c r="B16577" t="s">
        <v>1238</v>
      </c>
    </row>
    <row r="16578" spans="1:8" x14ac:dyDescent="0.25">
      <c r="A16578" t="str">
        <f>"&lt;lifetime&gt;" &amp;$E$16576&amp;"&lt;/lifetime&gt;"</f>
        <v>&lt;lifetime&gt;5600&lt;/lifetime&gt;</v>
      </c>
      <c r="B16578" t="s">
        <v>1238</v>
      </c>
    </row>
    <row r="16579" spans="1:8" x14ac:dyDescent="0.25">
      <c r="A16579" t="str">
        <f>"&lt;restock&gt;" &amp;$F$16576&amp;"&lt;/restock&gt;"</f>
        <v>&lt;restock&gt;0&lt;/restock&gt;</v>
      </c>
      <c r="B16579" t="s">
        <v>1238</v>
      </c>
    </row>
    <row r="16580" spans="1:8" x14ac:dyDescent="0.25">
      <c r="A16580" t="str">
        <f>"&lt;min&gt;" &amp;$G$16576&amp;"&lt;/min&gt;"</f>
        <v>&lt;min&gt;25&lt;/min&gt;</v>
      </c>
      <c r="B16580" t="s">
        <v>1238</v>
      </c>
    </row>
    <row r="16581" spans="1:8" x14ac:dyDescent="0.25">
      <c r="A16581" t="s">
        <v>16</v>
      </c>
      <c r="B16581" t="s">
        <v>1238</v>
      </c>
    </row>
    <row r="16582" spans="1:8" x14ac:dyDescent="0.25">
      <c r="A16582" t="s">
        <v>17</v>
      </c>
      <c r="B16582" t="s">
        <v>1238</v>
      </c>
    </row>
    <row r="16583" spans="1:8" x14ac:dyDescent="0.25">
      <c r="A16583" t="s">
        <v>18</v>
      </c>
      <c r="B16583" t="s">
        <v>1238</v>
      </c>
    </row>
    <row r="16584" spans="1:8" x14ac:dyDescent="0.25">
      <c r="A16584" t="str">
        <f xml:space="preserve"> $H$16576</f>
        <v>&lt;flags count_in_cargo="0" count_in_hoarder="0" count_in_map="1" count_in_player="0" crafted="0" deloot="0"/&gt;</v>
      </c>
      <c r="B16584" t="s">
        <v>1238</v>
      </c>
    </row>
    <row r="16585" spans="1:8" x14ac:dyDescent="0.25">
      <c r="A16585" t="str">
        <f>"&lt;category name=" &amp;"""" &amp;$C$16576&amp;"""/&gt;"</f>
        <v>&lt;category name="clothes"/&gt;</v>
      </c>
      <c r="B16585" t="s">
        <v>1238</v>
      </c>
    </row>
    <row r="16586" spans="1:8" x14ac:dyDescent="0.25">
      <c r="A16586" t="s">
        <v>39</v>
      </c>
      <c r="B16586" t="s">
        <v>1238</v>
      </c>
    </row>
    <row r="16587" spans="1:8" x14ac:dyDescent="0.25">
      <c r="A16587" t="s">
        <v>40</v>
      </c>
      <c r="B16587" t="s">
        <v>1238</v>
      </c>
    </row>
    <row r="16588" spans="1:8" x14ac:dyDescent="0.25">
      <c r="A16588" t="s">
        <v>22</v>
      </c>
      <c r="B16588" t="s">
        <v>1238</v>
      </c>
    </row>
    <row r="16589" spans="1:8" x14ac:dyDescent="0.25">
      <c r="A16589" t="s">
        <v>2704</v>
      </c>
      <c r="B16589" t="s">
        <v>1239</v>
      </c>
      <c r="C16589" t="s">
        <v>403</v>
      </c>
      <c r="D16589">
        <v>40</v>
      </c>
      <c r="E16589">
        <v>5600</v>
      </c>
      <c r="F16589">
        <v>0</v>
      </c>
      <c r="G16589">
        <v>20</v>
      </c>
      <c r="H16589" t="s">
        <v>19</v>
      </c>
    </row>
    <row r="16590" spans="1:8" x14ac:dyDescent="0.25">
      <c r="A16590" t="str">
        <f>"&lt;nominal&gt;" &amp;$D$16589&amp;"&lt;/nominal&gt;"</f>
        <v>&lt;nominal&gt;40&lt;/nominal&gt;</v>
      </c>
      <c r="B16590" t="s">
        <v>1239</v>
      </c>
    </row>
    <row r="16591" spans="1:8" x14ac:dyDescent="0.25">
      <c r="A16591" t="str">
        <f>"&lt;lifetime&gt;" &amp;$E$16589&amp;"&lt;/lifetime&gt;"</f>
        <v>&lt;lifetime&gt;5600&lt;/lifetime&gt;</v>
      </c>
      <c r="B16591" t="s">
        <v>1239</v>
      </c>
    </row>
    <row r="16592" spans="1:8" x14ac:dyDescent="0.25">
      <c r="A16592" t="str">
        <f>"&lt;restock&gt;" &amp;$F$16589&amp;"&lt;/restock&gt;"</f>
        <v>&lt;restock&gt;0&lt;/restock&gt;</v>
      </c>
      <c r="B16592" t="s">
        <v>1239</v>
      </c>
    </row>
    <row r="16593" spans="1:8" x14ac:dyDescent="0.25">
      <c r="A16593" t="str">
        <f>"&lt;min&gt;" &amp;$G$16589&amp;"&lt;/min&gt;"</f>
        <v>&lt;min&gt;20&lt;/min&gt;</v>
      </c>
      <c r="B16593" t="s">
        <v>1239</v>
      </c>
    </row>
    <row r="16594" spans="1:8" x14ac:dyDescent="0.25">
      <c r="A16594" t="s">
        <v>16</v>
      </c>
      <c r="B16594" t="s">
        <v>1239</v>
      </c>
    </row>
    <row r="16595" spans="1:8" x14ac:dyDescent="0.25">
      <c r="A16595" t="s">
        <v>17</v>
      </c>
      <c r="B16595" t="s">
        <v>1239</v>
      </c>
    </row>
    <row r="16596" spans="1:8" x14ac:dyDescent="0.25">
      <c r="A16596" t="s">
        <v>18</v>
      </c>
      <c r="B16596" t="s">
        <v>1239</v>
      </c>
    </row>
    <row r="16597" spans="1:8" x14ac:dyDescent="0.25">
      <c r="A16597" t="str">
        <f xml:space="preserve"> $H$16589</f>
        <v>&lt;flags count_in_cargo="0" count_in_hoarder="0" count_in_map="1" count_in_player="0" crafted="0" deloot="0"/&gt;</v>
      </c>
      <c r="B16597" t="s">
        <v>1239</v>
      </c>
    </row>
    <row r="16598" spans="1:8" x14ac:dyDescent="0.25">
      <c r="A16598" t="str">
        <f>"&lt;category name=" &amp;"""" &amp;$C$16589&amp;"""/&gt;"</f>
        <v>&lt;category name="clothes"/&gt;</v>
      </c>
      <c r="B16598" t="s">
        <v>1239</v>
      </c>
    </row>
    <row r="16599" spans="1:8" x14ac:dyDescent="0.25">
      <c r="A16599" t="s">
        <v>25</v>
      </c>
      <c r="B16599" t="s">
        <v>1239</v>
      </c>
    </row>
    <row r="16600" spans="1:8" x14ac:dyDescent="0.25">
      <c r="A16600" t="s">
        <v>39</v>
      </c>
      <c r="B16600" t="s">
        <v>1239</v>
      </c>
    </row>
    <row r="16601" spans="1:8" x14ac:dyDescent="0.25">
      <c r="A16601" t="s">
        <v>40</v>
      </c>
      <c r="B16601" t="s">
        <v>1239</v>
      </c>
    </row>
    <row r="16602" spans="1:8" x14ac:dyDescent="0.25">
      <c r="A16602" t="s">
        <v>22</v>
      </c>
      <c r="B16602" t="s">
        <v>1239</v>
      </c>
    </row>
    <row r="16603" spans="1:8" x14ac:dyDescent="0.25">
      <c r="A16603" t="s">
        <v>2705</v>
      </c>
      <c r="B16603" t="s">
        <v>1240</v>
      </c>
      <c r="C16603" t="s">
        <v>403</v>
      </c>
      <c r="D16603">
        <v>10</v>
      </c>
      <c r="E16603">
        <v>5600</v>
      </c>
      <c r="F16603">
        <v>0</v>
      </c>
      <c r="G16603">
        <v>30</v>
      </c>
      <c r="H16603" t="s">
        <v>19</v>
      </c>
    </row>
    <row r="16604" spans="1:8" x14ac:dyDescent="0.25">
      <c r="A16604" t="str">
        <f>"&lt;nominal&gt;" &amp;$D$16603&amp;"&lt;/nominal&gt;"</f>
        <v>&lt;nominal&gt;10&lt;/nominal&gt;</v>
      </c>
      <c r="B16604" t="s">
        <v>1240</v>
      </c>
    </row>
    <row r="16605" spans="1:8" x14ac:dyDescent="0.25">
      <c r="A16605" t="str">
        <f>"&lt;lifetime&gt;" &amp;$E$16603&amp;"&lt;/lifetime&gt;"</f>
        <v>&lt;lifetime&gt;5600&lt;/lifetime&gt;</v>
      </c>
      <c r="B16605" t="s">
        <v>1240</v>
      </c>
    </row>
    <row r="16606" spans="1:8" x14ac:dyDescent="0.25">
      <c r="A16606" t="str">
        <f>"&lt;restock&gt;" &amp;$F$16603&amp;"&lt;/restock&gt;"</f>
        <v>&lt;restock&gt;0&lt;/restock&gt;</v>
      </c>
      <c r="B16606" t="s">
        <v>1240</v>
      </c>
    </row>
    <row r="16607" spans="1:8" x14ac:dyDescent="0.25">
      <c r="A16607" t="str">
        <f>"&lt;min&gt;" &amp;$G$16603&amp;"&lt;/min&gt;"</f>
        <v>&lt;min&gt;30&lt;/min&gt;</v>
      </c>
      <c r="B16607" t="s">
        <v>1240</v>
      </c>
    </row>
    <row r="16608" spans="1:8" x14ac:dyDescent="0.25">
      <c r="A16608" t="s">
        <v>16</v>
      </c>
      <c r="B16608" t="s">
        <v>1240</v>
      </c>
    </row>
    <row r="16609" spans="1:8" x14ac:dyDescent="0.25">
      <c r="A16609" t="s">
        <v>17</v>
      </c>
      <c r="B16609" t="s">
        <v>1240</v>
      </c>
    </row>
    <row r="16610" spans="1:8" x14ac:dyDescent="0.25">
      <c r="A16610" t="s">
        <v>18</v>
      </c>
      <c r="B16610" t="s">
        <v>1240</v>
      </c>
    </row>
    <row r="16611" spans="1:8" x14ac:dyDescent="0.25">
      <c r="A16611" t="str">
        <f xml:space="preserve"> $H$16603</f>
        <v>&lt;flags count_in_cargo="0" count_in_hoarder="0" count_in_map="1" count_in_player="0" crafted="0" deloot="0"/&gt;</v>
      </c>
      <c r="B16611" t="s">
        <v>1240</v>
      </c>
    </row>
    <row r="16612" spans="1:8" x14ac:dyDescent="0.25">
      <c r="A16612" t="str">
        <f>"&lt;category name=" &amp;"""" &amp;$C$16603&amp;"""/&gt;"</f>
        <v>&lt;category name="clothes"/&gt;</v>
      </c>
      <c r="B16612" t="s">
        <v>1240</v>
      </c>
    </row>
    <row r="16613" spans="1:8" x14ac:dyDescent="0.25">
      <c r="A16613" t="s">
        <v>29</v>
      </c>
      <c r="B16613" t="s">
        <v>1240</v>
      </c>
    </row>
    <row r="16614" spans="1:8" x14ac:dyDescent="0.25">
      <c r="A16614" t="s">
        <v>67</v>
      </c>
      <c r="B16614" t="s">
        <v>1240</v>
      </c>
    </row>
    <row r="16615" spans="1:8" x14ac:dyDescent="0.25">
      <c r="A16615" t="s">
        <v>30</v>
      </c>
      <c r="B16615" t="s">
        <v>1240</v>
      </c>
    </row>
    <row r="16616" spans="1:8" x14ac:dyDescent="0.25">
      <c r="A16616" t="s">
        <v>31</v>
      </c>
      <c r="B16616" t="s">
        <v>1240</v>
      </c>
    </row>
    <row r="16617" spans="1:8" x14ac:dyDescent="0.25">
      <c r="A16617" t="s">
        <v>307</v>
      </c>
      <c r="B16617" t="s">
        <v>1240</v>
      </c>
    </row>
    <row r="16618" spans="1:8" x14ac:dyDescent="0.25">
      <c r="A16618" t="s">
        <v>22</v>
      </c>
      <c r="B16618" t="s">
        <v>1240</v>
      </c>
    </row>
    <row r="16619" spans="1:8" x14ac:dyDescent="0.25">
      <c r="A16619" t="s">
        <v>2706</v>
      </c>
      <c r="B16619" t="s">
        <v>1241</v>
      </c>
      <c r="C16619" t="s">
        <v>403</v>
      </c>
      <c r="D16619">
        <v>10</v>
      </c>
      <c r="E16619">
        <v>5600</v>
      </c>
      <c r="F16619">
        <v>0</v>
      </c>
      <c r="G16619">
        <v>30</v>
      </c>
      <c r="H16619" t="s">
        <v>19</v>
      </c>
    </row>
    <row r="16620" spans="1:8" x14ac:dyDescent="0.25">
      <c r="A16620" t="str">
        <f>"&lt;nominal&gt;" &amp;$D$16619&amp;"&lt;/nominal&gt;"</f>
        <v>&lt;nominal&gt;10&lt;/nominal&gt;</v>
      </c>
      <c r="B16620" t="s">
        <v>1241</v>
      </c>
    </row>
    <row r="16621" spans="1:8" x14ac:dyDescent="0.25">
      <c r="A16621" t="str">
        <f>"&lt;lifetime&gt;" &amp;$E$16619&amp;"&lt;/lifetime&gt;"</f>
        <v>&lt;lifetime&gt;5600&lt;/lifetime&gt;</v>
      </c>
      <c r="B16621" t="s">
        <v>1241</v>
      </c>
    </row>
    <row r="16622" spans="1:8" x14ac:dyDescent="0.25">
      <c r="A16622" t="str">
        <f>"&lt;restock&gt;" &amp;$F$16619&amp;"&lt;/restock&gt;"</f>
        <v>&lt;restock&gt;0&lt;/restock&gt;</v>
      </c>
      <c r="B16622" t="s">
        <v>1241</v>
      </c>
    </row>
    <row r="16623" spans="1:8" x14ac:dyDescent="0.25">
      <c r="A16623" t="str">
        <f>"&lt;min&gt;" &amp;$G$16619&amp;"&lt;/min&gt;"</f>
        <v>&lt;min&gt;30&lt;/min&gt;</v>
      </c>
      <c r="B16623" t="s">
        <v>1241</v>
      </c>
    </row>
    <row r="16624" spans="1:8" x14ac:dyDescent="0.25">
      <c r="A16624" t="s">
        <v>16</v>
      </c>
      <c r="B16624" t="s">
        <v>1241</v>
      </c>
    </row>
    <row r="16625" spans="1:8" x14ac:dyDescent="0.25">
      <c r="A16625" t="s">
        <v>17</v>
      </c>
      <c r="B16625" t="s">
        <v>1241</v>
      </c>
    </row>
    <row r="16626" spans="1:8" x14ac:dyDescent="0.25">
      <c r="A16626" t="s">
        <v>18</v>
      </c>
      <c r="B16626" t="s">
        <v>1241</v>
      </c>
    </row>
    <row r="16627" spans="1:8" x14ac:dyDescent="0.25">
      <c r="A16627" t="str">
        <f xml:space="preserve"> $H$16619</f>
        <v>&lt;flags count_in_cargo="0" count_in_hoarder="0" count_in_map="1" count_in_player="0" crafted="0" deloot="0"/&gt;</v>
      </c>
      <c r="B16627" t="s">
        <v>1241</v>
      </c>
    </row>
    <row r="16628" spans="1:8" x14ac:dyDescent="0.25">
      <c r="A16628" t="str">
        <f>"&lt;category name=" &amp;"""" &amp;$C$16619&amp;"""/&gt;"</f>
        <v>&lt;category name="clothes"/&gt;</v>
      </c>
      <c r="B16628" t="s">
        <v>1241</v>
      </c>
    </row>
    <row r="16629" spans="1:8" x14ac:dyDescent="0.25">
      <c r="A16629" t="s">
        <v>29</v>
      </c>
      <c r="B16629" t="s">
        <v>1241</v>
      </c>
    </row>
    <row r="16630" spans="1:8" x14ac:dyDescent="0.25">
      <c r="A16630" t="s">
        <v>67</v>
      </c>
      <c r="B16630" t="s">
        <v>1241</v>
      </c>
    </row>
    <row r="16631" spans="1:8" x14ac:dyDescent="0.25">
      <c r="A16631" t="s">
        <v>30</v>
      </c>
      <c r="B16631" t="s">
        <v>1241</v>
      </c>
    </row>
    <row r="16632" spans="1:8" x14ac:dyDescent="0.25">
      <c r="A16632" t="s">
        <v>31</v>
      </c>
      <c r="B16632" t="s">
        <v>1241</v>
      </c>
    </row>
    <row r="16633" spans="1:8" x14ac:dyDescent="0.25">
      <c r="A16633" t="s">
        <v>307</v>
      </c>
      <c r="B16633" t="s">
        <v>1241</v>
      </c>
    </row>
    <row r="16634" spans="1:8" x14ac:dyDescent="0.25">
      <c r="A16634" t="s">
        <v>22</v>
      </c>
      <c r="B16634" t="s">
        <v>1241</v>
      </c>
    </row>
    <row r="16635" spans="1:8" x14ac:dyDescent="0.25">
      <c r="A16635" t="s">
        <v>2707</v>
      </c>
      <c r="B16635" t="s">
        <v>1242</v>
      </c>
      <c r="C16635" t="s">
        <v>403</v>
      </c>
      <c r="D16635">
        <v>10</v>
      </c>
      <c r="E16635">
        <v>5600</v>
      </c>
      <c r="F16635">
        <v>0</v>
      </c>
      <c r="G16635">
        <v>30</v>
      </c>
      <c r="H16635" t="s">
        <v>19</v>
      </c>
    </row>
    <row r="16636" spans="1:8" x14ac:dyDescent="0.25">
      <c r="A16636" t="str">
        <f>"&lt;nominal&gt;" &amp;$D$16635&amp;"&lt;/nominal&gt;"</f>
        <v>&lt;nominal&gt;10&lt;/nominal&gt;</v>
      </c>
      <c r="B16636" t="s">
        <v>1242</v>
      </c>
    </row>
    <row r="16637" spans="1:8" x14ac:dyDescent="0.25">
      <c r="A16637" t="str">
        <f>"&lt;lifetime&gt;" &amp;$E$16635&amp;"&lt;/lifetime&gt;"</f>
        <v>&lt;lifetime&gt;5600&lt;/lifetime&gt;</v>
      </c>
      <c r="B16637" t="s">
        <v>1242</v>
      </c>
    </row>
    <row r="16638" spans="1:8" x14ac:dyDescent="0.25">
      <c r="A16638" t="str">
        <f>"&lt;restock&gt;" &amp;$F$16635&amp;"&lt;/restock&gt;"</f>
        <v>&lt;restock&gt;0&lt;/restock&gt;</v>
      </c>
      <c r="B16638" t="s">
        <v>1242</v>
      </c>
    </row>
    <row r="16639" spans="1:8" x14ac:dyDescent="0.25">
      <c r="A16639" t="str">
        <f>"&lt;min&gt;" &amp;$G$16635&amp;"&lt;/min&gt;"</f>
        <v>&lt;min&gt;30&lt;/min&gt;</v>
      </c>
      <c r="B16639" t="s">
        <v>1242</v>
      </c>
    </row>
    <row r="16640" spans="1:8" x14ac:dyDescent="0.25">
      <c r="A16640" t="s">
        <v>16</v>
      </c>
      <c r="B16640" t="s">
        <v>1242</v>
      </c>
    </row>
    <row r="16641" spans="1:8" x14ac:dyDescent="0.25">
      <c r="A16641" t="s">
        <v>17</v>
      </c>
      <c r="B16641" t="s">
        <v>1242</v>
      </c>
    </row>
    <row r="16642" spans="1:8" x14ac:dyDescent="0.25">
      <c r="A16642" t="s">
        <v>18</v>
      </c>
      <c r="B16642" t="s">
        <v>1242</v>
      </c>
    </row>
    <row r="16643" spans="1:8" x14ac:dyDescent="0.25">
      <c r="A16643" t="str">
        <f xml:space="preserve"> $H$16635</f>
        <v>&lt;flags count_in_cargo="0" count_in_hoarder="0" count_in_map="1" count_in_player="0" crafted="0" deloot="0"/&gt;</v>
      </c>
      <c r="B16643" t="s">
        <v>1242</v>
      </c>
    </row>
    <row r="16644" spans="1:8" x14ac:dyDescent="0.25">
      <c r="A16644" t="str">
        <f>"&lt;category name=" &amp;"""" &amp;$C$16635&amp;"""/&gt;"</f>
        <v>&lt;category name="clothes"/&gt;</v>
      </c>
      <c r="B16644" t="s">
        <v>1242</v>
      </c>
    </row>
    <row r="16645" spans="1:8" x14ac:dyDescent="0.25">
      <c r="A16645" t="s">
        <v>29</v>
      </c>
      <c r="B16645" t="s">
        <v>1242</v>
      </c>
    </row>
    <row r="16646" spans="1:8" x14ac:dyDescent="0.25">
      <c r="A16646" t="s">
        <v>67</v>
      </c>
      <c r="B16646" t="s">
        <v>1242</v>
      </c>
    </row>
    <row r="16647" spans="1:8" x14ac:dyDescent="0.25">
      <c r="A16647" t="s">
        <v>30</v>
      </c>
      <c r="B16647" t="s">
        <v>1242</v>
      </c>
    </row>
    <row r="16648" spans="1:8" x14ac:dyDescent="0.25">
      <c r="A16648" t="s">
        <v>31</v>
      </c>
      <c r="B16648" t="s">
        <v>1242</v>
      </c>
    </row>
    <row r="16649" spans="1:8" x14ac:dyDescent="0.25">
      <c r="A16649" t="s">
        <v>307</v>
      </c>
      <c r="B16649" t="s">
        <v>1242</v>
      </c>
    </row>
    <row r="16650" spans="1:8" x14ac:dyDescent="0.25">
      <c r="A16650" t="s">
        <v>22</v>
      </c>
      <c r="B16650" t="s">
        <v>1242</v>
      </c>
    </row>
    <row r="16651" spans="1:8" x14ac:dyDescent="0.25">
      <c r="A16651" t="s">
        <v>2708</v>
      </c>
      <c r="B16651" t="s">
        <v>1243</v>
      </c>
      <c r="C16651" t="s">
        <v>403</v>
      </c>
      <c r="D16651">
        <v>10</v>
      </c>
      <c r="E16651">
        <v>5600</v>
      </c>
      <c r="F16651">
        <v>0</v>
      </c>
      <c r="G16651">
        <v>30</v>
      </c>
      <c r="H16651" t="s">
        <v>19</v>
      </c>
    </row>
    <row r="16652" spans="1:8" x14ac:dyDescent="0.25">
      <c r="A16652" t="str">
        <f>"&lt;nominal&gt;" &amp;$D$16651&amp;"&lt;/nominal&gt;"</f>
        <v>&lt;nominal&gt;10&lt;/nominal&gt;</v>
      </c>
      <c r="B16652" t="s">
        <v>1243</v>
      </c>
    </row>
    <row r="16653" spans="1:8" x14ac:dyDescent="0.25">
      <c r="A16653" t="str">
        <f>"&lt;lifetime&gt;" &amp;$E$16651&amp;"&lt;/lifetime&gt;"</f>
        <v>&lt;lifetime&gt;5600&lt;/lifetime&gt;</v>
      </c>
      <c r="B16653" t="s">
        <v>1243</v>
      </c>
    </row>
    <row r="16654" spans="1:8" x14ac:dyDescent="0.25">
      <c r="A16654" t="str">
        <f>"&lt;restock&gt;" &amp;$F$16651&amp;"&lt;/restock&gt;"</f>
        <v>&lt;restock&gt;0&lt;/restock&gt;</v>
      </c>
      <c r="B16654" t="s">
        <v>1243</v>
      </c>
    </row>
    <row r="16655" spans="1:8" x14ac:dyDescent="0.25">
      <c r="A16655" t="str">
        <f>"&lt;min&gt;" &amp;$G$16651&amp;"&lt;/min&gt;"</f>
        <v>&lt;min&gt;30&lt;/min&gt;</v>
      </c>
      <c r="B16655" t="s">
        <v>1243</v>
      </c>
    </row>
    <row r="16656" spans="1:8" x14ac:dyDescent="0.25">
      <c r="A16656" t="s">
        <v>16</v>
      </c>
      <c r="B16656" t="s">
        <v>1243</v>
      </c>
    </row>
    <row r="16657" spans="1:8" x14ac:dyDescent="0.25">
      <c r="A16657" t="s">
        <v>17</v>
      </c>
      <c r="B16657" t="s">
        <v>1243</v>
      </c>
    </row>
    <row r="16658" spans="1:8" x14ac:dyDescent="0.25">
      <c r="A16658" t="s">
        <v>18</v>
      </c>
      <c r="B16658" t="s">
        <v>1243</v>
      </c>
    </row>
    <row r="16659" spans="1:8" x14ac:dyDescent="0.25">
      <c r="A16659" t="str">
        <f xml:space="preserve"> $H$16651</f>
        <v>&lt;flags count_in_cargo="0" count_in_hoarder="0" count_in_map="1" count_in_player="0" crafted="0" deloot="0"/&gt;</v>
      </c>
      <c r="B16659" t="s">
        <v>1243</v>
      </c>
    </row>
    <row r="16660" spans="1:8" x14ac:dyDescent="0.25">
      <c r="A16660" t="str">
        <f>"&lt;category name=" &amp;"""" &amp;$C$16651&amp;"""/&gt;"</f>
        <v>&lt;category name="clothes"/&gt;</v>
      </c>
      <c r="B16660" t="s">
        <v>1243</v>
      </c>
    </row>
    <row r="16661" spans="1:8" x14ac:dyDescent="0.25">
      <c r="A16661" t="s">
        <v>29</v>
      </c>
      <c r="B16661" t="s">
        <v>1243</v>
      </c>
    </row>
    <row r="16662" spans="1:8" x14ac:dyDescent="0.25">
      <c r="A16662" t="s">
        <v>67</v>
      </c>
      <c r="B16662" t="s">
        <v>1243</v>
      </c>
    </row>
    <row r="16663" spans="1:8" x14ac:dyDescent="0.25">
      <c r="A16663" t="s">
        <v>30</v>
      </c>
      <c r="B16663" t="s">
        <v>1243</v>
      </c>
    </row>
    <row r="16664" spans="1:8" x14ac:dyDescent="0.25">
      <c r="A16664" t="s">
        <v>31</v>
      </c>
      <c r="B16664" t="s">
        <v>1243</v>
      </c>
    </row>
    <row r="16665" spans="1:8" x14ac:dyDescent="0.25">
      <c r="A16665" t="s">
        <v>307</v>
      </c>
      <c r="B16665" t="s">
        <v>1243</v>
      </c>
    </row>
    <row r="16666" spans="1:8" x14ac:dyDescent="0.25">
      <c r="A16666" t="s">
        <v>22</v>
      </c>
      <c r="B16666" t="s">
        <v>1243</v>
      </c>
    </row>
    <row r="16667" spans="1:8" x14ac:dyDescent="0.25">
      <c r="A16667" t="s">
        <v>2709</v>
      </c>
      <c r="B16667" t="s">
        <v>1244</v>
      </c>
      <c r="C16667" t="s">
        <v>403</v>
      </c>
      <c r="D16667">
        <v>10</v>
      </c>
      <c r="E16667">
        <v>5600</v>
      </c>
      <c r="F16667">
        <v>0</v>
      </c>
      <c r="G16667">
        <v>30</v>
      </c>
      <c r="H16667" t="s">
        <v>19</v>
      </c>
    </row>
    <row r="16668" spans="1:8" x14ac:dyDescent="0.25">
      <c r="A16668" t="str">
        <f>"&lt;nominal&gt;" &amp;$D$16667&amp;"&lt;/nominal&gt;"</f>
        <v>&lt;nominal&gt;10&lt;/nominal&gt;</v>
      </c>
      <c r="B16668" t="s">
        <v>1244</v>
      </c>
    </row>
    <row r="16669" spans="1:8" x14ac:dyDescent="0.25">
      <c r="A16669" t="str">
        <f>"&lt;lifetime&gt;" &amp;$E$16667&amp;"&lt;/lifetime&gt;"</f>
        <v>&lt;lifetime&gt;5600&lt;/lifetime&gt;</v>
      </c>
      <c r="B16669" t="s">
        <v>1244</v>
      </c>
    </row>
    <row r="16670" spans="1:8" x14ac:dyDescent="0.25">
      <c r="A16670" t="str">
        <f>"&lt;restock&gt;" &amp;$F$16667&amp;"&lt;/restock&gt;"</f>
        <v>&lt;restock&gt;0&lt;/restock&gt;</v>
      </c>
      <c r="B16670" t="s">
        <v>1244</v>
      </c>
    </row>
    <row r="16671" spans="1:8" x14ac:dyDescent="0.25">
      <c r="A16671" t="str">
        <f>"&lt;min&gt;" &amp;$G$16667&amp;"&lt;/min&gt;"</f>
        <v>&lt;min&gt;30&lt;/min&gt;</v>
      </c>
      <c r="B16671" t="s">
        <v>1244</v>
      </c>
    </row>
    <row r="16672" spans="1:8" x14ac:dyDescent="0.25">
      <c r="A16672" t="s">
        <v>16</v>
      </c>
      <c r="B16672" t="s">
        <v>1244</v>
      </c>
    </row>
    <row r="16673" spans="1:8" x14ac:dyDescent="0.25">
      <c r="A16673" t="s">
        <v>17</v>
      </c>
      <c r="B16673" t="s">
        <v>1244</v>
      </c>
    </row>
    <row r="16674" spans="1:8" x14ac:dyDescent="0.25">
      <c r="A16674" t="s">
        <v>18</v>
      </c>
      <c r="B16674" t="s">
        <v>1244</v>
      </c>
    </row>
    <row r="16675" spans="1:8" x14ac:dyDescent="0.25">
      <c r="A16675" t="str">
        <f xml:space="preserve"> $H$16667</f>
        <v>&lt;flags count_in_cargo="0" count_in_hoarder="0" count_in_map="1" count_in_player="0" crafted="0" deloot="0"/&gt;</v>
      </c>
      <c r="B16675" t="s">
        <v>1244</v>
      </c>
    </row>
    <row r="16676" spans="1:8" x14ac:dyDescent="0.25">
      <c r="A16676" t="str">
        <f>"&lt;category name=" &amp;"""" &amp;$C$16667&amp;"""/&gt;"</f>
        <v>&lt;category name="clothes"/&gt;</v>
      </c>
      <c r="B16676" t="s">
        <v>1244</v>
      </c>
    </row>
    <row r="16677" spans="1:8" x14ac:dyDescent="0.25">
      <c r="A16677" t="s">
        <v>29</v>
      </c>
      <c r="B16677" t="s">
        <v>1244</v>
      </c>
    </row>
    <row r="16678" spans="1:8" x14ac:dyDescent="0.25">
      <c r="A16678" t="s">
        <v>67</v>
      </c>
      <c r="B16678" t="s">
        <v>1244</v>
      </c>
    </row>
    <row r="16679" spans="1:8" x14ac:dyDescent="0.25">
      <c r="A16679" t="s">
        <v>30</v>
      </c>
      <c r="B16679" t="s">
        <v>1244</v>
      </c>
    </row>
    <row r="16680" spans="1:8" x14ac:dyDescent="0.25">
      <c r="A16680" t="s">
        <v>31</v>
      </c>
      <c r="B16680" t="s">
        <v>1244</v>
      </c>
    </row>
    <row r="16681" spans="1:8" x14ac:dyDescent="0.25">
      <c r="A16681" t="s">
        <v>307</v>
      </c>
      <c r="B16681" t="s">
        <v>1244</v>
      </c>
    </row>
    <row r="16682" spans="1:8" x14ac:dyDescent="0.25">
      <c r="A16682" t="s">
        <v>22</v>
      </c>
      <c r="B16682" t="s">
        <v>1244</v>
      </c>
    </row>
    <row r="16683" spans="1:8" x14ac:dyDescent="0.25">
      <c r="A16683" t="s">
        <v>2710</v>
      </c>
      <c r="B16683" t="s">
        <v>1245</v>
      </c>
      <c r="C16683" t="s">
        <v>403</v>
      </c>
      <c r="D16683">
        <v>10</v>
      </c>
      <c r="E16683">
        <v>5600</v>
      </c>
      <c r="F16683">
        <v>0</v>
      </c>
      <c r="G16683">
        <v>30</v>
      </c>
      <c r="H16683" t="s">
        <v>19</v>
      </c>
    </row>
    <row r="16684" spans="1:8" x14ac:dyDescent="0.25">
      <c r="A16684" t="str">
        <f>"&lt;nominal&gt;" &amp;$D$16683&amp;"&lt;/nominal&gt;"</f>
        <v>&lt;nominal&gt;10&lt;/nominal&gt;</v>
      </c>
      <c r="B16684" t="s">
        <v>1245</v>
      </c>
    </row>
    <row r="16685" spans="1:8" x14ac:dyDescent="0.25">
      <c r="A16685" t="str">
        <f>"&lt;lifetime&gt;" &amp;$E$16683&amp;"&lt;/lifetime&gt;"</f>
        <v>&lt;lifetime&gt;5600&lt;/lifetime&gt;</v>
      </c>
      <c r="B16685" t="s">
        <v>1245</v>
      </c>
    </row>
    <row r="16686" spans="1:8" x14ac:dyDescent="0.25">
      <c r="A16686" t="str">
        <f>"&lt;restock&gt;" &amp;$F$16683&amp;"&lt;/restock&gt;"</f>
        <v>&lt;restock&gt;0&lt;/restock&gt;</v>
      </c>
      <c r="B16686" t="s">
        <v>1245</v>
      </c>
    </row>
    <row r="16687" spans="1:8" x14ac:dyDescent="0.25">
      <c r="A16687" t="str">
        <f>"&lt;min&gt;" &amp;$G$16683&amp;"&lt;/min&gt;"</f>
        <v>&lt;min&gt;30&lt;/min&gt;</v>
      </c>
      <c r="B16687" t="s">
        <v>1245</v>
      </c>
    </row>
    <row r="16688" spans="1:8" x14ac:dyDescent="0.25">
      <c r="A16688" t="s">
        <v>16</v>
      </c>
      <c r="B16688" t="s">
        <v>1245</v>
      </c>
    </row>
    <row r="16689" spans="1:8" x14ac:dyDescent="0.25">
      <c r="A16689" t="s">
        <v>17</v>
      </c>
      <c r="B16689" t="s">
        <v>1245</v>
      </c>
    </row>
    <row r="16690" spans="1:8" x14ac:dyDescent="0.25">
      <c r="A16690" t="s">
        <v>18</v>
      </c>
      <c r="B16690" t="s">
        <v>1245</v>
      </c>
    </row>
    <row r="16691" spans="1:8" x14ac:dyDescent="0.25">
      <c r="A16691" t="str">
        <f xml:space="preserve"> $H$16683</f>
        <v>&lt;flags count_in_cargo="0" count_in_hoarder="0" count_in_map="1" count_in_player="0" crafted="0" deloot="0"/&gt;</v>
      </c>
      <c r="B16691" t="s">
        <v>1245</v>
      </c>
    </row>
    <row r="16692" spans="1:8" x14ac:dyDescent="0.25">
      <c r="A16692" t="str">
        <f>"&lt;category name=" &amp;"""" &amp;$C$16683&amp;"""/&gt;"</f>
        <v>&lt;category name="clothes"/&gt;</v>
      </c>
      <c r="B16692" t="s">
        <v>1245</v>
      </c>
    </row>
    <row r="16693" spans="1:8" x14ac:dyDescent="0.25">
      <c r="A16693" t="s">
        <v>29</v>
      </c>
      <c r="B16693" t="s">
        <v>1245</v>
      </c>
    </row>
    <row r="16694" spans="1:8" x14ac:dyDescent="0.25">
      <c r="A16694" t="s">
        <v>67</v>
      </c>
      <c r="B16694" t="s">
        <v>1245</v>
      </c>
    </row>
    <row r="16695" spans="1:8" x14ac:dyDescent="0.25">
      <c r="A16695" t="s">
        <v>30</v>
      </c>
      <c r="B16695" t="s">
        <v>1245</v>
      </c>
    </row>
    <row r="16696" spans="1:8" x14ac:dyDescent="0.25">
      <c r="A16696" t="s">
        <v>31</v>
      </c>
      <c r="B16696" t="s">
        <v>1245</v>
      </c>
    </row>
    <row r="16697" spans="1:8" x14ac:dyDescent="0.25">
      <c r="A16697" t="s">
        <v>307</v>
      </c>
      <c r="B16697" t="s">
        <v>1245</v>
      </c>
    </row>
    <row r="16698" spans="1:8" x14ac:dyDescent="0.25">
      <c r="A16698" t="s">
        <v>22</v>
      </c>
      <c r="B16698" t="s">
        <v>1245</v>
      </c>
    </row>
    <row r="16699" spans="1:8" x14ac:dyDescent="0.25">
      <c r="A16699" t="s">
        <v>2711</v>
      </c>
      <c r="B16699" t="s">
        <v>1246</v>
      </c>
      <c r="C16699" t="s">
        <v>403</v>
      </c>
      <c r="D16699">
        <v>40</v>
      </c>
      <c r="E16699">
        <v>5600</v>
      </c>
      <c r="F16699">
        <v>0</v>
      </c>
      <c r="G16699">
        <v>15</v>
      </c>
      <c r="H16699" t="s">
        <v>19</v>
      </c>
    </row>
    <row r="16700" spans="1:8" x14ac:dyDescent="0.25">
      <c r="A16700" t="str">
        <f>"&lt;nominal&gt;" &amp;$D$16699&amp;"&lt;/nominal&gt;"</f>
        <v>&lt;nominal&gt;40&lt;/nominal&gt;</v>
      </c>
      <c r="B16700" t="s">
        <v>1246</v>
      </c>
    </row>
    <row r="16701" spans="1:8" x14ac:dyDescent="0.25">
      <c r="A16701" t="str">
        <f>"&lt;lifetime&gt;" &amp;$E$16699&amp;"&lt;/lifetime&gt;"</f>
        <v>&lt;lifetime&gt;5600&lt;/lifetime&gt;</v>
      </c>
      <c r="B16701" t="s">
        <v>1246</v>
      </c>
    </row>
    <row r="16702" spans="1:8" x14ac:dyDescent="0.25">
      <c r="A16702" t="str">
        <f>"&lt;restock&gt;" &amp;$F$16699&amp;"&lt;/restock&gt;"</f>
        <v>&lt;restock&gt;0&lt;/restock&gt;</v>
      </c>
      <c r="B16702" t="s">
        <v>1246</v>
      </c>
    </row>
    <row r="16703" spans="1:8" x14ac:dyDescent="0.25">
      <c r="A16703" t="str">
        <f>"&lt;min&gt;" &amp;$G$16699&amp;"&lt;/min&gt;"</f>
        <v>&lt;min&gt;15&lt;/min&gt;</v>
      </c>
      <c r="B16703" t="s">
        <v>1246</v>
      </c>
    </row>
    <row r="16704" spans="1:8" x14ac:dyDescent="0.25">
      <c r="A16704" t="s">
        <v>16</v>
      </c>
      <c r="B16704" t="s">
        <v>1246</v>
      </c>
    </row>
    <row r="16705" spans="1:8" x14ac:dyDescent="0.25">
      <c r="A16705" t="s">
        <v>17</v>
      </c>
      <c r="B16705" t="s">
        <v>1246</v>
      </c>
    </row>
    <row r="16706" spans="1:8" x14ac:dyDescent="0.25">
      <c r="A16706" t="s">
        <v>18</v>
      </c>
      <c r="B16706" t="s">
        <v>1246</v>
      </c>
    </row>
    <row r="16707" spans="1:8" x14ac:dyDescent="0.25">
      <c r="A16707" t="str">
        <f xml:space="preserve"> $H$16699</f>
        <v>&lt;flags count_in_cargo="0" count_in_hoarder="0" count_in_map="1" count_in_player="0" crafted="0" deloot="0"/&gt;</v>
      </c>
      <c r="B16707" t="s">
        <v>1246</v>
      </c>
    </row>
    <row r="16708" spans="1:8" x14ac:dyDescent="0.25">
      <c r="A16708" t="str">
        <f>"&lt;category name=" &amp;"""" &amp;$C$16699&amp;"""/&gt;"</f>
        <v>&lt;category name="clothes"/&gt;</v>
      </c>
      <c r="B16708" t="s">
        <v>1246</v>
      </c>
    </row>
    <row r="16709" spans="1:8" x14ac:dyDescent="0.25">
      <c r="A16709" t="s">
        <v>25</v>
      </c>
      <c r="B16709" t="s">
        <v>1246</v>
      </c>
    </row>
    <row r="16710" spans="1:8" x14ac:dyDescent="0.25">
      <c r="A16710" t="s">
        <v>39</v>
      </c>
      <c r="B16710" t="s">
        <v>1246</v>
      </c>
    </row>
    <row r="16711" spans="1:8" x14ac:dyDescent="0.25">
      <c r="A16711" t="s">
        <v>40</v>
      </c>
      <c r="B16711" t="s">
        <v>1246</v>
      </c>
    </row>
    <row r="16712" spans="1:8" x14ac:dyDescent="0.25">
      <c r="A16712" t="s">
        <v>22</v>
      </c>
      <c r="B16712" t="s">
        <v>1246</v>
      </c>
    </row>
    <row r="16713" spans="1:8" x14ac:dyDescent="0.25">
      <c r="A16713" t="s">
        <v>2712</v>
      </c>
      <c r="B16713" t="s">
        <v>1247</v>
      </c>
      <c r="C16713" t="s">
        <v>403</v>
      </c>
      <c r="D16713">
        <v>20</v>
      </c>
      <c r="E16713">
        <v>7200</v>
      </c>
      <c r="F16713">
        <v>0</v>
      </c>
      <c r="G16713">
        <v>3</v>
      </c>
      <c r="H16713" t="s">
        <v>19</v>
      </c>
    </row>
    <row r="16714" spans="1:8" x14ac:dyDescent="0.25">
      <c r="A16714" t="str">
        <f>"&lt;nominal&gt;" &amp;$D$16713&amp;"&lt;/nominal&gt;"</f>
        <v>&lt;nominal&gt;20&lt;/nominal&gt;</v>
      </c>
      <c r="B16714" t="s">
        <v>1247</v>
      </c>
    </row>
    <row r="16715" spans="1:8" x14ac:dyDescent="0.25">
      <c r="A16715" t="str">
        <f>"&lt;lifetime&gt;" &amp;$E$16713&amp;"&lt;/lifetime&gt;"</f>
        <v>&lt;lifetime&gt;7200&lt;/lifetime&gt;</v>
      </c>
      <c r="B16715" t="s">
        <v>1247</v>
      </c>
    </row>
    <row r="16716" spans="1:8" x14ac:dyDescent="0.25">
      <c r="A16716" t="str">
        <f>"&lt;restock&gt;" &amp;$F$16713&amp;"&lt;/restock&gt;"</f>
        <v>&lt;restock&gt;0&lt;/restock&gt;</v>
      </c>
      <c r="B16716" t="s">
        <v>1247</v>
      </c>
    </row>
    <row r="16717" spans="1:8" x14ac:dyDescent="0.25">
      <c r="A16717" t="str">
        <f>"&lt;min&gt;" &amp;$G$16713&amp;"&lt;/min&gt;"</f>
        <v>&lt;min&gt;3&lt;/min&gt;</v>
      </c>
      <c r="B16717" t="s">
        <v>1247</v>
      </c>
    </row>
    <row r="16718" spans="1:8" x14ac:dyDescent="0.25">
      <c r="A16718" t="s">
        <v>16</v>
      </c>
      <c r="B16718" t="s">
        <v>1247</v>
      </c>
    </row>
    <row r="16719" spans="1:8" x14ac:dyDescent="0.25">
      <c r="A16719" t="s">
        <v>17</v>
      </c>
      <c r="B16719" t="s">
        <v>1247</v>
      </c>
    </row>
    <row r="16720" spans="1:8" x14ac:dyDescent="0.25">
      <c r="A16720" t="s">
        <v>18</v>
      </c>
      <c r="B16720" t="s">
        <v>1247</v>
      </c>
    </row>
    <row r="16721" spans="1:8" x14ac:dyDescent="0.25">
      <c r="A16721" t="str">
        <f xml:space="preserve"> $H$16713</f>
        <v>&lt;flags count_in_cargo="0" count_in_hoarder="0" count_in_map="1" count_in_player="0" crafted="0" deloot="0"/&gt;</v>
      </c>
      <c r="B16721" t="s">
        <v>1247</v>
      </c>
    </row>
    <row r="16722" spans="1:8" x14ac:dyDescent="0.25">
      <c r="A16722" t="str">
        <f>"&lt;category name=" &amp;"""" &amp;$C$16713&amp;"""/&gt;"</f>
        <v>&lt;category name="clothes"/&gt;</v>
      </c>
      <c r="B16722" t="s">
        <v>1247</v>
      </c>
    </row>
    <row r="16723" spans="1:8" x14ac:dyDescent="0.25">
      <c r="A16723" t="s">
        <v>29</v>
      </c>
      <c r="B16723" t="s">
        <v>1247</v>
      </c>
    </row>
    <row r="16724" spans="1:8" x14ac:dyDescent="0.25">
      <c r="A16724" t="s">
        <v>30</v>
      </c>
      <c r="B16724" t="s">
        <v>1247</v>
      </c>
    </row>
    <row r="16725" spans="1:8" x14ac:dyDescent="0.25">
      <c r="A16725" t="s">
        <v>31</v>
      </c>
      <c r="B16725" t="s">
        <v>1247</v>
      </c>
    </row>
    <row r="16726" spans="1:8" x14ac:dyDescent="0.25">
      <c r="A16726" t="s">
        <v>307</v>
      </c>
      <c r="B16726" t="s">
        <v>1247</v>
      </c>
    </row>
    <row r="16727" spans="1:8" x14ac:dyDescent="0.25">
      <c r="A16727" t="s">
        <v>22</v>
      </c>
      <c r="B16727" t="s">
        <v>1247</v>
      </c>
    </row>
    <row r="16728" spans="1:8" x14ac:dyDescent="0.25">
      <c r="A16728" t="s">
        <v>2713</v>
      </c>
      <c r="B16728" t="s">
        <v>1248</v>
      </c>
      <c r="C16728" t="s">
        <v>403</v>
      </c>
      <c r="D16728">
        <v>20</v>
      </c>
      <c r="E16728">
        <v>7200</v>
      </c>
      <c r="F16728">
        <v>0</v>
      </c>
      <c r="G16728">
        <v>3</v>
      </c>
      <c r="H16728" t="s">
        <v>19</v>
      </c>
    </row>
    <row r="16729" spans="1:8" x14ac:dyDescent="0.25">
      <c r="A16729" t="str">
        <f>"&lt;nominal&gt;" &amp;$D$16728&amp;"&lt;/nominal&gt;"</f>
        <v>&lt;nominal&gt;20&lt;/nominal&gt;</v>
      </c>
      <c r="B16729" t="s">
        <v>1248</v>
      </c>
    </row>
    <row r="16730" spans="1:8" x14ac:dyDescent="0.25">
      <c r="A16730" t="str">
        <f>"&lt;lifetime&gt;" &amp;$E$16728&amp;"&lt;/lifetime&gt;"</f>
        <v>&lt;lifetime&gt;7200&lt;/lifetime&gt;</v>
      </c>
      <c r="B16730" t="s">
        <v>1248</v>
      </c>
    </row>
    <row r="16731" spans="1:8" x14ac:dyDescent="0.25">
      <c r="A16731" t="str">
        <f>"&lt;restock&gt;" &amp;$F$16728&amp;"&lt;/restock&gt;"</f>
        <v>&lt;restock&gt;0&lt;/restock&gt;</v>
      </c>
      <c r="B16731" t="s">
        <v>1248</v>
      </c>
    </row>
    <row r="16732" spans="1:8" x14ac:dyDescent="0.25">
      <c r="A16732" t="str">
        <f>"&lt;min&gt;" &amp;$G$16728&amp;"&lt;/min&gt;"</f>
        <v>&lt;min&gt;3&lt;/min&gt;</v>
      </c>
      <c r="B16732" t="s">
        <v>1248</v>
      </c>
    </row>
    <row r="16733" spans="1:8" x14ac:dyDescent="0.25">
      <c r="A16733" t="s">
        <v>16</v>
      </c>
      <c r="B16733" t="s">
        <v>1248</v>
      </c>
    </row>
    <row r="16734" spans="1:8" x14ac:dyDescent="0.25">
      <c r="A16734" t="s">
        <v>17</v>
      </c>
      <c r="B16734" t="s">
        <v>1248</v>
      </c>
    </row>
    <row r="16735" spans="1:8" x14ac:dyDescent="0.25">
      <c r="A16735" t="s">
        <v>18</v>
      </c>
      <c r="B16735" t="s">
        <v>1248</v>
      </c>
    </row>
    <row r="16736" spans="1:8" x14ac:dyDescent="0.25">
      <c r="A16736" t="str">
        <f xml:space="preserve"> $H$16728</f>
        <v>&lt;flags count_in_cargo="0" count_in_hoarder="0" count_in_map="1" count_in_player="0" crafted="0" deloot="0"/&gt;</v>
      </c>
      <c r="B16736" t="s">
        <v>1248</v>
      </c>
    </row>
    <row r="16737" spans="1:8" x14ac:dyDescent="0.25">
      <c r="A16737" t="str">
        <f>"&lt;category name=" &amp;"""" &amp;$C$16728&amp;"""/&gt;"</f>
        <v>&lt;category name="clothes"/&gt;</v>
      </c>
      <c r="B16737" t="s">
        <v>1248</v>
      </c>
    </row>
    <row r="16738" spans="1:8" x14ac:dyDescent="0.25">
      <c r="A16738" t="s">
        <v>29</v>
      </c>
      <c r="B16738" t="s">
        <v>1248</v>
      </c>
    </row>
    <row r="16739" spans="1:8" x14ac:dyDescent="0.25">
      <c r="A16739" t="s">
        <v>67</v>
      </c>
      <c r="B16739" t="s">
        <v>1248</v>
      </c>
    </row>
    <row r="16740" spans="1:8" x14ac:dyDescent="0.25">
      <c r="A16740" t="s">
        <v>30</v>
      </c>
      <c r="B16740" t="s">
        <v>1248</v>
      </c>
    </row>
    <row r="16741" spans="1:8" x14ac:dyDescent="0.25">
      <c r="A16741" t="s">
        <v>31</v>
      </c>
      <c r="B16741" t="s">
        <v>1248</v>
      </c>
    </row>
    <row r="16742" spans="1:8" x14ac:dyDescent="0.25">
      <c r="A16742" t="s">
        <v>307</v>
      </c>
      <c r="B16742" t="s">
        <v>1248</v>
      </c>
    </row>
    <row r="16743" spans="1:8" x14ac:dyDescent="0.25">
      <c r="A16743" t="s">
        <v>22</v>
      </c>
      <c r="B16743" t="s">
        <v>1248</v>
      </c>
    </row>
    <row r="16744" spans="1:8" x14ac:dyDescent="0.25">
      <c r="A16744" t="s">
        <v>2714</v>
      </c>
      <c r="B16744" t="s">
        <v>1249</v>
      </c>
      <c r="C16744" t="s">
        <v>403</v>
      </c>
      <c r="D16744">
        <v>25</v>
      </c>
      <c r="E16744">
        <v>5600</v>
      </c>
      <c r="F16744">
        <v>0</v>
      </c>
      <c r="G16744">
        <v>20</v>
      </c>
      <c r="H16744" t="s">
        <v>19</v>
      </c>
    </row>
    <row r="16745" spans="1:8" x14ac:dyDescent="0.25">
      <c r="A16745" t="str">
        <f>"&lt;nominal&gt;" &amp;$D$16744&amp;"&lt;/nominal&gt;"</f>
        <v>&lt;nominal&gt;25&lt;/nominal&gt;</v>
      </c>
      <c r="B16745" t="s">
        <v>1249</v>
      </c>
    </row>
    <row r="16746" spans="1:8" x14ac:dyDescent="0.25">
      <c r="A16746" t="str">
        <f>"&lt;lifetime&gt;" &amp;$E$16744&amp;"&lt;/lifetime&gt;"</f>
        <v>&lt;lifetime&gt;5600&lt;/lifetime&gt;</v>
      </c>
      <c r="B16746" t="s">
        <v>1249</v>
      </c>
    </row>
    <row r="16747" spans="1:8" x14ac:dyDescent="0.25">
      <c r="A16747" t="str">
        <f>"&lt;restock&gt;" &amp;$F$16744&amp;"&lt;/restock&gt;"</f>
        <v>&lt;restock&gt;0&lt;/restock&gt;</v>
      </c>
      <c r="B16747" t="s">
        <v>1249</v>
      </c>
    </row>
    <row r="16748" spans="1:8" x14ac:dyDescent="0.25">
      <c r="A16748" t="str">
        <f>"&lt;min&gt;" &amp;$G$16744&amp;"&lt;/min&gt;"</f>
        <v>&lt;min&gt;20&lt;/min&gt;</v>
      </c>
      <c r="B16748" t="s">
        <v>1249</v>
      </c>
    </row>
    <row r="16749" spans="1:8" x14ac:dyDescent="0.25">
      <c r="A16749" t="s">
        <v>16</v>
      </c>
      <c r="B16749" t="s">
        <v>1249</v>
      </c>
    </row>
    <row r="16750" spans="1:8" x14ac:dyDescent="0.25">
      <c r="A16750" t="s">
        <v>17</v>
      </c>
      <c r="B16750" t="s">
        <v>1249</v>
      </c>
    </row>
    <row r="16751" spans="1:8" x14ac:dyDescent="0.25">
      <c r="A16751" t="s">
        <v>18</v>
      </c>
      <c r="B16751" t="s">
        <v>1249</v>
      </c>
    </row>
    <row r="16752" spans="1:8" x14ac:dyDescent="0.25">
      <c r="A16752" t="str">
        <f xml:space="preserve"> $H$16744</f>
        <v>&lt;flags count_in_cargo="0" count_in_hoarder="0" count_in_map="1" count_in_player="0" crafted="0" deloot="0"/&gt;</v>
      </c>
      <c r="B16752" t="s">
        <v>1249</v>
      </c>
    </row>
    <row r="16753" spans="1:8" x14ac:dyDescent="0.25">
      <c r="A16753" t="str">
        <f>"&lt;category name=" &amp;"""" &amp;$C$16744&amp;"""/&gt;"</f>
        <v>&lt;category name="clothes"/&gt;</v>
      </c>
      <c r="B16753" t="s">
        <v>1249</v>
      </c>
    </row>
    <row r="16754" spans="1:8" x14ac:dyDescent="0.25">
      <c r="A16754" t="s">
        <v>25</v>
      </c>
      <c r="B16754" t="s">
        <v>1249</v>
      </c>
    </row>
    <row r="16755" spans="1:8" x14ac:dyDescent="0.25">
      <c r="A16755" t="s">
        <v>39</v>
      </c>
      <c r="B16755" t="s">
        <v>1249</v>
      </c>
    </row>
    <row r="16756" spans="1:8" x14ac:dyDescent="0.25">
      <c r="A16756" t="s">
        <v>40</v>
      </c>
      <c r="B16756" t="s">
        <v>1249</v>
      </c>
    </row>
    <row r="16757" spans="1:8" x14ac:dyDescent="0.25">
      <c r="A16757" t="s">
        <v>22</v>
      </c>
      <c r="B16757" t="s">
        <v>1249</v>
      </c>
    </row>
    <row r="16758" spans="1:8" x14ac:dyDescent="0.25">
      <c r="A16758" t="s">
        <v>2715</v>
      </c>
      <c r="B16758" t="s">
        <v>1250</v>
      </c>
      <c r="C16758" t="s">
        <v>403</v>
      </c>
      <c r="D16758">
        <v>25</v>
      </c>
      <c r="E16758">
        <v>5600</v>
      </c>
      <c r="F16758">
        <v>0</v>
      </c>
      <c r="G16758">
        <v>20</v>
      </c>
      <c r="H16758" t="s">
        <v>19</v>
      </c>
    </row>
    <row r="16759" spans="1:8" x14ac:dyDescent="0.25">
      <c r="A16759" t="str">
        <f>"&lt;nominal&gt;" &amp;$D$16758&amp;"&lt;/nominal&gt;"</f>
        <v>&lt;nominal&gt;25&lt;/nominal&gt;</v>
      </c>
      <c r="B16759" t="s">
        <v>1250</v>
      </c>
    </row>
    <row r="16760" spans="1:8" x14ac:dyDescent="0.25">
      <c r="A16760" t="str">
        <f>"&lt;lifetime&gt;" &amp;$E$16758&amp;"&lt;/lifetime&gt;"</f>
        <v>&lt;lifetime&gt;5600&lt;/lifetime&gt;</v>
      </c>
      <c r="B16760" t="s">
        <v>1250</v>
      </c>
    </row>
    <row r="16761" spans="1:8" x14ac:dyDescent="0.25">
      <c r="A16761" t="str">
        <f>"&lt;restock&gt;" &amp;$F$16758&amp;"&lt;/restock&gt;"</f>
        <v>&lt;restock&gt;0&lt;/restock&gt;</v>
      </c>
      <c r="B16761" t="s">
        <v>1250</v>
      </c>
    </row>
    <row r="16762" spans="1:8" x14ac:dyDescent="0.25">
      <c r="A16762" t="str">
        <f>"&lt;min&gt;" &amp;$G$16758&amp;"&lt;/min&gt;"</f>
        <v>&lt;min&gt;20&lt;/min&gt;</v>
      </c>
      <c r="B16762" t="s">
        <v>1250</v>
      </c>
    </row>
    <row r="16763" spans="1:8" x14ac:dyDescent="0.25">
      <c r="A16763" t="s">
        <v>16</v>
      </c>
      <c r="B16763" t="s">
        <v>1250</v>
      </c>
    </row>
    <row r="16764" spans="1:8" x14ac:dyDescent="0.25">
      <c r="A16764" t="s">
        <v>17</v>
      </c>
      <c r="B16764" t="s">
        <v>1250</v>
      </c>
    </row>
    <row r="16765" spans="1:8" x14ac:dyDescent="0.25">
      <c r="A16765" t="s">
        <v>18</v>
      </c>
      <c r="B16765" t="s">
        <v>1250</v>
      </c>
    </row>
    <row r="16766" spans="1:8" x14ac:dyDescent="0.25">
      <c r="A16766" t="str">
        <f xml:space="preserve"> $H$16758</f>
        <v>&lt;flags count_in_cargo="0" count_in_hoarder="0" count_in_map="1" count_in_player="0" crafted="0" deloot="0"/&gt;</v>
      </c>
      <c r="B16766" t="s">
        <v>1250</v>
      </c>
    </row>
    <row r="16767" spans="1:8" x14ac:dyDescent="0.25">
      <c r="A16767" t="str">
        <f>"&lt;category name=" &amp;"""" &amp;$C$16758&amp;"""/&gt;"</f>
        <v>&lt;category name="clothes"/&gt;</v>
      </c>
      <c r="B16767" t="s">
        <v>1250</v>
      </c>
    </row>
    <row r="16768" spans="1:8" x14ac:dyDescent="0.25">
      <c r="A16768" t="s">
        <v>25</v>
      </c>
      <c r="B16768" t="s">
        <v>1250</v>
      </c>
    </row>
    <row r="16769" spans="1:8" x14ac:dyDescent="0.25">
      <c r="A16769" t="s">
        <v>39</v>
      </c>
      <c r="B16769" t="s">
        <v>1250</v>
      </c>
    </row>
    <row r="16770" spans="1:8" x14ac:dyDescent="0.25">
      <c r="A16770" t="s">
        <v>40</v>
      </c>
      <c r="B16770" t="s">
        <v>1250</v>
      </c>
    </row>
    <row r="16771" spans="1:8" x14ac:dyDescent="0.25">
      <c r="A16771" t="s">
        <v>22</v>
      </c>
      <c r="B16771" t="s">
        <v>1250</v>
      </c>
    </row>
    <row r="16772" spans="1:8" x14ac:dyDescent="0.25">
      <c r="A16772" t="s">
        <v>2716</v>
      </c>
      <c r="B16772" t="s">
        <v>1251</v>
      </c>
      <c r="C16772" t="s">
        <v>403</v>
      </c>
      <c r="D16772">
        <v>30</v>
      </c>
      <c r="E16772">
        <v>2700</v>
      </c>
      <c r="F16772">
        <v>0</v>
      </c>
      <c r="G16772">
        <v>25</v>
      </c>
      <c r="H16772" t="s">
        <v>19</v>
      </c>
    </row>
    <row r="16773" spans="1:8" x14ac:dyDescent="0.25">
      <c r="A16773" t="str">
        <f>"&lt;nominal&gt;" &amp;$D$16772&amp;"&lt;/nominal&gt;"</f>
        <v>&lt;nominal&gt;30&lt;/nominal&gt;</v>
      </c>
      <c r="B16773" t="s">
        <v>1251</v>
      </c>
    </row>
    <row r="16774" spans="1:8" x14ac:dyDescent="0.25">
      <c r="A16774" t="str">
        <f>"&lt;lifetime&gt;" &amp;$E$16772&amp;"&lt;/lifetime&gt;"</f>
        <v>&lt;lifetime&gt;2700&lt;/lifetime&gt;</v>
      </c>
      <c r="B16774" t="s">
        <v>1251</v>
      </c>
    </row>
    <row r="16775" spans="1:8" x14ac:dyDescent="0.25">
      <c r="A16775" t="str">
        <f>"&lt;restock&gt;" &amp;$F$16772&amp;"&lt;/restock&gt;"</f>
        <v>&lt;restock&gt;0&lt;/restock&gt;</v>
      </c>
      <c r="B16775" t="s">
        <v>1251</v>
      </c>
    </row>
    <row r="16776" spans="1:8" x14ac:dyDescent="0.25">
      <c r="A16776" t="str">
        <f>"&lt;min&gt;" &amp;$G$16772&amp;"&lt;/min&gt;"</f>
        <v>&lt;min&gt;25&lt;/min&gt;</v>
      </c>
      <c r="B16776" t="s">
        <v>1251</v>
      </c>
    </row>
    <row r="16777" spans="1:8" x14ac:dyDescent="0.25">
      <c r="A16777" t="s">
        <v>16</v>
      </c>
      <c r="B16777" t="s">
        <v>1251</v>
      </c>
    </row>
    <row r="16778" spans="1:8" x14ac:dyDescent="0.25">
      <c r="A16778" t="s">
        <v>17</v>
      </c>
      <c r="B16778" t="s">
        <v>1251</v>
      </c>
    </row>
    <row r="16779" spans="1:8" x14ac:dyDescent="0.25">
      <c r="A16779" t="s">
        <v>18</v>
      </c>
      <c r="B16779" t="s">
        <v>1251</v>
      </c>
    </row>
    <row r="16780" spans="1:8" x14ac:dyDescent="0.25">
      <c r="A16780" t="str">
        <f xml:space="preserve"> $H$16772</f>
        <v>&lt;flags count_in_cargo="0" count_in_hoarder="0" count_in_map="1" count_in_player="0" crafted="0" deloot="0"/&gt;</v>
      </c>
      <c r="B16780" t="s">
        <v>1251</v>
      </c>
    </row>
    <row r="16781" spans="1:8" x14ac:dyDescent="0.25">
      <c r="A16781" t="str">
        <f>"&lt;category name=" &amp;"""" &amp;$C$16772&amp;"""/&gt;"</f>
        <v>&lt;category name="clothes"/&gt;</v>
      </c>
      <c r="B16781" t="s">
        <v>1251</v>
      </c>
    </row>
    <row r="16782" spans="1:8" x14ac:dyDescent="0.25">
      <c r="A16782" t="s">
        <v>39</v>
      </c>
      <c r="B16782" t="s">
        <v>1251</v>
      </c>
    </row>
    <row r="16783" spans="1:8" x14ac:dyDescent="0.25">
      <c r="A16783" t="s">
        <v>40</v>
      </c>
      <c r="B16783" t="s">
        <v>1251</v>
      </c>
    </row>
    <row r="16784" spans="1:8" x14ac:dyDescent="0.25">
      <c r="A16784" t="s">
        <v>22</v>
      </c>
      <c r="B16784" t="s">
        <v>1251</v>
      </c>
    </row>
    <row r="16785" spans="1:8" x14ac:dyDescent="0.25">
      <c r="A16785" t="s">
        <v>2717</v>
      </c>
      <c r="B16785" t="s">
        <v>1252</v>
      </c>
      <c r="C16785" t="s">
        <v>403</v>
      </c>
      <c r="D16785">
        <v>30</v>
      </c>
      <c r="E16785">
        <v>2700</v>
      </c>
      <c r="F16785">
        <v>0</v>
      </c>
      <c r="G16785">
        <v>25</v>
      </c>
      <c r="H16785" t="s">
        <v>19</v>
      </c>
    </row>
    <row r="16786" spans="1:8" x14ac:dyDescent="0.25">
      <c r="A16786" t="str">
        <f>"&lt;nominal&gt;" &amp;$D$16785&amp;"&lt;/nominal&gt;"</f>
        <v>&lt;nominal&gt;30&lt;/nominal&gt;</v>
      </c>
      <c r="B16786" t="s">
        <v>1252</v>
      </c>
    </row>
    <row r="16787" spans="1:8" x14ac:dyDescent="0.25">
      <c r="A16787" t="str">
        <f>"&lt;lifetime&gt;" &amp;$E$16785&amp;"&lt;/lifetime&gt;"</f>
        <v>&lt;lifetime&gt;2700&lt;/lifetime&gt;</v>
      </c>
      <c r="B16787" t="s">
        <v>1252</v>
      </c>
    </row>
    <row r="16788" spans="1:8" x14ac:dyDescent="0.25">
      <c r="A16788" t="str">
        <f>"&lt;restock&gt;" &amp;$F$16785&amp;"&lt;/restock&gt;"</f>
        <v>&lt;restock&gt;0&lt;/restock&gt;</v>
      </c>
      <c r="B16788" t="s">
        <v>1252</v>
      </c>
    </row>
    <row r="16789" spans="1:8" x14ac:dyDescent="0.25">
      <c r="A16789" t="str">
        <f>"&lt;min&gt;" &amp;$G$16785&amp;"&lt;/min&gt;"</f>
        <v>&lt;min&gt;25&lt;/min&gt;</v>
      </c>
      <c r="B16789" t="s">
        <v>1252</v>
      </c>
    </row>
    <row r="16790" spans="1:8" x14ac:dyDescent="0.25">
      <c r="A16790" t="s">
        <v>16</v>
      </c>
      <c r="B16790" t="s">
        <v>1252</v>
      </c>
    </row>
    <row r="16791" spans="1:8" x14ac:dyDescent="0.25">
      <c r="A16791" t="s">
        <v>17</v>
      </c>
      <c r="B16791" t="s">
        <v>1252</v>
      </c>
    </row>
    <row r="16792" spans="1:8" x14ac:dyDescent="0.25">
      <c r="A16792" t="s">
        <v>18</v>
      </c>
      <c r="B16792" t="s">
        <v>1252</v>
      </c>
    </row>
    <row r="16793" spans="1:8" x14ac:dyDescent="0.25">
      <c r="A16793" t="str">
        <f xml:space="preserve"> $H$16785</f>
        <v>&lt;flags count_in_cargo="0" count_in_hoarder="0" count_in_map="1" count_in_player="0" crafted="0" deloot="0"/&gt;</v>
      </c>
      <c r="B16793" t="s">
        <v>1252</v>
      </c>
    </row>
    <row r="16794" spans="1:8" x14ac:dyDescent="0.25">
      <c r="A16794" t="str">
        <f>"&lt;category name=" &amp;"""" &amp;$C$16785&amp;"""/&gt;"</f>
        <v>&lt;category name="clothes"/&gt;</v>
      </c>
      <c r="B16794" t="s">
        <v>1252</v>
      </c>
    </row>
    <row r="16795" spans="1:8" x14ac:dyDescent="0.25">
      <c r="A16795" t="s">
        <v>39</v>
      </c>
      <c r="B16795" t="s">
        <v>1252</v>
      </c>
    </row>
    <row r="16796" spans="1:8" x14ac:dyDescent="0.25">
      <c r="A16796" t="s">
        <v>40</v>
      </c>
      <c r="B16796" t="s">
        <v>1252</v>
      </c>
    </row>
    <row r="16797" spans="1:8" x14ac:dyDescent="0.25">
      <c r="A16797" t="s">
        <v>22</v>
      </c>
      <c r="B16797" t="s">
        <v>1252</v>
      </c>
    </row>
    <row r="16798" spans="1:8" x14ac:dyDescent="0.25">
      <c r="A16798" t="s">
        <v>2718</v>
      </c>
      <c r="B16798" t="s">
        <v>1253</v>
      </c>
      <c r="C16798" t="s">
        <v>403</v>
      </c>
      <c r="D16798">
        <v>30</v>
      </c>
      <c r="E16798">
        <v>2700</v>
      </c>
      <c r="F16798">
        <v>0</v>
      </c>
      <c r="G16798">
        <v>25</v>
      </c>
      <c r="H16798" t="s">
        <v>19</v>
      </c>
    </row>
    <row r="16799" spans="1:8" x14ac:dyDescent="0.25">
      <c r="A16799" t="str">
        <f>"&lt;nominal&gt;" &amp;$D$16798&amp;"&lt;/nominal&gt;"</f>
        <v>&lt;nominal&gt;30&lt;/nominal&gt;</v>
      </c>
      <c r="B16799" t="s">
        <v>1253</v>
      </c>
    </row>
    <row r="16800" spans="1:8" x14ac:dyDescent="0.25">
      <c r="A16800" t="str">
        <f>"&lt;lifetime&gt;" &amp;$E$16798&amp;"&lt;/lifetime&gt;"</f>
        <v>&lt;lifetime&gt;2700&lt;/lifetime&gt;</v>
      </c>
      <c r="B16800" t="s">
        <v>1253</v>
      </c>
    </row>
    <row r="16801" spans="1:8" x14ac:dyDescent="0.25">
      <c r="A16801" t="str">
        <f>"&lt;restock&gt;" &amp;$F$16798&amp;"&lt;/restock&gt;"</f>
        <v>&lt;restock&gt;0&lt;/restock&gt;</v>
      </c>
      <c r="B16801" t="s">
        <v>1253</v>
      </c>
    </row>
    <row r="16802" spans="1:8" x14ac:dyDescent="0.25">
      <c r="A16802" t="str">
        <f>"&lt;min&gt;" &amp;$G$16798&amp;"&lt;/min&gt;"</f>
        <v>&lt;min&gt;25&lt;/min&gt;</v>
      </c>
      <c r="B16802" t="s">
        <v>1253</v>
      </c>
    </row>
    <row r="16803" spans="1:8" x14ac:dyDescent="0.25">
      <c r="A16803" t="s">
        <v>16</v>
      </c>
      <c r="B16803" t="s">
        <v>1253</v>
      </c>
    </row>
    <row r="16804" spans="1:8" x14ac:dyDescent="0.25">
      <c r="A16804" t="s">
        <v>17</v>
      </c>
      <c r="B16804" t="s">
        <v>1253</v>
      </c>
    </row>
    <row r="16805" spans="1:8" x14ac:dyDescent="0.25">
      <c r="A16805" t="s">
        <v>18</v>
      </c>
      <c r="B16805" t="s">
        <v>1253</v>
      </c>
    </row>
    <row r="16806" spans="1:8" x14ac:dyDescent="0.25">
      <c r="A16806" t="str">
        <f xml:space="preserve"> $H$16798</f>
        <v>&lt;flags count_in_cargo="0" count_in_hoarder="0" count_in_map="1" count_in_player="0" crafted="0" deloot="0"/&gt;</v>
      </c>
      <c r="B16806" t="s">
        <v>1253</v>
      </c>
    </row>
    <row r="16807" spans="1:8" x14ac:dyDescent="0.25">
      <c r="A16807" t="str">
        <f>"&lt;category name=" &amp;"""" &amp;$C$16798&amp;"""/&gt;"</f>
        <v>&lt;category name="clothes"/&gt;</v>
      </c>
      <c r="B16807" t="s">
        <v>1253</v>
      </c>
    </row>
    <row r="16808" spans="1:8" x14ac:dyDescent="0.25">
      <c r="A16808" t="s">
        <v>39</v>
      </c>
      <c r="B16808" t="s">
        <v>1253</v>
      </c>
    </row>
    <row r="16809" spans="1:8" x14ac:dyDescent="0.25">
      <c r="A16809" t="s">
        <v>40</v>
      </c>
      <c r="B16809" t="s">
        <v>1253</v>
      </c>
    </row>
    <row r="16810" spans="1:8" x14ac:dyDescent="0.25">
      <c r="A16810" t="s">
        <v>22</v>
      </c>
      <c r="B16810" t="s">
        <v>1253</v>
      </c>
    </row>
    <row r="16811" spans="1:8" x14ac:dyDescent="0.25">
      <c r="A16811" t="s">
        <v>2758</v>
      </c>
      <c r="B16811" t="s">
        <v>3022</v>
      </c>
      <c r="C16811" t="s">
        <v>363</v>
      </c>
      <c r="D16811">
        <v>10</v>
      </c>
      <c r="E16811">
        <v>21600</v>
      </c>
      <c r="F16811">
        <v>0</v>
      </c>
      <c r="G16811">
        <v>20</v>
      </c>
      <c r="H16811" t="s">
        <v>19</v>
      </c>
    </row>
    <row r="16812" spans="1:8" x14ac:dyDescent="0.25">
      <c r="A16812" t="str">
        <f>"&lt;nominal&gt;" &amp;$D$16811&amp;"&lt;/nominal&gt;"</f>
        <v>&lt;nominal&gt;10&lt;/nominal&gt;</v>
      </c>
      <c r="B16812" t="s">
        <v>3022</v>
      </c>
    </row>
    <row r="16813" spans="1:8" x14ac:dyDescent="0.25">
      <c r="A16813" t="str">
        <f>"&lt;lifetime&gt;" &amp;$E$16811&amp;"&lt;/lifetime&gt;"</f>
        <v>&lt;lifetime&gt;21600&lt;/lifetime&gt;</v>
      </c>
      <c r="B16813" t="s">
        <v>3022</v>
      </c>
    </row>
    <row r="16814" spans="1:8" x14ac:dyDescent="0.25">
      <c r="A16814" t="str">
        <f>"&lt;restock&gt;" &amp;$F$16811&amp;"&lt;/restock&gt;"</f>
        <v>&lt;restock&gt;0&lt;/restock&gt;</v>
      </c>
      <c r="B16814" t="s">
        <v>3022</v>
      </c>
    </row>
    <row r="16815" spans="1:8" x14ac:dyDescent="0.25">
      <c r="A16815" t="str">
        <f>"&lt;min&gt;" &amp;$G$16811&amp;"&lt;/min&gt;"</f>
        <v>&lt;min&gt;20&lt;/min&gt;</v>
      </c>
      <c r="B16815" t="s">
        <v>3022</v>
      </c>
    </row>
    <row r="16816" spans="1:8" x14ac:dyDescent="0.25">
      <c r="A16816" t="s">
        <v>16</v>
      </c>
      <c r="B16816" t="s">
        <v>3022</v>
      </c>
    </row>
    <row r="16817" spans="1:8" x14ac:dyDescent="0.25">
      <c r="A16817" t="s">
        <v>17</v>
      </c>
      <c r="B16817" t="s">
        <v>3022</v>
      </c>
    </row>
    <row r="16818" spans="1:8" x14ac:dyDescent="0.25">
      <c r="A16818" t="s">
        <v>18</v>
      </c>
      <c r="B16818" t="s">
        <v>3022</v>
      </c>
    </row>
    <row r="16819" spans="1:8" x14ac:dyDescent="0.25">
      <c r="A16819" t="str">
        <f xml:space="preserve"> $H$16811</f>
        <v>&lt;flags count_in_cargo="0" count_in_hoarder="0" count_in_map="1" count_in_player="0" crafted="0" deloot="0"/&gt;</v>
      </c>
      <c r="B16819" t="s">
        <v>3022</v>
      </c>
    </row>
    <row r="16820" spans="1:8" x14ac:dyDescent="0.25">
      <c r="A16820" t="str">
        <f>"&lt;category name=" &amp;"""" &amp;$C$16811&amp;"""/&gt;"</f>
        <v>&lt;category name="containers"/&gt;</v>
      </c>
      <c r="B16820" t="s">
        <v>3022</v>
      </c>
    </row>
    <row r="16821" spans="1:8" x14ac:dyDescent="0.25">
      <c r="A16821" t="s">
        <v>39</v>
      </c>
      <c r="B16821" t="s">
        <v>3022</v>
      </c>
    </row>
    <row r="16822" spans="1:8" x14ac:dyDescent="0.25">
      <c r="A16822" t="s">
        <v>40</v>
      </c>
      <c r="B16822" t="s">
        <v>3022</v>
      </c>
    </row>
    <row r="16823" spans="1:8" x14ac:dyDescent="0.25">
      <c r="A16823" t="s">
        <v>22</v>
      </c>
      <c r="B16823" t="s">
        <v>3022</v>
      </c>
    </row>
    <row r="16824" spans="1:8" x14ac:dyDescent="0.25">
      <c r="A16824" t="s">
        <v>2759</v>
      </c>
      <c r="B16824" t="s">
        <v>3023</v>
      </c>
      <c r="C16824" t="s">
        <v>363</v>
      </c>
      <c r="D16824">
        <v>10</v>
      </c>
      <c r="E16824">
        <v>21600</v>
      </c>
      <c r="F16824">
        <v>0</v>
      </c>
      <c r="G16824">
        <v>20</v>
      </c>
      <c r="H16824" t="s">
        <v>19</v>
      </c>
    </row>
    <row r="16825" spans="1:8" x14ac:dyDescent="0.25">
      <c r="A16825" t="str">
        <f>"&lt;nominal&gt;" &amp;$D$16824&amp;"&lt;/nominal&gt;"</f>
        <v>&lt;nominal&gt;10&lt;/nominal&gt;</v>
      </c>
      <c r="B16825" t="s">
        <v>3023</v>
      </c>
    </row>
    <row r="16826" spans="1:8" x14ac:dyDescent="0.25">
      <c r="A16826" t="str">
        <f>"&lt;lifetime&gt;" &amp;$E$16824&amp;"&lt;/lifetime&gt;"</f>
        <v>&lt;lifetime&gt;21600&lt;/lifetime&gt;</v>
      </c>
      <c r="B16826" t="s">
        <v>3023</v>
      </c>
    </row>
    <row r="16827" spans="1:8" x14ac:dyDescent="0.25">
      <c r="A16827" t="str">
        <f>"&lt;restock&gt;" &amp;$F$16824&amp;"&lt;/restock&gt;"</f>
        <v>&lt;restock&gt;0&lt;/restock&gt;</v>
      </c>
      <c r="B16827" t="s">
        <v>3023</v>
      </c>
    </row>
    <row r="16828" spans="1:8" x14ac:dyDescent="0.25">
      <c r="A16828" t="str">
        <f>"&lt;min&gt;" &amp;$G$16824&amp;"&lt;/min&gt;"</f>
        <v>&lt;min&gt;20&lt;/min&gt;</v>
      </c>
      <c r="B16828" t="s">
        <v>3023</v>
      </c>
    </row>
    <row r="16829" spans="1:8" x14ac:dyDescent="0.25">
      <c r="A16829" t="s">
        <v>16</v>
      </c>
      <c r="B16829" t="s">
        <v>3023</v>
      </c>
    </row>
    <row r="16830" spans="1:8" x14ac:dyDescent="0.25">
      <c r="A16830" t="s">
        <v>17</v>
      </c>
      <c r="B16830" t="s">
        <v>3023</v>
      </c>
    </row>
    <row r="16831" spans="1:8" x14ac:dyDescent="0.25">
      <c r="A16831" t="s">
        <v>18</v>
      </c>
      <c r="B16831" t="s">
        <v>3023</v>
      </c>
    </row>
    <row r="16832" spans="1:8" x14ac:dyDescent="0.25">
      <c r="A16832" t="str">
        <f xml:space="preserve"> $H$16824</f>
        <v>&lt;flags count_in_cargo="0" count_in_hoarder="0" count_in_map="1" count_in_player="0" crafted="0" deloot="0"/&gt;</v>
      </c>
      <c r="B16832" t="s">
        <v>3023</v>
      </c>
    </row>
    <row r="16833" spans="1:8" x14ac:dyDescent="0.25">
      <c r="A16833" t="str">
        <f>"&lt;category name=" &amp;"""" &amp;$C$16824&amp;"""/&gt;"</f>
        <v>&lt;category name="containers"/&gt;</v>
      </c>
      <c r="B16833" t="s">
        <v>3023</v>
      </c>
    </row>
    <row r="16834" spans="1:8" x14ac:dyDescent="0.25">
      <c r="A16834" t="s">
        <v>39</v>
      </c>
      <c r="B16834" t="s">
        <v>3023</v>
      </c>
    </row>
    <row r="16835" spans="1:8" x14ac:dyDescent="0.25">
      <c r="A16835" t="s">
        <v>40</v>
      </c>
      <c r="B16835" t="s">
        <v>3023</v>
      </c>
    </row>
    <row r="16836" spans="1:8" x14ac:dyDescent="0.25">
      <c r="A16836" t="s">
        <v>22</v>
      </c>
      <c r="B16836" t="s">
        <v>3023</v>
      </c>
    </row>
    <row r="16837" spans="1:8" x14ac:dyDescent="0.25">
      <c r="A16837" t="s">
        <v>2760</v>
      </c>
      <c r="B16837" t="s">
        <v>3024</v>
      </c>
      <c r="C16837" t="s">
        <v>363</v>
      </c>
      <c r="D16837">
        <v>10</v>
      </c>
      <c r="E16837">
        <v>21600</v>
      </c>
      <c r="F16837">
        <v>0</v>
      </c>
      <c r="G16837">
        <v>20</v>
      </c>
      <c r="H16837" t="s">
        <v>19</v>
      </c>
    </row>
    <row r="16838" spans="1:8" x14ac:dyDescent="0.25">
      <c r="A16838" t="str">
        <f>"&lt;nominal&gt;" &amp;$D$16837&amp;"&lt;/nominal&gt;"</f>
        <v>&lt;nominal&gt;10&lt;/nominal&gt;</v>
      </c>
      <c r="B16838" t="s">
        <v>3024</v>
      </c>
    </row>
    <row r="16839" spans="1:8" x14ac:dyDescent="0.25">
      <c r="A16839" t="str">
        <f>"&lt;lifetime&gt;" &amp;$E$16837&amp;"&lt;/lifetime&gt;"</f>
        <v>&lt;lifetime&gt;21600&lt;/lifetime&gt;</v>
      </c>
      <c r="B16839" t="s">
        <v>3024</v>
      </c>
    </row>
    <row r="16840" spans="1:8" x14ac:dyDescent="0.25">
      <c r="A16840" t="str">
        <f>"&lt;restock&gt;" &amp;$F$16837&amp;"&lt;/restock&gt;"</f>
        <v>&lt;restock&gt;0&lt;/restock&gt;</v>
      </c>
      <c r="B16840" t="s">
        <v>3024</v>
      </c>
    </row>
    <row r="16841" spans="1:8" x14ac:dyDescent="0.25">
      <c r="A16841" t="str">
        <f>"&lt;min&gt;" &amp;$G$16837&amp;"&lt;/min&gt;"</f>
        <v>&lt;min&gt;20&lt;/min&gt;</v>
      </c>
      <c r="B16841" t="s">
        <v>3024</v>
      </c>
    </row>
    <row r="16842" spans="1:8" x14ac:dyDescent="0.25">
      <c r="A16842" t="s">
        <v>16</v>
      </c>
      <c r="B16842" t="s">
        <v>3024</v>
      </c>
    </row>
    <row r="16843" spans="1:8" x14ac:dyDescent="0.25">
      <c r="A16843" t="s">
        <v>17</v>
      </c>
      <c r="B16843" t="s">
        <v>3024</v>
      </c>
    </row>
    <row r="16844" spans="1:8" x14ac:dyDescent="0.25">
      <c r="A16844" t="s">
        <v>18</v>
      </c>
      <c r="B16844" t="s">
        <v>3024</v>
      </c>
    </row>
    <row r="16845" spans="1:8" x14ac:dyDescent="0.25">
      <c r="A16845" t="str">
        <f xml:space="preserve"> $H$16837</f>
        <v>&lt;flags count_in_cargo="0" count_in_hoarder="0" count_in_map="1" count_in_player="0" crafted="0" deloot="0"/&gt;</v>
      </c>
      <c r="B16845" t="s">
        <v>3024</v>
      </c>
    </row>
    <row r="16846" spans="1:8" x14ac:dyDescent="0.25">
      <c r="A16846" t="str">
        <f>"&lt;category name=" &amp;"""" &amp;$C$16837&amp;"""/&gt;"</f>
        <v>&lt;category name="containers"/&gt;</v>
      </c>
      <c r="B16846" t="s">
        <v>3024</v>
      </c>
    </row>
    <row r="16847" spans="1:8" x14ac:dyDescent="0.25">
      <c r="A16847" t="s">
        <v>39</v>
      </c>
      <c r="B16847" t="s">
        <v>3024</v>
      </c>
    </row>
    <row r="16848" spans="1:8" x14ac:dyDescent="0.25">
      <c r="A16848" t="s">
        <v>40</v>
      </c>
      <c r="B16848" t="s">
        <v>3024</v>
      </c>
    </row>
    <row r="16849" spans="1:8" x14ac:dyDescent="0.25">
      <c r="A16849" t="s">
        <v>22</v>
      </c>
      <c r="B16849" t="s">
        <v>3024</v>
      </c>
    </row>
    <row r="16850" spans="1:8" x14ac:dyDescent="0.25">
      <c r="A16850" t="s">
        <v>2761</v>
      </c>
      <c r="B16850" t="s">
        <v>3025</v>
      </c>
      <c r="C16850" t="s">
        <v>363</v>
      </c>
      <c r="D16850">
        <v>10</v>
      </c>
      <c r="E16850">
        <v>21600</v>
      </c>
      <c r="F16850">
        <v>0</v>
      </c>
      <c r="G16850">
        <v>20</v>
      </c>
      <c r="H16850" t="s">
        <v>19</v>
      </c>
    </row>
    <row r="16851" spans="1:8" x14ac:dyDescent="0.25">
      <c r="A16851" t="str">
        <f>"&lt;nominal&gt;" &amp;$D$16850&amp;"&lt;/nominal&gt;"</f>
        <v>&lt;nominal&gt;10&lt;/nominal&gt;</v>
      </c>
      <c r="B16851" t="s">
        <v>3025</v>
      </c>
    </row>
    <row r="16852" spans="1:8" x14ac:dyDescent="0.25">
      <c r="A16852" t="str">
        <f>"&lt;lifetime&gt;" &amp;$E$16850&amp;"&lt;/lifetime&gt;"</f>
        <v>&lt;lifetime&gt;21600&lt;/lifetime&gt;</v>
      </c>
      <c r="B16852" t="s">
        <v>3025</v>
      </c>
    </row>
    <row r="16853" spans="1:8" x14ac:dyDescent="0.25">
      <c r="A16853" t="str">
        <f>"&lt;restock&gt;" &amp;$F$16850&amp;"&lt;/restock&gt;"</f>
        <v>&lt;restock&gt;0&lt;/restock&gt;</v>
      </c>
      <c r="B16853" t="s">
        <v>3025</v>
      </c>
    </row>
    <row r="16854" spans="1:8" x14ac:dyDescent="0.25">
      <c r="A16854" t="str">
        <f>"&lt;min&gt;" &amp;$G$16850&amp;"&lt;/min&gt;"</f>
        <v>&lt;min&gt;20&lt;/min&gt;</v>
      </c>
      <c r="B16854" t="s">
        <v>3025</v>
      </c>
    </row>
    <row r="16855" spans="1:8" x14ac:dyDescent="0.25">
      <c r="A16855" t="s">
        <v>16</v>
      </c>
      <c r="B16855" t="s">
        <v>3025</v>
      </c>
    </row>
    <row r="16856" spans="1:8" x14ac:dyDescent="0.25">
      <c r="A16856" t="s">
        <v>17</v>
      </c>
      <c r="B16856" t="s">
        <v>3025</v>
      </c>
    </row>
    <row r="16857" spans="1:8" x14ac:dyDescent="0.25">
      <c r="A16857" t="s">
        <v>18</v>
      </c>
      <c r="B16857" t="s">
        <v>3025</v>
      </c>
    </row>
    <row r="16858" spans="1:8" x14ac:dyDescent="0.25">
      <c r="A16858" t="str">
        <f xml:space="preserve"> $H$16850</f>
        <v>&lt;flags count_in_cargo="0" count_in_hoarder="0" count_in_map="1" count_in_player="0" crafted="0" deloot="0"/&gt;</v>
      </c>
      <c r="B16858" t="s">
        <v>3025</v>
      </c>
    </row>
    <row r="16859" spans="1:8" x14ac:dyDescent="0.25">
      <c r="A16859" t="str">
        <f>"&lt;category name=" &amp;"""" &amp;$C$16850&amp;"""/&gt;"</f>
        <v>&lt;category name="containers"/&gt;</v>
      </c>
      <c r="B16859" t="s">
        <v>3025</v>
      </c>
    </row>
    <row r="16860" spans="1:8" x14ac:dyDescent="0.25">
      <c r="A16860" t="s">
        <v>39</v>
      </c>
      <c r="B16860" t="s">
        <v>3025</v>
      </c>
    </row>
    <row r="16861" spans="1:8" x14ac:dyDescent="0.25">
      <c r="A16861" t="s">
        <v>40</v>
      </c>
      <c r="B16861" t="s">
        <v>3025</v>
      </c>
    </row>
    <row r="16862" spans="1:8" x14ac:dyDescent="0.25">
      <c r="A16862" t="s">
        <v>22</v>
      </c>
      <c r="B16862" t="s">
        <v>3025</v>
      </c>
    </row>
    <row r="16863" spans="1:8" x14ac:dyDescent="0.25">
      <c r="A16863" t="s">
        <v>2762</v>
      </c>
      <c r="B16863" t="s">
        <v>3026</v>
      </c>
      <c r="C16863" t="s">
        <v>363</v>
      </c>
      <c r="D16863">
        <v>10</v>
      </c>
      <c r="E16863">
        <v>21600</v>
      </c>
      <c r="F16863">
        <v>0</v>
      </c>
      <c r="G16863">
        <v>20</v>
      </c>
      <c r="H16863" t="s">
        <v>19</v>
      </c>
    </row>
    <row r="16864" spans="1:8" x14ac:dyDescent="0.25">
      <c r="A16864" t="str">
        <f>"&lt;nominal&gt;" &amp;$D$16863&amp;"&lt;/nominal&gt;"</f>
        <v>&lt;nominal&gt;10&lt;/nominal&gt;</v>
      </c>
      <c r="B16864" t="s">
        <v>3026</v>
      </c>
    </row>
    <row r="16865" spans="1:8" x14ac:dyDescent="0.25">
      <c r="A16865" t="str">
        <f>"&lt;lifetime&gt;" &amp;$E$16863&amp;"&lt;/lifetime&gt;"</f>
        <v>&lt;lifetime&gt;21600&lt;/lifetime&gt;</v>
      </c>
      <c r="B16865" t="s">
        <v>3026</v>
      </c>
    </row>
    <row r="16866" spans="1:8" x14ac:dyDescent="0.25">
      <c r="A16866" t="str">
        <f>"&lt;restock&gt;" &amp;$F$16863&amp;"&lt;/restock&gt;"</f>
        <v>&lt;restock&gt;0&lt;/restock&gt;</v>
      </c>
      <c r="B16866" t="s">
        <v>3026</v>
      </c>
    </row>
    <row r="16867" spans="1:8" x14ac:dyDescent="0.25">
      <c r="A16867" t="str">
        <f>"&lt;min&gt;" &amp;$G$16863&amp;"&lt;/min&gt;"</f>
        <v>&lt;min&gt;20&lt;/min&gt;</v>
      </c>
      <c r="B16867" t="s">
        <v>3026</v>
      </c>
    </row>
    <row r="16868" spans="1:8" x14ac:dyDescent="0.25">
      <c r="A16868" t="s">
        <v>16</v>
      </c>
      <c r="B16868" t="s">
        <v>3026</v>
      </c>
    </row>
    <row r="16869" spans="1:8" x14ac:dyDescent="0.25">
      <c r="A16869" t="s">
        <v>17</v>
      </c>
      <c r="B16869" t="s">
        <v>3026</v>
      </c>
    </row>
    <row r="16870" spans="1:8" x14ac:dyDescent="0.25">
      <c r="A16870" t="s">
        <v>18</v>
      </c>
      <c r="B16870" t="s">
        <v>3026</v>
      </c>
    </row>
    <row r="16871" spans="1:8" x14ac:dyDescent="0.25">
      <c r="A16871" t="str">
        <f xml:space="preserve"> $H$16863</f>
        <v>&lt;flags count_in_cargo="0" count_in_hoarder="0" count_in_map="1" count_in_player="0" crafted="0" deloot="0"/&gt;</v>
      </c>
      <c r="B16871" t="s">
        <v>3026</v>
      </c>
    </row>
    <row r="16872" spans="1:8" x14ac:dyDescent="0.25">
      <c r="A16872" t="str">
        <f>"&lt;category name=" &amp;"""" &amp;$C$16863&amp;"""/&gt;"</f>
        <v>&lt;category name="containers"/&gt;</v>
      </c>
      <c r="B16872" t="s">
        <v>3026</v>
      </c>
    </row>
    <row r="16873" spans="1:8" x14ac:dyDescent="0.25">
      <c r="A16873" t="s">
        <v>39</v>
      </c>
      <c r="B16873" t="s">
        <v>3026</v>
      </c>
    </row>
    <row r="16874" spans="1:8" x14ac:dyDescent="0.25">
      <c r="A16874" t="s">
        <v>40</v>
      </c>
      <c r="B16874" t="s">
        <v>3026</v>
      </c>
    </row>
    <row r="16875" spans="1:8" x14ac:dyDescent="0.25">
      <c r="A16875" t="s">
        <v>22</v>
      </c>
      <c r="B16875" t="s">
        <v>3026</v>
      </c>
    </row>
    <row r="16876" spans="1:8" x14ac:dyDescent="0.25">
      <c r="A16876" t="s">
        <v>2763</v>
      </c>
      <c r="B16876" t="s">
        <v>3027</v>
      </c>
      <c r="C16876" t="s">
        <v>363</v>
      </c>
      <c r="D16876">
        <v>10</v>
      </c>
      <c r="E16876">
        <v>21600</v>
      </c>
      <c r="F16876">
        <v>0</v>
      </c>
      <c r="G16876">
        <v>20</v>
      </c>
      <c r="H16876" t="s">
        <v>19</v>
      </c>
    </row>
    <row r="16877" spans="1:8" x14ac:dyDescent="0.25">
      <c r="A16877" t="str">
        <f>"&lt;nominal&gt;" &amp;$D$16876&amp;"&lt;/nominal&gt;"</f>
        <v>&lt;nominal&gt;10&lt;/nominal&gt;</v>
      </c>
      <c r="B16877" t="s">
        <v>3027</v>
      </c>
    </row>
    <row r="16878" spans="1:8" x14ac:dyDescent="0.25">
      <c r="A16878" t="str">
        <f>"&lt;lifetime&gt;" &amp;$E$16876&amp;"&lt;/lifetime&gt;"</f>
        <v>&lt;lifetime&gt;21600&lt;/lifetime&gt;</v>
      </c>
      <c r="B16878" t="s">
        <v>3027</v>
      </c>
    </row>
    <row r="16879" spans="1:8" x14ac:dyDescent="0.25">
      <c r="A16879" t="str">
        <f>"&lt;restock&gt;" &amp;$F$16876&amp;"&lt;/restock&gt;"</f>
        <v>&lt;restock&gt;0&lt;/restock&gt;</v>
      </c>
      <c r="B16879" t="s">
        <v>3027</v>
      </c>
    </row>
    <row r="16880" spans="1:8" x14ac:dyDescent="0.25">
      <c r="A16880" t="str">
        <f>"&lt;min&gt;" &amp;$G$16876&amp;"&lt;/min&gt;"</f>
        <v>&lt;min&gt;20&lt;/min&gt;</v>
      </c>
      <c r="B16880" t="s">
        <v>3027</v>
      </c>
    </row>
    <row r="16881" spans="1:8" x14ac:dyDescent="0.25">
      <c r="A16881" t="s">
        <v>16</v>
      </c>
      <c r="B16881" t="s">
        <v>3027</v>
      </c>
    </row>
    <row r="16882" spans="1:8" x14ac:dyDescent="0.25">
      <c r="A16882" t="s">
        <v>17</v>
      </c>
      <c r="B16882" t="s">
        <v>3027</v>
      </c>
    </row>
    <row r="16883" spans="1:8" x14ac:dyDescent="0.25">
      <c r="A16883" t="s">
        <v>18</v>
      </c>
      <c r="B16883" t="s">
        <v>3027</v>
      </c>
    </row>
    <row r="16884" spans="1:8" x14ac:dyDescent="0.25">
      <c r="A16884" t="str">
        <f xml:space="preserve"> $H$16876</f>
        <v>&lt;flags count_in_cargo="0" count_in_hoarder="0" count_in_map="1" count_in_player="0" crafted="0" deloot="0"/&gt;</v>
      </c>
      <c r="B16884" t="s">
        <v>3027</v>
      </c>
    </row>
    <row r="16885" spans="1:8" x14ac:dyDescent="0.25">
      <c r="A16885" t="str">
        <f>"&lt;category name=" &amp;"""" &amp;$C$16876&amp;"""/&gt;"</f>
        <v>&lt;category name="containers"/&gt;</v>
      </c>
      <c r="B16885" t="s">
        <v>3027</v>
      </c>
    </row>
    <row r="16886" spans="1:8" x14ac:dyDescent="0.25">
      <c r="A16886" t="s">
        <v>39</v>
      </c>
      <c r="B16886" t="s">
        <v>3027</v>
      </c>
    </row>
    <row r="16887" spans="1:8" x14ac:dyDescent="0.25">
      <c r="A16887" t="s">
        <v>40</v>
      </c>
      <c r="B16887" t="s">
        <v>3027</v>
      </c>
    </row>
    <row r="16888" spans="1:8" x14ac:dyDescent="0.25">
      <c r="A16888" t="s">
        <v>22</v>
      </c>
      <c r="B16888" t="s">
        <v>3027</v>
      </c>
    </row>
    <row r="16889" spans="1:8" x14ac:dyDescent="0.25">
      <c r="A16889" t="s">
        <v>2764</v>
      </c>
      <c r="B16889" t="s">
        <v>3028</v>
      </c>
      <c r="C16889" t="s">
        <v>363</v>
      </c>
      <c r="D16889">
        <v>20</v>
      </c>
      <c r="E16889">
        <v>21600</v>
      </c>
      <c r="F16889">
        <v>0</v>
      </c>
      <c r="G16889">
        <v>20</v>
      </c>
      <c r="H16889" t="s">
        <v>19</v>
      </c>
    </row>
    <row r="16890" spans="1:8" x14ac:dyDescent="0.25">
      <c r="A16890" t="str">
        <f>"&lt;nominal&gt;" &amp;$D$16889&amp;"&lt;/nominal&gt;"</f>
        <v>&lt;nominal&gt;20&lt;/nominal&gt;</v>
      </c>
      <c r="B16890" t="s">
        <v>3028</v>
      </c>
    </row>
    <row r="16891" spans="1:8" x14ac:dyDescent="0.25">
      <c r="A16891" t="str">
        <f>"&lt;lifetime&gt;" &amp;$E$16889&amp;"&lt;/lifetime&gt;"</f>
        <v>&lt;lifetime&gt;21600&lt;/lifetime&gt;</v>
      </c>
      <c r="B16891" t="s">
        <v>3028</v>
      </c>
    </row>
    <row r="16892" spans="1:8" x14ac:dyDescent="0.25">
      <c r="A16892" t="str">
        <f>"&lt;restock&gt;" &amp;$F$16889&amp;"&lt;/restock&gt;"</f>
        <v>&lt;restock&gt;0&lt;/restock&gt;</v>
      </c>
      <c r="B16892" t="s">
        <v>3028</v>
      </c>
    </row>
    <row r="16893" spans="1:8" x14ac:dyDescent="0.25">
      <c r="A16893" t="str">
        <f>"&lt;min&gt;" &amp;$G$16889&amp;"&lt;/min&gt;"</f>
        <v>&lt;min&gt;20&lt;/min&gt;</v>
      </c>
      <c r="B16893" t="s">
        <v>3028</v>
      </c>
    </row>
    <row r="16894" spans="1:8" x14ac:dyDescent="0.25">
      <c r="A16894" t="s">
        <v>16</v>
      </c>
      <c r="B16894" t="s">
        <v>3028</v>
      </c>
    </row>
    <row r="16895" spans="1:8" x14ac:dyDescent="0.25">
      <c r="A16895" t="s">
        <v>17</v>
      </c>
      <c r="B16895" t="s">
        <v>3028</v>
      </c>
    </row>
    <row r="16896" spans="1:8" x14ac:dyDescent="0.25">
      <c r="A16896" t="s">
        <v>18</v>
      </c>
      <c r="B16896" t="s">
        <v>3028</v>
      </c>
    </row>
    <row r="16897" spans="1:8" x14ac:dyDescent="0.25">
      <c r="A16897" t="str">
        <f xml:space="preserve"> $H$16889</f>
        <v>&lt;flags count_in_cargo="0" count_in_hoarder="0" count_in_map="1" count_in_player="0" crafted="0" deloot="0"/&gt;</v>
      </c>
      <c r="B16897" t="s">
        <v>3028</v>
      </c>
    </row>
    <row r="16898" spans="1:8" x14ac:dyDescent="0.25">
      <c r="A16898" t="str">
        <f>"&lt;category name=" &amp;"""" &amp;$C$16889&amp;"""/&gt;"</f>
        <v>&lt;category name="containers"/&gt;</v>
      </c>
      <c r="B16898" t="s">
        <v>3028</v>
      </c>
    </row>
    <row r="16899" spans="1:8" x14ac:dyDescent="0.25">
      <c r="A16899" t="s">
        <v>39</v>
      </c>
      <c r="B16899" t="s">
        <v>3028</v>
      </c>
    </row>
    <row r="16900" spans="1:8" x14ac:dyDescent="0.25">
      <c r="A16900" t="s">
        <v>40</v>
      </c>
      <c r="B16900" t="s">
        <v>3028</v>
      </c>
    </row>
    <row r="16901" spans="1:8" x14ac:dyDescent="0.25">
      <c r="A16901" t="s">
        <v>22</v>
      </c>
      <c r="B16901" t="s">
        <v>3028</v>
      </c>
    </row>
    <row r="16902" spans="1:8" x14ac:dyDescent="0.25">
      <c r="A16902" t="s">
        <v>2765</v>
      </c>
      <c r="B16902" t="s">
        <v>3029</v>
      </c>
      <c r="C16902" t="s">
        <v>363</v>
      </c>
      <c r="D16902">
        <v>20</v>
      </c>
      <c r="E16902">
        <v>21600</v>
      </c>
      <c r="F16902">
        <v>0</v>
      </c>
      <c r="G16902">
        <v>20</v>
      </c>
      <c r="H16902" t="s">
        <v>19</v>
      </c>
    </row>
    <row r="16903" spans="1:8" x14ac:dyDescent="0.25">
      <c r="A16903" t="str">
        <f>"&lt;nominal&gt;" &amp;$D$16902&amp;"&lt;/nominal&gt;"</f>
        <v>&lt;nominal&gt;20&lt;/nominal&gt;</v>
      </c>
      <c r="B16903" t="s">
        <v>3029</v>
      </c>
    </row>
    <row r="16904" spans="1:8" x14ac:dyDescent="0.25">
      <c r="A16904" t="str">
        <f>"&lt;lifetime&gt;" &amp;$E$16902&amp;"&lt;/lifetime&gt;"</f>
        <v>&lt;lifetime&gt;21600&lt;/lifetime&gt;</v>
      </c>
      <c r="B16904" t="s">
        <v>3029</v>
      </c>
    </row>
    <row r="16905" spans="1:8" x14ac:dyDescent="0.25">
      <c r="A16905" t="str">
        <f>"&lt;restock&gt;" &amp;$F$16902&amp;"&lt;/restock&gt;"</f>
        <v>&lt;restock&gt;0&lt;/restock&gt;</v>
      </c>
      <c r="B16905" t="s">
        <v>3029</v>
      </c>
    </row>
    <row r="16906" spans="1:8" x14ac:dyDescent="0.25">
      <c r="A16906" t="str">
        <f>"&lt;min&gt;" &amp;$G$16902&amp;"&lt;/min&gt;"</f>
        <v>&lt;min&gt;20&lt;/min&gt;</v>
      </c>
      <c r="B16906" t="s">
        <v>3029</v>
      </c>
    </row>
    <row r="16907" spans="1:8" x14ac:dyDescent="0.25">
      <c r="A16907" t="s">
        <v>16</v>
      </c>
      <c r="B16907" t="s">
        <v>3029</v>
      </c>
    </row>
    <row r="16908" spans="1:8" x14ac:dyDescent="0.25">
      <c r="A16908" t="s">
        <v>17</v>
      </c>
      <c r="B16908" t="s">
        <v>3029</v>
      </c>
    </row>
    <row r="16909" spans="1:8" x14ac:dyDescent="0.25">
      <c r="A16909" t="s">
        <v>18</v>
      </c>
      <c r="B16909" t="s">
        <v>3029</v>
      </c>
    </row>
    <row r="16910" spans="1:8" x14ac:dyDescent="0.25">
      <c r="A16910" t="str">
        <f xml:space="preserve"> $H$16902</f>
        <v>&lt;flags count_in_cargo="0" count_in_hoarder="0" count_in_map="1" count_in_player="0" crafted="0" deloot="0"/&gt;</v>
      </c>
      <c r="B16910" t="s">
        <v>3029</v>
      </c>
    </row>
    <row r="16911" spans="1:8" x14ac:dyDescent="0.25">
      <c r="A16911" t="str">
        <f>"&lt;category name=" &amp;"""" &amp;$C$16902&amp;"""/&gt;"</f>
        <v>&lt;category name="containers"/&gt;</v>
      </c>
      <c r="B16911" t="s">
        <v>3029</v>
      </c>
    </row>
    <row r="16912" spans="1:8" x14ac:dyDescent="0.25">
      <c r="A16912" t="s">
        <v>39</v>
      </c>
      <c r="B16912" t="s">
        <v>3029</v>
      </c>
    </row>
    <row r="16913" spans="1:8" x14ac:dyDescent="0.25">
      <c r="A16913" t="s">
        <v>40</v>
      </c>
      <c r="B16913" t="s">
        <v>3029</v>
      </c>
    </row>
    <row r="16914" spans="1:8" x14ac:dyDescent="0.25">
      <c r="A16914" t="s">
        <v>22</v>
      </c>
      <c r="B16914" t="s">
        <v>3029</v>
      </c>
    </row>
    <row r="16915" spans="1:8" x14ac:dyDescent="0.25">
      <c r="A16915" t="s">
        <v>2766</v>
      </c>
      <c r="B16915" t="s">
        <v>3030</v>
      </c>
      <c r="C16915" t="s">
        <v>363</v>
      </c>
      <c r="D16915">
        <v>20</v>
      </c>
      <c r="E16915">
        <v>21600</v>
      </c>
      <c r="F16915">
        <v>0</v>
      </c>
      <c r="G16915">
        <v>20</v>
      </c>
      <c r="H16915" t="s">
        <v>19</v>
      </c>
    </row>
    <row r="16916" spans="1:8" x14ac:dyDescent="0.25">
      <c r="A16916" t="str">
        <f>"&lt;nominal&gt;" &amp;$D$16915&amp;"&lt;/nominal&gt;"</f>
        <v>&lt;nominal&gt;20&lt;/nominal&gt;</v>
      </c>
      <c r="B16916" t="s">
        <v>3030</v>
      </c>
    </row>
    <row r="16917" spans="1:8" x14ac:dyDescent="0.25">
      <c r="A16917" t="str">
        <f>"&lt;lifetime&gt;" &amp;$E$16915&amp;"&lt;/lifetime&gt;"</f>
        <v>&lt;lifetime&gt;21600&lt;/lifetime&gt;</v>
      </c>
      <c r="B16917" t="s">
        <v>3030</v>
      </c>
    </row>
    <row r="16918" spans="1:8" x14ac:dyDescent="0.25">
      <c r="A16918" t="str">
        <f>"&lt;restock&gt;" &amp;$F$16915&amp;"&lt;/restock&gt;"</f>
        <v>&lt;restock&gt;0&lt;/restock&gt;</v>
      </c>
      <c r="B16918" t="s">
        <v>3030</v>
      </c>
    </row>
    <row r="16919" spans="1:8" x14ac:dyDescent="0.25">
      <c r="A16919" t="str">
        <f>"&lt;min&gt;" &amp;$G$16915&amp;"&lt;/min&gt;"</f>
        <v>&lt;min&gt;20&lt;/min&gt;</v>
      </c>
      <c r="B16919" t="s">
        <v>3030</v>
      </c>
    </row>
    <row r="16920" spans="1:8" x14ac:dyDescent="0.25">
      <c r="A16920" t="s">
        <v>16</v>
      </c>
      <c r="B16920" t="s">
        <v>3030</v>
      </c>
    </row>
    <row r="16921" spans="1:8" x14ac:dyDescent="0.25">
      <c r="A16921" t="s">
        <v>17</v>
      </c>
      <c r="B16921" t="s">
        <v>3030</v>
      </c>
    </row>
    <row r="16922" spans="1:8" x14ac:dyDescent="0.25">
      <c r="A16922" t="s">
        <v>18</v>
      </c>
      <c r="B16922" t="s">
        <v>3030</v>
      </c>
    </row>
    <row r="16923" spans="1:8" x14ac:dyDescent="0.25">
      <c r="A16923" t="str">
        <f xml:space="preserve"> $H$16915</f>
        <v>&lt;flags count_in_cargo="0" count_in_hoarder="0" count_in_map="1" count_in_player="0" crafted="0" deloot="0"/&gt;</v>
      </c>
      <c r="B16923" t="s">
        <v>3030</v>
      </c>
    </row>
    <row r="16924" spans="1:8" x14ac:dyDescent="0.25">
      <c r="A16924" t="str">
        <f>"&lt;category name=" &amp;"""" &amp;$C$16915&amp;"""/&gt;"</f>
        <v>&lt;category name="containers"/&gt;</v>
      </c>
      <c r="B16924" t="s">
        <v>3030</v>
      </c>
    </row>
    <row r="16925" spans="1:8" x14ac:dyDescent="0.25">
      <c r="A16925" t="s">
        <v>39</v>
      </c>
      <c r="B16925" t="s">
        <v>3030</v>
      </c>
    </row>
    <row r="16926" spans="1:8" x14ac:dyDescent="0.25">
      <c r="A16926" t="s">
        <v>40</v>
      </c>
      <c r="B16926" t="s">
        <v>3030</v>
      </c>
    </row>
    <row r="16927" spans="1:8" x14ac:dyDescent="0.25">
      <c r="A16927" t="s">
        <v>22</v>
      </c>
      <c r="B16927" t="s">
        <v>3030</v>
      </c>
    </row>
    <row r="16928" spans="1:8" x14ac:dyDescent="0.25">
      <c r="B16928" t="s">
        <v>3030</v>
      </c>
    </row>
    <row r="16929" spans="1:8" x14ac:dyDescent="0.25">
      <c r="A16929" t="s">
        <v>1</v>
      </c>
      <c r="B16929" t="s">
        <v>3030</v>
      </c>
    </row>
    <row r="16930" spans="1:8" x14ac:dyDescent="0.25">
      <c r="A16930" t="s">
        <v>14</v>
      </c>
      <c r="B16930" t="s">
        <v>3030</v>
      </c>
    </row>
    <row r="16931" spans="1:8" x14ac:dyDescent="0.25">
      <c r="A16931" t="s">
        <v>2719</v>
      </c>
      <c r="B16931" t="s">
        <v>3030</v>
      </c>
    </row>
    <row r="16932" spans="1:8" x14ac:dyDescent="0.25">
      <c r="B16932" t="s">
        <v>3030</v>
      </c>
    </row>
    <row r="16933" spans="1:8" x14ac:dyDescent="0.25">
      <c r="A16933" t="s">
        <v>15</v>
      </c>
      <c r="B16933" t="s">
        <v>1254</v>
      </c>
      <c r="C16933" t="s">
        <v>426</v>
      </c>
      <c r="D16933">
        <v>20</v>
      </c>
      <c r="E16933">
        <v>7200</v>
      </c>
      <c r="F16933">
        <v>0</v>
      </c>
      <c r="G16933">
        <v>12</v>
      </c>
      <c r="H16933" t="s">
        <v>19</v>
      </c>
    </row>
    <row r="16934" spans="1:8" x14ac:dyDescent="0.25">
      <c r="A16934" t="str">
        <f>"&lt;nominal&gt;" &amp;$D$16933&amp;"&lt;/nominal&gt;"</f>
        <v>&lt;nominal&gt;20&lt;/nominal&gt;</v>
      </c>
      <c r="B16934" t="s">
        <v>1254</v>
      </c>
    </row>
    <row r="16935" spans="1:8" x14ac:dyDescent="0.25">
      <c r="A16935" t="str">
        <f>"&lt;lifetime&gt;" &amp;$E$16933&amp;"&lt;/lifetime&gt;"</f>
        <v>&lt;lifetime&gt;7200&lt;/lifetime&gt;</v>
      </c>
      <c r="B16935" t="s">
        <v>1254</v>
      </c>
    </row>
    <row r="16936" spans="1:8" x14ac:dyDescent="0.25">
      <c r="A16936" t="str">
        <f>"&lt;restock&gt;" &amp;$F$16933&amp;"&lt;/restock&gt;"</f>
        <v>&lt;restock&gt;0&lt;/restock&gt;</v>
      </c>
      <c r="B16936" t="s">
        <v>1254</v>
      </c>
    </row>
    <row r="16937" spans="1:8" x14ac:dyDescent="0.25">
      <c r="A16937" t="str">
        <f>"&lt;min&gt;" &amp;$G$16933&amp;"&lt;/min&gt;"</f>
        <v>&lt;min&gt;12&lt;/min&gt;</v>
      </c>
      <c r="B16937" t="s">
        <v>1254</v>
      </c>
    </row>
    <row r="16938" spans="1:8" x14ac:dyDescent="0.25">
      <c r="A16938" t="s">
        <v>16</v>
      </c>
      <c r="B16938" t="s">
        <v>1254</v>
      </c>
    </row>
    <row r="16939" spans="1:8" x14ac:dyDescent="0.25">
      <c r="A16939" t="s">
        <v>17</v>
      </c>
      <c r="B16939" t="s">
        <v>1254</v>
      </c>
    </row>
    <row r="16940" spans="1:8" x14ac:dyDescent="0.25">
      <c r="A16940" t="s">
        <v>18</v>
      </c>
      <c r="B16940" t="s">
        <v>1254</v>
      </c>
    </row>
    <row r="16941" spans="1:8" x14ac:dyDescent="0.25">
      <c r="A16941" t="str">
        <f xml:space="preserve"> $H$16933</f>
        <v>&lt;flags count_in_cargo="0" count_in_hoarder="0" count_in_map="1" count_in_player="0" crafted="0" deloot="0"/&gt;</v>
      </c>
      <c r="B16941" t="s">
        <v>1254</v>
      </c>
    </row>
    <row r="16942" spans="1:8" x14ac:dyDescent="0.25">
      <c r="A16942" t="str">
        <f>"&lt;category name=" &amp;"""" &amp;$C$16933&amp;"""/&gt;"</f>
        <v>&lt;category name="tools"/&gt;</v>
      </c>
      <c r="B16942" t="s">
        <v>1254</v>
      </c>
    </row>
    <row r="16943" spans="1:8" x14ac:dyDescent="0.25">
      <c r="A16943" t="s">
        <v>20</v>
      </c>
      <c r="B16943" t="s">
        <v>1254</v>
      </c>
    </row>
    <row r="16944" spans="1:8" x14ac:dyDescent="0.25">
      <c r="A16944" t="s">
        <v>21</v>
      </c>
      <c r="B16944" t="s">
        <v>1254</v>
      </c>
    </row>
    <row r="16945" spans="1:8" x14ac:dyDescent="0.25">
      <c r="A16945" t="s">
        <v>22</v>
      </c>
      <c r="B16945" t="s">
        <v>1254</v>
      </c>
    </row>
    <row r="16946" spans="1:8" x14ac:dyDescent="0.25">
      <c r="A16946" t="s">
        <v>23</v>
      </c>
      <c r="B16946" t="s">
        <v>1255</v>
      </c>
      <c r="C16946" t="s">
        <v>426</v>
      </c>
      <c r="D16946">
        <v>30</v>
      </c>
      <c r="E16946">
        <v>7200</v>
      </c>
      <c r="F16946">
        <v>0</v>
      </c>
      <c r="G16946">
        <v>5</v>
      </c>
      <c r="H16946" t="s">
        <v>24</v>
      </c>
    </row>
    <row r="16947" spans="1:8" x14ac:dyDescent="0.25">
      <c r="A16947" t="str">
        <f>"&lt;nominal&gt;" &amp;$D$16946&amp;"&lt;/nominal&gt;"</f>
        <v>&lt;nominal&gt;30&lt;/nominal&gt;</v>
      </c>
      <c r="B16947" t="s">
        <v>1255</v>
      </c>
    </row>
    <row r="16948" spans="1:8" x14ac:dyDescent="0.25">
      <c r="A16948" t="str">
        <f>"&lt;lifetime&gt;" &amp;$E$16946&amp;"&lt;/lifetime&gt;"</f>
        <v>&lt;lifetime&gt;7200&lt;/lifetime&gt;</v>
      </c>
      <c r="B16948" t="s">
        <v>1255</v>
      </c>
    </row>
    <row r="16949" spans="1:8" x14ac:dyDescent="0.25">
      <c r="A16949" t="str">
        <f>"&lt;restock&gt;" &amp;$F$16946&amp;"&lt;/restock&gt;"</f>
        <v>&lt;restock&gt;0&lt;/restock&gt;</v>
      </c>
      <c r="B16949" t="s">
        <v>1255</v>
      </c>
    </row>
    <row r="16950" spans="1:8" x14ac:dyDescent="0.25">
      <c r="A16950" t="str">
        <f>"&lt;min&gt;" &amp;$G$16946&amp;"&lt;/min&gt;"</f>
        <v>&lt;min&gt;5&lt;/min&gt;</v>
      </c>
      <c r="B16950" t="s">
        <v>1255</v>
      </c>
    </row>
    <row r="16951" spans="1:8" x14ac:dyDescent="0.25">
      <c r="A16951" t="s">
        <v>16</v>
      </c>
      <c r="B16951" t="s">
        <v>1255</v>
      </c>
    </row>
    <row r="16952" spans="1:8" x14ac:dyDescent="0.25">
      <c r="A16952" t="s">
        <v>17</v>
      </c>
      <c r="B16952" t="s">
        <v>1255</v>
      </c>
    </row>
    <row r="16953" spans="1:8" x14ac:dyDescent="0.25">
      <c r="A16953" t="s">
        <v>18</v>
      </c>
      <c r="B16953" t="s">
        <v>1255</v>
      </c>
    </row>
    <row r="16954" spans="1:8" x14ac:dyDescent="0.25">
      <c r="A16954" t="str">
        <f xml:space="preserve"> $H$16946</f>
        <v>&lt;flags count_in_cargo="1" count_in_hoarder="1" count_in_map="1" count_in_player="1" crafted="0" deloot="0"/&gt;</v>
      </c>
      <c r="B16954" t="s">
        <v>1255</v>
      </c>
    </row>
    <row r="16955" spans="1:8" x14ac:dyDescent="0.25">
      <c r="A16955" t="str">
        <f>"&lt;category name=" &amp;"""" &amp;$C$16946&amp;"""/&gt;"</f>
        <v>&lt;category name="tools"/&gt;</v>
      </c>
      <c r="B16955" t="s">
        <v>1255</v>
      </c>
    </row>
    <row r="16956" spans="1:8" x14ac:dyDescent="0.25">
      <c r="A16956" t="s">
        <v>25</v>
      </c>
      <c r="B16956" t="s">
        <v>1255</v>
      </c>
    </row>
    <row r="16957" spans="1:8" x14ac:dyDescent="0.25">
      <c r="A16957" t="s">
        <v>20</v>
      </c>
      <c r="B16957" t="s">
        <v>1255</v>
      </c>
    </row>
    <row r="16958" spans="1:8" x14ac:dyDescent="0.25">
      <c r="A16958" t="s">
        <v>21</v>
      </c>
      <c r="B16958" t="s">
        <v>1255</v>
      </c>
    </row>
    <row r="16959" spans="1:8" x14ac:dyDescent="0.25">
      <c r="A16959" t="s">
        <v>26</v>
      </c>
      <c r="B16959" t="s">
        <v>1255</v>
      </c>
    </row>
    <row r="16960" spans="1:8" x14ac:dyDescent="0.25">
      <c r="A16960" t="s">
        <v>22</v>
      </c>
      <c r="B16960" t="s">
        <v>1255</v>
      </c>
    </row>
    <row r="16961" spans="1:8" x14ac:dyDescent="0.25">
      <c r="A16961" t="s">
        <v>27</v>
      </c>
      <c r="B16961" t="s">
        <v>1256</v>
      </c>
      <c r="C16961" t="s">
        <v>403</v>
      </c>
      <c r="D16961">
        <v>5</v>
      </c>
      <c r="E16961">
        <v>7200</v>
      </c>
      <c r="F16961">
        <v>1800</v>
      </c>
      <c r="G16961">
        <v>2</v>
      </c>
      <c r="H16961" t="s">
        <v>19</v>
      </c>
    </row>
    <row r="16962" spans="1:8" x14ac:dyDescent="0.25">
      <c r="A16962" t="str">
        <f>"&lt;nominal&gt;" &amp;$D$16961&amp;"&lt;/nominal&gt;"</f>
        <v>&lt;nominal&gt;5&lt;/nominal&gt;</v>
      </c>
      <c r="B16962" t="s">
        <v>1256</v>
      </c>
    </row>
    <row r="16963" spans="1:8" x14ac:dyDescent="0.25">
      <c r="A16963" t="str">
        <f>"&lt;lifetime&gt;" &amp;$E$16961&amp;"&lt;/lifetime&gt;"</f>
        <v>&lt;lifetime&gt;7200&lt;/lifetime&gt;</v>
      </c>
      <c r="B16963" t="s">
        <v>1256</v>
      </c>
    </row>
    <row r="16964" spans="1:8" x14ac:dyDescent="0.25">
      <c r="A16964" t="str">
        <f>"&lt;restock&gt;" &amp;$F$16961&amp;"&lt;/restock&gt;"</f>
        <v>&lt;restock&gt;1800&lt;/restock&gt;</v>
      </c>
      <c r="B16964" t="s">
        <v>1256</v>
      </c>
    </row>
    <row r="16965" spans="1:8" x14ac:dyDescent="0.25">
      <c r="A16965" t="str">
        <f>"&lt;min&gt;" &amp;$G$16961&amp;"&lt;/min&gt;"</f>
        <v>&lt;min&gt;2&lt;/min&gt;</v>
      </c>
      <c r="B16965" t="s">
        <v>1256</v>
      </c>
    </row>
    <row r="16966" spans="1:8" x14ac:dyDescent="0.25">
      <c r="A16966" t="s">
        <v>16</v>
      </c>
      <c r="B16966" t="s">
        <v>1256</v>
      </c>
    </row>
    <row r="16967" spans="1:8" x14ac:dyDescent="0.25">
      <c r="A16967" t="s">
        <v>17</v>
      </c>
      <c r="B16967" t="s">
        <v>1256</v>
      </c>
    </row>
    <row r="16968" spans="1:8" x14ac:dyDescent="0.25">
      <c r="A16968" t="s">
        <v>18</v>
      </c>
      <c r="B16968" t="s">
        <v>1256</v>
      </c>
    </row>
    <row r="16969" spans="1:8" x14ac:dyDescent="0.25">
      <c r="A16969" t="str">
        <f xml:space="preserve"> $H$16961</f>
        <v>&lt;flags count_in_cargo="0" count_in_hoarder="0" count_in_map="1" count_in_player="0" crafted="0" deloot="0"/&gt;</v>
      </c>
      <c r="B16969" t="s">
        <v>1256</v>
      </c>
    </row>
    <row r="16970" spans="1:8" x14ac:dyDescent="0.25">
      <c r="A16970" t="str">
        <f>"&lt;category name=" &amp;"""" &amp;$C$16961&amp;"""/&gt;"</f>
        <v>&lt;category name="clothes"/&gt;</v>
      </c>
      <c r="B16970" t="s">
        <v>1256</v>
      </c>
    </row>
    <row r="16971" spans="1:8" x14ac:dyDescent="0.25">
      <c r="A16971" t="s">
        <v>29</v>
      </c>
      <c r="B16971" t="s">
        <v>1256</v>
      </c>
    </row>
    <row r="16972" spans="1:8" x14ac:dyDescent="0.25">
      <c r="A16972" t="s">
        <v>31</v>
      </c>
      <c r="B16972" t="s">
        <v>1256</v>
      </c>
    </row>
    <row r="16973" spans="1:8" x14ac:dyDescent="0.25">
      <c r="A16973" t="s">
        <v>307</v>
      </c>
      <c r="B16973" t="s">
        <v>1256</v>
      </c>
    </row>
    <row r="16974" spans="1:8" x14ac:dyDescent="0.25">
      <c r="A16974" t="s">
        <v>22</v>
      </c>
      <c r="B16974" t="s">
        <v>1256</v>
      </c>
    </row>
    <row r="16975" spans="1:8" x14ac:dyDescent="0.25">
      <c r="A16975" t="s">
        <v>32</v>
      </c>
      <c r="B16975" t="s">
        <v>1257</v>
      </c>
      <c r="C16975" t="s">
        <v>403</v>
      </c>
      <c r="D16975">
        <v>5</v>
      </c>
      <c r="E16975">
        <v>7200</v>
      </c>
      <c r="F16975">
        <v>1800</v>
      </c>
      <c r="G16975">
        <v>2</v>
      </c>
      <c r="H16975" t="s">
        <v>19</v>
      </c>
    </row>
    <row r="16976" spans="1:8" x14ac:dyDescent="0.25">
      <c r="A16976" t="str">
        <f>"&lt;nominal&gt;" &amp;$D$16975&amp;"&lt;/nominal&gt;"</f>
        <v>&lt;nominal&gt;5&lt;/nominal&gt;</v>
      </c>
      <c r="B16976" t="s">
        <v>1257</v>
      </c>
    </row>
    <row r="16977" spans="1:8" x14ac:dyDescent="0.25">
      <c r="A16977" t="str">
        <f>"&lt;lifetime&gt;" &amp;$E$16975&amp;"&lt;/lifetime&gt;"</f>
        <v>&lt;lifetime&gt;7200&lt;/lifetime&gt;</v>
      </c>
      <c r="B16977" t="s">
        <v>1257</v>
      </c>
    </row>
    <row r="16978" spans="1:8" x14ac:dyDescent="0.25">
      <c r="A16978" t="str">
        <f>"&lt;restock&gt;" &amp;$F$16975&amp;"&lt;/restock&gt;"</f>
        <v>&lt;restock&gt;1800&lt;/restock&gt;</v>
      </c>
      <c r="B16978" t="s">
        <v>1257</v>
      </c>
    </row>
    <row r="16979" spans="1:8" x14ac:dyDescent="0.25">
      <c r="A16979" t="str">
        <f>"&lt;min&gt;" &amp;$G$16975&amp;"&lt;/min&gt;"</f>
        <v>&lt;min&gt;2&lt;/min&gt;</v>
      </c>
      <c r="B16979" t="s">
        <v>1257</v>
      </c>
    </row>
    <row r="16980" spans="1:8" x14ac:dyDescent="0.25">
      <c r="A16980" t="s">
        <v>16</v>
      </c>
      <c r="B16980" t="s">
        <v>1257</v>
      </c>
    </row>
    <row r="16981" spans="1:8" x14ac:dyDescent="0.25">
      <c r="A16981" t="s">
        <v>17</v>
      </c>
      <c r="B16981" t="s">
        <v>1257</v>
      </c>
    </row>
    <row r="16982" spans="1:8" x14ac:dyDescent="0.25">
      <c r="A16982" t="s">
        <v>18</v>
      </c>
      <c r="B16982" t="s">
        <v>1257</v>
      </c>
    </row>
    <row r="16983" spans="1:8" x14ac:dyDescent="0.25">
      <c r="A16983" t="str">
        <f xml:space="preserve"> $H$16975</f>
        <v>&lt;flags count_in_cargo="0" count_in_hoarder="0" count_in_map="1" count_in_player="0" crafted="0" deloot="0"/&gt;</v>
      </c>
      <c r="B16983" t="s">
        <v>1257</v>
      </c>
    </row>
    <row r="16984" spans="1:8" x14ac:dyDescent="0.25">
      <c r="A16984" t="str">
        <f>"&lt;category name=" &amp;"""" &amp;$C$16975&amp;"""/&gt;"</f>
        <v>&lt;category name="clothes"/&gt;</v>
      </c>
      <c r="B16984" t="s">
        <v>1257</v>
      </c>
    </row>
    <row r="16985" spans="1:8" x14ac:dyDescent="0.25">
      <c r="A16985" t="s">
        <v>29</v>
      </c>
      <c r="B16985" t="s">
        <v>1257</v>
      </c>
    </row>
    <row r="16986" spans="1:8" x14ac:dyDescent="0.25">
      <c r="A16986" t="s">
        <v>31</v>
      </c>
      <c r="B16986" t="s">
        <v>1257</v>
      </c>
    </row>
    <row r="16987" spans="1:8" x14ac:dyDescent="0.25">
      <c r="A16987" t="s">
        <v>307</v>
      </c>
      <c r="B16987" t="s">
        <v>1257</v>
      </c>
    </row>
    <row r="16988" spans="1:8" x14ac:dyDescent="0.25">
      <c r="A16988" t="s">
        <v>22</v>
      </c>
      <c r="B16988" t="s">
        <v>1257</v>
      </c>
    </row>
    <row r="16989" spans="1:8" x14ac:dyDescent="0.25">
      <c r="A16989" t="s">
        <v>33</v>
      </c>
      <c r="B16989" t="s">
        <v>1258</v>
      </c>
      <c r="C16989" t="s">
        <v>403</v>
      </c>
      <c r="D16989">
        <v>5</v>
      </c>
      <c r="E16989">
        <v>7200</v>
      </c>
      <c r="F16989">
        <v>1800</v>
      </c>
      <c r="G16989">
        <v>2</v>
      </c>
      <c r="H16989" t="s">
        <v>19</v>
      </c>
    </row>
    <row r="16990" spans="1:8" x14ac:dyDescent="0.25">
      <c r="A16990" t="str">
        <f>"&lt;nominal&gt;" &amp;$D$16989&amp;"&lt;/nominal&gt;"</f>
        <v>&lt;nominal&gt;5&lt;/nominal&gt;</v>
      </c>
      <c r="B16990" t="s">
        <v>1258</v>
      </c>
    </row>
    <row r="16991" spans="1:8" x14ac:dyDescent="0.25">
      <c r="A16991" t="str">
        <f>"&lt;lifetime&gt;" &amp;$E$16989&amp;"&lt;/lifetime&gt;"</f>
        <v>&lt;lifetime&gt;7200&lt;/lifetime&gt;</v>
      </c>
      <c r="B16991" t="s">
        <v>1258</v>
      </c>
    </row>
    <row r="16992" spans="1:8" x14ac:dyDescent="0.25">
      <c r="A16992" t="str">
        <f>"&lt;restock&gt;" &amp;$F$16989&amp;"&lt;/restock&gt;"</f>
        <v>&lt;restock&gt;1800&lt;/restock&gt;</v>
      </c>
      <c r="B16992" t="s">
        <v>1258</v>
      </c>
    </row>
    <row r="16993" spans="1:8" x14ac:dyDescent="0.25">
      <c r="A16993" t="str">
        <f>"&lt;min&gt;" &amp;$G$16989&amp;"&lt;/min&gt;"</f>
        <v>&lt;min&gt;2&lt;/min&gt;</v>
      </c>
      <c r="B16993" t="s">
        <v>1258</v>
      </c>
    </row>
    <row r="16994" spans="1:8" x14ac:dyDescent="0.25">
      <c r="A16994" t="s">
        <v>16</v>
      </c>
      <c r="B16994" t="s">
        <v>1258</v>
      </c>
    </row>
    <row r="16995" spans="1:8" x14ac:dyDescent="0.25">
      <c r="A16995" t="s">
        <v>17</v>
      </c>
      <c r="B16995" t="s">
        <v>1258</v>
      </c>
    </row>
    <row r="16996" spans="1:8" x14ac:dyDescent="0.25">
      <c r="A16996" t="s">
        <v>18</v>
      </c>
      <c r="B16996" t="s">
        <v>1258</v>
      </c>
    </row>
    <row r="16997" spans="1:8" x14ac:dyDescent="0.25">
      <c r="A16997" t="str">
        <f xml:space="preserve"> $H$16989</f>
        <v>&lt;flags count_in_cargo="0" count_in_hoarder="0" count_in_map="1" count_in_player="0" crafted="0" deloot="0"/&gt;</v>
      </c>
      <c r="B16997" t="s">
        <v>1258</v>
      </c>
    </row>
    <row r="16998" spans="1:8" x14ac:dyDescent="0.25">
      <c r="A16998" t="str">
        <f>"&lt;category name=" &amp;"""" &amp;$C$16989&amp;"""/&gt;"</f>
        <v>&lt;category name="clothes"/&gt;</v>
      </c>
      <c r="B16998" t="s">
        <v>1258</v>
      </c>
    </row>
    <row r="16999" spans="1:8" x14ac:dyDescent="0.25">
      <c r="A16999" t="s">
        <v>29</v>
      </c>
      <c r="B16999" t="s">
        <v>1258</v>
      </c>
    </row>
    <row r="17000" spans="1:8" x14ac:dyDescent="0.25">
      <c r="A17000" t="s">
        <v>31</v>
      </c>
      <c r="B17000" t="s">
        <v>1258</v>
      </c>
    </row>
    <row r="17001" spans="1:8" x14ac:dyDescent="0.25">
      <c r="A17001" t="s">
        <v>307</v>
      </c>
      <c r="B17001" t="s">
        <v>1258</v>
      </c>
    </row>
    <row r="17002" spans="1:8" x14ac:dyDescent="0.25">
      <c r="A17002" t="s">
        <v>22</v>
      </c>
      <c r="B17002" t="s">
        <v>1258</v>
      </c>
    </row>
    <row r="17003" spans="1:8" x14ac:dyDescent="0.25">
      <c r="A17003" t="s">
        <v>34</v>
      </c>
      <c r="B17003" t="s">
        <v>1259</v>
      </c>
      <c r="C17003" t="s">
        <v>403</v>
      </c>
      <c r="D17003">
        <v>5</v>
      </c>
      <c r="E17003">
        <v>7200</v>
      </c>
      <c r="F17003">
        <v>1800</v>
      </c>
      <c r="G17003">
        <v>2</v>
      </c>
      <c r="H17003" t="s">
        <v>19</v>
      </c>
    </row>
    <row r="17004" spans="1:8" x14ac:dyDescent="0.25">
      <c r="A17004" t="str">
        <f>"&lt;nominal&gt;" &amp;$D$17003&amp;"&lt;/nominal&gt;"</f>
        <v>&lt;nominal&gt;5&lt;/nominal&gt;</v>
      </c>
      <c r="B17004" t="s">
        <v>1259</v>
      </c>
    </row>
    <row r="17005" spans="1:8" x14ac:dyDescent="0.25">
      <c r="A17005" t="str">
        <f>"&lt;lifetime&gt;" &amp;$E$17003&amp;"&lt;/lifetime&gt;"</f>
        <v>&lt;lifetime&gt;7200&lt;/lifetime&gt;</v>
      </c>
      <c r="B17005" t="s">
        <v>1259</v>
      </c>
    </row>
    <row r="17006" spans="1:8" x14ac:dyDescent="0.25">
      <c r="A17006" t="str">
        <f>"&lt;restock&gt;" &amp;$F$17003&amp;"&lt;/restock&gt;"</f>
        <v>&lt;restock&gt;1800&lt;/restock&gt;</v>
      </c>
      <c r="B17006" t="s">
        <v>1259</v>
      </c>
    </row>
    <row r="17007" spans="1:8" x14ac:dyDescent="0.25">
      <c r="A17007" t="str">
        <f>"&lt;min&gt;" &amp;$G$17003&amp;"&lt;/min&gt;"</f>
        <v>&lt;min&gt;2&lt;/min&gt;</v>
      </c>
      <c r="B17007" t="s">
        <v>1259</v>
      </c>
    </row>
    <row r="17008" spans="1:8" x14ac:dyDescent="0.25">
      <c r="A17008" t="s">
        <v>16</v>
      </c>
      <c r="B17008" t="s">
        <v>1259</v>
      </c>
    </row>
    <row r="17009" spans="1:8" x14ac:dyDescent="0.25">
      <c r="A17009" t="s">
        <v>17</v>
      </c>
      <c r="B17009" t="s">
        <v>1259</v>
      </c>
    </row>
    <row r="17010" spans="1:8" x14ac:dyDescent="0.25">
      <c r="A17010" t="s">
        <v>18</v>
      </c>
      <c r="B17010" t="s">
        <v>1259</v>
      </c>
    </row>
    <row r="17011" spans="1:8" x14ac:dyDescent="0.25">
      <c r="A17011" t="str">
        <f xml:space="preserve"> $H$17003</f>
        <v>&lt;flags count_in_cargo="0" count_in_hoarder="0" count_in_map="1" count_in_player="0" crafted="0" deloot="0"/&gt;</v>
      </c>
      <c r="B17011" t="s">
        <v>1259</v>
      </c>
    </row>
    <row r="17012" spans="1:8" x14ac:dyDescent="0.25">
      <c r="A17012" t="str">
        <f>"&lt;category name=" &amp;"""" &amp;$C$17003&amp;"""/&gt;"</f>
        <v>&lt;category name="clothes"/&gt;</v>
      </c>
      <c r="B17012" t="s">
        <v>1259</v>
      </c>
    </row>
    <row r="17013" spans="1:8" x14ac:dyDescent="0.25">
      <c r="A17013" t="s">
        <v>29</v>
      </c>
      <c r="B17013" t="s">
        <v>1259</v>
      </c>
    </row>
    <row r="17014" spans="1:8" x14ac:dyDescent="0.25">
      <c r="A17014" t="s">
        <v>31</v>
      </c>
      <c r="B17014" t="s">
        <v>1259</v>
      </c>
    </row>
    <row r="17015" spans="1:8" x14ac:dyDescent="0.25">
      <c r="A17015" t="s">
        <v>307</v>
      </c>
      <c r="B17015" t="s">
        <v>1259</v>
      </c>
    </row>
    <row r="17016" spans="1:8" x14ac:dyDescent="0.25">
      <c r="A17016" t="s">
        <v>22</v>
      </c>
      <c r="B17016" t="s">
        <v>1259</v>
      </c>
    </row>
    <row r="17017" spans="1:8" x14ac:dyDescent="0.25">
      <c r="A17017" t="s">
        <v>35</v>
      </c>
      <c r="B17017" t="s">
        <v>1260</v>
      </c>
      <c r="C17017" t="s">
        <v>403</v>
      </c>
      <c r="D17017">
        <v>5</v>
      </c>
      <c r="E17017">
        <v>7200</v>
      </c>
      <c r="F17017">
        <v>1800</v>
      </c>
      <c r="G17017">
        <v>2</v>
      </c>
      <c r="H17017" t="s">
        <v>19</v>
      </c>
    </row>
    <row r="17018" spans="1:8" x14ac:dyDescent="0.25">
      <c r="A17018" t="str">
        <f>"&lt;nominal&gt;" &amp;$D$17017&amp;"&lt;/nominal&gt;"</f>
        <v>&lt;nominal&gt;5&lt;/nominal&gt;</v>
      </c>
      <c r="B17018" t="s">
        <v>1260</v>
      </c>
    </row>
    <row r="17019" spans="1:8" x14ac:dyDescent="0.25">
      <c r="A17019" t="str">
        <f>"&lt;lifetime&gt;" &amp;$E$17017&amp;"&lt;/lifetime&gt;"</f>
        <v>&lt;lifetime&gt;7200&lt;/lifetime&gt;</v>
      </c>
      <c r="B17019" t="s">
        <v>1260</v>
      </c>
    </row>
    <row r="17020" spans="1:8" x14ac:dyDescent="0.25">
      <c r="A17020" t="str">
        <f>"&lt;restock&gt;" &amp;$F$17017&amp;"&lt;/restock&gt;"</f>
        <v>&lt;restock&gt;1800&lt;/restock&gt;</v>
      </c>
      <c r="B17020" t="s">
        <v>1260</v>
      </c>
    </row>
    <row r="17021" spans="1:8" x14ac:dyDescent="0.25">
      <c r="A17021" t="str">
        <f>"&lt;min&gt;" &amp;$G$17017&amp;"&lt;/min&gt;"</f>
        <v>&lt;min&gt;2&lt;/min&gt;</v>
      </c>
      <c r="B17021" t="s">
        <v>1260</v>
      </c>
    </row>
    <row r="17022" spans="1:8" x14ac:dyDescent="0.25">
      <c r="A17022" t="s">
        <v>16</v>
      </c>
      <c r="B17022" t="s">
        <v>1260</v>
      </c>
    </row>
    <row r="17023" spans="1:8" x14ac:dyDescent="0.25">
      <c r="A17023" t="s">
        <v>17</v>
      </c>
      <c r="B17023" t="s">
        <v>1260</v>
      </c>
    </row>
    <row r="17024" spans="1:8" x14ac:dyDescent="0.25">
      <c r="A17024" t="s">
        <v>18</v>
      </c>
      <c r="B17024" t="s">
        <v>1260</v>
      </c>
    </row>
    <row r="17025" spans="1:8" x14ac:dyDescent="0.25">
      <c r="A17025" t="str">
        <f xml:space="preserve"> $H$17017</f>
        <v>&lt;flags count_in_cargo="0" count_in_hoarder="0" count_in_map="1" count_in_player="0" crafted="0" deloot="0"/&gt;</v>
      </c>
      <c r="B17025" t="s">
        <v>1260</v>
      </c>
    </row>
    <row r="17026" spans="1:8" x14ac:dyDescent="0.25">
      <c r="A17026" t="str">
        <f>"&lt;category name=" &amp;"""" &amp;$C$17017&amp;"""/&gt;"</f>
        <v>&lt;category name="clothes"/&gt;</v>
      </c>
      <c r="B17026" t="s">
        <v>1260</v>
      </c>
    </row>
    <row r="17027" spans="1:8" x14ac:dyDescent="0.25">
      <c r="A17027" t="s">
        <v>29</v>
      </c>
      <c r="B17027" t="s">
        <v>1260</v>
      </c>
    </row>
    <row r="17028" spans="1:8" x14ac:dyDescent="0.25">
      <c r="A17028" t="s">
        <v>31</v>
      </c>
      <c r="B17028" t="s">
        <v>1260</v>
      </c>
    </row>
    <row r="17029" spans="1:8" x14ac:dyDescent="0.25">
      <c r="A17029" t="s">
        <v>307</v>
      </c>
      <c r="B17029" t="s">
        <v>1260</v>
      </c>
    </row>
    <row r="17030" spans="1:8" x14ac:dyDescent="0.25">
      <c r="A17030" t="s">
        <v>22</v>
      </c>
      <c r="B17030" t="s">
        <v>1260</v>
      </c>
    </row>
    <row r="17031" spans="1:8" x14ac:dyDescent="0.25">
      <c r="A17031" t="s">
        <v>36</v>
      </c>
      <c r="B17031" t="s">
        <v>1261</v>
      </c>
      <c r="C17031" t="s">
        <v>403</v>
      </c>
      <c r="D17031">
        <v>5</v>
      </c>
      <c r="E17031">
        <v>7200</v>
      </c>
      <c r="F17031">
        <v>1800</v>
      </c>
      <c r="G17031">
        <v>2</v>
      </c>
      <c r="H17031" t="s">
        <v>19</v>
      </c>
    </row>
    <row r="17032" spans="1:8" x14ac:dyDescent="0.25">
      <c r="A17032" t="str">
        <f>"&lt;nominal&gt;" &amp;$D$17031&amp;"&lt;/nominal&gt;"</f>
        <v>&lt;nominal&gt;5&lt;/nominal&gt;</v>
      </c>
      <c r="B17032" t="s">
        <v>1261</v>
      </c>
    </row>
    <row r="17033" spans="1:8" x14ac:dyDescent="0.25">
      <c r="A17033" t="str">
        <f>"&lt;lifetime&gt;" &amp;$E$17031&amp;"&lt;/lifetime&gt;"</f>
        <v>&lt;lifetime&gt;7200&lt;/lifetime&gt;</v>
      </c>
      <c r="B17033" t="s">
        <v>1261</v>
      </c>
    </row>
    <row r="17034" spans="1:8" x14ac:dyDescent="0.25">
      <c r="A17034" t="str">
        <f>"&lt;restock&gt;" &amp;$F$17031&amp;"&lt;/restock&gt;"</f>
        <v>&lt;restock&gt;1800&lt;/restock&gt;</v>
      </c>
      <c r="B17034" t="s">
        <v>1261</v>
      </c>
    </row>
    <row r="17035" spans="1:8" x14ac:dyDescent="0.25">
      <c r="A17035" t="str">
        <f>"&lt;min&gt;" &amp;$G$17031&amp;"&lt;/min&gt;"</f>
        <v>&lt;min&gt;2&lt;/min&gt;</v>
      </c>
      <c r="B17035" t="s">
        <v>1261</v>
      </c>
    </row>
    <row r="17036" spans="1:8" x14ac:dyDescent="0.25">
      <c r="A17036" t="s">
        <v>16</v>
      </c>
      <c r="B17036" t="s">
        <v>1261</v>
      </c>
    </row>
    <row r="17037" spans="1:8" x14ac:dyDescent="0.25">
      <c r="A17037" t="s">
        <v>17</v>
      </c>
      <c r="B17037" t="s">
        <v>1261</v>
      </c>
    </row>
    <row r="17038" spans="1:8" x14ac:dyDescent="0.25">
      <c r="A17038" t="s">
        <v>18</v>
      </c>
      <c r="B17038" t="s">
        <v>1261</v>
      </c>
    </row>
    <row r="17039" spans="1:8" x14ac:dyDescent="0.25">
      <c r="A17039" t="str">
        <f xml:space="preserve"> $H$17031</f>
        <v>&lt;flags count_in_cargo="0" count_in_hoarder="0" count_in_map="1" count_in_player="0" crafted="0" deloot="0"/&gt;</v>
      </c>
      <c r="B17039" t="s">
        <v>1261</v>
      </c>
    </row>
    <row r="17040" spans="1:8" x14ac:dyDescent="0.25">
      <c r="A17040" t="str">
        <f>"&lt;category name=" &amp;"""" &amp;$C$17031&amp;"""/&gt;"</f>
        <v>&lt;category name="clothes"/&gt;</v>
      </c>
      <c r="B17040" t="s">
        <v>1261</v>
      </c>
    </row>
    <row r="17041" spans="1:8" x14ac:dyDescent="0.25">
      <c r="A17041" t="s">
        <v>29</v>
      </c>
      <c r="B17041" t="s">
        <v>1261</v>
      </c>
    </row>
    <row r="17042" spans="1:8" x14ac:dyDescent="0.25">
      <c r="A17042" t="s">
        <v>31</v>
      </c>
      <c r="B17042" t="s">
        <v>1261</v>
      </c>
    </row>
    <row r="17043" spans="1:8" x14ac:dyDescent="0.25">
      <c r="A17043" t="s">
        <v>307</v>
      </c>
      <c r="B17043" t="s">
        <v>1261</v>
      </c>
    </row>
    <row r="17044" spans="1:8" x14ac:dyDescent="0.25">
      <c r="A17044" t="s">
        <v>22</v>
      </c>
      <c r="B17044" t="s">
        <v>1261</v>
      </c>
    </row>
    <row r="17045" spans="1:8" x14ac:dyDescent="0.25">
      <c r="B17045" t="s">
        <v>1261</v>
      </c>
    </row>
    <row r="17046" spans="1:8" x14ac:dyDescent="0.25">
      <c r="B17046" t="s">
        <v>1261</v>
      </c>
    </row>
    <row r="17047" spans="1:8" x14ac:dyDescent="0.25">
      <c r="B17047" t="s">
        <v>1261</v>
      </c>
    </row>
    <row r="17048" spans="1:8" x14ac:dyDescent="0.25">
      <c r="A17048" t="s">
        <v>37</v>
      </c>
      <c r="B17048" t="s">
        <v>3638</v>
      </c>
      <c r="C17048" t="s">
        <v>426</v>
      </c>
      <c r="D17048">
        <v>20</v>
      </c>
      <c r="E17048">
        <v>7200</v>
      </c>
      <c r="F17048">
        <v>0</v>
      </c>
      <c r="G17048">
        <v>10</v>
      </c>
      <c r="H17048" t="s">
        <v>38</v>
      </c>
    </row>
    <row r="17049" spans="1:8" x14ac:dyDescent="0.25">
      <c r="A17049" t="str">
        <f>"&lt;nominal&gt;" &amp;$D$17048&amp;"&lt;/nominal&gt;"</f>
        <v>&lt;nominal&gt;20&lt;/nominal&gt;</v>
      </c>
      <c r="B17049" t="s">
        <v>3638</v>
      </c>
    </row>
    <row r="17050" spans="1:8" x14ac:dyDescent="0.25">
      <c r="A17050" t="str">
        <f>"&lt;lifetime&gt;" &amp;$E$17048&amp;"&lt;/lifetime&gt;"</f>
        <v>&lt;lifetime&gt;7200&lt;/lifetime&gt;</v>
      </c>
      <c r="B17050" t="s">
        <v>3638</v>
      </c>
    </row>
    <row r="17051" spans="1:8" x14ac:dyDescent="0.25">
      <c r="A17051" t="str">
        <f>"&lt;restock&gt;" &amp;$F$17048&amp;"&lt;/restock&gt;"</f>
        <v>&lt;restock&gt;0&lt;/restock&gt;</v>
      </c>
      <c r="B17051" t="s">
        <v>3638</v>
      </c>
    </row>
    <row r="17052" spans="1:8" x14ac:dyDescent="0.25">
      <c r="A17052" t="str">
        <f>"&lt;min&gt;" &amp;$G$17048&amp;"&lt;/min&gt;"</f>
        <v>&lt;min&gt;10&lt;/min&gt;</v>
      </c>
      <c r="B17052" t="s">
        <v>3638</v>
      </c>
    </row>
    <row r="17053" spans="1:8" x14ac:dyDescent="0.25">
      <c r="A17053" t="s">
        <v>16</v>
      </c>
      <c r="B17053" t="s">
        <v>3638</v>
      </c>
    </row>
    <row r="17054" spans="1:8" x14ac:dyDescent="0.25">
      <c r="A17054" t="s">
        <v>17</v>
      </c>
      <c r="B17054" t="s">
        <v>3638</v>
      </c>
    </row>
    <row r="17055" spans="1:8" x14ac:dyDescent="0.25">
      <c r="A17055" t="s">
        <v>18</v>
      </c>
      <c r="B17055" t="s">
        <v>3638</v>
      </c>
    </row>
    <row r="17056" spans="1:8" x14ac:dyDescent="0.25">
      <c r="A17056" t="str">
        <f xml:space="preserve"> $H$17048</f>
        <v>&lt;flags count_in_cargo="0" count_in_hoarder="0" count_in_map="1" count_in_player="0" crafted="0" deloot="1"/&gt;</v>
      </c>
      <c r="B17056" t="s">
        <v>3638</v>
      </c>
    </row>
    <row r="17057" spans="1:8" x14ac:dyDescent="0.25">
      <c r="A17057" t="str">
        <f>"&lt;category name=" &amp;"""" &amp;$C$17048&amp;"""/&gt;"</f>
        <v>&lt;category name="tools"/&gt;</v>
      </c>
      <c r="B17057" t="s">
        <v>3638</v>
      </c>
    </row>
    <row r="17058" spans="1:8" x14ac:dyDescent="0.25">
      <c r="A17058" t="s">
        <v>20</v>
      </c>
      <c r="B17058" t="s">
        <v>3638</v>
      </c>
    </row>
    <row r="17059" spans="1:8" x14ac:dyDescent="0.25">
      <c r="A17059" t="s">
        <v>39</v>
      </c>
      <c r="B17059" t="s">
        <v>3638</v>
      </c>
    </row>
    <row r="17060" spans="1:8" x14ac:dyDescent="0.25">
      <c r="A17060" t="s">
        <v>40</v>
      </c>
      <c r="B17060" t="s">
        <v>3638</v>
      </c>
    </row>
    <row r="17061" spans="1:8" x14ac:dyDescent="0.25">
      <c r="A17061" t="s">
        <v>22</v>
      </c>
      <c r="B17061" t="s">
        <v>3638</v>
      </c>
    </row>
    <row r="17062" spans="1:8" x14ac:dyDescent="0.25">
      <c r="A17062" t="s">
        <v>41</v>
      </c>
      <c r="B17062" t="s">
        <v>3639</v>
      </c>
      <c r="C17062" t="s">
        <v>426</v>
      </c>
      <c r="D17062">
        <v>20</v>
      </c>
      <c r="E17062">
        <v>7200</v>
      </c>
      <c r="F17062">
        <v>0</v>
      </c>
      <c r="G17062">
        <v>10</v>
      </c>
      <c r="H17062" t="s">
        <v>38</v>
      </c>
    </row>
    <row r="17063" spans="1:8" x14ac:dyDescent="0.25">
      <c r="A17063" t="str">
        <f>"&lt;nominal&gt;" &amp;$D$17062&amp;"&lt;/nominal&gt;"</f>
        <v>&lt;nominal&gt;20&lt;/nominal&gt;</v>
      </c>
      <c r="B17063" t="s">
        <v>3639</v>
      </c>
    </row>
    <row r="17064" spans="1:8" x14ac:dyDescent="0.25">
      <c r="A17064" t="str">
        <f>"&lt;lifetime&gt;" &amp;$E$17062&amp;"&lt;/lifetime&gt;"</f>
        <v>&lt;lifetime&gt;7200&lt;/lifetime&gt;</v>
      </c>
      <c r="B17064" t="s">
        <v>3639</v>
      </c>
    </row>
    <row r="17065" spans="1:8" x14ac:dyDescent="0.25">
      <c r="A17065" t="str">
        <f>"&lt;restock&gt;" &amp;$F$17062&amp;"&lt;/restock&gt;"</f>
        <v>&lt;restock&gt;0&lt;/restock&gt;</v>
      </c>
      <c r="B17065" t="s">
        <v>3639</v>
      </c>
    </row>
    <row r="17066" spans="1:8" x14ac:dyDescent="0.25">
      <c r="A17066" t="str">
        <f>"&lt;min&gt;" &amp;$G$17062&amp;"&lt;/min&gt;"</f>
        <v>&lt;min&gt;10&lt;/min&gt;</v>
      </c>
      <c r="B17066" t="s">
        <v>3639</v>
      </c>
    </row>
    <row r="17067" spans="1:8" x14ac:dyDescent="0.25">
      <c r="A17067" t="s">
        <v>16</v>
      </c>
      <c r="B17067" t="s">
        <v>3639</v>
      </c>
    </row>
    <row r="17068" spans="1:8" x14ac:dyDescent="0.25">
      <c r="A17068" t="s">
        <v>17</v>
      </c>
      <c r="B17068" t="s">
        <v>3639</v>
      </c>
    </row>
    <row r="17069" spans="1:8" x14ac:dyDescent="0.25">
      <c r="A17069" t="s">
        <v>18</v>
      </c>
      <c r="B17069" t="s">
        <v>3639</v>
      </c>
    </row>
    <row r="17070" spans="1:8" x14ac:dyDescent="0.25">
      <c r="A17070" t="str">
        <f xml:space="preserve"> $H$17062</f>
        <v>&lt;flags count_in_cargo="0" count_in_hoarder="0" count_in_map="1" count_in_player="0" crafted="0" deloot="1"/&gt;</v>
      </c>
      <c r="B17070" t="s">
        <v>3639</v>
      </c>
    </row>
    <row r="17071" spans="1:8" x14ac:dyDescent="0.25">
      <c r="A17071" t="str">
        <f>"&lt;category name=" &amp;"""" &amp;$C$17062&amp;"""/&gt;"</f>
        <v>&lt;category name="tools"/&gt;</v>
      </c>
      <c r="B17071" t="s">
        <v>3639</v>
      </c>
    </row>
    <row r="17072" spans="1:8" x14ac:dyDescent="0.25">
      <c r="A17072" t="s">
        <v>20</v>
      </c>
      <c r="B17072" t="s">
        <v>3639</v>
      </c>
    </row>
    <row r="17073" spans="1:8" x14ac:dyDescent="0.25">
      <c r="A17073" t="s">
        <v>39</v>
      </c>
      <c r="B17073" t="s">
        <v>3639</v>
      </c>
    </row>
    <row r="17074" spans="1:8" x14ac:dyDescent="0.25">
      <c r="A17074" t="s">
        <v>40</v>
      </c>
      <c r="B17074" t="s">
        <v>3639</v>
      </c>
    </row>
    <row r="17075" spans="1:8" x14ac:dyDescent="0.25">
      <c r="A17075" t="s">
        <v>22</v>
      </c>
      <c r="B17075" t="s">
        <v>3639</v>
      </c>
    </row>
    <row r="17076" spans="1:8" x14ac:dyDescent="0.25">
      <c r="A17076" t="s">
        <v>42</v>
      </c>
      <c r="B17076" t="s">
        <v>3640</v>
      </c>
      <c r="C17076" t="s">
        <v>426</v>
      </c>
      <c r="D17076">
        <v>20</v>
      </c>
      <c r="E17076">
        <v>7200</v>
      </c>
      <c r="F17076">
        <v>0</v>
      </c>
      <c r="G17076">
        <v>10</v>
      </c>
      <c r="H17076" t="s">
        <v>38</v>
      </c>
    </row>
    <row r="17077" spans="1:8" x14ac:dyDescent="0.25">
      <c r="A17077" t="str">
        <f>"&lt;nominal&gt;" &amp;$D$17076&amp;"&lt;/nominal&gt;"</f>
        <v>&lt;nominal&gt;20&lt;/nominal&gt;</v>
      </c>
      <c r="B17077" t="s">
        <v>3640</v>
      </c>
    </row>
    <row r="17078" spans="1:8" x14ac:dyDescent="0.25">
      <c r="A17078" t="str">
        <f>"&lt;lifetime&gt;" &amp;$E$17076&amp;"&lt;/lifetime&gt;"</f>
        <v>&lt;lifetime&gt;7200&lt;/lifetime&gt;</v>
      </c>
      <c r="B17078" t="s">
        <v>3640</v>
      </c>
    </row>
    <row r="17079" spans="1:8" x14ac:dyDescent="0.25">
      <c r="A17079" t="str">
        <f>"&lt;restock&gt;" &amp;$F$17076&amp;"&lt;/restock&gt;"</f>
        <v>&lt;restock&gt;0&lt;/restock&gt;</v>
      </c>
      <c r="B17079" t="s">
        <v>3640</v>
      </c>
    </row>
    <row r="17080" spans="1:8" x14ac:dyDescent="0.25">
      <c r="A17080" t="str">
        <f>"&lt;min&gt;" &amp;$G$17076&amp;"&lt;/min&gt;"</f>
        <v>&lt;min&gt;10&lt;/min&gt;</v>
      </c>
      <c r="B17080" t="s">
        <v>3640</v>
      </c>
    </row>
    <row r="17081" spans="1:8" x14ac:dyDescent="0.25">
      <c r="A17081" t="s">
        <v>16</v>
      </c>
      <c r="B17081" t="s">
        <v>3640</v>
      </c>
    </row>
    <row r="17082" spans="1:8" x14ac:dyDescent="0.25">
      <c r="A17082" t="s">
        <v>17</v>
      </c>
      <c r="B17082" t="s">
        <v>3640</v>
      </c>
    </row>
    <row r="17083" spans="1:8" x14ac:dyDescent="0.25">
      <c r="A17083" t="s">
        <v>18</v>
      </c>
      <c r="B17083" t="s">
        <v>3640</v>
      </c>
    </row>
    <row r="17084" spans="1:8" x14ac:dyDescent="0.25">
      <c r="A17084" t="str">
        <f xml:space="preserve"> $H$17076</f>
        <v>&lt;flags count_in_cargo="0" count_in_hoarder="0" count_in_map="1" count_in_player="0" crafted="0" deloot="1"/&gt;</v>
      </c>
      <c r="B17084" t="s">
        <v>3640</v>
      </c>
    </row>
    <row r="17085" spans="1:8" x14ac:dyDescent="0.25">
      <c r="A17085" t="str">
        <f>"&lt;category name=" &amp;"""" &amp;$C$17076&amp;"""/&gt;"</f>
        <v>&lt;category name="tools"/&gt;</v>
      </c>
      <c r="B17085" t="s">
        <v>3640</v>
      </c>
    </row>
    <row r="17086" spans="1:8" x14ac:dyDescent="0.25">
      <c r="A17086" t="s">
        <v>20</v>
      </c>
      <c r="B17086" t="s">
        <v>3640</v>
      </c>
    </row>
    <row r="17087" spans="1:8" x14ac:dyDescent="0.25">
      <c r="A17087" t="s">
        <v>39</v>
      </c>
      <c r="B17087" t="s">
        <v>3640</v>
      </c>
    </row>
    <row r="17088" spans="1:8" x14ac:dyDescent="0.25">
      <c r="A17088" t="s">
        <v>40</v>
      </c>
      <c r="B17088" t="s">
        <v>3640</v>
      </c>
    </row>
    <row r="17089" spans="1:8" x14ac:dyDescent="0.25">
      <c r="A17089" t="s">
        <v>22</v>
      </c>
      <c r="B17089" t="s">
        <v>3640</v>
      </c>
    </row>
    <row r="17090" spans="1:8" x14ac:dyDescent="0.25">
      <c r="A17090" t="s">
        <v>43</v>
      </c>
      <c r="B17090" t="s">
        <v>1262</v>
      </c>
      <c r="C17090" t="s">
        <v>426</v>
      </c>
      <c r="D17090">
        <v>5</v>
      </c>
      <c r="E17090">
        <v>7200</v>
      </c>
      <c r="F17090">
        <v>0</v>
      </c>
      <c r="G17090">
        <v>2</v>
      </c>
      <c r="H17090" t="s">
        <v>38</v>
      </c>
    </row>
    <row r="17091" spans="1:8" x14ac:dyDescent="0.25">
      <c r="A17091" t="str">
        <f>"&lt;nominal&gt;" &amp;$D$17090&amp;"&lt;/nominal&gt;"</f>
        <v>&lt;nominal&gt;5&lt;/nominal&gt;</v>
      </c>
      <c r="B17091" t="s">
        <v>1262</v>
      </c>
    </row>
    <row r="17092" spans="1:8" x14ac:dyDescent="0.25">
      <c r="A17092" t="str">
        <f>"&lt;lifetime&gt;" &amp;$E$17090&amp;"&lt;/lifetime&gt;"</f>
        <v>&lt;lifetime&gt;7200&lt;/lifetime&gt;</v>
      </c>
      <c r="B17092" t="s">
        <v>1262</v>
      </c>
    </row>
    <row r="17093" spans="1:8" x14ac:dyDescent="0.25">
      <c r="A17093" t="str">
        <f>"&lt;restock&gt;" &amp;$F$17090&amp;"&lt;/restock&gt;"</f>
        <v>&lt;restock&gt;0&lt;/restock&gt;</v>
      </c>
      <c r="B17093" t="s">
        <v>1262</v>
      </c>
    </row>
    <row r="17094" spans="1:8" x14ac:dyDescent="0.25">
      <c r="A17094" t="str">
        <f>"&lt;min&gt;" &amp;$G$17090&amp;"&lt;/min&gt;"</f>
        <v>&lt;min&gt;2&lt;/min&gt;</v>
      </c>
      <c r="B17094" t="s">
        <v>1262</v>
      </c>
    </row>
    <row r="17095" spans="1:8" x14ac:dyDescent="0.25">
      <c r="A17095" t="s">
        <v>16</v>
      </c>
      <c r="B17095" t="s">
        <v>1262</v>
      </c>
    </row>
    <row r="17096" spans="1:8" x14ac:dyDescent="0.25">
      <c r="A17096" t="s">
        <v>17</v>
      </c>
      <c r="B17096" t="s">
        <v>1262</v>
      </c>
    </row>
    <row r="17097" spans="1:8" x14ac:dyDescent="0.25">
      <c r="A17097" t="s">
        <v>18</v>
      </c>
      <c r="B17097" t="s">
        <v>1262</v>
      </c>
    </row>
    <row r="17098" spans="1:8" x14ac:dyDescent="0.25">
      <c r="A17098" t="str">
        <f xml:space="preserve"> $H$17090</f>
        <v>&lt;flags count_in_cargo="0" count_in_hoarder="0" count_in_map="1" count_in_player="0" crafted="0" deloot="1"/&gt;</v>
      </c>
      <c r="B17098" t="s">
        <v>1262</v>
      </c>
    </row>
    <row r="17099" spans="1:8" x14ac:dyDescent="0.25">
      <c r="A17099" t="str">
        <f>"&lt;category name=" &amp;"""" &amp;$C$17090&amp;"""/&gt;"</f>
        <v>&lt;category name="tools"/&gt;</v>
      </c>
      <c r="B17099" t="s">
        <v>1262</v>
      </c>
    </row>
    <row r="17100" spans="1:8" x14ac:dyDescent="0.25">
      <c r="A17100" t="s">
        <v>20</v>
      </c>
      <c r="B17100" t="s">
        <v>1262</v>
      </c>
    </row>
    <row r="17101" spans="1:8" x14ac:dyDescent="0.25">
      <c r="A17101" t="s">
        <v>39</v>
      </c>
      <c r="B17101" t="s">
        <v>1262</v>
      </c>
    </row>
    <row r="17102" spans="1:8" x14ac:dyDescent="0.25">
      <c r="A17102" t="s">
        <v>40</v>
      </c>
      <c r="B17102" t="s">
        <v>1262</v>
      </c>
    </row>
    <row r="17103" spans="1:8" x14ac:dyDescent="0.25">
      <c r="A17103" t="s">
        <v>22</v>
      </c>
      <c r="B17103" t="s">
        <v>1262</v>
      </c>
    </row>
    <row r="17104" spans="1:8" x14ac:dyDescent="0.25">
      <c r="A17104" t="s">
        <v>44</v>
      </c>
      <c r="B17104" t="s">
        <v>3641</v>
      </c>
      <c r="C17104" t="s">
        <v>426</v>
      </c>
      <c r="D17104">
        <v>20</v>
      </c>
      <c r="E17104">
        <v>7200</v>
      </c>
      <c r="F17104">
        <v>0</v>
      </c>
      <c r="G17104">
        <v>10</v>
      </c>
      <c r="H17104" t="s">
        <v>38</v>
      </c>
    </row>
    <row r="17105" spans="1:8" x14ac:dyDescent="0.25">
      <c r="A17105" t="str">
        <f>"&lt;nominal&gt;" &amp;$D$17104&amp;"&lt;/nominal&gt;"</f>
        <v>&lt;nominal&gt;20&lt;/nominal&gt;</v>
      </c>
      <c r="B17105" t="s">
        <v>3641</v>
      </c>
    </row>
    <row r="17106" spans="1:8" x14ac:dyDescent="0.25">
      <c r="A17106" t="str">
        <f>"&lt;lifetime&gt;" &amp;$E$17104&amp;"&lt;/lifetime&gt;"</f>
        <v>&lt;lifetime&gt;7200&lt;/lifetime&gt;</v>
      </c>
      <c r="B17106" t="s">
        <v>3641</v>
      </c>
    </row>
    <row r="17107" spans="1:8" x14ac:dyDescent="0.25">
      <c r="A17107" t="str">
        <f>"&lt;restock&gt;" &amp;$F$17104&amp;"&lt;/restock&gt;"</f>
        <v>&lt;restock&gt;0&lt;/restock&gt;</v>
      </c>
      <c r="B17107" t="s">
        <v>3641</v>
      </c>
    </row>
    <row r="17108" spans="1:8" x14ac:dyDescent="0.25">
      <c r="A17108" t="str">
        <f>"&lt;min&gt;" &amp;$G$17104&amp;"&lt;/min&gt;"</f>
        <v>&lt;min&gt;10&lt;/min&gt;</v>
      </c>
      <c r="B17108" t="s">
        <v>3641</v>
      </c>
    </row>
    <row r="17109" spans="1:8" x14ac:dyDescent="0.25">
      <c r="A17109" t="s">
        <v>45</v>
      </c>
      <c r="B17109" t="s">
        <v>3641</v>
      </c>
    </row>
    <row r="17110" spans="1:8" x14ac:dyDescent="0.25">
      <c r="A17110" t="s">
        <v>46</v>
      </c>
      <c r="B17110" t="s">
        <v>3641</v>
      </c>
    </row>
    <row r="17111" spans="1:8" x14ac:dyDescent="0.25">
      <c r="A17111" t="s">
        <v>18</v>
      </c>
      <c r="B17111" t="s">
        <v>3641</v>
      </c>
    </row>
    <row r="17112" spans="1:8" x14ac:dyDescent="0.25">
      <c r="A17112" t="str">
        <f xml:space="preserve"> $H$17104</f>
        <v>&lt;flags count_in_cargo="0" count_in_hoarder="0" count_in_map="1" count_in_player="0" crafted="0" deloot="1"/&gt;</v>
      </c>
      <c r="B17112" t="s">
        <v>3641</v>
      </c>
    </row>
    <row r="17113" spans="1:8" x14ac:dyDescent="0.25">
      <c r="A17113" t="str">
        <f>"&lt;category name=" &amp;"""" &amp;$C$17104&amp;"""/&gt;"</f>
        <v>&lt;category name="tools"/&gt;</v>
      </c>
      <c r="B17113" t="s">
        <v>3641</v>
      </c>
    </row>
    <row r="17114" spans="1:8" x14ac:dyDescent="0.25">
      <c r="A17114" t="s">
        <v>20</v>
      </c>
      <c r="B17114" t="s">
        <v>3641</v>
      </c>
    </row>
    <row r="17115" spans="1:8" x14ac:dyDescent="0.25">
      <c r="A17115" t="s">
        <v>39</v>
      </c>
      <c r="B17115" t="s">
        <v>3641</v>
      </c>
    </row>
    <row r="17116" spans="1:8" x14ac:dyDescent="0.25">
      <c r="A17116" t="s">
        <v>40</v>
      </c>
      <c r="B17116" t="s">
        <v>3641</v>
      </c>
    </row>
    <row r="17117" spans="1:8" x14ac:dyDescent="0.25">
      <c r="A17117" t="s">
        <v>22</v>
      </c>
      <c r="B17117" t="s">
        <v>3641</v>
      </c>
    </row>
    <row r="17118" spans="1:8" x14ac:dyDescent="0.25">
      <c r="A17118" t="s">
        <v>47</v>
      </c>
      <c r="B17118" t="s">
        <v>3642</v>
      </c>
      <c r="C17118" t="s">
        <v>426</v>
      </c>
      <c r="D17118">
        <v>20</v>
      </c>
      <c r="E17118">
        <v>7200</v>
      </c>
      <c r="F17118">
        <v>0</v>
      </c>
      <c r="G17118">
        <v>10</v>
      </c>
      <c r="H17118" t="s">
        <v>38</v>
      </c>
    </row>
    <row r="17119" spans="1:8" x14ac:dyDescent="0.25">
      <c r="A17119" t="str">
        <f>"&lt;nominal&gt;" &amp;$D$17118&amp;"&lt;/nominal&gt;"</f>
        <v>&lt;nominal&gt;20&lt;/nominal&gt;</v>
      </c>
      <c r="B17119" t="s">
        <v>3642</v>
      </c>
    </row>
    <row r="17120" spans="1:8" x14ac:dyDescent="0.25">
      <c r="A17120" t="str">
        <f>"&lt;lifetime&gt;" &amp;$E$17118&amp;"&lt;/lifetime&gt;"</f>
        <v>&lt;lifetime&gt;7200&lt;/lifetime&gt;</v>
      </c>
      <c r="B17120" t="s">
        <v>3642</v>
      </c>
    </row>
    <row r="17121" spans="1:8" x14ac:dyDescent="0.25">
      <c r="A17121" t="str">
        <f>"&lt;restock&gt;" &amp;$F$17118&amp;"&lt;/restock&gt;"</f>
        <v>&lt;restock&gt;0&lt;/restock&gt;</v>
      </c>
      <c r="B17121" t="s">
        <v>3642</v>
      </c>
    </row>
    <row r="17122" spans="1:8" x14ac:dyDescent="0.25">
      <c r="A17122" t="str">
        <f>"&lt;min&gt;" &amp;$G$17118&amp;"&lt;/min&gt;"</f>
        <v>&lt;min&gt;10&lt;/min&gt;</v>
      </c>
      <c r="B17122" t="s">
        <v>3642</v>
      </c>
    </row>
    <row r="17123" spans="1:8" x14ac:dyDescent="0.25">
      <c r="A17123" t="s">
        <v>45</v>
      </c>
      <c r="B17123" t="s">
        <v>3642</v>
      </c>
    </row>
    <row r="17124" spans="1:8" x14ac:dyDescent="0.25">
      <c r="A17124" t="s">
        <v>46</v>
      </c>
      <c r="B17124" t="s">
        <v>3642</v>
      </c>
    </row>
    <row r="17125" spans="1:8" x14ac:dyDescent="0.25">
      <c r="A17125" t="s">
        <v>18</v>
      </c>
      <c r="B17125" t="s">
        <v>3642</v>
      </c>
    </row>
    <row r="17126" spans="1:8" x14ac:dyDescent="0.25">
      <c r="A17126" t="str">
        <f xml:space="preserve"> $H$17118</f>
        <v>&lt;flags count_in_cargo="0" count_in_hoarder="0" count_in_map="1" count_in_player="0" crafted="0" deloot="1"/&gt;</v>
      </c>
      <c r="B17126" t="s">
        <v>3642</v>
      </c>
    </row>
    <row r="17127" spans="1:8" x14ac:dyDescent="0.25">
      <c r="A17127" t="str">
        <f>"&lt;category name=" &amp;"""" &amp;$C$17118&amp;"""/&gt;"</f>
        <v>&lt;category name="tools"/&gt;</v>
      </c>
      <c r="B17127" t="s">
        <v>3642</v>
      </c>
    </row>
    <row r="17128" spans="1:8" x14ac:dyDescent="0.25">
      <c r="A17128" t="s">
        <v>20</v>
      </c>
      <c r="B17128" t="s">
        <v>3642</v>
      </c>
    </row>
    <row r="17129" spans="1:8" x14ac:dyDescent="0.25">
      <c r="A17129" t="s">
        <v>39</v>
      </c>
      <c r="B17129" t="s">
        <v>3642</v>
      </c>
    </row>
    <row r="17130" spans="1:8" x14ac:dyDescent="0.25">
      <c r="A17130" t="s">
        <v>40</v>
      </c>
      <c r="B17130" t="s">
        <v>3642</v>
      </c>
    </row>
    <row r="17131" spans="1:8" x14ac:dyDescent="0.25">
      <c r="A17131" t="s">
        <v>22</v>
      </c>
      <c r="B17131" t="s">
        <v>3642</v>
      </c>
    </row>
    <row r="17132" spans="1:8" x14ac:dyDescent="0.25">
      <c r="A17132" t="s">
        <v>48</v>
      </c>
      <c r="B17132" t="s">
        <v>3643</v>
      </c>
      <c r="C17132" t="s">
        <v>426</v>
      </c>
      <c r="D17132">
        <v>20</v>
      </c>
      <c r="E17132">
        <v>7200</v>
      </c>
      <c r="F17132">
        <v>0</v>
      </c>
      <c r="G17132">
        <v>10</v>
      </c>
      <c r="H17132" t="s">
        <v>38</v>
      </c>
    </row>
    <row r="17133" spans="1:8" x14ac:dyDescent="0.25">
      <c r="A17133" t="str">
        <f>"&lt;nominal&gt;" &amp;$D$17132&amp;"&lt;/nominal&gt;"</f>
        <v>&lt;nominal&gt;20&lt;/nominal&gt;</v>
      </c>
      <c r="B17133" t="s">
        <v>3643</v>
      </c>
    </row>
    <row r="17134" spans="1:8" x14ac:dyDescent="0.25">
      <c r="A17134" t="str">
        <f>"&lt;lifetime&gt;" &amp;$E$17132&amp;"&lt;/lifetime&gt;"</f>
        <v>&lt;lifetime&gt;7200&lt;/lifetime&gt;</v>
      </c>
      <c r="B17134" t="s">
        <v>3643</v>
      </c>
    </row>
    <row r="17135" spans="1:8" x14ac:dyDescent="0.25">
      <c r="A17135" t="str">
        <f>"&lt;restock&gt;" &amp;$F$17132&amp;"&lt;/restock&gt;"</f>
        <v>&lt;restock&gt;0&lt;/restock&gt;</v>
      </c>
      <c r="B17135" t="s">
        <v>3643</v>
      </c>
    </row>
    <row r="17136" spans="1:8" x14ac:dyDescent="0.25">
      <c r="A17136" t="str">
        <f>"&lt;min&gt;" &amp;$G$17132&amp;"&lt;/min&gt;"</f>
        <v>&lt;min&gt;10&lt;/min&gt;</v>
      </c>
      <c r="B17136" t="s">
        <v>3643</v>
      </c>
    </row>
    <row r="17137" spans="1:8" x14ac:dyDescent="0.25">
      <c r="A17137" t="s">
        <v>45</v>
      </c>
      <c r="B17137" t="s">
        <v>3643</v>
      </c>
    </row>
    <row r="17138" spans="1:8" x14ac:dyDescent="0.25">
      <c r="A17138" t="s">
        <v>46</v>
      </c>
      <c r="B17138" t="s">
        <v>3643</v>
      </c>
    </row>
    <row r="17139" spans="1:8" x14ac:dyDescent="0.25">
      <c r="A17139" t="s">
        <v>18</v>
      </c>
      <c r="B17139" t="s">
        <v>3643</v>
      </c>
    </row>
    <row r="17140" spans="1:8" x14ac:dyDescent="0.25">
      <c r="A17140" t="str">
        <f xml:space="preserve"> $H$17132</f>
        <v>&lt;flags count_in_cargo="0" count_in_hoarder="0" count_in_map="1" count_in_player="0" crafted="0" deloot="1"/&gt;</v>
      </c>
      <c r="B17140" t="s">
        <v>3643</v>
      </c>
    </row>
    <row r="17141" spans="1:8" x14ac:dyDescent="0.25">
      <c r="A17141" t="str">
        <f>"&lt;category name=" &amp;"""" &amp;$C$17132&amp;"""/&gt;"</f>
        <v>&lt;category name="tools"/&gt;</v>
      </c>
      <c r="B17141" t="s">
        <v>3643</v>
      </c>
    </row>
    <row r="17142" spans="1:8" x14ac:dyDescent="0.25">
      <c r="A17142" t="s">
        <v>20</v>
      </c>
      <c r="B17142" t="s">
        <v>3643</v>
      </c>
    </row>
    <row r="17143" spans="1:8" x14ac:dyDescent="0.25">
      <c r="A17143" t="s">
        <v>39</v>
      </c>
      <c r="B17143" t="s">
        <v>3643</v>
      </c>
    </row>
    <row r="17144" spans="1:8" x14ac:dyDescent="0.25">
      <c r="A17144" t="s">
        <v>40</v>
      </c>
      <c r="B17144" t="s">
        <v>3643</v>
      </c>
    </row>
    <row r="17145" spans="1:8" x14ac:dyDescent="0.25">
      <c r="A17145" t="s">
        <v>22</v>
      </c>
      <c r="B17145" t="s">
        <v>3643</v>
      </c>
    </row>
    <row r="17146" spans="1:8" x14ac:dyDescent="0.25">
      <c r="A17146" t="s">
        <v>49</v>
      </c>
      <c r="B17146" t="s">
        <v>3644</v>
      </c>
      <c r="C17146" t="s">
        <v>426</v>
      </c>
      <c r="D17146">
        <v>10</v>
      </c>
      <c r="E17146">
        <v>7200</v>
      </c>
      <c r="F17146">
        <v>0</v>
      </c>
      <c r="G17146">
        <v>5</v>
      </c>
      <c r="H17146" t="s">
        <v>38</v>
      </c>
    </row>
    <row r="17147" spans="1:8" x14ac:dyDescent="0.25">
      <c r="A17147" t="str">
        <f>"&lt;nominal&gt;" &amp;$D$17146&amp;"&lt;/nominal&gt;"</f>
        <v>&lt;nominal&gt;10&lt;/nominal&gt;</v>
      </c>
      <c r="B17147" t="s">
        <v>3644</v>
      </c>
    </row>
    <row r="17148" spans="1:8" x14ac:dyDescent="0.25">
      <c r="A17148" t="str">
        <f>"&lt;lifetime&gt;" &amp;$E$17146&amp;"&lt;/lifetime&gt;"</f>
        <v>&lt;lifetime&gt;7200&lt;/lifetime&gt;</v>
      </c>
      <c r="B17148" t="s">
        <v>3644</v>
      </c>
    </row>
    <row r="17149" spans="1:8" x14ac:dyDescent="0.25">
      <c r="A17149" t="str">
        <f>"&lt;restock&gt;" &amp;$F$17146&amp;"&lt;/restock&gt;"</f>
        <v>&lt;restock&gt;0&lt;/restock&gt;</v>
      </c>
      <c r="B17149" t="s">
        <v>3644</v>
      </c>
    </row>
    <row r="17150" spans="1:8" x14ac:dyDescent="0.25">
      <c r="A17150" t="str">
        <f>"&lt;min&gt;" &amp;$G$17146&amp;"&lt;/min&gt;"</f>
        <v>&lt;min&gt;5&lt;/min&gt;</v>
      </c>
      <c r="B17150" t="s">
        <v>3644</v>
      </c>
    </row>
    <row r="17151" spans="1:8" x14ac:dyDescent="0.25">
      <c r="A17151" t="s">
        <v>45</v>
      </c>
      <c r="B17151" t="s">
        <v>3644</v>
      </c>
    </row>
    <row r="17152" spans="1:8" x14ac:dyDescent="0.25">
      <c r="A17152" t="s">
        <v>50</v>
      </c>
      <c r="B17152" t="s">
        <v>3644</v>
      </c>
    </row>
    <row r="17153" spans="1:8" x14ac:dyDescent="0.25">
      <c r="A17153" t="s">
        <v>18</v>
      </c>
      <c r="B17153" t="s">
        <v>3644</v>
      </c>
    </row>
    <row r="17154" spans="1:8" x14ac:dyDescent="0.25">
      <c r="A17154" t="str">
        <f xml:space="preserve"> $H$17146</f>
        <v>&lt;flags count_in_cargo="0" count_in_hoarder="0" count_in_map="1" count_in_player="0" crafted="0" deloot="1"/&gt;</v>
      </c>
      <c r="B17154" t="s">
        <v>3644</v>
      </c>
    </row>
    <row r="17155" spans="1:8" x14ac:dyDescent="0.25">
      <c r="A17155" t="str">
        <f>"&lt;category name=" &amp;"""" &amp;$C$17146&amp;"""/&gt;"</f>
        <v>&lt;category name="tools"/&gt;</v>
      </c>
      <c r="B17155" t="s">
        <v>3644</v>
      </c>
    </row>
    <row r="17156" spans="1:8" x14ac:dyDescent="0.25">
      <c r="A17156" t="s">
        <v>20</v>
      </c>
      <c r="B17156" t="s">
        <v>3644</v>
      </c>
    </row>
    <row r="17157" spans="1:8" x14ac:dyDescent="0.25">
      <c r="A17157" t="s">
        <v>39</v>
      </c>
      <c r="B17157" t="s">
        <v>3644</v>
      </c>
    </row>
    <row r="17158" spans="1:8" x14ac:dyDescent="0.25">
      <c r="A17158" t="s">
        <v>40</v>
      </c>
      <c r="B17158" t="s">
        <v>3644</v>
      </c>
    </row>
    <row r="17159" spans="1:8" x14ac:dyDescent="0.25">
      <c r="A17159" t="s">
        <v>22</v>
      </c>
      <c r="B17159" t="s">
        <v>3644</v>
      </c>
    </row>
    <row r="17160" spans="1:8" x14ac:dyDescent="0.25">
      <c r="A17160" t="s">
        <v>51</v>
      </c>
      <c r="B17160" t="s">
        <v>3645</v>
      </c>
      <c r="C17160" t="s">
        <v>426</v>
      </c>
      <c r="D17160">
        <v>5</v>
      </c>
      <c r="E17160">
        <v>7200</v>
      </c>
      <c r="F17160">
        <v>0</v>
      </c>
      <c r="G17160">
        <v>2</v>
      </c>
      <c r="H17160" t="s">
        <v>38</v>
      </c>
    </row>
    <row r="17161" spans="1:8" x14ac:dyDescent="0.25">
      <c r="A17161" t="str">
        <f>"&lt;nominal&gt;" &amp;$D$17160&amp;"&lt;/nominal&gt;"</f>
        <v>&lt;nominal&gt;5&lt;/nominal&gt;</v>
      </c>
      <c r="B17161" t="s">
        <v>3645</v>
      </c>
    </row>
    <row r="17162" spans="1:8" x14ac:dyDescent="0.25">
      <c r="A17162" t="str">
        <f>"&lt;lifetime&gt;" &amp;$E$17160&amp;"&lt;/lifetime&gt;"</f>
        <v>&lt;lifetime&gt;7200&lt;/lifetime&gt;</v>
      </c>
      <c r="B17162" t="s">
        <v>3645</v>
      </c>
    </row>
    <row r="17163" spans="1:8" x14ac:dyDescent="0.25">
      <c r="A17163" t="str">
        <f>"&lt;restock&gt;" &amp;$F$17160&amp;"&lt;/restock&gt;"</f>
        <v>&lt;restock&gt;0&lt;/restock&gt;</v>
      </c>
      <c r="B17163" t="s">
        <v>3645</v>
      </c>
    </row>
    <row r="17164" spans="1:8" x14ac:dyDescent="0.25">
      <c r="A17164" t="str">
        <f>"&lt;min&gt;" &amp;$G$17160&amp;"&lt;/min&gt;"</f>
        <v>&lt;min&gt;2&lt;/min&gt;</v>
      </c>
      <c r="B17164" t="s">
        <v>3645</v>
      </c>
    </row>
    <row r="17165" spans="1:8" x14ac:dyDescent="0.25">
      <c r="A17165" t="s">
        <v>45</v>
      </c>
      <c r="B17165" t="s">
        <v>3645</v>
      </c>
    </row>
    <row r="17166" spans="1:8" x14ac:dyDescent="0.25">
      <c r="A17166" t="s">
        <v>50</v>
      </c>
      <c r="B17166" t="s">
        <v>3645</v>
      </c>
    </row>
    <row r="17167" spans="1:8" x14ac:dyDescent="0.25">
      <c r="A17167" t="s">
        <v>18</v>
      </c>
      <c r="B17167" t="s">
        <v>3645</v>
      </c>
    </row>
    <row r="17168" spans="1:8" x14ac:dyDescent="0.25">
      <c r="A17168" t="str">
        <f xml:space="preserve"> $H$17160</f>
        <v>&lt;flags count_in_cargo="0" count_in_hoarder="0" count_in_map="1" count_in_player="0" crafted="0" deloot="1"/&gt;</v>
      </c>
      <c r="B17168" t="s">
        <v>3645</v>
      </c>
    </row>
    <row r="17169" spans="1:8" x14ac:dyDescent="0.25">
      <c r="A17169" t="str">
        <f>"&lt;category name=" &amp;"""" &amp;$C$17160&amp;"""/&gt;"</f>
        <v>&lt;category name="tools"/&gt;</v>
      </c>
      <c r="B17169" t="s">
        <v>3645</v>
      </c>
    </row>
    <row r="17170" spans="1:8" x14ac:dyDescent="0.25">
      <c r="A17170" t="s">
        <v>20</v>
      </c>
      <c r="B17170" t="s">
        <v>3645</v>
      </c>
    </row>
    <row r="17171" spans="1:8" x14ac:dyDescent="0.25">
      <c r="A17171" t="s">
        <v>39</v>
      </c>
      <c r="B17171" t="s">
        <v>3645</v>
      </c>
    </row>
    <row r="17172" spans="1:8" x14ac:dyDescent="0.25">
      <c r="A17172" t="s">
        <v>40</v>
      </c>
      <c r="B17172" t="s">
        <v>3645</v>
      </c>
    </row>
    <row r="17173" spans="1:8" x14ac:dyDescent="0.25">
      <c r="A17173" t="s">
        <v>22</v>
      </c>
      <c r="B17173" t="s">
        <v>3645</v>
      </c>
    </row>
    <row r="17174" spans="1:8" x14ac:dyDescent="0.25">
      <c r="A17174" t="s">
        <v>52</v>
      </c>
      <c r="B17174" t="s">
        <v>3646</v>
      </c>
      <c r="D17174">
        <v>0</v>
      </c>
      <c r="E17174">
        <v>3888000</v>
      </c>
      <c r="F17174">
        <v>0</v>
      </c>
      <c r="G17174">
        <v>0</v>
      </c>
      <c r="H17174" t="s">
        <v>53</v>
      </c>
    </row>
    <row r="17175" spans="1:8" x14ac:dyDescent="0.25">
      <c r="A17175" t="str">
        <f>"&lt;nominal&gt;" &amp;$D$17174&amp;"&lt;/nominal&gt;"</f>
        <v>&lt;nominal&gt;0&lt;/nominal&gt;</v>
      </c>
      <c r="B17175" t="s">
        <v>3646</v>
      </c>
    </row>
    <row r="17176" spans="1:8" x14ac:dyDescent="0.25">
      <c r="A17176" t="str">
        <f>"&lt;lifetime&gt;" &amp;$E$17174&amp;"&lt;/lifetime&gt;"</f>
        <v>&lt;lifetime&gt;3888000&lt;/lifetime&gt;</v>
      </c>
      <c r="B17176" t="s">
        <v>3646</v>
      </c>
    </row>
    <row r="17177" spans="1:8" x14ac:dyDescent="0.25">
      <c r="A17177" t="str">
        <f>"&lt;restock&gt;" &amp;$F$17174&amp;"&lt;/restock&gt;"</f>
        <v>&lt;restock&gt;0&lt;/restock&gt;</v>
      </c>
      <c r="B17177" t="s">
        <v>3646</v>
      </c>
    </row>
    <row r="17178" spans="1:8" x14ac:dyDescent="0.25">
      <c r="A17178" t="str">
        <f>"&lt;min&gt;" &amp;$G$17174&amp;"&lt;/min&gt;"</f>
        <v>&lt;min&gt;0&lt;/min&gt;</v>
      </c>
      <c r="B17178" t="s">
        <v>3646</v>
      </c>
    </row>
    <row r="17179" spans="1:8" x14ac:dyDescent="0.25">
      <c r="A17179" t="s">
        <v>16</v>
      </c>
      <c r="B17179" t="s">
        <v>3646</v>
      </c>
    </row>
    <row r="17180" spans="1:8" x14ac:dyDescent="0.25">
      <c r="A17180" t="s">
        <v>17</v>
      </c>
      <c r="B17180" t="s">
        <v>3646</v>
      </c>
    </row>
    <row r="17181" spans="1:8" x14ac:dyDescent="0.25">
      <c r="A17181" t="s">
        <v>18</v>
      </c>
      <c r="B17181" t="s">
        <v>3646</v>
      </c>
    </row>
    <row r="17182" spans="1:8" x14ac:dyDescent="0.25">
      <c r="A17182" t="str">
        <f xml:space="preserve"> $H$17174</f>
        <v>&lt;flags count_in_cargo="1" count_in_hoarder="0" count_in_map="1" count_in_player="1" crafted="1" deloot="0"/&gt;</v>
      </c>
      <c r="B17182" t="s">
        <v>3646</v>
      </c>
    </row>
    <row r="17183" spans="1:8" x14ac:dyDescent="0.25">
      <c r="A17183" t="s">
        <v>22</v>
      </c>
      <c r="B17183" t="s">
        <v>3646</v>
      </c>
    </row>
    <row r="17184" spans="1:8" x14ac:dyDescent="0.25">
      <c r="B17184" t="s">
        <v>3646</v>
      </c>
    </row>
    <row r="17185" spans="1:8" x14ac:dyDescent="0.25">
      <c r="A17185" t="s">
        <v>2820</v>
      </c>
      <c r="B17185" t="s">
        <v>3031</v>
      </c>
      <c r="C17185" t="s">
        <v>403</v>
      </c>
      <c r="D17185">
        <v>20</v>
      </c>
      <c r="E17185">
        <v>7200</v>
      </c>
      <c r="F17185">
        <v>0</v>
      </c>
      <c r="G17185">
        <v>5</v>
      </c>
      <c r="H17185" t="s">
        <v>19</v>
      </c>
    </row>
    <row r="17186" spans="1:8" x14ac:dyDescent="0.25">
      <c r="A17186" t="str">
        <f>"&lt;nominal&gt;" &amp;$D$17185&amp;"&lt;/nominal&gt;"</f>
        <v>&lt;nominal&gt;20&lt;/nominal&gt;</v>
      </c>
      <c r="B17186" t="s">
        <v>3031</v>
      </c>
    </row>
    <row r="17187" spans="1:8" x14ac:dyDescent="0.25">
      <c r="A17187" t="str">
        <f>"&lt;lifetime&gt;" &amp;$E$17185&amp;"&lt;/lifetime&gt;"</f>
        <v>&lt;lifetime&gt;7200&lt;/lifetime&gt;</v>
      </c>
      <c r="B17187" t="s">
        <v>3031</v>
      </c>
    </row>
    <row r="17188" spans="1:8" x14ac:dyDescent="0.25">
      <c r="A17188" t="str">
        <f>"&lt;restock&gt;" &amp;$F$17185&amp;"&lt;/restock&gt;"</f>
        <v>&lt;restock&gt;0&lt;/restock&gt;</v>
      </c>
      <c r="B17188" t="s">
        <v>3031</v>
      </c>
    </row>
    <row r="17189" spans="1:8" x14ac:dyDescent="0.25">
      <c r="A17189" t="str">
        <f>"&lt;min&gt;" &amp;$G$17185&amp;"&lt;/min&gt;"</f>
        <v>&lt;min&gt;5&lt;/min&gt;</v>
      </c>
      <c r="B17189" t="s">
        <v>3031</v>
      </c>
    </row>
    <row r="17190" spans="1:8" x14ac:dyDescent="0.25">
      <c r="A17190" t="s">
        <v>16</v>
      </c>
      <c r="B17190" t="s">
        <v>3031</v>
      </c>
    </row>
    <row r="17191" spans="1:8" x14ac:dyDescent="0.25">
      <c r="A17191" t="s">
        <v>17</v>
      </c>
      <c r="B17191" t="s">
        <v>3031</v>
      </c>
    </row>
    <row r="17192" spans="1:8" x14ac:dyDescent="0.25">
      <c r="A17192" t="s">
        <v>18</v>
      </c>
      <c r="B17192" t="s">
        <v>3031</v>
      </c>
    </row>
    <row r="17193" spans="1:8" x14ac:dyDescent="0.25">
      <c r="A17193" t="str">
        <f xml:space="preserve"> $H$17185</f>
        <v>&lt;flags count_in_cargo="0" count_in_hoarder="0" count_in_map="1" count_in_player="0" crafted="0" deloot="0"/&gt;</v>
      </c>
      <c r="B17193" t="s">
        <v>3031</v>
      </c>
    </row>
    <row r="17194" spans="1:8" x14ac:dyDescent="0.25">
      <c r="A17194" t="str">
        <f>"&lt;category name=" &amp;"""" &amp;$C$17185&amp;"""/&gt;"</f>
        <v>&lt;category name="clothes"/&gt;</v>
      </c>
      <c r="B17194" t="s">
        <v>3031</v>
      </c>
    </row>
    <row r="17195" spans="1:8" x14ac:dyDescent="0.25">
      <c r="A17195" t="s">
        <v>55</v>
      </c>
      <c r="B17195" t="s">
        <v>3031</v>
      </c>
    </row>
    <row r="17196" spans="1:8" x14ac:dyDescent="0.25">
      <c r="A17196" t="s">
        <v>56</v>
      </c>
      <c r="B17196" t="s">
        <v>3031</v>
      </c>
    </row>
    <row r="17197" spans="1:8" x14ac:dyDescent="0.25">
      <c r="A17197" t="s">
        <v>40</v>
      </c>
      <c r="B17197" t="s">
        <v>3031</v>
      </c>
    </row>
    <row r="17198" spans="1:8" x14ac:dyDescent="0.25">
      <c r="A17198" t="s">
        <v>22</v>
      </c>
      <c r="B17198" t="s">
        <v>3031</v>
      </c>
    </row>
    <row r="17199" spans="1:8" x14ac:dyDescent="0.25">
      <c r="A17199" t="s">
        <v>54</v>
      </c>
      <c r="B17199" t="s">
        <v>1263</v>
      </c>
      <c r="C17199" t="s">
        <v>644</v>
      </c>
      <c r="D17199">
        <v>15</v>
      </c>
      <c r="E17199">
        <v>7200</v>
      </c>
      <c r="F17199">
        <v>0</v>
      </c>
      <c r="G17199">
        <v>5</v>
      </c>
      <c r="H17199" t="s">
        <v>19</v>
      </c>
    </row>
    <row r="17200" spans="1:8" x14ac:dyDescent="0.25">
      <c r="A17200" t="str">
        <f>"&lt;nominal&gt;" &amp;$D$17199&amp;"&lt;/nominal&gt;"</f>
        <v>&lt;nominal&gt;15&lt;/nominal&gt;</v>
      </c>
      <c r="B17200" t="s">
        <v>1263</v>
      </c>
    </row>
    <row r="17201" spans="1:8" x14ac:dyDescent="0.25">
      <c r="A17201" t="str">
        <f>"&lt;lifetime&gt;" &amp;$E$17199&amp;"&lt;/lifetime&gt;"</f>
        <v>&lt;lifetime&gt;7200&lt;/lifetime&gt;</v>
      </c>
      <c r="B17201" t="s">
        <v>1263</v>
      </c>
    </row>
    <row r="17202" spans="1:8" x14ac:dyDescent="0.25">
      <c r="A17202" t="str">
        <f>"&lt;restock&gt;" &amp;$F$17199&amp;"&lt;/restock&gt;"</f>
        <v>&lt;restock&gt;0&lt;/restock&gt;</v>
      </c>
      <c r="B17202" t="s">
        <v>1263</v>
      </c>
    </row>
    <row r="17203" spans="1:8" x14ac:dyDescent="0.25">
      <c r="A17203" t="str">
        <f>"&lt;min&gt;" &amp;$G$17199&amp;"&lt;/min&gt;"</f>
        <v>&lt;min&gt;5&lt;/min&gt;</v>
      </c>
      <c r="B17203" t="s">
        <v>1263</v>
      </c>
    </row>
    <row r="17204" spans="1:8" x14ac:dyDescent="0.25">
      <c r="A17204" t="s">
        <v>16</v>
      </c>
      <c r="B17204" t="s">
        <v>1263</v>
      </c>
    </row>
    <row r="17205" spans="1:8" x14ac:dyDescent="0.25">
      <c r="A17205" t="s">
        <v>17</v>
      </c>
      <c r="B17205" t="s">
        <v>1263</v>
      </c>
    </row>
    <row r="17206" spans="1:8" x14ac:dyDescent="0.25">
      <c r="A17206" t="s">
        <v>18</v>
      </c>
      <c r="B17206" t="s">
        <v>1263</v>
      </c>
    </row>
    <row r="17207" spans="1:8" x14ac:dyDescent="0.25">
      <c r="A17207" t="str">
        <f xml:space="preserve"> $H$17199</f>
        <v>&lt;flags count_in_cargo="0" count_in_hoarder="0" count_in_map="1" count_in_player="0" crafted="0" deloot="0"/&gt;</v>
      </c>
      <c r="B17207" t="s">
        <v>1263</v>
      </c>
    </row>
    <row r="17208" spans="1:8" x14ac:dyDescent="0.25">
      <c r="A17208" t="str">
        <f>"&lt;category name=" &amp;"""" &amp;$C$17199&amp;"""/&gt;"</f>
        <v>&lt;category name="explosives"/&gt;</v>
      </c>
      <c r="B17208" t="s">
        <v>1263</v>
      </c>
    </row>
    <row r="17209" spans="1:8" x14ac:dyDescent="0.25">
      <c r="A17209" t="s">
        <v>55</v>
      </c>
      <c r="B17209" t="s">
        <v>1263</v>
      </c>
    </row>
    <row r="17210" spans="1:8" x14ac:dyDescent="0.25">
      <c r="A17210" t="s">
        <v>56</v>
      </c>
      <c r="B17210" t="s">
        <v>1263</v>
      </c>
    </row>
    <row r="17211" spans="1:8" x14ac:dyDescent="0.25">
      <c r="A17211" t="s">
        <v>40</v>
      </c>
      <c r="B17211" t="s">
        <v>1263</v>
      </c>
    </row>
    <row r="17212" spans="1:8" x14ac:dyDescent="0.25">
      <c r="A17212" t="s">
        <v>22</v>
      </c>
      <c r="B17212" t="s">
        <v>1263</v>
      </c>
    </row>
    <row r="17213" spans="1:8" x14ac:dyDescent="0.25">
      <c r="A17213" t="s">
        <v>57</v>
      </c>
      <c r="B17213" t="s">
        <v>1264</v>
      </c>
      <c r="C17213" t="s">
        <v>644</v>
      </c>
      <c r="D17213">
        <v>15</v>
      </c>
      <c r="E17213">
        <v>7200</v>
      </c>
      <c r="F17213">
        <v>0</v>
      </c>
      <c r="G17213">
        <v>5</v>
      </c>
      <c r="H17213" t="s">
        <v>19</v>
      </c>
    </row>
    <row r="17214" spans="1:8" x14ac:dyDescent="0.25">
      <c r="A17214" t="str">
        <f>"&lt;nominal&gt;" &amp;$D$17213&amp;"&lt;/nominal&gt;"</f>
        <v>&lt;nominal&gt;15&lt;/nominal&gt;</v>
      </c>
      <c r="B17214" t="s">
        <v>1264</v>
      </c>
    </row>
    <row r="17215" spans="1:8" x14ac:dyDescent="0.25">
      <c r="A17215" t="str">
        <f>"&lt;lifetime&gt;" &amp;$E$17213&amp;"&lt;/lifetime&gt;"</f>
        <v>&lt;lifetime&gt;7200&lt;/lifetime&gt;</v>
      </c>
      <c r="B17215" t="s">
        <v>1264</v>
      </c>
    </row>
    <row r="17216" spans="1:8" x14ac:dyDescent="0.25">
      <c r="A17216" t="str">
        <f>"&lt;restock&gt;" &amp;$F$17213&amp;"&lt;/restock&gt;"</f>
        <v>&lt;restock&gt;0&lt;/restock&gt;</v>
      </c>
      <c r="B17216" t="s">
        <v>1264</v>
      </c>
    </row>
    <row r="17217" spans="1:8" x14ac:dyDescent="0.25">
      <c r="A17217" t="str">
        <f>"&lt;min&gt;" &amp;$G$17213&amp;"&lt;/min&gt;"</f>
        <v>&lt;min&gt;5&lt;/min&gt;</v>
      </c>
      <c r="B17217" t="s">
        <v>1264</v>
      </c>
    </row>
    <row r="17218" spans="1:8" x14ac:dyDescent="0.25">
      <c r="A17218" t="s">
        <v>16</v>
      </c>
      <c r="B17218" t="s">
        <v>1264</v>
      </c>
    </row>
    <row r="17219" spans="1:8" x14ac:dyDescent="0.25">
      <c r="A17219" t="s">
        <v>17</v>
      </c>
      <c r="B17219" t="s">
        <v>1264</v>
      </c>
    </row>
    <row r="17220" spans="1:8" x14ac:dyDescent="0.25">
      <c r="A17220" t="s">
        <v>18</v>
      </c>
      <c r="B17220" t="s">
        <v>1264</v>
      </c>
    </row>
    <row r="17221" spans="1:8" x14ac:dyDescent="0.25">
      <c r="A17221" t="str">
        <f xml:space="preserve"> $H$17213</f>
        <v>&lt;flags count_in_cargo="0" count_in_hoarder="0" count_in_map="1" count_in_player="0" crafted="0" deloot="0"/&gt;</v>
      </c>
      <c r="B17221" t="s">
        <v>1264</v>
      </c>
    </row>
    <row r="17222" spans="1:8" x14ac:dyDescent="0.25">
      <c r="A17222" t="str">
        <f>"&lt;category name=" &amp;"""" &amp;$C$17213&amp;"""/&gt;"</f>
        <v>&lt;category name="explosives"/&gt;</v>
      </c>
      <c r="B17222" t="s">
        <v>1264</v>
      </c>
    </row>
    <row r="17223" spans="1:8" x14ac:dyDescent="0.25">
      <c r="A17223" t="s">
        <v>29</v>
      </c>
      <c r="B17223" t="s">
        <v>1264</v>
      </c>
    </row>
    <row r="17224" spans="1:8" x14ac:dyDescent="0.25">
      <c r="A17224" t="s">
        <v>30</v>
      </c>
      <c r="B17224" t="s">
        <v>1264</v>
      </c>
    </row>
    <row r="17225" spans="1:8" x14ac:dyDescent="0.25">
      <c r="A17225" t="s">
        <v>31</v>
      </c>
      <c r="B17225" t="s">
        <v>1264</v>
      </c>
    </row>
    <row r="17226" spans="1:8" x14ac:dyDescent="0.25">
      <c r="A17226" t="s">
        <v>22</v>
      </c>
      <c r="B17226" t="s">
        <v>1264</v>
      </c>
    </row>
    <row r="17227" spans="1:8" x14ac:dyDescent="0.25">
      <c r="A17227" t="s">
        <v>58</v>
      </c>
      <c r="B17227" t="s">
        <v>1265</v>
      </c>
      <c r="C17227" t="s">
        <v>8</v>
      </c>
      <c r="D17227">
        <v>5</v>
      </c>
      <c r="E17227">
        <v>7200</v>
      </c>
      <c r="F17227">
        <v>0</v>
      </c>
      <c r="G17227">
        <v>3</v>
      </c>
      <c r="H17227" t="s">
        <v>19</v>
      </c>
    </row>
    <row r="17228" spans="1:8" x14ac:dyDescent="0.25">
      <c r="A17228" t="str">
        <f>"&lt;nominal&gt;" &amp;$D$17227&amp;"&lt;/nominal&gt;"</f>
        <v>&lt;nominal&gt;5&lt;/nominal&gt;</v>
      </c>
      <c r="B17228" t="s">
        <v>1265</v>
      </c>
    </row>
    <row r="17229" spans="1:8" x14ac:dyDescent="0.25">
      <c r="A17229" t="str">
        <f>"&lt;lifetime&gt;" &amp;$E$17227&amp;"&lt;/lifetime&gt;"</f>
        <v>&lt;lifetime&gt;7200&lt;/lifetime&gt;</v>
      </c>
      <c r="B17229" t="s">
        <v>1265</v>
      </c>
    </row>
    <row r="17230" spans="1:8" x14ac:dyDescent="0.25">
      <c r="A17230" t="str">
        <f>"&lt;restock&gt;" &amp;$F$17227&amp;"&lt;/restock&gt;"</f>
        <v>&lt;restock&gt;0&lt;/restock&gt;</v>
      </c>
      <c r="B17230" t="s">
        <v>1265</v>
      </c>
    </row>
    <row r="17231" spans="1:8" x14ac:dyDescent="0.25">
      <c r="A17231" t="str">
        <f>"&lt;min&gt;" &amp;$G$17227&amp;"&lt;/min&gt;"</f>
        <v>&lt;min&gt;3&lt;/min&gt;</v>
      </c>
      <c r="B17231" t="s">
        <v>1265</v>
      </c>
    </row>
    <row r="17232" spans="1:8" x14ac:dyDescent="0.25">
      <c r="A17232" t="s">
        <v>16</v>
      </c>
      <c r="B17232" t="s">
        <v>1265</v>
      </c>
    </row>
    <row r="17233" spans="1:8" x14ac:dyDescent="0.25">
      <c r="A17233" t="s">
        <v>17</v>
      </c>
      <c r="B17233" t="s">
        <v>1265</v>
      </c>
    </row>
    <row r="17234" spans="1:8" x14ac:dyDescent="0.25">
      <c r="A17234" t="s">
        <v>18</v>
      </c>
      <c r="B17234" t="s">
        <v>1265</v>
      </c>
    </row>
    <row r="17235" spans="1:8" x14ac:dyDescent="0.25">
      <c r="A17235" t="str">
        <f xml:space="preserve"> $H$17227</f>
        <v>&lt;flags count_in_cargo="0" count_in_hoarder="0" count_in_map="1" count_in_player="0" crafted="0" deloot="0"/&gt;</v>
      </c>
      <c r="B17235" t="s">
        <v>1265</v>
      </c>
    </row>
    <row r="17236" spans="1:8" x14ac:dyDescent="0.25">
      <c r="A17236" t="str">
        <f>"&lt;category name=" &amp;"""" &amp;$C$17227&amp;"""/&gt;"</f>
        <v>&lt;category name="weapons"/&gt;</v>
      </c>
      <c r="B17236" t="s">
        <v>1265</v>
      </c>
    </row>
    <row r="17237" spans="1:8" x14ac:dyDescent="0.25">
      <c r="A17237" t="s">
        <v>59</v>
      </c>
      <c r="B17237" t="s">
        <v>1265</v>
      </c>
    </row>
    <row r="17238" spans="1:8" x14ac:dyDescent="0.25">
      <c r="A17238" t="s">
        <v>31</v>
      </c>
      <c r="B17238" t="s">
        <v>1265</v>
      </c>
    </row>
    <row r="17239" spans="1:8" x14ac:dyDescent="0.25">
      <c r="A17239" t="s">
        <v>22</v>
      </c>
      <c r="B17239" t="s">
        <v>1265</v>
      </c>
    </row>
    <row r="17240" spans="1:8" x14ac:dyDescent="0.25">
      <c r="A17240" t="s">
        <v>60</v>
      </c>
      <c r="B17240" t="s">
        <v>1266</v>
      </c>
      <c r="C17240" t="s">
        <v>426</v>
      </c>
      <c r="D17240">
        <v>15</v>
      </c>
      <c r="E17240">
        <v>7200</v>
      </c>
      <c r="F17240">
        <v>0</v>
      </c>
      <c r="G17240">
        <v>5</v>
      </c>
      <c r="H17240" t="s">
        <v>19</v>
      </c>
    </row>
    <row r="17241" spans="1:8" x14ac:dyDescent="0.25">
      <c r="A17241" t="str">
        <f>"&lt;nominal&gt;" &amp;$D$17240&amp;"&lt;/nominal&gt;"</f>
        <v>&lt;nominal&gt;15&lt;/nominal&gt;</v>
      </c>
      <c r="B17241" t="s">
        <v>1266</v>
      </c>
    </row>
    <row r="17242" spans="1:8" x14ac:dyDescent="0.25">
      <c r="A17242" t="str">
        <f>"&lt;lifetime&gt;" &amp;$E$17240&amp;"&lt;/lifetime&gt;"</f>
        <v>&lt;lifetime&gt;7200&lt;/lifetime&gt;</v>
      </c>
      <c r="B17242" t="s">
        <v>1266</v>
      </c>
    </row>
    <row r="17243" spans="1:8" x14ac:dyDescent="0.25">
      <c r="A17243" t="str">
        <f>"&lt;restock&gt;" &amp;$F$17240&amp;"&lt;/restock&gt;"</f>
        <v>&lt;restock&gt;0&lt;/restock&gt;</v>
      </c>
      <c r="B17243" t="s">
        <v>1266</v>
      </c>
    </row>
    <row r="17244" spans="1:8" x14ac:dyDescent="0.25">
      <c r="A17244" t="str">
        <f>"&lt;min&gt;" &amp;$G$17240&amp;"&lt;/min&gt;"</f>
        <v>&lt;min&gt;5&lt;/min&gt;</v>
      </c>
      <c r="B17244" t="s">
        <v>1266</v>
      </c>
    </row>
    <row r="17245" spans="1:8" x14ac:dyDescent="0.25">
      <c r="A17245" t="s">
        <v>16</v>
      </c>
      <c r="B17245" t="s">
        <v>1266</v>
      </c>
    </row>
    <row r="17246" spans="1:8" x14ac:dyDescent="0.25">
      <c r="A17246" t="s">
        <v>17</v>
      </c>
      <c r="B17246" t="s">
        <v>1266</v>
      </c>
    </row>
    <row r="17247" spans="1:8" x14ac:dyDescent="0.25">
      <c r="A17247" t="s">
        <v>18</v>
      </c>
      <c r="B17247" t="s">
        <v>1266</v>
      </c>
    </row>
    <row r="17248" spans="1:8" x14ac:dyDescent="0.25">
      <c r="A17248" t="str">
        <f xml:space="preserve"> $H$17240</f>
        <v>&lt;flags count_in_cargo="0" count_in_hoarder="0" count_in_map="1" count_in_player="0" crafted="0" deloot="0"/&gt;</v>
      </c>
      <c r="B17248" t="s">
        <v>1266</v>
      </c>
    </row>
    <row r="17249" spans="1:8" x14ac:dyDescent="0.25">
      <c r="A17249" t="str">
        <f>"&lt;category name=" &amp;"""" &amp;$C$17240&amp;"""/&gt;"</f>
        <v>&lt;category name="tools"/&gt;</v>
      </c>
      <c r="B17249" t="s">
        <v>1266</v>
      </c>
    </row>
    <row r="17250" spans="1:8" x14ac:dyDescent="0.25">
      <c r="A17250" t="s">
        <v>55</v>
      </c>
      <c r="B17250" t="s">
        <v>1266</v>
      </c>
    </row>
    <row r="17251" spans="1:8" x14ac:dyDescent="0.25">
      <c r="A17251" t="s">
        <v>56</v>
      </c>
      <c r="B17251" t="s">
        <v>1266</v>
      </c>
    </row>
    <row r="17252" spans="1:8" x14ac:dyDescent="0.25">
      <c r="A17252" t="s">
        <v>40</v>
      </c>
      <c r="B17252" t="s">
        <v>1266</v>
      </c>
    </row>
    <row r="17253" spans="1:8" x14ac:dyDescent="0.25">
      <c r="A17253" t="s">
        <v>22</v>
      </c>
      <c r="B17253" t="s">
        <v>1266</v>
      </c>
    </row>
    <row r="17254" spans="1:8" x14ac:dyDescent="0.25">
      <c r="A17254" t="s">
        <v>61</v>
      </c>
      <c r="B17254" t="s">
        <v>3660</v>
      </c>
      <c r="E17254">
        <v>3888000</v>
      </c>
      <c r="H17254" t="s">
        <v>62</v>
      </c>
    </row>
    <row r="17255" spans="1:8" x14ac:dyDescent="0.25">
      <c r="A17255" t="str">
        <f>"&lt;lifetime&gt;" &amp;$E$17254&amp;"&lt;/lifetime&gt;"</f>
        <v>&lt;lifetime&gt;3888000&lt;/lifetime&gt;</v>
      </c>
      <c r="B17255" t="s">
        <v>3660</v>
      </c>
    </row>
    <row r="17256" spans="1:8" x14ac:dyDescent="0.25">
      <c r="A17256" t="str">
        <f xml:space="preserve"> $H$17254</f>
        <v>&lt;flags count_in_cargo="0" count_in_hoarder="0" count_in_map="1" count_in_player="0" crafted="1" deloot="0"/&gt;</v>
      </c>
      <c r="B17256" t="s">
        <v>3660</v>
      </c>
    </row>
    <row r="17257" spans="1:8" x14ac:dyDescent="0.25">
      <c r="A17257" t="s">
        <v>22</v>
      </c>
      <c r="B17257" t="s">
        <v>3660</v>
      </c>
    </row>
    <row r="17258" spans="1:8" x14ac:dyDescent="0.25">
      <c r="A17258" t="s">
        <v>63</v>
      </c>
      <c r="B17258" t="s">
        <v>3661</v>
      </c>
      <c r="E17258">
        <v>7200</v>
      </c>
      <c r="H17258" t="s">
        <v>62</v>
      </c>
    </row>
    <row r="17259" spans="1:8" x14ac:dyDescent="0.25">
      <c r="A17259" t="str">
        <f>"&lt;lifetime&gt;" &amp;$E$17258&amp;"&lt;/lifetime&gt;"</f>
        <v>&lt;lifetime&gt;7200&lt;/lifetime&gt;</v>
      </c>
      <c r="B17259" t="s">
        <v>3661</v>
      </c>
    </row>
    <row r="17260" spans="1:8" x14ac:dyDescent="0.25">
      <c r="A17260" t="str">
        <f xml:space="preserve"> $H$17258</f>
        <v>&lt;flags count_in_cargo="0" count_in_hoarder="0" count_in_map="1" count_in_player="0" crafted="1" deloot="0"/&gt;</v>
      </c>
      <c r="B17260" t="s">
        <v>3661</v>
      </c>
    </row>
    <row r="17261" spans="1:8" x14ac:dyDescent="0.25">
      <c r="A17261" t="s">
        <v>22</v>
      </c>
      <c r="B17261" t="s">
        <v>3661</v>
      </c>
    </row>
    <row r="17262" spans="1:8" x14ac:dyDescent="0.25">
      <c r="A17262" t="s">
        <v>64</v>
      </c>
      <c r="B17262" t="s">
        <v>3662</v>
      </c>
      <c r="E17262">
        <v>3888000</v>
      </c>
      <c r="H17262" t="s">
        <v>62</v>
      </c>
    </row>
    <row r="17263" spans="1:8" x14ac:dyDescent="0.25">
      <c r="A17263" t="str">
        <f>"&lt;lifetime&gt;" &amp;$E$17262&amp;"&lt;/lifetime&gt;"</f>
        <v>&lt;lifetime&gt;3888000&lt;/lifetime&gt;</v>
      </c>
      <c r="B17263" t="s">
        <v>3662</v>
      </c>
    </row>
    <row r="17264" spans="1:8" x14ac:dyDescent="0.25">
      <c r="A17264" t="str">
        <f xml:space="preserve"> $H$17262</f>
        <v>&lt;flags count_in_cargo="0" count_in_hoarder="0" count_in_map="1" count_in_player="0" crafted="1" deloot="0"/&gt;</v>
      </c>
      <c r="B17264" t="s">
        <v>3662</v>
      </c>
    </row>
    <row r="17265" spans="1:8" x14ac:dyDescent="0.25">
      <c r="A17265" t="s">
        <v>22</v>
      </c>
      <c r="B17265" t="s">
        <v>3662</v>
      </c>
    </row>
    <row r="17266" spans="1:8" x14ac:dyDescent="0.25">
      <c r="A17266" t="s">
        <v>65</v>
      </c>
      <c r="B17266" t="s">
        <v>3663</v>
      </c>
      <c r="E17266">
        <v>7200</v>
      </c>
      <c r="H17266" t="s">
        <v>62</v>
      </c>
    </row>
    <row r="17267" spans="1:8" x14ac:dyDescent="0.25">
      <c r="A17267" t="str">
        <f>"&lt;lifetime&gt;" &amp;$E$17266&amp;"&lt;/lifetime&gt;"</f>
        <v>&lt;lifetime&gt;7200&lt;/lifetime&gt;</v>
      </c>
      <c r="B17267" t="s">
        <v>3663</v>
      </c>
    </row>
    <row r="17268" spans="1:8" x14ac:dyDescent="0.25">
      <c r="A17268" t="str">
        <f xml:space="preserve"> $H$17266</f>
        <v>&lt;flags count_in_cargo="0" count_in_hoarder="0" count_in_map="1" count_in_player="0" crafted="1" deloot="0"/&gt;</v>
      </c>
      <c r="B17268" t="s">
        <v>3663</v>
      </c>
    </row>
    <row r="17269" spans="1:8" x14ac:dyDescent="0.25">
      <c r="A17269" t="s">
        <v>22</v>
      </c>
      <c r="B17269" t="s">
        <v>3663</v>
      </c>
    </row>
    <row r="17270" spans="1:8" x14ac:dyDescent="0.25">
      <c r="A17270" t="s">
        <v>66</v>
      </c>
      <c r="B17270" t="s">
        <v>1267</v>
      </c>
      <c r="C17270" t="s">
        <v>8</v>
      </c>
      <c r="D17270">
        <v>8</v>
      </c>
      <c r="E17270">
        <v>5600</v>
      </c>
      <c r="F17270">
        <v>0</v>
      </c>
      <c r="G17270">
        <v>2</v>
      </c>
      <c r="H17270" t="s">
        <v>19</v>
      </c>
    </row>
    <row r="17271" spans="1:8" x14ac:dyDescent="0.25">
      <c r="A17271" t="str">
        <f>"&lt;nominal&gt;" &amp;$D$17270&amp;"&lt;/nominal&gt;"</f>
        <v>&lt;nominal&gt;8&lt;/nominal&gt;</v>
      </c>
      <c r="B17271" t="s">
        <v>1267</v>
      </c>
    </row>
    <row r="17272" spans="1:8" x14ac:dyDescent="0.25">
      <c r="A17272" t="str">
        <f>"&lt;lifetime&gt;" &amp;$E$17270&amp;"&lt;/lifetime&gt;"</f>
        <v>&lt;lifetime&gt;5600&lt;/lifetime&gt;</v>
      </c>
      <c r="B17272" t="s">
        <v>1267</v>
      </c>
    </row>
    <row r="17273" spans="1:8" x14ac:dyDescent="0.25">
      <c r="A17273" t="str">
        <f>"&lt;restock&gt;" &amp;$F$17270&amp;"&lt;/restock&gt;"</f>
        <v>&lt;restock&gt;0&lt;/restock&gt;</v>
      </c>
      <c r="B17273" t="s">
        <v>1267</v>
      </c>
    </row>
    <row r="17274" spans="1:8" x14ac:dyDescent="0.25">
      <c r="A17274" t="str">
        <f>"&lt;min&gt;" &amp;$G$17270&amp;"&lt;/min&gt;"</f>
        <v>&lt;min&gt;2&lt;/min&gt;</v>
      </c>
      <c r="B17274" t="s">
        <v>1267</v>
      </c>
    </row>
    <row r="17275" spans="1:8" x14ac:dyDescent="0.25">
      <c r="A17275" t="s">
        <v>16</v>
      </c>
      <c r="B17275" t="s">
        <v>1267</v>
      </c>
    </row>
    <row r="17276" spans="1:8" x14ac:dyDescent="0.25">
      <c r="A17276" t="s">
        <v>17</v>
      </c>
      <c r="B17276" t="s">
        <v>1267</v>
      </c>
    </row>
    <row r="17277" spans="1:8" x14ac:dyDescent="0.25">
      <c r="A17277" t="s">
        <v>18</v>
      </c>
      <c r="B17277" t="s">
        <v>1267</v>
      </c>
    </row>
    <row r="17278" spans="1:8" x14ac:dyDescent="0.25">
      <c r="A17278" t="str">
        <f xml:space="preserve"> $H$17270</f>
        <v>&lt;flags count_in_cargo="0" count_in_hoarder="0" count_in_map="1" count_in_player="0" crafted="0" deloot="0"/&gt;</v>
      </c>
      <c r="B17278" t="s">
        <v>1267</v>
      </c>
    </row>
    <row r="17279" spans="1:8" x14ac:dyDescent="0.25">
      <c r="A17279" t="str">
        <f>"&lt;category name=" &amp;"""" &amp;$C$17270&amp;"""/&gt;"</f>
        <v>&lt;category name="weapons"/&gt;</v>
      </c>
      <c r="B17279" t="s">
        <v>1267</v>
      </c>
    </row>
    <row r="17280" spans="1:8" x14ac:dyDescent="0.25">
      <c r="A17280" t="s">
        <v>67</v>
      </c>
      <c r="B17280" t="s">
        <v>1267</v>
      </c>
    </row>
    <row r="17281" spans="1:8" x14ac:dyDescent="0.25">
      <c r="A17281" t="s">
        <v>22</v>
      </c>
      <c r="B17281" t="s">
        <v>1267</v>
      </c>
    </row>
    <row r="17282" spans="1:8" x14ac:dyDescent="0.25">
      <c r="A17282" t="s">
        <v>68</v>
      </c>
      <c r="B17282" t="s">
        <v>1268</v>
      </c>
      <c r="C17282" t="s">
        <v>426</v>
      </c>
      <c r="D17282">
        <v>15</v>
      </c>
      <c r="E17282">
        <v>7200</v>
      </c>
      <c r="F17282">
        <v>0</v>
      </c>
      <c r="G17282">
        <v>5</v>
      </c>
      <c r="H17282" t="s">
        <v>19</v>
      </c>
    </row>
    <row r="17283" spans="1:8" x14ac:dyDescent="0.25">
      <c r="A17283" t="str">
        <f>"&lt;nominal&gt;" &amp;$D$17282&amp;"&lt;/nominal&gt;"</f>
        <v>&lt;nominal&gt;15&lt;/nominal&gt;</v>
      </c>
      <c r="B17283" t="s">
        <v>1268</v>
      </c>
    </row>
    <row r="17284" spans="1:8" x14ac:dyDescent="0.25">
      <c r="A17284" t="str">
        <f>"&lt;lifetime&gt;" &amp;$E$17282&amp;"&lt;/lifetime&gt;"</f>
        <v>&lt;lifetime&gt;7200&lt;/lifetime&gt;</v>
      </c>
      <c r="B17284" t="s">
        <v>1268</v>
      </c>
    </row>
    <row r="17285" spans="1:8" x14ac:dyDescent="0.25">
      <c r="A17285" t="str">
        <f>"&lt;restock&gt;" &amp;$F$17282&amp;"&lt;/restock&gt;"</f>
        <v>&lt;restock&gt;0&lt;/restock&gt;</v>
      </c>
      <c r="B17285" t="s">
        <v>1268</v>
      </c>
    </row>
    <row r="17286" spans="1:8" x14ac:dyDescent="0.25">
      <c r="A17286" t="str">
        <f>"&lt;min&gt;" &amp;$G$17282&amp;"&lt;/min&gt;"</f>
        <v>&lt;min&gt;5&lt;/min&gt;</v>
      </c>
      <c r="B17286" t="s">
        <v>1268</v>
      </c>
    </row>
    <row r="17287" spans="1:8" x14ac:dyDescent="0.25">
      <c r="A17287" t="s">
        <v>16</v>
      </c>
      <c r="B17287" t="s">
        <v>1268</v>
      </c>
    </row>
    <row r="17288" spans="1:8" x14ac:dyDescent="0.25">
      <c r="A17288" t="s">
        <v>17</v>
      </c>
      <c r="B17288" t="s">
        <v>1268</v>
      </c>
    </row>
    <row r="17289" spans="1:8" x14ac:dyDescent="0.25">
      <c r="A17289" t="s">
        <v>18</v>
      </c>
      <c r="B17289" t="s">
        <v>1268</v>
      </c>
    </row>
    <row r="17290" spans="1:8" x14ac:dyDescent="0.25">
      <c r="A17290" t="str">
        <f xml:space="preserve"> $H$17282</f>
        <v>&lt;flags count_in_cargo="0" count_in_hoarder="0" count_in_map="1" count_in_player="0" crafted="0" deloot="0"/&gt;</v>
      </c>
      <c r="B17290" t="s">
        <v>1268</v>
      </c>
    </row>
    <row r="17291" spans="1:8" x14ac:dyDescent="0.25">
      <c r="A17291" t="str">
        <f>"&lt;category name=" &amp;"""" &amp;$C$17282&amp;"""/&gt;"</f>
        <v>&lt;category name="tools"/&gt;</v>
      </c>
      <c r="B17291" t="s">
        <v>1268</v>
      </c>
    </row>
    <row r="17292" spans="1:8" x14ac:dyDescent="0.25">
      <c r="A17292" t="s">
        <v>29</v>
      </c>
      <c r="B17292" t="s">
        <v>1268</v>
      </c>
    </row>
    <row r="17293" spans="1:8" x14ac:dyDescent="0.25">
      <c r="A17293" t="s">
        <v>30</v>
      </c>
      <c r="B17293" t="s">
        <v>1268</v>
      </c>
    </row>
    <row r="17294" spans="1:8" x14ac:dyDescent="0.25">
      <c r="A17294" t="s">
        <v>31</v>
      </c>
      <c r="B17294" t="s">
        <v>1268</v>
      </c>
    </row>
    <row r="17295" spans="1:8" x14ac:dyDescent="0.25">
      <c r="A17295" t="s">
        <v>22</v>
      </c>
      <c r="B17295" t="s">
        <v>1268</v>
      </c>
    </row>
    <row r="17296" spans="1:8" x14ac:dyDescent="0.25">
      <c r="A17296" t="s">
        <v>69</v>
      </c>
      <c r="B17296" t="s">
        <v>1269</v>
      </c>
      <c r="C17296" t="s">
        <v>426</v>
      </c>
      <c r="D17296">
        <v>15</v>
      </c>
      <c r="E17296">
        <v>7200</v>
      </c>
      <c r="F17296">
        <v>0</v>
      </c>
      <c r="G17296">
        <v>5</v>
      </c>
      <c r="H17296" t="s">
        <v>19</v>
      </c>
    </row>
    <row r="17297" spans="1:8" x14ac:dyDescent="0.25">
      <c r="A17297" t="str">
        <f>"&lt;nominal&gt;" &amp;$D$17296&amp;"&lt;/nominal&gt;"</f>
        <v>&lt;nominal&gt;15&lt;/nominal&gt;</v>
      </c>
      <c r="B17297" t="s">
        <v>1269</v>
      </c>
    </row>
    <row r="17298" spans="1:8" x14ac:dyDescent="0.25">
      <c r="A17298" t="str">
        <f>"&lt;lifetime&gt;" &amp;$E$17296&amp;"&lt;/lifetime&gt;"</f>
        <v>&lt;lifetime&gt;7200&lt;/lifetime&gt;</v>
      </c>
      <c r="B17298" t="s">
        <v>1269</v>
      </c>
    </row>
    <row r="17299" spans="1:8" x14ac:dyDescent="0.25">
      <c r="A17299" t="str">
        <f>"&lt;restock&gt;" &amp;$F$17296&amp;"&lt;/restock&gt;"</f>
        <v>&lt;restock&gt;0&lt;/restock&gt;</v>
      </c>
      <c r="B17299" t="s">
        <v>1269</v>
      </c>
    </row>
    <row r="17300" spans="1:8" x14ac:dyDescent="0.25">
      <c r="A17300" t="str">
        <f>"&lt;min&gt;" &amp;$G$17296&amp;"&lt;/min&gt;"</f>
        <v>&lt;min&gt;5&lt;/min&gt;</v>
      </c>
      <c r="B17300" t="s">
        <v>1269</v>
      </c>
    </row>
    <row r="17301" spans="1:8" x14ac:dyDescent="0.25">
      <c r="A17301" t="s">
        <v>16</v>
      </c>
      <c r="B17301" t="s">
        <v>1269</v>
      </c>
    </row>
    <row r="17302" spans="1:8" x14ac:dyDescent="0.25">
      <c r="A17302" t="s">
        <v>17</v>
      </c>
      <c r="B17302" t="s">
        <v>1269</v>
      </c>
    </row>
    <row r="17303" spans="1:8" x14ac:dyDescent="0.25">
      <c r="A17303" t="s">
        <v>18</v>
      </c>
      <c r="B17303" t="s">
        <v>1269</v>
      </c>
    </row>
    <row r="17304" spans="1:8" x14ac:dyDescent="0.25">
      <c r="A17304" t="str">
        <f xml:space="preserve"> $H$17296</f>
        <v>&lt;flags count_in_cargo="0" count_in_hoarder="0" count_in_map="1" count_in_player="0" crafted="0" deloot="0"/&gt;</v>
      </c>
      <c r="B17304" t="s">
        <v>1269</v>
      </c>
    </row>
    <row r="17305" spans="1:8" x14ac:dyDescent="0.25">
      <c r="A17305" t="str">
        <f>"&lt;category name=" &amp;"""" &amp;$C$17296&amp;"""/&gt;"</f>
        <v>&lt;category name="tools"/&gt;</v>
      </c>
      <c r="B17305" t="s">
        <v>1269</v>
      </c>
    </row>
    <row r="17306" spans="1:8" x14ac:dyDescent="0.25">
      <c r="A17306" t="s">
        <v>29</v>
      </c>
      <c r="B17306" t="s">
        <v>1269</v>
      </c>
    </row>
    <row r="17307" spans="1:8" x14ac:dyDescent="0.25">
      <c r="A17307" t="s">
        <v>30</v>
      </c>
      <c r="B17307" t="s">
        <v>1269</v>
      </c>
    </row>
    <row r="17308" spans="1:8" x14ac:dyDescent="0.25">
      <c r="A17308" t="s">
        <v>31</v>
      </c>
      <c r="B17308" t="s">
        <v>1269</v>
      </c>
    </row>
    <row r="17309" spans="1:8" x14ac:dyDescent="0.25">
      <c r="A17309" t="s">
        <v>22</v>
      </c>
      <c r="B17309" t="s">
        <v>1269</v>
      </c>
    </row>
    <row r="17310" spans="1:8" x14ac:dyDescent="0.25">
      <c r="A17310" t="s">
        <v>70</v>
      </c>
      <c r="B17310" t="s">
        <v>1270</v>
      </c>
      <c r="C17310" t="s">
        <v>426</v>
      </c>
      <c r="D17310">
        <v>15</v>
      </c>
      <c r="E17310">
        <v>7200</v>
      </c>
      <c r="F17310">
        <v>0</v>
      </c>
      <c r="G17310">
        <v>5</v>
      </c>
      <c r="H17310" t="s">
        <v>19</v>
      </c>
    </row>
    <row r="17311" spans="1:8" x14ac:dyDescent="0.25">
      <c r="A17311" t="str">
        <f>"&lt;nominal&gt;" &amp;$D$17310&amp;"&lt;/nominal&gt;"</f>
        <v>&lt;nominal&gt;15&lt;/nominal&gt;</v>
      </c>
      <c r="B17311" t="s">
        <v>1270</v>
      </c>
    </row>
    <row r="17312" spans="1:8" x14ac:dyDescent="0.25">
      <c r="A17312" t="str">
        <f>"&lt;lifetime&gt;" &amp;$E$17310&amp;"&lt;/lifetime&gt;"</f>
        <v>&lt;lifetime&gt;7200&lt;/lifetime&gt;</v>
      </c>
      <c r="B17312" t="s">
        <v>1270</v>
      </c>
    </row>
    <row r="17313" spans="1:8" x14ac:dyDescent="0.25">
      <c r="A17313" t="str">
        <f>"&lt;restock&gt;" &amp;$F$17310&amp;"&lt;/restock&gt;"</f>
        <v>&lt;restock&gt;0&lt;/restock&gt;</v>
      </c>
      <c r="B17313" t="s">
        <v>1270</v>
      </c>
    </row>
    <row r="17314" spans="1:8" x14ac:dyDescent="0.25">
      <c r="A17314" t="str">
        <f>"&lt;min&gt;" &amp;$G$17310&amp;"&lt;/min&gt;"</f>
        <v>&lt;min&gt;5&lt;/min&gt;</v>
      </c>
      <c r="B17314" t="s">
        <v>1270</v>
      </c>
    </row>
    <row r="17315" spans="1:8" x14ac:dyDescent="0.25">
      <c r="A17315" t="s">
        <v>16</v>
      </c>
      <c r="B17315" t="s">
        <v>1270</v>
      </c>
    </row>
    <row r="17316" spans="1:8" x14ac:dyDescent="0.25">
      <c r="A17316" t="s">
        <v>17</v>
      </c>
      <c r="B17316" t="s">
        <v>1270</v>
      </c>
    </row>
    <row r="17317" spans="1:8" x14ac:dyDescent="0.25">
      <c r="A17317" t="s">
        <v>18</v>
      </c>
      <c r="B17317" t="s">
        <v>1270</v>
      </c>
    </row>
    <row r="17318" spans="1:8" x14ac:dyDescent="0.25">
      <c r="A17318" t="str">
        <f xml:space="preserve"> $H$17310</f>
        <v>&lt;flags count_in_cargo="0" count_in_hoarder="0" count_in_map="1" count_in_player="0" crafted="0" deloot="0"/&gt;</v>
      </c>
      <c r="B17318" t="s">
        <v>1270</v>
      </c>
    </row>
    <row r="17319" spans="1:8" x14ac:dyDescent="0.25">
      <c r="A17319" t="str">
        <f>"&lt;category name=" &amp;"""" &amp;$C$17310&amp;"""/&gt;"</f>
        <v>&lt;category name="tools"/&gt;</v>
      </c>
      <c r="B17319" t="s">
        <v>1270</v>
      </c>
    </row>
    <row r="17320" spans="1:8" x14ac:dyDescent="0.25">
      <c r="A17320" t="s">
        <v>29</v>
      </c>
      <c r="B17320" t="s">
        <v>1270</v>
      </c>
    </row>
    <row r="17321" spans="1:8" x14ac:dyDescent="0.25">
      <c r="A17321" t="s">
        <v>30</v>
      </c>
      <c r="B17321" t="s">
        <v>1270</v>
      </c>
    </row>
    <row r="17322" spans="1:8" x14ac:dyDescent="0.25">
      <c r="A17322" t="s">
        <v>31</v>
      </c>
      <c r="B17322" t="s">
        <v>1270</v>
      </c>
    </row>
    <row r="17323" spans="1:8" x14ac:dyDescent="0.25">
      <c r="A17323" t="s">
        <v>22</v>
      </c>
      <c r="B17323" t="s">
        <v>1270</v>
      </c>
    </row>
    <row r="17324" spans="1:8" x14ac:dyDescent="0.25">
      <c r="B17324" t="s">
        <v>1270</v>
      </c>
    </row>
    <row r="17325" spans="1:8" x14ac:dyDescent="0.25">
      <c r="B17325" t="s">
        <v>1270</v>
      </c>
    </row>
    <row r="17326" spans="1:8" x14ac:dyDescent="0.25">
      <c r="A17326" t="s">
        <v>71</v>
      </c>
      <c r="B17326" t="s">
        <v>1271</v>
      </c>
      <c r="C17326" t="s">
        <v>363</v>
      </c>
      <c r="D17326">
        <v>15</v>
      </c>
      <c r="E17326">
        <v>21600</v>
      </c>
      <c r="F17326">
        <v>0</v>
      </c>
      <c r="G17326">
        <v>5</v>
      </c>
      <c r="H17326" t="s">
        <v>19</v>
      </c>
    </row>
    <row r="17327" spans="1:8" x14ac:dyDescent="0.25">
      <c r="A17327" t="str">
        <f>"&lt;nominal&gt;" &amp;$D$17326&amp;"&lt;/nominal&gt;"</f>
        <v>&lt;nominal&gt;15&lt;/nominal&gt;</v>
      </c>
      <c r="B17327" t="s">
        <v>1271</v>
      </c>
    </row>
    <row r="17328" spans="1:8" x14ac:dyDescent="0.25">
      <c r="A17328" t="str">
        <f>"&lt;lifetime&gt;" &amp;$E$17326&amp;"&lt;/lifetime&gt;"</f>
        <v>&lt;lifetime&gt;21600&lt;/lifetime&gt;</v>
      </c>
      <c r="B17328" t="s">
        <v>1271</v>
      </c>
    </row>
    <row r="17329" spans="1:8" x14ac:dyDescent="0.25">
      <c r="A17329" t="str">
        <f>"&lt;restock&gt;" &amp;$F$17326&amp;"&lt;/restock&gt;"</f>
        <v>&lt;restock&gt;0&lt;/restock&gt;</v>
      </c>
      <c r="B17329" t="s">
        <v>1271</v>
      </c>
    </row>
    <row r="17330" spans="1:8" x14ac:dyDescent="0.25">
      <c r="A17330" t="str">
        <f>"&lt;min&gt;" &amp;$G$17326&amp;"&lt;/min&gt;"</f>
        <v>&lt;min&gt;5&lt;/min&gt;</v>
      </c>
      <c r="B17330" t="s">
        <v>1271</v>
      </c>
    </row>
    <row r="17331" spans="1:8" x14ac:dyDescent="0.25">
      <c r="A17331" t="s">
        <v>16</v>
      </c>
      <c r="B17331" t="s">
        <v>1271</v>
      </c>
    </row>
    <row r="17332" spans="1:8" x14ac:dyDescent="0.25">
      <c r="A17332" t="s">
        <v>17</v>
      </c>
      <c r="B17332" t="s">
        <v>1271</v>
      </c>
    </row>
    <row r="17333" spans="1:8" x14ac:dyDescent="0.25">
      <c r="A17333" t="s">
        <v>18</v>
      </c>
      <c r="B17333" t="s">
        <v>1271</v>
      </c>
    </row>
    <row r="17334" spans="1:8" x14ac:dyDescent="0.25">
      <c r="A17334" t="str">
        <f xml:space="preserve"> $H$17326</f>
        <v>&lt;flags count_in_cargo="0" count_in_hoarder="0" count_in_map="1" count_in_player="0" crafted="0" deloot="0"/&gt;</v>
      </c>
      <c r="B17334" t="s">
        <v>1271</v>
      </c>
    </row>
    <row r="17335" spans="1:8" x14ac:dyDescent="0.25">
      <c r="A17335" t="str">
        <f>"&lt;category name=" &amp;"""" &amp;$C$17326&amp;"""/&gt;"</f>
        <v>&lt;category name="containers"/&gt;</v>
      </c>
      <c r="B17335" t="s">
        <v>1271</v>
      </c>
    </row>
    <row r="17336" spans="1:8" x14ac:dyDescent="0.25">
      <c r="A17336" t="s">
        <v>67</v>
      </c>
      <c r="B17336" t="s">
        <v>1271</v>
      </c>
    </row>
    <row r="17337" spans="1:8" x14ac:dyDescent="0.25">
      <c r="A17337" t="s">
        <v>22</v>
      </c>
      <c r="B17337" t="s">
        <v>1271</v>
      </c>
    </row>
    <row r="17338" spans="1:8" x14ac:dyDescent="0.25">
      <c r="A17338" t="s">
        <v>72</v>
      </c>
      <c r="B17338" t="s">
        <v>1272</v>
      </c>
      <c r="C17338" t="s">
        <v>363</v>
      </c>
      <c r="D17338">
        <v>15</v>
      </c>
      <c r="E17338">
        <v>21600</v>
      </c>
      <c r="F17338">
        <v>0</v>
      </c>
      <c r="G17338">
        <v>5</v>
      </c>
      <c r="H17338" t="s">
        <v>19</v>
      </c>
    </row>
    <row r="17339" spans="1:8" x14ac:dyDescent="0.25">
      <c r="A17339" t="str">
        <f>"&lt;nominal&gt;" &amp;$D$17338&amp;"&lt;/nominal&gt;"</f>
        <v>&lt;nominal&gt;15&lt;/nominal&gt;</v>
      </c>
      <c r="B17339" t="s">
        <v>1272</v>
      </c>
    </row>
    <row r="17340" spans="1:8" x14ac:dyDescent="0.25">
      <c r="A17340" t="str">
        <f>"&lt;lifetime&gt;" &amp;$E$17338&amp;"&lt;/lifetime&gt;"</f>
        <v>&lt;lifetime&gt;21600&lt;/lifetime&gt;</v>
      </c>
      <c r="B17340" t="s">
        <v>1272</v>
      </c>
    </row>
    <row r="17341" spans="1:8" x14ac:dyDescent="0.25">
      <c r="A17341" t="str">
        <f>"&lt;restock&gt;" &amp;$F$17338&amp;"&lt;/restock&gt;"</f>
        <v>&lt;restock&gt;0&lt;/restock&gt;</v>
      </c>
      <c r="B17341" t="s">
        <v>1272</v>
      </c>
    </row>
    <row r="17342" spans="1:8" x14ac:dyDescent="0.25">
      <c r="A17342" t="str">
        <f>"&lt;min&gt;" &amp;$G$17338&amp;"&lt;/min&gt;"</f>
        <v>&lt;min&gt;5&lt;/min&gt;</v>
      </c>
      <c r="B17342" t="s">
        <v>1272</v>
      </c>
    </row>
    <row r="17343" spans="1:8" x14ac:dyDescent="0.25">
      <c r="A17343" t="s">
        <v>16</v>
      </c>
      <c r="B17343" t="s">
        <v>1272</v>
      </c>
    </row>
    <row r="17344" spans="1:8" x14ac:dyDescent="0.25">
      <c r="A17344" t="s">
        <v>17</v>
      </c>
      <c r="B17344" t="s">
        <v>1272</v>
      </c>
    </row>
    <row r="17345" spans="1:8" x14ac:dyDescent="0.25">
      <c r="A17345" t="s">
        <v>18</v>
      </c>
      <c r="B17345" t="s">
        <v>1272</v>
      </c>
    </row>
    <row r="17346" spans="1:8" x14ac:dyDescent="0.25">
      <c r="A17346" t="str">
        <f xml:space="preserve"> $H$17338</f>
        <v>&lt;flags count_in_cargo="0" count_in_hoarder="0" count_in_map="1" count_in_player="0" crafted="0" deloot="0"/&gt;</v>
      </c>
      <c r="B17346" t="s">
        <v>1272</v>
      </c>
    </row>
    <row r="17347" spans="1:8" x14ac:dyDescent="0.25">
      <c r="A17347" t="str">
        <f>"&lt;category name=" &amp;"""" &amp;$C$17338&amp;"""/&gt;"</f>
        <v>&lt;category name="containers"/&gt;</v>
      </c>
      <c r="B17347" t="s">
        <v>1272</v>
      </c>
    </row>
    <row r="17348" spans="1:8" x14ac:dyDescent="0.25">
      <c r="A17348" t="s">
        <v>67</v>
      </c>
      <c r="B17348" t="s">
        <v>1272</v>
      </c>
    </row>
    <row r="17349" spans="1:8" x14ac:dyDescent="0.25">
      <c r="A17349" t="s">
        <v>22</v>
      </c>
      <c r="B17349" t="s">
        <v>1272</v>
      </c>
    </row>
    <row r="17350" spans="1:8" x14ac:dyDescent="0.25">
      <c r="A17350" t="s">
        <v>73</v>
      </c>
      <c r="B17350" t="s">
        <v>1273</v>
      </c>
      <c r="C17350" t="s">
        <v>363</v>
      </c>
      <c r="D17350">
        <v>15</v>
      </c>
      <c r="E17350">
        <v>21600</v>
      </c>
      <c r="F17350">
        <v>0</v>
      </c>
      <c r="G17350">
        <v>5</v>
      </c>
      <c r="H17350" t="s">
        <v>19</v>
      </c>
    </row>
    <row r="17351" spans="1:8" x14ac:dyDescent="0.25">
      <c r="A17351" t="str">
        <f>"&lt;nominal&gt;" &amp;$D$17350&amp;"&lt;/nominal&gt;"</f>
        <v>&lt;nominal&gt;15&lt;/nominal&gt;</v>
      </c>
      <c r="B17351" t="s">
        <v>1273</v>
      </c>
    </row>
    <row r="17352" spans="1:8" x14ac:dyDescent="0.25">
      <c r="A17352" t="str">
        <f>"&lt;lifetime&gt;" &amp;$E$17350&amp;"&lt;/lifetime&gt;"</f>
        <v>&lt;lifetime&gt;21600&lt;/lifetime&gt;</v>
      </c>
      <c r="B17352" t="s">
        <v>1273</v>
      </c>
    </row>
    <row r="17353" spans="1:8" x14ac:dyDescent="0.25">
      <c r="A17353" t="str">
        <f>"&lt;restock&gt;" &amp;$F$17350&amp;"&lt;/restock&gt;"</f>
        <v>&lt;restock&gt;0&lt;/restock&gt;</v>
      </c>
      <c r="B17353" t="s">
        <v>1273</v>
      </c>
    </row>
    <row r="17354" spans="1:8" x14ac:dyDescent="0.25">
      <c r="A17354" t="str">
        <f>"&lt;min&gt;" &amp;$G$17350&amp;"&lt;/min&gt;"</f>
        <v>&lt;min&gt;5&lt;/min&gt;</v>
      </c>
      <c r="B17354" t="s">
        <v>1273</v>
      </c>
    </row>
    <row r="17355" spans="1:8" x14ac:dyDescent="0.25">
      <c r="A17355" t="s">
        <v>16</v>
      </c>
      <c r="B17355" t="s">
        <v>1273</v>
      </c>
    </row>
    <row r="17356" spans="1:8" x14ac:dyDescent="0.25">
      <c r="A17356" t="s">
        <v>17</v>
      </c>
      <c r="B17356" t="s">
        <v>1273</v>
      </c>
    </row>
    <row r="17357" spans="1:8" x14ac:dyDescent="0.25">
      <c r="A17357" t="s">
        <v>18</v>
      </c>
      <c r="B17357" t="s">
        <v>1273</v>
      </c>
    </row>
    <row r="17358" spans="1:8" x14ac:dyDescent="0.25">
      <c r="A17358" t="str">
        <f xml:space="preserve"> $H$17350</f>
        <v>&lt;flags count_in_cargo="0" count_in_hoarder="0" count_in_map="1" count_in_player="0" crafted="0" deloot="0"/&gt;</v>
      </c>
      <c r="B17358" t="s">
        <v>1273</v>
      </c>
    </row>
    <row r="17359" spans="1:8" x14ac:dyDescent="0.25">
      <c r="A17359" t="str">
        <f>"&lt;category name=" &amp;"""" &amp;$C$17350&amp;"""/&gt;"</f>
        <v>&lt;category name="containers"/&gt;</v>
      </c>
      <c r="B17359" t="s">
        <v>1273</v>
      </c>
    </row>
    <row r="17360" spans="1:8" x14ac:dyDescent="0.25">
      <c r="A17360" t="s">
        <v>67</v>
      </c>
      <c r="B17360" t="s">
        <v>1273</v>
      </c>
    </row>
    <row r="17361" spans="1:8" x14ac:dyDescent="0.25">
      <c r="A17361" t="s">
        <v>22</v>
      </c>
      <c r="B17361" t="s">
        <v>1273</v>
      </c>
    </row>
    <row r="17362" spans="1:8" x14ac:dyDescent="0.25">
      <c r="A17362" t="s">
        <v>74</v>
      </c>
      <c r="B17362" t="s">
        <v>1274</v>
      </c>
      <c r="C17362" t="s">
        <v>363</v>
      </c>
      <c r="D17362">
        <v>15</v>
      </c>
      <c r="E17362">
        <v>21600</v>
      </c>
      <c r="F17362">
        <v>0</v>
      </c>
      <c r="G17362">
        <v>5</v>
      </c>
      <c r="H17362" t="s">
        <v>19</v>
      </c>
    </row>
    <row r="17363" spans="1:8" x14ac:dyDescent="0.25">
      <c r="A17363" t="str">
        <f>"&lt;nominal&gt;" &amp;$D$17362&amp;"&lt;/nominal&gt;"</f>
        <v>&lt;nominal&gt;15&lt;/nominal&gt;</v>
      </c>
      <c r="B17363" t="s">
        <v>1274</v>
      </c>
    </row>
    <row r="17364" spans="1:8" x14ac:dyDescent="0.25">
      <c r="A17364" t="str">
        <f>"&lt;lifetime&gt;" &amp;$E$17362&amp;"&lt;/lifetime&gt;"</f>
        <v>&lt;lifetime&gt;21600&lt;/lifetime&gt;</v>
      </c>
      <c r="B17364" t="s">
        <v>1274</v>
      </c>
    </row>
    <row r="17365" spans="1:8" x14ac:dyDescent="0.25">
      <c r="A17365" t="str">
        <f>"&lt;restock&gt;" &amp;$F$17362&amp;"&lt;/restock&gt;"</f>
        <v>&lt;restock&gt;0&lt;/restock&gt;</v>
      </c>
      <c r="B17365" t="s">
        <v>1274</v>
      </c>
    </row>
    <row r="17366" spans="1:8" x14ac:dyDescent="0.25">
      <c r="A17366" t="str">
        <f>"&lt;min&gt;" &amp;$G$17362&amp;"&lt;/min&gt;"</f>
        <v>&lt;min&gt;5&lt;/min&gt;</v>
      </c>
      <c r="B17366" t="s">
        <v>1274</v>
      </c>
    </row>
    <row r="17367" spans="1:8" x14ac:dyDescent="0.25">
      <c r="A17367" t="s">
        <v>16</v>
      </c>
      <c r="B17367" t="s">
        <v>1274</v>
      </c>
    </row>
    <row r="17368" spans="1:8" x14ac:dyDescent="0.25">
      <c r="A17368" t="s">
        <v>17</v>
      </c>
      <c r="B17368" t="s">
        <v>1274</v>
      </c>
    </row>
    <row r="17369" spans="1:8" x14ac:dyDescent="0.25">
      <c r="A17369" t="s">
        <v>18</v>
      </c>
      <c r="B17369" t="s">
        <v>1274</v>
      </c>
    </row>
    <row r="17370" spans="1:8" x14ac:dyDescent="0.25">
      <c r="A17370" t="str">
        <f xml:space="preserve"> $H$17362</f>
        <v>&lt;flags count_in_cargo="0" count_in_hoarder="0" count_in_map="1" count_in_player="0" crafted="0" deloot="0"/&gt;</v>
      </c>
      <c r="B17370" t="s">
        <v>1274</v>
      </c>
    </row>
    <row r="17371" spans="1:8" x14ac:dyDescent="0.25">
      <c r="A17371" t="str">
        <f>"&lt;category name=" &amp;"""" &amp;$C$17362&amp;"""/&gt;"</f>
        <v>&lt;category name="containers"/&gt;</v>
      </c>
      <c r="B17371" t="s">
        <v>1274</v>
      </c>
    </row>
    <row r="17372" spans="1:8" x14ac:dyDescent="0.25">
      <c r="A17372" t="s">
        <v>67</v>
      </c>
      <c r="B17372" t="s">
        <v>1274</v>
      </c>
    </row>
    <row r="17373" spans="1:8" x14ac:dyDescent="0.25">
      <c r="A17373" t="s">
        <v>22</v>
      </c>
      <c r="B17373" t="s">
        <v>1274</v>
      </c>
    </row>
    <row r="17374" spans="1:8" x14ac:dyDescent="0.25">
      <c r="A17374" t="s">
        <v>75</v>
      </c>
      <c r="B17374" t="s">
        <v>1275</v>
      </c>
      <c r="C17374" t="s">
        <v>363</v>
      </c>
      <c r="D17374">
        <v>15</v>
      </c>
      <c r="E17374">
        <v>21600</v>
      </c>
      <c r="F17374">
        <v>0</v>
      </c>
      <c r="G17374">
        <v>5</v>
      </c>
      <c r="H17374" t="s">
        <v>19</v>
      </c>
    </row>
    <row r="17375" spans="1:8" x14ac:dyDescent="0.25">
      <c r="A17375" t="str">
        <f>"&lt;nominal&gt;" &amp;$D$17374&amp;"&lt;/nominal&gt;"</f>
        <v>&lt;nominal&gt;15&lt;/nominal&gt;</v>
      </c>
      <c r="B17375" t="s">
        <v>1275</v>
      </c>
    </row>
    <row r="17376" spans="1:8" x14ac:dyDescent="0.25">
      <c r="A17376" t="str">
        <f>"&lt;lifetime&gt;" &amp;$E$17374&amp;"&lt;/lifetime&gt;"</f>
        <v>&lt;lifetime&gt;21600&lt;/lifetime&gt;</v>
      </c>
      <c r="B17376" t="s">
        <v>1275</v>
      </c>
    </row>
    <row r="17377" spans="1:8" x14ac:dyDescent="0.25">
      <c r="A17377" t="str">
        <f>"&lt;restock&gt;" &amp;$F$17374&amp;"&lt;/restock&gt;"</f>
        <v>&lt;restock&gt;0&lt;/restock&gt;</v>
      </c>
      <c r="B17377" t="s">
        <v>1275</v>
      </c>
    </row>
    <row r="17378" spans="1:8" x14ac:dyDescent="0.25">
      <c r="A17378" t="str">
        <f>"&lt;min&gt;" &amp;$G$17374&amp;"&lt;/min&gt;"</f>
        <v>&lt;min&gt;5&lt;/min&gt;</v>
      </c>
      <c r="B17378" t="s">
        <v>1275</v>
      </c>
    </row>
    <row r="17379" spans="1:8" x14ac:dyDescent="0.25">
      <c r="A17379" t="s">
        <v>16</v>
      </c>
      <c r="B17379" t="s">
        <v>1275</v>
      </c>
    </row>
    <row r="17380" spans="1:8" x14ac:dyDescent="0.25">
      <c r="A17380" t="s">
        <v>17</v>
      </c>
      <c r="B17380" t="s">
        <v>1275</v>
      </c>
    </row>
    <row r="17381" spans="1:8" x14ac:dyDescent="0.25">
      <c r="A17381" t="s">
        <v>18</v>
      </c>
      <c r="B17381" t="s">
        <v>1275</v>
      </c>
    </row>
    <row r="17382" spans="1:8" x14ac:dyDescent="0.25">
      <c r="A17382" t="str">
        <f xml:space="preserve"> $H$17374</f>
        <v>&lt;flags count_in_cargo="0" count_in_hoarder="0" count_in_map="1" count_in_player="0" crafted="0" deloot="0"/&gt;</v>
      </c>
      <c r="B17382" t="s">
        <v>1275</v>
      </c>
    </row>
    <row r="17383" spans="1:8" x14ac:dyDescent="0.25">
      <c r="A17383" t="str">
        <f>"&lt;category name=" &amp;"""" &amp;$C$17374&amp;"""/&gt;"</f>
        <v>&lt;category name="containers"/&gt;</v>
      </c>
      <c r="B17383" t="s">
        <v>1275</v>
      </c>
    </row>
    <row r="17384" spans="1:8" x14ac:dyDescent="0.25">
      <c r="A17384" t="s">
        <v>67</v>
      </c>
      <c r="B17384" t="s">
        <v>1275</v>
      </c>
    </row>
    <row r="17385" spans="1:8" x14ac:dyDescent="0.25">
      <c r="A17385" t="s">
        <v>22</v>
      </c>
      <c r="B17385" t="s">
        <v>1275</v>
      </c>
    </row>
    <row r="17386" spans="1:8" x14ac:dyDescent="0.25">
      <c r="A17386" t="s">
        <v>76</v>
      </c>
      <c r="B17386" t="s">
        <v>1276</v>
      </c>
      <c r="C17386" t="s">
        <v>363</v>
      </c>
      <c r="D17386">
        <v>15</v>
      </c>
      <c r="E17386">
        <v>21600</v>
      </c>
      <c r="F17386">
        <v>0</v>
      </c>
      <c r="G17386">
        <v>5</v>
      </c>
      <c r="H17386" t="s">
        <v>19</v>
      </c>
    </row>
    <row r="17387" spans="1:8" x14ac:dyDescent="0.25">
      <c r="A17387" t="str">
        <f>"&lt;nominal&gt;" &amp;$D$17386&amp;"&lt;/nominal&gt;"</f>
        <v>&lt;nominal&gt;15&lt;/nominal&gt;</v>
      </c>
      <c r="B17387" t="s">
        <v>1276</v>
      </c>
    </row>
    <row r="17388" spans="1:8" x14ac:dyDescent="0.25">
      <c r="A17388" t="str">
        <f>"&lt;lifetime&gt;" &amp;$E$17386&amp;"&lt;/lifetime&gt;"</f>
        <v>&lt;lifetime&gt;21600&lt;/lifetime&gt;</v>
      </c>
      <c r="B17388" t="s">
        <v>1276</v>
      </c>
    </row>
    <row r="17389" spans="1:8" x14ac:dyDescent="0.25">
      <c r="A17389" t="str">
        <f>"&lt;restock&gt;" &amp;$F$17386&amp;"&lt;/restock&gt;"</f>
        <v>&lt;restock&gt;0&lt;/restock&gt;</v>
      </c>
      <c r="B17389" t="s">
        <v>1276</v>
      </c>
    </row>
    <row r="17390" spans="1:8" x14ac:dyDescent="0.25">
      <c r="A17390" t="str">
        <f>"&lt;min&gt;" &amp;$G$17386&amp;"&lt;/min&gt;"</f>
        <v>&lt;min&gt;5&lt;/min&gt;</v>
      </c>
      <c r="B17390" t="s">
        <v>1276</v>
      </c>
    </row>
    <row r="17391" spans="1:8" x14ac:dyDescent="0.25">
      <c r="A17391" t="s">
        <v>16</v>
      </c>
      <c r="B17391" t="s">
        <v>1276</v>
      </c>
    </row>
    <row r="17392" spans="1:8" x14ac:dyDescent="0.25">
      <c r="A17392" t="s">
        <v>17</v>
      </c>
      <c r="B17392" t="s">
        <v>1276</v>
      </c>
    </row>
    <row r="17393" spans="1:8" x14ac:dyDescent="0.25">
      <c r="A17393" t="s">
        <v>18</v>
      </c>
      <c r="B17393" t="s">
        <v>1276</v>
      </c>
    </row>
    <row r="17394" spans="1:8" x14ac:dyDescent="0.25">
      <c r="A17394" t="str">
        <f xml:space="preserve"> $H$17386</f>
        <v>&lt;flags count_in_cargo="0" count_in_hoarder="0" count_in_map="1" count_in_player="0" crafted="0" deloot="0"/&gt;</v>
      </c>
      <c r="B17394" t="s">
        <v>1276</v>
      </c>
    </row>
    <row r="17395" spans="1:8" x14ac:dyDescent="0.25">
      <c r="A17395" t="str">
        <f>"&lt;category name=" &amp;"""" &amp;$C$17386&amp;"""/&gt;"</f>
        <v>&lt;category name="containers"/&gt;</v>
      </c>
      <c r="B17395" t="s">
        <v>1276</v>
      </c>
    </row>
    <row r="17396" spans="1:8" x14ac:dyDescent="0.25">
      <c r="A17396" t="s">
        <v>67</v>
      </c>
      <c r="B17396" t="s">
        <v>1276</v>
      </c>
    </row>
    <row r="17397" spans="1:8" x14ac:dyDescent="0.25">
      <c r="A17397" t="s">
        <v>22</v>
      </c>
      <c r="B17397" t="s">
        <v>1276</v>
      </c>
    </row>
    <row r="17398" spans="1:8" x14ac:dyDescent="0.25">
      <c r="B17398" t="s">
        <v>1276</v>
      </c>
    </row>
    <row r="17399" spans="1:8" x14ac:dyDescent="0.25">
      <c r="A17399" t="s">
        <v>77</v>
      </c>
      <c r="B17399" t="s">
        <v>1277</v>
      </c>
      <c r="C17399" t="s">
        <v>363</v>
      </c>
      <c r="D17399">
        <v>15</v>
      </c>
      <c r="E17399">
        <v>7200</v>
      </c>
      <c r="F17399">
        <v>0</v>
      </c>
      <c r="G17399">
        <v>5</v>
      </c>
      <c r="H17399" t="s">
        <v>19</v>
      </c>
    </row>
    <row r="17400" spans="1:8" x14ac:dyDescent="0.25">
      <c r="A17400" t="str">
        <f>"&lt;nominal&gt;" &amp;$D$17399&amp;"&lt;/nominal&gt;"</f>
        <v>&lt;nominal&gt;15&lt;/nominal&gt;</v>
      </c>
      <c r="B17400" t="s">
        <v>1277</v>
      </c>
    </row>
    <row r="17401" spans="1:8" x14ac:dyDescent="0.25">
      <c r="A17401" t="str">
        <f>"&lt;lifetime&gt;" &amp;$E$17399&amp;"&lt;/lifetime&gt;"</f>
        <v>&lt;lifetime&gt;7200&lt;/lifetime&gt;</v>
      </c>
      <c r="B17401" t="s">
        <v>1277</v>
      </c>
    </row>
    <row r="17402" spans="1:8" x14ac:dyDescent="0.25">
      <c r="A17402" t="str">
        <f>"&lt;restock&gt;" &amp;$F$17399&amp;"&lt;/restock&gt;"</f>
        <v>&lt;restock&gt;0&lt;/restock&gt;</v>
      </c>
      <c r="B17402" t="s">
        <v>1277</v>
      </c>
    </row>
    <row r="17403" spans="1:8" x14ac:dyDescent="0.25">
      <c r="A17403" t="str">
        <f>"&lt;min&gt;" &amp;$G$17399&amp;"&lt;/min&gt;"</f>
        <v>&lt;min&gt;5&lt;/min&gt;</v>
      </c>
      <c r="B17403" t="s">
        <v>1277</v>
      </c>
    </row>
    <row r="17404" spans="1:8" x14ac:dyDescent="0.25">
      <c r="A17404" t="s">
        <v>16</v>
      </c>
      <c r="B17404" t="s">
        <v>1277</v>
      </c>
    </row>
    <row r="17405" spans="1:8" x14ac:dyDescent="0.25">
      <c r="A17405" t="s">
        <v>17</v>
      </c>
      <c r="B17405" t="s">
        <v>1277</v>
      </c>
    </row>
    <row r="17406" spans="1:8" x14ac:dyDescent="0.25">
      <c r="A17406" t="s">
        <v>18</v>
      </c>
      <c r="B17406" t="s">
        <v>1277</v>
      </c>
    </row>
    <row r="17407" spans="1:8" x14ac:dyDescent="0.25">
      <c r="A17407" t="str">
        <f xml:space="preserve"> $H$17399</f>
        <v>&lt;flags count_in_cargo="0" count_in_hoarder="0" count_in_map="1" count_in_player="0" crafted="0" deloot="0"/&gt;</v>
      </c>
      <c r="B17407" t="s">
        <v>1277</v>
      </c>
    </row>
    <row r="17408" spans="1:8" x14ac:dyDescent="0.25">
      <c r="A17408" t="str">
        <f>"&lt;category name=" &amp;"""" &amp;$C$17399&amp;"""/&gt;"</f>
        <v>&lt;category name="containers"/&gt;</v>
      </c>
      <c r="B17408" t="s">
        <v>1277</v>
      </c>
    </row>
    <row r="17409" spans="1:8" x14ac:dyDescent="0.25">
      <c r="A17409" t="s">
        <v>29</v>
      </c>
      <c r="B17409" t="s">
        <v>1277</v>
      </c>
    </row>
    <row r="17410" spans="1:8" x14ac:dyDescent="0.25">
      <c r="A17410" t="s">
        <v>30</v>
      </c>
      <c r="B17410" t="s">
        <v>1277</v>
      </c>
    </row>
    <row r="17411" spans="1:8" x14ac:dyDescent="0.25">
      <c r="A17411" t="s">
        <v>31</v>
      </c>
      <c r="B17411" t="s">
        <v>1277</v>
      </c>
    </row>
    <row r="17412" spans="1:8" x14ac:dyDescent="0.25">
      <c r="A17412" t="s">
        <v>22</v>
      </c>
      <c r="B17412" t="s">
        <v>1277</v>
      </c>
    </row>
    <row r="17413" spans="1:8" x14ac:dyDescent="0.25">
      <c r="A17413" t="s">
        <v>78</v>
      </c>
      <c r="B17413" t="s">
        <v>1278</v>
      </c>
      <c r="C17413" t="s">
        <v>363</v>
      </c>
      <c r="D17413">
        <v>15</v>
      </c>
      <c r="E17413">
        <v>7200</v>
      </c>
      <c r="F17413">
        <v>0</v>
      </c>
      <c r="G17413">
        <v>5</v>
      </c>
      <c r="H17413" t="s">
        <v>19</v>
      </c>
    </row>
    <row r="17414" spans="1:8" x14ac:dyDescent="0.25">
      <c r="A17414" t="str">
        <f>"&lt;nominal&gt;" &amp;$D$17413&amp;"&lt;/nominal&gt;"</f>
        <v>&lt;nominal&gt;15&lt;/nominal&gt;</v>
      </c>
      <c r="B17414" t="s">
        <v>1278</v>
      </c>
    </row>
    <row r="17415" spans="1:8" x14ac:dyDescent="0.25">
      <c r="A17415" t="str">
        <f>"&lt;lifetime&gt;" &amp;$E$17413&amp;"&lt;/lifetime&gt;"</f>
        <v>&lt;lifetime&gt;7200&lt;/lifetime&gt;</v>
      </c>
      <c r="B17415" t="s">
        <v>1278</v>
      </c>
    </row>
    <row r="17416" spans="1:8" x14ac:dyDescent="0.25">
      <c r="A17416" t="str">
        <f>"&lt;restock&gt;" &amp;$F$17413&amp;"&lt;/restock&gt;"</f>
        <v>&lt;restock&gt;0&lt;/restock&gt;</v>
      </c>
      <c r="B17416" t="s">
        <v>1278</v>
      </c>
    </row>
    <row r="17417" spans="1:8" x14ac:dyDescent="0.25">
      <c r="A17417" t="str">
        <f>"&lt;min&gt;" &amp;$G$17413&amp;"&lt;/min&gt;"</f>
        <v>&lt;min&gt;5&lt;/min&gt;</v>
      </c>
      <c r="B17417" t="s">
        <v>1278</v>
      </c>
    </row>
    <row r="17418" spans="1:8" x14ac:dyDescent="0.25">
      <c r="A17418" t="s">
        <v>16</v>
      </c>
      <c r="B17418" t="s">
        <v>1278</v>
      </c>
    </row>
    <row r="17419" spans="1:8" x14ac:dyDescent="0.25">
      <c r="A17419" t="s">
        <v>17</v>
      </c>
      <c r="B17419" t="s">
        <v>1278</v>
      </c>
    </row>
    <row r="17420" spans="1:8" x14ac:dyDescent="0.25">
      <c r="A17420" t="s">
        <v>18</v>
      </c>
      <c r="B17420" t="s">
        <v>1278</v>
      </c>
    </row>
    <row r="17421" spans="1:8" x14ac:dyDescent="0.25">
      <c r="A17421" t="str">
        <f xml:space="preserve"> $H$17413</f>
        <v>&lt;flags count_in_cargo="0" count_in_hoarder="0" count_in_map="1" count_in_player="0" crafted="0" deloot="0"/&gt;</v>
      </c>
      <c r="B17421" t="s">
        <v>1278</v>
      </c>
    </row>
    <row r="17422" spans="1:8" x14ac:dyDescent="0.25">
      <c r="A17422" t="str">
        <f>"&lt;category name=" &amp;"""" &amp;$C$17413&amp;"""/&gt;"</f>
        <v>&lt;category name="containers"/&gt;</v>
      </c>
      <c r="B17422" t="s">
        <v>1278</v>
      </c>
    </row>
    <row r="17423" spans="1:8" x14ac:dyDescent="0.25">
      <c r="A17423" t="s">
        <v>29</v>
      </c>
      <c r="B17423" t="s">
        <v>1278</v>
      </c>
    </row>
    <row r="17424" spans="1:8" x14ac:dyDescent="0.25">
      <c r="A17424" t="s">
        <v>30</v>
      </c>
      <c r="B17424" t="s">
        <v>1278</v>
      </c>
    </row>
    <row r="17425" spans="1:8" x14ac:dyDescent="0.25">
      <c r="A17425" t="s">
        <v>31</v>
      </c>
      <c r="B17425" t="s">
        <v>1278</v>
      </c>
    </row>
    <row r="17426" spans="1:8" x14ac:dyDescent="0.25">
      <c r="A17426" t="s">
        <v>22</v>
      </c>
      <c r="B17426" t="s">
        <v>1278</v>
      </c>
    </row>
    <row r="17427" spans="1:8" x14ac:dyDescent="0.25">
      <c r="A17427" t="s">
        <v>79</v>
      </c>
      <c r="B17427" t="s">
        <v>1279</v>
      </c>
      <c r="C17427" t="s">
        <v>363</v>
      </c>
      <c r="D17427">
        <v>15</v>
      </c>
      <c r="E17427">
        <v>7200</v>
      </c>
      <c r="F17427">
        <v>0</v>
      </c>
      <c r="G17427">
        <v>5</v>
      </c>
      <c r="H17427" t="s">
        <v>19</v>
      </c>
    </row>
    <row r="17428" spans="1:8" x14ac:dyDescent="0.25">
      <c r="A17428" t="str">
        <f>"&lt;nominal&gt;" &amp;$D$17427&amp;"&lt;/nominal&gt;"</f>
        <v>&lt;nominal&gt;15&lt;/nominal&gt;</v>
      </c>
      <c r="B17428" t="s">
        <v>1279</v>
      </c>
    </row>
    <row r="17429" spans="1:8" x14ac:dyDescent="0.25">
      <c r="A17429" t="str">
        <f>"&lt;lifetime&gt;" &amp;$E$17427&amp;"&lt;/lifetime&gt;"</f>
        <v>&lt;lifetime&gt;7200&lt;/lifetime&gt;</v>
      </c>
      <c r="B17429" t="s">
        <v>1279</v>
      </c>
    </row>
    <row r="17430" spans="1:8" x14ac:dyDescent="0.25">
      <c r="A17430" t="str">
        <f>"&lt;restock&gt;" &amp;$F$17427&amp;"&lt;/restock&gt;"</f>
        <v>&lt;restock&gt;0&lt;/restock&gt;</v>
      </c>
      <c r="B17430" t="s">
        <v>1279</v>
      </c>
    </row>
    <row r="17431" spans="1:8" x14ac:dyDescent="0.25">
      <c r="A17431" t="str">
        <f>"&lt;min&gt;" &amp;$G$17427&amp;"&lt;/min&gt;"</f>
        <v>&lt;min&gt;5&lt;/min&gt;</v>
      </c>
      <c r="B17431" t="s">
        <v>1279</v>
      </c>
    </row>
    <row r="17432" spans="1:8" x14ac:dyDescent="0.25">
      <c r="A17432" t="s">
        <v>16</v>
      </c>
      <c r="B17432" t="s">
        <v>1279</v>
      </c>
    </row>
    <row r="17433" spans="1:8" x14ac:dyDescent="0.25">
      <c r="A17433" t="s">
        <v>17</v>
      </c>
      <c r="B17433" t="s">
        <v>1279</v>
      </c>
    </row>
    <row r="17434" spans="1:8" x14ac:dyDescent="0.25">
      <c r="A17434" t="s">
        <v>18</v>
      </c>
      <c r="B17434" t="s">
        <v>1279</v>
      </c>
    </row>
    <row r="17435" spans="1:8" x14ac:dyDescent="0.25">
      <c r="A17435" t="str">
        <f xml:space="preserve"> $H$17427</f>
        <v>&lt;flags count_in_cargo="0" count_in_hoarder="0" count_in_map="1" count_in_player="0" crafted="0" deloot="0"/&gt;</v>
      </c>
      <c r="B17435" t="s">
        <v>1279</v>
      </c>
    </row>
    <row r="17436" spans="1:8" x14ac:dyDescent="0.25">
      <c r="A17436" t="str">
        <f>"&lt;category name=" &amp;"""" &amp;$C$17427&amp;"""/&gt;"</f>
        <v>&lt;category name="containers"/&gt;</v>
      </c>
      <c r="B17436" t="s">
        <v>1279</v>
      </c>
    </row>
    <row r="17437" spans="1:8" x14ac:dyDescent="0.25">
      <c r="A17437" t="s">
        <v>29</v>
      </c>
      <c r="B17437" t="s">
        <v>1279</v>
      </c>
    </row>
    <row r="17438" spans="1:8" x14ac:dyDescent="0.25">
      <c r="A17438" t="s">
        <v>30</v>
      </c>
      <c r="B17438" t="s">
        <v>1279</v>
      </c>
    </row>
    <row r="17439" spans="1:8" x14ac:dyDescent="0.25">
      <c r="A17439" t="s">
        <v>31</v>
      </c>
      <c r="B17439" t="s">
        <v>1279</v>
      </c>
    </row>
    <row r="17440" spans="1:8" x14ac:dyDescent="0.25">
      <c r="A17440" t="s">
        <v>22</v>
      </c>
      <c r="B17440" t="s">
        <v>1279</v>
      </c>
    </row>
    <row r="17441" spans="1:8" x14ac:dyDescent="0.25">
      <c r="B17441" t="s">
        <v>1279</v>
      </c>
    </row>
    <row r="17442" spans="1:8" x14ac:dyDescent="0.25">
      <c r="A17442" t="s">
        <v>80</v>
      </c>
      <c r="B17442" t="s">
        <v>1280</v>
      </c>
      <c r="C17442" t="s">
        <v>403</v>
      </c>
      <c r="D17442">
        <v>5</v>
      </c>
      <c r="E17442">
        <v>7200</v>
      </c>
      <c r="F17442">
        <v>1800</v>
      </c>
      <c r="G17442">
        <v>2</v>
      </c>
      <c r="H17442" t="s">
        <v>19</v>
      </c>
    </row>
    <row r="17443" spans="1:8" x14ac:dyDescent="0.25">
      <c r="A17443" t="str">
        <f>"&lt;nominal&gt;" &amp;$D$17442&amp;"&lt;/nominal&gt;"</f>
        <v>&lt;nominal&gt;5&lt;/nominal&gt;</v>
      </c>
      <c r="B17443" t="s">
        <v>1280</v>
      </c>
    </row>
    <row r="17444" spans="1:8" x14ac:dyDescent="0.25">
      <c r="A17444" t="str">
        <f>"&lt;lifetime&gt;" &amp;$E$17442&amp;"&lt;/lifetime&gt;"</f>
        <v>&lt;lifetime&gt;7200&lt;/lifetime&gt;</v>
      </c>
      <c r="B17444" t="s">
        <v>1280</v>
      </c>
    </row>
    <row r="17445" spans="1:8" x14ac:dyDescent="0.25">
      <c r="A17445" t="str">
        <f>"&lt;restock&gt;" &amp;$F$17442&amp;"&lt;/restock&gt;"</f>
        <v>&lt;restock&gt;1800&lt;/restock&gt;</v>
      </c>
      <c r="B17445" t="s">
        <v>1280</v>
      </c>
    </row>
    <row r="17446" spans="1:8" x14ac:dyDescent="0.25">
      <c r="A17446" t="str">
        <f>"&lt;min&gt;" &amp;$G$17442&amp;"&lt;/min&gt;"</f>
        <v>&lt;min&gt;2&lt;/min&gt;</v>
      </c>
      <c r="B17446" t="s">
        <v>1280</v>
      </c>
    </row>
    <row r="17447" spans="1:8" x14ac:dyDescent="0.25">
      <c r="A17447" t="s">
        <v>16</v>
      </c>
      <c r="B17447" t="s">
        <v>1280</v>
      </c>
    </row>
    <row r="17448" spans="1:8" x14ac:dyDescent="0.25">
      <c r="A17448" t="s">
        <v>17</v>
      </c>
      <c r="B17448" t="s">
        <v>1280</v>
      </c>
    </row>
    <row r="17449" spans="1:8" x14ac:dyDescent="0.25">
      <c r="A17449" t="s">
        <v>18</v>
      </c>
      <c r="B17449" t="s">
        <v>1280</v>
      </c>
    </row>
    <row r="17450" spans="1:8" x14ac:dyDescent="0.25">
      <c r="A17450" t="str">
        <f xml:space="preserve"> $H$17442</f>
        <v>&lt;flags count_in_cargo="0" count_in_hoarder="0" count_in_map="1" count_in_player="0" crafted="0" deloot="0"/&gt;</v>
      </c>
      <c r="B17450" t="s">
        <v>1280</v>
      </c>
    </row>
    <row r="17451" spans="1:8" x14ac:dyDescent="0.25">
      <c r="A17451" t="str">
        <f>"&lt;category name=" &amp;"""" &amp;$C$17442&amp;"""/&gt;"</f>
        <v>&lt;category name="clothes"/&gt;</v>
      </c>
      <c r="B17451" t="s">
        <v>1280</v>
      </c>
    </row>
    <row r="17452" spans="1:8" x14ac:dyDescent="0.25">
      <c r="A17452" t="s">
        <v>29</v>
      </c>
      <c r="B17452" t="s">
        <v>1280</v>
      </c>
    </row>
    <row r="17453" spans="1:8" x14ac:dyDescent="0.25">
      <c r="A17453" t="s">
        <v>31</v>
      </c>
      <c r="B17453" t="s">
        <v>1280</v>
      </c>
    </row>
    <row r="17454" spans="1:8" x14ac:dyDescent="0.25">
      <c r="A17454" t="s">
        <v>307</v>
      </c>
      <c r="B17454" t="s">
        <v>1280</v>
      </c>
    </row>
    <row r="17455" spans="1:8" x14ac:dyDescent="0.25">
      <c r="A17455" t="s">
        <v>22</v>
      </c>
      <c r="B17455" t="s">
        <v>1280</v>
      </c>
    </row>
    <row r="17456" spans="1:8" x14ac:dyDescent="0.25">
      <c r="A17456" t="s">
        <v>81</v>
      </c>
      <c r="B17456" t="s">
        <v>1281</v>
      </c>
      <c r="C17456" t="s">
        <v>8</v>
      </c>
      <c r="D17456">
        <v>20</v>
      </c>
      <c r="E17456">
        <v>7200</v>
      </c>
      <c r="F17456">
        <v>0</v>
      </c>
      <c r="G17456">
        <v>10</v>
      </c>
      <c r="H17456" t="s">
        <v>19</v>
      </c>
    </row>
    <row r="17457" spans="1:8" x14ac:dyDescent="0.25">
      <c r="A17457" t="str">
        <f>"&lt;nominal&gt;" &amp;$D$17456&amp;"&lt;/nominal&gt;"</f>
        <v>&lt;nominal&gt;20&lt;/nominal&gt;</v>
      </c>
      <c r="B17457" t="s">
        <v>1281</v>
      </c>
    </row>
    <row r="17458" spans="1:8" x14ac:dyDescent="0.25">
      <c r="A17458" t="str">
        <f>"&lt;lifetime&gt;" &amp;$E$17456&amp;"&lt;/lifetime&gt;"</f>
        <v>&lt;lifetime&gt;7200&lt;/lifetime&gt;</v>
      </c>
      <c r="B17458" t="s">
        <v>1281</v>
      </c>
    </row>
    <row r="17459" spans="1:8" x14ac:dyDescent="0.25">
      <c r="A17459" t="str">
        <f>"&lt;restock&gt;" &amp;$F$17456&amp;"&lt;/restock&gt;"</f>
        <v>&lt;restock&gt;0&lt;/restock&gt;</v>
      </c>
      <c r="B17459" t="s">
        <v>1281</v>
      </c>
    </row>
    <row r="17460" spans="1:8" x14ac:dyDescent="0.25">
      <c r="A17460" t="str">
        <f>"&lt;min&gt;" &amp;$G$17456&amp;"&lt;/min&gt;"</f>
        <v>&lt;min&gt;10&lt;/min&gt;</v>
      </c>
      <c r="B17460" t="s">
        <v>1281</v>
      </c>
    </row>
    <row r="17461" spans="1:8" x14ac:dyDescent="0.25">
      <c r="A17461" t="s">
        <v>16</v>
      </c>
      <c r="B17461" t="s">
        <v>1281</v>
      </c>
    </row>
    <row r="17462" spans="1:8" x14ac:dyDescent="0.25">
      <c r="A17462" t="s">
        <v>17</v>
      </c>
      <c r="B17462" t="s">
        <v>1281</v>
      </c>
    </row>
    <row r="17463" spans="1:8" x14ac:dyDescent="0.25">
      <c r="A17463" t="s">
        <v>18</v>
      </c>
      <c r="B17463" t="s">
        <v>1281</v>
      </c>
    </row>
    <row r="17464" spans="1:8" x14ac:dyDescent="0.25">
      <c r="A17464" t="str">
        <f xml:space="preserve"> $H$17456</f>
        <v>&lt;flags count_in_cargo="0" count_in_hoarder="0" count_in_map="1" count_in_player="0" crafted="0" deloot="0"/&gt;</v>
      </c>
      <c r="B17464" t="s">
        <v>1281</v>
      </c>
    </row>
    <row r="17465" spans="1:8" x14ac:dyDescent="0.25">
      <c r="A17465" t="str">
        <f>"&lt;category name=" &amp;"""" &amp;$C$17456&amp;"""/&gt;"</f>
        <v>&lt;category name="weapons"/&gt;</v>
      </c>
      <c r="B17465" t="s">
        <v>1281</v>
      </c>
    </row>
    <row r="17466" spans="1:8" x14ac:dyDescent="0.25">
      <c r="A17466" t="s">
        <v>29</v>
      </c>
      <c r="B17466" t="s">
        <v>1281</v>
      </c>
    </row>
    <row r="17467" spans="1:8" x14ac:dyDescent="0.25">
      <c r="A17467" t="s">
        <v>82</v>
      </c>
      <c r="B17467" t="s">
        <v>1281</v>
      </c>
    </row>
    <row r="17468" spans="1:8" x14ac:dyDescent="0.25">
      <c r="A17468" t="s">
        <v>30</v>
      </c>
      <c r="B17468" t="s">
        <v>1281</v>
      </c>
    </row>
    <row r="17469" spans="1:8" x14ac:dyDescent="0.25">
      <c r="A17469" t="s">
        <v>31</v>
      </c>
      <c r="B17469" t="s">
        <v>1281</v>
      </c>
    </row>
    <row r="17470" spans="1:8" x14ac:dyDescent="0.25">
      <c r="A17470" t="s">
        <v>22</v>
      </c>
      <c r="B17470" t="s">
        <v>1281</v>
      </c>
    </row>
    <row r="17471" spans="1:8" x14ac:dyDescent="0.25">
      <c r="B17471" t="s">
        <v>1281</v>
      </c>
    </row>
    <row r="17472" spans="1:8" x14ac:dyDescent="0.25">
      <c r="A17472" t="s">
        <v>83</v>
      </c>
      <c r="B17472" t="s">
        <v>1282</v>
      </c>
      <c r="C17472" t="s">
        <v>8</v>
      </c>
      <c r="D17472">
        <v>5</v>
      </c>
      <c r="E17472">
        <v>10800</v>
      </c>
      <c r="F17472">
        <v>0</v>
      </c>
      <c r="G17472">
        <v>2</v>
      </c>
      <c r="H17472" t="s">
        <v>19</v>
      </c>
    </row>
    <row r="17473" spans="1:8" x14ac:dyDescent="0.25">
      <c r="A17473" t="str">
        <f>"&lt;nominal&gt;" &amp;$D$17472&amp;"&lt;/nominal&gt;"</f>
        <v>&lt;nominal&gt;5&lt;/nominal&gt;</v>
      </c>
      <c r="B17473" t="s">
        <v>1282</v>
      </c>
    </row>
    <row r="17474" spans="1:8" x14ac:dyDescent="0.25">
      <c r="A17474" t="str">
        <f>"&lt;lifetime&gt;" &amp;$E$17472&amp;"&lt;/lifetime&gt;"</f>
        <v>&lt;lifetime&gt;10800&lt;/lifetime&gt;</v>
      </c>
      <c r="B17474" t="s">
        <v>1282</v>
      </c>
    </row>
    <row r="17475" spans="1:8" x14ac:dyDescent="0.25">
      <c r="A17475" t="str">
        <f>"&lt;restock&gt;" &amp;$F$17472&amp;"&lt;/restock&gt;"</f>
        <v>&lt;restock&gt;0&lt;/restock&gt;</v>
      </c>
      <c r="B17475" t="s">
        <v>1282</v>
      </c>
    </row>
    <row r="17476" spans="1:8" x14ac:dyDescent="0.25">
      <c r="A17476" t="str">
        <f>"&lt;min&gt;" &amp;$G$17472&amp;"&lt;/min&gt;"</f>
        <v>&lt;min&gt;2&lt;/min&gt;</v>
      </c>
      <c r="B17476" t="s">
        <v>1282</v>
      </c>
    </row>
    <row r="17477" spans="1:8" x14ac:dyDescent="0.25">
      <c r="A17477" t="s">
        <v>16</v>
      </c>
      <c r="B17477" t="s">
        <v>1282</v>
      </c>
    </row>
    <row r="17478" spans="1:8" x14ac:dyDescent="0.25">
      <c r="A17478" t="s">
        <v>17</v>
      </c>
      <c r="B17478" t="s">
        <v>1282</v>
      </c>
    </row>
    <row r="17479" spans="1:8" x14ac:dyDescent="0.25">
      <c r="A17479" t="s">
        <v>18</v>
      </c>
      <c r="B17479" t="s">
        <v>1282</v>
      </c>
    </row>
    <row r="17480" spans="1:8" x14ac:dyDescent="0.25">
      <c r="A17480" t="str">
        <f xml:space="preserve"> $H$17472</f>
        <v>&lt;flags count_in_cargo="0" count_in_hoarder="0" count_in_map="1" count_in_player="0" crafted="0" deloot="0"/&gt;</v>
      </c>
      <c r="B17480" t="s">
        <v>1282</v>
      </c>
    </row>
    <row r="17481" spans="1:8" x14ac:dyDescent="0.25">
      <c r="A17481" t="str">
        <f>"&lt;category name=" &amp;"""" &amp;$C$17472&amp;"""/&gt;"</f>
        <v>&lt;category name="weapons"/&gt;</v>
      </c>
      <c r="B17481" t="s">
        <v>1282</v>
      </c>
    </row>
    <row r="17482" spans="1:8" x14ac:dyDescent="0.25">
      <c r="A17482" t="s">
        <v>29</v>
      </c>
      <c r="B17482" t="s">
        <v>1282</v>
      </c>
    </row>
    <row r="17483" spans="1:8" x14ac:dyDescent="0.25">
      <c r="A17483" t="s">
        <v>30</v>
      </c>
      <c r="B17483" t="s">
        <v>1282</v>
      </c>
    </row>
    <row r="17484" spans="1:8" x14ac:dyDescent="0.25">
      <c r="A17484" t="s">
        <v>31</v>
      </c>
      <c r="B17484" t="s">
        <v>1282</v>
      </c>
    </row>
    <row r="17485" spans="1:8" x14ac:dyDescent="0.25">
      <c r="A17485" t="s">
        <v>22</v>
      </c>
      <c r="B17485" t="s">
        <v>1282</v>
      </c>
    </row>
    <row r="17486" spans="1:8" x14ac:dyDescent="0.25">
      <c r="A17486" t="s">
        <v>84</v>
      </c>
      <c r="B17486" t="s">
        <v>1283</v>
      </c>
      <c r="C17486" t="s">
        <v>8</v>
      </c>
      <c r="D17486">
        <v>10</v>
      </c>
      <c r="E17486">
        <v>10800</v>
      </c>
      <c r="F17486">
        <v>0</v>
      </c>
      <c r="G17486">
        <v>5</v>
      </c>
      <c r="H17486" t="s">
        <v>19</v>
      </c>
    </row>
    <row r="17487" spans="1:8" x14ac:dyDescent="0.25">
      <c r="A17487" t="str">
        <f>"&lt;nominal&gt;" &amp;$D$17486&amp;"&lt;/nominal&gt;"</f>
        <v>&lt;nominal&gt;10&lt;/nominal&gt;</v>
      </c>
      <c r="B17487" t="s">
        <v>1283</v>
      </c>
    </row>
    <row r="17488" spans="1:8" x14ac:dyDescent="0.25">
      <c r="A17488" t="str">
        <f>"&lt;lifetime&gt;" &amp;$E$17486&amp;"&lt;/lifetime&gt;"</f>
        <v>&lt;lifetime&gt;10800&lt;/lifetime&gt;</v>
      </c>
      <c r="B17488" t="s">
        <v>1283</v>
      </c>
    </row>
    <row r="17489" spans="1:8" x14ac:dyDescent="0.25">
      <c r="A17489" t="str">
        <f>"&lt;restock&gt;" &amp;$F$17486&amp;"&lt;/restock&gt;"</f>
        <v>&lt;restock&gt;0&lt;/restock&gt;</v>
      </c>
      <c r="B17489" t="s">
        <v>1283</v>
      </c>
    </row>
    <row r="17490" spans="1:8" x14ac:dyDescent="0.25">
      <c r="A17490" t="str">
        <f>"&lt;min&gt;" &amp;$G$17486&amp;"&lt;/min&gt;"</f>
        <v>&lt;min&gt;5&lt;/min&gt;</v>
      </c>
      <c r="B17490" t="s">
        <v>1283</v>
      </c>
    </row>
    <row r="17491" spans="1:8" x14ac:dyDescent="0.25">
      <c r="A17491" t="s">
        <v>16</v>
      </c>
      <c r="B17491" t="s">
        <v>1283</v>
      </c>
    </row>
    <row r="17492" spans="1:8" x14ac:dyDescent="0.25">
      <c r="A17492" t="s">
        <v>17</v>
      </c>
      <c r="B17492" t="s">
        <v>1283</v>
      </c>
    </row>
    <row r="17493" spans="1:8" x14ac:dyDescent="0.25">
      <c r="A17493" t="s">
        <v>18</v>
      </c>
      <c r="B17493" t="s">
        <v>1283</v>
      </c>
    </row>
    <row r="17494" spans="1:8" x14ac:dyDescent="0.25">
      <c r="A17494" t="str">
        <f xml:space="preserve"> $H$17486</f>
        <v>&lt;flags count_in_cargo="0" count_in_hoarder="0" count_in_map="1" count_in_player="0" crafted="0" deloot="0"/&gt;</v>
      </c>
      <c r="B17494" t="s">
        <v>1283</v>
      </c>
    </row>
    <row r="17495" spans="1:8" x14ac:dyDescent="0.25">
      <c r="A17495" t="str">
        <f>"&lt;category name=" &amp;"""" &amp;$C$17486&amp;"""/&gt;"</f>
        <v>&lt;category name="weapons"/&gt;</v>
      </c>
      <c r="B17495" t="s">
        <v>1283</v>
      </c>
    </row>
    <row r="17496" spans="1:8" x14ac:dyDescent="0.25">
      <c r="A17496" t="s">
        <v>29</v>
      </c>
      <c r="B17496" t="s">
        <v>1283</v>
      </c>
    </row>
    <row r="17497" spans="1:8" x14ac:dyDescent="0.25">
      <c r="A17497" t="s">
        <v>30</v>
      </c>
      <c r="B17497" t="s">
        <v>1283</v>
      </c>
    </row>
    <row r="17498" spans="1:8" x14ac:dyDescent="0.25">
      <c r="A17498" t="s">
        <v>31</v>
      </c>
      <c r="B17498" t="s">
        <v>1283</v>
      </c>
    </row>
    <row r="17499" spans="1:8" x14ac:dyDescent="0.25">
      <c r="A17499" t="s">
        <v>22</v>
      </c>
      <c r="B17499" t="s">
        <v>1283</v>
      </c>
    </row>
    <row r="17500" spans="1:8" x14ac:dyDescent="0.25">
      <c r="B17500" t="s">
        <v>1283</v>
      </c>
    </row>
    <row r="17501" spans="1:8" x14ac:dyDescent="0.25">
      <c r="A17501" t="s">
        <v>85</v>
      </c>
      <c r="B17501" t="s">
        <v>1284</v>
      </c>
      <c r="C17501" t="s">
        <v>8</v>
      </c>
      <c r="D17501">
        <v>5</v>
      </c>
      <c r="E17501">
        <v>7200</v>
      </c>
      <c r="F17501">
        <v>0</v>
      </c>
      <c r="G17501">
        <v>3</v>
      </c>
      <c r="H17501" t="s">
        <v>28</v>
      </c>
    </row>
    <row r="17502" spans="1:8" x14ac:dyDescent="0.25">
      <c r="A17502" t="str">
        <f>"&lt;nominal&gt;" &amp;$D$17501&amp;"&lt;/nominal&gt;"</f>
        <v>&lt;nominal&gt;5&lt;/nominal&gt;</v>
      </c>
      <c r="B17502" t="s">
        <v>1284</v>
      </c>
    </row>
    <row r="17503" spans="1:8" x14ac:dyDescent="0.25">
      <c r="A17503" t="str">
        <f>"&lt;lifetime&gt;" &amp;$E$17501&amp;"&lt;/lifetime&gt;"</f>
        <v>&lt;lifetime&gt;7200&lt;/lifetime&gt;</v>
      </c>
      <c r="B17503" t="s">
        <v>1284</v>
      </c>
    </row>
    <row r="17504" spans="1:8" x14ac:dyDescent="0.25">
      <c r="A17504" t="str">
        <f>"&lt;restock&gt;" &amp;$F$17501&amp;"&lt;/restock&gt;"</f>
        <v>&lt;restock&gt;0&lt;/restock&gt;</v>
      </c>
      <c r="B17504" t="s">
        <v>1284</v>
      </c>
    </row>
    <row r="17505" spans="1:8" x14ac:dyDescent="0.25">
      <c r="A17505" t="str">
        <f>"&lt;min&gt;" &amp;$G$17501&amp;"&lt;/min&gt;"</f>
        <v>&lt;min&gt;3&lt;/min&gt;</v>
      </c>
      <c r="B17505" t="s">
        <v>1284</v>
      </c>
    </row>
    <row r="17506" spans="1:8" x14ac:dyDescent="0.25">
      <c r="A17506" t="s">
        <v>16</v>
      </c>
      <c r="B17506" t="s">
        <v>1284</v>
      </c>
    </row>
    <row r="17507" spans="1:8" x14ac:dyDescent="0.25">
      <c r="A17507" t="s">
        <v>17</v>
      </c>
      <c r="B17507" t="s">
        <v>1284</v>
      </c>
    </row>
    <row r="17508" spans="1:8" x14ac:dyDescent="0.25">
      <c r="A17508" t="s">
        <v>18</v>
      </c>
      <c r="B17508" t="s">
        <v>1284</v>
      </c>
    </row>
    <row r="17509" spans="1:8" x14ac:dyDescent="0.25">
      <c r="A17509" t="str">
        <f xml:space="preserve"> $H$17501</f>
        <v>&lt;flags count_in_cargo="1" count_in_hoarder="1" count_in_map="1" count_in_player="1" crafted="0" deloot="1"/&gt;</v>
      </c>
      <c r="B17509" t="s">
        <v>1284</v>
      </c>
    </row>
    <row r="17510" spans="1:8" x14ac:dyDescent="0.25">
      <c r="A17510" t="str">
        <f>"&lt;category name=" &amp;"""" &amp;$C$17501&amp;"""/&gt;"</f>
        <v>&lt;category name="weapons"/&gt;</v>
      </c>
      <c r="B17510" t="s">
        <v>1284</v>
      </c>
    </row>
    <row r="17511" spans="1:8" x14ac:dyDescent="0.25">
      <c r="A17511" t="s">
        <v>29</v>
      </c>
      <c r="B17511" t="s">
        <v>1284</v>
      </c>
    </row>
    <row r="17512" spans="1:8" x14ac:dyDescent="0.25">
      <c r="A17512" t="s">
        <v>307</v>
      </c>
      <c r="B17512" t="s">
        <v>1284</v>
      </c>
    </row>
    <row r="17513" spans="1:8" x14ac:dyDescent="0.25">
      <c r="A17513" t="s">
        <v>22</v>
      </c>
      <c r="B17513" t="s">
        <v>1284</v>
      </c>
    </row>
    <row r="17514" spans="1:8" x14ac:dyDescent="0.25">
      <c r="A17514" t="s">
        <v>86</v>
      </c>
      <c r="B17514" t="s">
        <v>1285</v>
      </c>
      <c r="C17514" t="s">
        <v>8</v>
      </c>
      <c r="D17514">
        <v>10</v>
      </c>
      <c r="E17514">
        <v>10800</v>
      </c>
      <c r="F17514">
        <v>1800</v>
      </c>
      <c r="G17514">
        <v>5</v>
      </c>
      <c r="H17514" t="s">
        <v>19</v>
      </c>
    </row>
    <row r="17515" spans="1:8" x14ac:dyDescent="0.25">
      <c r="A17515" t="str">
        <f>"&lt;nominal&gt;" &amp;$D$17514&amp;"&lt;/nominal&gt;"</f>
        <v>&lt;nominal&gt;10&lt;/nominal&gt;</v>
      </c>
      <c r="B17515" t="s">
        <v>1285</v>
      </c>
    </row>
    <row r="17516" spans="1:8" x14ac:dyDescent="0.25">
      <c r="A17516" t="str">
        <f>"&lt;lifetime&gt;" &amp;$E$17514&amp;"&lt;/lifetime&gt;"</f>
        <v>&lt;lifetime&gt;10800&lt;/lifetime&gt;</v>
      </c>
      <c r="B17516" t="s">
        <v>1285</v>
      </c>
    </row>
    <row r="17517" spans="1:8" x14ac:dyDescent="0.25">
      <c r="A17517" t="str">
        <f>"&lt;restock&gt;" &amp;$F$17514&amp;"&lt;/restock&gt;"</f>
        <v>&lt;restock&gt;1800&lt;/restock&gt;</v>
      </c>
      <c r="B17517" t="s">
        <v>1285</v>
      </c>
    </row>
    <row r="17518" spans="1:8" x14ac:dyDescent="0.25">
      <c r="A17518" t="str">
        <f>"&lt;min&gt;" &amp;$G$17514&amp;"&lt;/min&gt;"</f>
        <v>&lt;min&gt;5&lt;/min&gt;</v>
      </c>
      <c r="B17518" t="s">
        <v>1285</v>
      </c>
    </row>
    <row r="17519" spans="1:8" x14ac:dyDescent="0.25">
      <c r="A17519" t="s">
        <v>16</v>
      </c>
      <c r="B17519" t="s">
        <v>1285</v>
      </c>
    </row>
    <row r="17520" spans="1:8" x14ac:dyDescent="0.25">
      <c r="A17520" t="s">
        <v>17</v>
      </c>
      <c r="B17520" t="s">
        <v>1285</v>
      </c>
    </row>
    <row r="17521" spans="1:8" x14ac:dyDescent="0.25">
      <c r="A17521" t="s">
        <v>18</v>
      </c>
      <c r="B17521" t="s">
        <v>1285</v>
      </c>
    </row>
    <row r="17522" spans="1:8" x14ac:dyDescent="0.25">
      <c r="A17522" t="str">
        <f xml:space="preserve"> $H$17514</f>
        <v>&lt;flags count_in_cargo="0" count_in_hoarder="0" count_in_map="1" count_in_player="0" crafted="0" deloot="0"/&gt;</v>
      </c>
      <c r="B17522" t="s">
        <v>1285</v>
      </c>
    </row>
    <row r="17523" spans="1:8" x14ac:dyDescent="0.25">
      <c r="A17523" t="str">
        <f>"&lt;category name=" &amp;"""" &amp;$C$17514&amp;"""/&gt;"</f>
        <v>&lt;category name="weapons"/&gt;</v>
      </c>
      <c r="B17523" t="s">
        <v>1285</v>
      </c>
    </row>
    <row r="17524" spans="1:8" x14ac:dyDescent="0.25">
      <c r="A17524" t="s">
        <v>29</v>
      </c>
      <c r="B17524" t="s">
        <v>1285</v>
      </c>
    </row>
    <row r="17525" spans="1:8" x14ac:dyDescent="0.25">
      <c r="A17525" t="s">
        <v>307</v>
      </c>
      <c r="B17525" t="s">
        <v>1285</v>
      </c>
    </row>
    <row r="17526" spans="1:8" x14ac:dyDescent="0.25">
      <c r="A17526" t="s">
        <v>22</v>
      </c>
      <c r="B17526" t="s">
        <v>1285</v>
      </c>
    </row>
    <row r="17527" spans="1:8" x14ac:dyDescent="0.25">
      <c r="B17527" t="s">
        <v>1285</v>
      </c>
    </row>
    <row r="17528" spans="1:8" x14ac:dyDescent="0.25">
      <c r="A17528" t="s">
        <v>87</v>
      </c>
      <c r="B17528" t="s">
        <v>1286</v>
      </c>
      <c r="C17528" t="s">
        <v>426</v>
      </c>
      <c r="D17528">
        <v>10</v>
      </c>
      <c r="E17528">
        <v>3888000</v>
      </c>
      <c r="F17528">
        <v>0</v>
      </c>
      <c r="G17528">
        <v>5</v>
      </c>
      <c r="H17528" t="s">
        <v>19</v>
      </c>
    </row>
    <row r="17529" spans="1:8" x14ac:dyDescent="0.25">
      <c r="A17529" t="str">
        <f>"&lt;nominal&gt;" &amp;$D$17528&amp;"&lt;/nominal&gt;"</f>
        <v>&lt;nominal&gt;10&lt;/nominal&gt;</v>
      </c>
      <c r="B17529" t="s">
        <v>1286</v>
      </c>
    </row>
    <row r="17530" spans="1:8" x14ac:dyDescent="0.25">
      <c r="A17530" t="str">
        <f>"&lt;lifetime&gt;" &amp;$E$17528&amp;"&lt;/lifetime&gt;"</f>
        <v>&lt;lifetime&gt;3888000&lt;/lifetime&gt;</v>
      </c>
      <c r="B17530" t="s">
        <v>1286</v>
      </c>
    </row>
    <row r="17531" spans="1:8" x14ac:dyDescent="0.25">
      <c r="A17531" t="str">
        <f>"&lt;restock&gt;" &amp;$F$17528&amp;"&lt;/restock&gt;"</f>
        <v>&lt;restock&gt;0&lt;/restock&gt;</v>
      </c>
      <c r="B17531" t="s">
        <v>1286</v>
      </c>
    </row>
    <row r="17532" spans="1:8" x14ac:dyDescent="0.25">
      <c r="A17532" t="str">
        <f>"&lt;min&gt;" &amp;$G$17528&amp;"&lt;/min&gt;"</f>
        <v>&lt;min&gt;5&lt;/min&gt;</v>
      </c>
      <c r="B17532" t="s">
        <v>1286</v>
      </c>
    </row>
    <row r="17533" spans="1:8" x14ac:dyDescent="0.25">
      <c r="A17533" t="s">
        <v>16</v>
      </c>
      <c r="B17533" t="s">
        <v>1286</v>
      </c>
    </row>
    <row r="17534" spans="1:8" x14ac:dyDescent="0.25">
      <c r="A17534" t="s">
        <v>17</v>
      </c>
      <c r="B17534" t="s">
        <v>1286</v>
      </c>
    </row>
    <row r="17535" spans="1:8" x14ac:dyDescent="0.25">
      <c r="A17535" t="s">
        <v>18</v>
      </c>
      <c r="B17535" t="s">
        <v>1286</v>
      </c>
    </row>
    <row r="17536" spans="1:8" x14ac:dyDescent="0.25">
      <c r="A17536" t="str">
        <f xml:space="preserve"> $H$17528</f>
        <v>&lt;flags count_in_cargo="0" count_in_hoarder="0" count_in_map="1" count_in_player="0" crafted="0" deloot="0"/&gt;</v>
      </c>
      <c r="B17536" t="s">
        <v>1286</v>
      </c>
    </row>
    <row r="17537" spans="1:8" x14ac:dyDescent="0.25">
      <c r="A17537" t="str">
        <f>"&lt;category name=" &amp;"""" &amp;$C$17528&amp;"""/&gt;"</f>
        <v>&lt;category name="tools"/&gt;</v>
      </c>
      <c r="B17537" t="s">
        <v>1286</v>
      </c>
    </row>
    <row r="17538" spans="1:8" x14ac:dyDescent="0.25">
      <c r="A17538" t="s">
        <v>29</v>
      </c>
      <c r="B17538" t="s">
        <v>1286</v>
      </c>
    </row>
    <row r="17539" spans="1:8" x14ac:dyDescent="0.25">
      <c r="A17539" t="s">
        <v>22</v>
      </c>
      <c r="B17539" t="s">
        <v>1286</v>
      </c>
    </row>
    <row r="17540" spans="1:8" x14ac:dyDescent="0.25">
      <c r="A17540" t="s">
        <v>88</v>
      </c>
      <c r="B17540" t="s">
        <v>1287</v>
      </c>
      <c r="C17540" t="s">
        <v>426</v>
      </c>
      <c r="D17540">
        <v>10</v>
      </c>
      <c r="E17540">
        <v>3888000</v>
      </c>
      <c r="F17540">
        <v>0</v>
      </c>
      <c r="G17540">
        <v>5</v>
      </c>
      <c r="H17540" t="s">
        <v>19</v>
      </c>
    </row>
    <row r="17541" spans="1:8" x14ac:dyDescent="0.25">
      <c r="A17541" t="str">
        <f>"&lt;nominal&gt;" &amp;$D$17540&amp;"&lt;/nominal&gt;"</f>
        <v>&lt;nominal&gt;10&lt;/nominal&gt;</v>
      </c>
      <c r="B17541" t="s">
        <v>1287</v>
      </c>
    </row>
    <row r="17542" spans="1:8" x14ac:dyDescent="0.25">
      <c r="A17542" t="str">
        <f>"&lt;lifetime&gt;" &amp;$E$17540&amp;"&lt;/lifetime&gt;"</f>
        <v>&lt;lifetime&gt;3888000&lt;/lifetime&gt;</v>
      </c>
      <c r="B17542" t="s">
        <v>1287</v>
      </c>
    </row>
    <row r="17543" spans="1:8" x14ac:dyDescent="0.25">
      <c r="A17543" t="str">
        <f>"&lt;restock&gt;" &amp;$F$17540&amp;"&lt;/restock&gt;"</f>
        <v>&lt;restock&gt;0&lt;/restock&gt;</v>
      </c>
      <c r="B17543" t="s">
        <v>1287</v>
      </c>
    </row>
    <row r="17544" spans="1:8" x14ac:dyDescent="0.25">
      <c r="A17544" t="str">
        <f>"&lt;min&gt;" &amp;$G$17540&amp;"&lt;/min&gt;"</f>
        <v>&lt;min&gt;5&lt;/min&gt;</v>
      </c>
      <c r="B17544" t="s">
        <v>1287</v>
      </c>
    </row>
    <row r="17545" spans="1:8" x14ac:dyDescent="0.25">
      <c r="A17545" t="s">
        <v>16</v>
      </c>
      <c r="B17545" t="s">
        <v>1287</v>
      </c>
    </row>
    <row r="17546" spans="1:8" x14ac:dyDescent="0.25">
      <c r="A17546" t="s">
        <v>17</v>
      </c>
      <c r="B17546" t="s">
        <v>1287</v>
      </c>
    </row>
    <row r="17547" spans="1:8" x14ac:dyDescent="0.25">
      <c r="A17547" t="s">
        <v>18</v>
      </c>
      <c r="B17547" t="s">
        <v>1287</v>
      </c>
    </row>
    <row r="17548" spans="1:8" x14ac:dyDescent="0.25">
      <c r="A17548" t="str">
        <f xml:space="preserve"> $H$17540</f>
        <v>&lt;flags count_in_cargo="0" count_in_hoarder="0" count_in_map="1" count_in_player="0" crafted="0" deloot="0"/&gt;</v>
      </c>
      <c r="B17548" t="s">
        <v>1287</v>
      </c>
    </row>
    <row r="17549" spans="1:8" x14ac:dyDescent="0.25">
      <c r="A17549" t="str">
        <f>"&lt;category name=" &amp;"""" &amp;$C$17540&amp;"""/&gt;"</f>
        <v>&lt;category name="tools"/&gt;</v>
      </c>
      <c r="B17549" t="s">
        <v>1287</v>
      </c>
    </row>
    <row r="17550" spans="1:8" x14ac:dyDescent="0.25">
      <c r="A17550" t="s">
        <v>29</v>
      </c>
      <c r="B17550" t="s">
        <v>1287</v>
      </c>
    </row>
    <row r="17551" spans="1:8" x14ac:dyDescent="0.25">
      <c r="A17551" t="s">
        <v>22</v>
      </c>
      <c r="B17551" t="s">
        <v>1287</v>
      </c>
    </row>
    <row r="17552" spans="1:8" x14ac:dyDescent="0.25">
      <c r="A17552" t="s">
        <v>89</v>
      </c>
      <c r="B17552" t="s">
        <v>1288</v>
      </c>
      <c r="C17552" t="s">
        <v>426</v>
      </c>
      <c r="D17552">
        <v>10</v>
      </c>
      <c r="E17552">
        <v>3888000</v>
      </c>
      <c r="F17552">
        <v>0</v>
      </c>
      <c r="G17552">
        <v>5</v>
      </c>
      <c r="H17552" t="s">
        <v>19</v>
      </c>
    </row>
    <row r="17553" spans="1:8" x14ac:dyDescent="0.25">
      <c r="A17553" t="str">
        <f>"&lt;nominal&gt;" &amp;$D$17552&amp;"&lt;/nominal&gt;"</f>
        <v>&lt;nominal&gt;10&lt;/nominal&gt;</v>
      </c>
      <c r="B17553" t="s">
        <v>1288</v>
      </c>
    </row>
    <row r="17554" spans="1:8" x14ac:dyDescent="0.25">
      <c r="A17554" t="str">
        <f>"&lt;lifetime&gt;" &amp;$E$17552&amp;"&lt;/lifetime&gt;"</f>
        <v>&lt;lifetime&gt;3888000&lt;/lifetime&gt;</v>
      </c>
      <c r="B17554" t="s">
        <v>1288</v>
      </c>
    </row>
    <row r="17555" spans="1:8" x14ac:dyDescent="0.25">
      <c r="A17555" t="str">
        <f>"&lt;restock&gt;" &amp;$F$17552&amp;"&lt;/restock&gt;"</f>
        <v>&lt;restock&gt;0&lt;/restock&gt;</v>
      </c>
      <c r="B17555" t="s">
        <v>1288</v>
      </c>
    </row>
    <row r="17556" spans="1:8" x14ac:dyDescent="0.25">
      <c r="A17556" t="str">
        <f>"&lt;min&gt;" &amp;$G$17552&amp;"&lt;/min&gt;"</f>
        <v>&lt;min&gt;5&lt;/min&gt;</v>
      </c>
      <c r="B17556" t="s">
        <v>1288</v>
      </c>
    </row>
    <row r="17557" spans="1:8" x14ac:dyDescent="0.25">
      <c r="A17557" t="s">
        <v>16</v>
      </c>
      <c r="B17557" t="s">
        <v>1288</v>
      </c>
    </row>
    <row r="17558" spans="1:8" x14ac:dyDescent="0.25">
      <c r="A17558" t="s">
        <v>17</v>
      </c>
      <c r="B17558" t="s">
        <v>1288</v>
      </c>
    </row>
    <row r="17559" spans="1:8" x14ac:dyDescent="0.25">
      <c r="A17559" t="s">
        <v>18</v>
      </c>
      <c r="B17559" t="s">
        <v>1288</v>
      </c>
    </row>
    <row r="17560" spans="1:8" x14ac:dyDescent="0.25">
      <c r="A17560" t="str">
        <f xml:space="preserve"> $H$17552</f>
        <v>&lt;flags count_in_cargo="0" count_in_hoarder="0" count_in_map="1" count_in_player="0" crafted="0" deloot="0"/&gt;</v>
      </c>
      <c r="B17560" t="s">
        <v>1288</v>
      </c>
    </row>
    <row r="17561" spans="1:8" x14ac:dyDescent="0.25">
      <c r="A17561" t="str">
        <f>"&lt;category name=" &amp;"""" &amp;$C$17552&amp;"""/&gt;"</f>
        <v>&lt;category name="tools"/&gt;</v>
      </c>
      <c r="B17561" t="s">
        <v>1288</v>
      </c>
    </row>
    <row r="17562" spans="1:8" x14ac:dyDescent="0.25">
      <c r="A17562" t="s">
        <v>29</v>
      </c>
      <c r="B17562" t="s">
        <v>1288</v>
      </c>
    </row>
    <row r="17563" spans="1:8" x14ac:dyDescent="0.25">
      <c r="A17563" t="s">
        <v>22</v>
      </c>
      <c r="B17563" t="s">
        <v>1288</v>
      </c>
    </row>
    <row r="17564" spans="1:8" x14ac:dyDescent="0.25">
      <c r="A17564" t="s">
        <v>90</v>
      </c>
      <c r="B17564" t="s">
        <v>1289</v>
      </c>
      <c r="C17564" t="s">
        <v>426</v>
      </c>
      <c r="D17564">
        <v>10</v>
      </c>
      <c r="E17564">
        <v>3888000</v>
      </c>
      <c r="F17564">
        <v>0</v>
      </c>
      <c r="G17564">
        <v>5</v>
      </c>
      <c r="H17564" t="s">
        <v>19</v>
      </c>
    </row>
    <row r="17565" spans="1:8" x14ac:dyDescent="0.25">
      <c r="A17565" t="str">
        <f>"&lt;nominal&gt;" &amp;$D$17564&amp;"&lt;/nominal&gt;"</f>
        <v>&lt;nominal&gt;10&lt;/nominal&gt;</v>
      </c>
      <c r="B17565" t="s">
        <v>1289</v>
      </c>
    </row>
    <row r="17566" spans="1:8" x14ac:dyDescent="0.25">
      <c r="A17566" t="str">
        <f>"&lt;lifetime&gt;" &amp;$E$17564&amp;"&lt;/lifetime&gt;"</f>
        <v>&lt;lifetime&gt;3888000&lt;/lifetime&gt;</v>
      </c>
      <c r="B17566" t="s">
        <v>1289</v>
      </c>
    </row>
    <row r="17567" spans="1:8" x14ac:dyDescent="0.25">
      <c r="A17567" t="str">
        <f>"&lt;restock&gt;" &amp;$F$17564&amp;"&lt;/restock&gt;"</f>
        <v>&lt;restock&gt;0&lt;/restock&gt;</v>
      </c>
      <c r="B17567" t="s">
        <v>1289</v>
      </c>
    </row>
    <row r="17568" spans="1:8" x14ac:dyDescent="0.25">
      <c r="A17568" t="str">
        <f>"&lt;min&gt;" &amp;$G$17564&amp;"&lt;/min&gt;"</f>
        <v>&lt;min&gt;5&lt;/min&gt;</v>
      </c>
      <c r="B17568" t="s">
        <v>1289</v>
      </c>
    </row>
    <row r="17569" spans="1:8" x14ac:dyDescent="0.25">
      <c r="A17569" t="s">
        <v>16</v>
      </c>
      <c r="B17569" t="s">
        <v>1289</v>
      </c>
    </row>
    <row r="17570" spans="1:8" x14ac:dyDescent="0.25">
      <c r="A17570" t="s">
        <v>17</v>
      </c>
      <c r="B17570" t="s">
        <v>1289</v>
      </c>
    </row>
    <row r="17571" spans="1:8" x14ac:dyDescent="0.25">
      <c r="A17571" t="s">
        <v>18</v>
      </c>
      <c r="B17571" t="s">
        <v>1289</v>
      </c>
    </row>
    <row r="17572" spans="1:8" x14ac:dyDescent="0.25">
      <c r="A17572" t="str">
        <f xml:space="preserve"> $H$17564</f>
        <v>&lt;flags count_in_cargo="0" count_in_hoarder="0" count_in_map="1" count_in_player="0" crafted="0" deloot="0"/&gt;</v>
      </c>
      <c r="B17572" t="s">
        <v>1289</v>
      </c>
    </row>
    <row r="17573" spans="1:8" x14ac:dyDescent="0.25">
      <c r="A17573" t="str">
        <f>"&lt;category name=" &amp;"""" &amp;$C$17564&amp;"""/&gt;"</f>
        <v>&lt;category name="tools"/&gt;</v>
      </c>
      <c r="B17573" t="s">
        <v>1289</v>
      </c>
    </row>
    <row r="17574" spans="1:8" x14ac:dyDescent="0.25">
      <c r="A17574" t="s">
        <v>29</v>
      </c>
      <c r="B17574" t="s">
        <v>1289</v>
      </c>
    </row>
    <row r="17575" spans="1:8" x14ac:dyDescent="0.25">
      <c r="A17575" t="s">
        <v>22</v>
      </c>
      <c r="B17575" t="s">
        <v>1289</v>
      </c>
    </row>
    <row r="17576" spans="1:8" x14ac:dyDescent="0.25">
      <c r="A17576" t="s">
        <v>91</v>
      </c>
      <c r="B17576" t="s">
        <v>1290</v>
      </c>
      <c r="C17576" t="s">
        <v>363</v>
      </c>
      <c r="D17576">
        <v>25</v>
      </c>
      <c r="E17576">
        <v>21600</v>
      </c>
      <c r="F17576">
        <v>0</v>
      </c>
      <c r="G17576">
        <v>5</v>
      </c>
      <c r="H17576" t="s">
        <v>19</v>
      </c>
    </row>
    <row r="17577" spans="1:8" x14ac:dyDescent="0.25">
      <c r="A17577" t="str">
        <f>"&lt;nominal&gt;" &amp;$D$17576&amp;"&lt;/nominal&gt;"</f>
        <v>&lt;nominal&gt;25&lt;/nominal&gt;</v>
      </c>
      <c r="B17577" t="s">
        <v>1290</v>
      </c>
    </row>
    <row r="17578" spans="1:8" x14ac:dyDescent="0.25">
      <c r="A17578" t="str">
        <f>"&lt;lifetime&gt;" &amp;$E$17576&amp;"&lt;/lifetime&gt;"</f>
        <v>&lt;lifetime&gt;21600&lt;/lifetime&gt;</v>
      </c>
      <c r="B17578" t="s">
        <v>1290</v>
      </c>
    </row>
    <row r="17579" spans="1:8" x14ac:dyDescent="0.25">
      <c r="A17579" t="str">
        <f>"&lt;restock&gt;" &amp;$F$17576&amp;"&lt;/restock&gt;"</f>
        <v>&lt;restock&gt;0&lt;/restock&gt;</v>
      </c>
      <c r="B17579" t="s">
        <v>1290</v>
      </c>
    </row>
    <row r="17580" spans="1:8" x14ac:dyDescent="0.25">
      <c r="A17580" t="str">
        <f>"&lt;min&gt;" &amp;$G$17576&amp;"&lt;/min&gt;"</f>
        <v>&lt;min&gt;5&lt;/min&gt;</v>
      </c>
      <c r="B17580" t="s">
        <v>1290</v>
      </c>
    </row>
    <row r="17581" spans="1:8" x14ac:dyDescent="0.25">
      <c r="A17581" t="s">
        <v>16</v>
      </c>
      <c r="B17581" t="s">
        <v>1290</v>
      </c>
    </row>
    <row r="17582" spans="1:8" x14ac:dyDescent="0.25">
      <c r="A17582" t="s">
        <v>17</v>
      </c>
      <c r="B17582" t="s">
        <v>1290</v>
      </c>
    </row>
    <row r="17583" spans="1:8" x14ac:dyDescent="0.25">
      <c r="A17583" t="s">
        <v>18</v>
      </c>
      <c r="B17583" t="s">
        <v>1290</v>
      </c>
    </row>
    <row r="17584" spans="1:8" x14ac:dyDescent="0.25">
      <c r="A17584" t="str">
        <f xml:space="preserve"> $H$17576</f>
        <v>&lt;flags count_in_cargo="0" count_in_hoarder="0" count_in_map="1" count_in_player="0" crafted="0" deloot="0"/&gt;</v>
      </c>
      <c r="B17584" t="s">
        <v>1290</v>
      </c>
    </row>
    <row r="17585" spans="1:8" x14ac:dyDescent="0.25">
      <c r="A17585" t="str">
        <f>"&lt;category name=" &amp;"""" &amp;$C$17576&amp;"""/&gt;"</f>
        <v>&lt;category name="containers"/&gt;</v>
      </c>
      <c r="B17585" t="s">
        <v>1290</v>
      </c>
    </row>
    <row r="17586" spans="1:8" x14ac:dyDescent="0.25">
      <c r="A17586" t="s">
        <v>39</v>
      </c>
      <c r="B17586" t="s">
        <v>1290</v>
      </c>
    </row>
    <row r="17587" spans="1:8" x14ac:dyDescent="0.25">
      <c r="A17587" t="s">
        <v>40</v>
      </c>
      <c r="B17587" t="s">
        <v>1290</v>
      </c>
    </row>
    <row r="17588" spans="1:8" x14ac:dyDescent="0.25">
      <c r="A17588" t="s">
        <v>92</v>
      </c>
      <c r="B17588" t="s">
        <v>1290</v>
      </c>
    </row>
    <row r="17589" spans="1:8" x14ac:dyDescent="0.25">
      <c r="A17589" t="s">
        <v>22</v>
      </c>
      <c r="B17589" t="s">
        <v>1290</v>
      </c>
    </row>
    <row r="17590" spans="1:8" x14ac:dyDescent="0.25">
      <c r="A17590" t="s">
        <v>93</v>
      </c>
      <c r="B17590" t="s">
        <v>1291</v>
      </c>
      <c r="C17590" t="s">
        <v>363</v>
      </c>
      <c r="D17590">
        <v>25</v>
      </c>
      <c r="E17590">
        <v>21600</v>
      </c>
      <c r="F17590">
        <v>0</v>
      </c>
      <c r="G17590">
        <v>5</v>
      </c>
      <c r="H17590" t="s">
        <v>19</v>
      </c>
    </row>
    <row r="17591" spans="1:8" x14ac:dyDescent="0.25">
      <c r="A17591" t="str">
        <f>"&lt;nominal&gt;" &amp;$D$17590&amp;"&lt;/nominal&gt;"</f>
        <v>&lt;nominal&gt;25&lt;/nominal&gt;</v>
      </c>
      <c r="B17591" t="s">
        <v>1291</v>
      </c>
    </row>
    <row r="17592" spans="1:8" x14ac:dyDescent="0.25">
      <c r="A17592" t="str">
        <f>"&lt;lifetime&gt;" &amp;$E$17590&amp;"&lt;/lifetime&gt;"</f>
        <v>&lt;lifetime&gt;21600&lt;/lifetime&gt;</v>
      </c>
      <c r="B17592" t="s">
        <v>1291</v>
      </c>
    </row>
    <row r="17593" spans="1:8" x14ac:dyDescent="0.25">
      <c r="A17593" t="str">
        <f>"&lt;restock&gt;" &amp;$F$17590&amp;"&lt;/restock&gt;"</f>
        <v>&lt;restock&gt;0&lt;/restock&gt;</v>
      </c>
      <c r="B17593" t="s">
        <v>1291</v>
      </c>
    </row>
    <row r="17594" spans="1:8" x14ac:dyDescent="0.25">
      <c r="A17594" t="str">
        <f>"&lt;min&gt;" &amp;$G$17590&amp;"&lt;/min&gt;"</f>
        <v>&lt;min&gt;5&lt;/min&gt;</v>
      </c>
      <c r="B17594" t="s">
        <v>1291</v>
      </c>
    </row>
    <row r="17595" spans="1:8" x14ac:dyDescent="0.25">
      <c r="A17595" t="s">
        <v>16</v>
      </c>
      <c r="B17595" t="s">
        <v>1291</v>
      </c>
    </row>
    <row r="17596" spans="1:8" x14ac:dyDescent="0.25">
      <c r="A17596" t="s">
        <v>17</v>
      </c>
      <c r="B17596" t="s">
        <v>1291</v>
      </c>
    </row>
    <row r="17597" spans="1:8" x14ac:dyDescent="0.25">
      <c r="A17597" t="s">
        <v>18</v>
      </c>
      <c r="B17597" t="s">
        <v>1291</v>
      </c>
    </row>
    <row r="17598" spans="1:8" x14ac:dyDescent="0.25">
      <c r="A17598" t="str">
        <f xml:space="preserve"> $H$17590</f>
        <v>&lt;flags count_in_cargo="0" count_in_hoarder="0" count_in_map="1" count_in_player="0" crafted="0" deloot="0"/&gt;</v>
      </c>
      <c r="B17598" t="s">
        <v>1291</v>
      </c>
    </row>
    <row r="17599" spans="1:8" x14ac:dyDescent="0.25">
      <c r="A17599" t="str">
        <f>"&lt;category name=" &amp;"""" &amp;$C$17590&amp;"""/&gt;"</f>
        <v>&lt;category name="containers"/&gt;</v>
      </c>
      <c r="B17599" t="s">
        <v>1291</v>
      </c>
    </row>
    <row r="17600" spans="1:8" x14ac:dyDescent="0.25">
      <c r="A17600" t="s">
        <v>39</v>
      </c>
      <c r="B17600" t="s">
        <v>1291</v>
      </c>
    </row>
    <row r="17601" spans="1:8" x14ac:dyDescent="0.25">
      <c r="A17601" t="s">
        <v>40</v>
      </c>
      <c r="B17601" t="s">
        <v>1291</v>
      </c>
    </row>
    <row r="17602" spans="1:8" x14ac:dyDescent="0.25">
      <c r="A17602" t="s">
        <v>92</v>
      </c>
      <c r="B17602" t="s">
        <v>1291</v>
      </c>
    </row>
    <row r="17603" spans="1:8" x14ac:dyDescent="0.25">
      <c r="A17603" t="s">
        <v>22</v>
      </c>
      <c r="B17603" t="s">
        <v>1291</v>
      </c>
    </row>
    <row r="17604" spans="1:8" x14ac:dyDescent="0.25">
      <c r="A17604" t="s">
        <v>94</v>
      </c>
      <c r="B17604" t="s">
        <v>1292</v>
      </c>
      <c r="C17604" t="s">
        <v>363</v>
      </c>
      <c r="D17604">
        <v>25</v>
      </c>
      <c r="E17604">
        <v>21600</v>
      </c>
      <c r="F17604">
        <v>0</v>
      </c>
      <c r="G17604">
        <v>5</v>
      </c>
      <c r="H17604" t="s">
        <v>19</v>
      </c>
    </row>
    <row r="17605" spans="1:8" x14ac:dyDescent="0.25">
      <c r="A17605" t="str">
        <f>"&lt;nominal&gt;" &amp;$D$17604&amp;"&lt;/nominal&gt;"</f>
        <v>&lt;nominal&gt;25&lt;/nominal&gt;</v>
      </c>
      <c r="B17605" t="s">
        <v>1292</v>
      </c>
    </row>
    <row r="17606" spans="1:8" x14ac:dyDescent="0.25">
      <c r="A17606" t="str">
        <f>"&lt;lifetime&gt;" &amp;$E$17604&amp;"&lt;/lifetime&gt;"</f>
        <v>&lt;lifetime&gt;21600&lt;/lifetime&gt;</v>
      </c>
      <c r="B17606" t="s">
        <v>1292</v>
      </c>
    </row>
    <row r="17607" spans="1:8" x14ac:dyDescent="0.25">
      <c r="A17607" t="str">
        <f>"&lt;restock&gt;" &amp;$F$17604&amp;"&lt;/restock&gt;"</f>
        <v>&lt;restock&gt;0&lt;/restock&gt;</v>
      </c>
      <c r="B17607" t="s">
        <v>1292</v>
      </c>
    </row>
    <row r="17608" spans="1:8" x14ac:dyDescent="0.25">
      <c r="A17608" t="str">
        <f>"&lt;min&gt;" &amp;$G$17604&amp;"&lt;/min&gt;"</f>
        <v>&lt;min&gt;5&lt;/min&gt;</v>
      </c>
      <c r="B17608" t="s">
        <v>1292</v>
      </c>
    </row>
    <row r="17609" spans="1:8" x14ac:dyDescent="0.25">
      <c r="A17609" t="s">
        <v>16</v>
      </c>
      <c r="B17609" t="s">
        <v>1292</v>
      </c>
    </row>
    <row r="17610" spans="1:8" x14ac:dyDescent="0.25">
      <c r="A17610" t="s">
        <v>17</v>
      </c>
      <c r="B17610" t="s">
        <v>1292</v>
      </c>
    </row>
    <row r="17611" spans="1:8" x14ac:dyDescent="0.25">
      <c r="A17611" t="s">
        <v>18</v>
      </c>
      <c r="B17611" t="s">
        <v>1292</v>
      </c>
    </row>
    <row r="17612" spans="1:8" x14ac:dyDescent="0.25">
      <c r="A17612" t="str">
        <f xml:space="preserve"> $H$17604</f>
        <v>&lt;flags count_in_cargo="0" count_in_hoarder="0" count_in_map="1" count_in_player="0" crafted="0" deloot="0"/&gt;</v>
      </c>
      <c r="B17612" t="s">
        <v>1292</v>
      </c>
    </row>
    <row r="17613" spans="1:8" x14ac:dyDescent="0.25">
      <c r="A17613" t="str">
        <f>"&lt;category name=" &amp;"""" &amp;$C$17604&amp;"""/&gt;"</f>
        <v>&lt;category name="containers"/&gt;</v>
      </c>
      <c r="B17613" t="s">
        <v>1292</v>
      </c>
    </row>
    <row r="17614" spans="1:8" x14ac:dyDescent="0.25">
      <c r="A17614" t="s">
        <v>39</v>
      </c>
      <c r="B17614" t="s">
        <v>1292</v>
      </c>
    </row>
    <row r="17615" spans="1:8" x14ac:dyDescent="0.25">
      <c r="A17615" t="s">
        <v>40</v>
      </c>
      <c r="B17615" t="s">
        <v>1292</v>
      </c>
    </row>
    <row r="17616" spans="1:8" x14ac:dyDescent="0.25">
      <c r="A17616" t="s">
        <v>92</v>
      </c>
      <c r="B17616" t="s">
        <v>1292</v>
      </c>
    </row>
    <row r="17617" spans="1:8" x14ac:dyDescent="0.25">
      <c r="A17617" t="s">
        <v>22</v>
      </c>
      <c r="B17617" t="s">
        <v>1292</v>
      </c>
    </row>
    <row r="17618" spans="1:8" x14ac:dyDescent="0.25">
      <c r="A17618" t="s">
        <v>95</v>
      </c>
      <c r="B17618" t="s">
        <v>1293</v>
      </c>
      <c r="C17618" t="s">
        <v>363</v>
      </c>
      <c r="D17618">
        <v>25</v>
      </c>
      <c r="E17618">
        <v>21600</v>
      </c>
      <c r="F17618">
        <v>0</v>
      </c>
      <c r="G17618">
        <v>5</v>
      </c>
      <c r="H17618" t="s">
        <v>19</v>
      </c>
    </row>
    <row r="17619" spans="1:8" x14ac:dyDescent="0.25">
      <c r="A17619" t="str">
        <f>"&lt;nominal&gt;" &amp;$D$17618&amp;"&lt;/nominal&gt;"</f>
        <v>&lt;nominal&gt;25&lt;/nominal&gt;</v>
      </c>
      <c r="B17619" t="s">
        <v>1293</v>
      </c>
    </row>
    <row r="17620" spans="1:8" x14ac:dyDescent="0.25">
      <c r="A17620" t="str">
        <f>"&lt;lifetime&gt;" &amp;$E$17618&amp;"&lt;/lifetime&gt;"</f>
        <v>&lt;lifetime&gt;21600&lt;/lifetime&gt;</v>
      </c>
      <c r="B17620" t="s">
        <v>1293</v>
      </c>
    </row>
    <row r="17621" spans="1:8" x14ac:dyDescent="0.25">
      <c r="A17621" t="str">
        <f>"&lt;restock&gt;" &amp;$F$17618&amp;"&lt;/restock&gt;"</f>
        <v>&lt;restock&gt;0&lt;/restock&gt;</v>
      </c>
      <c r="B17621" t="s">
        <v>1293</v>
      </c>
    </row>
    <row r="17622" spans="1:8" x14ac:dyDescent="0.25">
      <c r="A17622" t="str">
        <f>"&lt;min&gt;" &amp;$G$17618&amp;"&lt;/min&gt;"</f>
        <v>&lt;min&gt;5&lt;/min&gt;</v>
      </c>
      <c r="B17622" t="s">
        <v>1293</v>
      </c>
    </row>
    <row r="17623" spans="1:8" x14ac:dyDescent="0.25">
      <c r="A17623" t="s">
        <v>16</v>
      </c>
      <c r="B17623" t="s">
        <v>1293</v>
      </c>
    </row>
    <row r="17624" spans="1:8" x14ac:dyDescent="0.25">
      <c r="A17624" t="s">
        <v>17</v>
      </c>
      <c r="B17624" t="s">
        <v>1293</v>
      </c>
    </row>
    <row r="17625" spans="1:8" x14ac:dyDescent="0.25">
      <c r="A17625" t="s">
        <v>18</v>
      </c>
      <c r="B17625" t="s">
        <v>1293</v>
      </c>
    </row>
    <row r="17626" spans="1:8" x14ac:dyDescent="0.25">
      <c r="A17626" t="str">
        <f xml:space="preserve"> $H$17618</f>
        <v>&lt;flags count_in_cargo="0" count_in_hoarder="0" count_in_map="1" count_in_player="0" crafted="0" deloot="0"/&gt;</v>
      </c>
      <c r="B17626" t="s">
        <v>1293</v>
      </c>
    </row>
    <row r="17627" spans="1:8" x14ac:dyDescent="0.25">
      <c r="A17627" t="str">
        <f>"&lt;category name=" &amp;"""" &amp;$C$17618&amp;"""/&gt;"</f>
        <v>&lt;category name="containers"/&gt;</v>
      </c>
      <c r="B17627" t="s">
        <v>1293</v>
      </c>
    </row>
    <row r="17628" spans="1:8" x14ac:dyDescent="0.25">
      <c r="A17628" t="s">
        <v>39</v>
      </c>
      <c r="B17628" t="s">
        <v>1293</v>
      </c>
    </row>
    <row r="17629" spans="1:8" x14ac:dyDescent="0.25">
      <c r="A17629" t="s">
        <v>40</v>
      </c>
      <c r="B17629" t="s">
        <v>1293</v>
      </c>
    </row>
    <row r="17630" spans="1:8" x14ac:dyDescent="0.25">
      <c r="A17630" t="s">
        <v>92</v>
      </c>
      <c r="B17630" t="s">
        <v>1293</v>
      </c>
    </row>
    <row r="17631" spans="1:8" x14ac:dyDescent="0.25">
      <c r="A17631" t="s">
        <v>22</v>
      </c>
      <c r="B17631" t="s">
        <v>1293</v>
      </c>
    </row>
    <row r="17632" spans="1:8" x14ac:dyDescent="0.25">
      <c r="A17632" t="s">
        <v>96</v>
      </c>
      <c r="B17632" t="s">
        <v>1294</v>
      </c>
      <c r="C17632" t="s">
        <v>363</v>
      </c>
      <c r="D17632">
        <v>25</v>
      </c>
      <c r="E17632">
        <v>21600</v>
      </c>
      <c r="F17632">
        <v>0</v>
      </c>
      <c r="G17632">
        <v>5</v>
      </c>
      <c r="H17632" t="s">
        <v>19</v>
      </c>
    </row>
    <row r="17633" spans="1:8" x14ac:dyDescent="0.25">
      <c r="A17633" t="str">
        <f>"&lt;nominal&gt;" &amp;$D$17632&amp;"&lt;/nominal&gt;"</f>
        <v>&lt;nominal&gt;25&lt;/nominal&gt;</v>
      </c>
      <c r="B17633" t="s">
        <v>1294</v>
      </c>
    </row>
    <row r="17634" spans="1:8" x14ac:dyDescent="0.25">
      <c r="A17634" t="str">
        <f>"&lt;lifetime&gt;" &amp;$E$17632&amp;"&lt;/lifetime&gt;"</f>
        <v>&lt;lifetime&gt;21600&lt;/lifetime&gt;</v>
      </c>
      <c r="B17634" t="s">
        <v>1294</v>
      </c>
    </row>
    <row r="17635" spans="1:8" x14ac:dyDescent="0.25">
      <c r="A17635" t="str">
        <f>"&lt;restock&gt;" &amp;$F$17632&amp;"&lt;/restock&gt;"</f>
        <v>&lt;restock&gt;0&lt;/restock&gt;</v>
      </c>
      <c r="B17635" t="s">
        <v>1294</v>
      </c>
    </row>
    <row r="17636" spans="1:8" x14ac:dyDescent="0.25">
      <c r="A17636" t="str">
        <f>"&lt;min&gt;" &amp;$G$17632&amp;"&lt;/min&gt;"</f>
        <v>&lt;min&gt;5&lt;/min&gt;</v>
      </c>
      <c r="B17636" t="s">
        <v>1294</v>
      </c>
    </row>
    <row r="17637" spans="1:8" x14ac:dyDescent="0.25">
      <c r="A17637" t="s">
        <v>16</v>
      </c>
      <c r="B17637" t="s">
        <v>1294</v>
      </c>
    </row>
    <row r="17638" spans="1:8" x14ac:dyDescent="0.25">
      <c r="A17638" t="s">
        <v>17</v>
      </c>
      <c r="B17638" t="s">
        <v>1294</v>
      </c>
    </row>
    <row r="17639" spans="1:8" x14ac:dyDescent="0.25">
      <c r="A17639" t="s">
        <v>18</v>
      </c>
      <c r="B17639" t="s">
        <v>1294</v>
      </c>
    </row>
    <row r="17640" spans="1:8" x14ac:dyDescent="0.25">
      <c r="A17640" t="str">
        <f xml:space="preserve"> $H$17632</f>
        <v>&lt;flags count_in_cargo="0" count_in_hoarder="0" count_in_map="1" count_in_player="0" crafted="0" deloot="0"/&gt;</v>
      </c>
      <c r="B17640" t="s">
        <v>1294</v>
      </c>
    </row>
    <row r="17641" spans="1:8" x14ac:dyDescent="0.25">
      <c r="A17641" t="str">
        <f>"&lt;category name=" &amp;"""" &amp;$C$17632&amp;"""/&gt;"</f>
        <v>&lt;category name="containers"/&gt;</v>
      </c>
      <c r="B17641" t="s">
        <v>1294</v>
      </c>
    </row>
    <row r="17642" spans="1:8" x14ac:dyDescent="0.25">
      <c r="A17642" t="s">
        <v>39</v>
      </c>
      <c r="B17642" t="s">
        <v>1294</v>
      </c>
    </row>
    <row r="17643" spans="1:8" x14ac:dyDescent="0.25">
      <c r="A17643" t="s">
        <v>40</v>
      </c>
      <c r="B17643" t="s">
        <v>1294</v>
      </c>
    </row>
    <row r="17644" spans="1:8" x14ac:dyDescent="0.25">
      <c r="A17644" t="s">
        <v>92</v>
      </c>
      <c r="B17644" t="s">
        <v>1294</v>
      </c>
    </row>
    <row r="17645" spans="1:8" x14ac:dyDescent="0.25">
      <c r="A17645" t="s">
        <v>22</v>
      </c>
      <c r="B17645" t="s">
        <v>1294</v>
      </c>
    </row>
    <row r="17646" spans="1:8" x14ac:dyDescent="0.25">
      <c r="B17646" t="s">
        <v>1294</v>
      </c>
    </row>
    <row r="17647" spans="1:8" x14ac:dyDescent="0.25">
      <c r="A17647" t="s">
        <v>97</v>
      </c>
      <c r="B17647" t="s">
        <v>1295</v>
      </c>
      <c r="C17647" t="s">
        <v>426</v>
      </c>
      <c r="D17647">
        <v>20</v>
      </c>
      <c r="E17647">
        <v>3888000</v>
      </c>
      <c r="F17647">
        <v>0</v>
      </c>
      <c r="G17647">
        <v>5</v>
      </c>
      <c r="H17647" t="s">
        <v>19</v>
      </c>
    </row>
    <row r="17648" spans="1:8" x14ac:dyDescent="0.25">
      <c r="A17648" t="str">
        <f>"&lt;nominal&gt;" &amp;$D$17647&amp;"&lt;/nominal&gt;"</f>
        <v>&lt;nominal&gt;20&lt;/nominal&gt;</v>
      </c>
      <c r="B17648" t="s">
        <v>1295</v>
      </c>
    </row>
    <row r="17649" spans="1:8" x14ac:dyDescent="0.25">
      <c r="A17649" t="str">
        <f>"&lt;lifetime&gt;" &amp;$E$17647&amp;"&lt;/lifetime&gt;"</f>
        <v>&lt;lifetime&gt;3888000&lt;/lifetime&gt;</v>
      </c>
      <c r="B17649" t="s">
        <v>1295</v>
      </c>
    </row>
    <row r="17650" spans="1:8" x14ac:dyDescent="0.25">
      <c r="A17650" t="str">
        <f>"&lt;restock&gt;" &amp;$F$17647&amp;"&lt;/restock&gt;"</f>
        <v>&lt;restock&gt;0&lt;/restock&gt;</v>
      </c>
      <c r="B17650" t="s">
        <v>1295</v>
      </c>
    </row>
    <row r="17651" spans="1:8" x14ac:dyDescent="0.25">
      <c r="A17651" t="str">
        <f>"&lt;min&gt;" &amp;$G$17647&amp;"&lt;/min&gt;"</f>
        <v>&lt;min&gt;5&lt;/min&gt;</v>
      </c>
      <c r="B17651" t="s">
        <v>1295</v>
      </c>
    </row>
    <row r="17652" spans="1:8" x14ac:dyDescent="0.25">
      <c r="A17652" t="s">
        <v>16</v>
      </c>
      <c r="B17652" t="s">
        <v>1295</v>
      </c>
    </row>
    <row r="17653" spans="1:8" x14ac:dyDescent="0.25">
      <c r="A17653" t="s">
        <v>17</v>
      </c>
      <c r="B17653" t="s">
        <v>1295</v>
      </c>
    </row>
    <row r="17654" spans="1:8" x14ac:dyDescent="0.25">
      <c r="A17654" t="s">
        <v>18</v>
      </c>
      <c r="B17654" t="s">
        <v>1295</v>
      </c>
    </row>
    <row r="17655" spans="1:8" x14ac:dyDescent="0.25">
      <c r="A17655" t="str">
        <f xml:space="preserve"> $H$17647</f>
        <v>&lt;flags count_in_cargo="0" count_in_hoarder="0" count_in_map="1" count_in_player="0" crafted="0" deloot="0"/&gt;</v>
      </c>
      <c r="B17655" t="s">
        <v>1295</v>
      </c>
    </row>
    <row r="17656" spans="1:8" x14ac:dyDescent="0.25">
      <c r="A17656" t="str">
        <f>"&lt;category name=" &amp;"""" &amp;$C$17647&amp;"""/&gt;"</f>
        <v>&lt;category name="tools"/&gt;</v>
      </c>
      <c r="B17656" t="s">
        <v>1295</v>
      </c>
    </row>
    <row r="17657" spans="1:8" x14ac:dyDescent="0.25">
      <c r="A17657" t="s">
        <v>55</v>
      </c>
      <c r="B17657" t="s">
        <v>1295</v>
      </c>
    </row>
    <row r="17658" spans="1:8" x14ac:dyDescent="0.25">
      <c r="A17658" t="s">
        <v>56</v>
      </c>
      <c r="B17658" t="s">
        <v>1295</v>
      </c>
    </row>
    <row r="17659" spans="1:8" x14ac:dyDescent="0.25">
      <c r="A17659" t="s">
        <v>40</v>
      </c>
      <c r="B17659" t="s">
        <v>1295</v>
      </c>
    </row>
    <row r="17660" spans="1:8" x14ac:dyDescent="0.25">
      <c r="A17660" t="s">
        <v>22</v>
      </c>
      <c r="B17660" t="s">
        <v>1295</v>
      </c>
    </row>
    <row r="17661" spans="1:8" x14ac:dyDescent="0.25">
      <c r="B17661" t="s">
        <v>1295</v>
      </c>
    </row>
    <row r="17662" spans="1:8" x14ac:dyDescent="0.25">
      <c r="A17662" t="s">
        <v>98</v>
      </c>
      <c r="B17662" t="s">
        <v>1296</v>
      </c>
      <c r="C17662" t="s">
        <v>426</v>
      </c>
      <c r="D17662">
        <v>10</v>
      </c>
      <c r="E17662">
        <v>7200</v>
      </c>
      <c r="F17662">
        <v>0</v>
      </c>
      <c r="G17662">
        <v>4</v>
      </c>
      <c r="H17662" t="s">
        <v>19</v>
      </c>
    </row>
    <row r="17663" spans="1:8" x14ac:dyDescent="0.25">
      <c r="A17663" t="str">
        <f>"&lt;nominal&gt;" &amp;$D$17662&amp;"&lt;/nominal&gt;"</f>
        <v>&lt;nominal&gt;10&lt;/nominal&gt;</v>
      </c>
      <c r="B17663" t="s">
        <v>1296</v>
      </c>
    </row>
    <row r="17664" spans="1:8" x14ac:dyDescent="0.25">
      <c r="A17664" t="str">
        <f>"&lt;lifetime&gt;" &amp;$E$17662&amp;"&lt;/lifetime&gt;"</f>
        <v>&lt;lifetime&gt;7200&lt;/lifetime&gt;</v>
      </c>
      <c r="B17664" t="s">
        <v>1296</v>
      </c>
    </row>
    <row r="17665" spans="1:8" x14ac:dyDescent="0.25">
      <c r="A17665" t="str">
        <f>"&lt;restock&gt;" &amp;$F$17662&amp;"&lt;/restock&gt;"</f>
        <v>&lt;restock&gt;0&lt;/restock&gt;</v>
      </c>
      <c r="B17665" t="s">
        <v>1296</v>
      </c>
    </row>
    <row r="17666" spans="1:8" x14ac:dyDescent="0.25">
      <c r="A17666" t="str">
        <f>"&lt;min&gt;" &amp;$G$17662&amp;"&lt;/min&gt;"</f>
        <v>&lt;min&gt;4&lt;/min&gt;</v>
      </c>
      <c r="B17666" t="s">
        <v>1296</v>
      </c>
    </row>
    <row r="17667" spans="1:8" x14ac:dyDescent="0.25">
      <c r="A17667" t="s">
        <v>16</v>
      </c>
      <c r="B17667" t="s">
        <v>1296</v>
      </c>
    </row>
    <row r="17668" spans="1:8" x14ac:dyDescent="0.25">
      <c r="A17668" t="s">
        <v>17</v>
      </c>
      <c r="B17668" t="s">
        <v>1296</v>
      </c>
    </row>
    <row r="17669" spans="1:8" x14ac:dyDescent="0.25">
      <c r="A17669" t="s">
        <v>18</v>
      </c>
      <c r="B17669" t="s">
        <v>1296</v>
      </c>
    </row>
    <row r="17670" spans="1:8" x14ac:dyDescent="0.25">
      <c r="A17670" t="str">
        <f xml:space="preserve"> $H$17662</f>
        <v>&lt;flags count_in_cargo="0" count_in_hoarder="0" count_in_map="1" count_in_player="0" crafted="0" deloot="0"/&gt;</v>
      </c>
      <c r="B17670" t="s">
        <v>1296</v>
      </c>
    </row>
    <row r="17671" spans="1:8" x14ac:dyDescent="0.25">
      <c r="A17671" t="str">
        <f>"&lt;category name=" &amp;"""" &amp;$C$17662&amp;"""/&gt;"</f>
        <v>&lt;category name="tools"/&gt;</v>
      </c>
      <c r="B17671" t="s">
        <v>1296</v>
      </c>
    </row>
    <row r="17672" spans="1:8" x14ac:dyDescent="0.25">
      <c r="A17672" t="s">
        <v>55</v>
      </c>
      <c r="B17672" t="s">
        <v>1296</v>
      </c>
    </row>
    <row r="17673" spans="1:8" x14ac:dyDescent="0.25">
      <c r="A17673" t="s">
        <v>56</v>
      </c>
      <c r="B17673" t="s">
        <v>1296</v>
      </c>
    </row>
    <row r="17674" spans="1:8" x14ac:dyDescent="0.25">
      <c r="A17674" t="s">
        <v>40</v>
      </c>
      <c r="B17674" t="s">
        <v>1296</v>
      </c>
    </row>
    <row r="17675" spans="1:8" x14ac:dyDescent="0.25">
      <c r="A17675" t="s">
        <v>22</v>
      </c>
      <c r="B17675" t="s">
        <v>1296</v>
      </c>
    </row>
    <row r="17676" spans="1:8" x14ac:dyDescent="0.25">
      <c r="A17676" t="s">
        <v>99</v>
      </c>
      <c r="B17676" t="s">
        <v>1297</v>
      </c>
      <c r="C17676" t="s">
        <v>426</v>
      </c>
      <c r="D17676">
        <v>10</v>
      </c>
      <c r="E17676">
        <v>7200</v>
      </c>
      <c r="F17676">
        <v>0</v>
      </c>
      <c r="G17676">
        <v>4</v>
      </c>
      <c r="H17676" t="s">
        <v>19</v>
      </c>
    </row>
    <row r="17677" spans="1:8" x14ac:dyDescent="0.25">
      <c r="A17677" t="str">
        <f>"&lt;nominal&gt;" &amp;$D$17676&amp;"&lt;/nominal&gt;"</f>
        <v>&lt;nominal&gt;10&lt;/nominal&gt;</v>
      </c>
      <c r="B17677" t="s">
        <v>1297</v>
      </c>
    </row>
    <row r="17678" spans="1:8" x14ac:dyDescent="0.25">
      <c r="A17678" t="str">
        <f>"&lt;lifetime&gt;" &amp;$E$17676&amp;"&lt;/lifetime&gt;"</f>
        <v>&lt;lifetime&gt;7200&lt;/lifetime&gt;</v>
      </c>
      <c r="B17678" t="s">
        <v>1297</v>
      </c>
    </row>
    <row r="17679" spans="1:8" x14ac:dyDescent="0.25">
      <c r="A17679" t="str">
        <f>"&lt;restock&gt;" &amp;$F$17676&amp;"&lt;/restock&gt;"</f>
        <v>&lt;restock&gt;0&lt;/restock&gt;</v>
      </c>
      <c r="B17679" t="s">
        <v>1297</v>
      </c>
    </row>
    <row r="17680" spans="1:8" x14ac:dyDescent="0.25">
      <c r="A17680" t="str">
        <f>"&lt;min&gt;" &amp;$G$17676&amp;"&lt;/min&gt;"</f>
        <v>&lt;min&gt;4&lt;/min&gt;</v>
      </c>
      <c r="B17680" t="s">
        <v>1297</v>
      </c>
    </row>
    <row r="17681" spans="1:8" x14ac:dyDescent="0.25">
      <c r="A17681" t="s">
        <v>16</v>
      </c>
      <c r="B17681" t="s">
        <v>1297</v>
      </c>
    </row>
    <row r="17682" spans="1:8" x14ac:dyDescent="0.25">
      <c r="A17682" t="s">
        <v>17</v>
      </c>
      <c r="B17682" t="s">
        <v>1297</v>
      </c>
    </row>
    <row r="17683" spans="1:8" x14ac:dyDescent="0.25">
      <c r="A17683" t="s">
        <v>18</v>
      </c>
      <c r="B17683" t="s">
        <v>1297</v>
      </c>
    </row>
    <row r="17684" spans="1:8" x14ac:dyDescent="0.25">
      <c r="A17684" t="str">
        <f xml:space="preserve"> $H$17676</f>
        <v>&lt;flags count_in_cargo="0" count_in_hoarder="0" count_in_map="1" count_in_player="0" crafted="0" deloot="0"/&gt;</v>
      </c>
      <c r="B17684" t="s">
        <v>1297</v>
      </c>
    </row>
    <row r="17685" spans="1:8" x14ac:dyDescent="0.25">
      <c r="A17685" t="str">
        <f>"&lt;category name=" &amp;"""" &amp;$C$17676&amp;"""/&gt;"</f>
        <v>&lt;category name="tools"/&gt;</v>
      </c>
      <c r="B17685" t="s">
        <v>1297</v>
      </c>
    </row>
    <row r="17686" spans="1:8" x14ac:dyDescent="0.25">
      <c r="A17686" t="s">
        <v>55</v>
      </c>
      <c r="B17686" t="s">
        <v>1297</v>
      </c>
    </row>
    <row r="17687" spans="1:8" x14ac:dyDescent="0.25">
      <c r="A17687" t="s">
        <v>56</v>
      </c>
      <c r="B17687" t="s">
        <v>1297</v>
      </c>
    </row>
    <row r="17688" spans="1:8" x14ac:dyDescent="0.25">
      <c r="A17688" t="s">
        <v>40</v>
      </c>
      <c r="B17688" t="s">
        <v>1297</v>
      </c>
    </row>
    <row r="17689" spans="1:8" x14ac:dyDescent="0.25">
      <c r="A17689" t="s">
        <v>22</v>
      </c>
      <c r="B17689" t="s">
        <v>1297</v>
      </c>
    </row>
    <row r="17690" spans="1:8" x14ac:dyDescent="0.25">
      <c r="A17690" t="s">
        <v>100</v>
      </c>
      <c r="B17690" t="s">
        <v>1298</v>
      </c>
      <c r="C17690" t="s">
        <v>426</v>
      </c>
      <c r="D17690">
        <v>30</v>
      </c>
      <c r="E17690">
        <v>7200</v>
      </c>
      <c r="F17690">
        <v>0</v>
      </c>
      <c r="G17690">
        <v>5</v>
      </c>
      <c r="H17690" t="s">
        <v>19</v>
      </c>
    </row>
    <row r="17691" spans="1:8" x14ac:dyDescent="0.25">
      <c r="A17691" t="str">
        <f>"&lt;nominal&gt;" &amp;$D$17690&amp;"&lt;/nominal&gt;"</f>
        <v>&lt;nominal&gt;30&lt;/nominal&gt;</v>
      </c>
      <c r="B17691" t="s">
        <v>1298</v>
      </c>
    </row>
    <row r="17692" spans="1:8" x14ac:dyDescent="0.25">
      <c r="A17692" t="str">
        <f>"&lt;lifetime&gt;" &amp;$E$17690&amp;"&lt;/lifetime&gt;"</f>
        <v>&lt;lifetime&gt;7200&lt;/lifetime&gt;</v>
      </c>
      <c r="B17692" t="s">
        <v>1298</v>
      </c>
    </row>
    <row r="17693" spans="1:8" x14ac:dyDescent="0.25">
      <c r="A17693" t="str">
        <f>"&lt;restock&gt;" &amp;$F$17690&amp;"&lt;/restock&gt;"</f>
        <v>&lt;restock&gt;0&lt;/restock&gt;</v>
      </c>
      <c r="B17693" t="s">
        <v>1298</v>
      </c>
    </row>
    <row r="17694" spans="1:8" x14ac:dyDescent="0.25">
      <c r="A17694" t="str">
        <f>"&lt;min&gt;" &amp;$G$17690&amp;"&lt;/min&gt;"</f>
        <v>&lt;min&gt;5&lt;/min&gt;</v>
      </c>
      <c r="B17694" t="s">
        <v>1298</v>
      </c>
    </row>
    <row r="17695" spans="1:8" x14ac:dyDescent="0.25">
      <c r="A17695" t="s">
        <v>16</v>
      </c>
      <c r="B17695" t="s">
        <v>1298</v>
      </c>
    </row>
    <row r="17696" spans="1:8" x14ac:dyDescent="0.25">
      <c r="A17696" t="s">
        <v>17</v>
      </c>
      <c r="B17696" t="s">
        <v>1298</v>
      </c>
    </row>
    <row r="17697" spans="1:8" x14ac:dyDescent="0.25">
      <c r="A17697" t="s">
        <v>18</v>
      </c>
      <c r="B17697" t="s">
        <v>1298</v>
      </c>
    </row>
    <row r="17698" spans="1:8" x14ac:dyDescent="0.25">
      <c r="A17698" t="str">
        <f xml:space="preserve"> $H$17690</f>
        <v>&lt;flags count_in_cargo="0" count_in_hoarder="0" count_in_map="1" count_in_player="0" crafted="0" deloot="0"/&gt;</v>
      </c>
      <c r="B17698" t="s">
        <v>1298</v>
      </c>
    </row>
    <row r="17699" spans="1:8" x14ac:dyDescent="0.25">
      <c r="A17699" t="str">
        <f>"&lt;category name=" &amp;"""" &amp;$C$17690&amp;"""/&gt;"</f>
        <v>&lt;category name="tools"/&gt;</v>
      </c>
      <c r="B17699" t="s">
        <v>1298</v>
      </c>
    </row>
    <row r="17700" spans="1:8" x14ac:dyDescent="0.25">
      <c r="A17700" t="s">
        <v>55</v>
      </c>
      <c r="B17700" t="s">
        <v>1298</v>
      </c>
    </row>
    <row r="17701" spans="1:8" x14ac:dyDescent="0.25">
      <c r="A17701" t="s">
        <v>56</v>
      </c>
      <c r="B17701" t="s">
        <v>1298</v>
      </c>
    </row>
    <row r="17702" spans="1:8" x14ac:dyDescent="0.25">
      <c r="A17702" t="s">
        <v>40</v>
      </c>
      <c r="B17702" t="s">
        <v>1298</v>
      </c>
    </row>
    <row r="17703" spans="1:8" x14ac:dyDescent="0.25">
      <c r="A17703" t="s">
        <v>22</v>
      </c>
      <c r="B17703" t="s">
        <v>1298</v>
      </c>
    </row>
    <row r="17704" spans="1:8" x14ac:dyDescent="0.25">
      <c r="A17704" t="s">
        <v>101</v>
      </c>
      <c r="B17704" t="s">
        <v>1299</v>
      </c>
      <c r="C17704" t="s">
        <v>426</v>
      </c>
      <c r="D17704">
        <v>30</v>
      </c>
      <c r="E17704">
        <v>7200</v>
      </c>
      <c r="F17704">
        <v>0</v>
      </c>
      <c r="G17704">
        <v>5</v>
      </c>
      <c r="H17704" t="s">
        <v>19</v>
      </c>
    </row>
    <row r="17705" spans="1:8" x14ac:dyDescent="0.25">
      <c r="A17705" t="str">
        <f>"&lt;nominal&gt;" &amp;$D$17704&amp;"&lt;/nominal&gt;"</f>
        <v>&lt;nominal&gt;30&lt;/nominal&gt;</v>
      </c>
      <c r="B17705" t="s">
        <v>1299</v>
      </c>
    </row>
    <row r="17706" spans="1:8" x14ac:dyDescent="0.25">
      <c r="A17706" t="str">
        <f>"&lt;lifetime&gt;" &amp;$E$17704&amp;"&lt;/lifetime&gt;"</f>
        <v>&lt;lifetime&gt;7200&lt;/lifetime&gt;</v>
      </c>
      <c r="B17706" t="s">
        <v>1299</v>
      </c>
    </row>
    <row r="17707" spans="1:8" x14ac:dyDescent="0.25">
      <c r="A17707" t="str">
        <f>"&lt;restock&gt;" &amp;$F$17704&amp;"&lt;/restock&gt;"</f>
        <v>&lt;restock&gt;0&lt;/restock&gt;</v>
      </c>
      <c r="B17707" t="s">
        <v>1299</v>
      </c>
    </row>
    <row r="17708" spans="1:8" x14ac:dyDescent="0.25">
      <c r="A17708" t="str">
        <f>"&lt;min&gt;" &amp;$G$17704&amp;"&lt;/min&gt;"</f>
        <v>&lt;min&gt;5&lt;/min&gt;</v>
      </c>
      <c r="B17708" t="s">
        <v>1299</v>
      </c>
    </row>
    <row r="17709" spans="1:8" x14ac:dyDescent="0.25">
      <c r="A17709" t="s">
        <v>16</v>
      </c>
      <c r="B17709" t="s">
        <v>1299</v>
      </c>
    </row>
    <row r="17710" spans="1:8" x14ac:dyDescent="0.25">
      <c r="A17710" t="s">
        <v>17</v>
      </c>
      <c r="B17710" t="s">
        <v>1299</v>
      </c>
    </row>
    <row r="17711" spans="1:8" x14ac:dyDescent="0.25">
      <c r="A17711" t="s">
        <v>18</v>
      </c>
      <c r="B17711" t="s">
        <v>1299</v>
      </c>
    </row>
    <row r="17712" spans="1:8" x14ac:dyDescent="0.25">
      <c r="A17712" t="str">
        <f xml:space="preserve"> $H$17704</f>
        <v>&lt;flags count_in_cargo="0" count_in_hoarder="0" count_in_map="1" count_in_player="0" crafted="0" deloot="0"/&gt;</v>
      </c>
      <c r="B17712" t="s">
        <v>1299</v>
      </c>
    </row>
    <row r="17713" spans="1:8" x14ac:dyDescent="0.25">
      <c r="A17713" t="str">
        <f>"&lt;category name=" &amp;"""" &amp;$C$17704&amp;"""/&gt;"</f>
        <v>&lt;category name="tools"/&gt;</v>
      </c>
      <c r="B17713" t="s">
        <v>1299</v>
      </c>
    </row>
    <row r="17714" spans="1:8" x14ac:dyDescent="0.25">
      <c r="A17714" t="s">
        <v>55</v>
      </c>
      <c r="B17714" t="s">
        <v>1299</v>
      </c>
    </row>
    <row r="17715" spans="1:8" x14ac:dyDescent="0.25">
      <c r="A17715" t="s">
        <v>56</v>
      </c>
      <c r="B17715" t="s">
        <v>1299</v>
      </c>
    </row>
    <row r="17716" spans="1:8" x14ac:dyDescent="0.25">
      <c r="A17716" t="s">
        <v>40</v>
      </c>
      <c r="B17716" t="s">
        <v>1299</v>
      </c>
    </row>
    <row r="17717" spans="1:8" x14ac:dyDescent="0.25">
      <c r="A17717" t="s">
        <v>22</v>
      </c>
      <c r="B17717" t="s">
        <v>1299</v>
      </c>
    </row>
    <row r="17718" spans="1:8" x14ac:dyDescent="0.25">
      <c r="B17718" t="s">
        <v>1299</v>
      </c>
    </row>
    <row r="17719" spans="1:8" x14ac:dyDescent="0.25">
      <c r="A17719" t="s">
        <v>102</v>
      </c>
      <c r="B17719" t="s">
        <v>1300</v>
      </c>
      <c r="C17719" t="s">
        <v>363</v>
      </c>
      <c r="D17719">
        <v>30</v>
      </c>
      <c r="E17719">
        <v>21600</v>
      </c>
      <c r="F17719">
        <v>0</v>
      </c>
      <c r="G17719">
        <v>10</v>
      </c>
      <c r="H17719" t="s">
        <v>19</v>
      </c>
    </row>
    <row r="17720" spans="1:8" x14ac:dyDescent="0.25">
      <c r="A17720" t="str">
        <f>"&lt;nominal&gt;" &amp;$D$17719&amp;"&lt;/nominal&gt;"</f>
        <v>&lt;nominal&gt;30&lt;/nominal&gt;</v>
      </c>
      <c r="B17720" t="s">
        <v>1300</v>
      </c>
    </row>
    <row r="17721" spans="1:8" x14ac:dyDescent="0.25">
      <c r="A17721" t="str">
        <f>"&lt;lifetime&gt;" &amp;$E$17719&amp;"&lt;/lifetime&gt;"</f>
        <v>&lt;lifetime&gt;21600&lt;/lifetime&gt;</v>
      </c>
      <c r="B17721" t="s">
        <v>1300</v>
      </c>
    </row>
    <row r="17722" spans="1:8" x14ac:dyDescent="0.25">
      <c r="A17722" t="str">
        <f>"&lt;restock&gt;" &amp;$F$17719&amp;"&lt;/restock&gt;"</f>
        <v>&lt;restock&gt;0&lt;/restock&gt;</v>
      </c>
      <c r="B17722" t="s">
        <v>1300</v>
      </c>
    </row>
    <row r="17723" spans="1:8" x14ac:dyDescent="0.25">
      <c r="A17723" t="str">
        <f>"&lt;min&gt;" &amp;$G$17719&amp;"&lt;/min&gt;"</f>
        <v>&lt;min&gt;10&lt;/min&gt;</v>
      </c>
      <c r="B17723" t="s">
        <v>1300</v>
      </c>
    </row>
    <row r="17724" spans="1:8" x14ac:dyDescent="0.25">
      <c r="A17724" t="s">
        <v>16</v>
      </c>
      <c r="B17724" t="s">
        <v>1300</v>
      </c>
    </row>
    <row r="17725" spans="1:8" x14ac:dyDescent="0.25">
      <c r="A17725" t="s">
        <v>17</v>
      </c>
      <c r="B17725" t="s">
        <v>1300</v>
      </c>
    </row>
    <row r="17726" spans="1:8" x14ac:dyDescent="0.25">
      <c r="A17726" t="s">
        <v>18</v>
      </c>
      <c r="B17726" t="s">
        <v>1300</v>
      </c>
    </row>
    <row r="17727" spans="1:8" x14ac:dyDescent="0.25">
      <c r="A17727" t="str">
        <f xml:space="preserve"> $H$17719</f>
        <v>&lt;flags count_in_cargo="0" count_in_hoarder="0" count_in_map="1" count_in_player="0" crafted="0" deloot="0"/&gt;</v>
      </c>
      <c r="B17727" t="s">
        <v>1300</v>
      </c>
    </row>
    <row r="17728" spans="1:8" x14ac:dyDescent="0.25">
      <c r="A17728" t="str">
        <f>"&lt;category name=" &amp;"""" &amp;$C$17719&amp;"""/&gt;"</f>
        <v>&lt;category name="containers"/&gt;</v>
      </c>
      <c r="B17728" t="s">
        <v>1300</v>
      </c>
    </row>
    <row r="17729" spans="1:8" x14ac:dyDescent="0.25">
      <c r="A17729" t="s">
        <v>39</v>
      </c>
      <c r="B17729" t="s">
        <v>1300</v>
      </c>
    </row>
    <row r="17730" spans="1:8" x14ac:dyDescent="0.25">
      <c r="A17730" t="s">
        <v>40</v>
      </c>
      <c r="B17730" t="s">
        <v>1300</v>
      </c>
    </row>
    <row r="17731" spans="1:8" x14ac:dyDescent="0.25">
      <c r="A17731" t="s">
        <v>22</v>
      </c>
      <c r="B17731" t="s">
        <v>1300</v>
      </c>
    </row>
    <row r="17732" spans="1:8" x14ac:dyDescent="0.25">
      <c r="A17732" t="s">
        <v>103</v>
      </c>
      <c r="B17732" t="s">
        <v>1301</v>
      </c>
      <c r="C17732" t="s">
        <v>363</v>
      </c>
      <c r="D17732">
        <v>30</v>
      </c>
      <c r="E17732">
        <v>21600</v>
      </c>
      <c r="F17732">
        <v>0</v>
      </c>
      <c r="G17732">
        <v>10</v>
      </c>
      <c r="H17732" t="s">
        <v>19</v>
      </c>
    </row>
    <row r="17733" spans="1:8" x14ac:dyDescent="0.25">
      <c r="A17733" t="str">
        <f>"&lt;nominal&gt;" &amp;$D$17732&amp;"&lt;/nominal&gt;"</f>
        <v>&lt;nominal&gt;30&lt;/nominal&gt;</v>
      </c>
      <c r="B17733" t="s">
        <v>1301</v>
      </c>
    </row>
    <row r="17734" spans="1:8" x14ac:dyDescent="0.25">
      <c r="A17734" t="str">
        <f>"&lt;lifetime&gt;" &amp;$E$17732&amp;"&lt;/lifetime&gt;"</f>
        <v>&lt;lifetime&gt;21600&lt;/lifetime&gt;</v>
      </c>
      <c r="B17734" t="s">
        <v>1301</v>
      </c>
    </row>
    <row r="17735" spans="1:8" x14ac:dyDescent="0.25">
      <c r="A17735" t="str">
        <f>"&lt;restock&gt;" &amp;$F$17732&amp;"&lt;/restock&gt;"</f>
        <v>&lt;restock&gt;0&lt;/restock&gt;</v>
      </c>
      <c r="B17735" t="s">
        <v>1301</v>
      </c>
    </row>
    <row r="17736" spans="1:8" x14ac:dyDescent="0.25">
      <c r="A17736" t="str">
        <f>"&lt;min&gt;" &amp;$G$17732&amp;"&lt;/min&gt;"</f>
        <v>&lt;min&gt;10&lt;/min&gt;</v>
      </c>
      <c r="B17736" t="s">
        <v>1301</v>
      </c>
    </row>
    <row r="17737" spans="1:8" x14ac:dyDescent="0.25">
      <c r="A17737" t="s">
        <v>16</v>
      </c>
      <c r="B17737" t="s">
        <v>1301</v>
      </c>
    </row>
    <row r="17738" spans="1:8" x14ac:dyDescent="0.25">
      <c r="A17738" t="s">
        <v>17</v>
      </c>
      <c r="B17738" t="s">
        <v>1301</v>
      </c>
    </row>
    <row r="17739" spans="1:8" x14ac:dyDescent="0.25">
      <c r="A17739" t="s">
        <v>18</v>
      </c>
      <c r="B17739" t="s">
        <v>1301</v>
      </c>
    </row>
    <row r="17740" spans="1:8" x14ac:dyDescent="0.25">
      <c r="A17740" t="str">
        <f xml:space="preserve"> $H$17732</f>
        <v>&lt;flags count_in_cargo="0" count_in_hoarder="0" count_in_map="1" count_in_player="0" crafted="0" deloot="0"/&gt;</v>
      </c>
      <c r="B17740" t="s">
        <v>1301</v>
      </c>
    </row>
    <row r="17741" spans="1:8" x14ac:dyDescent="0.25">
      <c r="A17741" t="str">
        <f>"&lt;category name=" &amp;"""" &amp;$C$17732&amp;"""/&gt;"</f>
        <v>&lt;category name="containers"/&gt;</v>
      </c>
      <c r="B17741" t="s">
        <v>1301</v>
      </c>
    </row>
    <row r="17742" spans="1:8" x14ac:dyDescent="0.25">
      <c r="A17742" t="s">
        <v>39</v>
      </c>
      <c r="B17742" t="s">
        <v>1301</v>
      </c>
    </row>
    <row r="17743" spans="1:8" x14ac:dyDescent="0.25">
      <c r="A17743" t="s">
        <v>40</v>
      </c>
      <c r="B17743" t="s">
        <v>1301</v>
      </c>
    </row>
    <row r="17744" spans="1:8" x14ac:dyDescent="0.25">
      <c r="A17744" t="s">
        <v>22</v>
      </c>
      <c r="B17744" t="s">
        <v>1301</v>
      </c>
    </row>
    <row r="17745" spans="1:8" x14ac:dyDescent="0.25">
      <c r="A17745" t="s">
        <v>104</v>
      </c>
      <c r="B17745" t="s">
        <v>1302</v>
      </c>
      <c r="C17745" t="s">
        <v>363</v>
      </c>
      <c r="D17745">
        <v>30</v>
      </c>
      <c r="E17745">
        <v>21600</v>
      </c>
      <c r="F17745">
        <v>0</v>
      </c>
      <c r="G17745">
        <v>10</v>
      </c>
      <c r="H17745" t="s">
        <v>19</v>
      </c>
    </row>
    <row r="17746" spans="1:8" x14ac:dyDescent="0.25">
      <c r="A17746" t="str">
        <f>"&lt;nominal&gt;" &amp;$D$17745&amp;"&lt;/nominal&gt;"</f>
        <v>&lt;nominal&gt;30&lt;/nominal&gt;</v>
      </c>
      <c r="B17746" t="s">
        <v>1302</v>
      </c>
    </row>
    <row r="17747" spans="1:8" x14ac:dyDescent="0.25">
      <c r="A17747" t="str">
        <f>"&lt;lifetime&gt;" &amp;$E$17745&amp;"&lt;/lifetime&gt;"</f>
        <v>&lt;lifetime&gt;21600&lt;/lifetime&gt;</v>
      </c>
      <c r="B17747" t="s">
        <v>1302</v>
      </c>
    </row>
    <row r="17748" spans="1:8" x14ac:dyDescent="0.25">
      <c r="A17748" t="str">
        <f>"&lt;restock&gt;" &amp;$F$17745&amp;"&lt;/restock&gt;"</f>
        <v>&lt;restock&gt;0&lt;/restock&gt;</v>
      </c>
      <c r="B17748" t="s">
        <v>1302</v>
      </c>
    </row>
    <row r="17749" spans="1:8" x14ac:dyDescent="0.25">
      <c r="A17749" t="str">
        <f>"&lt;min&gt;" &amp;$G$17745&amp;"&lt;/min&gt;"</f>
        <v>&lt;min&gt;10&lt;/min&gt;</v>
      </c>
      <c r="B17749" t="s">
        <v>1302</v>
      </c>
    </row>
    <row r="17750" spans="1:8" x14ac:dyDescent="0.25">
      <c r="A17750" t="s">
        <v>16</v>
      </c>
      <c r="B17750" t="s">
        <v>1302</v>
      </c>
    </row>
    <row r="17751" spans="1:8" x14ac:dyDescent="0.25">
      <c r="A17751" t="s">
        <v>17</v>
      </c>
      <c r="B17751" t="s">
        <v>1302</v>
      </c>
    </row>
    <row r="17752" spans="1:8" x14ac:dyDescent="0.25">
      <c r="A17752" t="s">
        <v>18</v>
      </c>
      <c r="B17752" t="s">
        <v>1302</v>
      </c>
    </row>
    <row r="17753" spans="1:8" x14ac:dyDescent="0.25">
      <c r="A17753" t="str">
        <f xml:space="preserve"> $H$17745</f>
        <v>&lt;flags count_in_cargo="0" count_in_hoarder="0" count_in_map="1" count_in_player="0" crafted="0" deloot="0"/&gt;</v>
      </c>
      <c r="B17753" t="s">
        <v>1302</v>
      </c>
    </row>
    <row r="17754" spans="1:8" x14ac:dyDescent="0.25">
      <c r="A17754" t="str">
        <f>"&lt;category name=" &amp;"""" &amp;$C$17745&amp;"""/&gt;"</f>
        <v>&lt;category name="containers"/&gt;</v>
      </c>
      <c r="B17754" t="s">
        <v>1302</v>
      </c>
    </row>
    <row r="17755" spans="1:8" x14ac:dyDescent="0.25">
      <c r="A17755" t="s">
        <v>39</v>
      </c>
      <c r="B17755" t="s">
        <v>1302</v>
      </c>
    </row>
    <row r="17756" spans="1:8" x14ac:dyDescent="0.25">
      <c r="A17756" t="s">
        <v>40</v>
      </c>
      <c r="B17756" t="s">
        <v>1302</v>
      </c>
    </row>
    <row r="17757" spans="1:8" x14ac:dyDescent="0.25">
      <c r="A17757" t="s">
        <v>22</v>
      </c>
      <c r="B17757" t="s">
        <v>1302</v>
      </c>
    </row>
    <row r="17758" spans="1:8" x14ac:dyDescent="0.25">
      <c r="A17758" t="s">
        <v>105</v>
      </c>
      <c r="B17758" t="s">
        <v>1303</v>
      </c>
      <c r="C17758" t="s">
        <v>363</v>
      </c>
      <c r="D17758">
        <v>30</v>
      </c>
      <c r="E17758">
        <v>21600</v>
      </c>
      <c r="F17758">
        <v>0</v>
      </c>
      <c r="G17758">
        <v>10</v>
      </c>
      <c r="H17758" t="s">
        <v>19</v>
      </c>
    </row>
    <row r="17759" spans="1:8" x14ac:dyDescent="0.25">
      <c r="A17759" t="str">
        <f>"&lt;nominal&gt;" &amp;$D$17758&amp;"&lt;/nominal&gt;"</f>
        <v>&lt;nominal&gt;30&lt;/nominal&gt;</v>
      </c>
      <c r="B17759" t="s">
        <v>1303</v>
      </c>
    </row>
    <row r="17760" spans="1:8" x14ac:dyDescent="0.25">
      <c r="A17760" t="str">
        <f>"&lt;lifetime&gt;" &amp;$E$17758&amp;"&lt;/lifetime&gt;"</f>
        <v>&lt;lifetime&gt;21600&lt;/lifetime&gt;</v>
      </c>
      <c r="B17760" t="s">
        <v>1303</v>
      </c>
    </row>
    <row r="17761" spans="1:8" x14ac:dyDescent="0.25">
      <c r="A17761" t="str">
        <f>"&lt;restock&gt;" &amp;$F$17758&amp;"&lt;/restock&gt;"</f>
        <v>&lt;restock&gt;0&lt;/restock&gt;</v>
      </c>
      <c r="B17761" t="s">
        <v>1303</v>
      </c>
    </row>
    <row r="17762" spans="1:8" x14ac:dyDescent="0.25">
      <c r="A17762" t="str">
        <f>"&lt;min&gt;" &amp;$G$17758&amp;"&lt;/min&gt;"</f>
        <v>&lt;min&gt;10&lt;/min&gt;</v>
      </c>
      <c r="B17762" t="s">
        <v>1303</v>
      </c>
    </row>
    <row r="17763" spans="1:8" x14ac:dyDescent="0.25">
      <c r="A17763" t="s">
        <v>16</v>
      </c>
      <c r="B17763" t="s">
        <v>1303</v>
      </c>
    </row>
    <row r="17764" spans="1:8" x14ac:dyDescent="0.25">
      <c r="A17764" t="s">
        <v>17</v>
      </c>
      <c r="B17764" t="s">
        <v>1303</v>
      </c>
    </row>
    <row r="17765" spans="1:8" x14ac:dyDescent="0.25">
      <c r="A17765" t="s">
        <v>18</v>
      </c>
      <c r="B17765" t="s">
        <v>1303</v>
      </c>
    </row>
    <row r="17766" spans="1:8" x14ac:dyDescent="0.25">
      <c r="A17766" t="str">
        <f xml:space="preserve"> $H$17758</f>
        <v>&lt;flags count_in_cargo="0" count_in_hoarder="0" count_in_map="1" count_in_player="0" crafted="0" deloot="0"/&gt;</v>
      </c>
      <c r="B17766" t="s">
        <v>1303</v>
      </c>
    </row>
    <row r="17767" spans="1:8" x14ac:dyDescent="0.25">
      <c r="A17767" t="str">
        <f>"&lt;category name=" &amp;"""" &amp;$C$17758&amp;"""/&gt;"</f>
        <v>&lt;category name="containers"/&gt;</v>
      </c>
      <c r="B17767" t="s">
        <v>1303</v>
      </c>
    </row>
    <row r="17768" spans="1:8" x14ac:dyDescent="0.25">
      <c r="A17768" t="s">
        <v>39</v>
      </c>
      <c r="B17768" t="s">
        <v>1303</v>
      </c>
    </row>
    <row r="17769" spans="1:8" x14ac:dyDescent="0.25">
      <c r="A17769" t="s">
        <v>40</v>
      </c>
      <c r="B17769" t="s">
        <v>1303</v>
      </c>
    </row>
    <row r="17770" spans="1:8" x14ac:dyDescent="0.25">
      <c r="A17770" t="s">
        <v>22</v>
      </c>
      <c r="B17770" t="s">
        <v>1303</v>
      </c>
    </row>
    <row r="17771" spans="1:8" x14ac:dyDescent="0.25">
      <c r="B17771" t="s">
        <v>1303</v>
      </c>
    </row>
    <row r="17772" spans="1:8" x14ac:dyDescent="0.25">
      <c r="A17772" t="s">
        <v>106</v>
      </c>
      <c r="B17772" t="s">
        <v>1304</v>
      </c>
      <c r="C17772" t="s">
        <v>426</v>
      </c>
      <c r="D17772">
        <v>20</v>
      </c>
      <c r="E17772">
        <v>7200</v>
      </c>
      <c r="F17772">
        <v>0</v>
      </c>
      <c r="G17772">
        <v>5</v>
      </c>
      <c r="H17772" t="s">
        <v>19</v>
      </c>
    </row>
    <row r="17773" spans="1:8" x14ac:dyDescent="0.25">
      <c r="A17773" t="str">
        <f>"&lt;nominal&gt;" &amp;$D$17772&amp;"&lt;/nominal&gt;"</f>
        <v>&lt;nominal&gt;20&lt;/nominal&gt;</v>
      </c>
      <c r="B17773" t="s">
        <v>1304</v>
      </c>
    </row>
    <row r="17774" spans="1:8" x14ac:dyDescent="0.25">
      <c r="A17774" t="str">
        <f>"&lt;lifetime&gt;" &amp;$E$17772&amp;"&lt;/lifetime&gt;"</f>
        <v>&lt;lifetime&gt;7200&lt;/lifetime&gt;</v>
      </c>
      <c r="B17774" t="s">
        <v>1304</v>
      </c>
    </row>
    <row r="17775" spans="1:8" x14ac:dyDescent="0.25">
      <c r="A17775" t="str">
        <f>"&lt;restock&gt;" &amp;$F$17772&amp;"&lt;/restock&gt;"</f>
        <v>&lt;restock&gt;0&lt;/restock&gt;</v>
      </c>
      <c r="B17775" t="s">
        <v>1304</v>
      </c>
    </row>
    <row r="17776" spans="1:8" x14ac:dyDescent="0.25">
      <c r="A17776" t="str">
        <f>"&lt;min&gt;" &amp;$G$17772&amp;"&lt;/min&gt;"</f>
        <v>&lt;min&gt;5&lt;/min&gt;</v>
      </c>
      <c r="B17776" t="s">
        <v>1304</v>
      </c>
    </row>
    <row r="17777" spans="1:8" x14ac:dyDescent="0.25">
      <c r="A17777" t="s">
        <v>16</v>
      </c>
      <c r="B17777" t="s">
        <v>1304</v>
      </c>
    </row>
    <row r="17778" spans="1:8" x14ac:dyDescent="0.25">
      <c r="A17778" t="s">
        <v>17</v>
      </c>
      <c r="B17778" t="s">
        <v>1304</v>
      </c>
    </row>
    <row r="17779" spans="1:8" x14ac:dyDescent="0.25">
      <c r="A17779" t="s">
        <v>18</v>
      </c>
      <c r="B17779" t="s">
        <v>1304</v>
      </c>
    </row>
    <row r="17780" spans="1:8" x14ac:dyDescent="0.25">
      <c r="A17780" t="str">
        <f xml:space="preserve"> $H$17772</f>
        <v>&lt;flags count_in_cargo="0" count_in_hoarder="0" count_in_map="1" count_in_player="0" crafted="0" deloot="0"/&gt;</v>
      </c>
      <c r="B17780" t="s">
        <v>1304</v>
      </c>
    </row>
    <row r="17781" spans="1:8" x14ac:dyDescent="0.25">
      <c r="A17781" t="str">
        <f>"&lt;category name=" &amp;"""" &amp;$C$17772&amp;"""/&gt;"</f>
        <v>&lt;category name="tools"/&gt;</v>
      </c>
      <c r="B17781" t="s">
        <v>1304</v>
      </c>
    </row>
    <row r="17782" spans="1:8" x14ac:dyDescent="0.25">
      <c r="A17782" t="s">
        <v>55</v>
      </c>
      <c r="B17782" t="s">
        <v>1304</v>
      </c>
    </row>
    <row r="17783" spans="1:8" x14ac:dyDescent="0.25">
      <c r="A17783" t="s">
        <v>56</v>
      </c>
      <c r="B17783" t="s">
        <v>1304</v>
      </c>
    </row>
    <row r="17784" spans="1:8" x14ac:dyDescent="0.25">
      <c r="A17784" t="s">
        <v>40</v>
      </c>
      <c r="B17784" t="s">
        <v>1304</v>
      </c>
    </row>
    <row r="17785" spans="1:8" x14ac:dyDescent="0.25">
      <c r="A17785" t="s">
        <v>22</v>
      </c>
      <c r="B17785" t="s">
        <v>1304</v>
      </c>
    </row>
    <row r="17786" spans="1:8" x14ac:dyDescent="0.25">
      <c r="B17786" t="s">
        <v>1304</v>
      </c>
    </row>
    <row r="17787" spans="1:8" x14ac:dyDescent="0.25">
      <c r="A17787" t="s">
        <v>107</v>
      </c>
      <c r="B17787" t="s">
        <v>1305</v>
      </c>
      <c r="C17787" t="s">
        <v>426</v>
      </c>
      <c r="D17787">
        <v>10</v>
      </c>
      <c r="E17787">
        <v>7200</v>
      </c>
      <c r="F17787">
        <v>0</v>
      </c>
      <c r="G17787">
        <v>5</v>
      </c>
      <c r="H17787" t="s">
        <v>19</v>
      </c>
    </row>
    <row r="17788" spans="1:8" x14ac:dyDescent="0.25">
      <c r="A17788" t="str">
        <f>"&lt;nominal&gt;" &amp;$D$17787&amp;"&lt;/nominal&gt;"</f>
        <v>&lt;nominal&gt;10&lt;/nominal&gt;</v>
      </c>
      <c r="B17788" t="s">
        <v>1305</v>
      </c>
    </row>
    <row r="17789" spans="1:8" x14ac:dyDescent="0.25">
      <c r="A17789" t="str">
        <f>"&lt;lifetime&gt;" &amp;$E$17787&amp;"&lt;/lifetime&gt;"</f>
        <v>&lt;lifetime&gt;7200&lt;/lifetime&gt;</v>
      </c>
      <c r="B17789" t="s">
        <v>1305</v>
      </c>
    </row>
    <row r="17790" spans="1:8" x14ac:dyDescent="0.25">
      <c r="A17790" t="str">
        <f>"&lt;restock&gt;" &amp;$F$17787&amp;"&lt;/restock&gt;"</f>
        <v>&lt;restock&gt;0&lt;/restock&gt;</v>
      </c>
      <c r="B17790" t="s">
        <v>1305</v>
      </c>
    </row>
    <row r="17791" spans="1:8" x14ac:dyDescent="0.25">
      <c r="A17791" t="str">
        <f>"&lt;min&gt;" &amp;$G$17787&amp;"&lt;/min&gt;"</f>
        <v>&lt;min&gt;5&lt;/min&gt;</v>
      </c>
      <c r="B17791" t="s">
        <v>1305</v>
      </c>
    </row>
    <row r="17792" spans="1:8" x14ac:dyDescent="0.25">
      <c r="A17792" t="s">
        <v>16</v>
      </c>
      <c r="B17792" t="s">
        <v>1305</v>
      </c>
    </row>
    <row r="17793" spans="1:8" x14ac:dyDescent="0.25">
      <c r="A17793" t="s">
        <v>17</v>
      </c>
      <c r="B17793" t="s">
        <v>1305</v>
      </c>
    </row>
    <row r="17794" spans="1:8" x14ac:dyDescent="0.25">
      <c r="A17794" t="s">
        <v>18</v>
      </c>
      <c r="B17794" t="s">
        <v>1305</v>
      </c>
    </row>
    <row r="17795" spans="1:8" x14ac:dyDescent="0.25">
      <c r="A17795" t="str">
        <f xml:space="preserve"> $H$17787</f>
        <v>&lt;flags count_in_cargo="0" count_in_hoarder="0" count_in_map="1" count_in_player="0" crafted="0" deloot="0"/&gt;</v>
      </c>
      <c r="B17795" t="s">
        <v>1305</v>
      </c>
    </row>
    <row r="17796" spans="1:8" x14ac:dyDescent="0.25">
      <c r="A17796" t="str">
        <f>"&lt;category name=" &amp;"""" &amp;$C$17787&amp;"""/&gt;"</f>
        <v>&lt;category name="tools"/&gt;</v>
      </c>
      <c r="B17796" t="s">
        <v>1305</v>
      </c>
    </row>
    <row r="17797" spans="1:8" x14ac:dyDescent="0.25">
      <c r="A17797" t="s">
        <v>2720</v>
      </c>
      <c r="B17797" t="s">
        <v>1305</v>
      </c>
    </row>
    <row r="17798" spans="1:8" x14ac:dyDescent="0.25">
      <c r="A17798" t="s">
        <v>30</v>
      </c>
      <c r="B17798" t="s">
        <v>1305</v>
      </c>
    </row>
    <row r="17799" spans="1:8" x14ac:dyDescent="0.25">
      <c r="A17799" t="s">
        <v>31</v>
      </c>
      <c r="B17799" t="s">
        <v>1305</v>
      </c>
    </row>
    <row r="17800" spans="1:8" x14ac:dyDescent="0.25">
      <c r="A17800" t="s">
        <v>22</v>
      </c>
      <c r="B17800" t="s">
        <v>1305</v>
      </c>
    </row>
    <row r="17801" spans="1:8" x14ac:dyDescent="0.25">
      <c r="B17801" t="s">
        <v>1305</v>
      </c>
    </row>
    <row r="17802" spans="1:8" x14ac:dyDescent="0.25">
      <c r="A17802" t="s">
        <v>108</v>
      </c>
      <c r="B17802" t="s">
        <v>1306</v>
      </c>
      <c r="C17802" t="s">
        <v>426</v>
      </c>
      <c r="D17802">
        <v>25</v>
      </c>
      <c r="E17802">
        <v>1800</v>
      </c>
      <c r="F17802">
        <v>0</v>
      </c>
      <c r="G17802">
        <v>5</v>
      </c>
      <c r="H17802" t="s">
        <v>19</v>
      </c>
    </row>
    <row r="17803" spans="1:8" x14ac:dyDescent="0.25">
      <c r="A17803" t="str">
        <f>"&lt;nominal&gt;" &amp;$D$17802&amp;"&lt;/nominal&gt;"</f>
        <v>&lt;nominal&gt;25&lt;/nominal&gt;</v>
      </c>
      <c r="B17803" t="s">
        <v>1306</v>
      </c>
    </row>
    <row r="17804" spans="1:8" x14ac:dyDescent="0.25">
      <c r="A17804" t="str">
        <f>"&lt;lifetime&gt;" &amp;$E$17802&amp;"&lt;/lifetime&gt;"</f>
        <v>&lt;lifetime&gt;1800&lt;/lifetime&gt;</v>
      </c>
      <c r="B17804" t="s">
        <v>1306</v>
      </c>
    </row>
    <row r="17805" spans="1:8" x14ac:dyDescent="0.25">
      <c r="A17805" t="str">
        <f>"&lt;restock&gt;" &amp;$F$17802&amp;"&lt;/restock&gt;"</f>
        <v>&lt;restock&gt;0&lt;/restock&gt;</v>
      </c>
      <c r="B17805" t="s">
        <v>1306</v>
      </c>
    </row>
    <row r="17806" spans="1:8" x14ac:dyDescent="0.25">
      <c r="A17806" t="str">
        <f>"&lt;min&gt;" &amp;$G$17802&amp;"&lt;/min&gt;"</f>
        <v>&lt;min&gt;5&lt;/min&gt;</v>
      </c>
      <c r="B17806" t="s">
        <v>1306</v>
      </c>
    </row>
    <row r="17807" spans="1:8" x14ac:dyDescent="0.25">
      <c r="A17807" t="s">
        <v>16</v>
      </c>
      <c r="B17807" t="s">
        <v>1306</v>
      </c>
    </row>
    <row r="17808" spans="1:8" x14ac:dyDescent="0.25">
      <c r="A17808" t="s">
        <v>17</v>
      </c>
      <c r="B17808" t="s">
        <v>1306</v>
      </c>
    </row>
    <row r="17809" spans="1:8" x14ac:dyDescent="0.25">
      <c r="A17809" t="s">
        <v>18</v>
      </c>
      <c r="B17809" t="s">
        <v>1306</v>
      </c>
    </row>
    <row r="17810" spans="1:8" x14ac:dyDescent="0.25">
      <c r="A17810" t="str">
        <f xml:space="preserve"> $H$17802</f>
        <v>&lt;flags count_in_cargo="0" count_in_hoarder="0" count_in_map="1" count_in_player="0" crafted="0" deloot="0"/&gt;</v>
      </c>
      <c r="B17810" t="s">
        <v>1306</v>
      </c>
    </row>
    <row r="17811" spans="1:8" x14ac:dyDescent="0.25">
      <c r="A17811" t="str">
        <f>"&lt;category name=" &amp;"""" &amp;$C$17802&amp;"""/&gt;"</f>
        <v>&lt;category name="tools"/&gt;</v>
      </c>
      <c r="B17811" t="s">
        <v>1306</v>
      </c>
    </row>
    <row r="17812" spans="1:8" x14ac:dyDescent="0.25">
      <c r="A17812" t="s">
        <v>20</v>
      </c>
      <c r="B17812" t="s">
        <v>1306</v>
      </c>
    </row>
    <row r="17813" spans="1:8" x14ac:dyDescent="0.25">
      <c r="A17813" t="s">
        <v>22</v>
      </c>
      <c r="B17813" t="s">
        <v>1306</v>
      </c>
    </row>
    <row r="17814" spans="1:8" x14ac:dyDescent="0.25">
      <c r="B17814" t="s">
        <v>1306</v>
      </c>
    </row>
    <row r="17815" spans="1:8" x14ac:dyDescent="0.25">
      <c r="A17815" t="s">
        <v>109</v>
      </c>
      <c r="B17815" t="s">
        <v>1307</v>
      </c>
      <c r="C17815" t="s">
        <v>426</v>
      </c>
      <c r="D17815">
        <v>25</v>
      </c>
      <c r="E17815">
        <v>1800</v>
      </c>
      <c r="F17815">
        <v>0</v>
      </c>
      <c r="G17815">
        <v>5</v>
      </c>
      <c r="H17815" t="s">
        <v>19</v>
      </c>
    </row>
    <row r="17816" spans="1:8" x14ac:dyDescent="0.25">
      <c r="A17816" t="str">
        <f>"&lt;nominal&gt;" &amp;$D$17815&amp;"&lt;/nominal&gt;"</f>
        <v>&lt;nominal&gt;25&lt;/nominal&gt;</v>
      </c>
      <c r="B17816" t="s">
        <v>1307</v>
      </c>
    </row>
    <row r="17817" spans="1:8" x14ac:dyDescent="0.25">
      <c r="A17817" t="str">
        <f>"&lt;lifetime&gt;" &amp;$E$17815&amp;"&lt;/lifetime&gt;"</f>
        <v>&lt;lifetime&gt;1800&lt;/lifetime&gt;</v>
      </c>
      <c r="B17817" t="s">
        <v>1307</v>
      </c>
    </row>
    <row r="17818" spans="1:8" x14ac:dyDescent="0.25">
      <c r="A17818" t="str">
        <f>"&lt;restock&gt;" &amp;$F$17815&amp;"&lt;/restock&gt;"</f>
        <v>&lt;restock&gt;0&lt;/restock&gt;</v>
      </c>
      <c r="B17818" t="s">
        <v>1307</v>
      </c>
    </row>
    <row r="17819" spans="1:8" x14ac:dyDescent="0.25">
      <c r="A17819" t="str">
        <f>"&lt;min&gt;" &amp;$G$17815&amp;"&lt;/min&gt;"</f>
        <v>&lt;min&gt;5&lt;/min&gt;</v>
      </c>
      <c r="B17819" t="s">
        <v>1307</v>
      </c>
    </row>
    <row r="17820" spans="1:8" x14ac:dyDescent="0.25">
      <c r="A17820" t="s">
        <v>16</v>
      </c>
      <c r="B17820" t="s">
        <v>1307</v>
      </c>
    </row>
    <row r="17821" spans="1:8" x14ac:dyDescent="0.25">
      <c r="A17821" t="s">
        <v>17</v>
      </c>
      <c r="B17821" t="s">
        <v>1307</v>
      </c>
    </row>
    <row r="17822" spans="1:8" x14ac:dyDescent="0.25">
      <c r="A17822" t="s">
        <v>18</v>
      </c>
      <c r="B17822" t="s">
        <v>1307</v>
      </c>
    </row>
    <row r="17823" spans="1:8" x14ac:dyDescent="0.25">
      <c r="A17823" t="str">
        <f xml:space="preserve"> $H$17815</f>
        <v>&lt;flags count_in_cargo="0" count_in_hoarder="0" count_in_map="1" count_in_player="0" crafted="0" deloot="0"/&gt;</v>
      </c>
      <c r="B17823" t="s">
        <v>1307</v>
      </c>
    </row>
    <row r="17824" spans="1:8" x14ac:dyDescent="0.25">
      <c r="A17824" t="str">
        <f>"&lt;category name=" &amp;"""" &amp;$C$17815&amp;"""/&gt;"</f>
        <v>&lt;category name="tools"/&gt;</v>
      </c>
      <c r="B17824" t="s">
        <v>1307</v>
      </c>
    </row>
    <row r="17825" spans="1:8" x14ac:dyDescent="0.25">
      <c r="A17825" t="s">
        <v>20</v>
      </c>
      <c r="B17825" t="s">
        <v>1307</v>
      </c>
    </row>
    <row r="17826" spans="1:8" x14ac:dyDescent="0.25">
      <c r="A17826" t="s">
        <v>22</v>
      </c>
      <c r="B17826" t="s">
        <v>1307</v>
      </c>
    </row>
    <row r="17827" spans="1:8" x14ac:dyDescent="0.25">
      <c r="B17827" t="s">
        <v>1307</v>
      </c>
    </row>
    <row r="17828" spans="1:8" x14ac:dyDescent="0.25">
      <c r="A17828" t="s">
        <v>110</v>
      </c>
      <c r="B17828" t="s">
        <v>3664</v>
      </c>
      <c r="E17828">
        <v>3888000</v>
      </c>
      <c r="H17828" t="s">
        <v>62</v>
      </c>
    </row>
    <row r="17829" spans="1:8" x14ac:dyDescent="0.25">
      <c r="A17829" t="str">
        <f>"&lt;lifetime&gt;" &amp;$E$17828&amp;"&lt;/lifetime&gt;"</f>
        <v>&lt;lifetime&gt;3888000&lt;/lifetime&gt;</v>
      </c>
      <c r="B17829" t="s">
        <v>3664</v>
      </c>
    </row>
    <row r="17830" spans="1:8" x14ac:dyDescent="0.25">
      <c r="A17830" t="str">
        <f xml:space="preserve"> $H$17828</f>
        <v>&lt;flags count_in_cargo="0" count_in_hoarder="0" count_in_map="1" count_in_player="0" crafted="1" deloot="0"/&gt;</v>
      </c>
      <c r="B17830" t="s">
        <v>3664</v>
      </c>
    </row>
    <row r="17831" spans="1:8" x14ac:dyDescent="0.25">
      <c r="A17831" t="s">
        <v>22</v>
      </c>
      <c r="B17831" t="s">
        <v>3664</v>
      </c>
    </row>
    <row r="17832" spans="1:8" x14ac:dyDescent="0.25">
      <c r="A17832" t="s">
        <v>111</v>
      </c>
      <c r="B17832" t="s">
        <v>3665</v>
      </c>
      <c r="E17832">
        <v>7200</v>
      </c>
      <c r="H17832" t="s">
        <v>62</v>
      </c>
    </row>
    <row r="17833" spans="1:8" x14ac:dyDescent="0.25">
      <c r="A17833" t="str">
        <f>"&lt;lifetime&gt;" &amp;$E$17832&amp;"&lt;/lifetime&gt;"</f>
        <v>&lt;lifetime&gt;7200&lt;/lifetime&gt;</v>
      </c>
      <c r="B17833" t="s">
        <v>3665</v>
      </c>
    </row>
    <row r="17834" spans="1:8" x14ac:dyDescent="0.25">
      <c r="A17834" t="str">
        <f xml:space="preserve"> $H$17832</f>
        <v>&lt;flags count_in_cargo="0" count_in_hoarder="0" count_in_map="1" count_in_player="0" crafted="1" deloot="0"/&gt;</v>
      </c>
      <c r="B17834" t="s">
        <v>3665</v>
      </c>
    </row>
    <row r="17835" spans="1:8" x14ac:dyDescent="0.25">
      <c r="A17835" t="s">
        <v>22</v>
      </c>
      <c r="B17835" t="s">
        <v>3665</v>
      </c>
    </row>
    <row r="17836" spans="1:8" x14ac:dyDescent="0.25">
      <c r="A17836" t="s">
        <v>112</v>
      </c>
      <c r="B17836" t="s">
        <v>1308</v>
      </c>
      <c r="C17836" t="s">
        <v>8</v>
      </c>
      <c r="D17836">
        <v>20</v>
      </c>
      <c r="E17836">
        <v>7200</v>
      </c>
      <c r="F17836">
        <v>0</v>
      </c>
      <c r="G17836">
        <v>10</v>
      </c>
      <c r="H17836" t="s">
        <v>19</v>
      </c>
    </row>
    <row r="17837" spans="1:8" x14ac:dyDescent="0.25">
      <c r="A17837" t="str">
        <f>"&lt;nominal&gt;" &amp;$D$17836&amp;"&lt;/nominal&gt;"</f>
        <v>&lt;nominal&gt;20&lt;/nominal&gt;</v>
      </c>
      <c r="B17837" t="s">
        <v>1308</v>
      </c>
    </row>
    <row r="17838" spans="1:8" x14ac:dyDescent="0.25">
      <c r="A17838" t="str">
        <f>"&lt;lifetime&gt;" &amp;$E$17836&amp;"&lt;/lifetime&gt;"</f>
        <v>&lt;lifetime&gt;7200&lt;/lifetime&gt;</v>
      </c>
      <c r="B17838" t="s">
        <v>1308</v>
      </c>
    </row>
    <row r="17839" spans="1:8" x14ac:dyDescent="0.25">
      <c r="A17839" t="str">
        <f>"&lt;restock&gt;" &amp;$F$17836&amp;"&lt;/restock&gt;"</f>
        <v>&lt;restock&gt;0&lt;/restock&gt;</v>
      </c>
      <c r="B17839" t="s">
        <v>1308</v>
      </c>
    </row>
    <row r="17840" spans="1:8" x14ac:dyDescent="0.25">
      <c r="A17840" t="str">
        <f>"&lt;min&gt;" &amp;$G$17836&amp;"&lt;/min&gt;"</f>
        <v>&lt;min&gt;10&lt;/min&gt;</v>
      </c>
      <c r="B17840" t="s">
        <v>1308</v>
      </c>
    </row>
    <row r="17841" spans="1:8" x14ac:dyDescent="0.25">
      <c r="A17841" t="s">
        <v>16</v>
      </c>
      <c r="B17841" t="s">
        <v>1308</v>
      </c>
    </row>
    <row r="17842" spans="1:8" x14ac:dyDescent="0.25">
      <c r="A17842" t="s">
        <v>17</v>
      </c>
      <c r="B17842" t="s">
        <v>1308</v>
      </c>
    </row>
    <row r="17843" spans="1:8" x14ac:dyDescent="0.25">
      <c r="A17843" t="s">
        <v>18</v>
      </c>
      <c r="B17843" t="s">
        <v>1308</v>
      </c>
    </row>
    <row r="17844" spans="1:8" x14ac:dyDescent="0.25">
      <c r="A17844" t="str">
        <f xml:space="preserve"> $H$17836</f>
        <v>&lt;flags count_in_cargo="0" count_in_hoarder="0" count_in_map="1" count_in_player="0" crafted="0" deloot="0"/&gt;</v>
      </c>
      <c r="B17844" t="s">
        <v>1308</v>
      </c>
    </row>
    <row r="17845" spans="1:8" x14ac:dyDescent="0.25">
      <c r="A17845" t="str">
        <f>"&lt;category name=" &amp;"""" &amp;$C$17836&amp;"""/&gt;"</f>
        <v>&lt;category name="weapons"/&gt;</v>
      </c>
      <c r="B17845" t="s">
        <v>1308</v>
      </c>
    </row>
    <row r="17846" spans="1:8" x14ac:dyDescent="0.25">
      <c r="A17846" t="s">
        <v>29</v>
      </c>
      <c r="B17846" t="s">
        <v>1308</v>
      </c>
    </row>
    <row r="17847" spans="1:8" x14ac:dyDescent="0.25">
      <c r="A17847" t="s">
        <v>82</v>
      </c>
      <c r="B17847" t="s">
        <v>1308</v>
      </c>
    </row>
    <row r="17848" spans="1:8" x14ac:dyDescent="0.25">
      <c r="A17848" t="s">
        <v>30</v>
      </c>
      <c r="B17848" t="s">
        <v>1308</v>
      </c>
    </row>
    <row r="17849" spans="1:8" x14ac:dyDescent="0.25">
      <c r="A17849" t="s">
        <v>31</v>
      </c>
      <c r="B17849" t="s">
        <v>1308</v>
      </c>
    </row>
    <row r="17850" spans="1:8" x14ac:dyDescent="0.25">
      <c r="A17850" t="s">
        <v>22</v>
      </c>
      <c r="B17850" t="s">
        <v>1308</v>
      </c>
    </row>
    <row r="17851" spans="1:8" x14ac:dyDescent="0.25">
      <c r="B17851" t="s">
        <v>1308</v>
      </c>
    </row>
    <row r="17852" spans="1:8" x14ac:dyDescent="0.25">
      <c r="A17852" t="s">
        <v>113</v>
      </c>
      <c r="B17852" t="s">
        <v>1309</v>
      </c>
      <c r="C17852" t="s">
        <v>8</v>
      </c>
      <c r="D17852">
        <v>10</v>
      </c>
      <c r="E17852">
        <v>7200</v>
      </c>
      <c r="F17852">
        <v>0</v>
      </c>
      <c r="G17852">
        <v>5</v>
      </c>
      <c r="H17852" t="s">
        <v>19</v>
      </c>
    </row>
    <row r="17853" spans="1:8" x14ac:dyDescent="0.25">
      <c r="A17853" t="str">
        <f>"&lt;nominal&gt;" &amp;$D$17852&amp;"&lt;/nominal&gt;"</f>
        <v>&lt;nominal&gt;10&lt;/nominal&gt;</v>
      </c>
      <c r="B17853" t="s">
        <v>1309</v>
      </c>
    </row>
    <row r="17854" spans="1:8" x14ac:dyDescent="0.25">
      <c r="A17854" t="str">
        <f>"&lt;lifetime&gt;" &amp;$E$17852&amp;"&lt;/lifetime&gt;"</f>
        <v>&lt;lifetime&gt;7200&lt;/lifetime&gt;</v>
      </c>
      <c r="B17854" t="s">
        <v>1309</v>
      </c>
    </row>
    <row r="17855" spans="1:8" x14ac:dyDescent="0.25">
      <c r="A17855" t="str">
        <f>"&lt;restock&gt;" &amp;$F$17852&amp;"&lt;/restock&gt;"</f>
        <v>&lt;restock&gt;0&lt;/restock&gt;</v>
      </c>
      <c r="B17855" t="s">
        <v>1309</v>
      </c>
    </row>
    <row r="17856" spans="1:8" x14ac:dyDescent="0.25">
      <c r="A17856" t="str">
        <f>"&lt;min&gt;" &amp;$G$17852&amp;"&lt;/min&gt;"</f>
        <v>&lt;min&gt;5&lt;/min&gt;</v>
      </c>
      <c r="B17856" t="s">
        <v>1309</v>
      </c>
    </row>
    <row r="17857" spans="1:8" x14ac:dyDescent="0.25">
      <c r="A17857" t="s">
        <v>16</v>
      </c>
      <c r="B17857" t="s">
        <v>1309</v>
      </c>
    </row>
    <row r="17858" spans="1:8" x14ac:dyDescent="0.25">
      <c r="A17858" t="s">
        <v>17</v>
      </c>
      <c r="B17858" t="s">
        <v>1309</v>
      </c>
    </row>
    <row r="17859" spans="1:8" x14ac:dyDescent="0.25">
      <c r="A17859" t="s">
        <v>18</v>
      </c>
      <c r="B17859" t="s">
        <v>1309</v>
      </c>
    </row>
    <row r="17860" spans="1:8" x14ac:dyDescent="0.25">
      <c r="A17860" t="str">
        <f xml:space="preserve"> $H$17852</f>
        <v>&lt;flags count_in_cargo="0" count_in_hoarder="0" count_in_map="1" count_in_player="0" crafted="0" deloot="0"/&gt;</v>
      </c>
      <c r="B17860" t="s">
        <v>1309</v>
      </c>
    </row>
    <row r="17861" spans="1:8" x14ac:dyDescent="0.25">
      <c r="A17861" t="str">
        <f>"&lt;category name=" &amp;"""" &amp;$C$17852&amp;"""/&gt;"</f>
        <v>&lt;category name="weapons"/&gt;</v>
      </c>
      <c r="B17861" t="s">
        <v>1309</v>
      </c>
    </row>
    <row r="17862" spans="1:8" x14ac:dyDescent="0.25">
      <c r="A17862" t="s">
        <v>29</v>
      </c>
      <c r="B17862" t="s">
        <v>1309</v>
      </c>
    </row>
    <row r="17863" spans="1:8" x14ac:dyDescent="0.25">
      <c r="A17863" t="s">
        <v>22</v>
      </c>
      <c r="B17863" t="s">
        <v>1309</v>
      </c>
    </row>
    <row r="17864" spans="1:8" x14ac:dyDescent="0.25">
      <c r="B17864" t="s">
        <v>1309</v>
      </c>
    </row>
    <row r="17865" spans="1:8" x14ac:dyDescent="0.25">
      <c r="B17865" t="s">
        <v>1309</v>
      </c>
    </row>
    <row r="17866" spans="1:8" x14ac:dyDescent="0.25">
      <c r="B17866" t="s">
        <v>1309</v>
      </c>
    </row>
    <row r="17867" spans="1:8" x14ac:dyDescent="0.25">
      <c r="A17867" t="s">
        <v>114</v>
      </c>
      <c r="B17867" t="s">
        <v>1309</v>
      </c>
    </row>
    <row r="17868" spans="1:8" x14ac:dyDescent="0.25">
      <c r="A17868" t="s">
        <v>3109</v>
      </c>
      <c r="B17868" t="s">
        <v>3112</v>
      </c>
      <c r="C17868" t="s">
        <v>426</v>
      </c>
      <c r="D17868">
        <v>20</v>
      </c>
      <c r="E17868">
        <v>604800</v>
      </c>
      <c r="F17868">
        <v>0</v>
      </c>
      <c r="G17868">
        <v>10</v>
      </c>
      <c r="H17868" t="s">
        <v>19</v>
      </c>
    </row>
    <row r="17869" spans="1:8" x14ac:dyDescent="0.25">
      <c r="A17869" t="str">
        <f>"&lt;nominal&gt;" &amp;$D$17868&amp;"&lt;/nominal&gt;"</f>
        <v>&lt;nominal&gt;20&lt;/nominal&gt;</v>
      </c>
      <c r="B17869" t="s">
        <v>3112</v>
      </c>
    </row>
    <row r="17870" spans="1:8" x14ac:dyDescent="0.25">
      <c r="A17870" t="str">
        <f>"&lt;lifetime&gt;" &amp;$E$17868&amp;"&lt;/lifetime&gt;"</f>
        <v>&lt;lifetime&gt;604800&lt;/lifetime&gt;</v>
      </c>
      <c r="B17870" t="s">
        <v>3112</v>
      </c>
    </row>
    <row r="17871" spans="1:8" x14ac:dyDescent="0.25">
      <c r="A17871" t="str">
        <f>"&lt;restock&gt;" &amp;$F$17868&amp;"&lt;/restock&gt;"</f>
        <v>&lt;restock&gt;0&lt;/restock&gt;</v>
      </c>
      <c r="B17871" t="s">
        <v>3112</v>
      </c>
    </row>
    <row r="17872" spans="1:8" x14ac:dyDescent="0.25">
      <c r="A17872" t="str">
        <f>"&lt;min&gt;" &amp;$G$17868&amp;"&lt;/min&gt;"</f>
        <v>&lt;min&gt;10&lt;/min&gt;</v>
      </c>
      <c r="B17872" t="s">
        <v>3112</v>
      </c>
    </row>
    <row r="17873" spans="1:8" x14ac:dyDescent="0.25">
      <c r="A17873" t="s">
        <v>16</v>
      </c>
      <c r="B17873" t="s">
        <v>3112</v>
      </c>
    </row>
    <row r="17874" spans="1:8" x14ac:dyDescent="0.25">
      <c r="A17874" t="s">
        <v>17</v>
      </c>
      <c r="B17874" t="s">
        <v>3112</v>
      </c>
    </row>
    <row r="17875" spans="1:8" x14ac:dyDescent="0.25">
      <c r="A17875" t="s">
        <v>18</v>
      </c>
      <c r="B17875" t="s">
        <v>3112</v>
      </c>
    </row>
    <row r="17876" spans="1:8" x14ac:dyDescent="0.25">
      <c r="A17876" t="str">
        <f xml:space="preserve"> $H$17868</f>
        <v>&lt;flags count_in_cargo="0" count_in_hoarder="0" count_in_map="1" count_in_player="0" crafted="0" deloot="0"/&gt;</v>
      </c>
      <c r="B17876" t="s">
        <v>3112</v>
      </c>
    </row>
    <row r="17877" spans="1:8" x14ac:dyDescent="0.25">
      <c r="A17877" t="str">
        <f>"&lt;category name=" &amp;"""" &amp;$C$17868&amp;"""/&gt;"</f>
        <v>&lt;category name="tools"/&gt;</v>
      </c>
      <c r="B17877" t="s">
        <v>3112</v>
      </c>
    </row>
    <row r="17878" spans="1:8" x14ac:dyDescent="0.25">
      <c r="A17878" t="s">
        <v>25</v>
      </c>
      <c r="B17878" t="s">
        <v>3112</v>
      </c>
    </row>
    <row r="17879" spans="1:8" x14ac:dyDescent="0.25">
      <c r="A17879" t="s">
        <v>56</v>
      </c>
      <c r="B17879" t="s">
        <v>3112</v>
      </c>
    </row>
    <row r="17880" spans="1:8" x14ac:dyDescent="0.25">
      <c r="A17880" t="s">
        <v>55</v>
      </c>
      <c r="B17880" t="s">
        <v>3112</v>
      </c>
    </row>
    <row r="17881" spans="1:8" x14ac:dyDescent="0.25">
      <c r="A17881" t="s">
        <v>39</v>
      </c>
      <c r="B17881" t="s">
        <v>3112</v>
      </c>
    </row>
    <row r="17882" spans="1:8" x14ac:dyDescent="0.25">
      <c r="A17882" t="s">
        <v>40</v>
      </c>
      <c r="B17882" t="s">
        <v>3112</v>
      </c>
    </row>
    <row r="17883" spans="1:8" x14ac:dyDescent="0.25">
      <c r="A17883" t="s">
        <v>29</v>
      </c>
      <c r="B17883" t="s">
        <v>3112</v>
      </c>
    </row>
    <row r="17884" spans="1:8" x14ac:dyDescent="0.25">
      <c r="A17884" t="s">
        <v>22</v>
      </c>
      <c r="B17884" t="s">
        <v>3112</v>
      </c>
    </row>
    <row r="17885" spans="1:8" x14ac:dyDescent="0.25">
      <c r="A17885" t="s">
        <v>3110</v>
      </c>
      <c r="B17885" t="s">
        <v>3113</v>
      </c>
      <c r="E17885">
        <v>7200</v>
      </c>
      <c r="H17885" t="s">
        <v>62</v>
      </c>
    </row>
    <row r="17886" spans="1:8" x14ac:dyDescent="0.25">
      <c r="A17886" t="str">
        <f>"&lt;lifetime&gt;" &amp;$E$17885&amp;"&lt;/lifetime&gt;"</f>
        <v>&lt;lifetime&gt;7200&lt;/lifetime&gt;</v>
      </c>
      <c r="B17886" t="s">
        <v>3113</v>
      </c>
    </row>
    <row r="17887" spans="1:8" x14ac:dyDescent="0.25">
      <c r="A17887" t="str">
        <f xml:space="preserve"> $H$17885</f>
        <v>&lt;flags count_in_cargo="0" count_in_hoarder="0" count_in_map="1" count_in_player="0" crafted="1" deloot="0"/&gt;</v>
      </c>
      <c r="B17887" t="s">
        <v>3113</v>
      </c>
    </row>
    <row r="17888" spans="1:8" x14ac:dyDescent="0.25">
      <c r="A17888" t="s">
        <v>22</v>
      </c>
      <c r="B17888" t="s">
        <v>3113</v>
      </c>
    </row>
    <row r="17889" spans="1:8" x14ac:dyDescent="0.25">
      <c r="A17889" t="s">
        <v>3111</v>
      </c>
      <c r="B17889" t="s">
        <v>3666</v>
      </c>
      <c r="E17889">
        <v>3888000</v>
      </c>
      <c r="H17889" t="s">
        <v>175</v>
      </c>
    </row>
    <row r="17890" spans="1:8" x14ac:dyDescent="0.25">
      <c r="A17890" t="str">
        <f>"&lt;lifetime&gt;" &amp;$E$17889&amp;"&lt;/lifetime&gt;"</f>
        <v>&lt;lifetime&gt;3888000&lt;/lifetime&gt;</v>
      </c>
      <c r="B17890" t="s">
        <v>3666</v>
      </c>
    </row>
    <row r="17891" spans="1:8" x14ac:dyDescent="0.25">
      <c r="A17891" t="str">
        <f xml:space="preserve"> $H$17889</f>
        <v>&lt;flags count_in_cargo="1" count_in_hoarder="0" count_in_map="1" count_in_player="0" crafted="1" deloot="0"/&gt;</v>
      </c>
      <c r="B17891" t="s">
        <v>3666</v>
      </c>
    </row>
    <row r="17892" spans="1:8" x14ac:dyDescent="0.25">
      <c r="A17892" t="s">
        <v>22</v>
      </c>
      <c r="B17892" t="s">
        <v>3666</v>
      </c>
    </row>
    <row r="17893" spans="1:8" x14ac:dyDescent="0.25">
      <c r="A17893" t="s">
        <v>115</v>
      </c>
      <c r="B17893" t="s">
        <v>3667</v>
      </c>
      <c r="E17893">
        <v>7200</v>
      </c>
      <c r="H17893" t="s">
        <v>62</v>
      </c>
    </row>
    <row r="17894" spans="1:8" x14ac:dyDescent="0.25">
      <c r="A17894" t="str">
        <f>"&lt;lifetime&gt;" &amp;$E$17893&amp;"&lt;/lifetime&gt;"</f>
        <v>&lt;lifetime&gt;7200&lt;/lifetime&gt;</v>
      </c>
      <c r="B17894" t="s">
        <v>3667</v>
      </c>
    </row>
    <row r="17895" spans="1:8" x14ac:dyDescent="0.25">
      <c r="A17895" t="str">
        <f xml:space="preserve"> $H$17893</f>
        <v>&lt;flags count_in_cargo="0" count_in_hoarder="0" count_in_map="1" count_in_player="0" crafted="1" deloot="0"/&gt;</v>
      </c>
      <c r="B17895" t="s">
        <v>3667</v>
      </c>
    </row>
    <row r="17896" spans="1:8" x14ac:dyDescent="0.25">
      <c r="A17896" t="s">
        <v>22</v>
      </c>
      <c r="B17896" t="s">
        <v>3667</v>
      </c>
    </row>
    <row r="17897" spans="1:8" x14ac:dyDescent="0.25">
      <c r="A17897" t="s">
        <v>116</v>
      </c>
      <c r="B17897" t="s">
        <v>3668</v>
      </c>
      <c r="E17897">
        <v>7200</v>
      </c>
      <c r="H17897" t="s">
        <v>62</v>
      </c>
    </row>
    <row r="17898" spans="1:8" x14ac:dyDescent="0.25">
      <c r="A17898" t="str">
        <f>"&lt;lifetime&gt;" &amp;$E$17897&amp;"&lt;/lifetime&gt;"</f>
        <v>&lt;lifetime&gt;7200&lt;/lifetime&gt;</v>
      </c>
      <c r="B17898" t="s">
        <v>3668</v>
      </c>
    </row>
    <row r="17899" spans="1:8" x14ac:dyDescent="0.25">
      <c r="A17899" t="str">
        <f xml:space="preserve"> $H$17897</f>
        <v>&lt;flags count_in_cargo="0" count_in_hoarder="0" count_in_map="1" count_in_player="0" crafted="1" deloot="0"/&gt;</v>
      </c>
      <c r="B17899" t="s">
        <v>3668</v>
      </c>
    </row>
    <row r="17900" spans="1:8" x14ac:dyDescent="0.25">
      <c r="A17900" t="s">
        <v>22</v>
      </c>
      <c r="B17900" t="s">
        <v>3668</v>
      </c>
    </row>
    <row r="17901" spans="1:8" x14ac:dyDescent="0.25">
      <c r="A17901" t="s">
        <v>117</v>
      </c>
      <c r="B17901" t="s">
        <v>3669</v>
      </c>
      <c r="E17901">
        <v>7200</v>
      </c>
      <c r="H17901" t="s">
        <v>62</v>
      </c>
    </row>
    <row r="17902" spans="1:8" x14ac:dyDescent="0.25">
      <c r="A17902" t="str">
        <f>"&lt;lifetime&gt;" &amp;$E$17901&amp;"&lt;/lifetime&gt;"</f>
        <v>&lt;lifetime&gt;7200&lt;/lifetime&gt;</v>
      </c>
      <c r="B17902" t="s">
        <v>3669</v>
      </c>
    </row>
    <row r="17903" spans="1:8" x14ac:dyDescent="0.25">
      <c r="A17903" t="str">
        <f xml:space="preserve"> $H$17901</f>
        <v>&lt;flags count_in_cargo="0" count_in_hoarder="0" count_in_map="1" count_in_player="0" crafted="1" deloot="0"/&gt;</v>
      </c>
      <c r="B17903" t="s">
        <v>3669</v>
      </c>
    </row>
    <row r="17904" spans="1:8" x14ac:dyDescent="0.25">
      <c r="A17904" t="s">
        <v>22</v>
      </c>
      <c r="B17904" t="s">
        <v>3669</v>
      </c>
    </row>
    <row r="17905" spans="1:8" x14ac:dyDescent="0.25">
      <c r="A17905" t="s">
        <v>118</v>
      </c>
      <c r="B17905" t="s">
        <v>3670</v>
      </c>
      <c r="E17905">
        <v>7200</v>
      </c>
      <c r="H17905" t="s">
        <v>62</v>
      </c>
    </row>
    <row r="17906" spans="1:8" x14ac:dyDescent="0.25">
      <c r="A17906" t="str">
        <f>"&lt;lifetime&gt;" &amp;$E$17905&amp;"&lt;/lifetime&gt;"</f>
        <v>&lt;lifetime&gt;7200&lt;/lifetime&gt;</v>
      </c>
      <c r="B17906" t="s">
        <v>3670</v>
      </c>
    </row>
    <row r="17907" spans="1:8" x14ac:dyDescent="0.25">
      <c r="A17907" t="str">
        <f xml:space="preserve"> $H$17905</f>
        <v>&lt;flags count_in_cargo="0" count_in_hoarder="0" count_in_map="1" count_in_player="0" crafted="1" deloot="0"/&gt;</v>
      </c>
      <c r="B17907" t="s">
        <v>3670</v>
      </c>
    </row>
    <row r="17908" spans="1:8" x14ac:dyDescent="0.25">
      <c r="A17908" t="s">
        <v>22</v>
      </c>
      <c r="B17908" t="s">
        <v>3670</v>
      </c>
    </row>
    <row r="17909" spans="1:8" x14ac:dyDescent="0.25">
      <c r="A17909" t="s">
        <v>119</v>
      </c>
      <c r="B17909" t="s">
        <v>3671</v>
      </c>
      <c r="E17909">
        <v>7200</v>
      </c>
      <c r="H17909" t="s">
        <v>62</v>
      </c>
    </row>
    <row r="17910" spans="1:8" x14ac:dyDescent="0.25">
      <c r="A17910" t="str">
        <f>"&lt;lifetime&gt;" &amp;$E$17909&amp;"&lt;/lifetime&gt;"</f>
        <v>&lt;lifetime&gt;7200&lt;/lifetime&gt;</v>
      </c>
      <c r="B17910" t="s">
        <v>3671</v>
      </c>
    </row>
    <row r="17911" spans="1:8" x14ac:dyDescent="0.25">
      <c r="A17911" t="str">
        <f xml:space="preserve"> $H$17909</f>
        <v>&lt;flags count_in_cargo="0" count_in_hoarder="0" count_in_map="1" count_in_player="0" crafted="1" deloot="0"/&gt;</v>
      </c>
      <c r="B17911" t="s">
        <v>3671</v>
      </c>
    </row>
    <row r="17912" spans="1:8" x14ac:dyDescent="0.25">
      <c r="A17912" t="s">
        <v>22</v>
      </c>
      <c r="B17912" t="s">
        <v>3671</v>
      </c>
    </row>
    <row r="17913" spans="1:8" x14ac:dyDescent="0.25">
      <c r="A17913" t="s">
        <v>120</v>
      </c>
      <c r="B17913" t="s">
        <v>3672</v>
      </c>
      <c r="E17913">
        <v>7200</v>
      </c>
      <c r="H17913" t="s">
        <v>62</v>
      </c>
    </row>
    <row r="17914" spans="1:8" x14ac:dyDescent="0.25">
      <c r="A17914" t="str">
        <f>"&lt;lifetime&gt;" &amp;$E$17913&amp;"&lt;/lifetime&gt;"</f>
        <v>&lt;lifetime&gt;7200&lt;/lifetime&gt;</v>
      </c>
      <c r="B17914" t="s">
        <v>3672</v>
      </c>
    </row>
    <row r="17915" spans="1:8" x14ac:dyDescent="0.25">
      <c r="A17915" t="str">
        <f xml:space="preserve"> $H$17913</f>
        <v>&lt;flags count_in_cargo="0" count_in_hoarder="0" count_in_map="1" count_in_player="0" crafted="1" deloot="0"/&gt;</v>
      </c>
      <c r="B17915" t="s">
        <v>3672</v>
      </c>
    </row>
    <row r="17916" spans="1:8" x14ac:dyDescent="0.25">
      <c r="A17916" t="s">
        <v>22</v>
      </c>
      <c r="B17916" t="s">
        <v>3672</v>
      </c>
    </row>
    <row r="17917" spans="1:8" x14ac:dyDescent="0.25">
      <c r="A17917" t="s">
        <v>121</v>
      </c>
      <c r="B17917" t="s">
        <v>3673</v>
      </c>
      <c r="E17917">
        <v>7200</v>
      </c>
      <c r="H17917" t="s">
        <v>62</v>
      </c>
    </row>
    <row r="17918" spans="1:8" x14ac:dyDescent="0.25">
      <c r="A17918" t="str">
        <f>"&lt;lifetime&gt;" &amp;$E$17917&amp;"&lt;/lifetime&gt;"</f>
        <v>&lt;lifetime&gt;7200&lt;/lifetime&gt;</v>
      </c>
      <c r="B17918" t="s">
        <v>3673</v>
      </c>
    </row>
    <row r="17919" spans="1:8" x14ac:dyDescent="0.25">
      <c r="A17919" t="str">
        <f xml:space="preserve"> $H$17917</f>
        <v>&lt;flags count_in_cargo="0" count_in_hoarder="0" count_in_map="1" count_in_player="0" crafted="1" deloot="0"/&gt;</v>
      </c>
      <c r="B17919" t="s">
        <v>3673</v>
      </c>
    </row>
    <row r="17920" spans="1:8" x14ac:dyDescent="0.25">
      <c r="A17920" t="s">
        <v>22</v>
      </c>
      <c r="B17920" t="s">
        <v>3673</v>
      </c>
    </row>
    <row r="17921" spans="1:8" x14ac:dyDescent="0.25">
      <c r="A17921" t="s">
        <v>122</v>
      </c>
      <c r="B17921" t="s">
        <v>3674</v>
      </c>
      <c r="E17921">
        <v>7200</v>
      </c>
      <c r="H17921" t="s">
        <v>62</v>
      </c>
    </row>
    <row r="17922" spans="1:8" x14ac:dyDescent="0.25">
      <c r="A17922" t="str">
        <f>"&lt;lifetime&gt;" &amp;$E$17921&amp;"&lt;/lifetime&gt;"</f>
        <v>&lt;lifetime&gt;7200&lt;/lifetime&gt;</v>
      </c>
      <c r="B17922" t="s">
        <v>3674</v>
      </c>
    </row>
    <row r="17923" spans="1:8" x14ac:dyDescent="0.25">
      <c r="A17923" t="str">
        <f xml:space="preserve"> $H$17921</f>
        <v>&lt;flags count_in_cargo="0" count_in_hoarder="0" count_in_map="1" count_in_player="0" crafted="1" deloot="0"/&gt;</v>
      </c>
      <c r="B17923" t="s">
        <v>3674</v>
      </c>
    </row>
    <row r="17924" spans="1:8" x14ac:dyDescent="0.25">
      <c r="A17924" t="s">
        <v>22</v>
      </c>
      <c r="B17924" t="s">
        <v>3674</v>
      </c>
    </row>
    <row r="17925" spans="1:8" x14ac:dyDescent="0.25">
      <c r="A17925" t="s">
        <v>123</v>
      </c>
      <c r="B17925" t="s">
        <v>3675</v>
      </c>
      <c r="E17925">
        <v>7200</v>
      </c>
      <c r="H17925" t="s">
        <v>62</v>
      </c>
    </row>
    <row r="17926" spans="1:8" x14ac:dyDescent="0.25">
      <c r="A17926" t="str">
        <f>"&lt;lifetime&gt;" &amp;$E$17925&amp;"&lt;/lifetime&gt;"</f>
        <v>&lt;lifetime&gt;7200&lt;/lifetime&gt;</v>
      </c>
      <c r="B17926" t="s">
        <v>3675</v>
      </c>
    </row>
    <row r="17927" spans="1:8" x14ac:dyDescent="0.25">
      <c r="A17927" t="str">
        <f xml:space="preserve"> $H$17925</f>
        <v>&lt;flags count_in_cargo="0" count_in_hoarder="0" count_in_map="1" count_in_player="0" crafted="1" deloot="0"/&gt;</v>
      </c>
      <c r="B17927" t="s">
        <v>3675</v>
      </c>
    </row>
    <row r="17928" spans="1:8" x14ac:dyDescent="0.25">
      <c r="A17928" t="s">
        <v>22</v>
      </c>
      <c r="B17928" t="s">
        <v>3675</v>
      </c>
    </row>
    <row r="17929" spans="1:8" x14ac:dyDescent="0.25">
      <c r="A17929" t="s">
        <v>124</v>
      </c>
      <c r="B17929" t="s">
        <v>3676</v>
      </c>
      <c r="E17929">
        <v>7200</v>
      </c>
      <c r="H17929" t="s">
        <v>62</v>
      </c>
    </row>
    <row r="17930" spans="1:8" x14ac:dyDescent="0.25">
      <c r="A17930" t="str">
        <f>"&lt;lifetime&gt;" &amp;$E$17929&amp;"&lt;/lifetime&gt;"</f>
        <v>&lt;lifetime&gt;7200&lt;/lifetime&gt;</v>
      </c>
      <c r="B17930" t="s">
        <v>3676</v>
      </c>
    </row>
    <row r="17931" spans="1:8" x14ac:dyDescent="0.25">
      <c r="A17931" t="str">
        <f xml:space="preserve"> $H$17929</f>
        <v>&lt;flags count_in_cargo="0" count_in_hoarder="0" count_in_map="1" count_in_player="0" crafted="1" deloot="0"/&gt;</v>
      </c>
      <c r="B17931" t="s">
        <v>3676</v>
      </c>
    </row>
    <row r="17932" spans="1:8" x14ac:dyDescent="0.25">
      <c r="A17932" t="s">
        <v>22</v>
      </c>
      <c r="B17932" t="s">
        <v>3676</v>
      </c>
    </row>
    <row r="17933" spans="1:8" x14ac:dyDescent="0.25">
      <c r="A17933" t="s">
        <v>125</v>
      </c>
      <c r="B17933" t="s">
        <v>3677</v>
      </c>
      <c r="E17933">
        <v>7200</v>
      </c>
      <c r="H17933" t="s">
        <v>62</v>
      </c>
    </row>
    <row r="17934" spans="1:8" x14ac:dyDescent="0.25">
      <c r="A17934" t="str">
        <f>"&lt;lifetime&gt;" &amp;$E$17933&amp;"&lt;/lifetime&gt;"</f>
        <v>&lt;lifetime&gt;7200&lt;/lifetime&gt;</v>
      </c>
      <c r="B17934" t="s">
        <v>3677</v>
      </c>
    </row>
    <row r="17935" spans="1:8" x14ac:dyDescent="0.25">
      <c r="A17935" t="str">
        <f xml:space="preserve"> $H$17933</f>
        <v>&lt;flags count_in_cargo="0" count_in_hoarder="0" count_in_map="1" count_in_player="0" crafted="1" deloot="0"/&gt;</v>
      </c>
      <c r="B17935" t="s">
        <v>3677</v>
      </c>
    </row>
    <row r="17936" spans="1:8" x14ac:dyDescent="0.25">
      <c r="A17936" t="s">
        <v>22</v>
      </c>
      <c r="B17936" t="s">
        <v>3677</v>
      </c>
    </row>
    <row r="17937" spans="1:8" x14ac:dyDescent="0.25">
      <c r="A17937" t="s">
        <v>126</v>
      </c>
      <c r="B17937" t="s">
        <v>3678</v>
      </c>
      <c r="E17937">
        <v>7200</v>
      </c>
      <c r="H17937" t="s">
        <v>62</v>
      </c>
    </row>
    <row r="17938" spans="1:8" x14ac:dyDescent="0.25">
      <c r="A17938" t="str">
        <f>"&lt;lifetime&gt;" &amp;$E$17937&amp;"&lt;/lifetime&gt;"</f>
        <v>&lt;lifetime&gt;7200&lt;/lifetime&gt;</v>
      </c>
      <c r="B17938" t="s">
        <v>3678</v>
      </c>
    </row>
    <row r="17939" spans="1:8" x14ac:dyDescent="0.25">
      <c r="A17939" t="str">
        <f xml:space="preserve"> $H$17937</f>
        <v>&lt;flags count_in_cargo="0" count_in_hoarder="0" count_in_map="1" count_in_player="0" crafted="1" deloot="0"/&gt;</v>
      </c>
      <c r="B17939" t="s">
        <v>3678</v>
      </c>
    </row>
    <row r="17940" spans="1:8" x14ac:dyDescent="0.25">
      <c r="A17940" t="s">
        <v>22</v>
      </c>
      <c r="B17940" t="s">
        <v>3678</v>
      </c>
    </row>
    <row r="17941" spans="1:8" x14ac:dyDescent="0.25">
      <c r="A17941" t="s">
        <v>127</v>
      </c>
      <c r="B17941" t="s">
        <v>3679</v>
      </c>
      <c r="E17941">
        <v>7200</v>
      </c>
      <c r="H17941" t="s">
        <v>62</v>
      </c>
    </row>
    <row r="17942" spans="1:8" x14ac:dyDescent="0.25">
      <c r="A17942" t="str">
        <f>"&lt;lifetime&gt;" &amp;$E$17941&amp;"&lt;/lifetime&gt;"</f>
        <v>&lt;lifetime&gt;7200&lt;/lifetime&gt;</v>
      </c>
      <c r="B17942" t="s">
        <v>3679</v>
      </c>
    </row>
    <row r="17943" spans="1:8" x14ac:dyDescent="0.25">
      <c r="A17943" t="str">
        <f xml:space="preserve"> $H$17941</f>
        <v>&lt;flags count_in_cargo="0" count_in_hoarder="0" count_in_map="1" count_in_player="0" crafted="1" deloot="0"/&gt;</v>
      </c>
      <c r="B17943" t="s">
        <v>3679</v>
      </c>
    </row>
    <row r="17944" spans="1:8" x14ac:dyDescent="0.25">
      <c r="A17944" t="s">
        <v>22</v>
      </c>
      <c r="B17944" t="s">
        <v>3679</v>
      </c>
    </row>
    <row r="17945" spans="1:8" x14ac:dyDescent="0.25">
      <c r="A17945" t="s">
        <v>128</v>
      </c>
      <c r="B17945" t="s">
        <v>3680</v>
      </c>
      <c r="E17945">
        <v>7200</v>
      </c>
      <c r="H17945" t="s">
        <v>62</v>
      </c>
    </row>
    <row r="17946" spans="1:8" x14ac:dyDescent="0.25">
      <c r="A17946" t="str">
        <f>"&lt;lifetime&gt;" &amp;$E$17945&amp;"&lt;/lifetime&gt;"</f>
        <v>&lt;lifetime&gt;7200&lt;/lifetime&gt;</v>
      </c>
      <c r="B17946" t="s">
        <v>3680</v>
      </c>
    </row>
    <row r="17947" spans="1:8" x14ac:dyDescent="0.25">
      <c r="A17947" t="str">
        <f xml:space="preserve"> $H$17945</f>
        <v>&lt;flags count_in_cargo="0" count_in_hoarder="0" count_in_map="1" count_in_player="0" crafted="1" deloot="0"/&gt;</v>
      </c>
      <c r="B17947" t="s">
        <v>3680</v>
      </c>
    </row>
    <row r="17948" spans="1:8" x14ac:dyDescent="0.25">
      <c r="A17948" t="s">
        <v>22</v>
      </c>
      <c r="B17948" t="s">
        <v>3680</v>
      </c>
    </row>
    <row r="17949" spans="1:8" x14ac:dyDescent="0.25">
      <c r="A17949" t="s">
        <v>129</v>
      </c>
      <c r="B17949" t="s">
        <v>3681</v>
      </c>
      <c r="E17949">
        <v>7200</v>
      </c>
      <c r="H17949" t="s">
        <v>62</v>
      </c>
    </row>
    <row r="17950" spans="1:8" x14ac:dyDescent="0.25">
      <c r="A17950" t="str">
        <f>"&lt;lifetime&gt;" &amp;$E$17949&amp;"&lt;/lifetime&gt;"</f>
        <v>&lt;lifetime&gt;7200&lt;/lifetime&gt;</v>
      </c>
      <c r="B17950" t="s">
        <v>3681</v>
      </c>
    </row>
    <row r="17951" spans="1:8" x14ac:dyDescent="0.25">
      <c r="A17951" t="str">
        <f xml:space="preserve"> $H$17949</f>
        <v>&lt;flags count_in_cargo="0" count_in_hoarder="0" count_in_map="1" count_in_player="0" crafted="1" deloot="0"/&gt;</v>
      </c>
      <c r="B17951" t="s">
        <v>3681</v>
      </c>
    </row>
    <row r="17952" spans="1:8" x14ac:dyDescent="0.25">
      <c r="A17952" t="s">
        <v>22</v>
      </c>
      <c r="B17952" t="s">
        <v>3681</v>
      </c>
    </row>
    <row r="17953" spans="1:8" x14ac:dyDescent="0.25">
      <c r="A17953" t="s">
        <v>130</v>
      </c>
      <c r="B17953" t="s">
        <v>3682</v>
      </c>
      <c r="E17953">
        <v>7200</v>
      </c>
      <c r="H17953" t="s">
        <v>62</v>
      </c>
    </row>
    <row r="17954" spans="1:8" x14ac:dyDescent="0.25">
      <c r="A17954" t="str">
        <f>"&lt;lifetime&gt;" &amp;$E$17953&amp;"&lt;/lifetime&gt;"</f>
        <v>&lt;lifetime&gt;7200&lt;/lifetime&gt;</v>
      </c>
      <c r="B17954" t="s">
        <v>3682</v>
      </c>
    </row>
    <row r="17955" spans="1:8" x14ac:dyDescent="0.25">
      <c r="A17955" t="str">
        <f xml:space="preserve"> $H$17953</f>
        <v>&lt;flags count_in_cargo="0" count_in_hoarder="0" count_in_map="1" count_in_player="0" crafted="1" deloot="0"/&gt;</v>
      </c>
      <c r="B17955" t="s">
        <v>3682</v>
      </c>
    </row>
    <row r="17956" spans="1:8" x14ac:dyDescent="0.25">
      <c r="A17956" t="s">
        <v>22</v>
      </c>
      <c r="B17956" t="s">
        <v>3682</v>
      </c>
    </row>
    <row r="17957" spans="1:8" x14ac:dyDescent="0.25">
      <c r="A17957" t="s">
        <v>131</v>
      </c>
      <c r="B17957" t="s">
        <v>3683</v>
      </c>
      <c r="E17957">
        <v>7200</v>
      </c>
      <c r="H17957" t="s">
        <v>62</v>
      </c>
    </row>
    <row r="17958" spans="1:8" x14ac:dyDescent="0.25">
      <c r="A17958" t="str">
        <f>"&lt;lifetime&gt;" &amp;$E$17957&amp;"&lt;/lifetime&gt;"</f>
        <v>&lt;lifetime&gt;7200&lt;/lifetime&gt;</v>
      </c>
      <c r="B17958" t="s">
        <v>3683</v>
      </c>
    </row>
    <row r="17959" spans="1:8" x14ac:dyDescent="0.25">
      <c r="A17959" t="str">
        <f xml:space="preserve"> $H$17957</f>
        <v>&lt;flags count_in_cargo="0" count_in_hoarder="0" count_in_map="1" count_in_player="0" crafted="1" deloot="0"/&gt;</v>
      </c>
      <c r="B17959" t="s">
        <v>3683</v>
      </c>
    </row>
    <row r="17960" spans="1:8" x14ac:dyDescent="0.25">
      <c r="A17960" t="s">
        <v>22</v>
      </c>
      <c r="B17960" t="s">
        <v>3683</v>
      </c>
    </row>
    <row r="17961" spans="1:8" x14ac:dyDescent="0.25">
      <c r="A17961" t="s">
        <v>132</v>
      </c>
      <c r="B17961" t="s">
        <v>3684</v>
      </c>
      <c r="E17961">
        <v>7200</v>
      </c>
      <c r="H17961" t="s">
        <v>62</v>
      </c>
    </row>
    <row r="17962" spans="1:8" x14ac:dyDescent="0.25">
      <c r="A17962" t="str">
        <f>"&lt;lifetime&gt;" &amp;$E$17961&amp;"&lt;/lifetime&gt;"</f>
        <v>&lt;lifetime&gt;7200&lt;/lifetime&gt;</v>
      </c>
      <c r="B17962" t="s">
        <v>3684</v>
      </c>
    </row>
    <row r="17963" spans="1:8" x14ac:dyDescent="0.25">
      <c r="A17963" t="str">
        <f xml:space="preserve"> $H$17961</f>
        <v>&lt;flags count_in_cargo="0" count_in_hoarder="0" count_in_map="1" count_in_player="0" crafted="1" deloot="0"/&gt;</v>
      </c>
      <c r="B17963" t="s">
        <v>3684</v>
      </c>
    </row>
    <row r="17964" spans="1:8" x14ac:dyDescent="0.25">
      <c r="A17964" t="s">
        <v>22</v>
      </c>
      <c r="B17964" t="s">
        <v>3684</v>
      </c>
    </row>
    <row r="17965" spans="1:8" x14ac:dyDescent="0.25">
      <c r="A17965" t="s">
        <v>133</v>
      </c>
      <c r="B17965" t="s">
        <v>3685</v>
      </c>
      <c r="E17965">
        <v>7200</v>
      </c>
      <c r="H17965" t="s">
        <v>62</v>
      </c>
    </row>
    <row r="17966" spans="1:8" x14ac:dyDescent="0.25">
      <c r="A17966" t="str">
        <f>"&lt;lifetime&gt;" &amp;$E$17965&amp;"&lt;/lifetime&gt;"</f>
        <v>&lt;lifetime&gt;7200&lt;/lifetime&gt;</v>
      </c>
      <c r="B17966" t="s">
        <v>3685</v>
      </c>
    </row>
    <row r="17967" spans="1:8" x14ac:dyDescent="0.25">
      <c r="A17967" t="str">
        <f xml:space="preserve"> $H$17965</f>
        <v>&lt;flags count_in_cargo="0" count_in_hoarder="0" count_in_map="1" count_in_player="0" crafted="1" deloot="0"/&gt;</v>
      </c>
      <c r="B17967" t="s">
        <v>3685</v>
      </c>
    </row>
    <row r="17968" spans="1:8" x14ac:dyDescent="0.25">
      <c r="A17968" t="s">
        <v>22</v>
      </c>
      <c r="B17968" t="s">
        <v>3685</v>
      </c>
    </row>
    <row r="17969" spans="1:8" x14ac:dyDescent="0.25">
      <c r="A17969" t="s">
        <v>134</v>
      </c>
      <c r="B17969" t="s">
        <v>3686</v>
      </c>
      <c r="E17969">
        <v>7200</v>
      </c>
      <c r="H17969" t="s">
        <v>62</v>
      </c>
    </row>
    <row r="17970" spans="1:8" x14ac:dyDescent="0.25">
      <c r="A17970" t="str">
        <f>"&lt;lifetime&gt;" &amp;$E$17969&amp;"&lt;/lifetime&gt;"</f>
        <v>&lt;lifetime&gt;7200&lt;/lifetime&gt;</v>
      </c>
      <c r="B17970" t="s">
        <v>3686</v>
      </c>
    </row>
    <row r="17971" spans="1:8" x14ac:dyDescent="0.25">
      <c r="A17971" t="str">
        <f xml:space="preserve"> $H$17969</f>
        <v>&lt;flags count_in_cargo="0" count_in_hoarder="0" count_in_map="1" count_in_player="0" crafted="1" deloot="0"/&gt;</v>
      </c>
      <c r="B17971" t="s">
        <v>3686</v>
      </c>
    </row>
    <row r="17972" spans="1:8" x14ac:dyDescent="0.25">
      <c r="A17972" t="s">
        <v>22</v>
      </c>
      <c r="B17972" t="s">
        <v>3686</v>
      </c>
    </row>
    <row r="17973" spans="1:8" x14ac:dyDescent="0.25">
      <c r="A17973" t="s">
        <v>135</v>
      </c>
      <c r="B17973" t="s">
        <v>3687</v>
      </c>
      <c r="E17973">
        <v>7200</v>
      </c>
      <c r="H17973" t="s">
        <v>62</v>
      </c>
    </row>
    <row r="17974" spans="1:8" x14ac:dyDescent="0.25">
      <c r="A17974" t="str">
        <f>"&lt;lifetime&gt;" &amp;$E$17973&amp;"&lt;/lifetime&gt;"</f>
        <v>&lt;lifetime&gt;7200&lt;/lifetime&gt;</v>
      </c>
      <c r="B17974" t="s">
        <v>3687</v>
      </c>
    </row>
    <row r="17975" spans="1:8" x14ac:dyDescent="0.25">
      <c r="A17975" t="str">
        <f xml:space="preserve"> $H$17973</f>
        <v>&lt;flags count_in_cargo="0" count_in_hoarder="0" count_in_map="1" count_in_player="0" crafted="1" deloot="0"/&gt;</v>
      </c>
      <c r="B17975" t="s">
        <v>3687</v>
      </c>
    </row>
    <row r="17976" spans="1:8" x14ac:dyDescent="0.25">
      <c r="A17976" t="s">
        <v>22</v>
      </c>
      <c r="B17976" t="s">
        <v>3687</v>
      </c>
    </row>
    <row r="17977" spans="1:8" x14ac:dyDescent="0.25">
      <c r="A17977" t="s">
        <v>136</v>
      </c>
      <c r="B17977" t="s">
        <v>3688</v>
      </c>
      <c r="E17977">
        <v>7200</v>
      </c>
      <c r="H17977" t="s">
        <v>62</v>
      </c>
    </row>
    <row r="17978" spans="1:8" x14ac:dyDescent="0.25">
      <c r="A17978" t="str">
        <f>"&lt;lifetime&gt;" &amp;$E$17977&amp;"&lt;/lifetime&gt;"</f>
        <v>&lt;lifetime&gt;7200&lt;/lifetime&gt;</v>
      </c>
      <c r="B17978" t="s">
        <v>3688</v>
      </c>
    </row>
    <row r="17979" spans="1:8" x14ac:dyDescent="0.25">
      <c r="A17979" t="str">
        <f xml:space="preserve"> $H$17977</f>
        <v>&lt;flags count_in_cargo="0" count_in_hoarder="0" count_in_map="1" count_in_player="0" crafted="1" deloot="0"/&gt;</v>
      </c>
      <c r="B17979" t="s">
        <v>3688</v>
      </c>
    </row>
    <row r="17980" spans="1:8" x14ac:dyDescent="0.25">
      <c r="A17980" t="s">
        <v>22</v>
      </c>
      <c r="B17980" t="s">
        <v>3688</v>
      </c>
    </row>
    <row r="17981" spans="1:8" x14ac:dyDescent="0.25">
      <c r="A17981" t="s">
        <v>137</v>
      </c>
      <c r="B17981" t="s">
        <v>3689</v>
      </c>
      <c r="E17981">
        <v>7200</v>
      </c>
      <c r="H17981" t="s">
        <v>62</v>
      </c>
    </row>
    <row r="17982" spans="1:8" x14ac:dyDescent="0.25">
      <c r="A17982" t="str">
        <f>"&lt;lifetime&gt;" &amp;$E$17981&amp;"&lt;/lifetime&gt;"</f>
        <v>&lt;lifetime&gt;7200&lt;/lifetime&gt;</v>
      </c>
      <c r="B17982" t="s">
        <v>3689</v>
      </c>
    </row>
    <row r="17983" spans="1:8" x14ac:dyDescent="0.25">
      <c r="A17983" t="str">
        <f xml:space="preserve"> $H$17981</f>
        <v>&lt;flags count_in_cargo="0" count_in_hoarder="0" count_in_map="1" count_in_player="0" crafted="1" deloot="0"/&gt;</v>
      </c>
      <c r="B17983" t="s">
        <v>3689</v>
      </c>
    </row>
    <row r="17984" spans="1:8" x14ac:dyDescent="0.25">
      <c r="A17984" t="s">
        <v>22</v>
      </c>
      <c r="B17984" t="s">
        <v>3689</v>
      </c>
    </row>
    <row r="17985" spans="1:8" x14ac:dyDescent="0.25">
      <c r="A17985" t="s">
        <v>138</v>
      </c>
      <c r="B17985" t="s">
        <v>3690</v>
      </c>
      <c r="E17985">
        <v>7200</v>
      </c>
      <c r="H17985" t="s">
        <v>62</v>
      </c>
    </row>
    <row r="17986" spans="1:8" x14ac:dyDescent="0.25">
      <c r="A17986" t="str">
        <f>"&lt;lifetime&gt;" &amp;$E$17985&amp;"&lt;/lifetime&gt;"</f>
        <v>&lt;lifetime&gt;7200&lt;/lifetime&gt;</v>
      </c>
      <c r="B17986" t="s">
        <v>3690</v>
      </c>
    </row>
    <row r="17987" spans="1:8" x14ac:dyDescent="0.25">
      <c r="A17987" t="str">
        <f xml:space="preserve"> $H$17985</f>
        <v>&lt;flags count_in_cargo="0" count_in_hoarder="0" count_in_map="1" count_in_player="0" crafted="1" deloot="0"/&gt;</v>
      </c>
      <c r="B17987" t="s">
        <v>3690</v>
      </c>
    </row>
    <row r="17988" spans="1:8" x14ac:dyDescent="0.25">
      <c r="A17988" t="s">
        <v>22</v>
      </c>
      <c r="B17988" t="s">
        <v>3690</v>
      </c>
    </row>
    <row r="17989" spans="1:8" x14ac:dyDescent="0.25">
      <c r="A17989" t="s">
        <v>139</v>
      </c>
      <c r="B17989" t="s">
        <v>3691</v>
      </c>
      <c r="E17989">
        <v>7200</v>
      </c>
      <c r="H17989" t="s">
        <v>62</v>
      </c>
    </row>
    <row r="17990" spans="1:8" x14ac:dyDescent="0.25">
      <c r="A17990" t="str">
        <f>"&lt;lifetime&gt;" &amp;$E$17989&amp;"&lt;/lifetime&gt;"</f>
        <v>&lt;lifetime&gt;7200&lt;/lifetime&gt;</v>
      </c>
      <c r="B17990" t="s">
        <v>3691</v>
      </c>
    </row>
    <row r="17991" spans="1:8" x14ac:dyDescent="0.25">
      <c r="A17991" t="str">
        <f xml:space="preserve"> $H$17989</f>
        <v>&lt;flags count_in_cargo="0" count_in_hoarder="0" count_in_map="1" count_in_player="0" crafted="1" deloot="0"/&gt;</v>
      </c>
      <c r="B17991" t="s">
        <v>3691</v>
      </c>
    </row>
    <row r="17992" spans="1:8" x14ac:dyDescent="0.25">
      <c r="A17992" t="s">
        <v>22</v>
      </c>
      <c r="B17992" t="s">
        <v>3691</v>
      </c>
    </row>
    <row r="17993" spans="1:8" x14ac:dyDescent="0.25">
      <c r="A17993" t="s">
        <v>140</v>
      </c>
      <c r="B17993" t="s">
        <v>3692</v>
      </c>
      <c r="E17993">
        <v>3888000</v>
      </c>
      <c r="H17993" t="s">
        <v>62</v>
      </c>
    </row>
    <row r="17994" spans="1:8" x14ac:dyDescent="0.25">
      <c r="A17994" t="str">
        <f>"&lt;lifetime&gt;" &amp;$E$17993&amp;"&lt;/lifetime&gt;"</f>
        <v>&lt;lifetime&gt;3888000&lt;/lifetime&gt;</v>
      </c>
      <c r="B17994" t="s">
        <v>3692</v>
      </c>
    </row>
    <row r="17995" spans="1:8" x14ac:dyDescent="0.25">
      <c r="A17995" t="str">
        <f xml:space="preserve"> $H$17993</f>
        <v>&lt;flags count_in_cargo="0" count_in_hoarder="0" count_in_map="1" count_in_player="0" crafted="1" deloot="0"/&gt;</v>
      </c>
      <c r="B17995" t="s">
        <v>3692</v>
      </c>
    </row>
    <row r="17996" spans="1:8" x14ac:dyDescent="0.25">
      <c r="A17996" t="s">
        <v>22</v>
      </c>
      <c r="B17996" t="s">
        <v>3692</v>
      </c>
    </row>
    <row r="17997" spans="1:8" x14ac:dyDescent="0.25">
      <c r="A17997" t="s">
        <v>141</v>
      </c>
      <c r="B17997" t="s">
        <v>3693</v>
      </c>
      <c r="E17997">
        <v>3888000</v>
      </c>
      <c r="H17997" t="s">
        <v>62</v>
      </c>
    </row>
    <row r="17998" spans="1:8" x14ac:dyDescent="0.25">
      <c r="A17998" t="str">
        <f>"&lt;lifetime&gt;" &amp;$E$17997&amp;"&lt;/lifetime&gt;"</f>
        <v>&lt;lifetime&gt;3888000&lt;/lifetime&gt;</v>
      </c>
      <c r="B17998" t="s">
        <v>3693</v>
      </c>
    </row>
    <row r="17999" spans="1:8" x14ac:dyDescent="0.25">
      <c r="A17999" t="str">
        <f xml:space="preserve"> $H$17997</f>
        <v>&lt;flags count_in_cargo="0" count_in_hoarder="0" count_in_map="1" count_in_player="0" crafted="1" deloot="0"/&gt;</v>
      </c>
      <c r="B17999" t="s">
        <v>3693</v>
      </c>
    </row>
    <row r="18000" spans="1:8" x14ac:dyDescent="0.25">
      <c r="A18000" t="s">
        <v>22</v>
      </c>
      <c r="B18000" t="s">
        <v>3693</v>
      </c>
    </row>
    <row r="18001" spans="1:8" x14ac:dyDescent="0.25">
      <c r="A18001" t="s">
        <v>142</v>
      </c>
      <c r="B18001" t="s">
        <v>3694</v>
      </c>
      <c r="E18001">
        <v>3888000</v>
      </c>
      <c r="H18001" t="s">
        <v>62</v>
      </c>
    </row>
    <row r="18002" spans="1:8" x14ac:dyDescent="0.25">
      <c r="A18002" t="str">
        <f>"&lt;lifetime&gt;" &amp;$E$18001&amp;"&lt;/lifetime&gt;"</f>
        <v>&lt;lifetime&gt;3888000&lt;/lifetime&gt;</v>
      </c>
      <c r="B18002" t="s">
        <v>3694</v>
      </c>
    </row>
    <row r="18003" spans="1:8" x14ac:dyDescent="0.25">
      <c r="A18003" t="str">
        <f xml:space="preserve"> $H$18001</f>
        <v>&lt;flags count_in_cargo="0" count_in_hoarder="0" count_in_map="1" count_in_player="0" crafted="1" deloot="0"/&gt;</v>
      </c>
      <c r="B18003" t="s">
        <v>3694</v>
      </c>
    </row>
    <row r="18004" spans="1:8" x14ac:dyDescent="0.25">
      <c r="A18004" t="s">
        <v>22</v>
      </c>
      <c r="B18004" t="s">
        <v>3694</v>
      </c>
    </row>
    <row r="18005" spans="1:8" x14ac:dyDescent="0.25">
      <c r="A18005" t="s">
        <v>143</v>
      </c>
      <c r="B18005" t="s">
        <v>3695</v>
      </c>
      <c r="E18005">
        <v>3888000</v>
      </c>
      <c r="H18005" t="s">
        <v>62</v>
      </c>
    </row>
    <row r="18006" spans="1:8" x14ac:dyDescent="0.25">
      <c r="A18006" t="str">
        <f>"&lt;lifetime&gt;" &amp;$E$18005&amp;"&lt;/lifetime&gt;"</f>
        <v>&lt;lifetime&gt;3888000&lt;/lifetime&gt;</v>
      </c>
      <c r="B18006" t="s">
        <v>3695</v>
      </c>
    </row>
    <row r="18007" spans="1:8" x14ac:dyDescent="0.25">
      <c r="A18007" t="str">
        <f xml:space="preserve"> $H$18005</f>
        <v>&lt;flags count_in_cargo="0" count_in_hoarder="0" count_in_map="1" count_in_player="0" crafted="1" deloot="0"/&gt;</v>
      </c>
      <c r="B18007" t="s">
        <v>3695</v>
      </c>
    </row>
    <row r="18008" spans="1:8" x14ac:dyDescent="0.25">
      <c r="A18008" t="s">
        <v>22</v>
      </c>
      <c r="B18008" t="s">
        <v>3695</v>
      </c>
    </row>
    <row r="18009" spans="1:8" x14ac:dyDescent="0.25">
      <c r="A18009" t="s">
        <v>144</v>
      </c>
      <c r="B18009" t="s">
        <v>3696</v>
      </c>
      <c r="E18009">
        <v>3888000</v>
      </c>
      <c r="H18009" t="s">
        <v>62</v>
      </c>
    </row>
    <row r="18010" spans="1:8" x14ac:dyDescent="0.25">
      <c r="A18010" t="str">
        <f>"&lt;lifetime&gt;" &amp;$E$18009&amp;"&lt;/lifetime&gt;"</f>
        <v>&lt;lifetime&gt;3888000&lt;/lifetime&gt;</v>
      </c>
      <c r="B18010" t="s">
        <v>3696</v>
      </c>
    </row>
    <row r="18011" spans="1:8" x14ac:dyDescent="0.25">
      <c r="A18011" t="str">
        <f xml:space="preserve"> $H$18009</f>
        <v>&lt;flags count_in_cargo="0" count_in_hoarder="0" count_in_map="1" count_in_player="0" crafted="1" deloot="0"/&gt;</v>
      </c>
      <c r="B18011" t="s">
        <v>3696</v>
      </c>
    </row>
    <row r="18012" spans="1:8" x14ac:dyDescent="0.25">
      <c r="A18012" t="s">
        <v>22</v>
      </c>
      <c r="B18012" t="s">
        <v>3696</v>
      </c>
    </row>
    <row r="18013" spans="1:8" x14ac:dyDescent="0.25">
      <c r="A18013" t="s">
        <v>145</v>
      </c>
      <c r="B18013" t="s">
        <v>3697</v>
      </c>
      <c r="E18013">
        <v>3888000</v>
      </c>
      <c r="H18013" t="s">
        <v>62</v>
      </c>
    </row>
    <row r="18014" spans="1:8" x14ac:dyDescent="0.25">
      <c r="A18014" t="str">
        <f>"&lt;lifetime&gt;" &amp;$E$18013&amp;"&lt;/lifetime&gt;"</f>
        <v>&lt;lifetime&gt;3888000&lt;/lifetime&gt;</v>
      </c>
      <c r="B18014" t="s">
        <v>3697</v>
      </c>
    </row>
    <row r="18015" spans="1:8" x14ac:dyDescent="0.25">
      <c r="A18015" t="str">
        <f xml:space="preserve"> $H$18013</f>
        <v>&lt;flags count_in_cargo="0" count_in_hoarder="0" count_in_map="1" count_in_player="0" crafted="1" deloot="0"/&gt;</v>
      </c>
      <c r="B18015" t="s">
        <v>3697</v>
      </c>
    </row>
    <row r="18016" spans="1:8" x14ac:dyDescent="0.25">
      <c r="A18016" t="s">
        <v>22</v>
      </c>
      <c r="B18016" t="s">
        <v>3697</v>
      </c>
    </row>
    <row r="18017" spans="1:8" x14ac:dyDescent="0.25">
      <c r="A18017" t="s">
        <v>146</v>
      </c>
      <c r="B18017" t="s">
        <v>3698</v>
      </c>
      <c r="E18017">
        <v>3888000</v>
      </c>
      <c r="H18017" t="s">
        <v>62</v>
      </c>
    </row>
    <row r="18018" spans="1:8" x14ac:dyDescent="0.25">
      <c r="A18018" t="str">
        <f>"&lt;lifetime&gt;" &amp;$E$18017&amp;"&lt;/lifetime&gt;"</f>
        <v>&lt;lifetime&gt;3888000&lt;/lifetime&gt;</v>
      </c>
      <c r="B18018" t="s">
        <v>3698</v>
      </c>
    </row>
    <row r="18019" spans="1:8" x14ac:dyDescent="0.25">
      <c r="A18019" t="str">
        <f xml:space="preserve"> $H$18017</f>
        <v>&lt;flags count_in_cargo="0" count_in_hoarder="0" count_in_map="1" count_in_player="0" crafted="1" deloot="0"/&gt;</v>
      </c>
      <c r="B18019" t="s">
        <v>3698</v>
      </c>
    </row>
    <row r="18020" spans="1:8" x14ac:dyDescent="0.25">
      <c r="A18020" t="s">
        <v>22</v>
      </c>
      <c r="B18020" t="s">
        <v>3698</v>
      </c>
    </row>
    <row r="18021" spans="1:8" x14ac:dyDescent="0.25">
      <c r="A18021" t="s">
        <v>147</v>
      </c>
      <c r="B18021" t="s">
        <v>3699</v>
      </c>
      <c r="E18021">
        <v>3888000</v>
      </c>
      <c r="H18021" t="s">
        <v>62</v>
      </c>
    </row>
    <row r="18022" spans="1:8" x14ac:dyDescent="0.25">
      <c r="A18022" t="str">
        <f>"&lt;lifetime&gt;" &amp;$E$18021&amp;"&lt;/lifetime&gt;"</f>
        <v>&lt;lifetime&gt;3888000&lt;/lifetime&gt;</v>
      </c>
      <c r="B18022" t="s">
        <v>3699</v>
      </c>
    </row>
    <row r="18023" spans="1:8" x14ac:dyDescent="0.25">
      <c r="A18023" t="str">
        <f xml:space="preserve"> $H$18021</f>
        <v>&lt;flags count_in_cargo="0" count_in_hoarder="0" count_in_map="1" count_in_player="0" crafted="1" deloot="0"/&gt;</v>
      </c>
      <c r="B18023" t="s">
        <v>3699</v>
      </c>
    </row>
    <row r="18024" spans="1:8" x14ac:dyDescent="0.25">
      <c r="A18024" t="s">
        <v>22</v>
      </c>
      <c r="B18024" t="s">
        <v>3699</v>
      </c>
    </row>
    <row r="18025" spans="1:8" x14ac:dyDescent="0.25">
      <c r="A18025" t="s">
        <v>148</v>
      </c>
      <c r="B18025" t="s">
        <v>3700</v>
      </c>
      <c r="E18025">
        <v>3888000</v>
      </c>
      <c r="H18025" t="s">
        <v>62</v>
      </c>
    </row>
    <row r="18026" spans="1:8" x14ac:dyDescent="0.25">
      <c r="A18026" t="str">
        <f>"&lt;lifetime&gt;" &amp;$E$18025&amp;"&lt;/lifetime&gt;"</f>
        <v>&lt;lifetime&gt;3888000&lt;/lifetime&gt;</v>
      </c>
      <c r="B18026" t="s">
        <v>3700</v>
      </c>
    </row>
    <row r="18027" spans="1:8" x14ac:dyDescent="0.25">
      <c r="A18027" t="str">
        <f xml:space="preserve"> $H$18025</f>
        <v>&lt;flags count_in_cargo="0" count_in_hoarder="0" count_in_map="1" count_in_player="0" crafted="1" deloot="0"/&gt;</v>
      </c>
      <c r="B18027" t="s">
        <v>3700</v>
      </c>
    </row>
    <row r="18028" spans="1:8" x14ac:dyDescent="0.25">
      <c r="A18028" t="s">
        <v>22</v>
      </c>
      <c r="B18028" t="s">
        <v>3700</v>
      </c>
    </row>
    <row r="18029" spans="1:8" x14ac:dyDescent="0.25">
      <c r="A18029" t="s">
        <v>149</v>
      </c>
      <c r="B18029" t="s">
        <v>3701</v>
      </c>
      <c r="E18029">
        <v>3888000</v>
      </c>
      <c r="H18029" t="s">
        <v>62</v>
      </c>
    </row>
    <row r="18030" spans="1:8" x14ac:dyDescent="0.25">
      <c r="A18030" t="str">
        <f>"&lt;lifetime&gt;" &amp;$E$18029&amp;"&lt;/lifetime&gt;"</f>
        <v>&lt;lifetime&gt;3888000&lt;/lifetime&gt;</v>
      </c>
      <c r="B18030" t="s">
        <v>3701</v>
      </c>
    </row>
    <row r="18031" spans="1:8" x14ac:dyDescent="0.25">
      <c r="A18031" t="str">
        <f xml:space="preserve"> $H$18029</f>
        <v>&lt;flags count_in_cargo="0" count_in_hoarder="0" count_in_map="1" count_in_player="0" crafted="1" deloot="0"/&gt;</v>
      </c>
      <c r="B18031" t="s">
        <v>3701</v>
      </c>
    </row>
    <row r="18032" spans="1:8" x14ac:dyDescent="0.25">
      <c r="A18032" t="s">
        <v>22</v>
      </c>
      <c r="B18032" t="s">
        <v>3701</v>
      </c>
    </row>
    <row r="18033" spans="1:8" x14ac:dyDescent="0.25">
      <c r="A18033" t="s">
        <v>150</v>
      </c>
      <c r="B18033" t="s">
        <v>3702</v>
      </c>
      <c r="E18033">
        <v>3888000</v>
      </c>
      <c r="H18033" t="s">
        <v>62</v>
      </c>
    </row>
    <row r="18034" spans="1:8" x14ac:dyDescent="0.25">
      <c r="A18034" t="str">
        <f>"&lt;lifetime&gt;" &amp;$E$18033&amp;"&lt;/lifetime&gt;"</f>
        <v>&lt;lifetime&gt;3888000&lt;/lifetime&gt;</v>
      </c>
      <c r="B18034" t="s">
        <v>3702</v>
      </c>
    </row>
    <row r="18035" spans="1:8" x14ac:dyDescent="0.25">
      <c r="A18035" t="str">
        <f xml:space="preserve"> $H$18033</f>
        <v>&lt;flags count_in_cargo="0" count_in_hoarder="0" count_in_map="1" count_in_player="0" crafted="1" deloot="0"/&gt;</v>
      </c>
      <c r="B18035" t="s">
        <v>3702</v>
      </c>
    </row>
    <row r="18036" spans="1:8" x14ac:dyDescent="0.25">
      <c r="A18036" t="s">
        <v>22</v>
      </c>
      <c r="B18036" t="s">
        <v>3702</v>
      </c>
    </row>
    <row r="18037" spans="1:8" x14ac:dyDescent="0.25">
      <c r="A18037" t="s">
        <v>151</v>
      </c>
      <c r="B18037" t="s">
        <v>3703</v>
      </c>
      <c r="E18037">
        <v>3888000</v>
      </c>
      <c r="H18037" t="s">
        <v>62</v>
      </c>
    </row>
    <row r="18038" spans="1:8" x14ac:dyDescent="0.25">
      <c r="A18038" t="str">
        <f>"&lt;lifetime&gt;" &amp;$E$18037&amp;"&lt;/lifetime&gt;"</f>
        <v>&lt;lifetime&gt;3888000&lt;/lifetime&gt;</v>
      </c>
      <c r="B18038" t="s">
        <v>3703</v>
      </c>
    </row>
    <row r="18039" spans="1:8" x14ac:dyDescent="0.25">
      <c r="A18039" t="str">
        <f xml:space="preserve"> $H$18037</f>
        <v>&lt;flags count_in_cargo="0" count_in_hoarder="0" count_in_map="1" count_in_player="0" crafted="1" deloot="0"/&gt;</v>
      </c>
      <c r="B18039" t="s">
        <v>3703</v>
      </c>
    </row>
    <row r="18040" spans="1:8" x14ac:dyDescent="0.25">
      <c r="A18040" t="s">
        <v>22</v>
      </c>
      <c r="B18040" t="s">
        <v>3703</v>
      </c>
    </row>
    <row r="18041" spans="1:8" x14ac:dyDescent="0.25">
      <c r="A18041" t="s">
        <v>152</v>
      </c>
      <c r="B18041" t="s">
        <v>3704</v>
      </c>
      <c r="E18041">
        <v>3888000</v>
      </c>
      <c r="H18041" t="s">
        <v>62</v>
      </c>
    </row>
    <row r="18042" spans="1:8" x14ac:dyDescent="0.25">
      <c r="A18042" t="str">
        <f>"&lt;lifetime&gt;" &amp;$E$18041&amp;"&lt;/lifetime&gt;"</f>
        <v>&lt;lifetime&gt;3888000&lt;/lifetime&gt;</v>
      </c>
      <c r="B18042" t="s">
        <v>3704</v>
      </c>
    </row>
    <row r="18043" spans="1:8" x14ac:dyDescent="0.25">
      <c r="A18043" t="str">
        <f xml:space="preserve"> $H$18041</f>
        <v>&lt;flags count_in_cargo="0" count_in_hoarder="0" count_in_map="1" count_in_player="0" crafted="1" deloot="0"/&gt;</v>
      </c>
      <c r="B18043" t="s">
        <v>3704</v>
      </c>
    </row>
    <row r="18044" spans="1:8" x14ac:dyDescent="0.25">
      <c r="A18044" t="s">
        <v>22</v>
      </c>
      <c r="B18044" t="s">
        <v>3704</v>
      </c>
    </row>
    <row r="18045" spans="1:8" x14ac:dyDescent="0.25">
      <c r="A18045" t="s">
        <v>153</v>
      </c>
      <c r="B18045" t="s">
        <v>3705</v>
      </c>
      <c r="E18045">
        <v>3888000</v>
      </c>
      <c r="H18045" t="s">
        <v>62</v>
      </c>
    </row>
    <row r="18046" spans="1:8" x14ac:dyDescent="0.25">
      <c r="A18046" t="str">
        <f>"&lt;lifetime&gt;" &amp;$E$18045&amp;"&lt;/lifetime&gt;"</f>
        <v>&lt;lifetime&gt;3888000&lt;/lifetime&gt;</v>
      </c>
      <c r="B18046" t="s">
        <v>3705</v>
      </c>
    </row>
    <row r="18047" spans="1:8" x14ac:dyDescent="0.25">
      <c r="A18047" t="str">
        <f xml:space="preserve"> $H$18045</f>
        <v>&lt;flags count_in_cargo="0" count_in_hoarder="0" count_in_map="1" count_in_player="0" crafted="1" deloot="0"/&gt;</v>
      </c>
      <c r="B18047" t="s">
        <v>3705</v>
      </c>
    </row>
    <row r="18048" spans="1:8" x14ac:dyDescent="0.25">
      <c r="A18048" t="s">
        <v>22</v>
      </c>
      <c r="B18048" t="s">
        <v>3705</v>
      </c>
    </row>
    <row r="18049" spans="1:8" x14ac:dyDescent="0.25">
      <c r="A18049" t="s">
        <v>154</v>
      </c>
      <c r="B18049" t="s">
        <v>3706</v>
      </c>
      <c r="E18049">
        <v>3888000</v>
      </c>
      <c r="H18049" t="s">
        <v>62</v>
      </c>
    </row>
    <row r="18050" spans="1:8" x14ac:dyDescent="0.25">
      <c r="A18050" t="str">
        <f>"&lt;lifetime&gt;" &amp;$E$18049&amp;"&lt;/lifetime&gt;"</f>
        <v>&lt;lifetime&gt;3888000&lt;/lifetime&gt;</v>
      </c>
      <c r="B18050" t="s">
        <v>3706</v>
      </c>
    </row>
    <row r="18051" spans="1:8" x14ac:dyDescent="0.25">
      <c r="A18051" t="str">
        <f xml:space="preserve"> $H$18049</f>
        <v>&lt;flags count_in_cargo="0" count_in_hoarder="0" count_in_map="1" count_in_player="0" crafted="1" deloot="0"/&gt;</v>
      </c>
      <c r="B18051" t="s">
        <v>3706</v>
      </c>
    </row>
    <row r="18052" spans="1:8" x14ac:dyDescent="0.25">
      <c r="A18052" t="s">
        <v>22</v>
      </c>
      <c r="B18052" t="s">
        <v>3706</v>
      </c>
    </row>
    <row r="18053" spans="1:8" x14ac:dyDescent="0.25">
      <c r="A18053" t="s">
        <v>155</v>
      </c>
      <c r="B18053" t="s">
        <v>3707</v>
      </c>
      <c r="E18053">
        <v>3888000</v>
      </c>
      <c r="H18053" t="s">
        <v>62</v>
      </c>
    </row>
    <row r="18054" spans="1:8" x14ac:dyDescent="0.25">
      <c r="A18054" t="str">
        <f>"&lt;lifetime&gt;" &amp;$E$18053&amp;"&lt;/lifetime&gt;"</f>
        <v>&lt;lifetime&gt;3888000&lt;/lifetime&gt;</v>
      </c>
      <c r="B18054" t="s">
        <v>3707</v>
      </c>
    </row>
    <row r="18055" spans="1:8" x14ac:dyDescent="0.25">
      <c r="A18055" t="str">
        <f xml:space="preserve"> $H$18053</f>
        <v>&lt;flags count_in_cargo="0" count_in_hoarder="0" count_in_map="1" count_in_player="0" crafted="1" deloot="0"/&gt;</v>
      </c>
      <c r="B18055" t="s">
        <v>3707</v>
      </c>
    </row>
    <row r="18056" spans="1:8" x14ac:dyDescent="0.25">
      <c r="A18056" t="s">
        <v>22</v>
      </c>
      <c r="B18056" t="s">
        <v>3707</v>
      </c>
    </row>
    <row r="18057" spans="1:8" x14ac:dyDescent="0.25">
      <c r="A18057" t="s">
        <v>156</v>
      </c>
      <c r="B18057" t="s">
        <v>3708</v>
      </c>
      <c r="E18057">
        <v>3888000</v>
      </c>
      <c r="H18057" t="s">
        <v>62</v>
      </c>
    </row>
    <row r="18058" spans="1:8" x14ac:dyDescent="0.25">
      <c r="A18058" t="str">
        <f>"&lt;lifetime&gt;" &amp;$E$18057&amp;"&lt;/lifetime&gt;"</f>
        <v>&lt;lifetime&gt;3888000&lt;/lifetime&gt;</v>
      </c>
      <c r="B18058" t="s">
        <v>3708</v>
      </c>
    </row>
    <row r="18059" spans="1:8" x14ac:dyDescent="0.25">
      <c r="A18059" t="str">
        <f xml:space="preserve"> $H$18057</f>
        <v>&lt;flags count_in_cargo="0" count_in_hoarder="0" count_in_map="1" count_in_player="0" crafted="1" deloot="0"/&gt;</v>
      </c>
      <c r="B18059" t="s">
        <v>3708</v>
      </c>
    </row>
    <row r="18060" spans="1:8" x14ac:dyDescent="0.25">
      <c r="A18060" t="s">
        <v>22</v>
      </c>
      <c r="B18060" t="s">
        <v>3708</v>
      </c>
    </row>
    <row r="18061" spans="1:8" x14ac:dyDescent="0.25">
      <c r="A18061" t="s">
        <v>157</v>
      </c>
      <c r="B18061" t="s">
        <v>3709</v>
      </c>
      <c r="E18061">
        <v>3888000</v>
      </c>
      <c r="H18061" t="s">
        <v>62</v>
      </c>
    </row>
    <row r="18062" spans="1:8" x14ac:dyDescent="0.25">
      <c r="A18062" t="str">
        <f>"&lt;lifetime&gt;" &amp;$E$18061&amp;"&lt;/lifetime&gt;"</f>
        <v>&lt;lifetime&gt;3888000&lt;/lifetime&gt;</v>
      </c>
      <c r="B18062" t="s">
        <v>3709</v>
      </c>
    </row>
    <row r="18063" spans="1:8" x14ac:dyDescent="0.25">
      <c r="A18063" t="str">
        <f xml:space="preserve"> $H$18061</f>
        <v>&lt;flags count_in_cargo="0" count_in_hoarder="0" count_in_map="1" count_in_player="0" crafted="1" deloot="0"/&gt;</v>
      </c>
      <c r="B18063" t="s">
        <v>3709</v>
      </c>
    </row>
    <row r="18064" spans="1:8" x14ac:dyDescent="0.25">
      <c r="A18064" t="s">
        <v>22</v>
      </c>
      <c r="B18064" t="s">
        <v>3709</v>
      </c>
    </row>
    <row r="18065" spans="1:8" x14ac:dyDescent="0.25">
      <c r="A18065" t="s">
        <v>158</v>
      </c>
      <c r="B18065" t="s">
        <v>3710</v>
      </c>
      <c r="E18065">
        <v>3888000</v>
      </c>
      <c r="H18065" t="s">
        <v>62</v>
      </c>
    </row>
    <row r="18066" spans="1:8" x14ac:dyDescent="0.25">
      <c r="A18066" t="str">
        <f>"&lt;lifetime&gt;" &amp;$E$18065&amp;"&lt;/lifetime&gt;"</f>
        <v>&lt;lifetime&gt;3888000&lt;/lifetime&gt;</v>
      </c>
      <c r="B18066" t="s">
        <v>3710</v>
      </c>
    </row>
    <row r="18067" spans="1:8" x14ac:dyDescent="0.25">
      <c r="A18067" t="str">
        <f xml:space="preserve"> $H$18065</f>
        <v>&lt;flags count_in_cargo="0" count_in_hoarder="0" count_in_map="1" count_in_player="0" crafted="1" deloot="0"/&gt;</v>
      </c>
      <c r="B18067" t="s">
        <v>3710</v>
      </c>
    </row>
    <row r="18068" spans="1:8" x14ac:dyDescent="0.25">
      <c r="A18068" t="s">
        <v>22</v>
      </c>
      <c r="B18068" t="s">
        <v>3710</v>
      </c>
    </row>
    <row r="18069" spans="1:8" x14ac:dyDescent="0.25">
      <c r="A18069" t="s">
        <v>159</v>
      </c>
      <c r="B18069" t="s">
        <v>3711</v>
      </c>
      <c r="E18069">
        <v>3888000</v>
      </c>
      <c r="H18069" t="s">
        <v>62</v>
      </c>
    </row>
    <row r="18070" spans="1:8" x14ac:dyDescent="0.25">
      <c r="A18070" t="str">
        <f>"&lt;lifetime&gt;" &amp;$E$18069&amp;"&lt;/lifetime&gt;"</f>
        <v>&lt;lifetime&gt;3888000&lt;/lifetime&gt;</v>
      </c>
      <c r="B18070" t="s">
        <v>3711</v>
      </c>
    </row>
    <row r="18071" spans="1:8" x14ac:dyDescent="0.25">
      <c r="A18071" t="str">
        <f xml:space="preserve"> $H$18069</f>
        <v>&lt;flags count_in_cargo="0" count_in_hoarder="0" count_in_map="1" count_in_player="0" crafted="1" deloot="0"/&gt;</v>
      </c>
      <c r="B18071" t="s">
        <v>3711</v>
      </c>
    </row>
    <row r="18072" spans="1:8" x14ac:dyDescent="0.25">
      <c r="A18072" t="s">
        <v>22</v>
      </c>
      <c r="B18072" t="s">
        <v>3711</v>
      </c>
    </row>
    <row r="18073" spans="1:8" x14ac:dyDescent="0.25">
      <c r="A18073" t="s">
        <v>160</v>
      </c>
      <c r="B18073" t="s">
        <v>3712</v>
      </c>
      <c r="E18073">
        <v>3888000</v>
      </c>
      <c r="H18073" t="s">
        <v>62</v>
      </c>
    </row>
    <row r="18074" spans="1:8" x14ac:dyDescent="0.25">
      <c r="A18074" t="str">
        <f>"&lt;lifetime&gt;" &amp;$E$18073&amp;"&lt;/lifetime&gt;"</f>
        <v>&lt;lifetime&gt;3888000&lt;/lifetime&gt;</v>
      </c>
      <c r="B18074" t="s">
        <v>3712</v>
      </c>
    </row>
    <row r="18075" spans="1:8" x14ac:dyDescent="0.25">
      <c r="A18075" t="str">
        <f xml:space="preserve"> $H$18073</f>
        <v>&lt;flags count_in_cargo="0" count_in_hoarder="0" count_in_map="1" count_in_player="0" crafted="1" deloot="0"/&gt;</v>
      </c>
      <c r="B18075" t="s">
        <v>3712</v>
      </c>
    </row>
    <row r="18076" spans="1:8" x14ac:dyDescent="0.25">
      <c r="A18076" t="s">
        <v>22</v>
      </c>
      <c r="B18076" t="s">
        <v>3712</v>
      </c>
    </row>
    <row r="18077" spans="1:8" x14ac:dyDescent="0.25">
      <c r="A18077" t="s">
        <v>161</v>
      </c>
      <c r="B18077" t="s">
        <v>3713</v>
      </c>
      <c r="E18077">
        <v>3888000</v>
      </c>
      <c r="H18077" t="s">
        <v>62</v>
      </c>
    </row>
    <row r="18078" spans="1:8" x14ac:dyDescent="0.25">
      <c r="A18078" t="str">
        <f>"&lt;lifetime&gt;" &amp;$E$18077&amp;"&lt;/lifetime&gt;"</f>
        <v>&lt;lifetime&gt;3888000&lt;/lifetime&gt;</v>
      </c>
      <c r="B18078" t="s">
        <v>3713</v>
      </c>
    </row>
    <row r="18079" spans="1:8" x14ac:dyDescent="0.25">
      <c r="A18079" t="str">
        <f xml:space="preserve"> $H$18077</f>
        <v>&lt;flags count_in_cargo="0" count_in_hoarder="0" count_in_map="1" count_in_player="0" crafted="1" deloot="0"/&gt;</v>
      </c>
      <c r="B18079" t="s">
        <v>3713</v>
      </c>
    </row>
    <row r="18080" spans="1:8" x14ac:dyDescent="0.25">
      <c r="A18080" t="s">
        <v>22</v>
      </c>
      <c r="B18080" t="s">
        <v>3713</v>
      </c>
    </row>
    <row r="18081" spans="1:8" x14ac:dyDescent="0.25">
      <c r="A18081" t="s">
        <v>162</v>
      </c>
      <c r="B18081" t="s">
        <v>3714</v>
      </c>
      <c r="E18081">
        <v>3888000</v>
      </c>
      <c r="H18081" t="s">
        <v>62</v>
      </c>
    </row>
    <row r="18082" spans="1:8" x14ac:dyDescent="0.25">
      <c r="A18082" t="str">
        <f>"&lt;lifetime&gt;" &amp;$E$18081&amp;"&lt;/lifetime&gt;"</f>
        <v>&lt;lifetime&gt;3888000&lt;/lifetime&gt;</v>
      </c>
      <c r="B18082" t="s">
        <v>3714</v>
      </c>
    </row>
    <row r="18083" spans="1:8" x14ac:dyDescent="0.25">
      <c r="A18083" t="str">
        <f xml:space="preserve"> $H$18081</f>
        <v>&lt;flags count_in_cargo="0" count_in_hoarder="0" count_in_map="1" count_in_player="0" crafted="1" deloot="0"/&gt;</v>
      </c>
      <c r="B18083" t="s">
        <v>3714</v>
      </c>
    </row>
    <row r="18084" spans="1:8" x14ac:dyDescent="0.25">
      <c r="A18084" t="s">
        <v>22</v>
      </c>
      <c r="B18084" t="s">
        <v>3714</v>
      </c>
    </row>
    <row r="18085" spans="1:8" x14ac:dyDescent="0.25">
      <c r="A18085" t="s">
        <v>163</v>
      </c>
      <c r="B18085" t="s">
        <v>3715</v>
      </c>
      <c r="E18085">
        <v>3888000</v>
      </c>
      <c r="H18085" t="s">
        <v>62</v>
      </c>
    </row>
    <row r="18086" spans="1:8" x14ac:dyDescent="0.25">
      <c r="A18086" t="str">
        <f>"&lt;lifetime&gt;" &amp;$E$18085&amp;"&lt;/lifetime&gt;"</f>
        <v>&lt;lifetime&gt;3888000&lt;/lifetime&gt;</v>
      </c>
      <c r="B18086" t="s">
        <v>3715</v>
      </c>
    </row>
    <row r="18087" spans="1:8" x14ac:dyDescent="0.25">
      <c r="A18087" t="str">
        <f xml:space="preserve"> $H$18085</f>
        <v>&lt;flags count_in_cargo="0" count_in_hoarder="0" count_in_map="1" count_in_player="0" crafted="1" deloot="0"/&gt;</v>
      </c>
      <c r="B18087" t="s">
        <v>3715</v>
      </c>
    </row>
    <row r="18088" spans="1:8" x14ac:dyDescent="0.25">
      <c r="A18088" t="s">
        <v>22</v>
      </c>
      <c r="B18088" t="s">
        <v>3715</v>
      </c>
    </row>
    <row r="18089" spans="1:8" x14ac:dyDescent="0.25">
      <c r="A18089" t="s">
        <v>164</v>
      </c>
      <c r="B18089" t="s">
        <v>3716</v>
      </c>
      <c r="E18089">
        <v>3888000</v>
      </c>
      <c r="H18089" t="s">
        <v>62</v>
      </c>
    </row>
    <row r="18090" spans="1:8" x14ac:dyDescent="0.25">
      <c r="A18090" t="str">
        <f>"&lt;lifetime&gt;" &amp;$E$18089&amp;"&lt;/lifetime&gt;"</f>
        <v>&lt;lifetime&gt;3888000&lt;/lifetime&gt;</v>
      </c>
      <c r="B18090" t="s">
        <v>3716</v>
      </c>
    </row>
    <row r="18091" spans="1:8" x14ac:dyDescent="0.25">
      <c r="A18091" t="str">
        <f xml:space="preserve"> $H$18089</f>
        <v>&lt;flags count_in_cargo="0" count_in_hoarder="0" count_in_map="1" count_in_player="0" crafted="1" deloot="0"/&gt;</v>
      </c>
      <c r="B18091" t="s">
        <v>3716</v>
      </c>
    </row>
    <row r="18092" spans="1:8" x14ac:dyDescent="0.25">
      <c r="A18092" t="s">
        <v>22</v>
      </c>
      <c r="B18092" t="s">
        <v>3716</v>
      </c>
    </row>
    <row r="18093" spans="1:8" x14ac:dyDescent="0.25">
      <c r="A18093" t="s">
        <v>165</v>
      </c>
      <c r="B18093" t="s">
        <v>1310</v>
      </c>
      <c r="C18093" t="s">
        <v>426</v>
      </c>
      <c r="D18093">
        <v>30</v>
      </c>
      <c r="E18093">
        <v>604800</v>
      </c>
      <c r="F18093">
        <v>0</v>
      </c>
      <c r="G18093">
        <v>15</v>
      </c>
      <c r="H18093" t="s">
        <v>19</v>
      </c>
    </row>
    <row r="18094" spans="1:8" x14ac:dyDescent="0.25">
      <c r="A18094" t="str">
        <f>"&lt;nominal&gt;" &amp;$D$18093&amp;"&lt;/nominal&gt;"</f>
        <v>&lt;nominal&gt;30&lt;/nominal&gt;</v>
      </c>
      <c r="B18094" t="s">
        <v>1310</v>
      </c>
    </row>
    <row r="18095" spans="1:8" x14ac:dyDescent="0.25">
      <c r="A18095" t="str">
        <f>"&lt;lifetime&gt;" &amp;$E$18093&amp;"&lt;/lifetime&gt;"</f>
        <v>&lt;lifetime&gt;604800&lt;/lifetime&gt;</v>
      </c>
      <c r="B18095" t="s">
        <v>1310</v>
      </c>
    </row>
    <row r="18096" spans="1:8" x14ac:dyDescent="0.25">
      <c r="A18096" t="str">
        <f>"&lt;restock&gt;" &amp;$F$18093&amp;"&lt;/restock&gt;"</f>
        <v>&lt;restock&gt;0&lt;/restock&gt;</v>
      </c>
      <c r="B18096" t="s">
        <v>1310</v>
      </c>
    </row>
    <row r="18097" spans="1:8" x14ac:dyDescent="0.25">
      <c r="A18097" t="str">
        <f>"&lt;min&gt;" &amp;$G$18093&amp;"&lt;/min&gt;"</f>
        <v>&lt;min&gt;15&lt;/min&gt;</v>
      </c>
      <c r="B18097" t="s">
        <v>1310</v>
      </c>
    </row>
    <row r="18098" spans="1:8" x14ac:dyDescent="0.25">
      <c r="A18098" t="s">
        <v>16</v>
      </c>
      <c r="B18098" t="s">
        <v>1310</v>
      </c>
    </row>
    <row r="18099" spans="1:8" x14ac:dyDescent="0.25">
      <c r="A18099" t="s">
        <v>17</v>
      </c>
      <c r="B18099" t="s">
        <v>1310</v>
      </c>
    </row>
    <row r="18100" spans="1:8" x14ac:dyDescent="0.25">
      <c r="A18100" t="s">
        <v>18</v>
      </c>
      <c r="B18100" t="s">
        <v>1310</v>
      </c>
    </row>
    <row r="18101" spans="1:8" x14ac:dyDescent="0.25">
      <c r="A18101" t="str">
        <f xml:space="preserve"> $H$18093</f>
        <v>&lt;flags count_in_cargo="0" count_in_hoarder="0" count_in_map="1" count_in_player="0" crafted="0" deloot="0"/&gt;</v>
      </c>
      <c r="B18101" t="s">
        <v>1310</v>
      </c>
    </row>
    <row r="18102" spans="1:8" x14ac:dyDescent="0.25">
      <c r="A18102" t="str">
        <f>"&lt;category name=" &amp;"""" &amp;$C$18093&amp;"""/&gt;"</f>
        <v>&lt;category name="tools"/&gt;</v>
      </c>
      <c r="B18102" t="s">
        <v>1310</v>
      </c>
    </row>
    <row r="18103" spans="1:8" x14ac:dyDescent="0.25">
      <c r="A18103" t="s">
        <v>55</v>
      </c>
      <c r="B18103" t="s">
        <v>1310</v>
      </c>
    </row>
    <row r="18104" spans="1:8" x14ac:dyDescent="0.25">
      <c r="A18104" t="s">
        <v>22</v>
      </c>
      <c r="B18104" t="s">
        <v>1310</v>
      </c>
    </row>
    <row r="18105" spans="1:8" x14ac:dyDescent="0.25">
      <c r="A18105" t="s">
        <v>166</v>
      </c>
      <c r="B18105" t="s">
        <v>1311</v>
      </c>
      <c r="E18105">
        <v>604800</v>
      </c>
      <c r="H18105" t="s">
        <v>62</v>
      </c>
    </row>
    <row r="18106" spans="1:8" x14ac:dyDescent="0.25">
      <c r="A18106" t="str">
        <f>"&lt;lifetime&gt;" &amp;$E$18105&amp;"&lt;/lifetime&gt;"</f>
        <v>&lt;lifetime&gt;604800&lt;/lifetime&gt;</v>
      </c>
      <c r="B18106" t="s">
        <v>1311</v>
      </c>
    </row>
    <row r="18107" spans="1:8" x14ac:dyDescent="0.25">
      <c r="A18107" t="str">
        <f xml:space="preserve"> $H$18105</f>
        <v>&lt;flags count_in_cargo="0" count_in_hoarder="0" count_in_map="1" count_in_player="0" crafted="1" deloot="0"/&gt;</v>
      </c>
      <c r="B18107" t="s">
        <v>1311</v>
      </c>
    </row>
    <row r="18108" spans="1:8" x14ac:dyDescent="0.25">
      <c r="A18108" t="s">
        <v>22</v>
      </c>
      <c r="B18108" t="s">
        <v>1311</v>
      </c>
    </row>
    <row r="18109" spans="1:8" x14ac:dyDescent="0.25">
      <c r="A18109" t="s">
        <v>167</v>
      </c>
      <c r="B18109" t="s">
        <v>3717</v>
      </c>
      <c r="E18109">
        <v>3888000</v>
      </c>
      <c r="H18109" t="s">
        <v>62</v>
      </c>
    </row>
    <row r="18110" spans="1:8" x14ac:dyDescent="0.25">
      <c r="A18110" t="str">
        <f>"&lt;lifetime&gt;" &amp;$E$18109&amp;"&lt;/lifetime&gt;"</f>
        <v>&lt;lifetime&gt;3888000&lt;/lifetime&gt;</v>
      </c>
      <c r="B18110" t="s">
        <v>3717</v>
      </c>
    </row>
    <row r="18111" spans="1:8" x14ac:dyDescent="0.25">
      <c r="A18111" t="str">
        <f xml:space="preserve"> $H$18109</f>
        <v>&lt;flags count_in_cargo="0" count_in_hoarder="0" count_in_map="1" count_in_player="0" crafted="1" deloot="0"/&gt;</v>
      </c>
      <c r="B18111" t="s">
        <v>3717</v>
      </c>
    </row>
    <row r="18112" spans="1:8" x14ac:dyDescent="0.25">
      <c r="A18112" t="s">
        <v>22</v>
      </c>
      <c r="B18112" t="s">
        <v>3717</v>
      </c>
    </row>
    <row r="18113" spans="1:8" x14ac:dyDescent="0.25">
      <c r="A18113" t="s">
        <v>168</v>
      </c>
      <c r="B18113" t="s">
        <v>1312</v>
      </c>
      <c r="C18113" t="s">
        <v>426</v>
      </c>
      <c r="D18113">
        <v>10</v>
      </c>
      <c r="E18113">
        <v>7200</v>
      </c>
      <c r="F18113">
        <v>0</v>
      </c>
      <c r="G18113">
        <v>5</v>
      </c>
      <c r="H18113" t="s">
        <v>19</v>
      </c>
    </row>
    <row r="18114" spans="1:8" x14ac:dyDescent="0.25">
      <c r="A18114" t="str">
        <f>"&lt;nominal&gt;" &amp;$D$18113&amp;"&lt;/nominal&gt;"</f>
        <v>&lt;nominal&gt;10&lt;/nominal&gt;</v>
      </c>
      <c r="B18114" t="s">
        <v>1312</v>
      </c>
    </row>
    <row r="18115" spans="1:8" x14ac:dyDescent="0.25">
      <c r="A18115" t="str">
        <f>"&lt;lifetime&gt;" &amp;$E$18113&amp;"&lt;/lifetime&gt;"</f>
        <v>&lt;lifetime&gt;7200&lt;/lifetime&gt;</v>
      </c>
      <c r="B18115" t="s">
        <v>1312</v>
      </c>
    </row>
    <row r="18116" spans="1:8" x14ac:dyDescent="0.25">
      <c r="A18116" t="str">
        <f>"&lt;restock&gt;" &amp;$F$18113&amp;"&lt;/restock&gt;"</f>
        <v>&lt;restock&gt;0&lt;/restock&gt;</v>
      </c>
      <c r="B18116" t="s">
        <v>1312</v>
      </c>
    </row>
    <row r="18117" spans="1:8" x14ac:dyDescent="0.25">
      <c r="A18117" t="str">
        <f>"&lt;min&gt;" &amp;$G$18113&amp;"&lt;/min&gt;"</f>
        <v>&lt;min&gt;5&lt;/min&gt;</v>
      </c>
      <c r="B18117" t="s">
        <v>1312</v>
      </c>
    </row>
    <row r="18118" spans="1:8" x14ac:dyDescent="0.25">
      <c r="A18118" t="s">
        <v>16</v>
      </c>
      <c r="B18118" t="s">
        <v>1312</v>
      </c>
    </row>
    <row r="18119" spans="1:8" x14ac:dyDescent="0.25">
      <c r="A18119" t="s">
        <v>17</v>
      </c>
      <c r="B18119" t="s">
        <v>1312</v>
      </c>
    </row>
    <row r="18120" spans="1:8" x14ac:dyDescent="0.25">
      <c r="A18120" t="s">
        <v>18</v>
      </c>
      <c r="B18120" t="s">
        <v>1312</v>
      </c>
    </row>
    <row r="18121" spans="1:8" x14ac:dyDescent="0.25">
      <c r="A18121" t="str">
        <f xml:space="preserve"> $H$18113</f>
        <v>&lt;flags count_in_cargo="0" count_in_hoarder="0" count_in_map="1" count_in_player="0" crafted="0" deloot="0"/&gt;</v>
      </c>
      <c r="B18121" t="s">
        <v>1312</v>
      </c>
    </row>
    <row r="18122" spans="1:8" x14ac:dyDescent="0.25">
      <c r="A18122" t="str">
        <f>"&lt;category name=" &amp;"""" &amp;$C$18113&amp;"""/&gt;"</f>
        <v>&lt;category name="tools"/&gt;</v>
      </c>
      <c r="B18122" t="s">
        <v>1312</v>
      </c>
    </row>
    <row r="18123" spans="1:8" x14ac:dyDescent="0.25">
      <c r="A18123" t="s">
        <v>25</v>
      </c>
      <c r="B18123" t="s">
        <v>1312</v>
      </c>
    </row>
    <row r="18124" spans="1:8" x14ac:dyDescent="0.25">
      <c r="A18124" t="s">
        <v>55</v>
      </c>
      <c r="B18124" t="s">
        <v>1312</v>
      </c>
    </row>
    <row r="18125" spans="1:8" x14ac:dyDescent="0.25">
      <c r="A18125" t="s">
        <v>22</v>
      </c>
      <c r="B18125" t="s">
        <v>1312</v>
      </c>
    </row>
    <row r="18126" spans="1:8" x14ac:dyDescent="0.25">
      <c r="A18126" t="s">
        <v>169</v>
      </c>
      <c r="B18126" t="s">
        <v>3718</v>
      </c>
      <c r="C18126" t="s">
        <v>426</v>
      </c>
      <c r="D18126">
        <v>0</v>
      </c>
      <c r="E18126">
        <v>7200</v>
      </c>
      <c r="F18126">
        <v>0</v>
      </c>
      <c r="G18126">
        <v>0</v>
      </c>
      <c r="H18126" t="s">
        <v>19</v>
      </c>
    </row>
    <row r="18127" spans="1:8" x14ac:dyDescent="0.25">
      <c r="A18127" t="str">
        <f>"&lt;nominal&gt;" &amp;$D$18126&amp;"&lt;/nominal&gt;"</f>
        <v>&lt;nominal&gt;0&lt;/nominal&gt;</v>
      </c>
      <c r="B18127" t="s">
        <v>3718</v>
      </c>
    </row>
    <row r="18128" spans="1:8" x14ac:dyDescent="0.25">
      <c r="A18128" t="str">
        <f>"&lt;lifetime&gt;" &amp;$E$18126&amp;"&lt;/lifetime&gt;"</f>
        <v>&lt;lifetime&gt;7200&lt;/lifetime&gt;</v>
      </c>
      <c r="B18128" t="s">
        <v>3718</v>
      </c>
    </row>
    <row r="18129" spans="1:8" x14ac:dyDescent="0.25">
      <c r="A18129" t="str">
        <f>"&lt;restock&gt;" &amp;$F$18126&amp;"&lt;/restock&gt;"</f>
        <v>&lt;restock&gt;0&lt;/restock&gt;</v>
      </c>
      <c r="B18129" t="s">
        <v>3718</v>
      </c>
    </row>
    <row r="18130" spans="1:8" x14ac:dyDescent="0.25">
      <c r="A18130" t="str">
        <f>"&lt;min&gt;" &amp;$G$18126&amp;"&lt;/min&gt;"</f>
        <v>&lt;min&gt;0&lt;/min&gt;</v>
      </c>
      <c r="B18130" t="s">
        <v>3718</v>
      </c>
    </row>
    <row r="18131" spans="1:8" x14ac:dyDescent="0.25">
      <c r="A18131" t="s">
        <v>16</v>
      </c>
      <c r="B18131" t="s">
        <v>3718</v>
      </c>
    </row>
    <row r="18132" spans="1:8" x14ac:dyDescent="0.25">
      <c r="A18132" t="s">
        <v>17</v>
      </c>
      <c r="B18132" t="s">
        <v>3718</v>
      </c>
    </row>
    <row r="18133" spans="1:8" x14ac:dyDescent="0.25">
      <c r="A18133" t="s">
        <v>18</v>
      </c>
      <c r="B18133" t="s">
        <v>3718</v>
      </c>
    </row>
    <row r="18134" spans="1:8" x14ac:dyDescent="0.25">
      <c r="A18134" t="str">
        <f xml:space="preserve"> $H$18126</f>
        <v>&lt;flags count_in_cargo="0" count_in_hoarder="0" count_in_map="1" count_in_player="0" crafted="0" deloot="0"/&gt;</v>
      </c>
      <c r="B18134" t="s">
        <v>3718</v>
      </c>
    </row>
    <row r="18135" spans="1:8" x14ac:dyDescent="0.25">
      <c r="A18135" t="str">
        <f>"&lt;category name=" &amp;"""" &amp;$C$18126&amp;"""/&gt;"</f>
        <v>&lt;category name="tools"/&gt;</v>
      </c>
      <c r="B18135" t="s">
        <v>3718</v>
      </c>
    </row>
    <row r="18136" spans="1:8" x14ac:dyDescent="0.25">
      <c r="A18136" t="s">
        <v>55</v>
      </c>
      <c r="B18136" t="s">
        <v>3718</v>
      </c>
    </row>
    <row r="18137" spans="1:8" x14ac:dyDescent="0.25">
      <c r="A18137" t="s">
        <v>22</v>
      </c>
      <c r="B18137" t="s">
        <v>3718</v>
      </c>
    </row>
    <row r="18138" spans="1:8" x14ac:dyDescent="0.25">
      <c r="A18138" t="s">
        <v>170</v>
      </c>
      <c r="B18138" t="s">
        <v>3719</v>
      </c>
      <c r="E18138">
        <v>3888000</v>
      </c>
      <c r="H18138" t="s">
        <v>62</v>
      </c>
    </row>
    <row r="18139" spans="1:8" x14ac:dyDescent="0.25">
      <c r="A18139" t="str">
        <f>"&lt;lifetime&gt;" &amp;$E$18138&amp;"&lt;/lifetime&gt;"</f>
        <v>&lt;lifetime&gt;3888000&lt;/lifetime&gt;</v>
      </c>
      <c r="B18139" t="s">
        <v>3719</v>
      </c>
    </row>
    <row r="18140" spans="1:8" x14ac:dyDescent="0.25">
      <c r="A18140" t="str">
        <f xml:space="preserve"> $H$18138</f>
        <v>&lt;flags count_in_cargo="0" count_in_hoarder="0" count_in_map="1" count_in_player="0" crafted="1" deloot="0"/&gt;</v>
      </c>
      <c r="B18140" t="s">
        <v>3719</v>
      </c>
    </row>
    <row r="18141" spans="1:8" x14ac:dyDescent="0.25">
      <c r="A18141" t="s">
        <v>22</v>
      </c>
      <c r="B18141" t="s">
        <v>3719</v>
      </c>
    </row>
    <row r="18142" spans="1:8" x14ac:dyDescent="0.25">
      <c r="A18142" t="s">
        <v>171</v>
      </c>
      <c r="B18142" t="s">
        <v>1313</v>
      </c>
      <c r="C18142" t="s">
        <v>426</v>
      </c>
      <c r="D18142">
        <v>10</v>
      </c>
      <c r="E18142">
        <v>3888000</v>
      </c>
      <c r="F18142">
        <v>0</v>
      </c>
      <c r="G18142">
        <v>5</v>
      </c>
      <c r="H18142" t="s">
        <v>19</v>
      </c>
    </row>
    <row r="18143" spans="1:8" x14ac:dyDescent="0.25">
      <c r="A18143" t="str">
        <f>"&lt;nominal&gt;" &amp;$D$18142&amp;"&lt;/nominal&gt;"</f>
        <v>&lt;nominal&gt;10&lt;/nominal&gt;</v>
      </c>
      <c r="B18143" t="s">
        <v>1313</v>
      </c>
    </row>
    <row r="18144" spans="1:8" x14ac:dyDescent="0.25">
      <c r="A18144" t="str">
        <f>"&lt;lifetime&gt;" &amp;$E$18142&amp;"&lt;/lifetime&gt;"</f>
        <v>&lt;lifetime&gt;3888000&lt;/lifetime&gt;</v>
      </c>
      <c r="B18144" t="s">
        <v>1313</v>
      </c>
    </row>
    <row r="18145" spans="1:2" x14ac:dyDescent="0.25">
      <c r="A18145" t="str">
        <f>"&lt;restock&gt;" &amp;$F$18142&amp;"&lt;/restock&gt;"</f>
        <v>&lt;restock&gt;0&lt;/restock&gt;</v>
      </c>
      <c r="B18145" t="s">
        <v>1313</v>
      </c>
    </row>
    <row r="18146" spans="1:2" x14ac:dyDescent="0.25">
      <c r="A18146" t="str">
        <f>"&lt;min&gt;" &amp;$G$18142&amp;"&lt;/min&gt;"</f>
        <v>&lt;min&gt;5&lt;/min&gt;</v>
      </c>
      <c r="B18146" t="s">
        <v>1313</v>
      </c>
    </row>
    <row r="18147" spans="1:2" x14ac:dyDescent="0.25">
      <c r="A18147" t="s">
        <v>16</v>
      </c>
      <c r="B18147" t="s">
        <v>1313</v>
      </c>
    </row>
    <row r="18148" spans="1:2" x14ac:dyDescent="0.25">
      <c r="A18148" t="s">
        <v>17</v>
      </c>
      <c r="B18148" t="s">
        <v>1313</v>
      </c>
    </row>
    <row r="18149" spans="1:2" x14ac:dyDescent="0.25">
      <c r="A18149" t="s">
        <v>18</v>
      </c>
      <c r="B18149" t="s">
        <v>1313</v>
      </c>
    </row>
    <row r="18150" spans="1:2" x14ac:dyDescent="0.25">
      <c r="A18150" t="str">
        <f xml:space="preserve"> $H$18142</f>
        <v>&lt;flags count_in_cargo="0" count_in_hoarder="0" count_in_map="1" count_in_player="0" crafted="0" deloot="0"/&gt;</v>
      </c>
      <c r="B18150" t="s">
        <v>1313</v>
      </c>
    </row>
    <row r="18151" spans="1:2" x14ac:dyDescent="0.25">
      <c r="A18151" t="str">
        <f>"&lt;category name=" &amp;"""" &amp;$C$18142&amp;"""/&gt;"</f>
        <v>&lt;category name="tools"/&gt;</v>
      </c>
      <c r="B18151" t="s">
        <v>1313</v>
      </c>
    </row>
    <row r="18152" spans="1:2" x14ac:dyDescent="0.25">
      <c r="A18152" t="s">
        <v>25</v>
      </c>
      <c r="B18152" t="s">
        <v>1313</v>
      </c>
    </row>
    <row r="18153" spans="1:2" x14ac:dyDescent="0.25">
      <c r="A18153" t="s">
        <v>56</v>
      </c>
      <c r="B18153" t="s">
        <v>1313</v>
      </c>
    </row>
    <row r="18154" spans="1:2" x14ac:dyDescent="0.25">
      <c r="A18154" t="s">
        <v>55</v>
      </c>
      <c r="B18154" t="s">
        <v>1313</v>
      </c>
    </row>
    <row r="18155" spans="1:2" x14ac:dyDescent="0.25">
      <c r="A18155" t="s">
        <v>39</v>
      </c>
      <c r="B18155" t="s">
        <v>1313</v>
      </c>
    </row>
    <row r="18156" spans="1:2" x14ac:dyDescent="0.25">
      <c r="A18156" t="s">
        <v>40</v>
      </c>
      <c r="B18156" t="s">
        <v>1313</v>
      </c>
    </row>
    <row r="18157" spans="1:2" x14ac:dyDescent="0.25">
      <c r="A18157" t="s">
        <v>172</v>
      </c>
      <c r="B18157" t="s">
        <v>1313</v>
      </c>
    </row>
    <row r="18158" spans="1:2" x14ac:dyDescent="0.25">
      <c r="A18158" t="s">
        <v>92</v>
      </c>
      <c r="B18158" t="s">
        <v>1313</v>
      </c>
    </row>
    <row r="18159" spans="1:2" x14ac:dyDescent="0.25">
      <c r="A18159" t="s">
        <v>29</v>
      </c>
      <c r="B18159" t="s">
        <v>1313</v>
      </c>
    </row>
    <row r="18160" spans="1:2" x14ac:dyDescent="0.25">
      <c r="A18160" t="s">
        <v>173</v>
      </c>
      <c r="B18160" t="s">
        <v>1313</v>
      </c>
    </row>
    <row r="18161" spans="1:8" x14ac:dyDescent="0.25">
      <c r="A18161" t="s">
        <v>21</v>
      </c>
      <c r="B18161" t="s">
        <v>1313</v>
      </c>
    </row>
    <row r="18162" spans="1:8" x14ac:dyDescent="0.25">
      <c r="A18162" t="s">
        <v>22</v>
      </c>
      <c r="B18162" t="s">
        <v>1313</v>
      </c>
    </row>
    <row r="18163" spans="1:8" x14ac:dyDescent="0.25">
      <c r="A18163" t="s">
        <v>174</v>
      </c>
      <c r="B18163" t="s">
        <v>3720</v>
      </c>
      <c r="E18163">
        <v>3888000</v>
      </c>
      <c r="H18163" t="s">
        <v>175</v>
      </c>
    </row>
    <row r="18164" spans="1:8" x14ac:dyDescent="0.25">
      <c r="A18164" t="str">
        <f>"&lt;lifetime&gt;" &amp;$E$18163&amp;"&lt;/lifetime&gt;"</f>
        <v>&lt;lifetime&gt;3888000&lt;/lifetime&gt;</v>
      </c>
      <c r="B18164" t="s">
        <v>3720</v>
      </c>
    </row>
    <row r="18165" spans="1:8" x14ac:dyDescent="0.25">
      <c r="A18165" t="str">
        <f xml:space="preserve"> $H$18163</f>
        <v>&lt;flags count_in_cargo="1" count_in_hoarder="0" count_in_map="1" count_in_player="0" crafted="1" deloot="0"/&gt;</v>
      </c>
      <c r="B18165" t="s">
        <v>3720</v>
      </c>
    </row>
    <row r="18166" spans="1:8" x14ac:dyDescent="0.25">
      <c r="A18166" t="s">
        <v>22</v>
      </c>
      <c r="B18166" t="s">
        <v>3720</v>
      </c>
    </row>
    <row r="18167" spans="1:8" x14ac:dyDescent="0.25">
      <c r="A18167" t="s">
        <v>176</v>
      </c>
      <c r="B18167" t="s">
        <v>1314</v>
      </c>
      <c r="C18167" t="s">
        <v>426</v>
      </c>
      <c r="D18167">
        <v>10</v>
      </c>
      <c r="E18167">
        <v>7200</v>
      </c>
      <c r="F18167">
        <v>0</v>
      </c>
      <c r="G18167">
        <v>5</v>
      </c>
      <c r="H18167" t="s">
        <v>19</v>
      </c>
    </row>
    <row r="18168" spans="1:8" x14ac:dyDescent="0.25">
      <c r="A18168" t="str">
        <f>"&lt;nominal&gt;" &amp;$D$18167&amp;"&lt;/nominal&gt;"</f>
        <v>&lt;nominal&gt;10&lt;/nominal&gt;</v>
      </c>
      <c r="B18168" t="s">
        <v>1314</v>
      </c>
    </row>
    <row r="18169" spans="1:8" x14ac:dyDescent="0.25">
      <c r="A18169" t="str">
        <f>"&lt;lifetime&gt;" &amp;$E$18167&amp;"&lt;/lifetime&gt;"</f>
        <v>&lt;lifetime&gt;7200&lt;/lifetime&gt;</v>
      </c>
      <c r="B18169" t="s">
        <v>1314</v>
      </c>
    </row>
    <row r="18170" spans="1:8" x14ac:dyDescent="0.25">
      <c r="A18170" t="str">
        <f>"&lt;restock&gt;" &amp;$F$18167&amp;"&lt;/restock&gt;"</f>
        <v>&lt;restock&gt;0&lt;/restock&gt;</v>
      </c>
      <c r="B18170" t="s">
        <v>1314</v>
      </c>
    </row>
    <row r="18171" spans="1:8" x14ac:dyDescent="0.25">
      <c r="A18171" t="str">
        <f>"&lt;min&gt;" &amp;$G$18167&amp;"&lt;/min&gt;"</f>
        <v>&lt;min&gt;5&lt;/min&gt;</v>
      </c>
      <c r="B18171" t="s">
        <v>1314</v>
      </c>
    </row>
    <row r="18172" spans="1:8" x14ac:dyDescent="0.25">
      <c r="A18172" t="s">
        <v>16</v>
      </c>
      <c r="B18172" t="s">
        <v>1314</v>
      </c>
    </row>
    <row r="18173" spans="1:8" x14ac:dyDescent="0.25">
      <c r="A18173" t="s">
        <v>17</v>
      </c>
      <c r="B18173" t="s">
        <v>1314</v>
      </c>
    </row>
    <row r="18174" spans="1:8" x14ac:dyDescent="0.25">
      <c r="A18174" t="s">
        <v>18</v>
      </c>
      <c r="B18174" t="s">
        <v>1314</v>
      </c>
    </row>
    <row r="18175" spans="1:8" x14ac:dyDescent="0.25">
      <c r="A18175" t="str">
        <f xml:space="preserve"> $H$18167</f>
        <v>&lt;flags count_in_cargo="0" count_in_hoarder="0" count_in_map="1" count_in_player="0" crafted="0" deloot="0"/&gt;</v>
      </c>
      <c r="B18175" t="s">
        <v>1314</v>
      </c>
    </row>
    <row r="18176" spans="1:8" x14ac:dyDescent="0.25">
      <c r="A18176" t="str">
        <f>"&lt;category name=" &amp;"""" &amp;$C$18167&amp;"""/&gt;"</f>
        <v>&lt;category name="tools"/&gt;</v>
      </c>
      <c r="B18176" t="s">
        <v>1314</v>
      </c>
    </row>
    <row r="18177" spans="1:8" x14ac:dyDescent="0.25">
      <c r="A18177" t="s">
        <v>25</v>
      </c>
      <c r="B18177" t="s">
        <v>1314</v>
      </c>
    </row>
    <row r="18178" spans="1:8" x14ac:dyDescent="0.25">
      <c r="A18178" t="s">
        <v>56</v>
      </c>
      <c r="B18178" t="s">
        <v>1314</v>
      </c>
    </row>
    <row r="18179" spans="1:8" x14ac:dyDescent="0.25">
      <c r="A18179" t="s">
        <v>55</v>
      </c>
      <c r="B18179" t="s">
        <v>1314</v>
      </c>
    </row>
    <row r="18180" spans="1:8" x14ac:dyDescent="0.25">
      <c r="A18180" t="s">
        <v>39</v>
      </c>
      <c r="B18180" t="s">
        <v>1314</v>
      </c>
    </row>
    <row r="18181" spans="1:8" x14ac:dyDescent="0.25">
      <c r="A18181" t="s">
        <v>40</v>
      </c>
      <c r="B18181" t="s">
        <v>1314</v>
      </c>
    </row>
    <row r="18182" spans="1:8" x14ac:dyDescent="0.25">
      <c r="A18182" t="s">
        <v>172</v>
      </c>
      <c r="B18182" t="s">
        <v>1314</v>
      </c>
    </row>
    <row r="18183" spans="1:8" x14ac:dyDescent="0.25">
      <c r="A18183" t="s">
        <v>92</v>
      </c>
      <c r="B18183" t="s">
        <v>1314</v>
      </c>
    </row>
    <row r="18184" spans="1:8" x14ac:dyDescent="0.25">
      <c r="A18184" t="s">
        <v>29</v>
      </c>
      <c r="B18184" t="s">
        <v>1314</v>
      </c>
    </row>
    <row r="18185" spans="1:8" x14ac:dyDescent="0.25">
      <c r="A18185" t="s">
        <v>173</v>
      </c>
      <c r="B18185" t="s">
        <v>1314</v>
      </c>
    </row>
    <row r="18186" spans="1:8" x14ac:dyDescent="0.25">
      <c r="A18186" t="s">
        <v>21</v>
      </c>
      <c r="B18186" t="s">
        <v>1314</v>
      </c>
    </row>
    <row r="18187" spans="1:8" x14ac:dyDescent="0.25">
      <c r="A18187" t="s">
        <v>22</v>
      </c>
      <c r="B18187" t="s">
        <v>1314</v>
      </c>
    </row>
    <row r="18188" spans="1:8" x14ac:dyDescent="0.25">
      <c r="A18188" t="s">
        <v>177</v>
      </c>
      <c r="B18188" t="s">
        <v>1315</v>
      </c>
      <c r="C18188" t="s">
        <v>426</v>
      </c>
      <c r="D18188">
        <v>10</v>
      </c>
      <c r="E18188">
        <v>7200</v>
      </c>
      <c r="F18188">
        <v>0</v>
      </c>
      <c r="G18188">
        <v>5</v>
      </c>
      <c r="H18188" t="s">
        <v>19</v>
      </c>
    </row>
    <row r="18189" spans="1:8" x14ac:dyDescent="0.25">
      <c r="A18189" t="str">
        <f>"&lt;nominal&gt;" &amp;$D$18188&amp;"&lt;/nominal&gt;"</f>
        <v>&lt;nominal&gt;10&lt;/nominal&gt;</v>
      </c>
      <c r="B18189" t="s">
        <v>1315</v>
      </c>
    </row>
    <row r="18190" spans="1:8" x14ac:dyDescent="0.25">
      <c r="A18190" t="str">
        <f>"&lt;lifetime&gt;" &amp;$E$18188&amp;"&lt;/lifetime&gt;"</f>
        <v>&lt;lifetime&gt;7200&lt;/lifetime&gt;</v>
      </c>
      <c r="B18190" t="s">
        <v>1315</v>
      </c>
    </row>
    <row r="18191" spans="1:8" x14ac:dyDescent="0.25">
      <c r="A18191" t="str">
        <f>"&lt;restock&gt;" &amp;$F$18188&amp;"&lt;/restock&gt;"</f>
        <v>&lt;restock&gt;0&lt;/restock&gt;</v>
      </c>
      <c r="B18191" t="s">
        <v>1315</v>
      </c>
    </row>
    <row r="18192" spans="1:8" x14ac:dyDescent="0.25">
      <c r="A18192" t="str">
        <f>"&lt;min&gt;" &amp;$G$18188&amp;"&lt;/min&gt;"</f>
        <v>&lt;min&gt;5&lt;/min&gt;</v>
      </c>
      <c r="B18192" t="s">
        <v>1315</v>
      </c>
    </row>
    <row r="18193" spans="1:2" x14ac:dyDescent="0.25">
      <c r="A18193" t="s">
        <v>16</v>
      </c>
      <c r="B18193" t="s">
        <v>1315</v>
      </c>
    </row>
    <row r="18194" spans="1:2" x14ac:dyDescent="0.25">
      <c r="A18194" t="s">
        <v>17</v>
      </c>
      <c r="B18194" t="s">
        <v>1315</v>
      </c>
    </row>
    <row r="18195" spans="1:2" x14ac:dyDescent="0.25">
      <c r="A18195" t="s">
        <v>18</v>
      </c>
      <c r="B18195" t="s">
        <v>1315</v>
      </c>
    </row>
    <row r="18196" spans="1:2" x14ac:dyDescent="0.25">
      <c r="A18196" t="str">
        <f xml:space="preserve"> $H$18188</f>
        <v>&lt;flags count_in_cargo="0" count_in_hoarder="0" count_in_map="1" count_in_player="0" crafted="0" deloot="0"/&gt;</v>
      </c>
      <c r="B18196" t="s">
        <v>1315</v>
      </c>
    </row>
    <row r="18197" spans="1:2" x14ac:dyDescent="0.25">
      <c r="A18197" t="str">
        <f>"&lt;category name=" &amp;"""" &amp;$C$18188&amp;"""/&gt;"</f>
        <v>&lt;category name="tools"/&gt;</v>
      </c>
      <c r="B18197" t="s">
        <v>1315</v>
      </c>
    </row>
    <row r="18198" spans="1:2" x14ac:dyDescent="0.25">
      <c r="A18198" t="s">
        <v>25</v>
      </c>
      <c r="B18198" t="s">
        <v>1315</v>
      </c>
    </row>
    <row r="18199" spans="1:2" x14ac:dyDescent="0.25">
      <c r="A18199" t="s">
        <v>56</v>
      </c>
      <c r="B18199" t="s">
        <v>1315</v>
      </c>
    </row>
    <row r="18200" spans="1:2" x14ac:dyDescent="0.25">
      <c r="A18200" t="s">
        <v>55</v>
      </c>
      <c r="B18200" t="s">
        <v>1315</v>
      </c>
    </row>
    <row r="18201" spans="1:2" x14ac:dyDescent="0.25">
      <c r="A18201" t="s">
        <v>39</v>
      </c>
      <c r="B18201" t="s">
        <v>1315</v>
      </c>
    </row>
    <row r="18202" spans="1:2" x14ac:dyDescent="0.25">
      <c r="A18202" t="s">
        <v>40</v>
      </c>
      <c r="B18202" t="s">
        <v>1315</v>
      </c>
    </row>
    <row r="18203" spans="1:2" x14ac:dyDescent="0.25">
      <c r="A18203" t="s">
        <v>172</v>
      </c>
      <c r="B18203" t="s">
        <v>1315</v>
      </c>
    </row>
    <row r="18204" spans="1:2" x14ac:dyDescent="0.25">
      <c r="A18204" t="s">
        <v>92</v>
      </c>
      <c r="B18204" t="s">
        <v>1315</v>
      </c>
    </row>
    <row r="18205" spans="1:2" x14ac:dyDescent="0.25">
      <c r="A18205" t="s">
        <v>29</v>
      </c>
      <c r="B18205" t="s">
        <v>1315</v>
      </c>
    </row>
    <row r="18206" spans="1:2" x14ac:dyDescent="0.25">
      <c r="A18206" t="s">
        <v>173</v>
      </c>
      <c r="B18206" t="s">
        <v>1315</v>
      </c>
    </row>
    <row r="18207" spans="1:2" x14ac:dyDescent="0.25">
      <c r="A18207" t="s">
        <v>21</v>
      </c>
      <c r="B18207" t="s">
        <v>1315</v>
      </c>
    </row>
    <row r="18208" spans="1:2" x14ac:dyDescent="0.25">
      <c r="A18208" t="s">
        <v>22</v>
      </c>
      <c r="B18208" t="s">
        <v>1315</v>
      </c>
    </row>
    <row r="18209" spans="1:8" x14ac:dyDescent="0.25">
      <c r="A18209" t="s">
        <v>178</v>
      </c>
      <c r="B18209" t="s">
        <v>3721</v>
      </c>
      <c r="E18209">
        <v>3888000</v>
      </c>
      <c r="H18209" t="s">
        <v>175</v>
      </c>
    </row>
    <row r="18210" spans="1:8" x14ac:dyDescent="0.25">
      <c r="A18210" t="str">
        <f>"&lt;lifetime&gt;" &amp;$E$18209&amp;"&lt;/lifetime&gt;"</f>
        <v>&lt;lifetime&gt;3888000&lt;/lifetime&gt;</v>
      </c>
      <c r="B18210" t="s">
        <v>3721</v>
      </c>
    </row>
    <row r="18211" spans="1:8" x14ac:dyDescent="0.25">
      <c r="A18211" t="str">
        <f xml:space="preserve"> $H$18209</f>
        <v>&lt;flags count_in_cargo="1" count_in_hoarder="0" count_in_map="1" count_in_player="0" crafted="1" deloot="0"/&gt;</v>
      </c>
      <c r="B18211" t="s">
        <v>3721</v>
      </c>
    </row>
    <row r="18212" spans="1:8" x14ac:dyDescent="0.25">
      <c r="A18212" t="s">
        <v>22</v>
      </c>
      <c r="B18212" t="s">
        <v>3721</v>
      </c>
    </row>
    <row r="18213" spans="1:8" x14ac:dyDescent="0.25">
      <c r="A18213" t="s">
        <v>179</v>
      </c>
      <c r="B18213" t="s">
        <v>1316</v>
      </c>
      <c r="C18213" t="s">
        <v>426</v>
      </c>
      <c r="D18213">
        <v>8</v>
      </c>
      <c r="E18213">
        <v>7200</v>
      </c>
      <c r="F18213">
        <v>0</v>
      </c>
      <c r="G18213">
        <v>2</v>
      </c>
      <c r="H18213" t="s">
        <v>19</v>
      </c>
    </row>
    <row r="18214" spans="1:8" x14ac:dyDescent="0.25">
      <c r="A18214" t="str">
        <f>"&lt;nominal&gt;" &amp;$D$18213&amp;"&lt;/nominal&gt;"</f>
        <v>&lt;nominal&gt;8&lt;/nominal&gt;</v>
      </c>
      <c r="B18214" t="s">
        <v>1316</v>
      </c>
    </row>
    <row r="18215" spans="1:8" x14ac:dyDescent="0.25">
      <c r="A18215" t="str">
        <f>"&lt;lifetime&gt;" &amp;$E$18213&amp;"&lt;/lifetime&gt;"</f>
        <v>&lt;lifetime&gt;7200&lt;/lifetime&gt;</v>
      </c>
      <c r="B18215" t="s">
        <v>1316</v>
      </c>
    </row>
    <row r="18216" spans="1:8" x14ac:dyDescent="0.25">
      <c r="A18216" t="str">
        <f>"&lt;restock&gt;" &amp;$F$18213&amp;"&lt;/restock&gt;"</f>
        <v>&lt;restock&gt;0&lt;/restock&gt;</v>
      </c>
      <c r="B18216" t="s">
        <v>1316</v>
      </c>
    </row>
    <row r="18217" spans="1:8" x14ac:dyDescent="0.25">
      <c r="A18217" t="str">
        <f>"&lt;min&gt;" &amp;$G$18213&amp;"&lt;/min&gt;"</f>
        <v>&lt;min&gt;2&lt;/min&gt;</v>
      </c>
      <c r="B18217" t="s">
        <v>1316</v>
      </c>
    </row>
    <row r="18218" spans="1:8" x14ac:dyDescent="0.25">
      <c r="A18218" t="s">
        <v>16</v>
      </c>
      <c r="B18218" t="s">
        <v>1316</v>
      </c>
    </row>
    <row r="18219" spans="1:8" x14ac:dyDescent="0.25">
      <c r="A18219" t="s">
        <v>17</v>
      </c>
      <c r="B18219" t="s">
        <v>1316</v>
      </c>
    </row>
    <row r="18220" spans="1:8" x14ac:dyDescent="0.25">
      <c r="A18220" t="s">
        <v>18</v>
      </c>
      <c r="B18220" t="s">
        <v>1316</v>
      </c>
    </row>
    <row r="18221" spans="1:8" x14ac:dyDescent="0.25">
      <c r="A18221" t="str">
        <f xml:space="preserve"> $H$18213</f>
        <v>&lt;flags count_in_cargo="0" count_in_hoarder="0" count_in_map="1" count_in_player="0" crafted="0" deloot="0"/&gt;</v>
      </c>
      <c r="B18221" t="s">
        <v>1316</v>
      </c>
    </row>
    <row r="18222" spans="1:8" x14ac:dyDescent="0.25">
      <c r="A18222" t="str">
        <f>"&lt;category name=" &amp;"""" &amp;$C$18213&amp;"""/&gt;"</f>
        <v>&lt;category name="tools"/&gt;</v>
      </c>
      <c r="B18222" t="s">
        <v>1316</v>
      </c>
    </row>
    <row r="18223" spans="1:8" x14ac:dyDescent="0.25">
      <c r="A18223" t="s">
        <v>20</v>
      </c>
      <c r="B18223" t="s">
        <v>1316</v>
      </c>
    </row>
    <row r="18224" spans="1:8" x14ac:dyDescent="0.25">
      <c r="A18224" t="s">
        <v>55</v>
      </c>
      <c r="B18224" t="s">
        <v>1316</v>
      </c>
    </row>
    <row r="18225" spans="1:8" x14ac:dyDescent="0.25">
      <c r="A18225" t="s">
        <v>56</v>
      </c>
      <c r="B18225" t="s">
        <v>1316</v>
      </c>
    </row>
    <row r="18226" spans="1:8" x14ac:dyDescent="0.25">
      <c r="A18226" t="s">
        <v>22</v>
      </c>
      <c r="B18226" t="s">
        <v>1316</v>
      </c>
    </row>
    <row r="18227" spans="1:8" x14ac:dyDescent="0.25">
      <c r="A18227" t="s">
        <v>180</v>
      </c>
      <c r="B18227" t="s">
        <v>1317</v>
      </c>
      <c r="C18227" t="s">
        <v>426</v>
      </c>
      <c r="D18227">
        <v>8</v>
      </c>
      <c r="E18227">
        <v>7200</v>
      </c>
      <c r="F18227">
        <v>0</v>
      </c>
      <c r="G18227">
        <v>2</v>
      </c>
      <c r="H18227" t="s">
        <v>19</v>
      </c>
    </row>
    <row r="18228" spans="1:8" x14ac:dyDescent="0.25">
      <c r="A18228" t="str">
        <f>"&lt;nominal&gt;" &amp;$D$18227&amp;"&lt;/nominal&gt;"</f>
        <v>&lt;nominal&gt;8&lt;/nominal&gt;</v>
      </c>
      <c r="B18228" t="s">
        <v>1317</v>
      </c>
    </row>
    <row r="18229" spans="1:8" x14ac:dyDescent="0.25">
      <c r="A18229" t="str">
        <f>"&lt;lifetime&gt;" &amp;$E$18227&amp;"&lt;/lifetime&gt;"</f>
        <v>&lt;lifetime&gt;7200&lt;/lifetime&gt;</v>
      </c>
      <c r="B18229" t="s">
        <v>1317</v>
      </c>
    </row>
    <row r="18230" spans="1:8" x14ac:dyDescent="0.25">
      <c r="A18230" t="str">
        <f>"&lt;restock&gt;" &amp;$F$18227&amp;"&lt;/restock&gt;"</f>
        <v>&lt;restock&gt;0&lt;/restock&gt;</v>
      </c>
      <c r="B18230" t="s">
        <v>1317</v>
      </c>
    </row>
    <row r="18231" spans="1:8" x14ac:dyDescent="0.25">
      <c r="A18231" t="str">
        <f>"&lt;min&gt;" &amp;$G$18227&amp;"&lt;/min&gt;"</f>
        <v>&lt;min&gt;2&lt;/min&gt;</v>
      </c>
      <c r="B18231" t="s">
        <v>1317</v>
      </c>
    </row>
    <row r="18232" spans="1:8" x14ac:dyDescent="0.25">
      <c r="A18232" t="s">
        <v>16</v>
      </c>
      <c r="B18232" t="s">
        <v>1317</v>
      </c>
    </row>
    <row r="18233" spans="1:8" x14ac:dyDescent="0.25">
      <c r="A18233" t="s">
        <v>17</v>
      </c>
      <c r="B18233" t="s">
        <v>1317</v>
      </c>
    </row>
    <row r="18234" spans="1:8" x14ac:dyDescent="0.25">
      <c r="A18234" t="s">
        <v>18</v>
      </c>
      <c r="B18234" t="s">
        <v>1317</v>
      </c>
    </row>
    <row r="18235" spans="1:8" x14ac:dyDescent="0.25">
      <c r="A18235" t="str">
        <f xml:space="preserve"> $H$18227</f>
        <v>&lt;flags count_in_cargo="0" count_in_hoarder="0" count_in_map="1" count_in_player="0" crafted="0" deloot="0"/&gt;</v>
      </c>
      <c r="B18235" t="s">
        <v>1317</v>
      </c>
    </row>
    <row r="18236" spans="1:8" x14ac:dyDescent="0.25">
      <c r="A18236" t="str">
        <f>"&lt;category name=" &amp;"""" &amp;$C$18227&amp;"""/&gt;"</f>
        <v>&lt;category name="tools"/&gt;</v>
      </c>
      <c r="B18236" t="s">
        <v>1317</v>
      </c>
    </row>
    <row r="18237" spans="1:8" x14ac:dyDescent="0.25">
      <c r="A18237" t="s">
        <v>20</v>
      </c>
      <c r="B18237" t="s">
        <v>1317</v>
      </c>
    </row>
    <row r="18238" spans="1:8" x14ac:dyDescent="0.25">
      <c r="A18238" t="s">
        <v>55</v>
      </c>
      <c r="B18238" t="s">
        <v>1317</v>
      </c>
    </row>
    <row r="18239" spans="1:8" x14ac:dyDescent="0.25">
      <c r="A18239" t="s">
        <v>56</v>
      </c>
      <c r="B18239" t="s">
        <v>1317</v>
      </c>
    </row>
    <row r="18240" spans="1:8" x14ac:dyDescent="0.25">
      <c r="A18240" t="s">
        <v>22</v>
      </c>
      <c r="B18240" t="s">
        <v>1317</v>
      </c>
    </row>
    <row r="18241" spans="1:8" x14ac:dyDescent="0.25">
      <c r="A18241" t="s">
        <v>181</v>
      </c>
      <c r="B18241" t="s">
        <v>1318</v>
      </c>
      <c r="C18241" t="s">
        <v>426</v>
      </c>
      <c r="D18241">
        <v>8</v>
      </c>
      <c r="E18241">
        <v>7200</v>
      </c>
      <c r="F18241">
        <v>0</v>
      </c>
      <c r="G18241">
        <v>2</v>
      </c>
      <c r="H18241" t="s">
        <v>19</v>
      </c>
    </row>
    <row r="18242" spans="1:8" x14ac:dyDescent="0.25">
      <c r="A18242" t="str">
        <f>"&lt;nominal&gt;" &amp;$D$18241&amp;"&lt;/nominal&gt;"</f>
        <v>&lt;nominal&gt;8&lt;/nominal&gt;</v>
      </c>
      <c r="B18242" t="s">
        <v>1318</v>
      </c>
    </row>
    <row r="18243" spans="1:8" x14ac:dyDescent="0.25">
      <c r="A18243" t="str">
        <f>"&lt;lifetime&gt;" &amp;$E$18241&amp;"&lt;/lifetime&gt;"</f>
        <v>&lt;lifetime&gt;7200&lt;/lifetime&gt;</v>
      </c>
      <c r="B18243" t="s">
        <v>1318</v>
      </c>
    </row>
    <row r="18244" spans="1:8" x14ac:dyDescent="0.25">
      <c r="A18244" t="str">
        <f>"&lt;restock&gt;" &amp;$F$18241&amp;"&lt;/restock&gt;"</f>
        <v>&lt;restock&gt;0&lt;/restock&gt;</v>
      </c>
      <c r="B18244" t="s">
        <v>1318</v>
      </c>
    </row>
    <row r="18245" spans="1:8" x14ac:dyDescent="0.25">
      <c r="A18245" t="str">
        <f>"&lt;min&gt;" &amp;$G$18241&amp;"&lt;/min&gt;"</f>
        <v>&lt;min&gt;2&lt;/min&gt;</v>
      </c>
      <c r="B18245" t="s">
        <v>1318</v>
      </c>
    </row>
    <row r="18246" spans="1:8" x14ac:dyDescent="0.25">
      <c r="A18246" t="s">
        <v>16</v>
      </c>
      <c r="B18246" t="s">
        <v>1318</v>
      </c>
    </row>
    <row r="18247" spans="1:8" x14ac:dyDescent="0.25">
      <c r="A18247" t="s">
        <v>17</v>
      </c>
      <c r="B18247" t="s">
        <v>1318</v>
      </c>
    </row>
    <row r="18248" spans="1:8" x14ac:dyDescent="0.25">
      <c r="A18248" t="s">
        <v>18</v>
      </c>
      <c r="B18248" t="s">
        <v>1318</v>
      </c>
    </row>
    <row r="18249" spans="1:8" x14ac:dyDescent="0.25">
      <c r="A18249" t="str">
        <f xml:space="preserve"> $H$18241</f>
        <v>&lt;flags count_in_cargo="0" count_in_hoarder="0" count_in_map="1" count_in_player="0" crafted="0" deloot="0"/&gt;</v>
      </c>
      <c r="B18249" t="s">
        <v>1318</v>
      </c>
    </row>
    <row r="18250" spans="1:8" x14ac:dyDescent="0.25">
      <c r="A18250" t="str">
        <f>"&lt;category name=" &amp;"""" &amp;$C$18241&amp;"""/&gt;"</f>
        <v>&lt;category name="tools"/&gt;</v>
      </c>
      <c r="B18250" t="s">
        <v>1318</v>
      </c>
    </row>
    <row r="18251" spans="1:8" x14ac:dyDescent="0.25">
      <c r="A18251" t="s">
        <v>20</v>
      </c>
      <c r="B18251" t="s">
        <v>1318</v>
      </c>
    </row>
    <row r="18252" spans="1:8" x14ac:dyDescent="0.25">
      <c r="A18252" t="s">
        <v>55</v>
      </c>
      <c r="B18252" t="s">
        <v>1318</v>
      </c>
    </row>
    <row r="18253" spans="1:8" x14ac:dyDescent="0.25">
      <c r="A18253" t="s">
        <v>56</v>
      </c>
      <c r="B18253" t="s">
        <v>1318</v>
      </c>
    </row>
    <row r="18254" spans="1:8" x14ac:dyDescent="0.25">
      <c r="A18254" t="s">
        <v>22</v>
      </c>
      <c r="B18254" t="s">
        <v>1318</v>
      </c>
    </row>
    <row r="18255" spans="1:8" x14ac:dyDescent="0.25">
      <c r="A18255" t="s">
        <v>182</v>
      </c>
      <c r="B18255" t="s">
        <v>1319</v>
      </c>
      <c r="C18255" t="s">
        <v>426</v>
      </c>
      <c r="D18255">
        <v>8</v>
      </c>
      <c r="E18255">
        <v>7200</v>
      </c>
      <c r="F18255">
        <v>0</v>
      </c>
      <c r="G18255">
        <v>2</v>
      </c>
      <c r="H18255" t="s">
        <v>19</v>
      </c>
    </row>
    <row r="18256" spans="1:8" x14ac:dyDescent="0.25">
      <c r="A18256" t="str">
        <f>"&lt;nominal&gt;" &amp;$D$18255&amp;"&lt;/nominal&gt;"</f>
        <v>&lt;nominal&gt;8&lt;/nominal&gt;</v>
      </c>
      <c r="B18256" t="s">
        <v>1319</v>
      </c>
    </row>
    <row r="18257" spans="1:8" x14ac:dyDescent="0.25">
      <c r="A18257" t="str">
        <f>"&lt;lifetime&gt;" &amp;$E$18255&amp;"&lt;/lifetime&gt;"</f>
        <v>&lt;lifetime&gt;7200&lt;/lifetime&gt;</v>
      </c>
      <c r="B18257" t="s">
        <v>1319</v>
      </c>
    </row>
    <row r="18258" spans="1:8" x14ac:dyDescent="0.25">
      <c r="A18258" t="str">
        <f>"&lt;restock&gt;" &amp;$F$18255&amp;"&lt;/restock&gt;"</f>
        <v>&lt;restock&gt;0&lt;/restock&gt;</v>
      </c>
      <c r="B18258" t="s">
        <v>1319</v>
      </c>
    </row>
    <row r="18259" spans="1:8" x14ac:dyDescent="0.25">
      <c r="A18259" t="str">
        <f>"&lt;min&gt;" &amp;$G$18255&amp;"&lt;/min&gt;"</f>
        <v>&lt;min&gt;2&lt;/min&gt;</v>
      </c>
      <c r="B18259" t="s">
        <v>1319</v>
      </c>
    </row>
    <row r="18260" spans="1:8" x14ac:dyDescent="0.25">
      <c r="A18260" t="s">
        <v>16</v>
      </c>
      <c r="B18260" t="s">
        <v>1319</v>
      </c>
    </row>
    <row r="18261" spans="1:8" x14ac:dyDescent="0.25">
      <c r="A18261" t="s">
        <v>17</v>
      </c>
      <c r="B18261" t="s">
        <v>1319</v>
      </c>
    </row>
    <row r="18262" spans="1:8" x14ac:dyDescent="0.25">
      <c r="A18262" t="s">
        <v>18</v>
      </c>
      <c r="B18262" t="s">
        <v>1319</v>
      </c>
    </row>
    <row r="18263" spans="1:8" x14ac:dyDescent="0.25">
      <c r="A18263" t="str">
        <f xml:space="preserve"> $H$18255</f>
        <v>&lt;flags count_in_cargo="0" count_in_hoarder="0" count_in_map="1" count_in_player="0" crafted="0" deloot="0"/&gt;</v>
      </c>
      <c r="B18263" t="s">
        <v>1319</v>
      </c>
    </row>
    <row r="18264" spans="1:8" x14ac:dyDescent="0.25">
      <c r="A18264" t="str">
        <f>"&lt;category name=" &amp;"""" &amp;$C$18255&amp;"""/&gt;"</f>
        <v>&lt;category name="tools"/&gt;</v>
      </c>
      <c r="B18264" t="s">
        <v>1319</v>
      </c>
    </row>
    <row r="18265" spans="1:8" x14ac:dyDescent="0.25">
      <c r="A18265" t="s">
        <v>20</v>
      </c>
      <c r="B18265" t="s">
        <v>1319</v>
      </c>
    </row>
    <row r="18266" spans="1:8" x14ac:dyDescent="0.25">
      <c r="A18266" t="s">
        <v>55</v>
      </c>
      <c r="B18266" t="s">
        <v>1319</v>
      </c>
    </row>
    <row r="18267" spans="1:8" x14ac:dyDescent="0.25">
      <c r="A18267" t="s">
        <v>56</v>
      </c>
      <c r="B18267" t="s">
        <v>1319</v>
      </c>
    </row>
    <row r="18268" spans="1:8" x14ac:dyDescent="0.25">
      <c r="A18268" t="s">
        <v>22</v>
      </c>
      <c r="B18268" t="s">
        <v>1319</v>
      </c>
    </row>
    <row r="18269" spans="1:8" x14ac:dyDescent="0.25">
      <c r="A18269" t="s">
        <v>183</v>
      </c>
      <c r="B18269" t="s">
        <v>1320</v>
      </c>
      <c r="C18269" t="s">
        <v>426</v>
      </c>
      <c r="D18269">
        <v>8</v>
      </c>
      <c r="E18269">
        <v>7200</v>
      </c>
      <c r="F18269">
        <v>0</v>
      </c>
      <c r="G18269">
        <v>2</v>
      </c>
      <c r="H18269" t="s">
        <v>19</v>
      </c>
    </row>
    <row r="18270" spans="1:8" x14ac:dyDescent="0.25">
      <c r="A18270" t="str">
        <f>"&lt;nominal&gt;" &amp;$D$18269&amp;"&lt;/nominal&gt;"</f>
        <v>&lt;nominal&gt;8&lt;/nominal&gt;</v>
      </c>
      <c r="B18270" t="s">
        <v>1320</v>
      </c>
    </row>
    <row r="18271" spans="1:8" x14ac:dyDescent="0.25">
      <c r="A18271" t="str">
        <f>"&lt;lifetime&gt;" &amp;$E$18269&amp;"&lt;/lifetime&gt;"</f>
        <v>&lt;lifetime&gt;7200&lt;/lifetime&gt;</v>
      </c>
      <c r="B18271" t="s">
        <v>1320</v>
      </c>
    </row>
    <row r="18272" spans="1:8" x14ac:dyDescent="0.25">
      <c r="A18272" t="str">
        <f>"&lt;restock&gt;" &amp;$F$18269&amp;"&lt;/restock&gt;"</f>
        <v>&lt;restock&gt;0&lt;/restock&gt;</v>
      </c>
      <c r="B18272" t="s">
        <v>1320</v>
      </c>
    </row>
    <row r="18273" spans="1:8" x14ac:dyDescent="0.25">
      <c r="A18273" t="str">
        <f>"&lt;min&gt;" &amp;$G$18269&amp;"&lt;/min&gt;"</f>
        <v>&lt;min&gt;2&lt;/min&gt;</v>
      </c>
      <c r="B18273" t="s">
        <v>1320</v>
      </c>
    </row>
    <row r="18274" spans="1:8" x14ac:dyDescent="0.25">
      <c r="A18274" t="s">
        <v>16</v>
      </c>
      <c r="B18274" t="s">
        <v>1320</v>
      </c>
    </row>
    <row r="18275" spans="1:8" x14ac:dyDescent="0.25">
      <c r="A18275" t="s">
        <v>17</v>
      </c>
      <c r="B18275" t="s">
        <v>1320</v>
      </c>
    </row>
    <row r="18276" spans="1:8" x14ac:dyDescent="0.25">
      <c r="A18276" t="s">
        <v>18</v>
      </c>
      <c r="B18276" t="s">
        <v>1320</v>
      </c>
    </row>
    <row r="18277" spans="1:8" x14ac:dyDescent="0.25">
      <c r="A18277" t="str">
        <f xml:space="preserve"> $H$18269</f>
        <v>&lt;flags count_in_cargo="0" count_in_hoarder="0" count_in_map="1" count_in_player="0" crafted="0" deloot="0"/&gt;</v>
      </c>
      <c r="B18277" t="s">
        <v>1320</v>
      </c>
    </row>
    <row r="18278" spans="1:8" x14ac:dyDescent="0.25">
      <c r="A18278" t="str">
        <f>"&lt;category name=" &amp;"""" &amp;$C$18269&amp;"""/&gt;"</f>
        <v>&lt;category name="tools"/&gt;</v>
      </c>
      <c r="B18278" t="s">
        <v>1320</v>
      </c>
    </row>
    <row r="18279" spans="1:8" x14ac:dyDescent="0.25">
      <c r="A18279" t="s">
        <v>20</v>
      </c>
      <c r="B18279" t="s">
        <v>1320</v>
      </c>
    </row>
    <row r="18280" spans="1:8" x14ac:dyDescent="0.25">
      <c r="A18280" t="s">
        <v>55</v>
      </c>
      <c r="B18280" t="s">
        <v>1320</v>
      </c>
    </row>
    <row r="18281" spans="1:8" x14ac:dyDescent="0.25">
      <c r="A18281" t="s">
        <v>56</v>
      </c>
      <c r="B18281" t="s">
        <v>1320</v>
      </c>
    </row>
    <row r="18282" spans="1:8" x14ac:dyDescent="0.25">
      <c r="A18282" t="s">
        <v>22</v>
      </c>
      <c r="B18282" t="s">
        <v>1320</v>
      </c>
    </row>
    <row r="18283" spans="1:8" x14ac:dyDescent="0.25">
      <c r="A18283" t="s">
        <v>184</v>
      </c>
      <c r="B18283" t="s">
        <v>1321</v>
      </c>
      <c r="C18283" t="s">
        <v>426</v>
      </c>
      <c r="D18283">
        <v>8</v>
      </c>
      <c r="E18283">
        <v>7200</v>
      </c>
      <c r="F18283">
        <v>0</v>
      </c>
      <c r="G18283">
        <v>2</v>
      </c>
      <c r="H18283" t="s">
        <v>19</v>
      </c>
    </row>
    <row r="18284" spans="1:8" x14ac:dyDescent="0.25">
      <c r="A18284" t="str">
        <f>"&lt;nominal&gt;" &amp;$D$18283&amp;"&lt;/nominal&gt;"</f>
        <v>&lt;nominal&gt;8&lt;/nominal&gt;</v>
      </c>
      <c r="B18284" t="s">
        <v>1321</v>
      </c>
    </row>
    <row r="18285" spans="1:8" x14ac:dyDescent="0.25">
      <c r="A18285" t="str">
        <f>"&lt;lifetime&gt;" &amp;$E$18283&amp;"&lt;/lifetime&gt;"</f>
        <v>&lt;lifetime&gt;7200&lt;/lifetime&gt;</v>
      </c>
      <c r="B18285" t="s">
        <v>1321</v>
      </c>
    </row>
    <row r="18286" spans="1:8" x14ac:dyDescent="0.25">
      <c r="A18286" t="str">
        <f>"&lt;restock&gt;" &amp;$F$18283&amp;"&lt;/restock&gt;"</f>
        <v>&lt;restock&gt;0&lt;/restock&gt;</v>
      </c>
      <c r="B18286" t="s">
        <v>1321</v>
      </c>
    </row>
    <row r="18287" spans="1:8" x14ac:dyDescent="0.25">
      <c r="A18287" t="str">
        <f>"&lt;min&gt;" &amp;$G$18283&amp;"&lt;/min&gt;"</f>
        <v>&lt;min&gt;2&lt;/min&gt;</v>
      </c>
      <c r="B18287" t="s">
        <v>1321</v>
      </c>
    </row>
    <row r="18288" spans="1:8" x14ac:dyDescent="0.25">
      <c r="A18288" t="s">
        <v>16</v>
      </c>
      <c r="B18288" t="s">
        <v>1321</v>
      </c>
    </row>
    <row r="18289" spans="1:8" x14ac:dyDescent="0.25">
      <c r="A18289" t="s">
        <v>17</v>
      </c>
      <c r="B18289" t="s">
        <v>1321</v>
      </c>
    </row>
    <row r="18290" spans="1:8" x14ac:dyDescent="0.25">
      <c r="A18290" t="s">
        <v>18</v>
      </c>
      <c r="B18290" t="s">
        <v>1321</v>
      </c>
    </row>
    <row r="18291" spans="1:8" x14ac:dyDescent="0.25">
      <c r="A18291" t="str">
        <f xml:space="preserve"> $H$18283</f>
        <v>&lt;flags count_in_cargo="0" count_in_hoarder="0" count_in_map="1" count_in_player="0" crafted="0" deloot="0"/&gt;</v>
      </c>
      <c r="B18291" t="s">
        <v>1321</v>
      </c>
    </row>
    <row r="18292" spans="1:8" x14ac:dyDescent="0.25">
      <c r="A18292" t="str">
        <f>"&lt;category name=" &amp;"""" &amp;$C$18283&amp;"""/&gt;"</f>
        <v>&lt;category name="tools"/&gt;</v>
      </c>
      <c r="B18292" t="s">
        <v>1321</v>
      </c>
    </row>
    <row r="18293" spans="1:8" x14ac:dyDescent="0.25">
      <c r="A18293" t="s">
        <v>20</v>
      </c>
      <c r="B18293" t="s">
        <v>1321</v>
      </c>
    </row>
    <row r="18294" spans="1:8" x14ac:dyDescent="0.25">
      <c r="A18294" t="s">
        <v>55</v>
      </c>
      <c r="B18294" t="s">
        <v>1321</v>
      </c>
    </row>
    <row r="18295" spans="1:8" x14ac:dyDescent="0.25">
      <c r="A18295" t="s">
        <v>56</v>
      </c>
      <c r="B18295" t="s">
        <v>1321</v>
      </c>
    </row>
    <row r="18296" spans="1:8" x14ac:dyDescent="0.25">
      <c r="A18296" t="s">
        <v>22</v>
      </c>
      <c r="B18296" t="s">
        <v>1321</v>
      </c>
    </row>
    <row r="18297" spans="1:8" x14ac:dyDescent="0.25">
      <c r="A18297" t="s">
        <v>185</v>
      </c>
      <c r="B18297" t="s">
        <v>1322</v>
      </c>
      <c r="C18297" t="s">
        <v>426</v>
      </c>
      <c r="D18297">
        <v>8</v>
      </c>
      <c r="E18297">
        <v>7200</v>
      </c>
      <c r="F18297">
        <v>0</v>
      </c>
      <c r="G18297">
        <v>2</v>
      </c>
      <c r="H18297" t="s">
        <v>19</v>
      </c>
    </row>
    <row r="18298" spans="1:8" x14ac:dyDescent="0.25">
      <c r="A18298" t="str">
        <f>"&lt;nominal&gt;" &amp;$D$18297&amp;"&lt;/nominal&gt;"</f>
        <v>&lt;nominal&gt;8&lt;/nominal&gt;</v>
      </c>
      <c r="B18298" t="s">
        <v>1322</v>
      </c>
    </row>
    <row r="18299" spans="1:8" x14ac:dyDescent="0.25">
      <c r="A18299" t="str">
        <f>"&lt;lifetime&gt;" &amp;$E$18297&amp;"&lt;/lifetime&gt;"</f>
        <v>&lt;lifetime&gt;7200&lt;/lifetime&gt;</v>
      </c>
      <c r="B18299" t="s">
        <v>1322</v>
      </c>
    </row>
    <row r="18300" spans="1:8" x14ac:dyDescent="0.25">
      <c r="A18300" t="str">
        <f>"&lt;restock&gt;" &amp;$F$18297&amp;"&lt;/restock&gt;"</f>
        <v>&lt;restock&gt;0&lt;/restock&gt;</v>
      </c>
      <c r="B18300" t="s">
        <v>1322</v>
      </c>
    </row>
    <row r="18301" spans="1:8" x14ac:dyDescent="0.25">
      <c r="A18301" t="str">
        <f>"&lt;min&gt;" &amp;$G$18297&amp;"&lt;/min&gt;"</f>
        <v>&lt;min&gt;2&lt;/min&gt;</v>
      </c>
      <c r="B18301" t="s">
        <v>1322</v>
      </c>
    </row>
    <row r="18302" spans="1:8" x14ac:dyDescent="0.25">
      <c r="A18302" t="s">
        <v>16</v>
      </c>
      <c r="B18302" t="s">
        <v>1322</v>
      </c>
    </row>
    <row r="18303" spans="1:8" x14ac:dyDescent="0.25">
      <c r="A18303" t="s">
        <v>17</v>
      </c>
      <c r="B18303" t="s">
        <v>1322</v>
      </c>
    </row>
    <row r="18304" spans="1:8" x14ac:dyDescent="0.25">
      <c r="A18304" t="s">
        <v>18</v>
      </c>
      <c r="B18304" t="s">
        <v>1322</v>
      </c>
    </row>
    <row r="18305" spans="1:8" x14ac:dyDescent="0.25">
      <c r="A18305" t="str">
        <f xml:space="preserve"> $H$18297</f>
        <v>&lt;flags count_in_cargo="0" count_in_hoarder="0" count_in_map="1" count_in_player="0" crafted="0" deloot="0"/&gt;</v>
      </c>
      <c r="B18305" t="s">
        <v>1322</v>
      </c>
    </row>
    <row r="18306" spans="1:8" x14ac:dyDescent="0.25">
      <c r="A18306" t="str">
        <f>"&lt;category name=" &amp;"""" &amp;$C$18297&amp;"""/&gt;"</f>
        <v>&lt;category name="tools"/&gt;</v>
      </c>
      <c r="B18306" t="s">
        <v>1322</v>
      </c>
    </row>
    <row r="18307" spans="1:8" x14ac:dyDescent="0.25">
      <c r="A18307" t="s">
        <v>20</v>
      </c>
      <c r="B18307" t="s">
        <v>1322</v>
      </c>
    </row>
    <row r="18308" spans="1:8" x14ac:dyDescent="0.25">
      <c r="A18308" t="s">
        <v>55</v>
      </c>
      <c r="B18308" t="s">
        <v>1322</v>
      </c>
    </row>
    <row r="18309" spans="1:8" x14ac:dyDescent="0.25">
      <c r="A18309" t="s">
        <v>56</v>
      </c>
      <c r="B18309" t="s">
        <v>1322</v>
      </c>
    </row>
    <row r="18310" spans="1:8" x14ac:dyDescent="0.25">
      <c r="A18310" t="s">
        <v>22</v>
      </c>
      <c r="B18310" t="s">
        <v>1322</v>
      </c>
    </row>
    <row r="18311" spans="1:8" x14ac:dyDescent="0.25">
      <c r="A18311" t="s">
        <v>186</v>
      </c>
      <c r="B18311" t="s">
        <v>1323</v>
      </c>
      <c r="C18311" t="s">
        <v>426</v>
      </c>
      <c r="D18311">
        <v>8</v>
      </c>
      <c r="E18311">
        <v>7200</v>
      </c>
      <c r="F18311">
        <v>0</v>
      </c>
      <c r="G18311">
        <v>2</v>
      </c>
      <c r="H18311" t="s">
        <v>19</v>
      </c>
    </row>
    <row r="18312" spans="1:8" x14ac:dyDescent="0.25">
      <c r="A18312" t="str">
        <f>"&lt;nominal&gt;" &amp;$D$18311&amp;"&lt;/nominal&gt;"</f>
        <v>&lt;nominal&gt;8&lt;/nominal&gt;</v>
      </c>
      <c r="B18312" t="s">
        <v>1323</v>
      </c>
    </row>
    <row r="18313" spans="1:8" x14ac:dyDescent="0.25">
      <c r="A18313" t="str">
        <f>"&lt;lifetime&gt;" &amp;$E$18311&amp;"&lt;/lifetime&gt;"</f>
        <v>&lt;lifetime&gt;7200&lt;/lifetime&gt;</v>
      </c>
      <c r="B18313" t="s">
        <v>1323</v>
      </c>
    </row>
    <row r="18314" spans="1:8" x14ac:dyDescent="0.25">
      <c r="A18314" t="str">
        <f>"&lt;restock&gt;" &amp;$F$18311&amp;"&lt;/restock&gt;"</f>
        <v>&lt;restock&gt;0&lt;/restock&gt;</v>
      </c>
      <c r="B18314" t="s">
        <v>1323</v>
      </c>
    </row>
    <row r="18315" spans="1:8" x14ac:dyDescent="0.25">
      <c r="A18315" t="str">
        <f>"&lt;min&gt;" &amp;$G$18311&amp;"&lt;/min&gt;"</f>
        <v>&lt;min&gt;2&lt;/min&gt;</v>
      </c>
      <c r="B18315" t="s">
        <v>1323</v>
      </c>
    </row>
    <row r="18316" spans="1:8" x14ac:dyDescent="0.25">
      <c r="A18316" t="s">
        <v>16</v>
      </c>
      <c r="B18316" t="s">
        <v>1323</v>
      </c>
    </row>
    <row r="18317" spans="1:8" x14ac:dyDescent="0.25">
      <c r="A18317" t="s">
        <v>17</v>
      </c>
      <c r="B18317" t="s">
        <v>1323</v>
      </c>
    </row>
    <row r="18318" spans="1:8" x14ac:dyDescent="0.25">
      <c r="A18318" t="s">
        <v>18</v>
      </c>
      <c r="B18318" t="s">
        <v>1323</v>
      </c>
    </row>
    <row r="18319" spans="1:8" x14ac:dyDescent="0.25">
      <c r="A18319" t="str">
        <f xml:space="preserve"> $H$18311</f>
        <v>&lt;flags count_in_cargo="0" count_in_hoarder="0" count_in_map="1" count_in_player="0" crafted="0" deloot="0"/&gt;</v>
      </c>
      <c r="B18319" t="s">
        <v>1323</v>
      </c>
    </row>
    <row r="18320" spans="1:8" x14ac:dyDescent="0.25">
      <c r="A18320" t="str">
        <f>"&lt;category name=" &amp;"""" &amp;$C$18311&amp;"""/&gt;"</f>
        <v>&lt;category name="tools"/&gt;</v>
      </c>
      <c r="B18320" t="s">
        <v>1323</v>
      </c>
    </row>
    <row r="18321" spans="1:8" x14ac:dyDescent="0.25">
      <c r="A18321" t="s">
        <v>20</v>
      </c>
      <c r="B18321" t="s">
        <v>1323</v>
      </c>
    </row>
    <row r="18322" spans="1:8" x14ac:dyDescent="0.25">
      <c r="A18322" t="s">
        <v>55</v>
      </c>
      <c r="B18322" t="s">
        <v>1323</v>
      </c>
    </row>
    <row r="18323" spans="1:8" x14ac:dyDescent="0.25">
      <c r="A18323" t="s">
        <v>56</v>
      </c>
      <c r="B18323" t="s">
        <v>1323</v>
      </c>
    </row>
    <row r="18324" spans="1:8" x14ac:dyDescent="0.25">
      <c r="A18324" t="s">
        <v>22</v>
      </c>
      <c r="B18324" t="s">
        <v>1323</v>
      </c>
    </row>
    <row r="18325" spans="1:8" x14ac:dyDescent="0.25">
      <c r="A18325" t="s">
        <v>187</v>
      </c>
      <c r="B18325" t="s">
        <v>1324</v>
      </c>
      <c r="C18325" t="s">
        <v>426</v>
      </c>
      <c r="D18325">
        <v>8</v>
      </c>
      <c r="E18325">
        <v>7200</v>
      </c>
      <c r="F18325">
        <v>0</v>
      </c>
      <c r="G18325">
        <v>2</v>
      </c>
      <c r="H18325" t="s">
        <v>19</v>
      </c>
    </row>
    <row r="18326" spans="1:8" x14ac:dyDescent="0.25">
      <c r="A18326" t="str">
        <f>"&lt;nominal&gt;" &amp;$D$18325&amp;"&lt;/nominal&gt;"</f>
        <v>&lt;nominal&gt;8&lt;/nominal&gt;</v>
      </c>
      <c r="B18326" t="s">
        <v>1324</v>
      </c>
    </row>
    <row r="18327" spans="1:8" x14ac:dyDescent="0.25">
      <c r="A18327" t="str">
        <f>"&lt;lifetime&gt;" &amp;$E$18325&amp;"&lt;/lifetime&gt;"</f>
        <v>&lt;lifetime&gt;7200&lt;/lifetime&gt;</v>
      </c>
      <c r="B18327" t="s">
        <v>1324</v>
      </c>
    </row>
    <row r="18328" spans="1:8" x14ac:dyDescent="0.25">
      <c r="A18328" t="str">
        <f>"&lt;restock&gt;" &amp;$F$18325&amp;"&lt;/restock&gt;"</f>
        <v>&lt;restock&gt;0&lt;/restock&gt;</v>
      </c>
      <c r="B18328" t="s">
        <v>1324</v>
      </c>
    </row>
    <row r="18329" spans="1:8" x14ac:dyDescent="0.25">
      <c r="A18329" t="str">
        <f>"&lt;min&gt;" &amp;$G$18325&amp;"&lt;/min&gt;"</f>
        <v>&lt;min&gt;2&lt;/min&gt;</v>
      </c>
      <c r="B18329" t="s">
        <v>1324</v>
      </c>
    </row>
    <row r="18330" spans="1:8" x14ac:dyDescent="0.25">
      <c r="A18330" t="s">
        <v>16</v>
      </c>
      <c r="B18330" t="s">
        <v>1324</v>
      </c>
    </row>
    <row r="18331" spans="1:8" x14ac:dyDescent="0.25">
      <c r="A18331" t="s">
        <v>17</v>
      </c>
      <c r="B18331" t="s">
        <v>1324</v>
      </c>
    </row>
    <row r="18332" spans="1:8" x14ac:dyDescent="0.25">
      <c r="A18332" t="s">
        <v>18</v>
      </c>
      <c r="B18332" t="s">
        <v>1324</v>
      </c>
    </row>
    <row r="18333" spans="1:8" x14ac:dyDescent="0.25">
      <c r="A18333" t="str">
        <f xml:space="preserve"> $H$18325</f>
        <v>&lt;flags count_in_cargo="0" count_in_hoarder="0" count_in_map="1" count_in_player="0" crafted="0" deloot="0"/&gt;</v>
      </c>
      <c r="B18333" t="s">
        <v>1324</v>
      </c>
    </row>
    <row r="18334" spans="1:8" x14ac:dyDescent="0.25">
      <c r="A18334" t="str">
        <f>"&lt;category name=" &amp;"""" &amp;$C$18325&amp;"""/&gt;"</f>
        <v>&lt;category name="tools"/&gt;</v>
      </c>
      <c r="B18334" t="s">
        <v>1324</v>
      </c>
    </row>
    <row r="18335" spans="1:8" x14ac:dyDescent="0.25">
      <c r="A18335" t="s">
        <v>20</v>
      </c>
      <c r="B18335" t="s">
        <v>1324</v>
      </c>
    </row>
    <row r="18336" spans="1:8" x14ac:dyDescent="0.25">
      <c r="A18336" t="s">
        <v>55</v>
      </c>
      <c r="B18336" t="s">
        <v>1324</v>
      </c>
    </row>
    <row r="18337" spans="1:8" x14ac:dyDescent="0.25">
      <c r="A18337" t="s">
        <v>56</v>
      </c>
      <c r="B18337" t="s">
        <v>1324</v>
      </c>
    </row>
    <row r="18338" spans="1:8" x14ac:dyDescent="0.25">
      <c r="A18338" t="s">
        <v>22</v>
      </c>
      <c r="B18338" t="s">
        <v>1324</v>
      </c>
    </row>
    <row r="18339" spans="1:8" x14ac:dyDescent="0.25">
      <c r="A18339" t="s">
        <v>188</v>
      </c>
      <c r="B18339" t="s">
        <v>1325</v>
      </c>
      <c r="C18339" t="s">
        <v>426</v>
      </c>
      <c r="D18339">
        <v>8</v>
      </c>
      <c r="E18339">
        <v>7200</v>
      </c>
      <c r="F18339">
        <v>0</v>
      </c>
      <c r="G18339">
        <v>2</v>
      </c>
      <c r="H18339" t="s">
        <v>19</v>
      </c>
    </row>
    <row r="18340" spans="1:8" x14ac:dyDescent="0.25">
      <c r="A18340" t="str">
        <f>"&lt;nominal&gt;" &amp;$D$18339&amp;"&lt;/nominal&gt;"</f>
        <v>&lt;nominal&gt;8&lt;/nominal&gt;</v>
      </c>
      <c r="B18340" t="s">
        <v>1325</v>
      </c>
    </row>
    <row r="18341" spans="1:8" x14ac:dyDescent="0.25">
      <c r="A18341" t="str">
        <f>"&lt;lifetime&gt;" &amp;$E$18339&amp;"&lt;/lifetime&gt;"</f>
        <v>&lt;lifetime&gt;7200&lt;/lifetime&gt;</v>
      </c>
      <c r="B18341" t="s">
        <v>1325</v>
      </c>
    </row>
    <row r="18342" spans="1:8" x14ac:dyDescent="0.25">
      <c r="A18342" t="str">
        <f>"&lt;restock&gt;" &amp;$F$18339&amp;"&lt;/restock&gt;"</f>
        <v>&lt;restock&gt;0&lt;/restock&gt;</v>
      </c>
      <c r="B18342" t="s">
        <v>1325</v>
      </c>
    </row>
    <row r="18343" spans="1:8" x14ac:dyDescent="0.25">
      <c r="A18343" t="str">
        <f>"&lt;min&gt;" &amp;$G$18339&amp;"&lt;/min&gt;"</f>
        <v>&lt;min&gt;2&lt;/min&gt;</v>
      </c>
      <c r="B18343" t="s">
        <v>1325</v>
      </c>
    </row>
    <row r="18344" spans="1:8" x14ac:dyDescent="0.25">
      <c r="A18344" t="s">
        <v>16</v>
      </c>
      <c r="B18344" t="s">
        <v>1325</v>
      </c>
    </row>
    <row r="18345" spans="1:8" x14ac:dyDescent="0.25">
      <c r="A18345" t="s">
        <v>17</v>
      </c>
      <c r="B18345" t="s">
        <v>1325</v>
      </c>
    </row>
    <row r="18346" spans="1:8" x14ac:dyDescent="0.25">
      <c r="A18346" t="s">
        <v>18</v>
      </c>
      <c r="B18346" t="s">
        <v>1325</v>
      </c>
    </row>
    <row r="18347" spans="1:8" x14ac:dyDescent="0.25">
      <c r="A18347" t="str">
        <f xml:space="preserve"> $H$18339</f>
        <v>&lt;flags count_in_cargo="0" count_in_hoarder="0" count_in_map="1" count_in_player="0" crafted="0" deloot="0"/&gt;</v>
      </c>
      <c r="B18347" t="s">
        <v>1325</v>
      </c>
    </row>
    <row r="18348" spans="1:8" x14ac:dyDescent="0.25">
      <c r="A18348" t="str">
        <f>"&lt;category name=" &amp;"""" &amp;$C$18339&amp;"""/&gt;"</f>
        <v>&lt;category name="tools"/&gt;</v>
      </c>
      <c r="B18348" t="s">
        <v>1325</v>
      </c>
    </row>
    <row r="18349" spans="1:8" x14ac:dyDescent="0.25">
      <c r="A18349" t="s">
        <v>20</v>
      </c>
      <c r="B18349" t="s">
        <v>1325</v>
      </c>
    </row>
    <row r="18350" spans="1:8" x14ac:dyDescent="0.25">
      <c r="A18350" t="s">
        <v>55</v>
      </c>
      <c r="B18350" t="s">
        <v>1325</v>
      </c>
    </row>
    <row r="18351" spans="1:8" x14ac:dyDescent="0.25">
      <c r="A18351" t="s">
        <v>56</v>
      </c>
      <c r="B18351" t="s">
        <v>1325</v>
      </c>
    </row>
    <row r="18352" spans="1:8" x14ac:dyDescent="0.25">
      <c r="A18352" t="s">
        <v>22</v>
      </c>
      <c r="B18352" t="s">
        <v>1325</v>
      </c>
    </row>
    <row r="18353" spans="1:8" x14ac:dyDescent="0.25">
      <c r="A18353" t="s">
        <v>189</v>
      </c>
      <c r="B18353" t="s">
        <v>1326</v>
      </c>
      <c r="C18353" t="s">
        <v>426</v>
      </c>
      <c r="D18353">
        <v>8</v>
      </c>
      <c r="E18353">
        <v>7200</v>
      </c>
      <c r="F18353">
        <v>0</v>
      </c>
      <c r="G18353">
        <v>2</v>
      </c>
      <c r="H18353" t="s">
        <v>19</v>
      </c>
    </row>
    <row r="18354" spans="1:8" x14ac:dyDescent="0.25">
      <c r="A18354" t="str">
        <f>"&lt;nominal&gt;" &amp;$D$18353&amp;"&lt;/nominal&gt;"</f>
        <v>&lt;nominal&gt;8&lt;/nominal&gt;</v>
      </c>
      <c r="B18354" t="s">
        <v>1326</v>
      </c>
    </row>
    <row r="18355" spans="1:8" x14ac:dyDescent="0.25">
      <c r="A18355" t="str">
        <f>"&lt;lifetime&gt;" &amp;$E$18353&amp;"&lt;/lifetime&gt;"</f>
        <v>&lt;lifetime&gt;7200&lt;/lifetime&gt;</v>
      </c>
      <c r="B18355" t="s">
        <v>1326</v>
      </c>
    </row>
    <row r="18356" spans="1:8" x14ac:dyDescent="0.25">
      <c r="A18356" t="str">
        <f>"&lt;restock&gt;" &amp;$F$18353&amp;"&lt;/restock&gt;"</f>
        <v>&lt;restock&gt;0&lt;/restock&gt;</v>
      </c>
      <c r="B18356" t="s">
        <v>1326</v>
      </c>
    </row>
    <row r="18357" spans="1:8" x14ac:dyDescent="0.25">
      <c r="A18357" t="str">
        <f>"&lt;min&gt;" &amp;$G$18353&amp;"&lt;/min&gt;"</f>
        <v>&lt;min&gt;2&lt;/min&gt;</v>
      </c>
      <c r="B18357" t="s">
        <v>1326</v>
      </c>
    </row>
    <row r="18358" spans="1:8" x14ac:dyDescent="0.25">
      <c r="A18358" t="s">
        <v>16</v>
      </c>
      <c r="B18358" t="s">
        <v>1326</v>
      </c>
    </row>
    <row r="18359" spans="1:8" x14ac:dyDescent="0.25">
      <c r="A18359" t="s">
        <v>17</v>
      </c>
      <c r="B18359" t="s">
        <v>1326</v>
      </c>
    </row>
    <row r="18360" spans="1:8" x14ac:dyDescent="0.25">
      <c r="A18360" t="s">
        <v>18</v>
      </c>
      <c r="B18360" t="s">
        <v>1326</v>
      </c>
    </row>
    <row r="18361" spans="1:8" x14ac:dyDescent="0.25">
      <c r="A18361" t="str">
        <f xml:space="preserve"> $H$18353</f>
        <v>&lt;flags count_in_cargo="0" count_in_hoarder="0" count_in_map="1" count_in_player="0" crafted="0" deloot="0"/&gt;</v>
      </c>
      <c r="B18361" t="s">
        <v>1326</v>
      </c>
    </row>
    <row r="18362" spans="1:8" x14ac:dyDescent="0.25">
      <c r="A18362" t="str">
        <f>"&lt;category name=" &amp;"""" &amp;$C$18353&amp;"""/&gt;"</f>
        <v>&lt;category name="tools"/&gt;</v>
      </c>
      <c r="B18362" t="s">
        <v>1326</v>
      </c>
    </row>
    <row r="18363" spans="1:8" x14ac:dyDescent="0.25">
      <c r="A18363" t="s">
        <v>20</v>
      </c>
      <c r="B18363" t="s">
        <v>1326</v>
      </c>
    </row>
    <row r="18364" spans="1:8" x14ac:dyDescent="0.25">
      <c r="A18364" t="s">
        <v>55</v>
      </c>
      <c r="B18364" t="s">
        <v>1326</v>
      </c>
    </row>
    <row r="18365" spans="1:8" x14ac:dyDescent="0.25">
      <c r="A18365" t="s">
        <v>56</v>
      </c>
      <c r="B18365" t="s">
        <v>1326</v>
      </c>
    </row>
    <row r="18366" spans="1:8" x14ac:dyDescent="0.25">
      <c r="A18366" t="s">
        <v>22</v>
      </c>
      <c r="B18366" t="s">
        <v>1326</v>
      </c>
    </row>
    <row r="18367" spans="1:8" x14ac:dyDescent="0.25">
      <c r="A18367" t="s">
        <v>190</v>
      </c>
      <c r="B18367" t="s">
        <v>1327</v>
      </c>
      <c r="C18367" t="s">
        <v>426</v>
      </c>
      <c r="D18367">
        <v>8</v>
      </c>
      <c r="E18367">
        <v>7200</v>
      </c>
      <c r="F18367">
        <v>0</v>
      </c>
      <c r="G18367">
        <v>2</v>
      </c>
      <c r="H18367" t="s">
        <v>19</v>
      </c>
    </row>
    <row r="18368" spans="1:8" x14ac:dyDescent="0.25">
      <c r="A18368" t="str">
        <f>"&lt;nominal&gt;" &amp;$D$18367&amp;"&lt;/nominal&gt;"</f>
        <v>&lt;nominal&gt;8&lt;/nominal&gt;</v>
      </c>
      <c r="B18368" t="s">
        <v>1327</v>
      </c>
    </row>
    <row r="18369" spans="1:8" x14ac:dyDescent="0.25">
      <c r="A18369" t="str">
        <f>"&lt;lifetime&gt;" &amp;$E$18367&amp;"&lt;/lifetime&gt;"</f>
        <v>&lt;lifetime&gt;7200&lt;/lifetime&gt;</v>
      </c>
      <c r="B18369" t="s">
        <v>1327</v>
      </c>
    </row>
    <row r="18370" spans="1:8" x14ac:dyDescent="0.25">
      <c r="A18370" t="str">
        <f>"&lt;restock&gt;" &amp;$F$18367&amp;"&lt;/restock&gt;"</f>
        <v>&lt;restock&gt;0&lt;/restock&gt;</v>
      </c>
      <c r="B18370" t="s">
        <v>1327</v>
      </c>
    </row>
    <row r="18371" spans="1:8" x14ac:dyDescent="0.25">
      <c r="A18371" t="str">
        <f>"&lt;min&gt;" &amp;$G$18367&amp;"&lt;/min&gt;"</f>
        <v>&lt;min&gt;2&lt;/min&gt;</v>
      </c>
      <c r="B18371" t="s">
        <v>1327</v>
      </c>
    </row>
    <row r="18372" spans="1:8" x14ac:dyDescent="0.25">
      <c r="A18372" t="s">
        <v>16</v>
      </c>
      <c r="B18372" t="s">
        <v>1327</v>
      </c>
    </row>
    <row r="18373" spans="1:8" x14ac:dyDescent="0.25">
      <c r="A18373" t="s">
        <v>17</v>
      </c>
      <c r="B18373" t="s">
        <v>1327</v>
      </c>
    </row>
    <row r="18374" spans="1:8" x14ac:dyDescent="0.25">
      <c r="A18374" t="s">
        <v>18</v>
      </c>
      <c r="B18374" t="s">
        <v>1327</v>
      </c>
    </row>
    <row r="18375" spans="1:8" x14ac:dyDescent="0.25">
      <c r="A18375" t="str">
        <f xml:space="preserve"> $H$18367</f>
        <v>&lt;flags count_in_cargo="0" count_in_hoarder="0" count_in_map="1" count_in_player="0" crafted="0" deloot="0"/&gt;</v>
      </c>
      <c r="B18375" t="s">
        <v>1327</v>
      </c>
    </row>
    <row r="18376" spans="1:8" x14ac:dyDescent="0.25">
      <c r="A18376" t="str">
        <f>"&lt;category name=" &amp;"""" &amp;$C$18367&amp;"""/&gt;"</f>
        <v>&lt;category name="tools"/&gt;</v>
      </c>
      <c r="B18376" t="s">
        <v>1327</v>
      </c>
    </row>
    <row r="18377" spans="1:8" x14ac:dyDescent="0.25">
      <c r="A18377" t="s">
        <v>20</v>
      </c>
      <c r="B18377" t="s">
        <v>1327</v>
      </c>
    </row>
    <row r="18378" spans="1:8" x14ac:dyDescent="0.25">
      <c r="A18378" t="s">
        <v>55</v>
      </c>
      <c r="B18378" t="s">
        <v>1327</v>
      </c>
    </row>
    <row r="18379" spans="1:8" x14ac:dyDescent="0.25">
      <c r="A18379" t="s">
        <v>56</v>
      </c>
      <c r="B18379" t="s">
        <v>1327</v>
      </c>
    </row>
    <row r="18380" spans="1:8" x14ac:dyDescent="0.25">
      <c r="A18380" t="s">
        <v>22</v>
      </c>
      <c r="B18380" t="s">
        <v>1327</v>
      </c>
    </row>
    <row r="18381" spans="1:8" x14ac:dyDescent="0.25">
      <c r="A18381" t="s">
        <v>191</v>
      </c>
      <c r="B18381" t="s">
        <v>1328</v>
      </c>
      <c r="C18381" t="s">
        <v>426</v>
      </c>
      <c r="D18381">
        <v>8</v>
      </c>
      <c r="E18381">
        <v>7200</v>
      </c>
      <c r="F18381">
        <v>0</v>
      </c>
      <c r="G18381">
        <v>2</v>
      </c>
      <c r="H18381" t="s">
        <v>19</v>
      </c>
    </row>
    <row r="18382" spans="1:8" x14ac:dyDescent="0.25">
      <c r="A18382" t="str">
        <f>"&lt;nominal&gt;" &amp;$D$18381&amp;"&lt;/nominal&gt;"</f>
        <v>&lt;nominal&gt;8&lt;/nominal&gt;</v>
      </c>
      <c r="B18382" t="s">
        <v>1328</v>
      </c>
    </row>
    <row r="18383" spans="1:8" x14ac:dyDescent="0.25">
      <c r="A18383" t="str">
        <f>"&lt;lifetime&gt;" &amp;$E$18381&amp;"&lt;/lifetime&gt;"</f>
        <v>&lt;lifetime&gt;7200&lt;/lifetime&gt;</v>
      </c>
      <c r="B18383" t="s">
        <v>1328</v>
      </c>
    </row>
    <row r="18384" spans="1:8" x14ac:dyDescent="0.25">
      <c r="A18384" t="str">
        <f>"&lt;restock&gt;" &amp;$F$18381&amp;"&lt;/restock&gt;"</f>
        <v>&lt;restock&gt;0&lt;/restock&gt;</v>
      </c>
      <c r="B18384" t="s">
        <v>1328</v>
      </c>
    </row>
    <row r="18385" spans="1:8" x14ac:dyDescent="0.25">
      <c r="A18385" t="str">
        <f>"&lt;min&gt;" &amp;$G$18381&amp;"&lt;/min&gt;"</f>
        <v>&lt;min&gt;2&lt;/min&gt;</v>
      </c>
      <c r="B18385" t="s">
        <v>1328</v>
      </c>
    </row>
    <row r="18386" spans="1:8" x14ac:dyDescent="0.25">
      <c r="A18386" t="s">
        <v>16</v>
      </c>
      <c r="B18386" t="s">
        <v>1328</v>
      </c>
    </row>
    <row r="18387" spans="1:8" x14ac:dyDescent="0.25">
      <c r="A18387" t="s">
        <v>17</v>
      </c>
      <c r="B18387" t="s">
        <v>1328</v>
      </c>
    </row>
    <row r="18388" spans="1:8" x14ac:dyDescent="0.25">
      <c r="A18388" t="s">
        <v>18</v>
      </c>
      <c r="B18388" t="s">
        <v>1328</v>
      </c>
    </row>
    <row r="18389" spans="1:8" x14ac:dyDescent="0.25">
      <c r="A18389" t="str">
        <f xml:space="preserve"> $H$18381</f>
        <v>&lt;flags count_in_cargo="0" count_in_hoarder="0" count_in_map="1" count_in_player="0" crafted="0" deloot="0"/&gt;</v>
      </c>
      <c r="B18389" t="s">
        <v>1328</v>
      </c>
    </row>
    <row r="18390" spans="1:8" x14ac:dyDescent="0.25">
      <c r="A18390" t="str">
        <f>"&lt;category name=" &amp;"""" &amp;$C$18381&amp;"""/&gt;"</f>
        <v>&lt;category name="tools"/&gt;</v>
      </c>
      <c r="B18390" t="s">
        <v>1328</v>
      </c>
    </row>
    <row r="18391" spans="1:8" x14ac:dyDescent="0.25">
      <c r="A18391" t="s">
        <v>20</v>
      </c>
      <c r="B18391" t="s">
        <v>1328</v>
      </c>
    </row>
    <row r="18392" spans="1:8" x14ac:dyDescent="0.25">
      <c r="A18392" t="s">
        <v>55</v>
      </c>
      <c r="B18392" t="s">
        <v>1328</v>
      </c>
    </row>
    <row r="18393" spans="1:8" x14ac:dyDescent="0.25">
      <c r="A18393" t="s">
        <v>56</v>
      </c>
      <c r="B18393" t="s">
        <v>1328</v>
      </c>
    </row>
    <row r="18394" spans="1:8" x14ac:dyDescent="0.25">
      <c r="A18394" t="s">
        <v>22</v>
      </c>
      <c r="B18394" t="s">
        <v>1328</v>
      </c>
    </row>
    <row r="18395" spans="1:8" x14ac:dyDescent="0.25">
      <c r="A18395" t="s">
        <v>192</v>
      </c>
      <c r="B18395" t="s">
        <v>1329</v>
      </c>
      <c r="C18395" t="s">
        <v>426</v>
      </c>
      <c r="D18395">
        <v>8</v>
      </c>
      <c r="E18395">
        <v>7200</v>
      </c>
      <c r="F18395">
        <v>0</v>
      </c>
      <c r="G18395">
        <v>2</v>
      </c>
      <c r="H18395" t="s">
        <v>19</v>
      </c>
    </row>
    <row r="18396" spans="1:8" x14ac:dyDescent="0.25">
      <c r="A18396" t="str">
        <f>"&lt;nominal&gt;" &amp;$D$18395&amp;"&lt;/nominal&gt;"</f>
        <v>&lt;nominal&gt;8&lt;/nominal&gt;</v>
      </c>
      <c r="B18396" t="s">
        <v>1329</v>
      </c>
    </row>
    <row r="18397" spans="1:8" x14ac:dyDescent="0.25">
      <c r="A18397" t="str">
        <f>"&lt;lifetime&gt;" &amp;$E$18395&amp;"&lt;/lifetime&gt;"</f>
        <v>&lt;lifetime&gt;7200&lt;/lifetime&gt;</v>
      </c>
      <c r="B18397" t="s">
        <v>1329</v>
      </c>
    </row>
    <row r="18398" spans="1:8" x14ac:dyDescent="0.25">
      <c r="A18398" t="str">
        <f>"&lt;restock&gt;" &amp;$F$18395&amp;"&lt;/restock&gt;"</f>
        <v>&lt;restock&gt;0&lt;/restock&gt;</v>
      </c>
      <c r="B18398" t="s">
        <v>1329</v>
      </c>
    </row>
    <row r="18399" spans="1:8" x14ac:dyDescent="0.25">
      <c r="A18399" t="str">
        <f>"&lt;min&gt;" &amp;$G$18395&amp;"&lt;/min&gt;"</f>
        <v>&lt;min&gt;2&lt;/min&gt;</v>
      </c>
      <c r="B18399" t="s">
        <v>1329</v>
      </c>
    </row>
    <row r="18400" spans="1:8" x14ac:dyDescent="0.25">
      <c r="A18400" t="s">
        <v>16</v>
      </c>
      <c r="B18400" t="s">
        <v>1329</v>
      </c>
    </row>
    <row r="18401" spans="1:8" x14ac:dyDescent="0.25">
      <c r="A18401" t="s">
        <v>17</v>
      </c>
      <c r="B18401" t="s">
        <v>1329</v>
      </c>
    </row>
    <row r="18402" spans="1:8" x14ac:dyDescent="0.25">
      <c r="A18402" t="s">
        <v>18</v>
      </c>
      <c r="B18402" t="s">
        <v>1329</v>
      </c>
    </row>
    <row r="18403" spans="1:8" x14ac:dyDescent="0.25">
      <c r="A18403" t="str">
        <f xml:space="preserve"> $H$18395</f>
        <v>&lt;flags count_in_cargo="0" count_in_hoarder="0" count_in_map="1" count_in_player="0" crafted="0" deloot="0"/&gt;</v>
      </c>
      <c r="B18403" t="s">
        <v>1329</v>
      </c>
    </row>
    <row r="18404" spans="1:8" x14ac:dyDescent="0.25">
      <c r="A18404" t="str">
        <f>"&lt;category name=" &amp;"""" &amp;$C$18395&amp;"""/&gt;"</f>
        <v>&lt;category name="tools"/&gt;</v>
      </c>
      <c r="B18404" t="s">
        <v>1329</v>
      </c>
    </row>
    <row r="18405" spans="1:8" x14ac:dyDescent="0.25">
      <c r="A18405" t="s">
        <v>20</v>
      </c>
      <c r="B18405" t="s">
        <v>1329</v>
      </c>
    </row>
    <row r="18406" spans="1:8" x14ac:dyDescent="0.25">
      <c r="A18406" t="s">
        <v>55</v>
      </c>
      <c r="B18406" t="s">
        <v>1329</v>
      </c>
    </row>
    <row r="18407" spans="1:8" x14ac:dyDescent="0.25">
      <c r="A18407" t="s">
        <v>56</v>
      </c>
      <c r="B18407" t="s">
        <v>1329</v>
      </c>
    </row>
    <row r="18408" spans="1:8" x14ac:dyDescent="0.25">
      <c r="A18408" t="s">
        <v>22</v>
      </c>
      <c r="B18408" t="s">
        <v>1329</v>
      </c>
    </row>
    <row r="18409" spans="1:8" x14ac:dyDescent="0.25">
      <c r="A18409" t="s">
        <v>193</v>
      </c>
      <c r="B18409" t="s">
        <v>1330</v>
      </c>
      <c r="C18409" t="s">
        <v>426</v>
      </c>
      <c r="D18409">
        <v>8</v>
      </c>
      <c r="E18409">
        <v>7200</v>
      </c>
      <c r="F18409">
        <v>0</v>
      </c>
      <c r="G18409">
        <v>2</v>
      </c>
      <c r="H18409" t="s">
        <v>19</v>
      </c>
    </row>
    <row r="18410" spans="1:8" x14ac:dyDescent="0.25">
      <c r="A18410" t="str">
        <f>"&lt;nominal&gt;" &amp;$D$18409&amp;"&lt;/nominal&gt;"</f>
        <v>&lt;nominal&gt;8&lt;/nominal&gt;</v>
      </c>
      <c r="B18410" t="s">
        <v>1330</v>
      </c>
    </row>
    <row r="18411" spans="1:8" x14ac:dyDescent="0.25">
      <c r="A18411" t="str">
        <f>"&lt;lifetime&gt;" &amp;$E$18409&amp;"&lt;/lifetime&gt;"</f>
        <v>&lt;lifetime&gt;7200&lt;/lifetime&gt;</v>
      </c>
      <c r="B18411" t="s">
        <v>1330</v>
      </c>
    </row>
    <row r="18412" spans="1:8" x14ac:dyDescent="0.25">
      <c r="A18412" t="str">
        <f>"&lt;restock&gt;" &amp;$F$18409&amp;"&lt;/restock&gt;"</f>
        <v>&lt;restock&gt;0&lt;/restock&gt;</v>
      </c>
      <c r="B18412" t="s">
        <v>1330</v>
      </c>
    </row>
    <row r="18413" spans="1:8" x14ac:dyDescent="0.25">
      <c r="A18413" t="str">
        <f>"&lt;min&gt;" &amp;$G$18409&amp;"&lt;/min&gt;"</f>
        <v>&lt;min&gt;2&lt;/min&gt;</v>
      </c>
      <c r="B18413" t="s">
        <v>1330</v>
      </c>
    </row>
    <row r="18414" spans="1:8" x14ac:dyDescent="0.25">
      <c r="A18414" t="s">
        <v>16</v>
      </c>
      <c r="B18414" t="s">
        <v>1330</v>
      </c>
    </row>
    <row r="18415" spans="1:8" x14ac:dyDescent="0.25">
      <c r="A18415" t="s">
        <v>17</v>
      </c>
      <c r="B18415" t="s">
        <v>1330</v>
      </c>
    </row>
    <row r="18416" spans="1:8" x14ac:dyDescent="0.25">
      <c r="A18416" t="s">
        <v>18</v>
      </c>
      <c r="B18416" t="s">
        <v>1330</v>
      </c>
    </row>
    <row r="18417" spans="1:8" x14ac:dyDescent="0.25">
      <c r="A18417" t="str">
        <f xml:space="preserve"> $H$18409</f>
        <v>&lt;flags count_in_cargo="0" count_in_hoarder="0" count_in_map="1" count_in_player="0" crafted="0" deloot="0"/&gt;</v>
      </c>
      <c r="B18417" t="s">
        <v>1330</v>
      </c>
    </row>
    <row r="18418" spans="1:8" x14ac:dyDescent="0.25">
      <c r="A18418" t="str">
        <f>"&lt;category name=" &amp;"""" &amp;$C$18409&amp;"""/&gt;"</f>
        <v>&lt;category name="tools"/&gt;</v>
      </c>
      <c r="B18418" t="s">
        <v>1330</v>
      </c>
    </row>
    <row r="18419" spans="1:8" x14ac:dyDescent="0.25">
      <c r="A18419" t="s">
        <v>20</v>
      </c>
      <c r="B18419" t="s">
        <v>1330</v>
      </c>
    </row>
    <row r="18420" spans="1:8" x14ac:dyDescent="0.25">
      <c r="A18420" t="s">
        <v>55</v>
      </c>
      <c r="B18420" t="s">
        <v>1330</v>
      </c>
    </row>
    <row r="18421" spans="1:8" x14ac:dyDescent="0.25">
      <c r="A18421" t="s">
        <v>56</v>
      </c>
      <c r="B18421" t="s">
        <v>1330</v>
      </c>
    </row>
    <row r="18422" spans="1:8" x14ac:dyDescent="0.25">
      <c r="A18422" t="s">
        <v>22</v>
      </c>
      <c r="B18422" t="s">
        <v>1330</v>
      </c>
    </row>
    <row r="18423" spans="1:8" x14ac:dyDescent="0.25">
      <c r="A18423" t="s">
        <v>194</v>
      </c>
      <c r="B18423" t="s">
        <v>1331</v>
      </c>
      <c r="C18423" t="s">
        <v>426</v>
      </c>
      <c r="D18423">
        <v>8</v>
      </c>
      <c r="E18423">
        <v>7200</v>
      </c>
      <c r="F18423">
        <v>0</v>
      </c>
      <c r="G18423">
        <v>2</v>
      </c>
      <c r="H18423" t="s">
        <v>19</v>
      </c>
    </row>
    <row r="18424" spans="1:8" x14ac:dyDescent="0.25">
      <c r="A18424" t="str">
        <f>"&lt;nominal&gt;" &amp;$D$18423&amp;"&lt;/nominal&gt;"</f>
        <v>&lt;nominal&gt;8&lt;/nominal&gt;</v>
      </c>
      <c r="B18424" t="s">
        <v>1331</v>
      </c>
    </row>
    <row r="18425" spans="1:8" x14ac:dyDescent="0.25">
      <c r="A18425" t="str">
        <f>"&lt;lifetime&gt;" &amp;$E$18423&amp;"&lt;/lifetime&gt;"</f>
        <v>&lt;lifetime&gt;7200&lt;/lifetime&gt;</v>
      </c>
      <c r="B18425" t="s">
        <v>1331</v>
      </c>
    </row>
    <row r="18426" spans="1:8" x14ac:dyDescent="0.25">
      <c r="A18426" t="str">
        <f>"&lt;restock&gt;" &amp;$F$18423&amp;"&lt;/restock&gt;"</f>
        <v>&lt;restock&gt;0&lt;/restock&gt;</v>
      </c>
      <c r="B18426" t="s">
        <v>1331</v>
      </c>
    </row>
    <row r="18427" spans="1:8" x14ac:dyDescent="0.25">
      <c r="A18427" t="str">
        <f>"&lt;min&gt;" &amp;$G$18423&amp;"&lt;/min&gt;"</f>
        <v>&lt;min&gt;2&lt;/min&gt;</v>
      </c>
      <c r="B18427" t="s">
        <v>1331</v>
      </c>
    </row>
    <row r="18428" spans="1:8" x14ac:dyDescent="0.25">
      <c r="A18428" t="s">
        <v>16</v>
      </c>
      <c r="B18428" t="s">
        <v>1331</v>
      </c>
    </row>
    <row r="18429" spans="1:8" x14ac:dyDescent="0.25">
      <c r="A18429" t="s">
        <v>17</v>
      </c>
      <c r="B18429" t="s">
        <v>1331</v>
      </c>
    </row>
    <row r="18430" spans="1:8" x14ac:dyDescent="0.25">
      <c r="A18430" t="s">
        <v>18</v>
      </c>
      <c r="B18430" t="s">
        <v>1331</v>
      </c>
    </row>
    <row r="18431" spans="1:8" x14ac:dyDescent="0.25">
      <c r="A18431" t="str">
        <f xml:space="preserve"> $H$18423</f>
        <v>&lt;flags count_in_cargo="0" count_in_hoarder="0" count_in_map="1" count_in_player="0" crafted="0" deloot="0"/&gt;</v>
      </c>
      <c r="B18431" t="s">
        <v>1331</v>
      </c>
    </row>
    <row r="18432" spans="1:8" x14ac:dyDescent="0.25">
      <c r="A18432" t="str">
        <f>"&lt;category name=" &amp;"""" &amp;$C$18423&amp;"""/&gt;"</f>
        <v>&lt;category name="tools"/&gt;</v>
      </c>
      <c r="B18432" t="s">
        <v>1331</v>
      </c>
    </row>
    <row r="18433" spans="1:8" x14ac:dyDescent="0.25">
      <c r="A18433" t="s">
        <v>20</v>
      </c>
      <c r="B18433" t="s">
        <v>1331</v>
      </c>
    </row>
    <row r="18434" spans="1:8" x14ac:dyDescent="0.25">
      <c r="A18434" t="s">
        <v>55</v>
      </c>
      <c r="B18434" t="s">
        <v>1331</v>
      </c>
    </row>
    <row r="18435" spans="1:8" x14ac:dyDescent="0.25">
      <c r="A18435" t="s">
        <v>56</v>
      </c>
      <c r="B18435" t="s">
        <v>1331</v>
      </c>
    </row>
    <row r="18436" spans="1:8" x14ac:dyDescent="0.25">
      <c r="A18436" t="s">
        <v>22</v>
      </c>
      <c r="B18436" t="s">
        <v>1331</v>
      </c>
    </row>
    <row r="18437" spans="1:8" x14ac:dyDescent="0.25">
      <c r="A18437" t="s">
        <v>195</v>
      </c>
      <c r="B18437" t="s">
        <v>1332</v>
      </c>
      <c r="C18437" t="s">
        <v>426</v>
      </c>
      <c r="D18437">
        <v>8</v>
      </c>
      <c r="E18437">
        <v>7200</v>
      </c>
      <c r="F18437">
        <v>0</v>
      </c>
      <c r="G18437">
        <v>2</v>
      </c>
      <c r="H18437" t="s">
        <v>19</v>
      </c>
    </row>
    <row r="18438" spans="1:8" x14ac:dyDescent="0.25">
      <c r="A18438" t="str">
        <f>"&lt;nominal&gt;" &amp;$D$18437&amp;"&lt;/nominal&gt;"</f>
        <v>&lt;nominal&gt;8&lt;/nominal&gt;</v>
      </c>
      <c r="B18438" t="s">
        <v>1332</v>
      </c>
    </row>
    <row r="18439" spans="1:8" x14ac:dyDescent="0.25">
      <c r="A18439" t="str">
        <f>"&lt;lifetime&gt;" &amp;$E$18437&amp;"&lt;/lifetime&gt;"</f>
        <v>&lt;lifetime&gt;7200&lt;/lifetime&gt;</v>
      </c>
      <c r="B18439" t="s">
        <v>1332</v>
      </c>
    </row>
    <row r="18440" spans="1:8" x14ac:dyDescent="0.25">
      <c r="A18440" t="str">
        <f>"&lt;restock&gt;" &amp;$F$18437&amp;"&lt;/restock&gt;"</f>
        <v>&lt;restock&gt;0&lt;/restock&gt;</v>
      </c>
      <c r="B18440" t="s">
        <v>1332</v>
      </c>
    </row>
    <row r="18441" spans="1:8" x14ac:dyDescent="0.25">
      <c r="A18441" t="str">
        <f>"&lt;min&gt;" &amp;$G$18437&amp;"&lt;/min&gt;"</f>
        <v>&lt;min&gt;2&lt;/min&gt;</v>
      </c>
      <c r="B18441" t="s">
        <v>1332</v>
      </c>
    </row>
    <row r="18442" spans="1:8" x14ac:dyDescent="0.25">
      <c r="A18442" t="s">
        <v>16</v>
      </c>
      <c r="B18442" t="s">
        <v>1332</v>
      </c>
    </row>
    <row r="18443" spans="1:8" x14ac:dyDescent="0.25">
      <c r="A18443" t="s">
        <v>17</v>
      </c>
      <c r="B18443" t="s">
        <v>1332</v>
      </c>
    </row>
    <row r="18444" spans="1:8" x14ac:dyDescent="0.25">
      <c r="A18444" t="s">
        <v>18</v>
      </c>
      <c r="B18444" t="s">
        <v>1332</v>
      </c>
    </row>
    <row r="18445" spans="1:8" x14ac:dyDescent="0.25">
      <c r="A18445" t="str">
        <f xml:space="preserve"> $H$18437</f>
        <v>&lt;flags count_in_cargo="0" count_in_hoarder="0" count_in_map="1" count_in_player="0" crafted="0" deloot="0"/&gt;</v>
      </c>
      <c r="B18445" t="s">
        <v>1332</v>
      </c>
    </row>
    <row r="18446" spans="1:8" x14ac:dyDescent="0.25">
      <c r="A18446" t="str">
        <f>"&lt;category name=" &amp;"""" &amp;$C$18437&amp;"""/&gt;"</f>
        <v>&lt;category name="tools"/&gt;</v>
      </c>
      <c r="B18446" t="s">
        <v>1332</v>
      </c>
    </row>
    <row r="18447" spans="1:8" x14ac:dyDescent="0.25">
      <c r="A18447" t="s">
        <v>20</v>
      </c>
      <c r="B18447" t="s">
        <v>1332</v>
      </c>
    </row>
    <row r="18448" spans="1:8" x14ac:dyDescent="0.25">
      <c r="A18448" t="s">
        <v>55</v>
      </c>
      <c r="B18448" t="s">
        <v>1332</v>
      </c>
    </row>
    <row r="18449" spans="1:8" x14ac:dyDescent="0.25">
      <c r="A18449" t="s">
        <v>56</v>
      </c>
      <c r="B18449" t="s">
        <v>1332</v>
      </c>
    </row>
    <row r="18450" spans="1:8" x14ac:dyDescent="0.25">
      <c r="A18450" t="s">
        <v>22</v>
      </c>
      <c r="B18450" t="s">
        <v>1332</v>
      </c>
    </row>
    <row r="18451" spans="1:8" x14ac:dyDescent="0.25">
      <c r="A18451" t="s">
        <v>196</v>
      </c>
      <c r="B18451" t="s">
        <v>1333</v>
      </c>
      <c r="C18451" t="s">
        <v>426</v>
      </c>
      <c r="D18451">
        <v>8</v>
      </c>
      <c r="E18451">
        <v>7200</v>
      </c>
      <c r="F18451">
        <v>0</v>
      </c>
      <c r="G18451">
        <v>2</v>
      </c>
      <c r="H18451" t="s">
        <v>19</v>
      </c>
    </row>
    <row r="18452" spans="1:8" x14ac:dyDescent="0.25">
      <c r="A18452" t="str">
        <f>"&lt;nominal&gt;" &amp;$D$18451&amp;"&lt;/nominal&gt;"</f>
        <v>&lt;nominal&gt;8&lt;/nominal&gt;</v>
      </c>
      <c r="B18452" t="s">
        <v>1333</v>
      </c>
    </row>
    <row r="18453" spans="1:8" x14ac:dyDescent="0.25">
      <c r="A18453" t="str">
        <f>"&lt;lifetime&gt;" &amp;$E$18451&amp;"&lt;/lifetime&gt;"</f>
        <v>&lt;lifetime&gt;7200&lt;/lifetime&gt;</v>
      </c>
      <c r="B18453" t="s">
        <v>1333</v>
      </c>
    </row>
    <row r="18454" spans="1:8" x14ac:dyDescent="0.25">
      <c r="A18454" t="str">
        <f>"&lt;restock&gt;" &amp;$F$18451&amp;"&lt;/restock&gt;"</f>
        <v>&lt;restock&gt;0&lt;/restock&gt;</v>
      </c>
      <c r="B18454" t="s">
        <v>1333</v>
      </c>
    </row>
    <row r="18455" spans="1:8" x14ac:dyDescent="0.25">
      <c r="A18455" t="str">
        <f>"&lt;min&gt;" &amp;$G$18451&amp;"&lt;/min&gt;"</f>
        <v>&lt;min&gt;2&lt;/min&gt;</v>
      </c>
      <c r="B18455" t="s">
        <v>1333</v>
      </c>
    </row>
    <row r="18456" spans="1:8" x14ac:dyDescent="0.25">
      <c r="A18456" t="s">
        <v>16</v>
      </c>
      <c r="B18456" t="s">
        <v>1333</v>
      </c>
    </row>
    <row r="18457" spans="1:8" x14ac:dyDescent="0.25">
      <c r="A18457" t="s">
        <v>17</v>
      </c>
      <c r="B18457" t="s">
        <v>1333</v>
      </c>
    </row>
    <row r="18458" spans="1:8" x14ac:dyDescent="0.25">
      <c r="A18458" t="s">
        <v>18</v>
      </c>
      <c r="B18458" t="s">
        <v>1333</v>
      </c>
    </row>
    <row r="18459" spans="1:8" x14ac:dyDescent="0.25">
      <c r="A18459" t="str">
        <f xml:space="preserve"> $H$18451</f>
        <v>&lt;flags count_in_cargo="0" count_in_hoarder="0" count_in_map="1" count_in_player="0" crafted="0" deloot="0"/&gt;</v>
      </c>
      <c r="B18459" t="s">
        <v>1333</v>
      </c>
    </row>
    <row r="18460" spans="1:8" x14ac:dyDescent="0.25">
      <c r="A18460" t="str">
        <f>"&lt;category name=" &amp;"""" &amp;$C$18451&amp;"""/&gt;"</f>
        <v>&lt;category name="tools"/&gt;</v>
      </c>
      <c r="B18460" t="s">
        <v>1333</v>
      </c>
    </row>
    <row r="18461" spans="1:8" x14ac:dyDescent="0.25">
      <c r="A18461" t="s">
        <v>20</v>
      </c>
      <c r="B18461" t="s">
        <v>1333</v>
      </c>
    </row>
    <row r="18462" spans="1:8" x14ac:dyDescent="0.25">
      <c r="A18462" t="s">
        <v>55</v>
      </c>
      <c r="B18462" t="s">
        <v>1333</v>
      </c>
    </row>
    <row r="18463" spans="1:8" x14ac:dyDescent="0.25">
      <c r="A18463" t="s">
        <v>56</v>
      </c>
      <c r="B18463" t="s">
        <v>1333</v>
      </c>
    </row>
    <row r="18464" spans="1:8" x14ac:dyDescent="0.25">
      <c r="A18464" t="s">
        <v>22</v>
      </c>
      <c r="B18464" t="s">
        <v>1333</v>
      </c>
    </row>
    <row r="18465" spans="1:8" x14ac:dyDescent="0.25">
      <c r="A18465" t="s">
        <v>197</v>
      </c>
      <c r="B18465" t="s">
        <v>1334</v>
      </c>
      <c r="C18465" t="s">
        <v>426</v>
      </c>
      <c r="D18465">
        <v>8</v>
      </c>
      <c r="E18465">
        <v>7200</v>
      </c>
      <c r="F18465">
        <v>0</v>
      </c>
      <c r="G18465">
        <v>2</v>
      </c>
      <c r="H18465" t="s">
        <v>19</v>
      </c>
    </row>
    <row r="18466" spans="1:8" x14ac:dyDescent="0.25">
      <c r="A18466" t="str">
        <f>"&lt;nominal&gt;" &amp;$D$18465&amp;"&lt;/nominal&gt;"</f>
        <v>&lt;nominal&gt;8&lt;/nominal&gt;</v>
      </c>
      <c r="B18466" t="s">
        <v>1334</v>
      </c>
    </row>
    <row r="18467" spans="1:8" x14ac:dyDescent="0.25">
      <c r="A18467" t="str">
        <f>"&lt;lifetime&gt;" &amp;$E$18465&amp;"&lt;/lifetime&gt;"</f>
        <v>&lt;lifetime&gt;7200&lt;/lifetime&gt;</v>
      </c>
      <c r="B18467" t="s">
        <v>1334</v>
      </c>
    </row>
    <row r="18468" spans="1:8" x14ac:dyDescent="0.25">
      <c r="A18468" t="str">
        <f>"&lt;restock&gt;" &amp;$F$18465&amp;"&lt;/restock&gt;"</f>
        <v>&lt;restock&gt;0&lt;/restock&gt;</v>
      </c>
      <c r="B18468" t="s">
        <v>1334</v>
      </c>
    </row>
    <row r="18469" spans="1:8" x14ac:dyDescent="0.25">
      <c r="A18469" t="str">
        <f>"&lt;min&gt;" &amp;$G$18465&amp;"&lt;/min&gt;"</f>
        <v>&lt;min&gt;2&lt;/min&gt;</v>
      </c>
      <c r="B18469" t="s">
        <v>1334</v>
      </c>
    </row>
    <row r="18470" spans="1:8" x14ac:dyDescent="0.25">
      <c r="A18470" t="s">
        <v>16</v>
      </c>
      <c r="B18470" t="s">
        <v>1334</v>
      </c>
    </row>
    <row r="18471" spans="1:8" x14ac:dyDescent="0.25">
      <c r="A18471" t="s">
        <v>17</v>
      </c>
      <c r="B18471" t="s">
        <v>1334</v>
      </c>
    </row>
    <row r="18472" spans="1:8" x14ac:dyDescent="0.25">
      <c r="A18472" t="s">
        <v>18</v>
      </c>
      <c r="B18472" t="s">
        <v>1334</v>
      </c>
    </row>
    <row r="18473" spans="1:8" x14ac:dyDescent="0.25">
      <c r="A18473" t="str">
        <f xml:space="preserve"> $H$18465</f>
        <v>&lt;flags count_in_cargo="0" count_in_hoarder="0" count_in_map="1" count_in_player="0" crafted="0" deloot="0"/&gt;</v>
      </c>
      <c r="B18473" t="s">
        <v>1334</v>
      </c>
    </row>
    <row r="18474" spans="1:8" x14ac:dyDescent="0.25">
      <c r="A18474" t="str">
        <f>"&lt;category name=" &amp;"""" &amp;$C$18465&amp;"""/&gt;"</f>
        <v>&lt;category name="tools"/&gt;</v>
      </c>
      <c r="B18474" t="s">
        <v>1334</v>
      </c>
    </row>
    <row r="18475" spans="1:8" x14ac:dyDescent="0.25">
      <c r="A18475" t="s">
        <v>20</v>
      </c>
      <c r="B18475" t="s">
        <v>1334</v>
      </c>
    </row>
    <row r="18476" spans="1:8" x14ac:dyDescent="0.25">
      <c r="A18476" t="s">
        <v>55</v>
      </c>
      <c r="B18476" t="s">
        <v>1334</v>
      </c>
    </row>
    <row r="18477" spans="1:8" x14ac:dyDescent="0.25">
      <c r="A18477" t="s">
        <v>56</v>
      </c>
      <c r="B18477" t="s">
        <v>1334</v>
      </c>
    </row>
    <row r="18478" spans="1:8" x14ac:dyDescent="0.25">
      <c r="A18478" t="s">
        <v>22</v>
      </c>
      <c r="B18478" t="s">
        <v>1334</v>
      </c>
    </row>
    <row r="18479" spans="1:8" x14ac:dyDescent="0.25">
      <c r="A18479" t="s">
        <v>198</v>
      </c>
      <c r="B18479" t="s">
        <v>1335</v>
      </c>
      <c r="C18479" t="s">
        <v>426</v>
      </c>
      <c r="D18479">
        <v>8</v>
      </c>
      <c r="E18479">
        <v>7200</v>
      </c>
      <c r="F18479">
        <v>0</v>
      </c>
      <c r="G18479">
        <v>2</v>
      </c>
      <c r="H18479" t="s">
        <v>19</v>
      </c>
    </row>
    <row r="18480" spans="1:8" x14ac:dyDescent="0.25">
      <c r="A18480" t="str">
        <f>"&lt;nominal&gt;" &amp;$D$18479&amp;"&lt;/nominal&gt;"</f>
        <v>&lt;nominal&gt;8&lt;/nominal&gt;</v>
      </c>
      <c r="B18480" t="s">
        <v>1335</v>
      </c>
    </row>
    <row r="18481" spans="1:8" x14ac:dyDescent="0.25">
      <c r="A18481" t="str">
        <f>"&lt;lifetime&gt;" &amp;$E$18479&amp;"&lt;/lifetime&gt;"</f>
        <v>&lt;lifetime&gt;7200&lt;/lifetime&gt;</v>
      </c>
      <c r="B18481" t="s">
        <v>1335</v>
      </c>
    </row>
    <row r="18482" spans="1:8" x14ac:dyDescent="0.25">
      <c r="A18482" t="str">
        <f>"&lt;restock&gt;" &amp;$F$18479&amp;"&lt;/restock&gt;"</f>
        <v>&lt;restock&gt;0&lt;/restock&gt;</v>
      </c>
      <c r="B18482" t="s">
        <v>1335</v>
      </c>
    </row>
    <row r="18483" spans="1:8" x14ac:dyDescent="0.25">
      <c r="A18483" t="str">
        <f>"&lt;min&gt;" &amp;$G$18479&amp;"&lt;/min&gt;"</f>
        <v>&lt;min&gt;2&lt;/min&gt;</v>
      </c>
      <c r="B18483" t="s">
        <v>1335</v>
      </c>
    </row>
    <row r="18484" spans="1:8" x14ac:dyDescent="0.25">
      <c r="A18484" t="s">
        <v>16</v>
      </c>
      <c r="B18484" t="s">
        <v>1335</v>
      </c>
    </row>
    <row r="18485" spans="1:8" x14ac:dyDescent="0.25">
      <c r="A18485" t="s">
        <v>17</v>
      </c>
      <c r="B18485" t="s">
        <v>1335</v>
      </c>
    </row>
    <row r="18486" spans="1:8" x14ac:dyDescent="0.25">
      <c r="A18486" t="s">
        <v>18</v>
      </c>
      <c r="B18486" t="s">
        <v>1335</v>
      </c>
    </row>
    <row r="18487" spans="1:8" x14ac:dyDescent="0.25">
      <c r="A18487" t="str">
        <f xml:space="preserve"> $H$18479</f>
        <v>&lt;flags count_in_cargo="0" count_in_hoarder="0" count_in_map="1" count_in_player="0" crafted="0" deloot="0"/&gt;</v>
      </c>
      <c r="B18487" t="s">
        <v>1335</v>
      </c>
    </row>
    <row r="18488" spans="1:8" x14ac:dyDescent="0.25">
      <c r="A18488" t="str">
        <f>"&lt;category name=" &amp;"""" &amp;$C$18479&amp;"""/&gt;"</f>
        <v>&lt;category name="tools"/&gt;</v>
      </c>
      <c r="B18488" t="s">
        <v>1335</v>
      </c>
    </row>
    <row r="18489" spans="1:8" x14ac:dyDescent="0.25">
      <c r="A18489" t="s">
        <v>20</v>
      </c>
      <c r="B18489" t="s">
        <v>1335</v>
      </c>
    </row>
    <row r="18490" spans="1:8" x14ac:dyDescent="0.25">
      <c r="A18490" t="s">
        <v>55</v>
      </c>
      <c r="B18490" t="s">
        <v>1335</v>
      </c>
    </row>
    <row r="18491" spans="1:8" x14ac:dyDescent="0.25">
      <c r="A18491" t="s">
        <v>56</v>
      </c>
      <c r="B18491" t="s">
        <v>1335</v>
      </c>
    </row>
    <row r="18492" spans="1:8" x14ac:dyDescent="0.25">
      <c r="A18492" t="s">
        <v>22</v>
      </c>
      <c r="B18492" t="s">
        <v>1335</v>
      </c>
    </row>
    <row r="18493" spans="1:8" x14ac:dyDescent="0.25">
      <c r="A18493" t="s">
        <v>199</v>
      </c>
      <c r="B18493" t="s">
        <v>1336</v>
      </c>
      <c r="C18493" t="s">
        <v>426</v>
      </c>
      <c r="D18493">
        <v>8</v>
      </c>
      <c r="E18493">
        <v>7200</v>
      </c>
      <c r="F18493">
        <v>0</v>
      </c>
      <c r="G18493">
        <v>2</v>
      </c>
      <c r="H18493" t="s">
        <v>19</v>
      </c>
    </row>
    <row r="18494" spans="1:8" x14ac:dyDescent="0.25">
      <c r="A18494" t="str">
        <f>"&lt;nominal&gt;" &amp;$D$18493&amp;"&lt;/nominal&gt;"</f>
        <v>&lt;nominal&gt;8&lt;/nominal&gt;</v>
      </c>
      <c r="B18494" t="s">
        <v>1336</v>
      </c>
    </row>
    <row r="18495" spans="1:8" x14ac:dyDescent="0.25">
      <c r="A18495" t="str">
        <f>"&lt;lifetime&gt;" &amp;$E$18493&amp;"&lt;/lifetime&gt;"</f>
        <v>&lt;lifetime&gt;7200&lt;/lifetime&gt;</v>
      </c>
      <c r="B18495" t="s">
        <v>1336</v>
      </c>
    </row>
    <row r="18496" spans="1:8" x14ac:dyDescent="0.25">
      <c r="A18496" t="str">
        <f>"&lt;restock&gt;" &amp;$F$18493&amp;"&lt;/restock&gt;"</f>
        <v>&lt;restock&gt;0&lt;/restock&gt;</v>
      </c>
      <c r="B18496" t="s">
        <v>1336</v>
      </c>
    </row>
    <row r="18497" spans="1:8" x14ac:dyDescent="0.25">
      <c r="A18497" t="str">
        <f>"&lt;min&gt;" &amp;$G$18493&amp;"&lt;/min&gt;"</f>
        <v>&lt;min&gt;2&lt;/min&gt;</v>
      </c>
      <c r="B18497" t="s">
        <v>1336</v>
      </c>
    </row>
    <row r="18498" spans="1:8" x14ac:dyDescent="0.25">
      <c r="A18498" t="s">
        <v>16</v>
      </c>
      <c r="B18498" t="s">
        <v>1336</v>
      </c>
    </row>
    <row r="18499" spans="1:8" x14ac:dyDescent="0.25">
      <c r="A18499" t="s">
        <v>17</v>
      </c>
      <c r="B18499" t="s">
        <v>1336</v>
      </c>
    </row>
    <row r="18500" spans="1:8" x14ac:dyDescent="0.25">
      <c r="A18500" t="s">
        <v>18</v>
      </c>
      <c r="B18500" t="s">
        <v>1336</v>
      </c>
    </row>
    <row r="18501" spans="1:8" x14ac:dyDescent="0.25">
      <c r="A18501" t="str">
        <f xml:space="preserve"> $H$18493</f>
        <v>&lt;flags count_in_cargo="0" count_in_hoarder="0" count_in_map="1" count_in_player="0" crafted="0" deloot="0"/&gt;</v>
      </c>
      <c r="B18501" t="s">
        <v>1336</v>
      </c>
    </row>
    <row r="18502" spans="1:8" x14ac:dyDescent="0.25">
      <c r="A18502" t="str">
        <f>"&lt;category name=" &amp;"""" &amp;$C$18493&amp;"""/&gt;"</f>
        <v>&lt;category name="tools"/&gt;</v>
      </c>
      <c r="B18502" t="s">
        <v>1336</v>
      </c>
    </row>
    <row r="18503" spans="1:8" x14ac:dyDescent="0.25">
      <c r="A18503" t="s">
        <v>20</v>
      </c>
      <c r="B18503" t="s">
        <v>1336</v>
      </c>
    </row>
    <row r="18504" spans="1:8" x14ac:dyDescent="0.25">
      <c r="A18504" t="s">
        <v>55</v>
      </c>
      <c r="B18504" t="s">
        <v>1336</v>
      </c>
    </row>
    <row r="18505" spans="1:8" x14ac:dyDescent="0.25">
      <c r="A18505" t="s">
        <v>56</v>
      </c>
      <c r="B18505" t="s">
        <v>1336</v>
      </c>
    </row>
    <row r="18506" spans="1:8" x14ac:dyDescent="0.25">
      <c r="A18506" t="s">
        <v>22</v>
      </c>
      <c r="B18506" t="s">
        <v>1336</v>
      </c>
    </row>
    <row r="18507" spans="1:8" x14ac:dyDescent="0.25">
      <c r="A18507" t="s">
        <v>200</v>
      </c>
      <c r="B18507" t="s">
        <v>1337</v>
      </c>
      <c r="C18507" t="s">
        <v>426</v>
      </c>
      <c r="D18507">
        <v>8</v>
      </c>
      <c r="E18507">
        <v>7200</v>
      </c>
      <c r="F18507">
        <v>0</v>
      </c>
      <c r="G18507">
        <v>2</v>
      </c>
      <c r="H18507" t="s">
        <v>19</v>
      </c>
    </row>
    <row r="18508" spans="1:8" x14ac:dyDescent="0.25">
      <c r="A18508" t="str">
        <f>"&lt;nominal&gt;" &amp;$D$18507&amp;"&lt;/nominal&gt;"</f>
        <v>&lt;nominal&gt;8&lt;/nominal&gt;</v>
      </c>
      <c r="B18508" t="s">
        <v>1337</v>
      </c>
    </row>
    <row r="18509" spans="1:8" x14ac:dyDescent="0.25">
      <c r="A18509" t="str">
        <f>"&lt;lifetime&gt;" &amp;$E$18507&amp;"&lt;/lifetime&gt;"</f>
        <v>&lt;lifetime&gt;7200&lt;/lifetime&gt;</v>
      </c>
      <c r="B18509" t="s">
        <v>1337</v>
      </c>
    </row>
    <row r="18510" spans="1:8" x14ac:dyDescent="0.25">
      <c r="A18510" t="str">
        <f>"&lt;restock&gt;" &amp;$F$18507&amp;"&lt;/restock&gt;"</f>
        <v>&lt;restock&gt;0&lt;/restock&gt;</v>
      </c>
      <c r="B18510" t="s">
        <v>1337</v>
      </c>
    </row>
    <row r="18511" spans="1:8" x14ac:dyDescent="0.25">
      <c r="A18511" t="str">
        <f>"&lt;min&gt;" &amp;$G$18507&amp;"&lt;/min&gt;"</f>
        <v>&lt;min&gt;2&lt;/min&gt;</v>
      </c>
      <c r="B18511" t="s">
        <v>1337</v>
      </c>
    </row>
    <row r="18512" spans="1:8" x14ac:dyDescent="0.25">
      <c r="A18512" t="s">
        <v>16</v>
      </c>
      <c r="B18512" t="s">
        <v>1337</v>
      </c>
    </row>
    <row r="18513" spans="1:8" x14ac:dyDescent="0.25">
      <c r="A18513" t="s">
        <v>17</v>
      </c>
      <c r="B18513" t="s">
        <v>1337</v>
      </c>
    </row>
    <row r="18514" spans="1:8" x14ac:dyDescent="0.25">
      <c r="A18514" t="s">
        <v>18</v>
      </c>
      <c r="B18514" t="s">
        <v>1337</v>
      </c>
    </row>
    <row r="18515" spans="1:8" x14ac:dyDescent="0.25">
      <c r="A18515" t="str">
        <f xml:space="preserve"> $H$18507</f>
        <v>&lt;flags count_in_cargo="0" count_in_hoarder="0" count_in_map="1" count_in_player="0" crafted="0" deloot="0"/&gt;</v>
      </c>
      <c r="B18515" t="s">
        <v>1337</v>
      </c>
    </row>
    <row r="18516" spans="1:8" x14ac:dyDescent="0.25">
      <c r="A18516" t="str">
        <f>"&lt;category name=" &amp;"""" &amp;$C$18507&amp;"""/&gt;"</f>
        <v>&lt;category name="tools"/&gt;</v>
      </c>
      <c r="B18516" t="s">
        <v>1337</v>
      </c>
    </row>
    <row r="18517" spans="1:8" x14ac:dyDescent="0.25">
      <c r="A18517" t="s">
        <v>20</v>
      </c>
      <c r="B18517" t="s">
        <v>1337</v>
      </c>
    </row>
    <row r="18518" spans="1:8" x14ac:dyDescent="0.25">
      <c r="A18518" t="s">
        <v>55</v>
      </c>
      <c r="B18518" t="s">
        <v>1337</v>
      </c>
    </row>
    <row r="18519" spans="1:8" x14ac:dyDescent="0.25">
      <c r="A18519" t="s">
        <v>56</v>
      </c>
      <c r="B18519" t="s">
        <v>1337</v>
      </c>
    </row>
    <row r="18520" spans="1:8" x14ac:dyDescent="0.25">
      <c r="A18520" t="s">
        <v>22</v>
      </c>
      <c r="B18520" t="s">
        <v>1337</v>
      </c>
    </row>
    <row r="18521" spans="1:8" x14ac:dyDescent="0.25">
      <c r="A18521" t="s">
        <v>201</v>
      </c>
      <c r="B18521" t="s">
        <v>1338</v>
      </c>
      <c r="C18521" t="s">
        <v>426</v>
      </c>
      <c r="D18521">
        <v>8</v>
      </c>
      <c r="E18521">
        <v>7200</v>
      </c>
      <c r="F18521">
        <v>0</v>
      </c>
      <c r="G18521">
        <v>2</v>
      </c>
      <c r="H18521" t="s">
        <v>19</v>
      </c>
    </row>
    <row r="18522" spans="1:8" x14ac:dyDescent="0.25">
      <c r="A18522" t="str">
        <f>"&lt;nominal&gt;" &amp;$D$18521&amp;"&lt;/nominal&gt;"</f>
        <v>&lt;nominal&gt;8&lt;/nominal&gt;</v>
      </c>
      <c r="B18522" t="s">
        <v>1338</v>
      </c>
    </row>
    <row r="18523" spans="1:8" x14ac:dyDescent="0.25">
      <c r="A18523" t="str">
        <f>"&lt;lifetime&gt;" &amp;$E$18521&amp;"&lt;/lifetime&gt;"</f>
        <v>&lt;lifetime&gt;7200&lt;/lifetime&gt;</v>
      </c>
      <c r="B18523" t="s">
        <v>1338</v>
      </c>
    </row>
    <row r="18524" spans="1:8" x14ac:dyDescent="0.25">
      <c r="A18524" t="str">
        <f>"&lt;restock&gt;" &amp;$F$18521&amp;"&lt;/restock&gt;"</f>
        <v>&lt;restock&gt;0&lt;/restock&gt;</v>
      </c>
      <c r="B18524" t="s">
        <v>1338</v>
      </c>
    </row>
    <row r="18525" spans="1:8" x14ac:dyDescent="0.25">
      <c r="A18525" t="str">
        <f>"&lt;min&gt;" &amp;$G$18521&amp;"&lt;/min&gt;"</f>
        <v>&lt;min&gt;2&lt;/min&gt;</v>
      </c>
      <c r="B18525" t="s">
        <v>1338</v>
      </c>
    </row>
    <row r="18526" spans="1:8" x14ac:dyDescent="0.25">
      <c r="A18526" t="s">
        <v>16</v>
      </c>
      <c r="B18526" t="s">
        <v>1338</v>
      </c>
    </row>
    <row r="18527" spans="1:8" x14ac:dyDescent="0.25">
      <c r="A18527" t="s">
        <v>17</v>
      </c>
      <c r="B18527" t="s">
        <v>1338</v>
      </c>
    </row>
    <row r="18528" spans="1:8" x14ac:dyDescent="0.25">
      <c r="A18528" t="s">
        <v>18</v>
      </c>
      <c r="B18528" t="s">
        <v>1338</v>
      </c>
    </row>
    <row r="18529" spans="1:8" x14ac:dyDescent="0.25">
      <c r="A18529" t="str">
        <f xml:space="preserve"> $H$18521</f>
        <v>&lt;flags count_in_cargo="0" count_in_hoarder="0" count_in_map="1" count_in_player="0" crafted="0" deloot="0"/&gt;</v>
      </c>
      <c r="B18529" t="s">
        <v>1338</v>
      </c>
    </row>
    <row r="18530" spans="1:8" x14ac:dyDescent="0.25">
      <c r="A18530" t="str">
        <f>"&lt;category name=" &amp;"""" &amp;$C$18521&amp;"""/&gt;"</f>
        <v>&lt;category name="tools"/&gt;</v>
      </c>
      <c r="B18530" t="s">
        <v>1338</v>
      </c>
    </row>
    <row r="18531" spans="1:8" x14ac:dyDescent="0.25">
      <c r="A18531" t="s">
        <v>20</v>
      </c>
      <c r="B18531" t="s">
        <v>1338</v>
      </c>
    </row>
    <row r="18532" spans="1:8" x14ac:dyDescent="0.25">
      <c r="A18532" t="s">
        <v>55</v>
      </c>
      <c r="B18532" t="s">
        <v>1338</v>
      </c>
    </row>
    <row r="18533" spans="1:8" x14ac:dyDescent="0.25">
      <c r="A18533" t="s">
        <v>56</v>
      </c>
      <c r="B18533" t="s">
        <v>1338</v>
      </c>
    </row>
    <row r="18534" spans="1:8" x14ac:dyDescent="0.25">
      <c r="A18534" t="s">
        <v>22</v>
      </c>
      <c r="B18534" t="s">
        <v>1338</v>
      </c>
    </row>
    <row r="18535" spans="1:8" x14ac:dyDescent="0.25">
      <c r="A18535" t="s">
        <v>202</v>
      </c>
      <c r="B18535" t="s">
        <v>1339</v>
      </c>
      <c r="C18535" t="s">
        <v>426</v>
      </c>
      <c r="D18535">
        <v>8</v>
      </c>
      <c r="E18535">
        <v>7200</v>
      </c>
      <c r="F18535">
        <v>0</v>
      </c>
      <c r="G18535">
        <v>2</v>
      </c>
      <c r="H18535" t="s">
        <v>19</v>
      </c>
    </row>
    <row r="18536" spans="1:8" x14ac:dyDescent="0.25">
      <c r="A18536" t="str">
        <f>"&lt;nominal&gt;" &amp;$D$18535&amp;"&lt;/nominal&gt;"</f>
        <v>&lt;nominal&gt;8&lt;/nominal&gt;</v>
      </c>
      <c r="B18536" t="s">
        <v>1339</v>
      </c>
    </row>
    <row r="18537" spans="1:8" x14ac:dyDescent="0.25">
      <c r="A18537" t="str">
        <f>"&lt;lifetime&gt;" &amp;$E$18535&amp;"&lt;/lifetime&gt;"</f>
        <v>&lt;lifetime&gt;7200&lt;/lifetime&gt;</v>
      </c>
      <c r="B18537" t="s">
        <v>1339</v>
      </c>
    </row>
    <row r="18538" spans="1:8" x14ac:dyDescent="0.25">
      <c r="A18538" t="str">
        <f>"&lt;restock&gt;" &amp;$F$18535&amp;"&lt;/restock&gt;"</f>
        <v>&lt;restock&gt;0&lt;/restock&gt;</v>
      </c>
      <c r="B18538" t="s">
        <v>1339</v>
      </c>
    </row>
    <row r="18539" spans="1:8" x14ac:dyDescent="0.25">
      <c r="A18539" t="str">
        <f>"&lt;min&gt;" &amp;$G$18535&amp;"&lt;/min&gt;"</f>
        <v>&lt;min&gt;2&lt;/min&gt;</v>
      </c>
      <c r="B18539" t="s">
        <v>1339</v>
      </c>
    </row>
    <row r="18540" spans="1:8" x14ac:dyDescent="0.25">
      <c r="A18540" t="s">
        <v>16</v>
      </c>
      <c r="B18540" t="s">
        <v>1339</v>
      </c>
    </row>
    <row r="18541" spans="1:8" x14ac:dyDescent="0.25">
      <c r="A18541" t="s">
        <v>17</v>
      </c>
      <c r="B18541" t="s">
        <v>1339</v>
      </c>
    </row>
    <row r="18542" spans="1:8" x14ac:dyDescent="0.25">
      <c r="A18542" t="s">
        <v>18</v>
      </c>
      <c r="B18542" t="s">
        <v>1339</v>
      </c>
    </row>
    <row r="18543" spans="1:8" x14ac:dyDescent="0.25">
      <c r="A18543" t="str">
        <f xml:space="preserve"> $H$18535</f>
        <v>&lt;flags count_in_cargo="0" count_in_hoarder="0" count_in_map="1" count_in_player="0" crafted="0" deloot="0"/&gt;</v>
      </c>
      <c r="B18543" t="s">
        <v>1339</v>
      </c>
    </row>
    <row r="18544" spans="1:8" x14ac:dyDescent="0.25">
      <c r="A18544" t="str">
        <f>"&lt;category name=" &amp;"""" &amp;$C$18535&amp;"""/&gt;"</f>
        <v>&lt;category name="tools"/&gt;</v>
      </c>
      <c r="B18544" t="s">
        <v>1339</v>
      </c>
    </row>
    <row r="18545" spans="1:8" x14ac:dyDescent="0.25">
      <c r="A18545" t="s">
        <v>20</v>
      </c>
      <c r="B18545" t="s">
        <v>1339</v>
      </c>
    </row>
    <row r="18546" spans="1:8" x14ac:dyDescent="0.25">
      <c r="A18546" t="s">
        <v>55</v>
      </c>
      <c r="B18546" t="s">
        <v>1339</v>
      </c>
    </row>
    <row r="18547" spans="1:8" x14ac:dyDescent="0.25">
      <c r="A18547" t="s">
        <v>56</v>
      </c>
      <c r="B18547" t="s">
        <v>1339</v>
      </c>
    </row>
    <row r="18548" spans="1:8" x14ac:dyDescent="0.25">
      <c r="A18548" t="s">
        <v>22</v>
      </c>
      <c r="B18548" t="s">
        <v>1339</v>
      </c>
    </row>
    <row r="18549" spans="1:8" x14ac:dyDescent="0.25">
      <c r="A18549" t="s">
        <v>203</v>
      </c>
      <c r="B18549" t="s">
        <v>1340</v>
      </c>
      <c r="C18549" t="s">
        <v>426</v>
      </c>
      <c r="D18549">
        <v>8</v>
      </c>
      <c r="E18549">
        <v>7200</v>
      </c>
      <c r="F18549">
        <v>0</v>
      </c>
      <c r="G18549">
        <v>5</v>
      </c>
      <c r="H18549" t="s">
        <v>19</v>
      </c>
    </row>
    <row r="18550" spans="1:8" x14ac:dyDescent="0.25">
      <c r="A18550" t="str">
        <f>"&lt;nominal&gt;" &amp;$D$18549&amp;"&lt;/nominal&gt;"</f>
        <v>&lt;nominal&gt;8&lt;/nominal&gt;</v>
      </c>
      <c r="B18550" t="s">
        <v>1340</v>
      </c>
    </row>
    <row r="18551" spans="1:8" x14ac:dyDescent="0.25">
      <c r="A18551" t="str">
        <f>"&lt;lifetime&gt;" &amp;$E$18549&amp;"&lt;/lifetime&gt;"</f>
        <v>&lt;lifetime&gt;7200&lt;/lifetime&gt;</v>
      </c>
      <c r="B18551" t="s">
        <v>1340</v>
      </c>
    </row>
    <row r="18552" spans="1:8" x14ac:dyDescent="0.25">
      <c r="A18552" t="str">
        <f>"&lt;restock&gt;" &amp;$F$18549&amp;"&lt;/restock&gt;"</f>
        <v>&lt;restock&gt;0&lt;/restock&gt;</v>
      </c>
      <c r="B18552" t="s">
        <v>1340</v>
      </c>
    </row>
    <row r="18553" spans="1:8" x14ac:dyDescent="0.25">
      <c r="A18553" t="str">
        <f>"&lt;min&gt;" &amp;$G$18549&amp;"&lt;/min&gt;"</f>
        <v>&lt;min&gt;5&lt;/min&gt;</v>
      </c>
      <c r="B18553" t="s">
        <v>1340</v>
      </c>
    </row>
    <row r="18554" spans="1:8" x14ac:dyDescent="0.25">
      <c r="A18554" t="s">
        <v>16</v>
      </c>
      <c r="B18554" t="s">
        <v>1340</v>
      </c>
    </row>
    <row r="18555" spans="1:8" x14ac:dyDescent="0.25">
      <c r="A18555" t="s">
        <v>17</v>
      </c>
      <c r="B18555" t="s">
        <v>1340</v>
      </c>
    </row>
    <row r="18556" spans="1:8" x14ac:dyDescent="0.25">
      <c r="A18556" t="s">
        <v>18</v>
      </c>
      <c r="B18556" t="s">
        <v>1340</v>
      </c>
    </row>
    <row r="18557" spans="1:8" x14ac:dyDescent="0.25">
      <c r="A18557" t="str">
        <f xml:space="preserve"> $H$18549</f>
        <v>&lt;flags count_in_cargo="0" count_in_hoarder="0" count_in_map="1" count_in_player="0" crafted="0" deloot="0"/&gt;</v>
      </c>
      <c r="B18557" t="s">
        <v>1340</v>
      </c>
    </row>
    <row r="18558" spans="1:8" x14ac:dyDescent="0.25">
      <c r="A18558" t="str">
        <f>"&lt;category name=" &amp;"""" &amp;$C$18549&amp;"""/&gt;"</f>
        <v>&lt;category name="tools"/&gt;</v>
      </c>
      <c r="B18558" t="s">
        <v>1340</v>
      </c>
    </row>
    <row r="18559" spans="1:8" x14ac:dyDescent="0.25">
      <c r="A18559" t="s">
        <v>20</v>
      </c>
      <c r="B18559" t="s">
        <v>1340</v>
      </c>
    </row>
    <row r="18560" spans="1:8" x14ac:dyDescent="0.25">
      <c r="A18560" t="s">
        <v>55</v>
      </c>
      <c r="B18560" t="s">
        <v>1340</v>
      </c>
    </row>
    <row r="18561" spans="1:8" x14ac:dyDescent="0.25">
      <c r="A18561" t="s">
        <v>56</v>
      </c>
      <c r="B18561" t="s">
        <v>1340</v>
      </c>
    </row>
    <row r="18562" spans="1:8" x14ac:dyDescent="0.25">
      <c r="A18562" t="s">
        <v>22</v>
      </c>
      <c r="B18562" t="s">
        <v>1340</v>
      </c>
    </row>
    <row r="18563" spans="1:8" x14ac:dyDescent="0.25">
      <c r="A18563" t="s">
        <v>204</v>
      </c>
      <c r="B18563" t="s">
        <v>1341</v>
      </c>
      <c r="C18563" t="s">
        <v>426</v>
      </c>
      <c r="D18563">
        <v>8</v>
      </c>
      <c r="E18563">
        <v>7200</v>
      </c>
      <c r="F18563">
        <v>0</v>
      </c>
      <c r="G18563">
        <v>3</v>
      </c>
      <c r="H18563" t="s">
        <v>19</v>
      </c>
    </row>
    <row r="18564" spans="1:8" x14ac:dyDescent="0.25">
      <c r="A18564" t="str">
        <f>"&lt;nominal&gt;" &amp;$D$18563&amp;"&lt;/nominal&gt;"</f>
        <v>&lt;nominal&gt;8&lt;/nominal&gt;</v>
      </c>
      <c r="B18564" t="s">
        <v>1341</v>
      </c>
    </row>
    <row r="18565" spans="1:8" x14ac:dyDescent="0.25">
      <c r="A18565" t="str">
        <f>"&lt;lifetime&gt;" &amp;$E$18563&amp;"&lt;/lifetime&gt;"</f>
        <v>&lt;lifetime&gt;7200&lt;/lifetime&gt;</v>
      </c>
      <c r="B18565" t="s">
        <v>1341</v>
      </c>
    </row>
    <row r="18566" spans="1:8" x14ac:dyDescent="0.25">
      <c r="A18566" t="str">
        <f>"&lt;restock&gt;" &amp;$F$18563&amp;"&lt;/restock&gt;"</f>
        <v>&lt;restock&gt;0&lt;/restock&gt;</v>
      </c>
      <c r="B18566" t="s">
        <v>1341</v>
      </c>
    </row>
    <row r="18567" spans="1:8" x14ac:dyDescent="0.25">
      <c r="A18567" t="str">
        <f>"&lt;min&gt;" &amp;$G$18563&amp;"&lt;/min&gt;"</f>
        <v>&lt;min&gt;3&lt;/min&gt;</v>
      </c>
      <c r="B18567" t="s">
        <v>1341</v>
      </c>
    </row>
    <row r="18568" spans="1:8" x14ac:dyDescent="0.25">
      <c r="A18568" t="s">
        <v>16</v>
      </c>
      <c r="B18568" t="s">
        <v>1341</v>
      </c>
    </row>
    <row r="18569" spans="1:8" x14ac:dyDescent="0.25">
      <c r="A18569" t="s">
        <v>17</v>
      </c>
      <c r="B18569" t="s">
        <v>1341</v>
      </c>
    </row>
    <row r="18570" spans="1:8" x14ac:dyDescent="0.25">
      <c r="A18570" t="s">
        <v>18</v>
      </c>
      <c r="B18570" t="s">
        <v>1341</v>
      </c>
    </row>
    <row r="18571" spans="1:8" x14ac:dyDescent="0.25">
      <c r="A18571" t="str">
        <f xml:space="preserve"> $H$18563</f>
        <v>&lt;flags count_in_cargo="0" count_in_hoarder="0" count_in_map="1" count_in_player="0" crafted="0" deloot="0"/&gt;</v>
      </c>
      <c r="B18571" t="s">
        <v>1341</v>
      </c>
    </row>
    <row r="18572" spans="1:8" x14ac:dyDescent="0.25">
      <c r="A18572" t="str">
        <f>"&lt;category name=" &amp;"""" &amp;$C$18563&amp;"""/&gt;"</f>
        <v>&lt;category name="tools"/&gt;</v>
      </c>
      <c r="B18572" t="s">
        <v>1341</v>
      </c>
    </row>
    <row r="18573" spans="1:8" x14ac:dyDescent="0.25">
      <c r="A18573" t="s">
        <v>20</v>
      </c>
      <c r="B18573" t="s">
        <v>1341</v>
      </c>
    </row>
    <row r="18574" spans="1:8" x14ac:dyDescent="0.25">
      <c r="A18574" t="s">
        <v>55</v>
      </c>
      <c r="B18574" t="s">
        <v>1341</v>
      </c>
    </row>
    <row r="18575" spans="1:8" x14ac:dyDescent="0.25">
      <c r="A18575" t="s">
        <v>56</v>
      </c>
      <c r="B18575" t="s">
        <v>1341</v>
      </c>
    </row>
    <row r="18576" spans="1:8" x14ac:dyDescent="0.25">
      <c r="A18576" t="s">
        <v>22</v>
      </c>
      <c r="B18576" t="s">
        <v>1341</v>
      </c>
    </row>
    <row r="18577" spans="1:8" x14ac:dyDescent="0.25">
      <c r="A18577" t="s">
        <v>205</v>
      </c>
      <c r="B18577" t="s">
        <v>3722</v>
      </c>
      <c r="E18577">
        <v>7200</v>
      </c>
      <c r="H18577" t="s">
        <v>175</v>
      </c>
    </row>
    <row r="18578" spans="1:8" x14ac:dyDescent="0.25">
      <c r="A18578" t="str">
        <f>"&lt;lifetime&gt;" &amp;$E$18577&amp;"&lt;/lifetime&gt;"</f>
        <v>&lt;lifetime&gt;7200&lt;/lifetime&gt;</v>
      </c>
      <c r="B18578" t="s">
        <v>3722</v>
      </c>
    </row>
    <row r="18579" spans="1:8" x14ac:dyDescent="0.25">
      <c r="A18579" t="str">
        <f xml:space="preserve"> $H$18577</f>
        <v>&lt;flags count_in_cargo="1" count_in_hoarder="0" count_in_map="1" count_in_player="0" crafted="1" deloot="0"/&gt;</v>
      </c>
      <c r="B18579" t="s">
        <v>3722</v>
      </c>
    </row>
    <row r="18580" spans="1:8" x14ac:dyDescent="0.25">
      <c r="A18580" t="s">
        <v>22</v>
      </c>
      <c r="B18580" t="s">
        <v>3722</v>
      </c>
    </row>
    <row r="18581" spans="1:8" x14ac:dyDescent="0.25">
      <c r="A18581" t="s">
        <v>206</v>
      </c>
      <c r="B18581" t="s">
        <v>3723</v>
      </c>
      <c r="E18581">
        <v>7200</v>
      </c>
      <c r="H18581" t="s">
        <v>175</v>
      </c>
    </row>
    <row r="18582" spans="1:8" x14ac:dyDescent="0.25">
      <c r="A18582" t="str">
        <f>"&lt;lifetime&gt;" &amp;$E$18581&amp;"&lt;/lifetime&gt;"</f>
        <v>&lt;lifetime&gt;7200&lt;/lifetime&gt;</v>
      </c>
      <c r="B18582" t="s">
        <v>3723</v>
      </c>
    </row>
    <row r="18583" spans="1:8" x14ac:dyDescent="0.25">
      <c r="A18583" t="str">
        <f xml:space="preserve"> $H$18581</f>
        <v>&lt;flags count_in_cargo="1" count_in_hoarder="0" count_in_map="1" count_in_player="0" crafted="1" deloot="0"/&gt;</v>
      </c>
      <c r="B18583" t="s">
        <v>3723</v>
      </c>
    </row>
    <row r="18584" spans="1:8" x14ac:dyDescent="0.25">
      <c r="A18584" t="s">
        <v>22</v>
      </c>
      <c r="B18584" t="s">
        <v>3723</v>
      </c>
    </row>
    <row r="18585" spans="1:8" x14ac:dyDescent="0.25">
      <c r="A18585" t="s">
        <v>207</v>
      </c>
      <c r="B18585" t="s">
        <v>3724</v>
      </c>
      <c r="E18585">
        <v>7200</v>
      </c>
      <c r="H18585" t="s">
        <v>175</v>
      </c>
    </row>
    <row r="18586" spans="1:8" x14ac:dyDescent="0.25">
      <c r="A18586" t="str">
        <f>"&lt;lifetime&gt;" &amp;$E$18585&amp;"&lt;/lifetime&gt;"</f>
        <v>&lt;lifetime&gt;7200&lt;/lifetime&gt;</v>
      </c>
      <c r="B18586" t="s">
        <v>3724</v>
      </c>
    </row>
    <row r="18587" spans="1:8" x14ac:dyDescent="0.25">
      <c r="A18587" t="str">
        <f xml:space="preserve"> $H$18585</f>
        <v>&lt;flags count_in_cargo="1" count_in_hoarder="0" count_in_map="1" count_in_player="0" crafted="1" deloot="0"/&gt;</v>
      </c>
      <c r="B18587" t="s">
        <v>3724</v>
      </c>
    </row>
    <row r="18588" spans="1:8" x14ac:dyDescent="0.25">
      <c r="A18588" t="s">
        <v>22</v>
      </c>
      <c r="B18588" t="s">
        <v>3724</v>
      </c>
    </row>
    <row r="18589" spans="1:8" x14ac:dyDescent="0.25">
      <c r="A18589" t="s">
        <v>208</v>
      </c>
      <c r="B18589" t="s">
        <v>3725</v>
      </c>
      <c r="E18589">
        <v>7200</v>
      </c>
      <c r="H18589" t="s">
        <v>175</v>
      </c>
    </row>
    <row r="18590" spans="1:8" x14ac:dyDescent="0.25">
      <c r="A18590" t="str">
        <f>"&lt;lifetime&gt;" &amp;$E$18589&amp;"&lt;/lifetime&gt;"</f>
        <v>&lt;lifetime&gt;7200&lt;/lifetime&gt;</v>
      </c>
      <c r="B18590" t="s">
        <v>3725</v>
      </c>
    </row>
    <row r="18591" spans="1:8" x14ac:dyDescent="0.25">
      <c r="A18591" t="str">
        <f xml:space="preserve"> $H$18589</f>
        <v>&lt;flags count_in_cargo="1" count_in_hoarder="0" count_in_map="1" count_in_player="0" crafted="1" deloot="0"/&gt;</v>
      </c>
      <c r="B18591" t="s">
        <v>3725</v>
      </c>
    </row>
    <row r="18592" spans="1:8" x14ac:dyDescent="0.25">
      <c r="A18592" t="s">
        <v>22</v>
      </c>
      <c r="B18592" t="s">
        <v>3725</v>
      </c>
    </row>
    <row r="18593" spans="1:8" x14ac:dyDescent="0.25">
      <c r="A18593" t="s">
        <v>209</v>
      </c>
      <c r="B18593" t="s">
        <v>3726</v>
      </c>
      <c r="E18593">
        <v>7200</v>
      </c>
      <c r="H18593" t="s">
        <v>175</v>
      </c>
    </row>
    <row r="18594" spans="1:8" x14ac:dyDescent="0.25">
      <c r="A18594" t="str">
        <f>"&lt;lifetime&gt;" &amp;$E$18593&amp;"&lt;/lifetime&gt;"</f>
        <v>&lt;lifetime&gt;7200&lt;/lifetime&gt;</v>
      </c>
      <c r="B18594" t="s">
        <v>3726</v>
      </c>
    </row>
    <row r="18595" spans="1:8" x14ac:dyDescent="0.25">
      <c r="A18595" t="str">
        <f xml:space="preserve"> $H$18593</f>
        <v>&lt;flags count_in_cargo="1" count_in_hoarder="0" count_in_map="1" count_in_player="0" crafted="1" deloot="0"/&gt;</v>
      </c>
      <c r="B18595" t="s">
        <v>3726</v>
      </c>
    </row>
    <row r="18596" spans="1:8" x14ac:dyDescent="0.25">
      <c r="A18596" t="s">
        <v>22</v>
      </c>
      <c r="B18596" t="s">
        <v>3726</v>
      </c>
    </row>
    <row r="18597" spans="1:8" x14ac:dyDescent="0.25">
      <c r="A18597" t="s">
        <v>210</v>
      </c>
      <c r="B18597" t="s">
        <v>3727</v>
      </c>
      <c r="E18597">
        <v>7200</v>
      </c>
      <c r="H18597" t="s">
        <v>175</v>
      </c>
    </row>
    <row r="18598" spans="1:8" x14ac:dyDescent="0.25">
      <c r="A18598" t="str">
        <f>"&lt;lifetime&gt;" &amp;$E$18597&amp;"&lt;/lifetime&gt;"</f>
        <v>&lt;lifetime&gt;7200&lt;/lifetime&gt;</v>
      </c>
      <c r="B18598" t="s">
        <v>3727</v>
      </c>
    </row>
    <row r="18599" spans="1:8" x14ac:dyDescent="0.25">
      <c r="A18599" t="str">
        <f xml:space="preserve"> $H$18597</f>
        <v>&lt;flags count_in_cargo="1" count_in_hoarder="0" count_in_map="1" count_in_player="0" crafted="1" deloot="0"/&gt;</v>
      </c>
      <c r="B18599" t="s">
        <v>3727</v>
      </c>
    </row>
    <row r="18600" spans="1:8" x14ac:dyDescent="0.25">
      <c r="A18600" t="s">
        <v>22</v>
      </c>
      <c r="B18600" t="s">
        <v>3727</v>
      </c>
    </row>
    <row r="18601" spans="1:8" x14ac:dyDescent="0.25">
      <c r="A18601" t="s">
        <v>211</v>
      </c>
      <c r="B18601" t="s">
        <v>3728</v>
      </c>
      <c r="E18601">
        <v>7200</v>
      </c>
      <c r="H18601" t="s">
        <v>175</v>
      </c>
    </row>
    <row r="18602" spans="1:8" x14ac:dyDescent="0.25">
      <c r="A18602" t="str">
        <f>"&lt;lifetime&gt;" &amp;$E$18601&amp;"&lt;/lifetime&gt;"</f>
        <v>&lt;lifetime&gt;7200&lt;/lifetime&gt;</v>
      </c>
      <c r="B18602" t="s">
        <v>3728</v>
      </c>
    </row>
    <row r="18603" spans="1:8" x14ac:dyDescent="0.25">
      <c r="A18603" t="str">
        <f xml:space="preserve"> $H$18601</f>
        <v>&lt;flags count_in_cargo="1" count_in_hoarder="0" count_in_map="1" count_in_player="0" crafted="1" deloot="0"/&gt;</v>
      </c>
      <c r="B18603" t="s">
        <v>3728</v>
      </c>
    </row>
    <row r="18604" spans="1:8" x14ac:dyDescent="0.25">
      <c r="A18604" t="s">
        <v>22</v>
      </c>
      <c r="B18604" t="s">
        <v>3728</v>
      </c>
    </row>
    <row r="18605" spans="1:8" x14ac:dyDescent="0.25">
      <c r="A18605" t="s">
        <v>212</v>
      </c>
      <c r="B18605" t="s">
        <v>3729</v>
      </c>
      <c r="E18605">
        <v>7200</v>
      </c>
      <c r="H18605" t="s">
        <v>175</v>
      </c>
    </row>
    <row r="18606" spans="1:8" x14ac:dyDescent="0.25">
      <c r="A18606" t="str">
        <f>"&lt;lifetime&gt;" &amp;$E$18605&amp;"&lt;/lifetime&gt;"</f>
        <v>&lt;lifetime&gt;7200&lt;/lifetime&gt;</v>
      </c>
      <c r="B18606" t="s">
        <v>3729</v>
      </c>
    </row>
    <row r="18607" spans="1:8" x14ac:dyDescent="0.25">
      <c r="A18607" t="str">
        <f xml:space="preserve"> $H$18605</f>
        <v>&lt;flags count_in_cargo="1" count_in_hoarder="0" count_in_map="1" count_in_player="0" crafted="1" deloot="0"/&gt;</v>
      </c>
      <c r="B18607" t="s">
        <v>3729</v>
      </c>
    </row>
    <row r="18608" spans="1:8" x14ac:dyDescent="0.25">
      <c r="A18608" t="s">
        <v>22</v>
      </c>
      <c r="B18608" t="s">
        <v>3729</v>
      </c>
    </row>
    <row r="18609" spans="1:8" x14ac:dyDescent="0.25">
      <c r="A18609" t="s">
        <v>213</v>
      </c>
      <c r="B18609" t="s">
        <v>3730</v>
      </c>
      <c r="E18609">
        <v>7200</v>
      </c>
      <c r="H18609" t="s">
        <v>175</v>
      </c>
    </row>
    <row r="18610" spans="1:8" x14ac:dyDescent="0.25">
      <c r="A18610" t="str">
        <f>"&lt;lifetime&gt;" &amp;$E$18609&amp;"&lt;/lifetime&gt;"</f>
        <v>&lt;lifetime&gt;7200&lt;/lifetime&gt;</v>
      </c>
      <c r="B18610" t="s">
        <v>3730</v>
      </c>
    </row>
    <row r="18611" spans="1:8" x14ac:dyDescent="0.25">
      <c r="A18611" t="str">
        <f xml:space="preserve"> $H$18609</f>
        <v>&lt;flags count_in_cargo="1" count_in_hoarder="0" count_in_map="1" count_in_player="0" crafted="1" deloot="0"/&gt;</v>
      </c>
      <c r="B18611" t="s">
        <v>3730</v>
      </c>
    </row>
    <row r="18612" spans="1:8" x14ac:dyDescent="0.25">
      <c r="A18612" t="s">
        <v>22</v>
      </c>
      <c r="B18612" t="s">
        <v>3730</v>
      </c>
    </row>
    <row r="18613" spans="1:8" x14ac:dyDescent="0.25">
      <c r="A18613" t="s">
        <v>214</v>
      </c>
      <c r="B18613" t="s">
        <v>3731</v>
      </c>
      <c r="E18613">
        <v>7200</v>
      </c>
      <c r="H18613" t="s">
        <v>175</v>
      </c>
    </row>
    <row r="18614" spans="1:8" x14ac:dyDescent="0.25">
      <c r="A18614" t="str">
        <f>"&lt;lifetime&gt;" &amp;$E$18613&amp;"&lt;/lifetime&gt;"</f>
        <v>&lt;lifetime&gt;7200&lt;/lifetime&gt;</v>
      </c>
      <c r="B18614" t="s">
        <v>3731</v>
      </c>
    </row>
    <row r="18615" spans="1:8" x14ac:dyDescent="0.25">
      <c r="A18615" t="str">
        <f xml:space="preserve"> $H$18613</f>
        <v>&lt;flags count_in_cargo="1" count_in_hoarder="0" count_in_map="1" count_in_player="0" crafted="1" deloot="0"/&gt;</v>
      </c>
      <c r="B18615" t="s">
        <v>3731</v>
      </c>
    </row>
    <row r="18616" spans="1:8" x14ac:dyDescent="0.25">
      <c r="A18616" t="s">
        <v>22</v>
      </c>
      <c r="B18616" t="s">
        <v>3731</v>
      </c>
    </row>
    <row r="18617" spans="1:8" x14ac:dyDescent="0.25">
      <c r="A18617" t="s">
        <v>215</v>
      </c>
      <c r="B18617" t="s">
        <v>3732</v>
      </c>
      <c r="E18617">
        <v>7200</v>
      </c>
      <c r="H18617" t="s">
        <v>175</v>
      </c>
    </row>
    <row r="18618" spans="1:8" x14ac:dyDescent="0.25">
      <c r="A18618" t="str">
        <f>"&lt;lifetime&gt;" &amp;$E$18617&amp;"&lt;/lifetime&gt;"</f>
        <v>&lt;lifetime&gt;7200&lt;/lifetime&gt;</v>
      </c>
      <c r="B18618" t="s">
        <v>3732</v>
      </c>
    </row>
    <row r="18619" spans="1:8" x14ac:dyDescent="0.25">
      <c r="A18619" t="str">
        <f xml:space="preserve"> $H$18617</f>
        <v>&lt;flags count_in_cargo="1" count_in_hoarder="0" count_in_map="1" count_in_player="0" crafted="1" deloot="0"/&gt;</v>
      </c>
      <c r="B18619" t="s">
        <v>3732</v>
      </c>
    </row>
    <row r="18620" spans="1:8" x14ac:dyDescent="0.25">
      <c r="A18620" t="s">
        <v>22</v>
      </c>
      <c r="B18620" t="s">
        <v>3732</v>
      </c>
    </row>
    <row r="18621" spans="1:8" x14ac:dyDescent="0.25">
      <c r="A18621" t="s">
        <v>216</v>
      </c>
      <c r="B18621" t="s">
        <v>3733</v>
      </c>
      <c r="E18621">
        <v>7200</v>
      </c>
      <c r="H18621" t="s">
        <v>175</v>
      </c>
    </row>
    <row r="18622" spans="1:8" x14ac:dyDescent="0.25">
      <c r="A18622" t="str">
        <f>"&lt;lifetime&gt;" &amp;$E$18621&amp;"&lt;/lifetime&gt;"</f>
        <v>&lt;lifetime&gt;7200&lt;/lifetime&gt;</v>
      </c>
      <c r="B18622" t="s">
        <v>3733</v>
      </c>
    </row>
    <row r="18623" spans="1:8" x14ac:dyDescent="0.25">
      <c r="A18623" t="str">
        <f xml:space="preserve"> $H$18621</f>
        <v>&lt;flags count_in_cargo="1" count_in_hoarder="0" count_in_map="1" count_in_player="0" crafted="1" deloot="0"/&gt;</v>
      </c>
      <c r="B18623" t="s">
        <v>3733</v>
      </c>
    </row>
    <row r="18624" spans="1:8" x14ac:dyDescent="0.25">
      <c r="A18624" t="s">
        <v>22</v>
      </c>
      <c r="B18624" t="s">
        <v>3733</v>
      </c>
    </row>
    <row r="18625" spans="1:8" x14ac:dyDescent="0.25">
      <c r="A18625" t="s">
        <v>217</v>
      </c>
      <c r="B18625" t="s">
        <v>3734</v>
      </c>
      <c r="E18625">
        <v>7200</v>
      </c>
      <c r="H18625" t="s">
        <v>175</v>
      </c>
    </row>
    <row r="18626" spans="1:8" x14ac:dyDescent="0.25">
      <c r="A18626" t="str">
        <f>"&lt;lifetime&gt;" &amp;$E$18625&amp;"&lt;/lifetime&gt;"</f>
        <v>&lt;lifetime&gt;7200&lt;/lifetime&gt;</v>
      </c>
      <c r="B18626" t="s">
        <v>3734</v>
      </c>
    </row>
    <row r="18627" spans="1:8" x14ac:dyDescent="0.25">
      <c r="A18627" t="str">
        <f xml:space="preserve"> $H$18625</f>
        <v>&lt;flags count_in_cargo="1" count_in_hoarder="0" count_in_map="1" count_in_player="0" crafted="1" deloot="0"/&gt;</v>
      </c>
      <c r="B18627" t="s">
        <v>3734</v>
      </c>
    </row>
    <row r="18628" spans="1:8" x14ac:dyDescent="0.25">
      <c r="A18628" t="s">
        <v>22</v>
      </c>
      <c r="B18628" t="s">
        <v>3734</v>
      </c>
    </row>
    <row r="18629" spans="1:8" x14ac:dyDescent="0.25">
      <c r="A18629" t="s">
        <v>218</v>
      </c>
      <c r="B18629" t="s">
        <v>3735</v>
      </c>
      <c r="E18629">
        <v>7200</v>
      </c>
      <c r="H18629" t="s">
        <v>175</v>
      </c>
    </row>
    <row r="18630" spans="1:8" x14ac:dyDescent="0.25">
      <c r="A18630" t="str">
        <f>"&lt;lifetime&gt;" &amp;$E$18629&amp;"&lt;/lifetime&gt;"</f>
        <v>&lt;lifetime&gt;7200&lt;/lifetime&gt;</v>
      </c>
      <c r="B18630" t="s">
        <v>3735</v>
      </c>
    </row>
    <row r="18631" spans="1:8" x14ac:dyDescent="0.25">
      <c r="A18631" t="str">
        <f xml:space="preserve"> $H$18629</f>
        <v>&lt;flags count_in_cargo="1" count_in_hoarder="0" count_in_map="1" count_in_player="0" crafted="1" deloot="0"/&gt;</v>
      </c>
      <c r="B18631" t="s">
        <v>3735</v>
      </c>
    </row>
    <row r="18632" spans="1:8" x14ac:dyDescent="0.25">
      <c r="A18632" t="s">
        <v>22</v>
      </c>
      <c r="B18632" t="s">
        <v>3735</v>
      </c>
    </row>
    <row r="18633" spans="1:8" x14ac:dyDescent="0.25">
      <c r="A18633" t="s">
        <v>219</v>
      </c>
      <c r="B18633" t="s">
        <v>3736</v>
      </c>
      <c r="E18633">
        <v>7200</v>
      </c>
      <c r="H18633" t="s">
        <v>175</v>
      </c>
    </row>
    <row r="18634" spans="1:8" x14ac:dyDescent="0.25">
      <c r="A18634" t="str">
        <f>"&lt;lifetime&gt;" &amp;$E$18633&amp;"&lt;/lifetime&gt;"</f>
        <v>&lt;lifetime&gt;7200&lt;/lifetime&gt;</v>
      </c>
      <c r="B18634" t="s">
        <v>3736</v>
      </c>
    </row>
    <row r="18635" spans="1:8" x14ac:dyDescent="0.25">
      <c r="A18635" t="str">
        <f xml:space="preserve"> $H$18633</f>
        <v>&lt;flags count_in_cargo="1" count_in_hoarder="0" count_in_map="1" count_in_player="0" crafted="1" deloot="0"/&gt;</v>
      </c>
      <c r="B18635" t="s">
        <v>3736</v>
      </c>
    </row>
    <row r="18636" spans="1:8" x14ac:dyDescent="0.25">
      <c r="A18636" t="s">
        <v>22</v>
      </c>
      <c r="B18636" t="s">
        <v>3736</v>
      </c>
    </row>
    <row r="18637" spans="1:8" x14ac:dyDescent="0.25">
      <c r="A18637" t="s">
        <v>220</v>
      </c>
      <c r="B18637" t="s">
        <v>3737</v>
      </c>
      <c r="E18637">
        <v>7200</v>
      </c>
      <c r="H18637" t="s">
        <v>175</v>
      </c>
    </row>
    <row r="18638" spans="1:8" x14ac:dyDescent="0.25">
      <c r="A18638" t="str">
        <f>"&lt;lifetime&gt;" &amp;$E$18637&amp;"&lt;/lifetime&gt;"</f>
        <v>&lt;lifetime&gt;7200&lt;/lifetime&gt;</v>
      </c>
      <c r="B18638" t="s">
        <v>3737</v>
      </c>
    </row>
    <row r="18639" spans="1:8" x14ac:dyDescent="0.25">
      <c r="A18639" t="str">
        <f xml:space="preserve"> $H$18637</f>
        <v>&lt;flags count_in_cargo="1" count_in_hoarder="0" count_in_map="1" count_in_player="0" crafted="1" deloot="0"/&gt;</v>
      </c>
      <c r="B18639" t="s">
        <v>3737</v>
      </c>
    </row>
    <row r="18640" spans="1:8" x14ac:dyDescent="0.25">
      <c r="A18640" t="s">
        <v>22</v>
      </c>
      <c r="B18640" t="s">
        <v>3737</v>
      </c>
    </row>
    <row r="18641" spans="1:8" x14ac:dyDescent="0.25">
      <c r="A18641" t="s">
        <v>221</v>
      </c>
      <c r="B18641" t="s">
        <v>3738</v>
      </c>
      <c r="E18641">
        <v>7200</v>
      </c>
      <c r="H18641" t="s">
        <v>175</v>
      </c>
    </row>
    <row r="18642" spans="1:8" x14ac:dyDescent="0.25">
      <c r="A18642" t="str">
        <f>"&lt;lifetime&gt;" &amp;$E$18641&amp;"&lt;/lifetime&gt;"</f>
        <v>&lt;lifetime&gt;7200&lt;/lifetime&gt;</v>
      </c>
      <c r="B18642" t="s">
        <v>3738</v>
      </c>
    </row>
    <row r="18643" spans="1:8" x14ac:dyDescent="0.25">
      <c r="A18643" t="str">
        <f xml:space="preserve"> $H$18641</f>
        <v>&lt;flags count_in_cargo="1" count_in_hoarder="0" count_in_map="1" count_in_player="0" crafted="1" deloot="0"/&gt;</v>
      </c>
      <c r="B18643" t="s">
        <v>3738</v>
      </c>
    </row>
    <row r="18644" spans="1:8" x14ac:dyDescent="0.25">
      <c r="A18644" t="s">
        <v>22</v>
      </c>
      <c r="B18644" t="s">
        <v>3738</v>
      </c>
    </row>
    <row r="18645" spans="1:8" x14ac:dyDescent="0.25">
      <c r="A18645" t="s">
        <v>222</v>
      </c>
      <c r="B18645" t="s">
        <v>3739</v>
      </c>
      <c r="E18645">
        <v>7200</v>
      </c>
      <c r="H18645" t="s">
        <v>175</v>
      </c>
    </row>
    <row r="18646" spans="1:8" x14ac:dyDescent="0.25">
      <c r="A18646" t="str">
        <f>"&lt;lifetime&gt;" &amp;$E$18645&amp;"&lt;/lifetime&gt;"</f>
        <v>&lt;lifetime&gt;7200&lt;/lifetime&gt;</v>
      </c>
      <c r="B18646" t="s">
        <v>3739</v>
      </c>
    </row>
    <row r="18647" spans="1:8" x14ac:dyDescent="0.25">
      <c r="A18647" t="str">
        <f xml:space="preserve"> $H$18645</f>
        <v>&lt;flags count_in_cargo="1" count_in_hoarder="0" count_in_map="1" count_in_player="0" crafted="1" deloot="0"/&gt;</v>
      </c>
      <c r="B18647" t="s">
        <v>3739</v>
      </c>
    </row>
    <row r="18648" spans="1:8" x14ac:dyDescent="0.25">
      <c r="A18648" t="s">
        <v>22</v>
      </c>
      <c r="B18648" t="s">
        <v>3739</v>
      </c>
    </row>
    <row r="18649" spans="1:8" x14ac:dyDescent="0.25">
      <c r="A18649" t="s">
        <v>223</v>
      </c>
      <c r="B18649" t="s">
        <v>3740</v>
      </c>
      <c r="E18649">
        <v>7200</v>
      </c>
      <c r="H18649" t="s">
        <v>175</v>
      </c>
    </row>
    <row r="18650" spans="1:8" x14ac:dyDescent="0.25">
      <c r="A18650" t="str">
        <f>"&lt;lifetime&gt;" &amp;$E$18649&amp;"&lt;/lifetime&gt;"</f>
        <v>&lt;lifetime&gt;7200&lt;/lifetime&gt;</v>
      </c>
      <c r="B18650" t="s">
        <v>3740</v>
      </c>
    </row>
    <row r="18651" spans="1:8" x14ac:dyDescent="0.25">
      <c r="A18651" t="str">
        <f xml:space="preserve"> $H$18649</f>
        <v>&lt;flags count_in_cargo="1" count_in_hoarder="0" count_in_map="1" count_in_player="0" crafted="1" deloot="0"/&gt;</v>
      </c>
      <c r="B18651" t="s">
        <v>3740</v>
      </c>
    </row>
    <row r="18652" spans="1:8" x14ac:dyDescent="0.25">
      <c r="A18652" t="s">
        <v>22</v>
      </c>
      <c r="B18652" t="s">
        <v>3740</v>
      </c>
    </row>
    <row r="18653" spans="1:8" x14ac:dyDescent="0.25">
      <c r="A18653" t="s">
        <v>224</v>
      </c>
      <c r="B18653" t="s">
        <v>3741</v>
      </c>
      <c r="E18653">
        <v>7200</v>
      </c>
      <c r="H18653" t="s">
        <v>175</v>
      </c>
    </row>
    <row r="18654" spans="1:8" x14ac:dyDescent="0.25">
      <c r="A18654" t="str">
        <f>"&lt;lifetime&gt;" &amp;$E$18653&amp;"&lt;/lifetime&gt;"</f>
        <v>&lt;lifetime&gt;7200&lt;/lifetime&gt;</v>
      </c>
      <c r="B18654" t="s">
        <v>3741</v>
      </c>
    </row>
    <row r="18655" spans="1:8" x14ac:dyDescent="0.25">
      <c r="A18655" t="str">
        <f xml:space="preserve"> $H$18653</f>
        <v>&lt;flags count_in_cargo="1" count_in_hoarder="0" count_in_map="1" count_in_player="0" crafted="1" deloot="0"/&gt;</v>
      </c>
      <c r="B18655" t="s">
        <v>3741</v>
      </c>
    </row>
    <row r="18656" spans="1:8" x14ac:dyDescent="0.25">
      <c r="A18656" t="s">
        <v>22</v>
      </c>
      <c r="B18656" t="s">
        <v>3741</v>
      </c>
    </row>
    <row r="18657" spans="1:8" x14ac:dyDescent="0.25">
      <c r="A18657" t="s">
        <v>225</v>
      </c>
      <c r="B18657" t="s">
        <v>3742</v>
      </c>
      <c r="E18657">
        <v>7200</v>
      </c>
      <c r="H18657" t="s">
        <v>175</v>
      </c>
    </row>
    <row r="18658" spans="1:8" x14ac:dyDescent="0.25">
      <c r="A18658" t="str">
        <f>"&lt;lifetime&gt;" &amp;$E$18657&amp;"&lt;/lifetime&gt;"</f>
        <v>&lt;lifetime&gt;7200&lt;/lifetime&gt;</v>
      </c>
      <c r="B18658" t="s">
        <v>3742</v>
      </c>
    </row>
    <row r="18659" spans="1:8" x14ac:dyDescent="0.25">
      <c r="A18659" t="str">
        <f xml:space="preserve"> $H$18657</f>
        <v>&lt;flags count_in_cargo="1" count_in_hoarder="0" count_in_map="1" count_in_player="0" crafted="1" deloot="0"/&gt;</v>
      </c>
      <c r="B18659" t="s">
        <v>3742</v>
      </c>
    </row>
    <row r="18660" spans="1:8" x14ac:dyDescent="0.25">
      <c r="A18660" t="s">
        <v>22</v>
      </c>
      <c r="B18660" t="s">
        <v>3742</v>
      </c>
    </row>
    <row r="18661" spans="1:8" x14ac:dyDescent="0.25">
      <c r="A18661" t="s">
        <v>226</v>
      </c>
      <c r="B18661" t="s">
        <v>3743</v>
      </c>
      <c r="E18661">
        <v>7200</v>
      </c>
      <c r="H18661" t="s">
        <v>175</v>
      </c>
    </row>
    <row r="18662" spans="1:8" x14ac:dyDescent="0.25">
      <c r="A18662" t="str">
        <f>"&lt;lifetime&gt;" &amp;$E$18661&amp;"&lt;/lifetime&gt;"</f>
        <v>&lt;lifetime&gt;7200&lt;/lifetime&gt;</v>
      </c>
      <c r="B18662" t="s">
        <v>3743</v>
      </c>
    </row>
    <row r="18663" spans="1:8" x14ac:dyDescent="0.25">
      <c r="A18663" t="str">
        <f xml:space="preserve"> $H$18661</f>
        <v>&lt;flags count_in_cargo="1" count_in_hoarder="0" count_in_map="1" count_in_player="0" crafted="1" deloot="0"/&gt;</v>
      </c>
      <c r="B18663" t="s">
        <v>3743</v>
      </c>
    </row>
    <row r="18664" spans="1:8" x14ac:dyDescent="0.25">
      <c r="A18664" t="s">
        <v>22</v>
      </c>
      <c r="B18664" t="s">
        <v>3743</v>
      </c>
    </row>
    <row r="18665" spans="1:8" x14ac:dyDescent="0.25">
      <c r="A18665" t="s">
        <v>227</v>
      </c>
      <c r="B18665" t="s">
        <v>3744</v>
      </c>
      <c r="E18665">
        <v>7200</v>
      </c>
      <c r="H18665" t="s">
        <v>175</v>
      </c>
    </row>
    <row r="18666" spans="1:8" x14ac:dyDescent="0.25">
      <c r="A18666" t="str">
        <f>"&lt;lifetime&gt;" &amp;$E$18665&amp;"&lt;/lifetime&gt;"</f>
        <v>&lt;lifetime&gt;7200&lt;/lifetime&gt;</v>
      </c>
      <c r="B18666" t="s">
        <v>3744</v>
      </c>
    </row>
    <row r="18667" spans="1:8" x14ac:dyDescent="0.25">
      <c r="A18667" t="str">
        <f xml:space="preserve"> $H$18665</f>
        <v>&lt;flags count_in_cargo="1" count_in_hoarder="0" count_in_map="1" count_in_player="0" crafted="1" deloot="0"/&gt;</v>
      </c>
      <c r="B18667" t="s">
        <v>3744</v>
      </c>
    </row>
    <row r="18668" spans="1:8" x14ac:dyDescent="0.25">
      <c r="A18668" t="s">
        <v>22</v>
      </c>
      <c r="B18668" t="s">
        <v>3744</v>
      </c>
    </row>
    <row r="18669" spans="1:8" x14ac:dyDescent="0.25">
      <c r="A18669" t="s">
        <v>228</v>
      </c>
      <c r="B18669" t="s">
        <v>3745</v>
      </c>
      <c r="E18669">
        <v>7200</v>
      </c>
      <c r="H18669" t="s">
        <v>175</v>
      </c>
    </row>
    <row r="18670" spans="1:8" x14ac:dyDescent="0.25">
      <c r="A18670" t="str">
        <f>"&lt;lifetime&gt;" &amp;$E$18669&amp;"&lt;/lifetime&gt;"</f>
        <v>&lt;lifetime&gt;7200&lt;/lifetime&gt;</v>
      </c>
      <c r="B18670" t="s">
        <v>3745</v>
      </c>
    </row>
    <row r="18671" spans="1:8" x14ac:dyDescent="0.25">
      <c r="A18671" t="str">
        <f xml:space="preserve"> $H$18669</f>
        <v>&lt;flags count_in_cargo="1" count_in_hoarder="0" count_in_map="1" count_in_player="0" crafted="1" deloot="0"/&gt;</v>
      </c>
      <c r="B18671" t="s">
        <v>3745</v>
      </c>
    </row>
    <row r="18672" spans="1:8" x14ac:dyDescent="0.25">
      <c r="A18672" t="s">
        <v>22</v>
      </c>
      <c r="B18672" t="s">
        <v>3745</v>
      </c>
    </row>
    <row r="18673" spans="1:8" x14ac:dyDescent="0.25">
      <c r="A18673" t="s">
        <v>229</v>
      </c>
      <c r="B18673" t="s">
        <v>3746</v>
      </c>
      <c r="E18673">
        <v>7200</v>
      </c>
      <c r="H18673" t="s">
        <v>175</v>
      </c>
    </row>
    <row r="18674" spans="1:8" x14ac:dyDescent="0.25">
      <c r="A18674" t="str">
        <f>"&lt;lifetime&gt;" &amp;$E$18673&amp;"&lt;/lifetime&gt;"</f>
        <v>&lt;lifetime&gt;7200&lt;/lifetime&gt;</v>
      </c>
      <c r="B18674" t="s">
        <v>3746</v>
      </c>
    </row>
    <row r="18675" spans="1:8" x14ac:dyDescent="0.25">
      <c r="A18675" t="str">
        <f xml:space="preserve"> $H$18673</f>
        <v>&lt;flags count_in_cargo="1" count_in_hoarder="0" count_in_map="1" count_in_player="0" crafted="1" deloot="0"/&gt;</v>
      </c>
      <c r="B18675" t="s">
        <v>3746</v>
      </c>
    </row>
    <row r="18676" spans="1:8" x14ac:dyDescent="0.25">
      <c r="A18676" t="s">
        <v>22</v>
      </c>
      <c r="B18676" t="s">
        <v>3746</v>
      </c>
    </row>
    <row r="18677" spans="1:8" x14ac:dyDescent="0.25">
      <c r="A18677" t="s">
        <v>230</v>
      </c>
      <c r="B18677" t="s">
        <v>3747</v>
      </c>
      <c r="E18677">
        <v>7200</v>
      </c>
      <c r="H18677" t="s">
        <v>175</v>
      </c>
    </row>
    <row r="18678" spans="1:8" x14ac:dyDescent="0.25">
      <c r="A18678" t="str">
        <f>"&lt;lifetime&gt;" &amp;$E$18677&amp;"&lt;/lifetime&gt;"</f>
        <v>&lt;lifetime&gt;7200&lt;/lifetime&gt;</v>
      </c>
      <c r="B18678" t="s">
        <v>3747</v>
      </c>
    </row>
    <row r="18679" spans="1:8" x14ac:dyDescent="0.25">
      <c r="A18679" t="str">
        <f xml:space="preserve"> $H$18677</f>
        <v>&lt;flags count_in_cargo="1" count_in_hoarder="0" count_in_map="1" count_in_player="0" crafted="1" deloot="0"/&gt;</v>
      </c>
      <c r="B18679" t="s">
        <v>3747</v>
      </c>
    </row>
    <row r="18680" spans="1:8" x14ac:dyDescent="0.25">
      <c r="A18680" t="s">
        <v>22</v>
      </c>
      <c r="B18680" t="s">
        <v>3747</v>
      </c>
    </row>
    <row r="18681" spans="1:8" x14ac:dyDescent="0.25">
      <c r="A18681" t="s">
        <v>231</v>
      </c>
      <c r="B18681" t="s">
        <v>1342</v>
      </c>
      <c r="C18681" t="s">
        <v>426</v>
      </c>
      <c r="D18681">
        <v>20</v>
      </c>
      <c r="E18681">
        <v>7200</v>
      </c>
      <c r="F18681">
        <v>0</v>
      </c>
      <c r="G18681">
        <v>10</v>
      </c>
      <c r="H18681" t="s">
        <v>19</v>
      </c>
    </row>
    <row r="18682" spans="1:8" x14ac:dyDescent="0.25">
      <c r="A18682" t="str">
        <f>"&lt;nominal&gt;" &amp;$D$18681&amp;"&lt;/nominal&gt;"</f>
        <v>&lt;nominal&gt;20&lt;/nominal&gt;</v>
      </c>
      <c r="B18682" t="s">
        <v>1342</v>
      </c>
    </row>
    <row r="18683" spans="1:8" x14ac:dyDescent="0.25">
      <c r="A18683" t="str">
        <f>"&lt;lifetime&gt;" &amp;$E$18681&amp;"&lt;/lifetime&gt;"</f>
        <v>&lt;lifetime&gt;7200&lt;/lifetime&gt;</v>
      </c>
      <c r="B18683" t="s">
        <v>1342</v>
      </c>
    </row>
    <row r="18684" spans="1:8" x14ac:dyDescent="0.25">
      <c r="A18684" t="str">
        <f>"&lt;restock&gt;" &amp;$F$18681&amp;"&lt;/restock&gt;"</f>
        <v>&lt;restock&gt;0&lt;/restock&gt;</v>
      </c>
      <c r="B18684" t="s">
        <v>1342</v>
      </c>
    </row>
    <row r="18685" spans="1:8" x14ac:dyDescent="0.25">
      <c r="A18685" t="str">
        <f>"&lt;min&gt;" &amp;$G$18681&amp;"&lt;/min&gt;"</f>
        <v>&lt;min&gt;10&lt;/min&gt;</v>
      </c>
      <c r="B18685" t="s">
        <v>1342</v>
      </c>
    </row>
    <row r="18686" spans="1:8" x14ac:dyDescent="0.25">
      <c r="A18686" t="s">
        <v>16</v>
      </c>
      <c r="B18686" t="s">
        <v>1342</v>
      </c>
    </row>
    <row r="18687" spans="1:8" x14ac:dyDescent="0.25">
      <c r="A18687" t="s">
        <v>17</v>
      </c>
      <c r="B18687" t="s">
        <v>1342</v>
      </c>
    </row>
    <row r="18688" spans="1:8" x14ac:dyDescent="0.25">
      <c r="A18688" t="s">
        <v>18</v>
      </c>
      <c r="B18688" t="s">
        <v>1342</v>
      </c>
    </row>
    <row r="18689" spans="1:8" x14ac:dyDescent="0.25">
      <c r="A18689" t="str">
        <f xml:space="preserve"> $H$18681</f>
        <v>&lt;flags count_in_cargo="0" count_in_hoarder="0" count_in_map="1" count_in_player="0" crafted="0" deloot="0"/&gt;</v>
      </c>
      <c r="B18689" t="s">
        <v>1342</v>
      </c>
    </row>
    <row r="18690" spans="1:8" x14ac:dyDescent="0.25">
      <c r="A18690" t="str">
        <f>"&lt;category name=" &amp;"""" &amp;$C$18681&amp;"""/&gt;"</f>
        <v>&lt;category name="tools"/&gt;</v>
      </c>
      <c r="B18690" t="s">
        <v>1342</v>
      </c>
    </row>
    <row r="18691" spans="1:8" x14ac:dyDescent="0.25">
      <c r="A18691" t="s">
        <v>20</v>
      </c>
      <c r="B18691" t="s">
        <v>1342</v>
      </c>
    </row>
    <row r="18692" spans="1:8" x14ac:dyDescent="0.25">
      <c r="A18692" t="s">
        <v>39</v>
      </c>
      <c r="B18692" t="s">
        <v>1342</v>
      </c>
    </row>
    <row r="18693" spans="1:8" x14ac:dyDescent="0.25">
      <c r="A18693" t="s">
        <v>40</v>
      </c>
      <c r="B18693" t="s">
        <v>1342</v>
      </c>
    </row>
    <row r="18694" spans="1:8" x14ac:dyDescent="0.25">
      <c r="A18694" t="s">
        <v>22</v>
      </c>
      <c r="B18694" t="s">
        <v>1342</v>
      </c>
    </row>
    <row r="18695" spans="1:8" x14ac:dyDescent="0.25">
      <c r="A18695" t="s">
        <v>232</v>
      </c>
      <c r="B18695" t="s">
        <v>1343</v>
      </c>
      <c r="C18695" t="s">
        <v>426</v>
      </c>
      <c r="D18695">
        <v>20</v>
      </c>
      <c r="E18695">
        <v>3888000</v>
      </c>
      <c r="F18695">
        <v>0</v>
      </c>
      <c r="G18695">
        <v>10</v>
      </c>
      <c r="H18695" t="s">
        <v>19</v>
      </c>
    </row>
    <row r="18696" spans="1:8" x14ac:dyDescent="0.25">
      <c r="A18696" t="str">
        <f>"&lt;nominal&gt;" &amp;$D$18695&amp;"&lt;/nominal&gt;"</f>
        <v>&lt;nominal&gt;20&lt;/nominal&gt;</v>
      </c>
      <c r="B18696" t="s">
        <v>1343</v>
      </c>
    </row>
    <row r="18697" spans="1:8" x14ac:dyDescent="0.25">
      <c r="A18697" t="str">
        <f>"&lt;lifetime&gt;" &amp;$E$18695&amp;"&lt;/lifetime&gt;"</f>
        <v>&lt;lifetime&gt;3888000&lt;/lifetime&gt;</v>
      </c>
      <c r="B18697" t="s">
        <v>1343</v>
      </c>
    </row>
    <row r="18698" spans="1:8" x14ac:dyDescent="0.25">
      <c r="A18698" t="str">
        <f>"&lt;restock&gt;" &amp;$F$18695&amp;"&lt;/restock&gt;"</f>
        <v>&lt;restock&gt;0&lt;/restock&gt;</v>
      </c>
      <c r="B18698" t="s">
        <v>1343</v>
      </c>
    </row>
    <row r="18699" spans="1:8" x14ac:dyDescent="0.25">
      <c r="A18699" t="str">
        <f>"&lt;min&gt;" &amp;$G$18695&amp;"&lt;/min&gt;"</f>
        <v>&lt;min&gt;10&lt;/min&gt;</v>
      </c>
      <c r="B18699" t="s">
        <v>1343</v>
      </c>
    </row>
    <row r="18700" spans="1:8" x14ac:dyDescent="0.25">
      <c r="A18700" t="s">
        <v>16</v>
      </c>
      <c r="B18700" t="s">
        <v>1343</v>
      </c>
    </row>
    <row r="18701" spans="1:8" x14ac:dyDescent="0.25">
      <c r="A18701" t="s">
        <v>17</v>
      </c>
      <c r="B18701" t="s">
        <v>1343</v>
      </c>
    </row>
    <row r="18702" spans="1:8" x14ac:dyDescent="0.25">
      <c r="A18702" t="s">
        <v>18</v>
      </c>
      <c r="B18702" t="s">
        <v>1343</v>
      </c>
    </row>
    <row r="18703" spans="1:8" x14ac:dyDescent="0.25">
      <c r="A18703" t="str">
        <f xml:space="preserve"> $H$18695</f>
        <v>&lt;flags count_in_cargo="0" count_in_hoarder="0" count_in_map="1" count_in_player="0" crafted="0" deloot="0"/&gt;</v>
      </c>
      <c r="B18703" t="s">
        <v>1343</v>
      </c>
    </row>
    <row r="18704" spans="1:8" x14ac:dyDescent="0.25">
      <c r="A18704" t="str">
        <f>"&lt;category name=" &amp;"""" &amp;$C$18695&amp;"""/&gt;"</f>
        <v>&lt;category name="tools"/&gt;</v>
      </c>
      <c r="B18704" t="s">
        <v>1343</v>
      </c>
    </row>
    <row r="18705" spans="1:8" x14ac:dyDescent="0.25">
      <c r="A18705" t="s">
        <v>20</v>
      </c>
      <c r="B18705" t="s">
        <v>1343</v>
      </c>
    </row>
    <row r="18706" spans="1:8" x14ac:dyDescent="0.25">
      <c r="A18706" t="s">
        <v>56</v>
      </c>
      <c r="B18706" t="s">
        <v>1343</v>
      </c>
    </row>
    <row r="18707" spans="1:8" x14ac:dyDescent="0.25">
      <c r="A18707" t="s">
        <v>55</v>
      </c>
      <c r="B18707" t="s">
        <v>1343</v>
      </c>
    </row>
    <row r="18708" spans="1:8" x14ac:dyDescent="0.25">
      <c r="A18708" t="s">
        <v>39</v>
      </c>
      <c r="B18708" t="s">
        <v>1343</v>
      </c>
    </row>
    <row r="18709" spans="1:8" x14ac:dyDescent="0.25">
      <c r="A18709" t="s">
        <v>40</v>
      </c>
      <c r="B18709" t="s">
        <v>1343</v>
      </c>
    </row>
    <row r="18710" spans="1:8" x14ac:dyDescent="0.25">
      <c r="A18710" t="s">
        <v>172</v>
      </c>
      <c r="B18710" t="s">
        <v>1343</v>
      </c>
    </row>
    <row r="18711" spans="1:8" x14ac:dyDescent="0.25">
      <c r="A18711" t="s">
        <v>92</v>
      </c>
      <c r="B18711" t="s">
        <v>1343</v>
      </c>
    </row>
    <row r="18712" spans="1:8" x14ac:dyDescent="0.25">
      <c r="A18712" t="s">
        <v>29</v>
      </c>
      <c r="B18712" t="s">
        <v>1343</v>
      </c>
    </row>
    <row r="18713" spans="1:8" x14ac:dyDescent="0.25">
      <c r="A18713" t="s">
        <v>173</v>
      </c>
      <c r="B18713" t="s">
        <v>1343</v>
      </c>
    </row>
    <row r="18714" spans="1:8" x14ac:dyDescent="0.25">
      <c r="A18714" t="s">
        <v>21</v>
      </c>
      <c r="B18714" t="s">
        <v>1343</v>
      </c>
    </row>
    <row r="18715" spans="1:8" x14ac:dyDescent="0.25">
      <c r="A18715" t="s">
        <v>22</v>
      </c>
      <c r="B18715" t="s">
        <v>1343</v>
      </c>
    </row>
    <row r="18716" spans="1:8" x14ac:dyDescent="0.25">
      <c r="A18716" t="s">
        <v>233</v>
      </c>
      <c r="B18716" t="s">
        <v>1344</v>
      </c>
      <c r="C18716" t="s">
        <v>426</v>
      </c>
      <c r="D18716">
        <v>20</v>
      </c>
      <c r="E18716">
        <v>3888000</v>
      </c>
      <c r="F18716">
        <v>0</v>
      </c>
      <c r="G18716">
        <v>10</v>
      </c>
      <c r="H18716" t="s">
        <v>19</v>
      </c>
    </row>
    <row r="18717" spans="1:8" x14ac:dyDescent="0.25">
      <c r="A18717" t="str">
        <f>"&lt;nominal&gt;" &amp;$D$18716&amp;"&lt;/nominal&gt;"</f>
        <v>&lt;nominal&gt;20&lt;/nominal&gt;</v>
      </c>
      <c r="B18717" t="s">
        <v>1344</v>
      </c>
    </row>
    <row r="18718" spans="1:8" x14ac:dyDescent="0.25">
      <c r="A18718" t="str">
        <f>"&lt;lifetime&gt;" &amp;$E$18716&amp;"&lt;/lifetime&gt;"</f>
        <v>&lt;lifetime&gt;3888000&lt;/lifetime&gt;</v>
      </c>
      <c r="B18718" t="s">
        <v>1344</v>
      </c>
    </row>
    <row r="18719" spans="1:8" x14ac:dyDescent="0.25">
      <c r="A18719" t="str">
        <f>"&lt;restock&gt;" &amp;$F$18716&amp;"&lt;/restock&gt;"</f>
        <v>&lt;restock&gt;0&lt;/restock&gt;</v>
      </c>
      <c r="B18719" t="s">
        <v>1344</v>
      </c>
    </row>
    <row r="18720" spans="1:8" x14ac:dyDescent="0.25">
      <c r="A18720" t="str">
        <f>"&lt;min&gt;" &amp;$G$18716&amp;"&lt;/min&gt;"</f>
        <v>&lt;min&gt;10&lt;/min&gt;</v>
      </c>
      <c r="B18720" t="s">
        <v>1344</v>
      </c>
    </row>
    <row r="18721" spans="1:2" x14ac:dyDescent="0.25">
      <c r="A18721" t="s">
        <v>16</v>
      </c>
      <c r="B18721" t="s">
        <v>1344</v>
      </c>
    </row>
    <row r="18722" spans="1:2" x14ac:dyDescent="0.25">
      <c r="A18722" t="s">
        <v>17</v>
      </c>
      <c r="B18722" t="s">
        <v>1344</v>
      </c>
    </row>
    <row r="18723" spans="1:2" x14ac:dyDescent="0.25">
      <c r="A18723" t="s">
        <v>18</v>
      </c>
      <c r="B18723" t="s">
        <v>1344</v>
      </c>
    </row>
    <row r="18724" spans="1:2" x14ac:dyDescent="0.25">
      <c r="A18724" t="str">
        <f xml:space="preserve"> $H$18716</f>
        <v>&lt;flags count_in_cargo="0" count_in_hoarder="0" count_in_map="1" count_in_player="0" crafted="0" deloot="0"/&gt;</v>
      </c>
      <c r="B18724" t="s">
        <v>1344</v>
      </c>
    </row>
    <row r="18725" spans="1:2" x14ac:dyDescent="0.25">
      <c r="A18725" t="str">
        <f>"&lt;category name=" &amp;"""" &amp;$C$18716&amp;"""/&gt;"</f>
        <v>&lt;category name="tools"/&gt;</v>
      </c>
      <c r="B18725" t="s">
        <v>1344</v>
      </c>
    </row>
    <row r="18726" spans="1:2" x14ac:dyDescent="0.25">
      <c r="A18726" t="s">
        <v>25</v>
      </c>
      <c r="B18726" t="s">
        <v>1344</v>
      </c>
    </row>
    <row r="18727" spans="1:2" x14ac:dyDescent="0.25">
      <c r="A18727" t="s">
        <v>56</v>
      </c>
      <c r="B18727" t="s">
        <v>1344</v>
      </c>
    </row>
    <row r="18728" spans="1:2" x14ac:dyDescent="0.25">
      <c r="A18728" t="s">
        <v>55</v>
      </c>
      <c r="B18728" t="s">
        <v>1344</v>
      </c>
    </row>
    <row r="18729" spans="1:2" x14ac:dyDescent="0.25">
      <c r="A18729" t="s">
        <v>39</v>
      </c>
      <c r="B18729" t="s">
        <v>1344</v>
      </c>
    </row>
    <row r="18730" spans="1:2" x14ac:dyDescent="0.25">
      <c r="A18730" t="s">
        <v>40</v>
      </c>
      <c r="B18730" t="s">
        <v>1344</v>
      </c>
    </row>
    <row r="18731" spans="1:2" x14ac:dyDescent="0.25">
      <c r="A18731" t="s">
        <v>172</v>
      </c>
      <c r="B18731" t="s">
        <v>1344</v>
      </c>
    </row>
    <row r="18732" spans="1:2" x14ac:dyDescent="0.25">
      <c r="A18732" t="s">
        <v>92</v>
      </c>
      <c r="B18732" t="s">
        <v>1344</v>
      </c>
    </row>
    <row r="18733" spans="1:2" x14ac:dyDescent="0.25">
      <c r="A18733" t="s">
        <v>29</v>
      </c>
      <c r="B18733" t="s">
        <v>1344</v>
      </c>
    </row>
    <row r="18734" spans="1:2" x14ac:dyDescent="0.25">
      <c r="A18734" t="s">
        <v>173</v>
      </c>
      <c r="B18734" t="s">
        <v>1344</v>
      </c>
    </row>
    <row r="18735" spans="1:2" x14ac:dyDescent="0.25">
      <c r="A18735" t="s">
        <v>21</v>
      </c>
      <c r="B18735" t="s">
        <v>1344</v>
      </c>
    </row>
    <row r="18736" spans="1:2" x14ac:dyDescent="0.25">
      <c r="A18736" t="s">
        <v>22</v>
      </c>
      <c r="B18736" t="s">
        <v>1344</v>
      </c>
    </row>
    <row r="18737" spans="1:8" x14ac:dyDescent="0.25">
      <c r="A18737" t="s">
        <v>234</v>
      </c>
      <c r="B18737" t="s">
        <v>1344</v>
      </c>
    </row>
    <row r="18738" spans="1:8" x14ac:dyDescent="0.25">
      <c r="A18738" t="s">
        <v>235</v>
      </c>
      <c r="B18738" t="s">
        <v>3748</v>
      </c>
      <c r="C18738" t="s">
        <v>426</v>
      </c>
      <c r="D18738">
        <v>20</v>
      </c>
      <c r="E18738">
        <v>604800</v>
      </c>
      <c r="F18738">
        <v>0</v>
      </c>
      <c r="G18738">
        <v>10</v>
      </c>
      <c r="H18738" t="s">
        <v>19</v>
      </c>
    </row>
    <row r="18739" spans="1:8" x14ac:dyDescent="0.25">
      <c r="A18739" t="str">
        <f>"&lt;nominal&gt;" &amp;$D$18738&amp;"&lt;/nominal&gt;"</f>
        <v>&lt;nominal&gt;20&lt;/nominal&gt;</v>
      </c>
      <c r="B18739" t="s">
        <v>3748</v>
      </c>
    </row>
    <row r="18740" spans="1:8" x14ac:dyDescent="0.25">
      <c r="A18740" t="str">
        <f>"&lt;lifetime&gt;" &amp;$E$18738&amp;"&lt;/lifetime&gt;"</f>
        <v>&lt;lifetime&gt;604800&lt;/lifetime&gt;</v>
      </c>
      <c r="B18740" t="s">
        <v>3748</v>
      </c>
    </row>
    <row r="18741" spans="1:8" x14ac:dyDescent="0.25">
      <c r="A18741" t="str">
        <f>"&lt;restock&gt;" &amp;$F$18738&amp;"&lt;/restock&gt;"</f>
        <v>&lt;restock&gt;0&lt;/restock&gt;</v>
      </c>
      <c r="B18741" t="s">
        <v>3748</v>
      </c>
    </row>
    <row r="18742" spans="1:8" x14ac:dyDescent="0.25">
      <c r="A18742" t="str">
        <f>"&lt;min&gt;" &amp;$G$18738&amp;"&lt;/min&gt;"</f>
        <v>&lt;min&gt;10&lt;/min&gt;</v>
      </c>
      <c r="B18742" t="s">
        <v>3748</v>
      </c>
    </row>
    <row r="18743" spans="1:8" x14ac:dyDescent="0.25">
      <c r="A18743" t="s">
        <v>16</v>
      </c>
      <c r="B18743" t="s">
        <v>3748</v>
      </c>
    </row>
    <row r="18744" spans="1:8" x14ac:dyDescent="0.25">
      <c r="A18744" t="s">
        <v>17</v>
      </c>
      <c r="B18744" t="s">
        <v>3748</v>
      </c>
    </row>
    <row r="18745" spans="1:8" x14ac:dyDescent="0.25">
      <c r="A18745" t="s">
        <v>18</v>
      </c>
      <c r="B18745" t="s">
        <v>3748</v>
      </c>
    </row>
    <row r="18746" spans="1:8" x14ac:dyDescent="0.25">
      <c r="A18746" t="str">
        <f xml:space="preserve"> $H$18738</f>
        <v>&lt;flags count_in_cargo="0" count_in_hoarder="0" count_in_map="1" count_in_player="0" crafted="0" deloot="0"/&gt;</v>
      </c>
      <c r="B18746" t="s">
        <v>3748</v>
      </c>
    </row>
    <row r="18747" spans="1:8" x14ac:dyDescent="0.25">
      <c r="A18747" t="str">
        <f>"&lt;category name=" &amp;"""" &amp;$C$18738&amp;"""/&gt;"</f>
        <v>&lt;category name="tools"/&gt;</v>
      </c>
      <c r="B18747" t="s">
        <v>3748</v>
      </c>
    </row>
    <row r="18748" spans="1:8" x14ac:dyDescent="0.25">
      <c r="A18748" t="s">
        <v>25</v>
      </c>
      <c r="B18748" t="s">
        <v>3748</v>
      </c>
    </row>
    <row r="18749" spans="1:8" x14ac:dyDescent="0.25">
      <c r="A18749" t="s">
        <v>56</v>
      </c>
      <c r="B18749" t="s">
        <v>3748</v>
      </c>
    </row>
    <row r="18750" spans="1:8" x14ac:dyDescent="0.25">
      <c r="A18750" t="s">
        <v>55</v>
      </c>
      <c r="B18750" t="s">
        <v>3748</v>
      </c>
    </row>
    <row r="18751" spans="1:8" x14ac:dyDescent="0.25">
      <c r="A18751" t="s">
        <v>39</v>
      </c>
      <c r="B18751" t="s">
        <v>3748</v>
      </c>
    </row>
    <row r="18752" spans="1:8" x14ac:dyDescent="0.25">
      <c r="A18752" t="s">
        <v>40</v>
      </c>
      <c r="B18752" t="s">
        <v>3748</v>
      </c>
    </row>
    <row r="18753" spans="1:8" x14ac:dyDescent="0.25">
      <c r="A18753" t="s">
        <v>22</v>
      </c>
      <c r="B18753" t="s">
        <v>3748</v>
      </c>
    </row>
    <row r="18754" spans="1:8" x14ac:dyDescent="0.25">
      <c r="A18754" t="s">
        <v>236</v>
      </c>
      <c r="B18754" t="s">
        <v>3749</v>
      </c>
      <c r="E18754">
        <v>3888000</v>
      </c>
      <c r="H18754" t="s">
        <v>175</v>
      </c>
    </row>
    <row r="18755" spans="1:8" x14ac:dyDescent="0.25">
      <c r="A18755" t="str">
        <f>"&lt;lifetime&gt;" &amp;$E$18754&amp;"&lt;/lifetime&gt;"</f>
        <v>&lt;lifetime&gt;3888000&lt;/lifetime&gt;</v>
      </c>
      <c r="B18755" t="s">
        <v>3749</v>
      </c>
    </row>
    <row r="18756" spans="1:8" x14ac:dyDescent="0.25">
      <c r="A18756" t="str">
        <f xml:space="preserve"> $H$18754</f>
        <v>&lt;flags count_in_cargo="1" count_in_hoarder="0" count_in_map="1" count_in_player="0" crafted="1" deloot="0"/&gt;</v>
      </c>
      <c r="B18756" t="s">
        <v>3749</v>
      </c>
    </row>
    <row r="18757" spans="1:8" x14ac:dyDescent="0.25">
      <c r="A18757" t="s">
        <v>22</v>
      </c>
      <c r="B18757" t="s">
        <v>3749</v>
      </c>
    </row>
    <row r="18758" spans="1:8" x14ac:dyDescent="0.25">
      <c r="A18758" t="s">
        <v>237</v>
      </c>
      <c r="B18758" t="s">
        <v>3750</v>
      </c>
      <c r="E18758">
        <v>3888000</v>
      </c>
      <c r="H18758" t="s">
        <v>175</v>
      </c>
    </row>
    <row r="18759" spans="1:8" x14ac:dyDescent="0.25">
      <c r="A18759" t="str">
        <f>"&lt;lifetime&gt;" &amp;$E$18758&amp;"&lt;/lifetime&gt;"</f>
        <v>&lt;lifetime&gt;3888000&lt;/lifetime&gt;</v>
      </c>
      <c r="B18759" t="s">
        <v>3750</v>
      </c>
    </row>
    <row r="18760" spans="1:8" x14ac:dyDescent="0.25">
      <c r="A18760" t="str">
        <f xml:space="preserve"> $H$18758</f>
        <v>&lt;flags count_in_cargo="1" count_in_hoarder="0" count_in_map="1" count_in_player="0" crafted="1" deloot="0"/&gt;</v>
      </c>
      <c r="B18760" t="s">
        <v>3750</v>
      </c>
    </row>
    <row r="18761" spans="1:8" x14ac:dyDescent="0.25">
      <c r="A18761" t="s">
        <v>22</v>
      </c>
      <c r="B18761" t="s">
        <v>3750</v>
      </c>
    </row>
    <row r="18762" spans="1:8" x14ac:dyDescent="0.25">
      <c r="A18762" t="s">
        <v>238</v>
      </c>
      <c r="B18762" t="s">
        <v>3751</v>
      </c>
      <c r="E18762">
        <v>3888000</v>
      </c>
      <c r="H18762" t="s">
        <v>175</v>
      </c>
    </row>
    <row r="18763" spans="1:8" x14ac:dyDescent="0.25">
      <c r="A18763" t="str">
        <f>"&lt;lifetime&gt;" &amp;$E$18762&amp;"&lt;/lifetime&gt;"</f>
        <v>&lt;lifetime&gt;3888000&lt;/lifetime&gt;</v>
      </c>
      <c r="B18763" t="s">
        <v>3751</v>
      </c>
    </row>
    <row r="18764" spans="1:8" x14ac:dyDescent="0.25">
      <c r="A18764" t="str">
        <f xml:space="preserve"> $H$18762</f>
        <v>&lt;flags count_in_cargo="1" count_in_hoarder="0" count_in_map="1" count_in_player="0" crafted="1" deloot="0"/&gt;</v>
      </c>
      <c r="B18764" t="s">
        <v>3751</v>
      </c>
    </row>
    <row r="18765" spans="1:8" x14ac:dyDescent="0.25">
      <c r="A18765" t="s">
        <v>22</v>
      </c>
      <c r="B18765" t="s">
        <v>3751</v>
      </c>
    </row>
    <row r="18766" spans="1:8" x14ac:dyDescent="0.25">
      <c r="A18766" t="s">
        <v>239</v>
      </c>
      <c r="B18766" t="s">
        <v>3751</v>
      </c>
    </row>
    <row r="18767" spans="1:8" x14ac:dyDescent="0.25">
      <c r="A18767" t="s">
        <v>240</v>
      </c>
      <c r="B18767" t="s">
        <v>1345</v>
      </c>
      <c r="C18767" t="s">
        <v>426</v>
      </c>
      <c r="D18767">
        <v>30</v>
      </c>
      <c r="E18767">
        <v>604800</v>
      </c>
      <c r="F18767">
        <v>0</v>
      </c>
      <c r="G18767">
        <v>15</v>
      </c>
      <c r="H18767" t="s">
        <v>19</v>
      </c>
    </row>
    <row r="18768" spans="1:8" x14ac:dyDescent="0.25">
      <c r="A18768" t="str">
        <f>"&lt;nominal&gt;" &amp;$D$18767&amp;"&lt;/nominal&gt;"</f>
        <v>&lt;nominal&gt;30&lt;/nominal&gt;</v>
      </c>
      <c r="B18768" t="s">
        <v>1345</v>
      </c>
    </row>
    <row r="18769" spans="1:8" x14ac:dyDescent="0.25">
      <c r="A18769" t="str">
        <f>"&lt;lifetime&gt;" &amp;$E$18767&amp;"&lt;/lifetime&gt;"</f>
        <v>&lt;lifetime&gt;604800&lt;/lifetime&gt;</v>
      </c>
      <c r="B18769" t="s">
        <v>1345</v>
      </c>
    </row>
    <row r="18770" spans="1:8" x14ac:dyDescent="0.25">
      <c r="A18770" t="str">
        <f>"&lt;restock&gt;" &amp;$F$18767&amp;"&lt;/restock&gt;"</f>
        <v>&lt;restock&gt;0&lt;/restock&gt;</v>
      </c>
      <c r="B18770" t="s">
        <v>1345</v>
      </c>
    </row>
    <row r="18771" spans="1:8" x14ac:dyDescent="0.25">
      <c r="A18771" t="str">
        <f>"&lt;min&gt;" &amp;$G$18767&amp;"&lt;/min&gt;"</f>
        <v>&lt;min&gt;15&lt;/min&gt;</v>
      </c>
      <c r="B18771" t="s">
        <v>1345</v>
      </c>
    </row>
    <row r="18772" spans="1:8" x14ac:dyDescent="0.25">
      <c r="A18772" t="s">
        <v>16</v>
      </c>
      <c r="B18772" t="s">
        <v>1345</v>
      </c>
    </row>
    <row r="18773" spans="1:8" x14ac:dyDescent="0.25">
      <c r="A18773" t="s">
        <v>17</v>
      </c>
      <c r="B18773" t="s">
        <v>1345</v>
      </c>
    </row>
    <row r="18774" spans="1:8" x14ac:dyDescent="0.25">
      <c r="A18774" t="s">
        <v>18</v>
      </c>
      <c r="B18774" t="s">
        <v>1345</v>
      </c>
    </row>
    <row r="18775" spans="1:8" x14ac:dyDescent="0.25">
      <c r="A18775" t="str">
        <f xml:space="preserve"> $H$18767</f>
        <v>&lt;flags count_in_cargo="0" count_in_hoarder="0" count_in_map="1" count_in_player="0" crafted="0" deloot="0"/&gt;</v>
      </c>
      <c r="B18775" t="s">
        <v>1345</v>
      </c>
    </row>
    <row r="18776" spans="1:8" x14ac:dyDescent="0.25">
      <c r="A18776" t="str">
        <f>"&lt;category name=" &amp;"""" &amp;$C$18767&amp;"""/&gt;"</f>
        <v>&lt;category name="tools"/&gt;</v>
      </c>
      <c r="B18776" t="s">
        <v>1345</v>
      </c>
    </row>
    <row r="18777" spans="1:8" x14ac:dyDescent="0.25">
      <c r="A18777" t="s">
        <v>55</v>
      </c>
      <c r="B18777" t="s">
        <v>1345</v>
      </c>
    </row>
    <row r="18778" spans="1:8" x14ac:dyDescent="0.25">
      <c r="A18778" t="s">
        <v>22</v>
      </c>
      <c r="B18778" t="s">
        <v>1345</v>
      </c>
    </row>
    <row r="18779" spans="1:8" x14ac:dyDescent="0.25">
      <c r="A18779" t="s">
        <v>241</v>
      </c>
      <c r="B18779" t="s">
        <v>1346</v>
      </c>
      <c r="C18779" t="s">
        <v>426</v>
      </c>
      <c r="D18779">
        <v>20</v>
      </c>
      <c r="E18779">
        <v>7200</v>
      </c>
      <c r="F18779">
        <v>0</v>
      </c>
      <c r="G18779">
        <v>10</v>
      </c>
      <c r="H18779" t="s">
        <v>19</v>
      </c>
    </row>
    <row r="18780" spans="1:8" x14ac:dyDescent="0.25">
      <c r="A18780" t="str">
        <f>"&lt;nominal&gt;" &amp;$D$18779&amp;"&lt;/nominal&gt;"</f>
        <v>&lt;nominal&gt;20&lt;/nominal&gt;</v>
      </c>
      <c r="B18780" t="s">
        <v>1346</v>
      </c>
    </row>
    <row r="18781" spans="1:8" x14ac:dyDescent="0.25">
      <c r="A18781" t="str">
        <f>"&lt;lifetime&gt;" &amp;$E$18779&amp;"&lt;/lifetime&gt;"</f>
        <v>&lt;lifetime&gt;7200&lt;/lifetime&gt;</v>
      </c>
      <c r="B18781" t="s">
        <v>1346</v>
      </c>
    </row>
    <row r="18782" spans="1:8" x14ac:dyDescent="0.25">
      <c r="A18782" t="str">
        <f>"&lt;restock&gt;" &amp;$F$18779&amp;"&lt;/restock&gt;"</f>
        <v>&lt;restock&gt;0&lt;/restock&gt;</v>
      </c>
      <c r="B18782" t="s">
        <v>1346</v>
      </c>
    </row>
    <row r="18783" spans="1:8" x14ac:dyDescent="0.25">
      <c r="A18783" t="str">
        <f>"&lt;min&gt;" &amp;$G$18779&amp;"&lt;/min&gt;"</f>
        <v>&lt;min&gt;10&lt;/min&gt;</v>
      </c>
      <c r="B18783" t="s">
        <v>1346</v>
      </c>
    </row>
    <row r="18784" spans="1:8" x14ac:dyDescent="0.25">
      <c r="A18784" t="s">
        <v>16</v>
      </c>
      <c r="B18784" t="s">
        <v>1346</v>
      </c>
    </row>
    <row r="18785" spans="1:8" x14ac:dyDescent="0.25">
      <c r="A18785" t="s">
        <v>17</v>
      </c>
      <c r="B18785" t="s">
        <v>1346</v>
      </c>
    </row>
    <row r="18786" spans="1:8" x14ac:dyDescent="0.25">
      <c r="A18786" t="s">
        <v>18</v>
      </c>
      <c r="B18786" t="s">
        <v>1346</v>
      </c>
    </row>
    <row r="18787" spans="1:8" x14ac:dyDescent="0.25">
      <c r="A18787" t="str">
        <f xml:space="preserve"> $H$18779</f>
        <v>&lt;flags count_in_cargo="0" count_in_hoarder="0" count_in_map="1" count_in_player="0" crafted="0" deloot="0"/&gt;</v>
      </c>
      <c r="B18787" t="s">
        <v>1346</v>
      </c>
    </row>
    <row r="18788" spans="1:8" x14ac:dyDescent="0.25">
      <c r="A18788" t="str">
        <f>"&lt;category name=" &amp;"""" &amp;$C$18779&amp;"""/&gt;"</f>
        <v>&lt;category name="tools"/&gt;</v>
      </c>
      <c r="B18788" t="s">
        <v>1346</v>
      </c>
    </row>
    <row r="18789" spans="1:8" x14ac:dyDescent="0.25">
      <c r="A18789" t="s">
        <v>25</v>
      </c>
      <c r="B18789" t="s">
        <v>1346</v>
      </c>
    </row>
    <row r="18790" spans="1:8" x14ac:dyDescent="0.25">
      <c r="A18790" t="s">
        <v>56</v>
      </c>
      <c r="B18790" t="s">
        <v>1346</v>
      </c>
    </row>
    <row r="18791" spans="1:8" x14ac:dyDescent="0.25">
      <c r="A18791" t="s">
        <v>39</v>
      </c>
      <c r="B18791" t="s">
        <v>1346</v>
      </c>
    </row>
    <row r="18792" spans="1:8" x14ac:dyDescent="0.25">
      <c r="A18792" t="s">
        <v>40</v>
      </c>
      <c r="B18792" t="s">
        <v>1346</v>
      </c>
    </row>
    <row r="18793" spans="1:8" x14ac:dyDescent="0.25">
      <c r="A18793" t="s">
        <v>172</v>
      </c>
      <c r="B18793" t="s">
        <v>1346</v>
      </c>
    </row>
    <row r="18794" spans="1:8" x14ac:dyDescent="0.25">
      <c r="A18794" t="s">
        <v>92</v>
      </c>
      <c r="B18794" t="s">
        <v>1346</v>
      </c>
    </row>
    <row r="18795" spans="1:8" x14ac:dyDescent="0.25">
      <c r="A18795" t="s">
        <v>22</v>
      </c>
      <c r="B18795" t="s">
        <v>1346</v>
      </c>
    </row>
    <row r="18796" spans="1:8" x14ac:dyDescent="0.25">
      <c r="A18796" t="s">
        <v>242</v>
      </c>
      <c r="B18796" t="s">
        <v>1347</v>
      </c>
      <c r="C18796" t="s">
        <v>426</v>
      </c>
      <c r="D18796">
        <v>20</v>
      </c>
      <c r="E18796">
        <v>3888000</v>
      </c>
      <c r="F18796">
        <v>0</v>
      </c>
      <c r="G18796">
        <v>10</v>
      </c>
      <c r="H18796" t="s">
        <v>19</v>
      </c>
    </row>
    <row r="18797" spans="1:8" x14ac:dyDescent="0.25">
      <c r="A18797" t="str">
        <f>"&lt;nominal&gt;" &amp;$D$18796&amp;"&lt;/nominal&gt;"</f>
        <v>&lt;nominal&gt;20&lt;/nominal&gt;</v>
      </c>
      <c r="B18797" t="s">
        <v>1347</v>
      </c>
    </row>
    <row r="18798" spans="1:8" x14ac:dyDescent="0.25">
      <c r="A18798" t="str">
        <f>"&lt;lifetime&gt;" &amp;$E$18796&amp;"&lt;/lifetime&gt;"</f>
        <v>&lt;lifetime&gt;3888000&lt;/lifetime&gt;</v>
      </c>
      <c r="B18798" t="s">
        <v>1347</v>
      </c>
    </row>
    <row r="18799" spans="1:8" x14ac:dyDescent="0.25">
      <c r="A18799" t="str">
        <f>"&lt;restock&gt;" &amp;$F$18796&amp;"&lt;/restock&gt;"</f>
        <v>&lt;restock&gt;0&lt;/restock&gt;</v>
      </c>
      <c r="B18799" t="s">
        <v>1347</v>
      </c>
    </row>
    <row r="18800" spans="1:8" x14ac:dyDescent="0.25">
      <c r="A18800" t="str">
        <f>"&lt;min&gt;" &amp;$G$18796&amp;"&lt;/min&gt;"</f>
        <v>&lt;min&gt;10&lt;/min&gt;</v>
      </c>
      <c r="B18800" t="s">
        <v>1347</v>
      </c>
    </row>
    <row r="18801" spans="1:2" x14ac:dyDescent="0.25">
      <c r="A18801" t="s">
        <v>16</v>
      </c>
      <c r="B18801" t="s">
        <v>1347</v>
      </c>
    </row>
    <row r="18802" spans="1:2" x14ac:dyDescent="0.25">
      <c r="A18802" t="s">
        <v>17</v>
      </c>
      <c r="B18802" t="s">
        <v>1347</v>
      </c>
    </row>
    <row r="18803" spans="1:2" x14ac:dyDescent="0.25">
      <c r="A18803" t="s">
        <v>18</v>
      </c>
      <c r="B18803" t="s">
        <v>1347</v>
      </c>
    </row>
    <row r="18804" spans="1:2" x14ac:dyDescent="0.25">
      <c r="A18804" t="str">
        <f xml:space="preserve"> $H$18796</f>
        <v>&lt;flags count_in_cargo="0" count_in_hoarder="0" count_in_map="1" count_in_player="0" crafted="0" deloot="0"/&gt;</v>
      </c>
      <c r="B18804" t="s">
        <v>1347</v>
      </c>
    </row>
    <row r="18805" spans="1:2" x14ac:dyDescent="0.25">
      <c r="A18805" t="str">
        <f>"&lt;category name=" &amp;"""" &amp;$C$18796&amp;"""/&gt;"</f>
        <v>&lt;category name="tools"/&gt;</v>
      </c>
      <c r="B18805" t="s">
        <v>1347</v>
      </c>
    </row>
    <row r="18806" spans="1:2" x14ac:dyDescent="0.25">
      <c r="A18806" t="s">
        <v>25</v>
      </c>
      <c r="B18806" t="s">
        <v>1347</v>
      </c>
    </row>
    <row r="18807" spans="1:2" x14ac:dyDescent="0.25">
      <c r="A18807" t="s">
        <v>56</v>
      </c>
      <c r="B18807" t="s">
        <v>1347</v>
      </c>
    </row>
    <row r="18808" spans="1:2" x14ac:dyDescent="0.25">
      <c r="A18808" t="s">
        <v>55</v>
      </c>
      <c r="B18808" t="s">
        <v>1347</v>
      </c>
    </row>
    <row r="18809" spans="1:2" x14ac:dyDescent="0.25">
      <c r="A18809" t="s">
        <v>39</v>
      </c>
      <c r="B18809" t="s">
        <v>1347</v>
      </c>
    </row>
    <row r="18810" spans="1:2" x14ac:dyDescent="0.25">
      <c r="A18810" t="s">
        <v>40</v>
      </c>
      <c r="B18810" t="s">
        <v>1347</v>
      </c>
    </row>
    <row r="18811" spans="1:2" x14ac:dyDescent="0.25">
      <c r="A18811" t="s">
        <v>172</v>
      </c>
      <c r="B18811" t="s">
        <v>1347</v>
      </c>
    </row>
    <row r="18812" spans="1:2" x14ac:dyDescent="0.25">
      <c r="A18812" t="s">
        <v>92</v>
      </c>
      <c r="B18812" t="s">
        <v>1347</v>
      </c>
    </row>
    <row r="18813" spans="1:2" x14ac:dyDescent="0.25">
      <c r="A18813" t="s">
        <v>29</v>
      </c>
      <c r="B18813" t="s">
        <v>1347</v>
      </c>
    </row>
    <row r="18814" spans="1:2" x14ac:dyDescent="0.25">
      <c r="A18814" t="s">
        <v>173</v>
      </c>
      <c r="B18814" t="s">
        <v>1347</v>
      </c>
    </row>
    <row r="18815" spans="1:2" x14ac:dyDescent="0.25">
      <c r="A18815" t="s">
        <v>21</v>
      </c>
      <c r="B18815" t="s">
        <v>1347</v>
      </c>
    </row>
    <row r="18816" spans="1:2" x14ac:dyDescent="0.25">
      <c r="A18816" t="s">
        <v>22</v>
      </c>
      <c r="B18816" t="s">
        <v>1347</v>
      </c>
    </row>
    <row r="18817" spans="1:8" x14ac:dyDescent="0.25">
      <c r="A18817" t="s">
        <v>243</v>
      </c>
      <c r="B18817" t="s">
        <v>1348</v>
      </c>
      <c r="C18817" t="s">
        <v>426</v>
      </c>
      <c r="D18817">
        <v>20</v>
      </c>
      <c r="E18817">
        <v>7200</v>
      </c>
      <c r="F18817">
        <v>0</v>
      </c>
      <c r="G18817">
        <v>10</v>
      </c>
      <c r="H18817" t="s">
        <v>19</v>
      </c>
    </row>
    <row r="18818" spans="1:8" x14ac:dyDescent="0.25">
      <c r="A18818" t="str">
        <f>"&lt;nominal&gt;" &amp;$D$18817&amp;"&lt;/nominal&gt;"</f>
        <v>&lt;nominal&gt;20&lt;/nominal&gt;</v>
      </c>
      <c r="B18818" t="s">
        <v>1348</v>
      </c>
    </row>
    <row r="18819" spans="1:8" x14ac:dyDescent="0.25">
      <c r="A18819" t="str">
        <f>"&lt;lifetime&gt;" &amp;$E$18817&amp;"&lt;/lifetime&gt;"</f>
        <v>&lt;lifetime&gt;7200&lt;/lifetime&gt;</v>
      </c>
      <c r="B18819" t="s">
        <v>1348</v>
      </c>
    </row>
    <row r="18820" spans="1:8" x14ac:dyDescent="0.25">
      <c r="A18820" t="str">
        <f>"&lt;restock&gt;" &amp;$F$18817&amp;"&lt;/restock&gt;"</f>
        <v>&lt;restock&gt;0&lt;/restock&gt;</v>
      </c>
      <c r="B18820" t="s">
        <v>1348</v>
      </c>
    </row>
    <row r="18821" spans="1:8" x14ac:dyDescent="0.25">
      <c r="A18821" t="str">
        <f>"&lt;min&gt;" &amp;$G$18817&amp;"&lt;/min&gt;"</f>
        <v>&lt;min&gt;10&lt;/min&gt;</v>
      </c>
      <c r="B18821" t="s">
        <v>1348</v>
      </c>
    </row>
    <row r="18822" spans="1:8" x14ac:dyDescent="0.25">
      <c r="A18822" t="s">
        <v>16</v>
      </c>
      <c r="B18822" t="s">
        <v>1348</v>
      </c>
    </row>
    <row r="18823" spans="1:8" x14ac:dyDescent="0.25">
      <c r="A18823" t="s">
        <v>17</v>
      </c>
      <c r="B18823" t="s">
        <v>1348</v>
      </c>
    </row>
    <row r="18824" spans="1:8" x14ac:dyDescent="0.25">
      <c r="A18824" t="s">
        <v>18</v>
      </c>
      <c r="B18824" t="s">
        <v>1348</v>
      </c>
    </row>
    <row r="18825" spans="1:8" x14ac:dyDescent="0.25">
      <c r="A18825" t="str">
        <f xml:space="preserve"> $H$18817</f>
        <v>&lt;flags count_in_cargo="0" count_in_hoarder="0" count_in_map="1" count_in_player="0" crafted="0" deloot="0"/&gt;</v>
      </c>
      <c r="B18825" t="s">
        <v>1348</v>
      </c>
    </row>
    <row r="18826" spans="1:8" x14ac:dyDescent="0.25">
      <c r="A18826" t="str">
        <f>"&lt;category name=" &amp;"""" &amp;$C$18817&amp;"""/&gt;"</f>
        <v>&lt;category name="tools"/&gt;</v>
      </c>
      <c r="B18826" t="s">
        <v>1348</v>
      </c>
    </row>
    <row r="18827" spans="1:8" x14ac:dyDescent="0.25">
      <c r="A18827" t="s">
        <v>25</v>
      </c>
      <c r="B18827" t="s">
        <v>1348</v>
      </c>
    </row>
    <row r="18828" spans="1:8" x14ac:dyDescent="0.25">
      <c r="A18828" t="s">
        <v>56</v>
      </c>
      <c r="B18828" t="s">
        <v>1348</v>
      </c>
    </row>
    <row r="18829" spans="1:8" x14ac:dyDescent="0.25">
      <c r="A18829" t="s">
        <v>55</v>
      </c>
      <c r="B18829" t="s">
        <v>1348</v>
      </c>
    </row>
    <row r="18830" spans="1:8" x14ac:dyDescent="0.25">
      <c r="A18830" t="s">
        <v>39</v>
      </c>
      <c r="B18830" t="s">
        <v>1348</v>
      </c>
    </row>
    <row r="18831" spans="1:8" x14ac:dyDescent="0.25">
      <c r="A18831" t="s">
        <v>40</v>
      </c>
      <c r="B18831" t="s">
        <v>1348</v>
      </c>
    </row>
    <row r="18832" spans="1:8" x14ac:dyDescent="0.25">
      <c r="A18832" t="s">
        <v>172</v>
      </c>
      <c r="B18832" t="s">
        <v>1348</v>
      </c>
    </row>
    <row r="18833" spans="1:8" x14ac:dyDescent="0.25">
      <c r="A18833" t="s">
        <v>92</v>
      </c>
      <c r="B18833" t="s">
        <v>1348</v>
      </c>
    </row>
    <row r="18834" spans="1:8" x14ac:dyDescent="0.25">
      <c r="A18834" t="s">
        <v>22</v>
      </c>
      <c r="B18834" t="s">
        <v>1348</v>
      </c>
    </row>
    <row r="18835" spans="1:8" x14ac:dyDescent="0.25">
      <c r="A18835" t="s">
        <v>244</v>
      </c>
      <c r="B18835" t="s">
        <v>3752</v>
      </c>
      <c r="E18835">
        <v>3888000</v>
      </c>
      <c r="H18835" t="s">
        <v>175</v>
      </c>
    </row>
    <row r="18836" spans="1:8" x14ac:dyDescent="0.25">
      <c r="A18836" t="str">
        <f>"&lt;lifetime&gt;" &amp;$E$18835&amp;"&lt;/lifetime&gt;"</f>
        <v>&lt;lifetime&gt;3888000&lt;/lifetime&gt;</v>
      </c>
      <c r="B18836" t="s">
        <v>3752</v>
      </c>
    </row>
    <row r="18837" spans="1:8" x14ac:dyDescent="0.25">
      <c r="A18837" t="str">
        <f xml:space="preserve"> $H$18835</f>
        <v>&lt;flags count_in_cargo="1" count_in_hoarder="0" count_in_map="1" count_in_player="0" crafted="1" deloot="0"/&gt;</v>
      </c>
      <c r="B18837" t="s">
        <v>3752</v>
      </c>
    </row>
    <row r="18838" spans="1:8" x14ac:dyDescent="0.25">
      <c r="A18838" t="s">
        <v>22</v>
      </c>
      <c r="B18838" t="s">
        <v>3752</v>
      </c>
    </row>
    <row r="18839" spans="1:8" x14ac:dyDescent="0.25">
      <c r="A18839" t="s">
        <v>245</v>
      </c>
      <c r="B18839" t="s">
        <v>1349</v>
      </c>
      <c r="C18839" t="s">
        <v>426</v>
      </c>
      <c r="D18839">
        <v>20</v>
      </c>
      <c r="E18839">
        <v>3888000</v>
      </c>
      <c r="F18839">
        <v>0</v>
      </c>
      <c r="G18839">
        <v>10</v>
      </c>
      <c r="H18839" t="s">
        <v>19</v>
      </c>
    </row>
    <row r="18840" spans="1:8" x14ac:dyDescent="0.25">
      <c r="A18840" t="str">
        <f>"&lt;nominal&gt;" &amp;$D$18839&amp;"&lt;/nominal&gt;"</f>
        <v>&lt;nominal&gt;20&lt;/nominal&gt;</v>
      </c>
      <c r="B18840" t="s">
        <v>1349</v>
      </c>
    </row>
    <row r="18841" spans="1:8" x14ac:dyDescent="0.25">
      <c r="A18841" t="str">
        <f>"&lt;lifetime&gt;" &amp;$E$18839&amp;"&lt;/lifetime&gt;"</f>
        <v>&lt;lifetime&gt;3888000&lt;/lifetime&gt;</v>
      </c>
      <c r="B18841" t="s">
        <v>1349</v>
      </c>
    </row>
    <row r="18842" spans="1:8" x14ac:dyDescent="0.25">
      <c r="A18842" t="str">
        <f>"&lt;restock&gt;" &amp;$F$18839&amp;"&lt;/restock&gt;"</f>
        <v>&lt;restock&gt;0&lt;/restock&gt;</v>
      </c>
      <c r="B18842" t="s">
        <v>1349</v>
      </c>
    </row>
    <row r="18843" spans="1:8" x14ac:dyDescent="0.25">
      <c r="A18843" t="str">
        <f>"&lt;min&gt;" &amp;$G$18839&amp;"&lt;/min&gt;"</f>
        <v>&lt;min&gt;10&lt;/min&gt;</v>
      </c>
      <c r="B18843" t="s">
        <v>1349</v>
      </c>
    </row>
    <row r="18844" spans="1:8" x14ac:dyDescent="0.25">
      <c r="A18844" t="s">
        <v>16</v>
      </c>
      <c r="B18844" t="s">
        <v>1349</v>
      </c>
    </row>
    <row r="18845" spans="1:8" x14ac:dyDescent="0.25">
      <c r="A18845" t="s">
        <v>17</v>
      </c>
      <c r="B18845" t="s">
        <v>1349</v>
      </c>
    </row>
    <row r="18846" spans="1:8" x14ac:dyDescent="0.25">
      <c r="A18846" t="s">
        <v>18</v>
      </c>
      <c r="B18846" t="s">
        <v>1349</v>
      </c>
    </row>
    <row r="18847" spans="1:8" x14ac:dyDescent="0.25">
      <c r="A18847" t="str">
        <f xml:space="preserve"> $H$18839</f>
        <v>&lt;flags count_in_cargo="0" count_in_hoarder="0" count_in_map="1" count_in_player="0" crafted="0" deloot="0"/&gt;</v>
      </c>
      <c r="B18847" t="s">
        <v>1349</v>
      </c>
    </row>
    <row r="18848" spans="1:8" x14ac:dyDescent="0.25">
      <c r="A18848" t="str">
        <f>"&lt;category name=" &amp;"""" &amp;$C$18839&amp;"""/&gt;"</f>
        <v>&lt;category name="tools"/&gt;</v>
      </c>
      <c r="B18848" t="s">
        <v>1349</v>
      </c>
    </row>
    <row r="18849" spans="1:8" x14ac:dyDescent="0.25">
      <c r="A18849" t="s">
        <v>25</v>
      </c>
      <c r="B18849" t="s">
        <v>1349</v>
      </c>
    </row>
    <row r="18850" spans="1:8" x14ac:dyDescent="0.25">
      <c r="A18850" t="s">
        <v>56</v>
      </c>
      <c r="B18850" t="s">
        <v>1349</v>
      </c>
    </row>
    <row r="18851" spans="1:8" x14ac:dyDescent="0.25">
      <c r="A18851" t="s">
        <v>55</v>
      </c>
      <c r="B18851" t="s">
        <v>1349</v>
      </c>
    </row>
    <row r="18852" spans="1:8" x14ac:dyDescent="0.25">
      <c r="A18852" t="s">
        <v>39</v>
      </c>
      <c r="B18852" t="s">
        <v>1349</v>
      </c>
    </row>
    <row r="18853" spans="1:8" x14ac:dyDescent="0.25">
      <c r="A18853" t="s">
        <v>40</v>
      </c>
      <c r="B18853" t="s">
        <v>1349</v>
      </c>
    </row>
    <row r="18854" spans="1:8" x14ac:dyDescent="0.25">
      <c r="A18854" t="s">
        <v>172</v>
      </c>
      <c r="B18854" t="s">
        <v>1349</v>
      </c>
    </row>
    <row r="18855" spans="1:8" x14ac:dyDescent="0.25">
      <c r="A18855" t="s">
        <v>92</v>
      </c>
      <c r="B18855" t="s">
        <v>1349</v>
      </c>
    </row>
    <row r="18856" spans="1:8" x14ac:dyDescent="0.25">
      <c r="A18856" t="s">
        <v>22</v>
      </c>
      <c r="B18856" t="s">
        <v>1349</v>
      </c>
    </row>
    <row r="18857" spans="1:8" x14ac:dyDescent="0.25">
      <c r="A18857" t="s">
        <v>246</v>
      </c>
      <c r="B18857" t="s">
        <v>1350</v>
      </c>
      <c r="C18857" t="s">
        <v>426</v>
      </c>
      <c r="D18857">
        <v>20</v>
      </c>
      <c r="E18857">
        <v>3888000</v>
      </c>
      <c r="F18857">
        <v>0</v>
      </c>
      <c r="G18857">
        <v>10</v>
      </c>
      <c r="H18857" t="s">
        <v>19</v>
      </c>
    </row>
    <row r="18858" spans="1:8" x14ac:dyDescent="0.25">
      <c r="A18858" t="str">
        <f>"&lt;nominal&gt;" &amp;$D$18857&amp;"&lt;/nominal&gt;"</f>
        <v>&lt;nominal&gt;20&lt;/nominal&gt;</v>
      </c>
      <c r="B18858" t="s">
        <v>1350</v>
      </c>
    </row>
    <row r="18859" spans="1:8" x14ac:dyDescent="0.25">
      <c r="A18859" t="str">
        <f>"&lt;lifetime&gt;" &amp;$E$18857&amp;"&lt;/lifetime&gt;"</f>
        <v>&lt;lifetime&gt;3888000&lt;/lifetime&gt;</v>
      </c>
      <c r="B18859" t="s">
        <v>1350</v>
      </c>
    </row>
    <row r="18860" spans="1:8" x14ac:dyDescent="0.25">
      <c r="A18860" t="str">
        <f>"&lt;restock&gt;" &amp;$F$18857&amp;"&lt;/restock&gt;"</f>
        <v>&lt;restock&gt;0&lt;/restock&gt;</v>
      </c>
      <c r="B18860" t="s">
        <v>1350</v>
      </c>
    </row>
    <row r="18861" spans="1:8" x14ac:dyDescent="0.25">
      <c r="A18861" t="str">
        <f>"&lt;min&gt;" &amp;$G$18857&amp;"&lt;/min&gt;"</f>
        <v>&lt;min&gt;10&lt;/min&gt;</v>
      </c>
      <c r="B18861" t="s">
        <v>1350</v>
      </c>
    </row>
    <row r="18862" spans="1:8" x14ac:dyDescent="0.25">
      <c r="A18862" t="s">
        <v>16</v>
      </c>
      <c r="B18862" t="s">
        <v>1350</v>
      </c>
    </row>
    <row r="18863" spans="1:8" x14ac:dyDescent="0.25">
      <c r="A18863" t="s">
        <v>17</v>
      </c>
      <c r="B18863" t="s">
        <v>1350</v>
      </c>
    </row>
    <row r="18864" spans="1:8" x14ac:dyDescent="0.25">
      <c r="A18864" t="s">
        <v>18</v>
      </c>
      <c r="B18864" t="s">
        <v>1350</v>
      </c>
    </row>
    <row r="18865" spans="1:8" x14ac:dyDescent="0.25">
      <c r="A18865" t="str">
        <f xml:space="preserve"> $H$18857</f>
        <v>&lt;flags count_in_cargo="0" count_in_hoarder="0" count_in_map="1" count_in_player="0" crafted="0" deloot="0"/&gt;</v>
      </c>
      <c r="B18865" t="s">
        <v>1350</v>
      </c>
    </row>
    <row r="18866" spans="1:8" x14ac:dyDescent="0.25">
      <c r="A18866" t="str">
        <f>"&lt;category name=" &amp;"""" &amp;$C$18857&amp;"""/&gt;"</f>
        <v>&lt;category name="tools"/&gt;</v>
      </c>
      <c r="B18866" t="s">
        <v>1350</v>
      </c>
    </row>
    <row r="18867" spans="1:8" x14ac:dyDescent="0.25">
      <c r="A18867" t="s">
        <v>25</v>
      </c>
      <c r="B18867" t="s">
        <v>1350</v>
      </c>
    </row>
    <row r="18868" spans="1:8" x14ac:dyDescent="0.25">
      <c r="A18868" t="s">
        <v>56</v>
      </c>
      <c r="B18868" t="s">
        <v>1350</v>
      </c>
    </row>
    <row r="18869" spans="1:8" x14ac:dyDescent="0.25">
      <c r="A18869" t="s">
        <v>55</v>
      </c>
      <c r="B18869" t="s">
        <v>1350</v>
      </c>
    </row>
    <row r="18870" spans="1:8" x14ac:dyDescent="0.25">
      <c r="A18870" t="s">
        <v>39</v>
      </c>
      <c r="B18870" t="s">
        <v>1350</v>
      </c>
    </row>
    <row r="18871" spans="1:8" x14ac:dyDescent="0.25">
      <c r="A18871" t="s">
        <v>40</v>
      </c>
      <c r="B18871" t="s">
        <v>1350</v>
      </c>
    </row>
    <row r="18872" spans="1:8" x14ac:dyDescent="0.25">
      <c r="A18872" t="s">
        <v>172</v>
      </c>
      <c r="B18872" t="s">
        <v>1350</v>
      </c>
    </row>
    <row r="18873" spans="1:8" x14ac:dyDescent="0.25">
      <c r="A18873" t="s">
        <v>92</v>
      </c>
      <c r="B18873" t="s">
        <v>1350</v>
      </c>
    </row>
    <row r="18874" spans="1:8" x14ac:dyDescent="0.25">
      <c r="A18874" t="s">
        <v>22</v>
      </c>
      <c r="B18874" t="s">
        <v>1350</v>
      </c>
    </row>
    <row r="18875" spans="1:8" x14ac:dyDescent="0.25">
      <c r="A18875" t="s">
        <v>247</v>
      </c>
      <c r="B18875" t="s">
        <v>3753</v>
      </c>
      <c r="E18875">
        <v>7200</v>
      </c>
      <c r="H18875" t="s">
        <v>62</v>
      </c>
    </row>
    <row r="18876" spans="1:8" x14ac:dyDescent="0.25">
      <c r="A18876" t="str">
        <f>"&lt;lifetime&gt;" &amp;$E$18875&amp;"&lt;/lifetime&gt;"</f>
        <v>&lt;lifetime&gt;7200&lt;/lifetime&gt;</v>
      </c>
      <c r="B18876" t="s">
        <v>3753</v>
      </c>
    </row>
    <row r="18877" spans="1:8" x14ac:dyDescent="0.25">
      <c r="A18877" t="str">
        <f xml:space="preserve"> $H$18875</f>
        <v>&lt;flags count_in_cargo="0" count_in_hoarder="0" count_in_map="1" count_in_player="0" crafted="1" deloot="0"/&gt;</v>
      </c>
      <c r="B18877" t="s">
        <v>3753</v>
      </c>
    </row>
    <row r="18878" spans="1:8" x14ac:dyDescent="0.25">
      <c r="A18878" t="s">
        <v>22</v>
      </c>
      <c r="B18878" t="s">
        <v>3753</v>
      </c>
    </row>
    <row r="18879" spans="1:8" x14ac:dyDescent="0.25">
      <c r="A18879" t="s">
        <v>248</v>
      </c>
      <c r="B18879" t="s">
        <v>3754</v>
      </c>
      <c r="E18879">
        <v>3888000</v>
      </c>
      <c r="H18879" t="s">
        <v>62</v>
      </c>
    </row>
    <row r="18880" spans="1:8" x14ac:dyDescent="0.25">
      <c r="A18880" t="str">
        <f>"&lt;lifetime&gt;" &amp;$E$18879&amp;"&lt;/lifetime&gt;"</f>
        <v>&lt;lifetime&gt;3888000&lt;/lifetime&gt;</v>
      </c>
      <c r="B18880" t="s">
        <v>3754</v>
      </c>
    </row>
    <row r="18881" spans="1:8" x14ac:dyDescent="0.25">
      <c r="A18881" t="str">
        <f xml:space="preserve"> $H$18879</f>
        <v>&lt;flags count_in_cargo="0" count_in_hoarder="0" count_in_map="1" count_in_player="0" crafted="1" deloot="0"/&gt;</v>
      </c>
      <c r="B18881" t="s">
        <v>3754</v>
      </c>
    </row>
    <row r="18882" spans="1:8" x14ac:dyDescent="0.25">
      <c r="A18882" t="s">
        <v>22</v>
      </c>
      <c r="B18882" t="s">
        <v>3754</v>
      </c>
    </row>
    <row r="18883" spans="1:8" x14ac:dyDescent="0.25">
      <c r="A18883" t="s">
        <v>249</v>
      </c>
      <c r="B18883" t="s">
        <v>3755</v>
      </c>
      <c r="E18883">
        <v>7200</v>
      </c>
      <c r="H18883" t="s">
        <v>62</v>
      </c>
    </row>
    <row r="18884" spans="1:8" x14ac:dyDescent="0.25">
      <c r="A18884" t="str">
        <f>"&lt;lifetime&gt;" &amp;$E$18883&amp;"&lt;/lifetime&gt;"</f>
        <v>&lt;lifetime&gt;7200&lt;/lifetime&gt;</v>
      </c>
      <c r="B18884" t="s">
        <v>3755</v>
      </c>
    </row>
    <row r="18885" spans="1:8" x14ac:dyDescent="0.25">
      <c r="A18885" t="str">
        <f xml:space="preserve"> $H$18883</f>
        <v>&lt;flags count_in_cargo="0" count_in_hoarder="0" count_in_map="1" count_in_player="0" crafted="1" deloot="0"/&gt;</v>
      </c>
      <c r="B18885" t="s">
        <v>3755</v>
      </c>
    </row>
    <row r="18886" spans="1:8" x14ac:dyDescent="0.25">
      <c r="A18886" t="s">
        <v>22</v>
      </c>
      <c r="B18886" t="s">
        <v>3755</v>
      </c>
    </row>
    <row r="18887" spans="1:8" x14ac:dyDescent="0.25">
      <c r="A18887" t="s">
        <v>250</v>
      </c>
      <c r="B18887" t="s">
        <v>3756</v>
      </c>
      <c r="E18887">
        <v>3888000</v>
      </c>
      <c r="H18887" t="s">
        <v>62</v>
      </c>
    </row>
    <row r="18888" spans="1:8" x14ac:dyDescent="0.25">
      <c r="A18888" t="str">
        <f>"&lt;lifetime&gt;" &amp;$E$18887&amp;"&lt;/lifetime&gt;"</f>
        <v>&lt;lifetime&gt;3888000&lt;/lifetime&gt;</v>
      </c>
      <c r="B18888" t="s">
        <v>3756</v>
      </c>
    </row>
    <row r="18889" spans="1:8" x14ac:dyDescent="0.25">
      <c r="A18889" t="str">
        <f xml:space="preserve"> $H$18887</f>
        <v>&lt;flags count_in_cargo="0" count_in_hoarder="0" count_in_map="1" count_in_player="0" crafted="1" deloot="0"/&gt;</v>
      </c>
      <c r="B18889" t="s">
        <v>3756</v>
      </c>
    </row>
    <row r="18890" spans="1:8" x14ac:dyDescent="0.25">
      <c r="A18890" t="s">
        <v>22</v>
      </c>
      <c r="B18890" t="s">
        <v>3756</v>
      </c>
    </row>
    <row r="18891" spans="1:8" x14ac:dyDescent="0.25">
      <c r="A18891" t="s">
        <v>251</v>
      </c>
      <c r="B18891" t="s">
        <v>3757</v>
      </c>
      <c r="E18891">
        <v>7200</v>
      </c>
      <c r="H18891" t="s">
        <v>62</v>
      </c>
    </row>
    <row r="18892" spans="1:8" x14ac:dyDescent="0.25">
      <c r="A18892" t="str">
        <f>"&lt;lifetime&gt;" &amp;$E$18891&amp;"&lt;/lifetime&gt;"</f>
        <v>&lt;lifetime&gt;7200&lt;/lifetime&gt;</v>
      </c>
      <c r="B18892" t="s">
        <v>3757</v>
      </c>
    </row>
    <row r="18893" spans="1:8" x14ac:dyDescent="0.25">
      <c r="A18893" t="str">
        <f xml:space="preserve"> $H$18891</f>
        <v>&lt;flags count_in_cargo="0" count_in_hoarder="0" count_in_map="1" count_in_player="0" crafted="1" deloot="0"/&gt;</v>
      </c>
      <c r="B18893" t="s">
        <v>3757</v>
      </c>
    </row>
    <row r="18894" spans="1:8" x14ac:dyDescent="0.25">
      <c r="A18894" t="s">
        <v>22</v>
      </c>
      <c r="B18894" t="s">
        <v>3757</v>
      </c>
    </row>
    <row r="18895" spans="1:8" x14ac:dyDescent="0.25">
      <c r="A18895" t="s">
        <v>252</v>
      </c>
      <c r="B18895" t="s">
        <v>3758</v>
      </c>
      <c r="E18895">
        <v>3888000</v>
      </c>
      <c r="H18895" t="s">
        <v>62</v>
      </c>
    </row>
    <row r="18896" spans="1:8" x14ac:dyDescent="0.25">
      <c r="A18896" t="str">
        <f>"&lt;lifetime&gt;" &amp;$E$18895&amp;"&lt;/lifetime&gt;"</f>
        <v>&lt;lifetime&gt;3888000&lt;/lifetime&gt;</v>
      </c>
      <c r="B18896" t="s">
        <v>3758</v>
      </c>
    </row>
    <row r="18897" spans="1:8" x14ac:dyDescent="0.25">
      <c r="A18897" t="str">
        <f xml:space="preserve"> $H$18895</f>
        <v>&lt;flags count_in_cargo="0" count_in_hoarder="0" count_in_map="1" count_in_player="0" crafted="1" deloot="0"/&gt;</v>
      </c>
      <c r="B18897" t="s">
        <v>3758</v>
      </c>
    </row>
    <row r="18898" spans="1:8" x14ac:dyDescent="0.25">
      <c r="A18898" t="s">
        <v>22</v>
      </c>
      <c r="B18898" t="s">
        <v>3758</v>
      </c>
    </row>
    <row r="18899" spans="1:8" x14ac:dyDescent="0.25">
      <c r="A18899" t="s">
        <v>253</v>
      </c>
      <c r="B18899" t="s">
        <v>3759</v>
      </c>
      <c r="E18899">
        <v>7200</v>
      </c>
      <c r="H18899" t="s">
        <v>62</v>
      </c>
    </row>
    <row r="18900" spans="1:8" x14ac:dyDescent="0.25">
      <c r="A18900" t="str">
        <f>"&lt;lifetime&gt;" &amp;$E$18899&amp;"&lt;/lifetime&gt;"</f>
        <v>&lt;lifetime&gt;7200&lt;/lifetime&gt;</v>
      </c>
      <c r="B18900" t="s">
        <v>3759</v>
      </c>
    </row>
    <row r="18901" spans="1:8" x14ac:dyDescent="0.25">
      <c r="A18901" t="str">
        <f xml:space="preserve"> $H$18899</f>
        <v>&lt;flags count_in_cargo="0" count_in_hoarder="0" count_in_map="1" count_in_player="0" crafted="1" deloot="0"/&gt;</v>
      </c>
      <c r="B18901" t="s">
        <v>3759</v>
      </c>
    </row>
    <row r="18902" spans="1:8" x14ac:dyDescent="0.25">
      <c r="A18902" t="s">
        <v>22</v>
      </c>
      <c r="B18902" t="s">
        <v>3759</v>
      </c>
    </row>
    <row r="18903" spans="1:8" x14ac:dyDescent="0.25">
      <c r="A18903" t="s">
        <v>254</v>
      </c>
      <c r="B18903" t="s">
        <v>3760</v>
      </c>
      <c r="E18903">
        <v>3888000</v>
      </c>
      <c r="H18903" t="s">
        <v>62</v>
      </c>
    </row>
    <row r="18904" spans="1:8" x14ac:dyDescent="0.25">
      <c r="A18904" t="str">
        <f>"&lt;lifetime&gt;" &amp;$E$18903&amp;"&lt;/lifetime&gt;"</f>
        <v>&lt;lifetime&gt;3888000&lt;/lifetime&gt;</v>
      </c>
      <c r="B18904" t="s">
        <v>3760</v>
      </c>
    </row>
    <row r="18905" spans="1:8" x14ac:dyDescent="0.25">
      <c r="A18905" t="str">
        <f xml:space="preserve"> $H$18903</f>
        <v>&lt;flags count_in_cargo="0" count_in_hoarder="0" count_in_map="1" count_in_player="0" crafted="1" deloot="0"/&gt;</v>
      </c>
      <c r="B18905" t="s">
        <v>3760</v>
      </c>
    </row>
    <row r="18906" spans="1:8" x14ac:dyDescent="0.25">
      <c r="A18906" t="s">
        <v>22</v>
      </c>
      <c r="B18906" t="s">
        <v>3760</v>
      </c>
    </row>
    <row r="18907" spans="1:8" x14ac:dyDescent="0.25">
      <c r="A18907" t="s">
        <v>255</v>
      </c>
      <c r="B18907" t="s">
        <v>3761</v>
      </c>
      <c r="E18907">
        <v>7200</v>
      </c>
      <c r="H18907" t="s">
        <v>62</v>
      </c>
    </row>
    <row r="18908" spans="1:8" x14ac:dyDescent="0.25">
      <c r="A18908" t="str">
        <f>"&lt;lifetime&gt;" &amp;$E$18907&amp;"&lt;/lifetime&gt;"</f>
        <v>&lt;lifetime&gt;7200&lt;/lifetime&gt;</v>
      </c>
      <c r="B18908" t="s">
        <v>3761</v>
      </c>
    </row>
    <row r="18909" spans="1:8" x14ac:dyDescent="0.25">
      <c r="A18909" t="str">
        <f xml:space="preserve"> $H$18907</f>
        <v>&lt;flags count_in_cargo="0" count_in_hoarder="0" count_in_map="1" count_in_player="0" crafted="1" deloot="0"/&gt;</v>
      </c>
      <c r="B18909" t="s">
        <v>3761</v>
      </c>
    </row>
    <row r="18910" spans="1:8" x14ac:dyDescent="0.25">
      <c r="A18910" t="s">
        <v>22</v>
      </c>
      <c r="B18910" t="s">
        <v>3761</v>
      </c>
    </row>
    <row r="18911" spans="1:8" x14ac:dyDescent="0.25">
      <c r="A18911" t="s">
        <v>256</v>
      </c>
      <c r="B18911" t="s">
        <v>3762</v>
      </c>
      <c r="E18911">
        <v>3888000</v>
      </c>
      <c r="H18911" t="s">
        <v>62</v>
      </c>
    </row>
    <row r="18912" spans="1:8" x14ac:dyDescent="0.25">
      <c r="A18912" t="str">
        <f>"&lt;lifetime&gt;" &amp;$E$18911&amp;"&lt;/lifetime&gt;"</f>
        <v>&lt;lifetime&gt;3888000&lt;/lifetime&gt;</v>
      </c>
      <c r="B18912" t="s">
        <v>3762</v>
      </c>
    </row>
    <row r="18913" spans="1:8" x14ac:dyDescent="0.25">
      <c r="A18913" t="str">
        <f xml:space="preserve"> $H$18911</f>
        <v>&lt;flags count_in_cargo="0" count_in_hoarder="0" count_in_map="1" count_in_player="0" crafted="1" deloot="0"/&gt;</v>
      </c>
      <c r="B18913" t="s">
        <v>3762</v>
      </c>
    </row>
    <row r="18914" spans="1:8" x14ac:dyDescent="0.25">
      <c r="A18914" t="s">
        <v>22</v>
      </c>
      <c r="B18914" t="s">
        <v>3762</v>
      </c>
    </row>
    <row r="18915" spans="1:8" x14ac:dyDescent="0.25">
      <c r="A18915" t="s">
        <v>257</v>
      </c>
      <c r="B18915" t="s">
        <v>1351</v>
      </c>
      <c r="C18915" t="s">
        <v>426</v>
      </c>
      <c r="D18915">
        <v>20</v>
      </c>
      <c r="E18915">
        <v>7200</v>
      </c>
      <c r="F18915">
        <v>0</v>
      </c>
      <c r="G18915">
        <v>10</v>
      </c>
      <c r="H18915" t="s">
        <v>19</v>
      </c>
    </row>
    <row r="18916" spans="1:8" x14ac:dyDescent="0.25">
      <c r="A18916" t="str">
        <f>"&lt;nominal&gt;" &amp;$D$18915&amp;"&lt;/nominal&gt;"</f>
        <v>&lt;nominal&gt;20&lt;/nominal&gt;</v>
      </c>
      <c r="B18916" t="s">
        <v>1351</v>
      </c>
    </row>
    <row r="18917" spans="1:8" x14ac:dyDescent="0.25">
      <c r="A18917" t="str">
        <f>"&lt;lifetime&gt;" &amp;$E$18915&amp;"&lt;/lifetime&gt;"</f>
        <v>&lt;lifetime&gt;7200&lt;/lifetime&gt;</v>
      </c>
      <c r="B18917" t="s">
        <v>1351</v>
      </c>
    </row>
    <row r="18918" spans="1:8" x14ac:dyDescent="0.25">
      <c r="A18918" t="str">
        <f>"&lt;restock&gt;" &amp;$F$18915&amp;"&lt;/restock&gt;"</f>
        <v>&lt;restock&gt;0&lt;/restock&gt;</v>
      </c>
      <c r="B18918" t="s">
        <v>1351</v>
      </c>
    </row>
    <row r="18919" spans="1:8" x14ac:dyDescent="0.25">
      <c r="A18919" t="str">
        <f>"&lt;min&gt;" &amp;$G$18915&amp;"&lt;/min&gt;"</f>
        <v>&lt;min&gt;10&lt;/min&gt;</v>
      </c>
      <c r="B18919" t="s">
        <v>1351</v>
      </c>
    </row>
    <row r="18920" spans="1:8" x14ac:dyDescent="0.25">
      <c r="A18920" t="s">
        <v>16</v>
      </c>
      <c r="B18920" t="s">
        <v>1351</v>
      </c>
    </row>
    <row r="18921" spans="1:8" x14ac:dyDescent="0.25">
      <c r="A18921" t="s">
        <v>17</v>
      </c>
      <c r="B18921" t="s">
        <v>1351</v>
      </c>
    </row>
    <row r="18922" spans="1:8" x14ac:dyDescent="0.25">
      <c r="A18922" t="s">
        <v>18</v>
      </c>
      <c r="B18922" t="s">
        <v>1351</v>
      </c>
    </row>
    <row r="18923" spans="1:8" x14ac:dyDescent="0.25">
      <c r="A18923" t="str">
        <f xml:space="preserve"> $H$18915</f>
        <v>&lt;flags count_in_cargo="0" count_in_hoarder="0" count_in_map="1" count_in_player="0" crafted="0" deloot="0"/&gt;</v>
      </c>
      <c r="B18923" t="s">
        <v>1351</v>
      </c>
    </row>
    <row r="18924" spans="1:8" x14ac:dyDescent="0.25">
      <c r="A18924" t="str">
        <f>"&lt;category name=" &amp;"""" &amp;$C$18915&amp;"""/&gt;"</f>
        <v>&lt;category name="tools"/&gt;</v>
      </c>
      <c r="B18924" t="s">
        <v>1351</v>
      </c>
    </row>
    <row r="18925" spans="1:8" x14ac:dyDescent="0.25">
      <c r="A18925" t="s">
        <v>25</v>
      </c>
      <c r="B18925" t="s">
        <v>1351</v>
      </c>
    </row>
    <row r="18926" spans="1:8" x14ac:dyDescent="0.25">
      <c r="A18926" t="s">
        <v>56</v>
      </c>
      <c r="B18926" t="s">
        <v>1351</v>
      </c>
    </row>
    <row r="18927" spans="1:8" x14ac:dyDescent="0.25">
      <c r="A18927" t="s">
        <v>55</v>
      </c>
      <c r="B18927" t="s">
        <v>1351</v>
      </c>
    </row>
    <row r="18928" spans="1:8" x14ac:dyDescent="0.25">
      <c r="A18928" t="s">
        <v>39</v>
      </c>
      <c r="B18928" t="s">
        <v>1351</v>
      </c>
    </row>
    <row r="18929" spans="1:8" x14ac:dyDescent="0.25">
      <c r="A18929" t="s">
        <v>40</v>
      </c>
      <c r="B18929" t="s">
        <v>1351</v>
      </c>
    </row>
    <row r="18930" spans="1:8" x14ac:dyDescent="0.25">
      <c r="A18930" t="s">
        <v>22</v>
      </c>
      <c r="B18930" t="s">
        <v>1351</v>
      </c>
    </row>
    <row r="18931" spans="1:8" x14ac:dyDescent="0.25">
      <c r="A18931" t="s">
        <v>258</v>
      </c>
      <c r="B18931" t="s">
        <v>3763</v>
      </c>
      <c r="E18931">
        <v>3888000</v>
      </c>
      <c r="H18931" t="s">
        <v>175</v>
      </c>
    </row>
    <row r="18932" spans="1:8" x14ac:dyDescent="0.25">
      <c r="A18932" t="str">
        <f>"&lt;lifetime&gt;" &amp;$E$18931&amp;"&lt;/lifetime&gt;"</f>
        <v>&lt;lifetime&gt;3888000&lt;/lifetime&gt;</v>
      </c>
      <c r="B18932" t="s">
        <v>3763</v>
      </c>
    </row>
    <row r="18933" spans="1:8" x14ac:dyDescent="0.25">
      <c r="A18933" t="str">
        <f xml:space="preserve"> $H$18931</f>
        <v>&lt;flags count_in_cargo="1" count_in_hoarder="0" count_in_map="1" count_in_player="0" crafted="1" deloot="0"/&gt;</v>
      </c>
      <c r="B18933" t="s">
        <v>3763</v>
      </c>
    </row>
    <row r="18934" spans="1:8" x14ac:dyDescent="0.25">
      <c r="A18934" t="s">
        <v>22</v>
      </c>
      <c r="B18934" t="s">
        <v>3763</v>
      </c>
    </row>
    <row r="18935" spans="1:8" x14ac:dyDescent="0.25">
      <c r="A18935" t="s">
        <v>259</v>
      </c>
      <c r="B18935" t="s">
        <v>1352</v>
      </c>
      <c r="C18935" t="s">
        <v>426</v>
      </c>
      <c r="D18935">
        <v>20</v>
      </c>
      <c r="E18935">
        <v>604800</v>
      </c>
      <c r="F18935">
        <v>0</v>
      </c>
      <c r="G18935">
        <v>10</v>
      </c>
      <c r="H18935" t="s">
        <v>19</v>
      </c>
    </row>
    <row r="18936" spans="1:8" x14ac:dyDescent="0.25">
      <c r="A18936" t="str">
        <f>"&lt;nominal&gt;" &amp;$D$18935&amp;"&lt;/nominal&gt;"</f>
        <v>&lt;nominal&gt;20&lt;/nominal&gt;</v>
      </c>
      <c r="B18936" t="s">
        <v>1352</v>
      </c>
    </row>
    <row r="18937" spans="1:8" x14ac:dyDescent="0.25">
      <c r="A18937" t="str">
        <f>"&lt;lifetime&gt;" &amp;$E$18935&amp;"&lt;/lifetime&gt;"</f>
        <v>&lt;lifetime&gt;604800&lt;/lifetime&gt;</v>
      </c>
      <c r="B18937" t="s">
        <v>1352</v>
      </c>
    </row>
    <row r="18938" spans="1:8" x14ac:dyDescent="0.25">
      <c r="A18938" t="str">
        <f>"&lt;restock&gt;" &amp;$F$18935&amp;"&lt;/restock&gt;"</f>
        <v>&lt;restock&gt;0&lt;/restock&gt;</v>
      </c>
      <c r="B18938" t="s">
        <v>1352</v>
      </c>
    </row>
    <row r="18939" spans="1:8" x14ac:dyDescent="0.25">
      <c r="A18939" t="str">
        <f>"&lt;min&gt;" &amp;$G$18935&amp;"&lt;/min&gt;"</f>
        <v>&lt;min&gt;10&lt;/min&gt;</v>
      </c>
      <c r="B18939" t="s">
        <v>1352</v>
      </c>
    </row>
    <row r="18940" spans="1:8" x14ac:dyDescent="0.25">
      <c r="A18940" t="s">
        <v>16</v>
      </c>
      <c r="B18940" t="s">
        <v>1352</v>
      </c>
    </row>
    <row r="18941" spans="1:8" x14ac:dyDescent="0.25">
      <c r="A18941" t="s">
        <v>17</v>
      </c>
      <c r="B18941" t="s">
        <v>1352</v>
      </c>
    </row>
    <row r="18942" spans="1:8" x14ac:dyDescent="0.25">
      <c r="A18942" t="s">
        <v>18</v>
      </c>
      <c r="B18942" t="s">
        <v>1352</v>
      </c>
    </row>
    <row r="18943" spans="1:8" x14ac:dyDescent="0.25">
      <c r="A18943" t="str">
        <f xml:space="preserve"> $H$18935</f>
        <v>&lt;flags count_in_cargo="0" count_in_hoarder="0" count_in_map="1" count_in_player="0" crafted="0" deloot="0"/&gt;</v>
      </c>
      <c r="B18943" t="s">
        <v>1352</v>
      </c>
    </row>
    <row r="18944" spans="1:8" x14ac:dyDescent="0.25">
      <c r="A18944" t="str">
        <f>"&lt;category name=" &amp;"""" &amp;$C$18935&amp;"""/&gt;"</f>
        <v>&lt;category name="tools"/&gt;</v>
      </c>
      <c r="B18944" t="s">
        <v>1352</v>
      </c>
    </row>
    <row r="18945" spans="1:8" x14ac:dyDescent="0.25">
      <c r="A18945" t="s">
        <v>25</v>
      </c>
      <c r="B18945" t="s">
        <v>1352</v>
      </c>
    </row>
    <row r="18946" spans="1:8" x14ac:dyDescent="0.25">
      <c r="A18946" t="s">
        <v>56</v>
      </c>
      <c r="B18946" t="s">
        <v>1352</v>
      </c>
    </row>
    <row r="18947" spans="1:8" x14ac:dyDescent="0.25">
      <c r="A18947" t="s">
        <v>39</v>
      </c>
      <c r="B18947" t="s">
        <v>1352</v>
      </c>
    </row>
    <row r="18948" spans="1:8" x14ac:dyDescent="0.25">
      <c r="A18948" t="s">
        <v>40</v>
      </c>
      <c r="B18948" t="s">
        <v>1352</v>
      </c>
    </row>
    <row r="18949" spans="1:8" x14ac:dyDescent="0.25">
      <c r="A18949" t="s">
        <v>22</v>
      </c>
      <c r="B18949" t="s">
        <v>1352</v>
      </c>
    </row>
    <row r="18950" spans="1:8" x14ac:dyDescent="0.25">
      <c r="A18950" t="s">
        <v>260</v>
      </c>
      <c r="B18950" t="s">
        <v>1353</v>
      </c>
      <c r="C18950" t="s">
        <v>426</v>
      </c>
      <c r="D18950">
        <v>20</v>
      </c>
      <c r="E18950">
        <v>604800</v>
      </c>
      <c r="F18950">
        <v>0</v>
      </c>
      <c r="G18950">
        <v>10</v>
      </c>
      <c r="H18950" t="s">
        <v>19</v>
      </c>
    </row>
    <row r="18951" spans="1:8" x14ac:dyDescent="0.25">
      <c r="A18951" t="str">
        <f>"&lt;nominal&gt;" &amp;$D$18950&amp;"&lt;/nominal&gt;"</f>
        <v>&lt;nominal&gt;20&lt;/nominal&gt;</v>
      </c>
      <c r="B18951" t="s">
        <v>1353</v>
      </c>
    </row>
    <row r="18952" spans="1:8" x14ac:dyDescent="0.25">
      <c r="A18952" t="str">
        <f>"&lt;lifetime&gt;" &amp;$E$18950&amp;"&lt;/lifetime&gt;"</f>
        <v>&lt;lifetime&gt;604800&lt;/lifetime&gt;</v>
      </c>
      <c r="B18952" t="s">
        <v>1353</v>
      </c>
    </row>
    <row r="18953" spans="1:8" x14ac:dyDescent="0.25">
      <c r="A18953" t="str">
        <f>"&lt;restock&gt;" &amp;$F$18950&amp;"&lt;/restock&gt;"</f>
        <v>&lt;restock&gt;0&lt;/restock&gt;</v>
      </c>
      <c r="B18953" t="s">
        <v>1353</v>
      </c>
    </row>
    <row r="18954" spans="1:8" x14ac:dyDescent="0.25">
      <c r="A18954" t="str">
        <f>"&lt;min&gt;" &amp;$G$18950&amp;"&lt;/min&gt;"</f>
        <v>&lt;min&gt;10&lt;/min&gt;</v>
      </c>
      <c r="B18954" t="s">
        <v>1353</v>
      </c>
    </row>
    <row r="18955" spans="1:8" x14ac:dyDescent="0.25">
      <c r="A18955" t="s">
        <v>16</v>
      </c>
      <c r="B18955" t="s">
        <v>1353</v>
      </c>
    </row>
    <row r="18956" spans="1:8" x14ac:dyDescent="0.25">
      <c r="A18956" t="s">
        <v>17</v>
      </c>
      <c r="B18956" t="s">
        <v>1353</v>
      </c>
    </row>
    <row r="18957" spans="1:8" x14ac:dyDescent="0.25">
      <c r="A18957" t="s">
        <v>18</v>
      </c>
      <c r="B18957" t="s">
        <v>1353</v>
      </c>
    </row>
    <row r="18958" spans="1:8" x14ac:dyDescent="0.25">
      <c r="A18958" t="str">
        <f xml:space="preserve"> $H$18950</f>
        <v>&lt;flags count_in_cargo="0" count_in_hoarder="0" count_in_map="1" count_in_player="0" crafted="0" deloot="0"/&gt;</v>
      </c>
      <c r="B18958" t="s">
        <v>1353</v>
      </c>
    </row>
    <row r="18959" spans="1:8" x14ac:dyDescent="0.25">
      <c r="A18959" t="str">
        <f>"&lt;category name=" &amp;"""" &amp;$C$18950&amp;"""/&gt;"</f>
        <v>&lt;category name="tools"/&gt;</v>
      </c>
      <c r="B18959" t="s">
        <v>1353</v>
      </c>
    </row>
    <row r="18960" spans="1:8" x14ac:dyDescent="0.25">
      <c r="A18960" t="s">
        <v>25</v>
      </c>
      <c r="B18960" t="s">
        <v>1353</v>
      </c>
    </row>
    <row r="18961" spans="1:8" x14ac:dyDescent="0.25">
      <c r="A18961" t="s">
        <v>56</v>
      </c>
      <c r="B18961" t="s">
        <v>1353</v>
      </c>
    </row>
    <row r="18962" spans="1:8" x14ac:dyDescent="0.25">
      <c r="A18962" t="s">
        <v>55</v>
      </c>
      <c r="B18962" t="s">
        <v>1353</v>
      </c>
    </row>
    <row r="18963" spans="1:8" x14ac:dyDescent="0.25">
      <c r="A18963" t="s">
        <v>39</v>
      </c>
      <c r="B18963" t="s">
        <v>1353</v>
      </c>
    </row>
    <row r="18964" spans="1:8" x14ac:dyDescent="0.25">
      <c r="A18964" t="s">
        <v>40</v>
      </c>
      <c r="B18964" t="s">
        <v>1353</v>
      </c>
    </row>
    <row r="18965" spans="1:8" x14ac:dyDescent="0.25">
      <c r="A18965" t="s">
        <v>22</v>
      </c>
      <c r="B18965" t="s">
        <v>1353</v>
      </c>
    </row>
    <row r="18966" spans="1:8" x14ac:dyDescent="0.25">
      <c r="A18966" t="s">
        <v>261</v>
      </c>
      <c r="B18966" t="s">
        <v>3764</v>
      </c>
      <c r="E18966">
        <v>3888000</v>
      </c>
      <c r="H18966" t="s">
        <v>175</v>
      </c>
    </row>
    <row r="18967" spans="1:8" x14ac:dyDescent="0.25">
      <c r="A18967" t="str">
        <f>"&lt;lifetime&gt;" &amp;$E$18966&amp;"&lt;/lifetime&gt;"</f>
        <v>&lt;lifetime&gt;3888000&lt;/lifetime&gt;</v>
      </c>
      <c r="B18967" t="s">
        <v>3764</v>
      </c>
    </row>
    <row r="18968" spans="1:8" x14ac:dyDescent="0.25">
      <c r="A18968" t="str">
        <f xml:space="preserve"> $H$18966</f>
        <v>&lt;flags count_in_cargo="1" count_in_hoarder="0" count_in_map="1" count_in_player="0" crafted="1" deloot="0"/&gt;</v>
      </c>
      <c r="B18968" t="s">
        <v>3764</v>
      </c>
    </row>
    <row r="18969" spans="1:8" x14ac:dyDescent="0.25">
      <c r="A18969" t="s">
        <v>22</v>
      </c>
      <c r="B18969" t="s">
        <v>3764</v>
      </c>
    </row>
    <row r="18970" spans="1:8" x14ac:dyDescent="0.25">
      <c r="A18970" t="s">
        <v>262</v>
      </c>
      <c r="B18970" t="s">
        <v>3765</v>
      </c>
      <c r="E18970">
        <v>7200</v>
      </c>
      <c r="H18970" t="s">
        <v>62</v>
      </c>
    </row>
    <row r="18971" spans="1:8" x14ac:dyDescent="0.25">
      <c r="A18971" t="str">
        <f>"&lt;lifetime&gt;" &amp;$E$18970&amp;"&lt;/lifetime&gt;"</f>
        <v>&lt;lifetime&gt;7200&lt;/lifetime&gt;</v>
      </c>
      <c r="B18971" t="s">
        <v>3765</v>
      </c>
    </row>
    <row r="18972" spans="1:8" x14ac:dyDescent="0.25">
      <c r="A18972" t="str">
        <f xml:space="preserve"> $H$18970</f>
        <v>&lt;flags count_in_cargo="0" count_in_hoarder="0" count_in_map="1" count_in_player="0" crafted="1" deloot="0"/&gt;</v>
      </c>
      <c r="B18972" t="s">
        <v>3765</v>
      </c>
    </row>
    <row r="18973" spans="1:8" x14ac:dyDescent="0.25">
      <c r="A18973" t="s">
        <v>22</v>
      </c>
      <c r="B18973" t="s">
        <v>3765</v>
      </c>
    </row>
    <row r="18974" spans="1:8" x14ac:dyDescent="0.25">
      <c r="A18974" t="s">
        <v>263</v>
      </c>
      <c r="B18974" t="s">
        <v>3766</v>
      </c>
      <c r="E18974">
        <v>3888000</v>
      </c>
      <c r="H18974" t="s">
        <v>62</v>
      </c>
    </row>
    <row r="18975" spans="1:8" x14ac:dyDescent="0.25">
      <c r="A18975" t="str">
        <f>"&lt;lifetime&gt;" &amp;$E$18974&amp;"&lt;/lifetime&gt;"</f>
        <v>&lt;lifetime&gt;3888000&lt;/lifetime&gt;</v>
      </c>
      <c r="B18975" t="s">
        <v>3766</v>
      </c>
    </row>
    <row r="18976" spans="1:8" x14ac:dyDescent="0.25">
      <c r="A18976" t="str">
        <f xml:space="preserve"> $H$18974</f>
        <v>&lt;flags count_in_cargo="0" count_in_hoarder="0" count_in_map="1" count_in_player="0" crafted="1" deloot="0"/&gt;</v>
      </c>
      <c r="B18976" t="s">
        <v>3766</v>
      </c>
    </row>
    <row r="18977" spans="1:8" x14ac:dyDescent="0.25">
      <c r="A18977" t="s">
        <v>22</v>
      </c>
      <c r="B18977" t="s">
        <v>3766</v>
      </c>
    </row>
    <row r="18978" spans="1:8" x14ac:dyDescent="0.25">
      <c r="A18978" t="s">
        <v>264</v>
      </c>
      <c r="B18978" t="s">
        <v>3767</v>
      </c>
      <c r="E18978">
        <v>7200</v>
      </c>
      <c r="H18978" t="s">
        <v>62</v>
      </c>
    </row>
    <row r="18979" spans="1:8" x14ac:dyDescent="0.25">
      <c r="A18979" t="str">
        <f>"&lt;lifetime&gt;" &amp;$E$18978&amp;"&lt;/lifetime&gt;"</f>
        <v>&lt;lifetime&gt;7200&lt;/lifetime&gt;</v>
      </c>
      <c r="B18979" t="s">
        <v>3767</v>
      </c>
    </row>
    <row r="18980" spans="1:8" x14ac:dyDescent="0.25">
      <c r="A18980" t="str">
        <f xml:space="preserve"> $H$18978</f>
        <v>&lt;flags count_in_cargo="0" count_in_hoarder="0" count_in_map="1" count_in_player="0" crafted="1" deloot="0"/&gt;</v>
      </c>
      <c r="B18980" t="s">
        <v>3767</v>
      </c>
    </row>
    <row r="18981" spans="1:8" x14ac:dyDescent="0.25">
      <c r="A18981" t="s">
        <v>22</v>
      </c>
      <c r="B18981" t="s">
        <v>3767</v>
      </c>
    </row>
    <row r="18982" spans="1:8" x14ac:dyDescent="0.25">
      <c r="A18982" t="s">
        <v>265</v>
      </c>
      <c r="B18982" t="s">
        <v>3768</v>
      </c>
      <c r="E18982">
        <v>3888000</v>
      </c>
      <c r="H18982" t="s">
        <v>62</v>
      </c>
    </row>
    <row r="18983" spans="1:8" x14ac:dyDescent="0.25">
      <c r="A18983" t="str">
        <f>"&lt;lifetime&gt;" &amp;$E$18982&amp;"&lt;/lifetime&gt;"</f>
        <v>&lt;lifetime&gt;3888000&lt;/lifetime&gt;</v>
      </c>
      <c r="B18983" t="s">
        <v>3768</v>
      </c>
    </row>
    <row r="18984" spans="1:8" x14ac:dyDescent="0.25">
      <c r="A18984" t="str">
        <f xml:space="preserve"> $H$18982</f>
        <v>&lt;flags count_in_cargo="0" count_in_hoarder="0" count_in_map="1" count_in_player="0" crafted="1" deloot="0"/&gt;</v>
      </c>
      <c r="B18984" t="s">
        <v>3768</v>
      </c>
    </row>
    <row r="18985" spans="1:8" x14ac:dyDescent="0.25">
      <c r="A18985" t="s">
        <v>22</v>
      </c>
      <c r="B18985" t="s">
        <v>3768</v>
      </c>
    </row>
    <row r="18986" spans="1:8" x14ac:dyDescent="0.25">
      <c r="A18986" t="s">
        <v>266</v>
      </c>
      <c r="B18986" t="s">
        <v>1354</v>
      </c>
      <c r="C18986" t="s">
        <v>426</v>
      </c>
      <c r="D18986">
        <v>20</v>
      </c>
      <c r="E18986">
        <v>3888000</v>
      </c>
      <c r="F18986">
        <v>0</v>
      </c>
      <c r="G18986">
        <v>10</v>
      </c>
      <c r="H18986" t="s">
        <v>19</v>
      </c>
    </row>
    <row r="18987" spans="1:8" x14ac:dyDescent="0.25">
      <c r="A18987" t="str">
        <f>"&lt;nominal&gt;" &amp;$D$18986&amp;"&lt;/nominal&gt;"</f>
        <v>&lt;nominal&gt;20&lt;/nominal&gt;</v>
      </c>
      <c r="B18987" t="s">
        <v>1354</v>
      </c>
    </row>
    <row r="18988" spans="1:8" x14ac:dyDescent="0.25">
      <c r="A18988" t="str">
        <f>"&lt;lifetime&gt;" &amp;$E$18986&amp;"&lt;/lifetime&gt;"</f>
        <v>&lt;lifetime&gt;3888000&lt;/lifetime&gt;</v>
      </c>
      <c r="B18988" t="s">
        <v>1354</v>
      </c>
    </row>
    <row r="18989" spans="1:8" x14ac:dyDescent="0.25">
      <c r="A18989" t="str">
        <f>"&lt;restock&gt;" &amp;$F$18986&amp;"&lt;/restock&gt;"</f>
        <v>&lt;restock&gt;0&lt;/restock&gt;</v>
      </c>
      <c r="B18989" t="s">
        <v>1354</v>
      </c>
    </row>
    <row r="18990" spans="1:8" x14ac:dyDescent="0.25">
      <c r="A18990" t="str">
        <f>"&lt;min&gt;" &amp;$G$18986&amp;"&lt;/min&gt;"</f>
        <v>&lt;min&gt;10&lt;/min&gt;</v>
      </c>
      <c r="B18990" t="s">
        <v>1354</v>
      </c>
    </row>
    <row r="18991" spans="1:8" x14ac:dyDescent="0.25">
      <c r="A18991" t="s">
        <v>16</v>
      </c>
      <c r="B18991" t="s">
        <v>1354</v>
      </c>
    </row>
    <row r="18992" spans="1:8" x14ac:dyDescent="0.25">
      <c r="A18992" t="s">
        <v>17</v>
      </c>
      <c r="B18992" t="s">
        <v>1354</v>
      </c>
    </row>
    <row r="18993" spans="1:2" x14ac:dyDescent="0.25">
      <c r="A18993" t="s">
        <v>18</v>
      </c>
      <c r="B18993" t="s">
        <v>1354</v>
      </c>
    </row>
    <row r="18994" spans="1:2" x14ac:dyDescent="0.25">
      <c r="A18994" t="str">
        <f xml:space="preserve"> $H$18986</f>
        <v>&lt;flags count_in_cargo="0" count_in_hoarder="0" count_in_map="1" count_in_player="0" crafted="0" deloot="0"/&gt;</v>
      </c>
      <c r="B18994" t="s">
        <v>1354</v>
      </c>
    </row>
    <row r="18995" spans="1:2" x14ac:dyDescent="0.25">
      <c r="A18995" t="str">
        <f>"&lt;category name=" &amp;"""" &amp;$C$18986&amp;"""/&gt;"</f>
        <v>&lt;category name="tools"/&gt;</v>
      </c>
      <c r="B18995" t="s">
        <v>1354</v>
      </c>
    </row>
    <row r="18996" spans="1:2" x14ac:dyDescent="0.25">
      <c r="A18996" t="s">
        <v>25</v>
      </c>
      <c r="B18996" t="s">
        <v>1354</v>
      </c>
    </row>
    <row r="18997" spans="1:2" x14ac:dyDescent="0.25">
      <c r="A18997" t="s">
        <v>56</v>
      </c>
      <c r="B18997" t="s">
        <v>1354</v>
      </c>
    </row>
    <row r="18998" spans="1:2" x14ac:dyDescent="0.25">
      <c r="A18998" t="s">
        <v>55</v>
      </c>
      <c r="B18998" t="s">
        <v>1354</v>
      </c>
    </row>
    <row r="18999" spans="1:2" x14ac:dyDescent="0.25">
      <c r="A18999" t="s">
        <v>39</v>
      </c>
      <c r="B18999" t="s">
        <v>1354</v>
      </c>
    </row>
    <row r="19000" spans="1:2" x14ac:dyDescent="0.25">
      <c r="A19000" t="s">
        <v>40</v>
      </c>
      <c r="B19000" t="s">
        <v>1354</v>
      </c>
    </row>
    <row r="19001" spans="1:2" x14ac:dyDescent="0.25">
      <c r="A19001" t="s">
        <v>172</v>
      </c>
      <c r="B19001" t="s">
        <v>1354</v>
      </c>
    </row>
    <row r="19002" spans="1:2" x14ac:dyDescent="0.25">
      <c r="A19002" t="s">
        <v>92</v>
      </c>
      <c r="B19002" t="s">
        <v>1354</v>
      </c>
    </row>
    <row r="19003" spans="1:2" x14ac:dyDescent="0.25">
      <c r="A19003" t="s">
        <v>22</v>
      </c>
      <c r="B19003" t="s">
        <v>1354</v>
      </c>
    </row>
    <row r="19004" spans="1:2" x14ac:dyDescent="0.25">
      <c r="B19004" t="s">
        <v>1354</v>
      </c>
    </row>
    <row r="19005" spans="1:2" x14ac:dyDescent="0.25">
      <c r="B19005" t="s">
        <v>1354</v>
      </c>
    </row>
    <row r="19006" spans="1:2" x14ac:dyDescent="0.25">
      <c r="A19006" t="s">
        <v>267</v>
      </c>
      <c r="B19006" t="s">
        <v>1354</v>
      </c>
    </row>
    <row r="19007" spans="1:2" x14ac:dyDescent="0.25">
      <c r="B19007" t="s">
        <v>1354</v>
      </c>
    </row>
    <row r="19008" spans="1:2" x14ac:dyDescent="0.25">
      <c r="B19008" t="s">
        <v>1354</v>
      </c>
    </row>
    <row r="19009" spans="1:8" x14ac:dyDescent="0.25">
      <c r="A19009" t="s">
        <v>268</v>
      </c>
      <c r="B19009" t="s">
        <v>1355</v>
      </c>
      <c r="D19009">
        <v>0</v>
      </c>
      <c r="E19009">
        <v>3888000</v>
      </c>
      <c r="F19009">
        <v>1800</v>
      </c>
      <c r="G19009">
        <v>0</v>
      </c>
      <c r="H19009" t="s">
        <v>19</v>
      </c>
    </row>
    <row r="19010" spans="1:8" x14ac:dyDescent="0.25">
      <c r="A19010" t="str">
        <f>"&lt;nominal&gt;" &amp;$D$19009&amp;"&lt;/nominal&gt;"</f>
        <v>&lt;nominal&gt;0&lt;/nominal&gt;</v>
      </c>
      <c r="B19010" t="s">
        <v>1355</v>
      </c>
    </row>
    <row r="19011" spans="1:8" x14ac:dyDescent="0.25">
      <c r="A19011" t="str">
        <f>"&lt;lifetime&gt;" &amp;$E$19009&amp;"&lt;/lifetime&gt;"</f>
        <v>&lt;lifetime&gt;3888000&lt;/lifetime&gt;</v>
      </c>
      <c r="B19011" t="s">
        <v>1355</v>
      </c>
    </row>
    <row r="19012" spans="1:8" x14ac:dyDescent="0.25">
      <c r="A19012" t="str">
        <f>"&lt;restock&gt;" &amp;$F$19009&amp;"&lt;/restock&gt;"</f>
        <v>&lt;restock&gt;1800&lt;/restock&gt;</v>
      </c>
      <c r="B19012" t="s">
        <v>1355</v>
      </c>
    </row>
    <row r="19013" spans="1:8" x14ac:dyDescent="0.25">
      <c r="A19013" t="str">
        <f>"&lt;min&gt;" &amp;$G$19009&amp;"&lt;/min&gt;"</f>
        <v>&lt;min&gt;0&lt;/min&gt;</v>
      </c>
      <c r="B19013" t="s">
        <v>1355</v>
      </c>
    </row>
    <row r="19014" spans="1:8" x14ac:dyDescent="0.25">
      <c r="A19014" t="s">
        <v>16</v>
      </c>
      <c r="B19014" t="s">
        <v>1355</v>
      </c>
    </row>
    <row r="19015" spans="1:8" x14ac:dyDescent="0.25">
      <c r="A19015" t="s">
        <v>17</v>
      </c>
      <c r="B19015" t="s">
        <v>1355</v>
      </c>
    </row>
    <row r="19016" spans="1:8" x14ac:dyDescent="0.25">
      <c r="A19016" t="s">
        <v>18</v>
      </c>
      <c r="B19016" t="s">
        <v>1355</v>
      </c>
    </row>
    <row r="19017" spans="1:8" x14ac:dyDescent="0.25">
      <c r="A19017" t="str">
        <f xml:space="preserve"> $H$19009</f>
        <v>&lt;flags count_in_cargo="0" count_in_hoarder="0" count_in_map="1" count_in_player="0" crafted="0" deloot="0"/&gt;</v>
      </c>
      <c r="B19017" t="s">
        <v>1355</v>
      </c>
    </row>
    <row r="19018" spans="1:8" x14ac:dyDescent="0.25">
      <c r="A19018" t="s">
        <v>22</v>
      </c>
      <c r="B19018" t="s">
        <v>1355</v>
      </c>
    </row>
    <row r="19019" spans="1:8" x14ac:dyDescent="0.25">
      <c r="A19019" t="s">
        <v>269</v>
      </c>
      <c r="B19019" t="s">
        <v>1356</v>
      </c>
      <c r="D19019">
        <v>0</v>
      </c>
      <c r="E19019">
        <v>3888000</v>
      </c>
      <c r="F19019">
        <v>1800</v>
      </c>
      <c r="G19019">
        <v>0</v>
      </c>
      <c r="H19019" t="s">
        <v>19</v>
      </c>
    </row>
    <row r="19020" spans="1:8" x14ac:dyDescent="0.25">
      <c r="A19020" t="str">
        <f>"&lt;nominal&gt;" &amp;$D$19019&amp;"&lt;/nominal&gt;"</f>
        <v>&lt;nominal&gt;0&lt;/nominal&gt;</v>
      </c>
      <c r="B19020" t="s">
        <v>1356</v>
      </c>
    </row>
    <row r="19021" spans="1:8" x14ac:dyDescent="0.25">
      <c r="A19021" t="str">
        <f>"&lt;lifetime&gt;" &amp;$E$19019&amp;"&lt;/lifetime&gt;"</f>
        <v>&lt;lifetime&gt;3888000&lt;/lifetime&gt;</v>
      </c>
      <c r="B19021" t="s">
        <v>1356</v>
      </c>
    </row>
    <row r="19022" spans="1:8" x14ac:dyDescent="0.25">
      <c r="A19022" t="str">
        <f>"&lt;restock&gt;" &amp;$F$19019&amp;"&lt;/restock&gt;"</f>
        <v>&lt;restock&gt;1800&lt;/restock&gt;</v>
      </c>
      <c r="B19022" t="s">
        <v>1356</v>
      </c>
    </row>
    <row r="19023" spans="1:8" x14ac:dyDescent="0.25">
      <c r="A19023" t="str">
        <f>"&lt;min&gt;" &amp;$G$19019&amp;"&lt;/min&gt;"</f>
        <v>&lt;min&gt;0&lt;/min&gt;</v>
      </c>
      <c r="B19023" t="s">
        <v>1356</v>
      </c>
    </row>
    <row r="19024" spans="1:8" x14ac:dyDescent="0.25">
      <c r="A19024" t="s">
        <v>16</v>
      </c>
      <c r="B19024" t="s">
        <v>1356</v>
      </c>
    </row>
    <row r="19025" spans="1:8" x14ac:dyDescent="0.25">
      <c r="A19025" t="s">
        <v>17</v>
      </c>
      <c r="B19025" t="s">
        <v>1356</v>
      </c>
    </row>
    <row r="19026" spans="1:8" x14ac:dyDescent="0.25">
      <c r="A19026" t="s">
        <v>18</v>
      </c>
      <c r="B19026" t="s">
        <v>1356</v>
      </c>
    </row>
    <row r="19027" spans="1:8" x14ac:dyDescent="0.25">
      <c r="A19027" t="str">
        <f xml:space="preserve"> $H$19019</f>
        <v>&lt;flags count_in_cargo="0" count_in_hoarder="0" count_in_map="1" count_in_player="0" crafted="0" deloot="0"/&gt;</v>
      </c>
      <c r="B19027" t="s">
        <v>1356</v>
      </c>
    </row>
    <row r="19028" spans="1:8" x14ac:dyDescent="0.25">
      <c r="A19028" t="s">
        <v>22</v>
      </c>
      <c r="B19028" t="s">
        <v>1356</v>
      </c>
    </row>
    <row r="19029" spans="1:8" x14ac:dyDescent="0.25">
      <c r="A19029" t="s">
        <v>270</v>
      </c>
      <c r="B19029" t="s">
        <v>1357</v>
      </c>
      <c r="D19029">
        <v>0</v>
      </c>
      <c r="E19029">
        <v>3888000</v>
      </c>
      <c r="F19029">
        <v>1800</v>
      </c>
      <c r="G19029">
        <v>0</v>
      </c>
      <c r="H19029" t="s">
        <v>19</v>
      </c>
    </row>
    <row r="19030" spans="1:8" x14ac:dyDescent="0.25">
      <c r="A19030" t="str">
        <f>"&lt;nominal&gt;" &amp;$D$19029&amp;"&lt;/nominal&gt;"</f>
        <v>&lt;nominal&gt;0&lt;/nominal&gt;</v>
      </c>
      <c r="B19030" t="s">
        <v>1357</v>
      </c>
    </row>
    <row r="19031" spans="1:8" x14ac:dyDescent="0.25">
      <c r="A19031" t="str">
        <f>"&lt;lifetime&gt;" &amp;$E$19029&amp;"&lt;/lifetime&gt;"</f>
        <v>&lt;lifetime&gt;3888000&lt;/lifetime&gt;</v>
      </c>
      <c r="B19031" t="s">
        <v>1357</v>
      </c>
    </row>
    <row r="19032" spans="1:8" x14ac:dyDescent="0.25">
      <c r="A19032" t="str">
        <f>"&lt;restock&gt;" &amp;$F$19029&amp;"&lt;/restock&gt;"</f>
        <v>&lt;restock&gt;1800&lt;/restock&gt;</v>
      </c>
      <c r="B19032" t="s">
        <v>1357</v>
      </c>
    </row>
    <row r="19033" spans="1:8" x14ac:dyDescent="0.25">
      <c r="A19033" t="str">
        <f>"&lt;min&gt;" &amp;$G$19029&amp;"&lt;/min&gt;"</f>
        <v>&lt;min&gt;0&lt;/min&gt;</v>
      </c>
      <c r="B19033" t="s">
        <v>1357</v>
      </c>
    </row>
    <row r="19034" spans="1:8" x14ac:dyDescent="0.25">
      <c r="A19034" t="s">
        <v>16</v>
      </c>
      <c r="B19034" t="s">
        <v>1357</v>
      </c>
    </row>
    <row r="19035" spans="1:8" x14ac:dyDescent="0.25">
      <c r="A19035" t="s">
        <v>17</v>
      </c>
      <c r="B19035" t="s">
        <v>1357</v>
      </c>
    </row>
    <row r="19036" spans="1:8" x14ac:dyDescent="0.25">
      <c r="A19036" t="s">
        <v>18</v>
      </c>
      <c r="B19036" t="s">
        <v>1357</v>
      </c>
    </row>
    <row r="19037" spans="1:8" x14ac:dyDescent="0.25">
      <c r="A19037" t="str">
        <f xml:space="preserve"> $H$19029</f>
        <v>&lt;flags count_in_cargo="0" count_in_hoarder="0" count_in_map="1" count_in_player="0" crafted="0" deloot="0"/&gt;</v>
      </c>
      <c r="B19037" t="s">
        <v>1357</v>
      </c>
    </row>
    <row r="19038" spans="1:8" x14ac:dyDescent="0.25">
      <c r="A19038" t="s">
        <v>22</v>
      </c>
      <c r="B19038" t="s">
        <v>1357</v>
      </c>
    </row>
    <row r="19039" spans="1:8" x14ac:dyDescent="0.25">
      <c r="A19039" t="s">
        <v>271</v>
      </c>
      <c r="B19039" t="s">
        <v>1358</v>
      </c>
      <c r="C19039" t="s">
        <v>426</v>
      </c>
      <c r="D19039">
        <v>10</v>
      </c>
      <c r="E19039">
        <v>2700</v>
      </c>
      <c r="F19039">
        <v>0</v>
      </c>
      <c r="G19039">
        <v>5</v>
      </c>
      <c r="H19039" t="s">
        <v>19</v>
      </c>
    </row>
    <row r="19040" spans="1:8" x14ac:dyDescent="0.25">
      <c r="A19040" t="str">
        <f>"&lt;nominal&gt;" &amp;$D$19039&amp;"&lt;/nominal&gt;"</f>
        <v>&lt;nominal&gt;10&lt;/nominal&gt;</v>
      </c>
      <c r="B19040" t="s">
        <v>1358</v>
      </c>
    </row>
    <row r="19041" spans="1:8" x14ac:dyDescent="0.25">
      <c r="A19041" t="str">
        <f>"&lt;lifetime&gt;" &amp;$E$19039&amp;"&lt;/lifetime&gt;"</f>
        <v>&lt;lifetime&gt;2700&lt;/lifetime&gt;</v>
      </c>
      <c r="B19041" t="s">
        <v>1358</v>
      </c>
    </row>
    <row r="19042" spans="1:8" x14ac:dyDescent="0.25">
      <c r="A19042" t="str">
        <f>"&lt;restock&gt;" &amp;$F$19039&amp;"&lt;/restock&gt;"</f>
        <v>&lt;restock&gt;0&lt;/restock&gt;</v>
      </c>
      <c r="B19042" t="s">
        <v>1358</v>
      </c>
    </row>
    <row r="19043" spans="1:8" x14ac:dyDescent="0.25">
      <c r="A19043" t="str">
        <f>"&lt;min&gt;" &amp;$G$19039&amp;"&lt;/min&gt;"</f>
        <v>&lt;min&gt;5&lt;/min&gt;</v>
      </c>
      <c r="B19043" t="s">
        <v>1358</v>
      </c>
    </row>
    <row r="19044" spans="1:8" x14ac:dyDescent="0.25">
      <c r="A19044" t="s">
        <v>16</v>
      </c>
      <c r="B19044" t="s">
        <v>1358</v>
      </c>
    </row>
    <row r="19045" spans="1:8" x14ac:dyDescent="0.25">
      <c r="A19045" t="s">
        <v>17</v>
      </c>
      <c r="B19045" t="s">
        <v>1358</v>
      </c>
    </row>
    <row r="19046" spans="1:8" x14ac:dyDescent="0.25">
      <c r="A19046" t="s">
        <v>18</v>
      </c>
      <c r="B19046" t="s">
        <v>1358</v>
      </c>
    </row>
    <row r="19047" spans="1:8" x14ac:dyDescent="0.25">
      <c r="A19047" t="str">
        <f xml:space="preserve"> $H$19039</f>
        <v>&lt;flags count_in_cargo="0" count_in_hoarder="0" count_in_map="1" count_in_player="0" crafted="0" deloot="0"/&gt;</v>
      </c>
      <c r="B19047" t="s">
        <v>1358</v>
      </c>
    </row>
    <row r="19048" spans="1:8" x14ac:dyDescent="0.25">
      <c r="A19048" t="str">
        <f>"&lt;category name=" &amp;"""" &amp;$C$19039&amp;"""/&gt;"</f>
        <v>&lt;category name="tools"/&gt;</v>
      </c>
      <c r="B19048" t="s">
        <v>1358</v>
      </c>
    </row>
    <row r="19049" spans="1:8" x14ac:dyDescent="0.25">
      <c r="A19049" t="s">
        <v>25</v>
      </c>
      <c r="B19049" t="s">
        <v>1358</v>
      </c>
    </row>
    <row r="19050" spans="1:8" x14ac:dyDescent="0.25">
      <c r="A19050" t="s">
        <v>55</v>
      </c>
      <c r="B19050" t="s">
        <v>1358</v>
      </c>
    </row>
    <row r="19051" spans="1:8" x14ac:dyDescent="0.25">
      <c r="A19051" t="s">
        <v>22</v>
      </c>
      <c r="B19051" t="s">
        <v>1358</v>
      </c>
    </row>
    <row r="19052" spans="1:8" x14ac:dyDescent="0.25">
      <c r="A19052" t="s">
        <v>272</v>
      </c>
      <c r="B19052" t="s">
        <v>1359</v>
      </c>
      <c r="C19052" t="s">
        <v>426</v>
      </c>
      <c r="D19052">
        <v>10</v>
      </c>
      <c r="E19052">
        <v>2700</v>
      </c>
      <c r="F19052">
        <v>0</v>
      </c>
      <c r="G19052">
        <v>5</v>
      </c>
      <c r="H19052" t="s">
        <v>19</v>
      </c>
    </row>
    <row r="19053" spans="1:8" x14ac:dyDescent="0.25">
      <c r="A19053" t="str">
        <f>"&lt;nominal&gt;" &amp;$D$19052&amp;"&lt;/nominal&gt;"</f>
        <v>&lt;nominal&gt;10&lt;/nominal&gt;</v>
      </c>
      <c r="B19053" t="s">
        <v>1359</v>
      </c>
    </row>
    <row r="19054" spans="1:8" x14ac:dyDescent="0.25">
      <c r="A19054" t="str">
        <f>"&lt;lifetime&gt;" &amp;$E$19052&amp;"&lt;/lifetime&gt;"</f>
        <v>&lt;lifetime&gt;2700&lt;/lifetime&gt;</v>
      </c>
      <c r="B19054" t="s">
        <v>1359</v>
      </c>
    </row>
    <row r="19055" spans="1:8" x14ac:dyDescent="0.25">
      <c r="A19055" t="str">
        <f>"&lt;restock&gt;" &amp;$F$19052&amp;"&lt;/restock&gt;"</f>
        <v>&lt;restock&gt;0&lt;/restock&gt;</v>
      </c>
      <c r="B19055" t="s">
        <v>1359</v>
      </c>
    </row>
    <row r="19056" spans="1:8" x14ac:dyDescent="0.25">
      <c r="A19056" t="str">
        <f>"&lt;min&gt;" &amp;$G$19052&amp;"&lt;/min&gt;"</f>
        <v>&lt;min&gt;5&lt;/min&gt;</v>
      </c>
      <c r="B19056" t="s">
        <v>1359</v>
      </c>
    </row>
    <row r="19057" spans="1:8" x14ac:dyDescent="0.25">
      <c r="A19057" t="s">
        <v>16</v>
      </c>
      <c r="B19057" t="s">
        <v>1359</v>
      </c>
    </row>
    <row r="19058" spans="1:8" x14ac:dyDescent="0.25">
      <c r="A19058" t="s">
        <v>17</v>
      </c>
      <c r="B19058" t="s">
        <v>1359</v>
      </c>
    </row>
    <row r="19059" spans="1:8" x14ac:dyDescent="0.25">
      <c r="A19059" t="s">
        <v>18</v>
      </c>
      <c r="B19059" t="s">
        <v>1359</v>
      </c>
    </row>
    <row r="19060" spans="1:8" x14ac:dyDescent="0.25">
      <c r="A19060" t="str">
        <f xml:space="preserve"> $H$19052</f>
        <v>&lt;flags count_in_cargo="0" count_in_hoarder="0" count_in_map="1" count_in_player="0" crafted="0" deloot="0"/&gt;</v>
      </c>
      <c r="B19060" t="s">
        <v>1359</v>
      </c>
    </row>
    <row r="19061" spans="1:8" x14ac:dyDescent="0.25">
      <c r="A19061" t="str">
        <f>"&lt;category name=" &amp;"""" &amp;$C$19052&amp;"""/&gt;"</f>
        <v>&lt;category name="tools"/&gt;</v>
      </c>
      <c r="B19061" t="s">
        <v>1359</v>
      </c>
    </row>
    <row r="19062" spans="1:8" x14ac:dyDescent="0.25">
      <c r="A19062" t="s">
        <v>25</v>
      </c>
      <c r="B19062" t="s">
        <v>1359</v>
      </c>
    </row>
    <row r="19063" spans="1:8" x14ac:dyDescent="0.25">
      <c r="A19063" t="s">
        <v>55</v>
      </c>
      <c r="B19063" t="s">
        <v>1359</v>
      </c>
    </row>
    <row r="19064" spans="1:8" x14ac:dyDescent="0.25">
      <c r="A19064" t="s">
        <v>22</v>
      </c>
      <c r="B19064" t="s">
        <v>1359</v>
      </c>
    </row>
    <row r="19065" spans="1:8" x14ac:dyDescent="0.25">
      <c r="A19065" t="s">
        <v>273</v>
      </c>
      <c r="B19065" t="s">
        <v>1360</v>
      </c>
      <c r="C19065" t="s">
        <v>426</v>
      </c>
      <c r="D19065">
        <v>10</v>
      </c>
      <c r="E19065">
        <v>2700</v>
      </c>
      <c r="F19065">
        <v>0</v>
      </c>
      <c r="G19065">
        <v>5</v>
      </c>
      <c r="H19065" t="s">
        <v>19</v>
      </c>
    </row>
    <row r="19066" spans="1:8" x14ac:dyDescent="0.25">
      <c r="A19066" t="str">
        <f>"&lt;nominal&gt;" &amp;$D$19065&amp;"&lt;/nominal&gt;"</f>
        <v>&lt;nominal&gt;10&lt;/nominal&gt;</v>
      </c>
      <c r="B19066" t="s">
        <v>1360</v>
      </c>
    </row>
    <row r="19067" spans="1:8" x14ac:dyDescent="0.25">
      <c r="A19067" t="str">
        <f>"&lt;lifetime&gt;" &amp;$E$19065&amp;"&lt;/lifetime&gt;"</f>
        <v>&lt;lifetime&gt;2700&lt;/lifetime&gt;</v>
      </c>
      <c r="B19067" t="s">
        <v>1360</v>
      </c>
    </row>
    <row r="19068" spans="1:8" x14ac:dyDescent="0.25">
      <c r="A19068" t="str">
        <f>"&lt;restock&gt;" &amp;$F$19065&amp;"&lt;/restock&gt;"</f>
        <v>&lt;restock&gt;0&lt;/restock&gt;</v>
      </c>
      <c r="B19068" t="s">
        <v>1360</v>
      </c>
    </row>
    <row r="19069" spans="1:8" x14ac:dyDescent="0.25">
      <c r="A19069" t="str">
        <f>"&lt;min&gt;" &amp;$G$19065&amp;"&lt;/min&gt;"</f>
        <v>&lt;min&gt;5&lt;/min&gt;</v>
      </c>
      <c r="B19069" t="s">
        <v>1360</v>
      </c>
    </row>
    <row r="19070" spans="1:8" x14ac:dyDescent="0.25">
      <c r="A19070" t="s">
        <v>16</v>
      </c>
      <c r="B19070" t="s">
        <v>1360</v>
      </c>
    </row>
    <row r="19071" spans="1:8" x14ac:dyDescent="0.25">
      <c r="A19071" t="s">
        <v>17</v>
      </c>
      <c r="B19071" t="s">
        <v>1360</v>
      </c>
    </row>
    <row r="19072" spans="1:8" x14ac:dyDescent="0.25">
      <c r="A19072" t="s">
        <v>18</v>
      </c>
      <c r="B19072" t="s">
        <v>1360</v>
      </c>
    </row>
    <row r="19073" spans="1:8" x14ac:dyDescent="0.25">
      <c r="A19073" t="str">
        <f xml:space="preserve"> $H$19065</f>
        <v>&lt;flags count_in_cargo="0" count_in_hoarder="0" count_in_map="1" count_in_player="0" crafted="0" deloot="0"/&gt;</v>
      </c>
      <c r="B19073" t="s">
        <v>1360</v>
      </c>
    </row>
    <row r="19074" spans="1:8" x14ac:dyDescent="0.25">
      <c r="A19074" t="str">
        <f>"&lt;category name=" &amp;"""" &amp;$C$19065&amp;"""/&gt;"</f>
        <v>&lt;category name="tools"/&gt;</v>
      </c>
      <c r="B19074" t="s">
        <v>1360</v>
      </c>
    </row>
    <row r="19075" spans="1:8" x14ac:dyDescent="0.25">
      <c r="A19075" t="s">
        <v>25</v>
      </c>
      <c r="B19075" t="s">
        <v>1360</v>
      </c>
    </row>
    <row r="19076" spans="1:8" x14ac:dyDescent="0.25">
      <c r="A19076" t="s">
        <v>55</v>
      </c>
      <c r="B19076" t="s">
        <v>1360</v>
      </c>
    </row>
    <row r="19077" spans="1:8" x14ac:dyDescent="0.25">
      <c r="A19077" t="s">
        <v>22</v>
      </c>
      <c r="B19077" t="s">
        <v>1360</v>
      </c>
    </row>
    <row r="19078" spans="1:8" x14ac:dyDescent="0.25">
      <c r="A19078" t="s">
        <v>274</v>
      </c>
      <c r="B19078" t="s">
        <v>1361</v>
      </c>
      <c r="C19078" t="s">
        <v>426</v>
      </c>
      <c r="D19078">
        <v>10</v>
      </c>
      <c r="E19078">
        <v>2700</v>
      </c>
      <c r="F19078">
        <v>0</v>
      </c>
      <c r="G19078">
        <v>5</v>
      </c>
      <c r="H19078" t="s">
        <v>19</v>
      </c>
    </row>
    <row r="19079" spans="1:8" x14ac:dyDescent="0.25">
      <c r="A19079" t="str">
        <f>"&lt;nominal&gt;" &amp;$D$19078&amp;"&lt;/nominal&gt;"</f>
        <v>&lt;nominal&gt;10&lt;/nominal&gt;</v>
      </c>
      <c r="B19079" t="s">
        <v>1361</v>
      </c>
    </row>
    <row r="19080" spans="1:8" x14ac:dyDescent="0.25">
      <c r="A19080" t="str">
        <f>"&lt;lifetime&gt;" &amp;$E$19078&amp;"&lt;/lifetime&gt;"</f>
        <v>&lt;lifetime&gt;2700&lt;/lifetime&gt;</v>
      </c>
      <c r="B19080" t="s">
        <v>1361</v>
      </c>
    </row>
    <row r="19081" spans="1:8" x14ac:dyDescent="0.25">
      <c r="A19081" t="str">
        <f>"&lt;restock&gt;" &amp;$F$19078&amp;"&lt;/restock&gt;"</f>
        <v>&lt;restock&gt;0&lt;/restock&gt;</v>
      </c>
      <c r="B19081" t="s">
        <v>1361</v>
      </c>
    </row>
    <row r="19082" spans="1:8" x14ac:dyDescent="0.25">
      <c r="A19082" t="str">
        <f>"&lt;min&gt;" &amp;$G$19078&amp;"&lt;/min&gt;"</f>
        <v>&lt;min&gt;5&lt;/min&gt;</v>
      </c>
      <c r="B19082" t="s">
        <v>1361</v>
      </c>
    </row>
    <row r="19083" spans="1:8" x14ac:dyDescent="0.25">
      <c r="A19083" t="s">
        <v>16</v>
      </c>
      <c r="B19083" t="s">
        <v>1361</v>
      </c>
    </row>
    <row r="19084" spans="1:8" x14ac:dyDescent="0.25">
      <c r="A19084" t="s">
        <v>17</v>
      </c>
      <c r="B19084" t="s">
        <v>1361</v>
      </c>
    </row>
    <row r="19085" spans="1:8" x14ac:dyDescent="0.25">
      <c r="A19085" t="s">
        <v>18</v>
      </c>
      <c r="B19085" t="s">
        <v>1361</v>
      </c>
    </row>
    <row r="19086" spans="1:8" x14ac:dyDescent="0.25">
      <c r="A19086" t="str">
        <f xml:space="preserve"> $H$19078</f>
        <v>&lt;flags count_in_cargo="0" count_in_hoarder="0" count_in_map="1" count_in_player="0" crafted="0" deloot="0"/&gt;</v>
      </c>
      <c r="B19086" t="s">
        <v>1361</v>
      </c>
    </row>
    <row r="19087" spans="1:8" x14ac:dyDescent="0.25">
      <c r="A19087" t="str">
        <f>"&lt;category name=" &amp;"""" &amp;$C$19078&amp;"""/&gt;"</f>
        <v>&lt;category name="tools"/&gt;</v>
      </c>
      <c r="B19087" t="s">
        <v>1361</v>
      </c>
    </row>
    <row r="19088" spans="1:8" x14ac:dyDescent="0.25">
      <c r="A19088" t="s">
        <v>25</v>
      </c>
      <c r="B19088" t="s">
        <v>1361</v>
      </c>
    </row>
    <row r="19089" spans="1:8" x14ac:dyDescent="0.25">
      <c r="A19089" t="s">
        <v>55</v>
      </c>
      <c r="B19089" t="s">
        <v>1361</v>
      </c>
    </row>
    <row r="19090" spans="1:8" x14ac:dyDescent="0.25">
      <c r="A19090" t="s">
        <v>22</v>
      </c>
      <c r="B19090" t="s">
        <v>1361</v>
      </c>
    </row>
    <row r="19091" spans="1:8" x14ac:dyDescent="0.25">
      <c r="A19091" t="s">
        <v>275</v>
      </c>
      <c r="B19091" t="s">
        <v>1362</v>
      </c>
      <c r="C19091" t="s">
        <v>426</v>
      </c>
      <c r="D19091">
        <v>10</v>
      </c>
      <c r="E19091">
        <v>2700</v>
      </c>
      <c r="F19091">
        <v>0</v>
      </c>
      <c r="G19091">
        <v>5</v>
      </c>
      <c r="H19091" t="s">
        <v>19</v>
      </c>
    </row>
    <row r="19092" spans="1:8" x14ac:dyDescent="0.25">
      <c r="A19092" t="str">
        <f>"&lt;nominal&gt;" &amp;$D$19091&amp;"&lt;/nominal&gt;"</f>
        <v>&lt;nominal&gt;10&lt;/nominal&gt;</v>
      </c>
      <c r="B19092" t="s">
        <v>1362</v>
      </c>
    </row>
    <row r="19093" spans="1:8" x14ac:dyDescent="0.25">
      <c r="A19093" t="str">
        <f>"&lt;lifetime&gt;" &amp;$E$19091&amp;"&lt;/lifetime&gt;"</f>
        <v>&lt;lifetime&gt;2700&lt;/lifetime&gt;</v>
      </c>
      <c r="B19093" t="s">
        <v>1362</v>
      </c>
    </row>
    <row r="19094" spans="1:8" x14ac:dyDescent="0.25">
      <c r="A19094" t="str">
        <f>"&lt;restock&gt;" &amp;$F$19091&amp;"&lt;/restock&gt;"</f>
        <v>&lt;restock&gt;0&lt;/restock&gt;</v>
      </c>
      <c r="B19094" t="s">
        <v>1362</v>
      </c>
    </row>
    <row r="19095" spans="1:8" x14ac:dyDescent="0.25">
      <c r="A19095" t="str">
        <f>"&lt;min&gt;" &amp;$G$19091&amp;"&lt;/min&gt;"</f>
        <v>&lt;min&gt;5&lt;/min&gt;</v>
      </c>
      <c r="B19095" t="s">
        <v>1362</v>
      </c>
    </row>
    <row r="19096" spans="1:8" x14ac:dyDescent="0.25">
      <c r="A19096" t="s">
        <v>16</v>
      </c>
      <c r="B19096" t="s">
        <v>1362</v>
      </c>
    </row>
    <row r="19097" spans="1:8" x14ac:dyDescent="0.25">
      <c r="A19097" t="s">
        <v>17</v>
      </c>
      <c r="B19097" t="s">
        <v>1362</v>
      </c>
    </row>
    <row r="19098" spans="1:8" x14ac:dyDescent="0.25">
      <c r="A19098" t="s">
        <v>18</v>
      </c>
      <c r="B19098" t="s">
        <v>1362</v>
      </c>
    </row>
    <row r="19099" spans="1:8" x14ac:dyDescent="0.25">
      <c r="A19099" t="str">
        <f xml:space="preserve"> $H$19091</f>
        <v>&lt;flags count_in_cargo="0" count_in_hoarder="0" count_in_map="1" count_in_player="0" crafted="0" deloot="0"/&gt;</v>
      </c>
      <c r="B19099" t="s">
        <v>1362</v>
      </c>
    </row>
    <row r="19100" spans="1:8" x14ac:dyDescent="0.25">
      <c r="A19100" t="str">
        <f>"&lt;category name=" &amp;"""" &amp;$C$19091&amp;"""/&gt;"</f>
        <v>&lt;category name="tools"/&gt;</v>
      </c>
      <c r="B19100" t="s">
        <v>1362</v>
      </c>
    </row>
    <row r="19101" spans="1:8" x14ac:dyDescent="0.25">
      <c r="A19101" t="s">
        <v>25</v>
      </c>
      <c r="B19101" t="s">
        <v>1362</v>
      </c>
    </row>
    <row r="19102" spans="1:8" x14ac:dyDescent="0.25">
      <c r="A19102" t="s">
        <v>55</v>
      </c>
      <c r="B19102" t="s">
        <v>1362</v>
      </c>
    </row>
    <row r="19103" spans="1:8" x14ac:dyDescent="0.25">
      <c r="A19103" t="s">
        <v>22</v>
      </c>
      <c r="B19103" t="s">
        <v>1362</v>
      </c>
    </row>
    <row r="19104" spans="1:8" x14ac:dyDescent="0.25">
      <c r="A19104" t="s">
        <v>276</v>
      </c>
      <c r="B19104" t="s">
        <v>1363</v>
      </c>
      <c r="C19104" t="s">
        <v>426</v>
      </c>
      <c r="D19104">
        <v>10</v>
      </c>
      <c r="E19104">
        <v>2700</v>
      </c>
      <c r="F19104">
        <v>0</v>
      </c>
      <c r="G19104">
        <v>5</v>
      </c>
      <c r="H19104" t="s">
        <v>19</v>
      </c>
    </row>
    <row r="19105" spans="1:8" x14ac:dyDescent="0.25">
      <c r="A19105" t="str">
        <f>"&lt;nominal&gt;" &amp;$D$19104&amp;"&lt;/nominal&gt;"</f>
        <v>&lt;nominal&gt;10&lt;/nominal&gt;</v>
      </c>
      <c r="B19105" t="s">
        <v>1363</v>
      </c>
    </row>
    <row r="19106" spans="1:8" x14ac:dyDescent="0.25">
      <c r="A19106" t="str">
        <f>"&lt;lifetime&gt;" &amp;$E$19104&amp;"&lt;/lifetime&gt;"</f>
        <v>&lt;lifetime&gt;2700&lt;/lifetime&gt;</v>
      </c>
      <c r="B19106" t="s">
        <v>1363</v>
      </c>
    </row>
    <row r="19107" spans="1:8" x14ac:dyDescent="0.25">
      <c r="A19107" t="str">
        <f>"&lt;restock&gt;" &amp;$F$19104&amp;"&lt;/restock&gt;"</f>
        <v>&lt;restock&gt;0&lt;/restock&gt;</v>
      </c>
      <c r="B19107" t="s">
        <v>1363</v>
      </c>
    </row>
    <row r="19108" spans="1:8" x14ac:dyDescent="0.25">
      <c r="A19108" t="str">
        <f>"&lt;min&gt;" &amp;$G$19104&amp;"&lt;/min&gt;"</f>
        <v>&lt;min&gt;5&lt;/min&gt;</v>
      </c>
      <c r="B19108" t="s">
        <v>1363</v>
      </c>
    </row>
    <row r="19109" spans="1:8" x14ac:dyDescent="0.25">
      <c r="A19109" t="s">
        <v>16</v>
      </c>
      <c r="B19109" t="s">
        <v>1363</v>
      </c>
    </row>
    <row r="19110" spans="1:8" x14ac:dyDescent="0.25">
      <c r="A19110" t="s">
        <v>17</v>
      </c>
      <c r="B19110" t="s">
        <v>1363</v>
      </c>
    </row>
    <row r="19111" spans="1:8" x14ac:dyDescent="0.25">
      <c r="A19111" t="s">
        <v>18</v>
      </c>
      <c r="B19111" t="s">
        <v>1363</v>
      </c>
    </row>
    <row r="19112" spans="1:8" x14ac:dyDescent="0.25">
      <c r="A19112" t="str">
        <f xml:space="preserve"> $H$19104</f>
        <v>&lt;flags count_in_cargo="0" count_in_hoarder="0" count_in_map="1" count_in_player="0" crafted="0" deloot="0"/&gt;</v>
      </c>
      <c r="B19112" t="s">
        <v>1363</v>
      </c>
    </row>
    <row r="19113" spans="1:8" x14ac:dyDescent="0.25">
      <c r="A19113" t="str">
        <f>"&lt;category name=" &amp;"""" &amp;$C$19104&amp;"""/&gt;"</f>
        <v>&lt;category name="tools"/&gt;</v>
      </c>
      <c r="B19113" t="s">
        <v>1363</v>
      </c>
    </row>
    <row r="19114" spans="1:8" x14ac:dyDescent="0.25">
      <c r="A19114" t="s">
        <v>25</v>
      </c>
      <c r="B19114" t="s">
        <v>1363</v>
      </c>
    </row>
    <row r="19115" spans="1:8" x14ac:dyDescent="0.25">
      <c r="A19115" t="s">
        <v>55</v>
      </c>
      <c r="B19115" t="s">
        <v>1363</v>
      </c>
    </row>
    <row r="19116" spans="1:8" x14ac:dyDescent="0.25">
      <c r="A19116" t="s">
        <v>22</v>
      </c>
      <c r="B19116" t="s">
        <v>1363</v>
      </c>
    </row>
    <row r="19117" spans="1:8" x14ac:dyDescent="0.25">
      <c r="A19117" t="s">
        <v>277</v>
      </c>
      <c r="B19117" t="s">
        <v>1364</v>
      </c>
      <c r="C19117" t="s">
        <v>426</v>
      </c>
      <c r="D19117">
        <v>10</v>
      </c>
      <c r="E19117">
        <v>2700</v>
      </c>
      <c r="F19117">
        <v>0</v>
      </c>
      <c r="G19117">
        <v>5</v>
      </c>
      <c r="H19117" t="s">
        <v>19</v>
      </c>
    </row>
    <row r="19118" spans="1:8" x14ac:dyDescent="0.25">
      <c r="A19118" t="str">
        <f>"&lt;nominal&gt;" &amp;$D$19117&amp;"&lt;/nominal&gt;"</f>
        <v>&lt;nominal&gt;10&lt;/nominal&gt;</v>
      </c>
      <c r="B19118" t="s">
        <v>1364</v>
      </c>
    </row>
    <row r="19119" spans="1:8" x14ac:dyDescent="0.25">
      <c r="A19119" t="str">
        <f>"&lt;lifetime&gt;" &amp;$E$19117&amp;"&lt;/lifetime&gt;"</f>
        <v>&lt;lifetime&gt;2700&lt;/lifetime&gt;</v>
      </c>
      <c r="B19119" t="s">
        <v>1364</v>
      </c>
    </row>
    <row r="19120" spans="1:8" x14ac:dyDescent="0.25">
      <c r="A19120" t="str">
        <f>"&lt;restock&gt;" &amp;$F$19117&amp;"&lt;/restock&gt;"</f>
        <v>&lt;restock&gt;0&lt;/restock&gt;</v>
      </c>
      <c r="B19120" t="s">
        <v>1364</v>
      </c>
    </row>
    <row r="19121" spans="1:8" x14ac:dyDescent="0.25">
      <c r="A19121" t="str">
        <f>"&lt;min&gt;" &amp;$G$19117&amp;"&lt;/min&gt;"</f>
        <v>&lt;min&gt;5&lt;/min&gt;</v>
      </c>
      <c r="B19121" t="s">
        <v>1364</v>
      </c>
    </row>
    <row r="19122" spans="1:8" x14ac:dyDescent="0.25">
      <c r="A19122" t="s">
        <v>16</v>
      </c>
      <c r="B19122" t="s">
        <v>1364</v>
      </c>
    </row>
    <row r="19123" spans="1:8" x14ac:dyDescent="0.25">
      <c r="A19123" t="s">
        <v>17</v>
      </c>
      <c r="B19123" t="s">
        <v>1364</v>
      </c>
    </row>
    <row r="19124" spans="1:8" x14ac:dyDescent="0.25">
      <c r="A19124" t="s">
        <v>18</v>
      </c>
      <c r="B19124" t="s">
        <v>1364</v>
      </c>
    </row>
    <row r="19125" spans="1:8" x14ac:dyDescent="0.25">
      <c r="A19125" t="str">
        <f xml:space="preserve"> $H$19117</f>
        <v>&lt;flags count_in_cargo="0" count_in_hoarder="0" count_in_map="1" count_in_player="0" crafted="0" deloot="0"/&gt;</v>
      </c>
      <c r="B19125" t="s">
        <v>1364</v>
      </c>
    </row>
    <row r="19126" spans="1:8" x14ac:dyDescent="0.25">
      <c r="A19126" t="str">
        <f>"&lt;category name=" &amp;"""" &amp;$C$19117&amp;"""/&gt;"</f>
        <v>&lt;category name="tools"/&gt;</v>
      </c>
      <c r="B19126" t="s">
        <v>1364</v>
      </c>
    </row>
    <row r="19127" spans="1:8" x14ac:dyDescent="0.25">
      <c r="A19127" t="s">
        <v>25</v>
      </c>
      <c r="B19127" t="s">
        <v>1364</v>
      </c>
    </row>
    <row r="19128" spans="1:8" x14ac:dyDescent="0.25">
      <c r="A19128" t="s">
        <v>55</v>
      </c>
      <c r="B19128" t="s">
        <v>1364</v>
      </c>
    </row>
    <row r="19129" spans="1:8" x14ac:dyDescent="0.25">
      <c r="A19129" t="s">
        <v>22</v>
      </c>
      <c r="B19129" t="s">
        <v>1364</v>
      </c>
    </row>
    <row r="19130" spans="1:8" x14ac:dyDescent="0.25">
      <c r="A19130" t="s">
        <v>278</v>
      </c>
      <c r="B19130" t="s">
        <v>1365</v>
      </c>
      <c r="C19130" t="s">
        <v>426</v>
      </c>
      <c r="D19130">
        <v>10</v>
      </c>
      <c r="E19130">
        <v>2700</v>
      </c>
      <c r="F19130">
        <v>0</v>
      </c>
      <c r="G19130">
        <v>5</v>
      </c>
      <c r="H19130" t="s">
        <v>19</v>
      </c>
    </row>
    <row r="19131" spans="1:8" x14ac:dyDescent="0.25">
      <c r="A19131" t="str">
        <f>"&lt;nominal&gt;" &amp;$D$19130&amp;"&lt;/nominal&gt;"</f>
        <v>&lt;nominal&gt;10&lt;/nominal&gt;</v>
      </c>
      <c r="B19131" t="s">
        <v>1365</v>
      </c>
    </row>
    <row r="19132" spans="1:8" x14ac:dyDescent="0.25">
      <c r="A19132" t="str">
        <f>"&lt;lifetime&gt;" &amp;$E$19130&amp;"&lt;/lifetime&gt;"</f>
        <v>&lt;lifetime&gt;2700&lt;/lifetime&gt;</v>
      </c>
      <c r="B19132" t="s">
        <v>1365</v>
      </c>
    </row>
    <row r="19133" spans="1:8" x14ac:dyDescent="0.25">
      <c r="A19133" t="str">
        <f>"&lt;restock&gt;" &amp;$F$19130&amp;"&lt;/restock&gt;"</f>
        <v>&lt;restock&gt;0&lt;/restock&gt;</v>
      </c>
      <c r="B19133" t="s">
        <v>1365</v>
      </c>
    </row>
    <row r="19134" spans="1:8" x14ac:dyDescent="0.25">
      <c r="A19134" t="str">
        <f>"&lt;min&gt;" &amp;$G$19130&amp;"&lt;/min&gt;"</f>
        <v>&lt;min&gt;5&lt;/min&gt;</v>
      </c>
      <c r="B19134" t="s">
        <v>1365</v>
      </c>
    </row>
    <row r="19135" spans="1:8" x14ac:dyDescent="0.25">
      <c r="A19135" t="s">
        <v>16</v>
      </c>
      <c r="B19135" t="s">
        <v>1365</v>
      </c>
    </row>
    <row r="19136" spans="1:8" x14ac:dyDescent="0.25">
      <c r="A19136" t="s">
        <v>17</v>
      </c>
      <c r="B19136" t="s">
        <v>1365</v>
      </c>
    </row>
    <row r="19137" spans="1:8" x14ac:dyDescent="0.25">
      <c r="A19137" t="s">
        <v>18</v>
      </c>
      <c r="B19137" t="s">
        <v>1365</v>
      </c>
    </row>
    <row r="19138" spans="1:8" x14ac:dyDescent="0.25">
      <c r="A19138" t="str">
        <f xml:space="preserve"> $H$19130</f>
        <v>&lt;flags count_in_cargo="0" count_in_hoarder="0" count_in_map="1" count_in_player="0" crafted="0" deloot="0"/&gt;</v>
      </c>
      <c r="B19138" t="s">
        <v>1365</v>
      </c>
    </row>
    <row r="19139" spans="1:8" x14ac:dyDescent="0.25">
      <c r="A19139" t="str">
        <f>"&lt;category name=" &amp;"""" &amp;$C$19130&amp;"""/&gt;"</f>
        <v>&lt;category name="tools"/&gt;</v>
      </c>
      <c r="B19139" t="s">
        <v>1365</v>
      </c>
    </row>
    <row r="19140" spans="1:8" x14ac:dyDescent="0.25">
      <c r="A19140" t="s">
        <v>25</v>
      </c>
      <c r="B19140" t="s">
        <v>1365</v>
      </c>
    </row>
    <row r="19141" spans="1:8" x14ac:dyDescent="0.25">
      <c r="A19141" t="s">
        <v>55</v>
      </c>
      <c r="B19141" t="s">
        <v>1365</v>
      </c>
    </row>
    <row r="19142" spans="1:8" x14ac:dyDescent="0.25">
      <c r="A19142" t="s">
        <v>22</v>
      </c>
      <c r="B19142" t="s">
        <v>1365</v>
      </c>
    </row>
    <row r="19143" spans="1:8" x14ac:dyDescent="0.25">
      <c r="A19143" t="s">
        <v>279</v>
      </c>
      <c r="B19143" t="s">
        <v>1366</v>
      </c>
      <c r="C19143" t="s">
        <v>426</v>
      </c>
      <c r="D19143">
        <v>10</v>
      </c>
      <c r="E19143">
        <v>2700</v>
      </c>
      <c r="F19143">
        <v>0</v>
      </c>
      <c r="G19143">
        <v>5</v>
      </c>
      <c r="H19143" t="s">
        <v>19</v>
      </c>
    </row>
    <row r="19144" spans="1:8" x14ac:dyDescent="0.25">
      <c r="A19144" t="str">
        <f>"&lt;nominal&gt;" &amp;$D$19143&amp;"&lt;/nominal&gt;"</f>
        <v>&lt;nominal&gt;10&lt;/nominal&gt;</v>
      </c>
      <c r="B19144" t="s">
        <v>1366</v>
      </c>
    </row>
    <row r="19145" spans="1:8" x14ac:dyDescent="0.25">
      <c r="A19145" t="str">
        <f>"&lt;lifetime&gt;" &amp;$E$19143&amp;"&lt;/lifetime&gt;"</f>
        <v>&lt;lifetime&gt;2700&lt;/lifetime&gt;</v>
      </c>
      <c r="B19145" t="s">
        <v>1366</v>
      </c>
    </row>
    <row r="19146" spans="1:8" x14ac:dyDescent="0.25">
      <c r="A19146" t="str">
        <f>"&lt;restock&gt;" &amp;$F$19143&amp;"&lt;/restock&gt;"</f>
        <v>&lt;restock&gt;0&lt;/restock&gt;</v>
      </c>
      <c r="B19146" t="s">
        <v>1366</v>
      </c>
    </row>
    <row r="19147" spans="1:8" x14ac:dyDescent="0.25">
      <c r="A19147" t="str">
        <f>"&lt;min&gt;" &amp;$G$19143&amp;"&lt;/min&gt;"</f>
        <v>&lt;min&gt;5&lt;/min&gt;</v>
      </c>
      <c r="B19147" t="s">
        <v>1366</v>
      </c>
    </row>
    <row r="19148" spans="1:8" x14ac:dyDescent="0.25">
      <c r="A19148" t="s">
        <v>16</v>
      </c>
      <c r="B19148" t="s">
        <v>1366</v>
      </c>
    </row>
    <row r="19149" spans="1:8" x14ac:dyDescent="0.25">
      <c r="A19149" t="s">
        <v>17</v>
      </c>
      <c r="B19149" t="s">
        <v>1366</v>
      </c>
    </row>
    <row r="19150" spans="1:8" x14ac:dyDescent="0.25">
      <c r="A19150" t="s">
        <v>18</v>
      </c>
      <c r="B19150" t="s">
        <v>1366</v>
      </c>
    </row>
    <row r="19151" spans="1:8" x14ac:dyDescent="0.25">
      <c r="A19151" t="str">
        <f xml:space="preserve"> $H$19143</f>
        <v>&lt;flags count_in_cargo="0" count_in_hoarder="0" count_in_map="1" count_in_player="0" crafted="0" deloot="0"/&gt;</v>
      </c>
      <c r="B19151" t="s">
        <v>1366</v>
      </c>
    </row>
    <row r="19152" spans="1:8" x14ac:dyDescent="0.25">
      <c r="A19152" t="str">
        <f>"&lt;category name=" &amp;"""" &amp;$C$19143&amp;"""/&gt;"</f>
        <v>&lt;category name="tools"/&gt;</v>
      </c>
      <c r="B19152" t="s">
        <v>1366</v>
      </c>
    </row>
    <row r="19153" spans="1:8" x14ac:dyDescent="0.25">
      <c r="A19153" t="s">
        <v>25</v>
      </c>
      <c r="B19153" t="s">
        <v>1366</v>
      </c>
    </row>
    <row r="19154" spans="1:8" x14ac:dyDescent="0.25">
      <c r="A19154" t="s">
        <v>55</v>
      </c>
      <c r="B19154" t="s">
        <v>1366</v>
      </c>
    </row>
    <row r="19155" spans="1:8" x14ac:dyDescent="0.25">
      <c r="A19155" t="s">
        <v>22</v>
      </c>
      <c r="B19155" t="s">
        <v>1366</v>
      </c>
    </row>
    <row r="19156" spans="1:8" x14ac:dyDescent="0.25">
      <c r="A19156" t="s">
        <v>280</v>
      </c>
      <c r="B19156" t="s">
        <v>1367</v>
      </c>
      <c r="C19156" t="s">
        <v>426</v>
      </c>
      <c r="D19156">
        <v>10</v>
      </c>
      <c r="E19156">
        <v>2700</v>
      </c>
      <c r="F19156">
        <v>0</v>
      </c>
      <c r="G19156">
        <v>5</v>
      </c>
      <c r="H19156" t="s">
        <v>19</v>
      </c>
    </row>
    <row r="19157" spans="1:8" x14ac:dyDescent="0.25">
      <c r="A19157" t="str">
        <f>"&lt;nominal&gt;" &amp;$D$19156&amp;"&lt;/nominal&gt;"</f>
        <v>&lt;nominal&gt;10&lt;/nominal&gt;</v>
      </c>
      <c r="B19157" t="s">
        <v>1367</v>
      </c>
    </row>
    <row r="19158" spans="1:8" x14ac:dyDescent="0.25">
      <c r="A19158" t="str">
        <f>"&lt;lifetime&gt;" &amp;$E$19156&amp;"&lt;/lifetime&gt;"</f>
        <v>&lt;lifetime&gt;2700&lt;/lifetime&gt;</v>
      </c>
      <c r="B19158" t="s">
        <v>1367</v>
      </c>
    </row>
    <row r="19159" spans="1:8" x14ac:dyDescent="0.25">
      <c r="A19159" t="str">
        <f>"&lt;restock&gt;" &amp;$F$19156&amp;"&lt;/restock&gt;"</f>
        <v>&lt;restock&gt;0&lt;/restock&gt;</v>
      </c>
      <c r="B19159" t="s">
        <v>1367</v>
      </c>
    </row>
    <row r="19160" spans="1:8" x14ac:dyDescent="0.25">
      <c r="A19160" t="str">
        <f>"&lt;min&gt;" &amp;$G$19156&amp;"&lt;/min&gt;"</f>
        <v>&lt;min&gt;5&lt;/min&gt;</v>
      </c>
      <c r="B19160" t="s">
        <v>1367</v>
      </c>
    </row>
    <row r="19161" spans="1:8" x14ac:dyDescent="0.25">
      <c r="A19161" t="s">
        <v>16</v>
      </c>
      <c r="B19161" t="s">
        <v>1367</v>
      </c>
    </row>
    <row r="19162" spans="1:8" x14ac:dyDescent="0.25">
      <c r="A19162" t="s">
        <v>17</v>
      </c>
      <c r="B19162" t="s">
        <v>1367</v>
      </c>
    </row>
    <row r="19163" spans="1:8" x14ac:dyDescent="0.25">
      <c r="A19163" t="s">
        <v>18</v>
      </c>
      <c r="B19163" t="s">
        <v>1367</v>
      </c>
    </row>
    <row r="19164" spans="1:8" x14ac:dyDescent="0.25">
      <c r="A19164" t="str">
        <f xml:space="preserve"> $H$19156</f>
        <v>&lt;flags count_in_cargo="0" count_in_hoarder="0" count_in_map="1" count_in_player="0" crafted="0" deloot="0"/&gt;</v>
      </c>
      <c r="B19164" t="s">
        <v>1367</v>
      </c>
    </row>
    <row r="19165" spans="1:8" x14ac:dyDescent="0.25">
      <c r="A19165" t="str">
        <f>"&lt;category name=" &amp;"""" &amp;$C$19156&amp;"""/&gt;"</f>
        <v>&lt;category name="tools"/&gt;</v>
      </c>
      <c r="B19165" t="s">
        <v>1367</v>
      </c>
    </row>
    <row r="19166" spans="1:8" x14ac:dyDescent="0.25">
      <c r="A19166" t="s">
        <v>25</v>
      </c>
      <c r="B19166" t="s">
        <v>1367</v>
      </c>
    </row>
    <row r="19167" spans="1:8" x14ac:dyDescent="0.25">
      <c r="A19167" t="s">
        <v>55</v>
      </c>
      <c r="B19167" t="s">
        <v>1367</v>
      </c>
    </row>
    <row r="19168" spans="1:8" x14ac:dyDescent="0.25">
      <c r="A19168" t="s">
        <v>22</v>
      </c>
      <c r="B19168" t="s">
        <v>1367</v>
      </c>
    </row>
    <row r="19169" spans="1:8" x14ac:dyDescent="0.25">
      <c r="A19169" t="s">
        <v>281</v>
      </c>
      <c r="B19169" t="s">
        <v>1368</v>
      </c>
      <c r="C19169" t="s">
        <v>426</v>
      </c>
      <c r="D19169">
        <v>10</v>
      </c>
      <c r="E19169">
        <v>2700</v>
      </c>
      <c r="F19169">
        <v>0</v>
      </c>
      <c r="G19169">
        <v>5</v>
      </c>
      <c r="H19169" t="s">
        <v>19</v>
      </c>
    </row>
    <row r="19170" spans="1:8" x14ac:dyDescent="0.25">
      <c r="A19170" t="str">
        <f>"&lt;nominal&gt;" &amp;$D$19169&amp;"&lt;/nominal&gt;"</f>
        <v>&lt;nominal&gt;10&lt;/nominal&gt;</v>
      </c>
      <c r="B19170" t="s">
        <v>1368</v>
      </c>
    </row>
    <row r="19171" spans="1:8" x14ac:dyDescent="0.25">
      <c r="A19171" t="str">
        <f>"&lt;lifetime&gt;" &amp;$E$19169&amp;"&lt;/lifetime&gt;"</f>
        <v>&lt;lifetime&gt;2700&lt;/lifetime&gt;</v>
      </c>
      <c r="B19171" t="s">
        <v>1368</v>
      </c>
    </row>
    <row r="19172" spans="1:8" x14ac:dyDescent="0.25">
      <c r="A19172" t="str">
        <f>"&lt;restock&gt;" &amp;$F$19169&amp;"&lt;/restock&gt;"</f>
        <v>&lt;restock&gt;0&lt;/restock&gt;</v>
      </c>
      <c r="B19172" t="s">
        <v>1368</v>
      </c>
    </row>
    <row r="19173" spans="1:8" x14ac:dyDescent="0.25">
      <c r="A19173" t="str">
        <f>"&lt;min&gt;" &amp;$G$19169&amp;"&lt;/min&gt;"</f>
        <v>&lt;min&gt;5&lt;/min&gt;</v>
      </c>
      <c r="B19173" t="s">
        <v>1368</v>
      </c>
    </row>
    <row r="19174" spans="1:8" x14ac:dyDescent="0.25">
      <c r="A19174" t="s">
        <v>16</v>
      </c>
      <c r="B19174" t="s">
        <v>1368</v>
      </c>
    </row>
    <row r="19175" spans="1:8" x14ac:dyDescent="0.25">
      <c r="A19175" t="s">
        <v>17</v>
      </c>
      <c r="B19175" t="s">
        <v>1368</v>
      </c>
    </row>
    <row r="19176" spans="1:8" x14ac:dyDescent="0.25">
      <c r="A19176" t="s">
        <v>18</v>
      </c>
      <c r="B19176" t="s">
        <v>1368</v>
      </c>
    </row>
    <row r="19177" spans="1:8" x14ac:dyDescent="0.25">
      <c r="A19177" t="str">
        <f xml:space="preserve"> $H$19169</f>
        <v>&lt;flags count_in_cargo="0" count_in_hoarder="0" count_in_map="1" count_in_player="0" crafted="0" deloot="0"/&gt;</v>
      </c>
      <c r="B19177" t="s">
        <v>1368</v>
      </c>
    </row>
    <row r="19178" spans="1:8" x14ac:dyDescent="0.25">
      <c r="A19178" t="str">
        <f>"&lt;category name=" &amp;"""" &amp;$C$19169&amp;"""/&gt;"</f>
        <v>&lt;category name="tools"/&gt;</v>
      </c>
      <c r="B19178" t="s">
        <v>1368</v>
      </c>
    </row>
    <row r="19179" spans="1:8" x14ac:dyDescent="0.25">
      <c r="A19179" t="s">
        <v>25</v>
      </c>
      <c r="B19179" t="s">
        <v>1368</v>
      </c>
    </row>
    <row r="19180" spans="1:8" x14ac:dyDescent="0.25">
      <c r="A19180" t="s">
        <v>55</v>
      </c>
      <c r="B19180" t="s">
        <v>1368</v>
      </c>
    </row>
    <row r="19181" spans="1:8" x14ac:dyDescent="0.25">
      <c r="A19181" t="s">
        <v>22</v>
      </c>
      <c r="B19181" t="s">
        <v>1368</v>
      </c>
    </row>
    <row r="19182" spans="1:8" x14ac:dyDescent="0.25">
      <c r="A19182" t="s">
        <v>282</v>
      </c>
      <c r="B19182" t="s">
        <v>1369</v>
      </c>
      <c r="C19182" t="s">
        <v>426</v>
      </c>
      <c r="D19182">
        <v>10</v>
      </c>
      <c r="E19182">
        <v>2700</v>
      </c>
      <c r="F19182">
        <v>0</v>
      </c>
      <c r="G19182">
        <v>5</v>
      </c>
      <c r="H19182" t="s">
        <v>19</v>
      </c>
    </row>
    <row r="19183" spans="1:8" x14ac:dyDescent="0.25">
      <c r="A19183" t="str">
        <f>"&lt;nominal&gt;" &amp;$D$19182&amp;"&lt;/nominal&gt;"</f>
        <v>&lt;nominal&gt;10&lt;/nominal&gt;</v>
      </c>
      <c r="B19183" t="s">
        <v>1369</v>
      </c>
    </row>
    <row r="19184" spans="1:8" x14ac:dyDescent="0.25">
      <c r="A19184" t="str">
        <f>"&lt;lifetime&gt;" &amp;$E$19182&amp;"&lt;/lifetime&gt;"</f>
        <v>&lt;lifetime&gt;2700&lt;/lifetime&gt;</v>
      </c>
      <c r="B19184" t="s">
        <v>1369</v>
      </c>
    </row>
    <row r="19185" spans="1:8" x14ac:dyDescent="0.25">
      <c r="A19185" t="str">
        <f>"&lt;restock&gt;" &amp;$F$19182&amp;"&lt;/restock&gt;"</f>
        <v>&lt;restock&gt;0&lt;/restock&gt;</v>
      </c>
      <c r="B19185" t="s">
        <v>1369</v>
      </c>
    </row>
    <row r="19186" spans="1:8" x14ac:dyDescent="0.25">
      <c r="A19186" t="str">
        <f>"&lt;min&gt;" &amp;$G$19182&amp;"&lt;/min&gt;"</f>
        <v>&lt;min&gt;5&lt;/min&gt;</v>
      </c>
      <c r="B19186" t="s">
        <v>1369</v>
      </c>
    </row>
    <row r="19187" spans="1:8" x14ac:dyDescent="0.25">
      <c r="A19187" t="s">
        <v>16</v>
      </c>
      <c r="B19187" t="s">
        <v>1369</v>
      </c>
    </row>
    <row r="19188" spans="1:8" x14ac:dyDescent="0.25">
      <c r="A19188" t="s">
        <v>17</v>
      </c>
      <c r="B19188" t="s">
        <v>1369</v>
      </c>
    </row>
    <row r="19189" spans="1:8" x14ac:dyDescent="0.25">
      <c r="A19189" t="s">
        <v>18</v>
      </c>
      <c r="B19189" t="s">
        <v>1369</v>
      </c>
    </row>
    <row r="19190" spans="1:8" x14ac:dyDescent="0.25">
      <c r="A19190" t="str">
        <f xml:space="preserve"> $H$19182</f>
        <v>&lt;flags count_in_cargo="0" count_in_hoarder="0" count_in_map="1" count_in_player="0" crafted="0" deloot="0"/&gt;</v>
      </c>
      <c r="B19190" t="s">
        <v>1369</v>
      </c>
    </row>
    <row r="19191" spans="1:8" x14ac:dyDescent="0.25">
      <c r="A19191" t="str">
        <f>"&lt;category name=" &amp;"""" &amp;$C$19182&amp;"""/&gt;"</f>
        <v>&lt;category name="tools"/&gt;</v>
      </c>
      <c r="B19191" t="s">
        <v>1369</v>
      </c>
    </row>
    <row r="19192" spans="1:8" x14ac:dyDescent="0.25">
      <c r="A19192" t="s">
        <v>25</v>
      </c>
      <c r="B19192" t="s">
        <v>1369</v>
      </c>
    </row>
    <row r="19193" spans="1:8" x14ac:dyDescent="0.25">
      <c r="A19193" t="s">
        <v>55</v>
      </c>
      <c r="B19193" t="s">
        <v>1369</v>
      </c>
    </row>
    <row r="19194" spans="1:8" x14ac:dyDescent="0.25">
      <c r="A19194" t="s">
        <v>22</v>
      </c>
      <c r="B19194" t="s">
        <v>1369</v>
      </c>
    </row>
    <row r="19195" spans="1:8" x14ac:dyDescent="0.25">
      <c r="A19195" t="s">
        <v>283</v>
      </c>
      <c r="B19195" t="s">
        <v>1370</v>
      </c>
      <c r="C19195" t="s">
        <v>426</v>
      </c>
      <c r="D19195">
        <v>10</v>
      </c>
      <c r="E19195">
        <v>2700</v>
      </c>
      <c r="F19195">
        <v>0</v>
      </c>
      <c r="G19195">
        <v>5</v>
      </c>
      <c r="H19195" t="s">
        <v>19</v>
      </c>
    </row>
    <row r="19196" spans="1:8" x14ac:dyDescent="0.25">
      <c r="A19196" t="str">
        <f>"&lt;nominal&gt;" &amp;$D$19195&amp;"&lt;/nominal&gt;"</f>
        <v>&lt;nominal&gt;10&lt;/nominal&gt;</v>
      </c>
      <c r="B19196" t="s">
        <v>1370</v>
      </c>
    </row>
    <row r="19197" spans="1:8" x14ac:dyDescent="0.25">
      <c r="A19197" t="str">
        <f>"&lt;lifetime&gt;" &amp;$E$19195&amp;"&lt;/lifetime&gt;"</f>
        <v>&lt;lifetime&gt;2700&lt;/lifetime&gt;</v>
      </c>
      <c r="B19197" t="s">
        <v>1370</v>
      </c>
    </row>
    <row r="19198" spans="1:8" x14ac:dyDescent="0.25">
      <c r="A19198" t="str">
        <f>"&lt;restock&gt;" &amp;$F$19195&amp;"&lt;/restock&gt;"</f>
        <v>&lt;restock&gt;0&lt;/restock&gt;</v>
      </c>
      <c r="B19198" t="s">
        <v>1370</v>
      </c>
    </row>
    <row r="19199" spans="1:8" x14ac:dyDescent="0.25">
      <c r="A19199" t="str">
        <f>"&lt;min&gt;" &amp;$G$19195&amp;"&lt;/min&gt;"</f>
        <v>&lt;min&gt;5&lt;/min&gt;</v>
      </c>
      <c r="B19199" t="s">
        <v>1370</v>
      </c>
    </row>
    <row r="19200" spans="1:8" x14ac:dyDescent="0.25">
      <c r="A19200" t="s">
        <v>16</v>
      </c>
      <c r="B19200" t="s">
        <v>1370</v>
      </c>
    </row>
    <row r="19201" spans="1:8" x14ac:dyDescent="0.25">
      <c r="A19201" t="s">
        <v>17</v>
      </c>
      <c r="B19201" t="s">
        <v>1370</v>
      </c>
    </row>
    <row r="19202" spans="1:8" x14ac:dyDescent="0.25">
      <c r="A19202" t="s">
        <v>18</v>
      </c>
      <c r="B19202" t="s">
        <v>1370</v>
      </c>
    </row>
    <row r="19203" spans="1:8" x14ac:dyDescent="0.25">
      <c r="A19203" t="str">
        <f xml:space="preserve"> $H$19195</f>
        <v>&lt;flags count_in_cargo="0" count_in_hoarder="0" count_in_map="1" count_in_player="0" crafted="0" deloot="0"/&gt;</v>
      </c>
      <c r="B19203" t="s">
        <v>1370</v>
      </c>
    </row>
    <row r="19204" spans="1:8" x14ac:dyDescent="0.25">
      <c r="A19204" t="str">
        <f>"&lt;category name=" &amp;"""" &amp;$C$19195&amp;"""/&gt;"</f>
        <v>&lt;category name="tools"/&gt;</v>
      </c>
      <c r="B19204" t="s">
        <v>1370</v>
      </c>
    </row>
    <row r="19205" spans="1:8" x14ac:dyDescent="0.25">
      <c r="A19205" t="s">
        <v>25</v>
      </c>
      <c r="B19205" t="s">
        <v>1370</v>
      </c>
    </row>
    <row r="19206" spans="1:8" x14ac:dyDescent="0.25">
      <c r="A19206" t="s">
        <v>55</v>
      </c>
      <c r="B19206" t="s">
        <v>1370</v>
      </c>
    </row>
    <row r="19207" spans="1:8" x14ac:dyDescent="0.25">
      <c r="A19207" t="s">
        <v>22</v>
      </c>
      <c r="B19207" t="s">
        <v>1370</v>
      </c>
    </row>
    <row r="19208" spans="1:8" x14ac:dyDescent="0.25">
      <c r="A19208" t="s">
        <v>284</v>
      </c>
      <c r="B19208" t="s">
        <v>1371</v>
      </c>
      <c r="C19208" t="s">
        <v>426</v>
      </c>
      <c r="D19208">
        <v>10</v>
      </c>
      <c r="E19208">
        <v>2700</v>
      </c>
      <c r="F19208">
        <v>0</v>
      </c>
      <c r="G19208">
        <v>5</v>
      </c>
      <c r="H19208" t="s">
        <v>19</v>
      </c>
    </row>
    <row r="19209" spans="1:8" x14ac:dyDescent="0.25">
      <c r="A19209" t="str">
        <f>"&lt;nominal&gt;" &amp;$D$19208&amp;"&lt;/nominal&gt;"</f>
        <v>&lt;nominal&gt;10&lt;/nominal&gt;</v>
      </c>
      <c r="B19209" t="s">
        <v>1371</v>
      </c>
    </row>
    <row r="19210" spans="1:8" x14ac:dyDescent="0.25">
      <c r="A19210" t="str">
        <f>"&lt;lifetime&gt;" &amp;$E$19208&amp;"&lt;/lifetime&gt;"</f>
        <v>&lt;lifetime&gt;2700&lt;/lifetime&gt;</v>
      </c>
      <c r="B19210" t="s">
        <v>1371</v>
      </c>
    </row>
    <row r="19211" spans="1:8" x14ac:dyDescent="0.25">
      <c r="A19211" t="str">
        <f>"&lt;restock&gt;" &amp;$F$19208&amp;"&lt;/restock&gt;"</f>
        <v>&lt;restock&gt;0&lt;/restock&gt;</v>
      </c>
      <c r="B19211" t="s">
        <v>1371</v>
      </c>
    </row>
    <row r="19212" spans="1:8" x14ac:dyDescent="0.25">
      <c r="A19212" t="str">
        <f>"&lt;min&gt;" &amp;$G$19208&amp;"&lt;/min&gt;"</f>
        <v>&lt;min&gt;5&lt;/min&gt;</v>
      </c>
      <c r="B19212" t="s">
        <v>1371</v>
      </c>
    </row>
    <row r="19213" spans="1:8" x14ac:dyDescent="0.25">
      <c r="A19213" t="s">
        <v>16</v>
      </c>
      <c r="B19213" t="s">
        <v>1371</v>
      </c>
    </row>
    <row r="19214" spans="1:8" x14ac:dyDescent="0.25">
      <c r="A19214" t="s">
        <v>17</v>
      </c>
      <c r="B19214" t="s">
        <v>1371</v>
      </c>
    </row>
    <row r="19215" spans="1:8" x14ac:dyDescent="0.25">
      <c r="A19215" t="s">
        <v>18</v>
      </c>
      <c r="B19215" t="s">
        <v>1371</v>
      </c>
    </row>
    <row r="19216" spans="1:8" x14ac:dyDescent="0.25">
      <c r="A19216" t="str">
        <f xml:space="preserve"> $H$19208</f>
        <v>&lt;flags count_in_cargo="0" count_in_hoarder="0" count_in_map="1" count_in_player="0" crafted="0" deloot="0"/&gt;</v>
      </c>
      <c r="B19216" t="s">
        <v>1371</v>
      </c>
    </row>
    <row r="19217" spans="1:8" x14ac:dyDescent="0.25">
      <c r="A19217" t="str">
        <f>"&lt;category name=" &amp;"""" &amp;$C$19208&amp;"""/&gt;"</f>
        <v>&lt;category name="tools"/&gt;</v>
      </c>
      <c r="B19217" t="s">
        <v>1371</v>
      </c>
    </row>
    <row r="19218" spans="1:8" x14ac:dyDescent="0.25">
      <c r="A19218" t="s">
        <v>25</v>
      </c>
      <c r="B19218" t="s">
        <v>1371</v>
      </c>
    </row>
    <row r="19219" spans="1:8" x14ac:dyDescent="0.25">
      <c r="A19219" t="s">
        <v>55</v>
      </c>
      <c r="B19219" t="s">
        <v>1371</v>
      </c>
    </row>
    <row r="19220" spans="1:8" x14ac:dyDescent="0.25">
      <c r="A19220" t="s">
        <v>22</v>
      </c>
      <c r="B19220" t="s">
        <v>1371</v>
      </c>
    </row>
    <row r="19221" spans="1:8" x14ac:dyDescent="0.25">
      <c r="A19221" t="s">
        <v>285</v>
      </c>
      <c r="B19221" t="s">
        <v>1372</v>
      </c>
      <c r="C19221" t="s">
        <v>426</v>
      </c>
      <c r="D19221">
        <v>10</v>
      </c>
      <c r="E19221">
        <v>2700</v>
      </c>
      <c r="F19221">
        <v>0</v>
      </c>
      <c r="G19221">
        <v>5</v>
      </c>
      <c r="H19221" t="s">
        <v>19</v>
      </c>
    </row>
    <row r="19222" spans="1:8" x14ac:dyDescent="0.25">
      <c r="A19222" t="str">
        <f>"&lt;nominal&gt;" &amp;$D$19221&amp;"&lt;/nominal&gt;"</f>
        <v>&lt;nominal&gt;10&lt;/nominal&gt;</v>
      </c>
      <c r="B19222" t="s">
        <v>1372</v>
      </c>
    </row>
    <row r="19223" spans="1:8" x14ac:dyDescent="0.25">
      <c r="A19223" t="str">
        <f>"&lt;lifetime&gt;" &amp;$E$19221&amp;"&lt;/lifetime&gt;"</f>
        <v>&lt;lifetime&gt;2700&lt;/lifetime&gt;</v>
      </c>
      <c r="B19223" t="s">
        <v>1372</v>
      </c>
    </row>
    <row r="19224" spans="1:8" x14ac:dyDescent="0.25">
      <c r="A19224" t="str">
        <f>"&lt;restock&gt;" &amp;$F$19221&amp;"&lt;/restock&gt;"</f>
        <v>&lt;restock&gt;0&lt;/restock&gt;</v>
      </c>
      <c r="B19224" t="s">
        <v>1372</v>
      </c>
    </row>
    <row r="19225" spans="1:8" x14ac:dyDescent="0.25">
      <c r="A19225" t="str">
        <f>"&lt;min&gt;" &amp;$G$19221&amp;"&lt;/min&gt;"</f>
        <v>&lt;min&gt;5&lt;/min&gt;</v>
      </c>
      <c r="B19225" t="s">
        <v>1372</v>
      </c>
    </row>
    <row r="19226" spans="1:8" x14ac:dyDescent="0.25">
      <c r="A19226" t="s">
        <v>16</v>
      </c>
      <c r="B19226" t="s">
        <v>1372</v>
      </c>
    </row>
    <row r="19227" spans="1:8" x14ac:dyDescent="0.25">
      <c r="A19227" t="s">
        <v>17</v>
      </c>
      <c r="B19227" t="s">
        <v>1372</v>
      </c>
    </row>
    <row r="19228" spans="1:8" x14ac:dyDescent="0.25">
      <c r="A19228" t="s">
        <v>18</v>
      </c>
      <c r="B19228" t="s">
        <v>1372</v>
      </c>
    </row>
    <row r="19229" spans="1:8" x14ac:dyDescent="0.25">
      <c r="A19229" t="str">
        <f xml:space="preserve"> $H$19221</f>
        <v>&lt;flags count_in_cargo="0" count_in_hoarder="0" count_in_map="1" count_in_player="0" crafted="0" deloot="0"/&gt;</v>
      </c>
      <c r="B19229" t="s">
        <v>1372</v>
      </c>
    </row>
    <row r="19230" spans="1:8" x14ac:dyDescent="0.25">
      <c r="A19230" t="str">
        <f>"&lt;category name=" &amp;"""" &amp;$C$19221&amp;"""/&gt;"</f>
        <v>&lt;category name="tools"/&gt;</v>
      </c>
      <c r="B19230" t="s">
        <v>1372</v>
      </c>
    </row>
    <row r="19231" spans="1:8" x14ac:dyDescent="0.25">
      <c r="A19231" t="s">
        <v>25</v>
      </c>
      <c r="B19231" t="s">
        <v>1372</v>
      </c>
    </row>
    <row r="19232" spans="1:8" x14ac:dyDescent="0.25">
      <c r="A19232" t="s">
        <v>55</v>
      </c>
      <c r="B19232" t="s">
        <v>1372</v>
      </c>
    </row>
    <row r="19233" spans="1:8" x14ac:dyDescent="0.25">
      <c r="A19233" t="s">
        <v>22</v>
      </c>
      <c r="B19233" t="s">
        <v>1372</v>
      </c>
    </row>
    <row r="19234" spans="1:8" x14ac:dyDescent="0.25">
      <c r="A19234" t="s">
        <v>286</v>
      </c>
      <c r="B19234" t="s">
        <v>1373</v>
      </c>
      <c r="C19234" t="s">
        <v>426</v>
      </c>
      <c r="D19234">
        <v>10</v>
      </c>
      <c r="E19234">
        <v>2700</v>
      </c>
      <c r="F19234">
        <v>0</v>
      </c>
      <c r="G19234">
        <v>5</v>
      </c>
      <c r="H19234" t="s">
        <v>19</v>
      </c>
    </row>
    <row r="19235" spans="1:8" x14ac:dyDescent="0.25">
      <c r="A19235" t="str">
        <f>"&lt;nominal&gt;" &amp;$D$19234&amp;"&lt;/nominal&gt;"</f>
        <v>&lt;nominal&gt;10&lt;/nominal&gt;</v>
      </c>
      <c r="B19235" t="s">
        <v>1373</v>
      </c>
    </row>
    <row r="19236" spans="1:8" x14ac:dyDescent="0.25">
      <c r="A19236" t="str">
        <f>"&lt;lifetime&gt;" &amp;$E$19234&amp;"&lt;/lifetime&gt;"</f>
        <v>&lt;lifetime&gt;2700&lt;/lifetime&gt;</v>
      </c>
      <c r="B19236" t="s">
        <v>1373</v>
      </c>
    </row>
    <row r="19237" spans="1:8" x14ac:dyDescent="0.25">
      <c r="A19237" t="str">
        <f>"&lt;restock&gt;" &amp;$F$19234&amp;"&lt;/restock&gt;"</f>
        <v>&lt;restock&gt;0&lt;/restock&gt;</v>
      </c>
      <c r="B19237" t="s">
        <v>1373</v>
      </c>
    </row>
    <row r="19238" spans="1:8" x14ac:dyDescent="0.25">
      <c r="A19238" t="str">
        <f>"&lt;min&gt;" &amp;$G$19234&amp;"&lt;/min&gt;"</f>
        <v>&lt;min&gt;5&lt;/min&gt;</v>
      </c>
      <c r="B19238" t="s">
        <v>1373</v>
      </c>
    </row>
    <row r="19239" spans="1:8" x14ac:dyDescent="0.25">
      <c r="A19239" t="s">
        <v>16</v>
      </c>
      <c r="B19239" t="s">
        <v>1373</v>
      </c>
    </row>
    <row r="19240" spans="1:8" x14ac:dyDescent="0.25">
      <c r="A19240" t="s">
        <v>17</v>
      </c>
      <c r="B19240" t="s">
        <v>1373</v>
      </c>
    </row>
    <row r="19241" spans="1:8" x14ac:dyDescent="0.25">
      <c r="A19241" t="s">
        <v>18</v>
      </c>
      <c r="B19241" t="s">
        <v>1373</v>
      </c>
    </row>
    <row r="19242" spans="1:8" x14ac:dyDescent="0.25">
      <c r="A19242" t="str">
        <f xml:space="preserve"> $H$19234</f>
        <v>&lt;flags count_in_cargo="0" count_in_hoarder="0" count_in_map="1" count_in_player="0" crafted="0" deloot="0"/&gt;</v>
      </c>
      <c r="B19242" t="s">
        <v>1373</v>
      </c>
    </row>
    <row r="19243" spans="1:8" x14ac:dyDescent="0.25">
      <c r="A19243" t="str">
        <f>"&lt;category name=" &amp;"""" &amp;$C$19234&amp;"""/&gt;"</f>
        <v>&lt;category name="tools"/&gt;</v>
      </c>
      <c r="B19243" t="s">
        <v>1373</v>
      </c>
    </row>
    <row r="19244" spans="1:8" x14ac:dyDescent="0.25">
      <c r="A19244" t="s">
        <v>25</v>
      </c>
      <c r="B19244" t="s">
        <v>1373</v>
      </c>
    </row>
    <row r="19245" spans="1:8" x14ac:dyDescent="0.25">
      <c r="A19245" t="s">
        <v>55</v>
      </c>
      <c r="B19245" t="s">
        <v>1373</v>
      </c>
    </row>
    <row r="19246" spans="1:8" x14ac:dyDescent="0.25">
      <c r="A19246" t="s">
        <v>22</v>
      </c>
      <c r="B19246" t="s">
        <v>1373</v>
      </c>
    </row>
    <row r="19247" spans="1:8" x14ac:dyDescent="0.25">
      <c r="A19247" t="s">
        <v>287</v>
      </c>
      <c r="B19247" t="s">
        <v>1374</v>
      </c>
      <c r="C19247" t="s">
        <v>426</v>
      </c>
      <c r="D19247">
        <v>10</v>
      </c>
      <c r="E19247">
        <v>2700</v>
      </c>
      <c r="F19247">
        <v>0</v>
      </c>
      <c r="G19247">
        <v>5</v>
      </c>
      <c r="H19247" t="s">
        <v>19</v>
      </c>
    </row>
    <row r="19248" spans="1:8" x14ac:dyDescent="0.25">
      <c r="A19248" t="str">
        <f>"&lt;nominal&gt;" &amp;$D$19247&amp;"&lt;/nominal&gt;"</f>
        <v>&lt;nominal&gt;10&lt;/nominal&gt;</v>
      </c>
      <c r="B19248" t="s">
        <v>1374</v>
      </c>
    </row>
    <row r="19249" spans="1:8" x14ac:dyDescent="0.25">
      <c r="A19249" t="str">
        <f>"&lt;lifetime&gt;" &amp;$E$19247&amp;"&lt;/lifetime&gt;"</f>
        <v>&lt;lifetime&gt;2700&lt;/lifetime&gt;</v>
      </c>
      <c r="B19249" t="s">
        <v>1374</v>
      </c>
    </row>
    <row r="19250" spans="1:8" x14ac:dyDescent="0.25">
      <c r="A19250" t="str">
        <f>"&lt;restock&gt;" &amp;$F$19247&amp;"&lt;/restock&gt;"</f>
        <v>&lt;restock&gt;0&lt;/restock&gt;</v>
      </c>
      <c r="B19250" t="s">
        <v>1374</v>
      </c>
    </row>
    <row r="19251" spans="1:8" x14ac:dyDescent="0.25">
      <c r="A19251" t="str">
        <f>"&lt;min&gt;" &amp;$G$19247&amp;"&lt;/min&gt;"</f>
        <v>&lt;min&gt;5&lt;/min&gt;</v>
      </c>
      <c r="B19251" t="s">
        <v>1374</v>
      </c>
    </row>
    <row r="19252" spans="1:8" x14ac:dyDescent="0.25">
      <c r="A19252" t="s">
        <v>16</v>
      </c>
      <c r="B19252" t="s">
        <v>1374</v>
      </c>
    </row>
    <row r="19253" spans="1:8" x14ac:dyDescent="0.25">
      <c r="A19253" t="s">
        <v>17</v>
      </c>
      <c r="B19253" t="s">
        <v>1374</v>
      </c>
    </row>
    <row r="19254" spans="1:8" x14ac:dyDescent="0.25">
      <c r="A19254" t="s">
        <v>18</v>
      </c>
      <c r="B19254" t="s">
        <v>1374</v>
      </c>
    </row>
    <row r="19255" spans="1:8" x14ac:dyDescent="0.25">
      <c r="A19255" t="str">
        <f xml:space="preserve"> $H$19247</f>
        <v>&lt;flags count_in_cargo="0" count_in_hoarder="0" count_in_map="1" count_in_player="0" crafted="0" deloot="0"/&gt;</v>
      </c>
      <c r="B19255" t="s">
        <v>1374</v>
      </c>
    </row>
    <row r="19256" spans="1:8" x14ac:dyDescent="0.25">
      <c r="A19256" t="str">
        <f>"&lt;category name=" &amp;"""" &amp;$C$19247&amp;"""/&gt;"</f>
        <v>&lt;category name="tools"/&gt;</v>
      </c>
      <c r="B19256" t="s">
        <v>1374</v>
      </c>
    </row>
    <row r="19257" spans="1:8" x14ac:dyDescent="0.25">
      <c r="A19257" t="s">
        <v>25</v>
      </c>
      <c r="B19257" t="s">
        <v>1374</v>
      </c>
    </row>
    <row r="19258" spans="1:8" x14ac:dyDescent="0.25">
      <c r="A19258" t="s">
        <v>55</v>
      </c>
      <c r="B19258" t="s">
        <v>1374</v>
      </c>
    </row>
    <row r="19259" spans="1:8" x14ac:dyDescent="0.25">
      <c r="A19259" t="s">
        <v>22</v>
      </c>
      <c r="B19259" t="s">
        <v>1374</v>
      </c>
    </row>
    <row r="19260" spans="1:8" x14ac:dyDescent="0.25">
      <c r="A19260" t="s">
        <v>288</v>
      </c>
      <c r="B19260" t="s">
        <v>1375</v>
      </c>
      <c r="C19260" t="s">
        <v>426</v>
      </c>
      <c r="D19260">
        <v>10</v>
      </c>
      <c r="E19260">
        <v>2700</v>
      </c>
      <c r="F19260">
        <v>0</v>
      </c>
      <c r="G19260">
        <v>5</v>
      </c>
      <c r="H19260" t="s">
        <v>19</v>
      </c>
    </row>
    <row r="19261" spans="1:8" x14ac:dyDescent="0.25">
      <c r="A19261" t="str">
        <f>"&lt;nominal&gt;" &amp;$D$19260&amp;"&lt;/nominal&gt;"</f>
        <v>&lt;nominal&gt;10&lt;/nominal&gt;</v>
      </c>
      <c r="B19261" t="s">
        <v>1375</v>
      </c>
    </row>
    <row r="19262" spans="1:8" x14ac:dyDescent="0.25">
      <c r="A19262" t="str">
        <f>"&lt;lifetime&gt;" &amp;$E$19260&amp;"&lt;/lifetime&gt;"</f>
        <v>&lt;lifetime&gt;2700&lt;/lifetime&gt;</v>
      </c>
      <c r="B19262" t="s">
        <v>1375</v>
      </c>
    </row>
    <row r="19263" spans="1:8" x14ac:dyDescent="0.25">
      <c r="A19263" t="str">
        <f>"&lt;restock&gt;" &amp;$F$19260&amp;"&lt;/restock&gt;"</f>
        <v>&lt;restock&gt;0&lt;/restock&gt;</v>
      </c>
      <c r="B19263" t="s">
        <v>1375</v>
      </c>
    </row>
    <row r="19264" spans="1:8" x14ac:dyDescent="0.25">
      <c r="A19264" t="str">
        <f>"&lt;min&gt;" &amp;$G$19260&amp;"&lt;/min&gt;"</f>
        <v>&lt;min&gt;5&lt;/min&gt;</v>
      </c>
      <c r="B19264" t="s">
        <v>1375</v>
      </c>
    </row>
    <row r="19265" spans="1:8" x14ac:dyDescent="0.25">
      <c r="A19265" t="s">
        <v>16</v>
      </c>
      <c r="B19265" t="s">
        <v>1375</v>
      </c>
    </row>
    <row r="19266" spans="1:8" x14ac:dyDescent="0.25">
      <c r="A19266" t="s">
        <v>17</v>
      </c>
      <c r="B19266" t="s">
        <v>1375</v>
      </c>
    </row>
    <row r="19267" spans="1:8" x14ac:dyDescent="0.25">
      <c r="A19267" t="s">
        <v>18</v>
      </c>
      <c r="B19267" t="s">
        <v>1375</v>
      </c>
    </row>
    <row r="19268" spans="1:8" x14ac:dyDescent="0.25">
      <c r="A19268" t="str">
        <f xml:space="preserve"> $H$19260</f>
        <v>&lt;flags count_in_cargo="0" count_in_hoarder="0" count_in_map="1" count_in_player="0" crafted="0" deloot="0"/&gt;</v>
      </c>
      <c r="B19268" t="s">
        <v>1375</v>
      </c>
    </row>
    <row r="19269" spans="1:8" x14ac:dyDescent="0.25">
      <c r="A19269" t="str">
        <f>"&lt;category name=" &amp;"""" &amp;$C$19260&amp;"""/&gt;"</f>
        <v>&lt;category name="tools"/&gt;</v>
      </c>
      <c r="B19269" t="s">
        <v>1375</v>
      </c>
    </row>
    <row r="19270" spans="1:8" x14ac:dyDescent="0.25">
      <c r="A19270" t="s">
        <v>25</v>
      </c>
      <c r="B19270" t="s">
        <v>1375</v>
      </c>
    </row>
    <row r="19271" spans="1:8" x14ac:dyDescent="0.25">
      <c r="A19271" t="s">
        <v>55</v>
      </c>
      <c r="B19271" t="s">
        <v>1375</v>
      </c>
    </row>
    <row r="19272" spans="1:8" x14ac:dyDescent="0.25">
      <c r="A19272" t="s">
        <v>22</v>
      </c>
      <c r="B19272" t="s">
        <v>1375</v>
      </c>
    </row>
    <row r="19273" spans="1:8" x14ac:dyDescent="0.25">
      <c r="A19273" t="s">
        <v>289</v>
      </c>
      <c r="B19273" t="s">
        <v>1376</v>
      </c>
      <c r="C19273" t="s">
        <v>426</v>
      </c>
      <c r="D19273">
        <v>10</v>
      </c>
      <c r="E19273">
        <v>2700</v>
      </c>
      <c r="F19273">
        <v>0</v>
      </c>
      <c r="G19273">
        <v>5</v>
      </c>
      <c r="H19273" t="s">
        <v>19</v>
      </c>
    </row>
    <row r="19274" spans="1:8" x14ac:dyDescent="0.25">
      <c r="A19274" t="str">
        <f>"&lt;nominal&gt;" &amp;$D$19273&amp;"&lt;/nominal&gt;"</f>
        <v>&lt;nominal&gt;10&lt;/nominal&gt;</v>
      </c>
      <c r="B19274" t="s">
        <v>1376</v>
      </c>
    </row>
    <row r="19275" spans="1:8" x14ac:dyDescent="0.25">
      <c r="A19275" t="str">
        <f>"&lt;lifetime&gt;" &amp;$E$19273&amp;"&lt;/lifetime&gt;"</f>
        <v>&lt;lifetime&gt;2700&lt;/lifetime&gt;</v>
      </c>
      <c r="B19275" t="s">
        <v>1376</v>
      </c>
    </row>
    <row r="19276" spans="1:8" x14ac:dyDescent="0.25">
      <c r="A19276" t="str">
        <f>"&lt;restock&gt;" &amp;$F$19273&amp;"&lt;/restock&gt;"</f>
        <v>&lt;restock&gt;0&lt;/restock&gt;</v>
      </c>
      <c r="B19276" t="s">
        <v>1376</v>
      </c>
    </row>
    <row r="19277" spans="1:8" x14ac:dyDescent="0.25">
      <c r="A19277" t="str">
        <f>"&lt;min&gt;" &amp;$G$19273&amp;"&lt;/min&gt;"</f>
        <v>&lt;min&gt;5&lt;/min&gt;</v>
      </c>
      <c r="B19277" t="s">
        <v>1376</v>
      </c>
    </row>
    <row r="19278" spans="1:8" x14ac:dyDescent="0.25">
      <c r="A19278" t="s">
        <v>16</v>
      </c>
      <c r="B19278" t="s">
        <v>1376</v>
      </c>
    </row>
    <row r="19279" spans="1:8" x14ac:dyDescent="0.25">
      <c r="A19279" t="s">
        <v>17</v>
      </c>
      <c r="B19279" t="s">
        <v>1376</v>
      </c>
    </row>
    <row r="19280" spans="1:8" x14ac:dyDescent="0.25">
      <c r="A19280" t="s">
        <v>18</v>
      </c>
      <c r="B19280" t="s">
        <v>1376</v>
      </c>
    </row>
    <row r="19281" spans="1:8" x14ac:dyDescent="0.25">
      <c r="A19281" t="str">
        <f xml:space="preserve"> $H$19273</f>
        <v>&lt;flags count_in_cargo="0" count_in_hoarder="0" count_in_map="1" count_in_player="0" crafted="0" deloot="0"/&gt;</v>
      </c>
      <c r="B19281" t="s">
        <v>1376</v>
      </c>
    </row>
    <row r="19282" spans="1:8" x14ac:dyDescent="0.25">
      <c r="A19282" t="str">
        <f>"&lt;category name=" &amp;"""" &amp;$C$19273&amp;"""/&gt;"</f>
        <v>&lt;category name="tools"/&gt;</v>
      </c>
      <c r="B19282" t="s">
        <v>1376</v>
      </c>
    </row>
    <row r="19283" spans="1:8" x14ac:dyDescent="0.25">
      <c r="A19283" t="s">
        <v>25</v>
      </c>
      <c r="B19283" t="s">
        <v>1376</v>
      </c>
    </row>
    <row r="19284" spans="1:8" x14ac:dyDescent="0.25">
      <c r="A19284" t="s">
        <v>55</v>
      </c>
      <c r="B19284" t="s">
        <v>1376</v>
      </c>
    </row>
    <row r="19285" spans="1:8" x14ac:dyDescent="0.25">
      <c r="A19285" t="s">
        <v>22</v>
      </c>
      <c r="B19285" t="s">
        <v>1376</v>
      </c>
    </row>
    <row r="19286" spans="1:8" x14ac:dyDescent="0.25">
      <c r="A19286" t="s">
        <v>290</v>
      </c>
      <c r="B19286" t="s">
        <v>3769</v>
      </c>
      <c r="E19286">
        <v>1800</v>
      </c>
      <c r="H19286" t="s">
        <v>62</v>
      </c>
    </row>
    <row r="19287" spans="1:8" x14ac:dyDescent="0.25">
      <c r="A19287" t="str">
        <f>"&lt;lifetime&gt;" &amp;$E$19286&amp;"&lt;/lifetime&gt;"</f>
        <v>&lt;lifetime&gt;1800&lt;/lifetime&gt;</v>
      </c>
      <c r="B19287" t="s">
        <v>3769</v>
      </c>
    </row>
    <row r="19288" spans="1:8" x14ac:dyDescent="0.25">
      <c r="A19288" t="str">
        <f xml:space="preserve"> $H$19286</f>
        <v>&lt;flags count_in_cargo="0" count_in_hoarder="0" count_in_map="1" count_in_player="0" crafted="1" deloot="0"/&gt;</v>
      </c>
      <c r="B19288" t="s">
        <v>3769</v>
      </c>
    </row>
    <row r="19289" spans="1:8" x14ac:dyDescent="0.25">
      <c r="A19289" t="s">
        <v>22</v>
      </c>
      <c r="B19289" t="s">
        <v>3769</v>
      </c>
    </row>
    <row r="19290" spans="1:8" x14ac:dyDescent="0.25">
      <c r="B19290" t="s">
        <v>3769</v>
      </c>
    </row>
    <row r="19291" spans="1:8" x14ac:dyDescent="0.25">
      <c r="A19291" t="s">
        <v>291</v>
      </c>
      <c r="B19291" t="s">
        <v>1377</v>
      </c>
      <c r="D19291">
        <v>0</v>
      </c>
      <c r="E19291">
        <v>3888000</v>
      </c>
      <c r="F19291">
        <v>1800</v>
      </c>
      <c r="G19291">
        <v>0</v>
      </c>
      <c r="H19291" t="s">
        <v>19</v>
      </c>
    </row>
    <row r="19292" spans="1:8" x14ac:dyDescent="0.25">
      <c r="A19292" t="str">
        <f>"&lt;nominal&gt;" &amp;$D$19291&amp;"&lt;/nominal&gt;"</f>
        <v>&lt;nominal&gt;0&lt;/nominal&gt;</v>
      </c>
      <c r="B19292" t="s">
        <v>1377</v>
      </c>
    </row>
    <row r="19293" spans="1:8" x14ac:dyDescent="0.25">
      <c r="A19293" t="str">
        <f>"&lt;lifetime&gt;" &amp;$E$19291&amp;"&lt;/lifetime&gt;"</f>
        <v>&lt;lifetime&gt;3888000&lt;/lifetime&gt;</v>
      </c>
      <c r="B19293" t="s">
        <v>1377</v>
      </c>
    </row>
    <row r="19294" spans="1:8" x14ac:dyDescent="0.25">
      <c r="A19294" t="str">
        <f>"&lt;restock&gt;" &amp;$F$19291&amp;"&lt;/restock&gt;"</f>
        <v>&lt;restock&gt;1800&lt;/restock&gt;</v>
      </c>
      <c r="B19294" t="s">
        <v>1377</v>
      </c>
    </row>
    <row r="19295" spans="1:8" x14ac:dyDescent="0.25">
      <c r="A19295" t="str">
        <f>"&lt;min&gt;" &amp;$G$19291&amp;"&lt;/min&gt;"</f>
        <v>&lt;min&gt;0&lt;/min&gt;</v>
      </c>
      <c r="B19295" t="s">
        <v>1377</v>
      </c>
    </row>
    <row r="19296" spans="1:8" x14ac:dyDescent="0.25">
      <c r="A19296" t="s">
        <v>16</v>
      </c>
      <c r="B19296" t="s">
        <v>1377</v>
      </c>
    </row>
    <row r="19297" spans="1:8" x14ac:dyDescent="0.25">
      <c r="A19297" t="s">
        <v>17</v>
      </c>
      <c r="B19297" t="s">
        <v>1377</v>
      </c>
    </row>
    <row r="19298" spans="1:8" x14ac:dyDescent="0.25">
      <c r="A19298" t="s">
        <v>18</v>
      </c>
      <c r="B19298" t="s">
        <v>1377</v>
      </c>
    </row>
    <row r="19299" spans="1:8" x14ac:dyDescent="0.25">
      <c r="A19299" t="str">
        <f xml:space="preserve"> $H$19291</f>
        <v>&lt;flags count_in_cargo="0" count_in_hoarder="0" count_in_map="1" count_in_player="0" crafted="0" deloot="0"/&gt;</v>
      </c>
      <c r="B19299" t="s">
        <v>1377</v>
      </c>
    </row>
    <row r="19300" spans="1:8" x14ac:dyDescent="0.25">
      <c r="A19300" t="s">
        <v>22</v>
      </c>
      <c r="B19300" t="s">
        <v>1377</v>
      </c>
    </row>
    <row r="19301" spans="1:8" x14ac:dyDescent="0.25">
      <c r="A19301" t="s">
        <v>292</v>
      </c>
      <c r="B19301" t="s">
        <v>1378</v>
      </c>
      <c r="C19301" t="s">
        <v>426</v>
      </c>
      <c r="D19301">
        <v>2</v>
      </c>
      <c r="E19301">
        <v>2700</v>
      </c>
      <c r="F19301">
        <v>0</v>
      </c>
      <c r="G19301">
        <v>1</v>
      </c>
      <c r="H19301" t="s">
        <v>19</v>
      </c>
    </row>
    <row r="19302" spans="1:8" x14ac:dyDescent="0.25">
      <c r="A19302" t="str">
        <f>"&lt;nominal&gt;" &amp;$D$19301&amp;"&lt;/nominal&gt;"</f>
        <v>&lt;nominal&gt;2&lt;/nominal&gt;</v>
      </c>
      <c r="B19302" t="s">
        <v>1378</v>
      </c>
    </row>
    <row r="19303" spans="1:8" x14ac:dyDescent="0.25">
      <c r="A19303" t="str">
        <f>"&lt;lifetime&gt;" &amp;$E$19301&amp;"&lt;/lifetime&gt;"</f>
        <v>&lt;lifetime&gt;2700&lt;/lifetime&gt;</v>
      </c>
      <c r="B19303" t="s">
        <v>1378</v>
      </c>
    </row>
    <row r="19304" spans="1:8" x14ac:dyDescent="0.25">
      <c r="A19304" t="str">
        <f>"&lt;restock&gt;" &amp;$F$19301&amp;"&lt;/restock&gt;"</f>
        <v>&lt;restock&gt;0&lt;/restock&gt;</v>
      </c>
      <c r="B19304" t="s">
        <v>1378</v>
      </c>
    </row>
    <row r="19305" spans="1:8" x14ac:dyDescent="0.25">
      <c r="A19305" t="str">
        <f>"&lt;min&gt;" &amp;$G$19301&amp;"&lt;/min&gt;"</f>
        <v>&lt;min&gt;1&lt;/min&gt;</v>
      </c>
      <c r="B19305" t="s">
        <v>1378</v>
      </c>
    </row>
    <row r="19306" spans="1:8" x14ac:dyDescent="0.25">
      <c r="A19306" t="s">
        <v>16</v>
      </c>
      <c r="B19306" t="s">
        <v>1378</v>
      </c>
    </row>
    <row r="19307" spans="1:8" x14ac:dyDescent="0.25">
      <c r="A19307" t="s">
        <v>17</v>
      </c>
      <c r="B19307" t="s">
        <v>1378</v>
      </c>
    </row>
    <row r="19308" spans="1:8" x14ac:dyDescent="0.25">
      <c r="A19308" t="s">
        <v>18</v>
      </c>
      <c r="B19308" t="s">
        <v>1378</v>
      </c>
    </row>
    <row r="19309" spans="1:8" x14ac:dyDescent="0.25">
      <c r="A19309" t="str">
        <f xml:space="preserve"> $H$19301</f>
        <v>&lt;flags count_in_cargo="0" count_in_hoarder="0" count_in_map="1" count_in_player="0" crafted="0" deloot="0"/&gt;</v>
      </c>
      <c r="B19309" t="s">
        <v>1378</v>
      </c>
    </row>
    <row r="19310" spans="1:8" x14ac:dyDescent="0.25">
      <c r="A19310" t="str">
        <f>"&lt;category name=" &amp;"""" &amp;$C$19301&amp;"""/&gt;"</f>
        <v>&lt;category name="tools"/&gt;</v>
      </c>
      <c r="B19310" t="s">
        <v>1378</v>
      </c>
    </row>
    <row r="19311" spans="1:8" x14ac:dyDescent="0.25">
      <c r="A19311" t="s">
        <v>25</v>
      </c>
      <c r="B19311" t="s">
        <v>1378</v>
      </c>
    </row>
    <row r="19312" spans="1:8" x14ac:dyDescent="0.25">
      <c r="A19312" t="s">
        <v>55</v>
      </c>
      <c r="B19312" t="s">
        <v>1378</v>
      </c>
    </row>
    <row r="19313" spans="1:8" x14ac:dyDescent="0.25">
      <c r="A19313" t="s">
        <v>293</v>
      </c>
      <c r="B19313" t="s">
        <v>1378</v>
      </c>
    </row>
    <row r="19314" spans="1:8" x14ac:dyDescent="0.25">
      <c r="A19314" t="s">
        <v>294</v>
      </c>
      <c r="B19314" t="s">
        <v>1379</v>
      </c>
      <c r="C19314" t="s">
        <v>426</v>
      </c>
      <c r="D19314">
        <v>2</v>
      </c>
      <c r="E19314">
        <v>2700</v>
      </c>
      <c r="F19314">
        <v>0</v>
      </c>
      <c r="G19314">
        <v>1</v>
      </c>
      <c r="H19314" t="s">
        <v>19</v>
      </c>
    </row>
    <row r="19315" spans="1:8" x14ac:dyDescent="0.25">
      <c r="A19315" t="str">
        <f>"&lt;nominal&gt;" &amp;$D$19314&amp;"&lt;/nominal&gt;"</f>
        <v>&lt;nominal&gt;2&lt;/nominal&gt;</v>
      </c>
      <c r="B19315" t="s">
        <v>1379</v>
      </c>
    </row>
    <row r="19316" spans="1:8" x14ac:dyDescent="0.25">
      <c r="A19316" t="str">
        <f>"&lt;lifetime&gt;" &amp;$E$19314&amp;"&lt;/lifetime&gt;"</f>
        <v>&lt;lifetime&gt;2700&lt;/lifetime&gt;</v>
      </c>
      <c r="B19316" t="s">
        <v>1379</v>
      </c>
    </row>
    <row r="19317" spans="1:8" x14ac:dyDescent="0.25">
      <c r="A19317" t="str">
        <f>"&lt;restock&gt;" &amp;$F$19314&amp;"&lt;/restock&gt;"</f>
        <v>&lt;restock&gt;0&lt;/restock&gt;</v>
      </c>
      <c r="B19317" t="s">
        <v>1379</v>
      </c>
    </row>
    <row r="19318" spans="1:8" x14ac:dyDescent="0.25">
      <c r="A19318" t="str">
        <f>"&lt;min&gt;" &amp;$G$19314&amp;"&lt;/min&gt;"</f>
        <v>&lt;min&gt;1&lt;/min&gt;</v>
      </c>
      <c r="B19318" t="s">
        <v>1379</v>
      </c>
    </row>
    <row r="19319" spans="1:8" x14ac:dyDescent="0.25">
      <c r="A19319" t="s">
        <v>16</v>
      </c>
      <c r="B19319" t="s">
        <v>1379</v>
      </c>
    </row>
    <row r="19320" spans="1:8" x14ac:dyDescent="0.25">
      <c r="A19320" t="s">
        <v>17</v>
      </c>
      <c r="B19320" t="s">
        <v>1379</v>
      </c>
    </row>
    <row r="19321" spans="1:8" x14ac:dyDescent="0.25">
      <c r="A19321" t="s">
        <v>18</v>
      </c>
      <c r="B19321" t="s">
        <v>1379</v>
      </c>
    </row>
    <row r="19322" spans="1:8" x14ac:dyDescent="0.25">
      <c r="A19322" t="str">
        <f xml:space="preserve"> $H$19314</f>
        <v>&lt;flags count_in_cargo="0" count_in_hoarder="0" count_in_map="1" count_in_player="0" crafted="0" deloot="0"/&gt;</v>
      </c>
      <c r="B19322" t="s">
        <v>1379</v>
      </c>
    </row>
    <row r="19323" spans="1:8" x14ac:dyDescent="0.25">
      <c r="A19323" t="str">
        <f>"&lt;category name=" &amp;"""" &amp;$C$19314&amp;"""/&gt;"</f>
        <v>&lt;category name="tools"/&gt;</v>
      </c>
      <c r="B19323" t="s">
        <v>1379</v>
      </c>
    </row>
    <row r="19324" spans="1:8" x14ac:dyDescent="0.25">
      <c r="A19324" t="s">
        <v>25</v>
      </c>
      <c r="B19324" t="s">
        <v>1379</v>
      </c>
    </row>
    <row r="19325" spans="1:8" x14ac:dyDescent="0.25">
      <c r="A19325" t="s">
        <v>55</v>
      </c>
      <c r="B19325" t="s">
        <v>1379</v>
      </c>
    </row>
    <row r="19326" spans="1:8" x14ac:dyDescent="0.25">
      <c r="A19326" t="s">
        <v>22</v>
      </c>
      <c r="B19326" t="s">
        <v>1379</v>
      </c>
    </row>
    <row r="19327" spans="1:8" x14ac:dyDescent="0.25">
      <c r="A19327" t="s">
        <v>295</v>
      </c>
      <c r="B19327" t="s">
        <v>1380</v>
      </c>
      <c r="C19327" t="s">
        <v>426</v>
      </c>
      <c r="D19327">
        <v>2</v>
      </c>
      <c r="E19327">
        <v>2700</v>
      </c>
      <c r="F19327">
        <v>0</v>
      </c>
      <c r="G19327">
        <v>1</v>
      </c>
      <c r="H19327" t="s">
        <v>19</v>
      </c>
    </row>
    <row r="19328" spans="1:8" x14ac:dyDescent="0.25">
      <c r="A19328" t="str">
        <f>"&lt;nominal&gt;" &amp;$D$19327&amp;"&lt;/nominal&gt;"</f>
        <v>&lt;nominal&gt;2&lt;/nominal&gt;</v>
      </c>
      <c r="B19328" t="s">
        <v>1380</v>
      </c>
    </row>
    <row r="19329" spans="1:8" x14ac:dyDescent="0.25">
      <c r="A19329" t="str">
        <f>"&lt;lifetime&gt;" &amp;$E$19327&amp;"&lt;/lifetime&gt;"</f>
        <v>&lt;lifetime&gt;2700&lt;/lifetime&gt;</v>
      </c>
      <c r="B19329" t="s">
        <v>1380</v>
      </c>
    </row>
    <row r="19330" spans="1:8" x14ac:dyDescent="0.25">
      <c r="A19330" t="str">
        <f>"&lt;restock&gt;" &amp;$F$19327&amp;"&lt;/restock&gt;"</f>
        <v>&lt;restock&gt;0&lt;/restock&gt;</v>
      </c>
      <c r="B19330" t="s">
        <v>1380</v>
      </c>
    </row>
    <row r="19331" spans="1:8" x14ac:dyDescent="0.25">
      <c r="A19331" t="str">
        <f>"&lt;min&gt;" &amp;$G$19327&amp;"&lt;/min&gt;"</f>
        <v>&lt;min&gt;1&lt;/min&gt;</v>
      </c>
      <c r="B19331" t="s">
        <v>1380</v>
      </c>
    </row>
    <row r="19332" spans="1:8" x14ac:dyDescent="0.25">
      <c r="A19332" t="s">
        <v>16</v>
      </c>
      <c r="B19332" t="s">
        <v>1380</v>
      </c>
    </row>
    <row r="19333" spans="1:8" x14ac:dyDescent="0.25">
      <c r="A19333" t="s">
        <v>17</v>
      </c>
      <c r="B19333" t="s">
        <v>1380</v>
      </c>
    </row>
    <row r="19334" spans="1:8" x14ac:dyDescent="0.25">
      <c r="A19334" t="s">
        <v>18</v>
      </c>
      <c r="B19334" t="s">
        <v>1380</v>
      </c>
    </row>
    <row r="19335" spans="1:8" x14ac:dyDescent="0.25">
      <c r="A19335" t="str">
        <f xml:space="preserve"> $H$19327</f>
        <v>&lt;flags count_in_cargo="0" count_in_hoarder="0" count_in_map="1" count_in_player="0" crafted="0" deloot="0"/&gt;</v>
      </c>
      <c r="B19335" t="s">
        <v>1380</v>
      </c>
    </row>
    <row r="19336" spans="1:8" x14ac:dyDescent="0.25">
      <c r="A19336" t="str">
        <f>"&lt;category name=" &amp;"""" &amp;$C$19327&amp;"""/&gt;"</f>
        <v>&lt;category name="tools"/&gt;</v>
      </c>
      <c r="B19336" t="s">
        <v>1380</v>
      </c>
    </row>
    <row r="19337" spans="1:8" x14ac:dyDescent="0.25">
      <c r="A19337" t="s">
        <v>25</v>
      </c>
      <c r="B19337" t="s">
        <v>1380</v>
      </c>
    </row>
    <row r="19338" spans="1:8" x14ac:dyDescent="0.25">
      <c r="A19338" t="s">
        <v>55</v>
      </c>
      <c r="B19338" t="s">
        <v>1380</v>
      </c>
    </row>
    <row r="19339" spans="1:8" x14ac:dyDescent="0.25">
      <c r="A19339" t="s">
        <v>22</v>
      </c>
      <c r="B19339" t="s">
        <v>1380</v>
      </c>
    </row>
    <row r="19340" spans="1:8" x14ac:dyDescent="0.25">
      <c r="A19340" t="s">
        <v>296</v>
      </c>
      <c r="B19340" t="s">
        <v>1381</v>
      </c>
      <c r="C19340" t="s">
        <v>426</v>
      </c>
      <c r="D19340">
        <v>2</v>
      </c>
      <c r="E19340">
        <v>2700</v>
      </c>
      <c r="F19340">
        <v>0</v>
      </c>
      <c r="G19340">
        <v>1</v>
      </c>
      <c r="H19340" t="s">
        <v>19</v>
      </c>
    </row>
    <row r="19341" spans="1:8" x14ac:dyDescent="0.25">
      <c r="A19341" t="str">
        <f>"&lt;nominal&gt;" &amp;$D$19340&amp;"&lt;/nominal&gt;"</f>
        <v>&lt;nominal&gt;2&lt;/nominal&gt;</v>
      </c>
      <c r="B19341" t="s">
        <v>1381</v>
      </c>
    </row>
    <row r="19342" spans="1:8" x14ac:dyDescent="0.25">
      <c r="A19342" t="str">
        <f>"&lt;lifetime&gt;" &amp;$E$19340&amp;"&lt;/lifetime&gt;"</f>
        <v>&lt;lifetime&gt;2700&lt;/lifetime&gt;</v>
      </c>
      <c r="B19342" t="s">
        <v>1381</v>
      </c>
    </row>
    <row r="19343" spans="1:8" x14ac:dyDescent="0.25">
      <c r="A19343" t="str">
        <f>"&lt;restock&gt;" &amp;$F$19340&amp;"&lt;/restock&gt;"</f>
        <v>&lt;restock&gt;0&lt;/restock&gt;</v>
      </c>
      <c r="B19343" t="s">
        <v>1381</v>
      </c>
    </row>
    <row r="19344" spans="1:8" x14ac:dyDescent="0.25">
      <c r="A19344" t="str">
        <f>"&lt;min&gt;" &amp;$G$19340&amp;"&lt;/min&gt;"</f>
        <v>&lt;min&gt;1&lt;/min&gt;</v>
      </c>
      <c r="B19344" t="s">
        <v>1381</v>
      </c>
    </row>
    <row r="19345" spans="1:8" x14ac:dyDescent="0.25">
      <c r="A19345" t="s">
        <v>16</v>
      </c>
      <c r="B19345" t="s">
        <v>1381</v>
      </c>
    </row>
    <row r="19346" spans="1:8" x14ac:dyDescent="0.25">
      <c r="A19346" t="s">
        <v>17</v>
      </c>
      <c r="B19346" t="s">
        <v>1381</v>
      </c>
    </row>
    <row r="19347" spans="1:8" x14ac:dyDescent="0.25">
      <c r="A19347" t="s">
        <v>18</v>
      </c>
      <c r="B19347" t="s">
        <v>1381</v>
      </c>
    </row>
    <row r="19348" spans="1:8" x14ac:dyDescent="0.25">
      <c r="A19348" t="str">
        <f xml:space="preserve"> $H$19340</f>
        <v>&lt;flags count_in_cargo="0" count_in_hoarder="0" count_in_map="1" count_in_player="0" crafted="0" deloot="0"/&gt;</v>
      </c>
      <c r="B19348" t="s">
        <v>1381</v>
      </c>
    </row>
    <row r="19349" spans="1:8" x14ac:dyDescent="0.25">
      <c r="A19349" t="str">
        <f>"&lt;category name=" &amp;"""" &amp;$C$19340&amp;"""/&gt;"</f>
        <v>&lt;category name="tools"/&gt;</v>
      </c>
      <c r="B19349" t="s">
        <v>1381</v>
      </c>
    </row>
    <row r="19350" spans="1:8" x14ac:dyDescent="0.25">
      <c r="A19350" t="s">
        <v>25</v>
      </c>
      <c r="B19350" t="s">
        <v>1381</v>
      </c>
    </row>
    <row r="19351" spans="1:8" x14ac:dyDescent="0.25">
      <c r="A19351" t="s">
        <v>55</v>
      </c>
      <c r="B19351" t="s">
        <v>1381</v>
      </c>
    </row>
    <row r="19352" spans="1:8" x14ac:dyDescent="0.25">
      <c r="A19352" t="s">
        <v>22</v>
      </c>
      <c r="B19352" t="s">
        <v>1381</v>
      </c>
    </row>
    <row r="19353" spans="1:8" x14ac:dyDescent="0.25">
      <c r="A19353" t="s">
        <v>297</v>
      </c>
      <c r="B19353" t="s">
        <v>1382</v>
      </c>
      <c r="C19353" t="s">
        <v>426</v>
      </c>
      <c r="D19353">
        <v>2</v>
      </c>
      <c r="E19353">
        <v>2700</v>
      </c>
      <c r="F19353">
        <v>0</v>
      </c>
      <c r="G19353">
        <v>1</v>
      </c>
      <c r="H19353" t="s">
        <v>19</v>
      </c>
    </row>
    <row r="19354" spans="1:8" x14ac:dyDescent="0.25">
      <c r="A19354" t="str">
        <f>"&lt;nominal&gt;" &amp;$D$19353&amp;"&lt;/nominal&gt;"</f>
        <v>&lt;nominal&gt;2&lt;/nominal&gt;</v>
      </c>
      <c r="B19354" t="s">
        <v>1382</v>
      </c>
    </row>
    <row r="19355" spans="1:8" x14ac:dyDescent="0.25">
      <c r="A19355" t="str">
        <f>"&lt;lifetime&gt;" &amp;$E$19353&amp;"&lt;/lifetime&gt;"</f>
        <v>&lt;lifetime&gt;2700&lt;/lifetime&gt;</v>
      </c>
      <c r="B19355" t="s">
        <v>1382</v>
      </c>
    </row>
    <row r="19356" spans="1:8" x14ac:dyDescent="0.25">
      <c r="A19356" t="str">
        <f>"&lt;restock&gt;" &amp;$F$19353&amp;"&lt;/restock&gt;"</f>
        <v>&lt;restock&gt;0&lt;/restock&gt;</v>
      </c>
      <c r="B19356" t="s">
        <v>1382</v>
      </c>
    </row>
    <row r="19357" spans="1:8" x14ac:dyDescent="0.25">
      <c r="A19357" t="str">
        <f>"&lt;min&gt;" &amp;$G$19353&amp;"&lt;/min&gt;"</f>
        <v>&lt;min&gt;1&lt;/min&gt;</v>
      </c>
      <c r="B19357" t="s">
        <v>1382</v>
      </c>
    </row>
    <row r="19358" spans="1:8" x14ac:dyDescent="0.25">
      <c r="A19358" t="s">
        <v>16</v>
      </c>
      <c r="B19358" t="s">
        <v>1382</v>
      </c>
    </row>
    <row r="19359" spans="1:8" x14ac:dyDescent="0.25">
      <c r="A19359" t="s">
        <v>17</v>
      </c>
      <c r="B19359" t="s">
        <v>1382</v>
      </c>
    </row>
    <row r="19360" spans="1:8" x14ac:dyDescent="0.25">
      <c r="A19360" t="s">
        <v>18</v>
      </c>
      <c r="B19360" t="s">
        <v>1382</v>
      </c>
    </row>
    <row r="19361" spans="1:8" x14ac:dyDescent="0.25">
      <c r="A19361" t="str">
        <f xml:space="preserve"> $H$19353</f>
        <v>&lt;flags count_in_cargo="0" count_in_hoarder="0" count_in_map="1" count_in_player="0" crafted="0" deloot="0"/&gt;</v>
      </c>
      <c r="B19361" t="s">
        <v>1382</v>
      </c>
    </row>
    <row r="19362" spans="1:8" x14ac:dyDescent="0.25">
      <c r="A19362" t="str">
        <f>"&lt;category name=" &amp;"""" &amp;$C$19353&amp;"""/&gt;"</f>
        <v>&lt;category name="tools"/&gt;</v>
      </c>
      <c r="B19362" t="s">
        <v>1382</v>
      </c>
    </row>
    <row r="19363" spans="1:8" x14ac:dyDescent="0.25">
      <c r="A19363" t="s">
        <v>25</v>
      </c>
      <c r="B19363" t="s">
        <v>1382</v>
      </c>
    </row>
    <row r="19364" spans="1:8" x14ac:dyDescent="0.25">
      <c r="A19364" t="s">
        <v>55</v>
      </c>
      <c r="B19364" t="s">
        <v>1382</v>
      </c>
    </row>
    <row r="19365" spans="1:8" x14ac:dyDescent="0.25">
      <c r="A19365" t="s">
        <v>22</v>
      </c>
      <c r="B19365" t="s">
        <v>1382</v>
      </c>
    </row>
    <row r="19366" spans="1:8" x14ac:dyDescent="0.25">
      <c r="A19366" t="s">
        <v>298</v>
      </c>
      <c r="B19366" t="s">
        <v>1383</v>
      </c>
      <c r="C19366" t="s">
        <v>426</v>
      </c>
      <c r="D19366">
        <v>10</v>
      </c>
      <c r="E19366">
        <v>2700</v>
      </c>
      <c r="F19366">
        <v>0</v>
      </c>
      <c r="G19366">
        <v>5</v>
      </c>
      <c r="H19366" t="s">
        <v>19</v>
      </c>
    </row>
    <row r="19367" spans="1:8" x14ac:dyDescent="0.25">
      <c r="A19367" t="str">
        <f>"&lt;nominal&gt;" &amp;$D$19366&amp;"&lt;/nominal&gt;"</f>
        <v>&lt;nominal&gt;10&lt;/nominal&gt;</v>
      </c>
      <c r="B19367" t="s">
        <v>1383</v>
      </c>
    </row>
    <row r="19368" spans="1:8" x14ac:dyDescent="0.25">
      <c r="A19368" t="str">
        <f>"&lt;lifetime&gt;" &amp;$E$19366&amp;"&lt;/lifetime&gt;"</f>
        <v>&lt;lifetime&gt;2700&lt;/lifetime&gt;</v>
      </c>
      <c r="B19368" t="s">
        <v>1383</v>
      </c>
    </row>
    <row r="19369" spans="1:8" x14ac:dyDescent="0.25">
      <c r="A19369" t="str">
        <f>"&lt;restock&gt;" &amp;$F$19366&amp;"&lt;/restock&gt;"</f>
        <v>&lt;restock&gt;0&lt;/restock&gt;</v>
      </c>
      <c r="B19369" t="s">
        <v>1383</v>
      </c>
    </row>
    <row r="19370" spans="1:8" x14ac:dyDescent="0.25">
      <c r="A19370" t="str">
        <f>"&lt;min&gt;" &amp;$G$19366&amp;"&lt;/min&gt;"</f>
        <v>&lt;min&gt;5&lt;/min&gt;</v>
      </c>
      <c r="B19370" t="s">
        <v>1383</v>
      </c>
    </row>
    <row r="19371" spans="1:8" x14ac:dyDescent="0.25">
      <c r="A19371" t="s">
        <v>16</v>
      </c>
      <c r="B19371" t="s">
        <v>1383</v>
      </c>
    </row>
    <row r="19372" spans="1:8" x14ac:dyDescent="0.25">
      <c r="A19372" t="s">
        <v>17</v>
      </c>
      <c r="B19372" t="s">
        <v>1383</v>
      </c>
    </row>
    <row r="19373" spans="1:8" x14ac:dyDescent="0.25">
      <c r="A19373" t="s">
        <v>18</v>
      </c>
      <c r="B19373" t="s">
        <v>1383</v>
      </c>
    </row>
    <row r="19374" spans="1:8" x14ac:dyDescent="0.25">
      <c r="A19374" t="str">
        <f xml:space="preserve"> $H$19366</f>
        <v>&lt;flags count_in_cargo="0" count_in_hoarder="0" count_in_map="1" count_in_player="0" crafted="0" deloot="0"/&gt;</v>
      </c>
      <c r="B19374" t="s">
        <v>1383</v>
      </c>
    </row>
    <row r="19375" spans="1:8" x14ac:dyDescent="0.25">
      <c r="A19375" t="str">
        <f>"&lt;category name=" &amp;"""" &amp;$C$19366&amp;"""/&gt;"</f>
        <v>&lt;category name="tools"/&gt;</v>
      </c>
      <c r="B19375" t="s">
        <v>1383</v>
      </c>
    </row>
    <row r="19376" spans="1:8" x14ac:dyDescent="0.25">
      <c r="A19376" t="s">
        <v>25</v>
      </c>
      <c r="B19376" t="s">
        <v>1383</v>
      </c>
    </row>
    <row r="19377" spans="1:8" x14ac:dyDescent="0.25">
      <c r="A19377" t="s">
        <v>55</v>
      </c>
      <c r="B19377" t="s">
        <v>1383</v>
      </c>
    </row>
    <row r="19378" spans="1:8" x14ac:dyDescent="0.25">
      <c r="A19378" t="s">
        <v>22</v>
      </c>
      <c r="B19378" t="s">
        <v>1383</v>
      </c>
    </row>
    <row r="19379" spans="1:8" x14ac:dyDescent="0.25">
      <c r="A19379" t="s">
        <v>299</v>
      </c>
      <c r="B19379" t="s">
        <v>1384</v>
      </c>
      <c r="C19379" t="s">
        <v>426</v>
      </c>
      <c r="D19379">
        <v>20</v>
      </c>
      <c r="E19379">
        <v>7200</v>
      </c>
      <c r="F19379">
        <v>0</v>
      </c>
      <c r="G19379">
        <v>10</v>
      </c>
      <c r="H19379" t="s">
        <v>19</v>
      </c>
    </row>
    <row r="19380" spans="1:8" x14ac:dyDescent="0.25">
      <c r="A19380" t="str">
        <f>"&lt;nominal&gt;" &amp;$D$19379&amp;"&lt;/nominal&gt;"</f>
        <v>&lt;nominal&gt;20&lt;/nominal&gt;</v>
      </c>
      <c r="B19380" t="s">
        <v>1384</v>
      </c>
    </row>
    <row r="19381" spans="1:8" x14ac:dyDescent="0.25">
      <c r="A19381" t="str">
        <f>"&lt;lifetime&gt;" &amp;$E$19379&amp;"&lt;/lifetime&gt;"</f>
        <v>&lt;lifetime&gt;7200&lt;/lifetime&gt;</v>
      </c>
      <c r="B19381" t="s">
        <v>1384</v>
      </c>
    </row>
    <row r="19382" spans="1:8" x14ac:dyDescent="0.25">
      <c r="A19382" t="str">
        <f>"&lt;restock&gt;" &amp;$F$19379&amp;"&lt;/restock&gt;"</f>
        <v>&lt;restock&gt;0&lt;/restock&gt;</v>
      </c>
      <c r="B19382" t="s">
        <v>1384</v>
      </c>
    </row>
    <row r="19383" spans="1:8" x14ac:dyDescent="0.25">
      <c r="A19383" t="str">
        <f>"&lt;min&gt;" &amp;$G$19379&amp;"&lt;/min&gt;"</f>
        <v>&lt;min&gt;10&lt;/min&gt;</v>
      </c>
      <c r="B19383" t="s">
        <v>1384</v>
      </c>
    </row>
    <row r="19384" spans="1:8" x14ac:dyDescent="0.25">
      <c r="A19384" t="s">
        <v>16</v>
      </c>
      <c r="B19384" t="s">
        <v>1384</v>
      </c>
    </row>
    <row r="19385" spans="1:8" x14ac:dyDescent="0.25">
      <c r="A19385" t="s">
        <v>17</v>
      </c>
      <c r="B19385" t="s">
        <v>1384</v>
      </c>
    </row>
    <row r="19386" spans="1:8" x14ac:dyDescent="0.25">
      <c r="A19386" t="s">
        <v>18</v>
      </c>
      <c r="B19386" t="s">
        <v>1384</v>
      </c>
    </row>
    <row r="19387" spans="1:8" x14ac:dyDescent="0.25">
      <c r="A19387" t="str">
        <f xml:space="preserve"> $H$19379</f>
        <v>&lt;flags count_in_cargo="0" count_in_hoarder="0" count_in_map="1" count_in_player="0" crafted="0" deloot="0"/&gt;</v>
      </c>
      <c r="B19387" t="s">
        <v>1384</v>
      </c>
    </row>
    <row r="19388" spans="1:8" x14ac:dyDescent="0.25">
      <c r="A19388" t="str">
        <f>"&lt;category name=" &amp;"""" &amp;$C$19379&amp;"""/&gt;"</f>
        <v>&lt;category name="tools"/&gt;</v>
      </c>
      <c r="B19388" t="s">
        <v>1384</v>
      </c>
    </row>
    <row r="19389" spans="1:8" x14ac:dyDescent="0.25">
      <c r="A19389" t="s">
        <v>55</v>
      </c>
      <c r="B19389" t="s">
        <v>1384</v>
      </c>
    </row>
    <row r="19390" spans="1:8" x14ac:dyDescent="0.25">
      <c r="A19390" t="s">
        <v>56</v>
      </c>
      <c r="B19390" t="s">
        <v>1384</v>
      </c>
    </row>
    <row r="19391" spans="1:8" x14ac:dyDescent="0.25">
      <c r="A19391" t="s">
        <v>22</v>
      </c>
      <c r="B19391" t="s">
        <v>1384</v>
      </c>
    </row>
    <row r="19392" spans="1:8" x14ac:dyDescent="0.25">
      <c r="A19392" t="s">
        <v>300</v>
      </c>
      <c r="B19392" t="s">
        <v>1385</v>
      </c>
      <c r="C19392" t="s">
        <v>426</v>
      </c>
      <c r="D19392">
        <v>15</v>
      </c>
      <c r="E19392">
        <v>10800</v>
      </c>
      <c r="F19392">
        <v>0</v>
      </c>
      <c r="G19392">
        <v>10</v>
      </c>
      <c r="H19392" t="s">
        <v>19</v>
      </c>
    </row>
    <row r="19393" spans="1:2" x14ac:dyDescent="0.25">
      <c r="A19393" t="str">
        <f>"&lt;nominal&gt;" &amp;$D$19392&amp;"&lt;/nominal&gt;"</f>
        <v>&lt;nominal&gt;15&lt;/nominal&gt;</v>
      </c>
      <c r="B19393" t="s">
        <v>1385</v>
      </c>
    </row>
    <row r="19394" spans="1:2" x14ac:dyDescent="0.25">
      <c r="A19394" t="str">
        <f>"&lt;lifetime&gt;" &amp;$E$19392&amp;"&lt;/lifetime&gt;"</f>
        <v>&lt;lifetime&gt;10800&lt;/lifetime&gt;</v>
      </c>
      <c r="B19394" t="s">
        <v>1385</v>
      </c>
    </row>
    <row r="19395" spans="1:2" x14ac:dyDescent="0.25">
      <c r="A19395" t="str">
        <f>"&lt;restock&gt;" &amp;$F$19392&amp;"&lt;/restock&gt;"</f>
        <v>&lt;restock&gt;0&lt;/restock&gt;</v>
      </c>
      <c r="B19395" t="s">
        <v>1385</v>
      </c>
    </row>
    <row r="19396" spans="1:2" x14ac:dyDescent="0.25">
      <c r="A19396" t="str">
        <f>"&lt;min&gt;" &amp;$G$19392&amp;"&lt;/min&gt;"</f>
        <v>&lt;min&gt;10&lt;/min&gt;</v>
      </c>
      <c r="B19396" t="s">
        <v>1385</v>
      </c>
    </row>
    <row r="19397" spans="1:2" x14ac:dyDescent="0.25">
      <c r="A19397" t="s">
        <v>16</v>
      </c>
      <c r="B19397" t="s">
        <v>1385</v>
      </c>
    </row>
    <row r="19398" spans="1:2" x14ac:dyDescent="0.25">
      <c r="A19398" t="s">
        <v>17</v>
      </c>
      <c r="B19398" t="s">
        <v>1385</v>
      </c>
    </row>
    <row r="19399" spans="1:2" x14ac:dyDescent="0.25">
      <c r="A19399" t="s">
        <v>18</v>
      </c>
      <c r="B19399" t="s">
        <v>1385</v>
      </c>
    </row>
    <row r="19400" spans="1:2" x14ac:dyDescent="0.25">
      <c r="A19400" t="str">
        <f xml:space="preserve"> $H$19392</f>
        <v>&lt;flags count_in_cargo="0" count_in_hoarder="0" count_in_map="1" count_in_player="0" crafted="0" deloot="0"/&gt;</v>
      </c>
      <c r="B19400" t="s">
        <v>1385</v>
      </c>
    </row>
    <row r="19401" spans="1:2" x14ac:dyDescent="0.25">
      <c r="A19401" t="str">
        <f>"&lt;category name=" &amp;"""" &amp;$C$19392&amp;"""/&gt;"</f>
        <v>&lt;category name="tools"/&gt;</v>
      </c>
      <c r="B19401" t="s">
        <v>1385</v>
      </c>
    </row>
    <row r="19402" spans="1:2" x14ac:dyDescent="0.25">
      <c r="A19402" t="s">
        <v>20</v>
      </c>
      <c r="B19402" t="s">
        <v>1385</v>
      </c>
    </row>
    <row r="19403" spans="1:2" x14ac:dyDescent="0.25">
      <c r="A19403" t="s">
        <v>21</v>
      </c>
      <c r="B19403" t="s">
        <v>1385</v>
      </c>
    </row>
    <row r="19404" spans="1:2" x14ac:dyDescent="0.25">
      <c r="A19404" t="s">
        <v>39</v>
      </c>
      <c r="B19404" t="s">
        <v>1385</v>
      </c>
    </row>
    <row r="19405" spans="1:2" x14ac:dyDescent="0.25">
      <c r="A19405" t="s">
        <v>22</v>
      </c>
      <c r="B19405" t="s">
        <v>1385</v>
      </c>
    </row>
    <row r="19406" spans="1:2" x14ac:dyDescent="0.25">
      <c r="B19406" t="s">
        <v>1385</v>
      </c>
    </row>
    <row r="19407" spans="1:2" x14ac:dyDescent="0.25">
      <c r="A19407" t="s">
        <v>1</v>
      </c>
      <c r="B19407" t="s">
        <v>1385</v>
      </c>
    </row>
    <row r="19408" spans="1:2" x14ac:dyDescent="0.25">
      <c r="A19408" t="s">
        <v>301</v>
      </c>
      <c r="B19408" t="s">
        <v>1385</v>
      </c>
    </row>
    <row r="19409" spans="1:8" x14ac:dyDescent="0.25">
      <c r="A19409" t="s">
        <v>2719</v>
      </c>
      <c r="B19409" t="s">
        <v>1385</v>
      </c>
    </row>
    <row r="19410" spans="1:8" x14ac:dyDescent="0.25">
      <c r="B19410" t="s">
        <v>1385</v>
      </c>
    </row>
    <row r="19411" spans="1:8" x14ac:dyDescent="0.25">
      <c r="A19411" t="s">
        <v>302</v>
      </c>
      <c r="B19411" t="s">
        <v>1386</v>
      </c>
      <c r="C19411" t="s">
        <v>363</v>
      </c>
      <c r="D19411">
        <v>15</v>
      </c>
      <c r="E19411">
        <v>21600</v>
      </c>
      <c r="F19411">
        <v>0</v>
      </c>
      <c r="G19411">
        <v>5</v>
      </c>
      <c r="H19411" t="s">
        <v>19</v>
      </c>
    </row>
    <row r="19412" spans="1:8" x14ac:dyDescent="0.25">
      <c r="A19412" t="str">
        <f>"&lt;nominal&gt;" &amp;$D$19411&amp;"&lt;/nominal&gt;"</f>
        <v>&lt;nominal&gt;15&lt;/nominal&gt;</v>
      </c>
      <c r="B19412" t="s">
        <v>1386</v>
      </c>
    </row>
    <row r="19413" spans="1:8" x14ac:dyDescent="0.25">
      <c r="A19413" t="str">
        <f>"&lt;lifetime&gt;" &amp;$E$19411&amp;"&lt;/lifetime&gt;"</f>
        <v>&lt;lifetime&gt;21600&lt;/lifetime&gt;</v>
      </c>
      <c r="B19413" t="s">
        <v>1386</v>
      </c>
    </row>
    <row r="19414" spans="1:8" x14ac:dyDescent="0.25">
      <c r="A19414" t="str">
        <f>"&lt;restock&gt;" &amp;$F$19411&amp;"&lt;/restock&gt;"</f>
        <v>&lt;restock&gt;0&lt;/restock&gt;</v>
      </c>
      <c r="B19414" t="s">
        <v>1386</v>
      </c>
    </row>
    <row r="19415" spans="1:8" x14ac:dyDescent="0.25">
      <c r="A19415" t="str">
        <f>"&lt;min&gt;" &amp;$G$19411&amp;"&lt;/min&gt;"</f>
        <v>&lt;min&gt;5&lt;/min&gt;</v>
      </c>
      <c r="B19415" t="s">
        <v>1386</v>
      </c>
    </row>
    <row r="19416" spans="1:8" x14ac:dyDescent="0.25">
      <c r="A19416" t="s">
        <v>16</v>
      </c>
      <c r="B19416" t="s">
        <v>1386</v>
      </c>
    </row>
    <row r="19417" spans="1:8" x14ac:dyDescent="0.25">
      <c r="A19417" t="s">
        <v>17</v>
      </c>
      <c r="B19417" t="s">
        <v>1386</v>
      </c>
    </row>
    <row r="19418" spans="1:8" x14ac:dyDescent="0.25">
      <c r="A19418" t="s">
        <v>18</v>
      </c>
      <c r="B19418" t="s">
        <v>1386</v>
      </c>
    </row>
    <row r="19419" spans="1:8" x14ac:dyDescent="0.25">
      <c r="A19419" t="str">
        <f xml:space="preserve"> $H$19411</f>
        <v>&lt;flags count_in_cargo="0" count_in_hoarder="0" count_in_map="1" count_in_player="0" crafted="0" deloot="0"/&gt;</v>
      </c>
      <c r="B19419" t="s">
        <v>1386</v>
      </c>
    </row>
    <row r="19420" spans="1:8" x14ac:dyDescent="0.25">
      <c r="A19420" t="str">
        <f>"&lt;category name=" &amp;"""" &amp;$C$19411&amp;"""/&gt;"</f>
        <v>&lt;category name="containers"/&gt;</v>
      </c>
      <c r="B19420" t="s">
        <v>1386</v>
      </c>
    </row>
    <row r="19421" spans="1:8" x14ac:dyDescent="0.25">
      <c r="A19421" t="s">
        <v>67</v>
      </c>
      <c r="B19421" t="s">
        <v>1386</v>
      </c>
    </row>
    <row r="19422" spans="1:8" x14ac:dyDescent="0.25">
      <c r="A19422" t="s">
        <v>22</v>
      </c>
      <c r="B19422" t="s">
        <v>1386</v>
      </c>
    </row>
    <row r="19423" spans="1:8" x14ac:dyDescent="0.25">
      <c r="B19423" t="s">
        <v>1386</v>
      </c>
    </row>
    <row r="19424" spans="1:8" x14ac:dyDescent="0.25">
      <c r="A19424" t="s">
        <v>303</v>
      </c>
      <c r="B19424" t="s">
        <v>1387</v>
      </c>
      <c r="C19424" t="s">
        <v>363</v>
      </c>
      <c r="D19424">
        <v>15</v>
      </c>
      <c r="E19424">
        <v>21600</v>
      </c>
      <c r="F19424">
        <v>0</v>
      </c>
      <c r="G19424">
        <v>5</v>
      </c>
      <c r="H19424" t="s">
        <v>19</v>
      </c>
    </row>
    <row r="19425" spans="1:8" x14ac:dyDescent="0.25">
      <c r="A19425" t="str">
        <f>"&lt;nominal&gt;" &amp;$D$19424&amp;"&lt;/nominal&gt;"</f>
        <v>&lt;nominal&gt;15&lt;/nominal&gt;</v>
      </c>
      <c r="B19425" t="s">
        <v>1387</v>
      </c>
    </row>
    <row r="19426" spans="1:8" x14ac:dyDescent="0.25">
      <c r="A19426" t="str">
        <f>"&lt;lifetime&gt;" &amp;$E$19424&amp;"&lt;/lifetime&gt;"</f>
        <v>&lt;lifetime&gt;21600&lt;/lifetime&gt;</v>
      </c>
      <c r="B19426" t="s">
        <v>1387</v>
      </c>
    </row>
    <row r="19427" spans="1:8" x14ac:dyDescent="0.25">
      <c r="A19427" t="str">
        <f>"&lt;restock&gt;" &amp;$F$19424&amp;"&lt;/restock&gt;"</f>
        <v>&lt;restock&gt;0&lt;/restock&gt;</v>
      </c>
      <c r="B19427" t="s">
        <v>1387</v>
      </c>
    </row>
    <row r="19428" spans="1:8" x14ac:dyDescent="0.25">
      <c r="A19428" t="str">
        <f>"&lt;min&gt;" &amp;$G$19424&amp;"&lt;/min&gt;"</f>
        <v>&lt;min&gt;5&lt;/min&gt;</v>
      </c>
      <c r="B19428" t="s">
        <v>1387</v>
      </c>
    </row>
    <row r="19429" spans="1:8" x14ac:dyDescent="0.25">
      <c r="A19429" t="s">
        <v>16</v>
      </c>
      <c r="B19429" t="s">
        <v>1387</v>
      </c>
    </row>
    <row r="19430" spans="1:8" x14ac:dyDescent="0.25">
      <c r="A19430" t="s">
        <v>17</v>
      </c>
      <c r="B19430" t="s">
        <v>1387</v>
      </c>
    </row>
    <row r="19431" spans="1:8" x14ac:dyDescent="0.25">
      <c r="A19431" t="s">
        <v>18</v>
      </c>
      <c r="B19431" t="s">
        <v>1387</v>
      </c>
    </row>
    <row r="19432" spans="1:8" x14ac:dyDescent="0.25">
      <c r="A19432" t="str">
        <f xml:space="preserve"> $H$19424</f>
        <v>&lt;flags count_in_cargo="0" count_in_hoarder="0" count_in_map="1" count_in_player="0" crafted="0" deloot="0"/&gt;</v>
      </c>
      <c r="B19432" t="s">
        <v>1387</v>
      </c>
    </row>
    <row r="19433" spans="1:8" x14ac:dyDescent="0.25">
      <c r="A19433" t="str">
        <f>"&lt;category name=" &amp;"""" &amp;$C$19424&amp;"""/&gt;"</f>
        <v>&lt;category name="containers"/&gt;</v>
      </c>
      <c r="B19433" t="s">
        <v>1387</v>
      </c>
    </row>
    <row r="19434" spans="1:8" x14ac:dyDescent="0.25">
      <c r="A19434" t="s">
        <v>67</v>
      </c>
      <c r="B19434" t="s">
        <v>1387</v>
      </c>
    </row>
    <row r="19435" spans="1:8" x14ac:dyDescent="0.25">
      <c r="A19435" t="s">
        <v>22</v>
      </c>
      <c r="B19435" t="s">
        <v>1387</v>
      </c>
    </row>
    <row r="19436" spans="1:8" x14ac:dyDescent="0.25">
      <c r="B19436" t="s">
        <v>1387</v>
      </c>
    </row>
    <row r="19437" spans="1:8" x14ac:dyDescent="0.25">
      <c r="A19437" t="s">
        <v>304</v>
      </c>
      <c r="B19437" t="s">
        <v>1388</v>
      </c>
      <c r="C19437" t="s">
        <v>426</v>
      </c>
      <c r="D19437">
        <v>15</v>
      </c>
      <c r="E19437">
        <v>7200</v>
      </c>
      <c r="F19437">
        <v>0</v>
      </c>
      <c r="G19437">
        <v>5</v>
      </c>
      <c r="H19437" t="s">
        <v>19</v>
      </c>
    </row>
    <row r="19438" spans="1:8" x14ac:dyDescent="0.25">
      <c r="A19438" t="str">
        <f>"&lt;nominal&gt;" &amp;$D$19437&amp;"&lt;/nominal&gt;"</f>
        <v>&lt;nominal&gt;15&lt;/nominal&gt;</v>
      </c>
      <c r="B19438" t="s">
        <v>1388</v>
      </c>
    </row>
    <row r="19439" spans="1:8" x14ac:dyDescent="0.25">
      <c r="A19439" t="str">
        <f>"&lt;lifetime&gt;" &amp;$E$19437&amp;"&lt;/lifetime&gt;"</f>
        <v>&lt;lifetime&gt;7200&lt;/lifetime&gt;</v>
      </c>
      <c r="B19439" t="s">
        <v>1388</v>
      </c>
    </row>
    <row r="19440" spans="1:8" x14ac:dyDescent="0.25">
      <c r="A19440" t="str">
        <f>"&lt;restock&gt;" &amp;$F$19437&amp;"&lt;/restock&gt;"</f>
        <v>&lt;restock&gt;0&lt;/restock&gt;</v>
      </c>
      <c r="B19440" t="s">
        <v>1388</v>
      </c>
    </row>
    <row r="19441" spans="1:8" x14ac:dyDescent="0.25">
      <c r="A19441" t="str">
        <f>"&lt;min&gt;" &amp;$G$19437&amp;"&lt;/min&gt;"</f>
        <v>&lt;min&gt;5&lt;/min&gt;</v>
      </c>
      <c r="B19441" t="s">
        <v>1388</v>
      </c>
    </row>
    <row r="19442" spans="1:8" x14ac:dyDescent="0.25">
      <c r="A19442" t="s">
        <v>16</v>
      </c>
      <c r="B19442" t="s">
        <v>1388</v>
      </c>
    </row>
    <row r="19443" spans="1:8" x14ac:dyDescent="0.25">
      <c r="A19443" t="s">
        <v>17</v>
      </c>
      <c r="B19443" t="s">
        <v>1388</v>
      </c>
    </row>
    <row r="19444" spans="1:8" x14ac:dyDescent="0.25">
      <c r="A19444" t="s">
        <v>18</v>
      </c>
      <c r="B19444" t="s">
        <v>1388</v>
      </c>
    </row>
    <row r="19445" spans="1:8" x14ac:dyDescent="0.25">
      <c r="A19445" t="str">
        <f xml:space="preserve"> $H$19437</f>
        <v>&lt;flags count_in_cargo="0" count_in_hoarder="0" count_in_map="1" count_in_player="0" crafted="0" deloot="0"/&gt;</v>
      </c>
      <c r="B19445" t="s">
        <v>1388</v>
      </c>
    </row>
    <row r="19446" spans="1:8" x14ac:dyDescent="0.25">
      <c r="A19446" t="str">
        <f>"&lt;category name=" &amp;"""" &amp;$C$19437&amp;"""/&gt;"</f>
        <v>&lt;category name="tools"/&gt;</v>
      </c>
      <c r="B19446" t="s">
        <v>1388</v>
      </c>
    </row>
    <row r="19447" spans="1:8" x14ac:dyDescent="0.25">
      <c r="A19447" t="s">
        <v>29</v>
      </c>
      <c r="B19447" t="s">
        <v>1388</v>
      </c>
    </row>
    <row r="19448" spans="1:8" x14ac:dyDescent="0.25">
      <c r="A19448" t="s">
        <v>22</v>
      </c>
      <c r="B19448" t="s">
        <v>1388</v>
      </c>
    </row>
    <row r="19449" spans="1:8" x14ac:dyDescent="0.25">
      <c r="A19449" t="s">
        <v>305</v>
      </c>
      <c r="B19449" t="s">
        <v>1389</v>
      </c>
      <c r="C19449" t="s">
        <v>363</v>
      </c>
      <c r="D19449">
        <v>15</v>
      </c>
      <c r="E19449">
        <v>7200</v>
      </c>
      <c r="F19449">
        <v>0</v>
      </c>
      <c r="G19449">
        <v>5</v>
      </c>
      <c r="H19449" t="s">
        <v>19</v>
      </c>
    </row>
    <row r="19450" spans="1:8" x14ac:dyDescent="0.25">
      <c r="A19450" t="str">
        <f>"&lt;nominal&gt;" &amp;$D$19449&amp;"&lt;/nominal&gt;"</f>
        <v>&lt;nominal&gt;15&lt;/nominal&gt;</v>
      </c>
      <c r="B19450" t="s">
        <v>1389</v>
      </c>
    </row>
    <row r="19451" spans="1:8" x14ac:dyDescent="0.25">
      <c r="A19451" t="str">
        <f>"&lt;lifetime&gt;" &amp;$E$19449&amp;"&lt;/lifetime&gt;"</f>
        <v>&lt;lifetime&gt;7200&lt;/lifetime&gt;</v>
      </c>
      <c r="B19451" t="s">
        <v>1389</v>
      </c>
    </row>
    <row r="19452" spans="1:8" x14ac:dyDescent="0.25">
      <c r="A19452" t="str">
        <f>"&lt;restock&gt;" &amp;$F$19449&amp;"&lt;/restock&gt;"</f>
        <v>&lt;restock&gt;0&lt;/restock&gt;</v>
      </c>
      <c r="B19452" t="s">
        <v>1389</v>
      </c>
    </row>
    <row r="19453" spans="1:8" x14ac:dyDescent="0.25">
      <c r="A19453" t="str">
        <f>"&lt;min&gt;" &amp;$G$19449&amp;"&lt;/min&gt;"</f>
        <v>&lt;min&gt;5&lt;/min&gt;</v>
      </c>
      <c r="B19453" t="s">
        <v>1389</v>
      </c>
    </row>
    <row r="19454" spans="1:8" x14ac:dyDescent="0.25">
      <c r="A19454" t="s">
        <v>16</v>
      </c>
      <c r="B19454" t="s">
        <v>1389</v>
      </c>
    </row>
    <row r="19455" spans="1:8" x14ac:dyDescent="0.25">
      <c r="A19455" t="s">
        <v>17</v>
      </c>
      <c r="B19455" t="s">
        <v>1389</v>
      </c>
    </row>
    <row r="19456" spans="1:8" x14ac:dyDescent="0.25">
      <c r="A19456" t="s">
        <v>18</v>
      </c>
      <c r="B19456" t="s">
        <v>1389</v>
      </c>
    </row>
    <row r="19457" spans="1:8" x14ac:dyDescent="0.25">
      <c r="A19457" t="str">
        <f xml:space="preserve"> $H$19449</f>
        <v>&lt;flags count_in_cargo="0" count_in_hoarder="0" count_in_map="1" count_in_player="0" crafted="0" deloot="0"/&gt;</v>
      </c>
      <c r="B19457" t="s">
        <v>1389</v>
      </c>
    </row>
    <row r="19458" spans="1:8" x14ac:dyDescent="0.25">
      <c r="A19458" t="str">
        <f>"&lt;category name=" &amp;"""" &amp;$C$19449&amp;"""/&gt;"</f>
        <v>&lt;category name="containers"/&gt;</v>
      </c>
      <c r="B19458" t="s">
        <v>1389</v>
      </c>
    </row>
    <row r="19459" spans="1:8" x14ac:dyDescent="0.25">
      <c r="A19459" t="s">
        <v>29</v>
      </c>
      <c r="B19459" t="s">
        <v>1389</v>
      </c>
    </row>
    <row r="19460" spans="1:8" x14ac:dyDescent="0.25">
      <c r="A19460" t="s">
        <v>22</v>
      </c>
      <c r="B19460" t="s">
        <v>1389</v>
      </c>
    </row>
    <row r="19461" spans="1:8" x14ac:dyDescent="0.25">
      <c r="A19461" t="s">
        <v>306</v>
      </c>
      <c r="B19461" t="s">
        <v>1390</v>
      </c>
      <c r="C19461" t="s">
        <v>403</v>
      </c>
      <c r="D19461">
        <v>5</v>
      </c>
      <c r="E19461">
        <v>7200</v>
      </c>
      <c r="F19461">
        <v>1800</v>
      </c>
      <c r="G19461">
        <v>2</v>
      </c>
      <c r="H19461" t="s">
        <v>19</v>
      </c>
    </row>
    <row r="19462" spans="1:8" x14ac:dyDescent="0.25">
      <c r="A19462" t="str">
        <f>"&lt;nominal&gt;" &amp;$D$19461&amp;"&lt;/nominal&gt;"</f>
        <v>&lt;nominal&gt;5&lt;/nominal&gt;</v>
      </c>
      <c r="B19462" t="s">
        <v>1390</v>
      </c>
    </row>
    <row r="19463" spans="1:8" x14ac:dyDescent="0.25">
      <c r="A19463" t="str">
        <f>"&lt;lifetime&gt;" &amp;$E$19461&amp;"&lt;/lifetime&gt;"</f>
        <v>&lt;lifetime&gt;7200&lt;/lifetime&gt;</v>
      </c>
      <c r="B19463" t="s">
        <v>1390</v>
      </c>
    </row>
    <row r="19464" spans="1:8" x14ac:dyDescent="0.25">
      <c r="A19464" t="str">
        <f>"&lt;restock&gt;" &amp;$F$19461&amp;"&lt;/restock&gt;"</f>
        <v>&lt;restock&gt;1800&lt;/restock&gt;</v>
      </c>
      <c r="B19464" t="s">
        <v>1390</v>
      </c>
    </row>
    <row r="19465" spans="1:8" x14ac:dyDescent="0.25">
      <c r="A19465" t="str">
        <f>"&lt;min&gt;" &amp;$G$19461&amp;"&lt;/min&gt;"</f>
        <v>&lt;min&gt;2&lt;/min&gt;</v>
      </c>
      <c r="B19465" t="s">
        <v>1390</v>
      </c>
    </row>
    <row r="19466" spans="1:8" x14ac:dyDescent="0.25">
      <c r="A19466" t="s">
        <v>16</v>
      </c>
      <c r="B19466" t="s">
        <v>1390</v>
      </c>
    </row>
    <row r="19467" spans="1:8" x14ac:dyDescent="0.25">
      <c r="A19467" t="s">
        <v>17</v>
      </c>
      <c r="B19467" t="s">
        <v>1390</v>
      </c>
    </row>
    <row r="19468" spans="1:8" x14ac:dyDescent="0.25">
      <c r="A19468" t="s">
        <v>18</v>
      </c>
      <c r="B19468" t="s">
        <v>1390</v>
      </c>
    </row>
    <row r="19469" spans="1:8" x14ac:dyDescent="0.25">
      <c r="A19469" t="str">
        <f xml:space="preserve"> $H$19461</f>
        <v>&lt;flags count_in_cargo="0" count_in_hoarder="0" count_in_map="1" count_in_player="0" crafted="0" deloot="0"/&gt;</v>
      </c>
      <c r="B19469" t="s">
        <v>1390</v>
      </c>
    </row>
    <row r="19470" spans="1:8" x14ac:dyDescent="0.25">
      <c r="A19470" t="str">
        <f>"&lt;category name=" &amp;"""" &amp;$C$19461&amp;"""/&gt;"</f>
        <v>&lt;category name="clothes"/&gt;</v>
      </c>
      <c r="B19470" t="s">
        <v>1390</v>
      </c>
    </row>
    <row r="19471" spans="1:8" x14ac:dyDescent="0.25">
      <c r="A19471" t="s">
        <v>29</v>
      </c>
      <c r="B19471" t="s">
        <v>1390</v>
      </c>
    </row>
    <row r="19472" spans="1:8" x14ac:dyDescent="0.25">
      <c r="A19472" t="s">
        <v>31</v>
      </c>
      <c r="B19472" t="s">
        <v>1390</v>
      </c>
    </row>
    <row r="19473" spans="1:8" x14ac:dyDescent="0.25">
      <c r="A19473" t="s">
        <v>307</v>
      </c>
      <c r="B19473" t="s">
        <v>1390</v>
      </c>
    </row>
    <row r="19474" spans="1:8" x14ac:dyDescent="0.25">
      <c r="A19474" t="s">
        <v>22</v>
      </c>
      <c r="B19474" t="s">
        <v>1390</v>
      </c>
    </row>
    <row r="19475" spans="1:8" x14ac:dyDescent="0.25">
      <c r="A19475" t="s">
        <v>316</v>
      </c>
      <c r="B19475" t="s">
        <v>1390</v>
      </c>
    </row>
    <row r="19476" spans="1:8" x14ac:dyDescent="0.25">
      <c r="A19476" t="s">
        <v>317</v>
      </c>
      <c r="B19476" t="s">
        <v>1391</v>
      </c>
      <c r="C19476" t="s">
        <v>8</v>
      </c>
      <c r="D19476">
        <v>10</v>
      </c>
      <c r="E19476">
        <v>10800</v>
      </c>
      <c r="F19476">
        <v>0</v>
      </c>
      <c r="G19476">
        <v>5</v>
      </c>
      <c r="H19476" t="s">
        <v>19</v>
      </c>
    </row>
    <row r="19477" spans="1:8" x14ac:dyDescent="0.25">
      <c r="A19477" t="str">
        <f>"&lt;nominal&gt;" &amp;$D$19476&amp;"&lt;/nominal&gt;"</f>
        <v>&lt;nominal&gt;10&lt;/nominal&gt;</v>
      </c>
      <c r="B19477" t="s">
        <v>1391</v>
      </c>
    </row>
    <row r="19478" spans="1:8" x14ac:dyDescent="0.25">
      <c r="A19478" t="str">
        <f>"&lt;lifetime&gt;" &amp;$E$19476&amp;"&lt;/lifetime&gt;"</f>
        <v>&lt;lifetime&gt;10800&lt;/lifetime&gt;</v>
      </c>
      <c r="B19478" t="s">
        <v>1391</v>
      </c>
    </row>
    <row r="19479" spans="1:8" x14ac:dyDescent="0.25">
      <c r="A19479" t="str">
        <f>"&lt;restock&gt;" &amp;$F$19476&amp;"&lt;/restock&gt;"</f>
        <v>&lt;restock&gt;0&lt;/restock&gt;</v>
      </c>
      <c r="B19479" t="s">
        <v>1391</v>
      </c>
    </row>
    <row r="19480" spans="1:8" x14ac:dyDescent="0.25">
      <c r="A19480" t="str">
        <f>"&lt;min&gt;" &amp;$G$19476&amp;"&lt;/min&gt;"</f>
        <v>&lt;min&gt;5&lt;/min&gt;</v>
      </c>
      <c r="B19480" t="s">
        <v>1391</v>
      </c>
    </row>
    <row r="19481" spans="1:8" x14ac:dyDescent="0.25">
      <c r="A19481" t="s">
        <v>16</v>
      </c>
      <c r="B19481" t="s">
        <v>1391</v>
      </c>
    </row>
    <row r="19482" spans="1:8" x14ac:dyDescent="0.25">
      <c r="A19482" t="s">
        <v>17</v>
      </c>
      <c r="B19482" t="s">
        <v>1391</v>
      </c>
    </row>
    <row r="19483" spans="1:8" x14ac:dyDescent="0.25">
      <c r="A19483" t="s">
        <v>18</v>
      </c>
      <c r="B19483" t="s">
        <v>1391</v>
      </c>
    </row>
    <row r="19484" spans="1:8" x14ac:dyDescent="0.25">
      <c r="A19484" t="str">
        <f xml:space="preserve"> $H$19476</f>
        <v>&lt;flags count_in_cargo="0" count_in_hoarder="0" count_in_map="1" count_in_player="0" crafted="0" deloot="0"/&gt;</v>
      </c>
      <c r="B19484" t="s">
        <v>1391</v>
      </c>
    </row>
    <row r="19485" spans="1:8" x14ac:dyDescent="0.25">
      <c r="A19485" t="str">
        <f>"&lt;category name=" &amp;"""" &amp;$C$19476&amp;"""/&gt;"</f>
        <v>&lt;category name="weapons"/&gt;</v>
      </c>
      <c r="B19485" t="s">
        <v>1391</v>
      </c>
    </row>
    <row r="19486" spans="1:8" x14ac:dyDescent="0.25">
      <c r="A19486" t="s">
        <v>20</v>
      </c>
      <c r="B19486" t="s">
        <v>1391</v>
      </c>
    </row>
    <row r="19487" spans="1:8" x14ac:dyDescent="0.25">
      <c r="A19487" t="s">
        <v>40</v>
      </c>
      <c r="B19487" t="s">
        <v>1391</v>
      </c>
    </row>
    <row r="19488" spans="1:8" x14ac:dyDescent="0.25">
      <c r="A19488" t="s">
        <v>22</v>
      </c>
      <c r="B19488" t="s">
        <v>1391</v>
      </c>
    </row>
    <row r="19489" spans="1:8" x14ac:dyDescent="0.25">
      <c r="A19489" t="s">
        <v>318</v>
      </c>
      <c r="B19489" t="s">
        <v>1392</v>
      </c>
      <c r="C19489" t="s">
        <v>8</v>
      </c>
      <c r="D19489">
        <v>10</v>
      </c>
      <c r="E19489">
        <v>10800</v>
      </c>
      <c r="F19489">
        <v>0</v>
      </c>
      <c r="G19489">
        <v>5</v>
      </c>
      <c r="H19489" t="s">
        <v>19</v>
      </c>
    </row>
    <row r="19490" spans="1:8" x14ac:dyDescent="0.25">
      <c r="A19490" t="str">
        <f>"&lt;nominal&gt;" &amp;$D$19489&amp;"&lt;/nominal&gt;"</f>
        <v>&lt;nominal&gt;10&lt;/nominal&gt;</v>
      </c>
      <c r="B19490" t="s">
        <v>1392</v>
      </c>
    </row>
    <row r="19491" spans="1:8" x14ac:dyDescent="0.25">
      <c r="A19491" t="str">
        <f>"&lt;lifetime&gt;" &amp;$E$19489&amp;"&lt;/lifetime&gt;"</f>
        <v>&lt;lifetime&gt;10800&lt;/lifetime&gt;</v>
      </c>
      <c r="B19491" t="s">
        <v>1392</v>
      </c>
    </row>
    <row r="19492" spans="1:8" x14ac:dyDescent="0.25">
      <c r="A19492" t="str">
        <f>"&lt;restock&gt;" &amp;$F$19489&amp;"&lt;/restock&gt;"</f>
        <v>&lt;restock&gt;0&lt;/restock&gt;</v>
      </c>
      <c r="B19492" t="s">
        <v>1392</v>
      </c>
    </row>
    <row r="19493" spans="1:8" x14ac:dyDescent="0.25">
      <c r="A19493" t="str">
        <f>"&lt;min&gt;" &amp;$G$19489&amp;"&lt;/min&gt;"</f>
        <v>&lt;min&gt;5&lt;/min&gt;</v>
      </c>
      <c r="B19493" t="s">
        <v>1392</v>
      </c>
    </row>
    <row r="19494" spans="1:8" x14ac:dyDescent="0.25">
      <c r="A19494" t="s">
        <v>16</v>
      </c>
      <c r="B19494" t="s">
        <v>1392</v>
      </c>
    </row>
    <row r="19495" spans="1:8" x14ac:dyDescent="0.25">
      <c r="A19495" t="s">
        <v>17</v>
      </c>
      <c r="B19495" t="s">
        <v>1392</v>
      </c>
    </row>
    <row r="19496" spans="1:8" x14ac:dyDescent="0.25">
      <c r="A19496" t="s">
        <v>18</v>
      </c>
      <c r="B19496" t="s">
        <v>1392</v>
      </c>
    </row>
    <row r="19497" spans="1:8" x14ac:dyDescent="0.25">
      <c r="A19497" t="str">
        <f xml:space="preserve"> $H$19489</f>
        <v>&lt;flags count_in_cargo="0" count_in_hoarder="0" count_in_map="1" count_in_player="0" crafted="0" deloot="0"/&gt;</v>
      </c>
      <c r="B19497" t="s">
        <v>1392</v>
      </c>
    </row>
    <row r="19498" spans="1:8" x14ac:dyDescent="0.25">
      <c r="A19498" t="str">
        <f>"&lt;category name=" &amp;"""" &amp;$C$19489&amp;"""/&gt;"</f>
        <v>&lt;category name="weapons"/&gt;</v>
      </c>
      <c r="B19498" t="s">
        <v>1392</v>
      </c>
    </row>
    <row r="19499" spans="1:8" x14ac:dyDescent="0.25">
      <c r="A19499" t="s">
        <v>20</v>
      </c>
      <c r="B19499" t="s">
        <v>1392</v>
      </c>
    </row>
    <row r="19500" spans="1:8" x14ac:dyDescent="0.25">
      <c r="A19500" t="s">
        <v>173</v>
      </c>
      <c r="B19500" t="s">
        <v>1392</v>
      </c>
    </row>
    <row r="19501" spans="1:8" x14ac:dyDescent="0.25">
      <c r="A19501" t="s">
        <v>40</v>
      </c>
      <c r="B19501" t="s">
        <v>1392</v>
      </c>
    </row>
    <row r="19502" spans="1:8" x14ac:dyDescent="0.25">
      <c r="A19502" t="s">
        <v>22</v>
      </c>
      <c r="B19502" t="s">
        <v>1392</v>
      </c>
    </row>
    <row r="19503" spans="1:8" x14ac:dyDescent="0.25">
      <c r="A19503" t="s">
        <v>319</v>
      </c>
      <c r="B19503" t="s">
        <v>1393</v>
      </c>
      <c r="C19503" t="s">
        <v>8</v>
      </c>
      <c r="D19503">
        <v>20</v>
      </c>
      <c r="E19503">
        <v>10800</v>
      </c>
      <c r="F19503">
        <v>0</v>
      </c>
      <c r="G19503">
        <v>10</v>
      </c>
      <c r="H19503" t="s">
        <v>19</v>
      </c>
    </row>
    <row r="19504" spans="1:8" x14ac:dyDescent="0.25">
      <c r="A19504" t="str">
        <f>"&lt;nominal&gt;" &amp;$D$19503&amp;"&lt;/nominal&gt;"</f>
        <v>&lt;nominal&gt;20&lt;/nominal&gt;</v>
      </c>
      <c r="B19504" t="s">
        <v>1393</v>
      </c>
    </row>
    <row r="19505" spans="1:8" x14ac:dyDescent="0.25">
      <c r="A19505" t="str">
        <f>"&lt;lifetime&gt;" &amp;$E$19503&amp;"&lt;/lifetime&gt;"</f>
        <v>&lt;lifetime&gt;10800&lt;/lifetime&gt;</v>
      </c>
      <c r="B19505" t="s">
        <v>1393</v>
      </c>
    </row>
    <row r="19506" spans="1:8" x14ac:dyDescent="0.25">
      <c r="A19506" t="str">
        <f>"&lt;restock&gt;" &amp;$F$19503&amp;"&lt;/restock&gt;"</f>
        <v>&lt;restock&gt;0&lt;/restock&gt;</v>
      </c>
      <c r="B19506" t="s">
        <v>1393</v>
      </c>
    </row>
    <row r="19507" spans="1:8" x14ac:dyDescent="0.25">
      <c r="A19507" t="str">
        <f>"&lt;min&gt;" &amp;$G$19503&amp;"&lt;/min&gt;"</f>
        <v>&lt;min&gt;10&lt;/min&gt;</v>
      </c>
      <c r="B19507" t="s">
        <v>1393</v>
      </c>
    </row>
    <row r="19508" spans="1:8" x14ac:dyDescent="0.25">
      <c r="A19508" t="s">
        <v>16</v>
      </c>
      <c r="B19508" t="s">
        <v>1393</v>
      </c>
    </row>
    <row r="19509" spans="1:8" x14ac:dyDescent="0.25">
      <c r="A19509" t="s">
        <v>17</v>
      </c>
      <c r="B19509" t="s">
        <v>1393</v>
      </c>
    </row>
    <row r="19510" spans="1:8" x14ac:dyDescent="0.25">
      <c r="A19510" t="s">
        <v>18</v>
      </c>
      <c r="B19510" t="s">
        <v>1393</v>
      </c>
    </row>
    <row r="19511" spans="1:8" x14ac:dyDescent="0.25">
      <c r="A19511" t="str">
        <f xml:space="preserve"> $H$19503</f>
        <v>&lt;flags count_in_cargo="0" count_in_hoarder="0" count_in_map="1" count_in_player="0" crafted="0" deloot="0"/&gt;</v>
      </c>
      <c r="B19511" t="s">
        <v>1393</v>
      </c>
    </row>
    <row r="19512" spans="1:8" x14ac:dyDescent="0.25">
      <c r="A19512" t="str">
        <f>"&lt;category name=" &amp;"""" &amp;$C$19503&amp;"""/&gt;"</f>
        <v>&lt;category name="weapons"/&gt;</v>
      </c>
      <c r="B19512" t="s">
        <v>1393</v>
      </c>
    </row>
    <row r="19513" spans="1:8" x14ac:dyDescent="0.25">
      <c r="A19513" t="s">
        <v>20</v>
      </c>
      <c r="B19513" t="s">
        <v>1393</v>
      </c>
    </row>
    <row r="19514" spans="1:8" x14ac:dyDescent="0.25">
      <c r="A19514" t="s">
        <v>173</v>
      </c>
      <c r="B19514" t="s">
        <v>1393</v>
      </c>
    </row>
    <row r="19515" spans="1:8" x14ac:dyDescent="0.25">
      <c r="A19515" t="s">
        <v>40</v>
      </c>
      <c r="B19515" t="s">
        <v>1393</v>
      </c>
    </row>
    <row r="19516" spans="1:8" x14ac:dyDescent="0.25">
      <c r="A19516" t="s">
        <v>22</v>
      </c>
      <c r="B19516" t="s">
        <v>1393</v>
      </c>
    </row>
    <row r="19517" spans="1:8" x14ac:dyDescent="0.25">
      <c r="A19517" t="s">
        <v>3305</v>
      </c>
      <c r="B19517" t="s">
        <v>3327</v>
      </c>
      <c r="C19517" t="s">
        <v>8</v>
      </c>
      <c r="D19517">
        <v>20</v>
      </c>
      <c r="E19517">
        <v>7200</v>
      </c>
      <c r="F19517">
        <v>0</v>
      </c>
      <c r="G19517">
        <v>10</v>
      </c>
      <c r="H19517" t="s">
        <v>19</v>
      </c>
    </row>
    <row r="19518" spans="1:8" x14ac:dyDescent="0.25">
      <c r="A19518" t="str">
        <f>"&lt;nominal&gt;" &amp;$D$19517&amp;"&lt;/nominal&gt;"</f>
        <v>&lt;nominal&gt;20&lt;/nominal&gt;</v>
      </c>
      <c r="B19518" t="s">
        <v>3327</v>
      </c>
    </row>
    <row r="19519" spans="1:8" x14ac:dyDescent="0.25">
      <c r="A19519" t="str">
        <f>"&lt;lifetime&gt;" &amp;$E$19517&amp;"&lt;/lifetime&gt;"</f>
        <v>&lt;lifetime&gt;7200&lt;/lifetime&gt;</v>
      </c>
      <c r="B19519" t="s">
        <v>3327</v>
      </c>
    </row>
    <row r="19520" spans="1:8" x14ac:dyDescent="0.25">
      <c r="A19520" t="str">
        <f>"&lt;restock&gt;" &amp;$F$19517&amp;"&lt;/restock&gt;"</f>
        <v>&lt;restock&gt;0&lt;/restock&gt;</v>
      </c>
      <c r="B19520" t="s">
        <v>3327</v>
      </c>
    </row>
    <row r="19521" spans="1:8" x14ac:dyDescent="0.25">
      <c r="A19521" t="str">
        <f>"&lt;min&gt;" &amp;$G$19517&amp;"&lt;/min&gt;"</f>
        <v>&lt;min&gt;10&lt;/min&gt;</v>
      </c>
      <c r="B19521" t="s">
        <v>3327</v>
      </c>
    </row>
    <row r="19522" spans="1:8" x14ac:dyDescent="0.25">
      <c r="A19522" t="s">
        <v>320</v>
      </c>
      <c r="B19522" t="s">
        <v>3327</v>
      </c>
    </row>
    <row r="19523" spans="1:8" x14ac:dyDescent="0.25">
      <c r="A19523" t="s">
        <v>321</v>
      </c>
      <c r="B19523" t="s">
        <v>3327</v>
      </c>
    </row>
    <row r="19524" spans="1:8" x14ac:dyDescent="0.25">
      <c r="A19524" t="s">
        <v>18</v>
      </c>
      <c r="B19524" t="s">
        <v>3327</v>
      </c>
    </row>
    <row r="19525" spans="1:8" x14ac:dyDescent="0.25">
      <c r="A19525" t="str">
        <f xml:space="preserve"> $H$19517</f>
        <v>&lt;flags count_in_cargo="0" count_in_hoarder="0" count_in_map="1" count_in_player="0" crafted="0" deloot="0"/&gt;</v>
      </c>
      <c r="B19525" t="s">
        <v>3327</v>
      </c>
    </row>
    <row r="19526" spans="1:8" x14ac:dyDescent="0.25">
      <c r="A19526" t="str">
        <f>"&lt;category name=" &amp;"""" &amp;$C$19517&amp;"""/&gt;"</f>
        <v>&lt;category name="weapons"/&gt;</v>
      </c>
      <c r="B19526" t="s">
        <v>3327</v>
      </c>
    </row>
    <row r="19527" spans="1:8" x14ac:dyDescent="0.25">
      <c r="A19527" t="s">
        <v>20</v>
      </c>
      <c r="B19527" t="s">
        <v>3327</v>
      </c>
    </row>
    <row r="19528" spans="1:8" x14ac:dyDescent="0.25">
      <c r="A19528" t="s">
        <v>173</v>
      </c>
      <c r="B19528" t="s">
        <v>3327</v>
      </c>
    </row>
    <row r="19529" spans="1:8" x14ac:dyDescent="0.25">
      <c r="A19529" t="s">
        <v>40</v>
      </c>
      <c r="B19529" t="s">
        <v>3327</v>
      </c>
    </row>
    <row r="19530" spans="1:8" x14ac:dyDescent="0.25">
      <c r="A19530" t="s">
        <v>22</v>
      </c>
      <c r="B19530" t="s">
        <v>3327</v>
      </c>
    </row>
    <row r="19531" spans="1:8" x14ac:dyDescent="0.25">
      <c r="A19531" t="s">
        <v>3306</v>
      </c>
      <c r="B19531" t="s">
        <v>3328</v>
      </c>
      <c r="C19531" t="s">
        <v>8</v>
      </c>
      <c r="D19531">
        <v>20</v>
      </c>
      <c r="E19531">
        <v>7200</v>
      </c>
      <c r="F19531">
        <v>0</v>
      </c>
      <c r="G19531">
        <v>10</v>
      </c>
      <c r="H19531" t="s">
        <v>19</v>
      </c>
    </row>
    <row r="19532" spans="1:8" x14ac:dyDescent="0.25">
      <c r="A19532" t="str">
        <f>"&lt;nominal&gt;" &amp;$D$19531&amp;"&lt;/nominal&gt;"</f>
        <v>&lt;nominal&gt;20&lt;/nominal&gt;</v>
      </c>
      <c r="B19532" t="s">
        <v>3328</v>
      </c>
    </row>
    <row r="19533" spans="1:8" x14ac:dyDescent="0.25">
      <c r="A19533" t="str">
        <f>"&lt;lifetime&gt;" &amp;$E$19531&amp;"&lt;/lifetime&gt;"</f>
        <v>&lt;lifetime&gt;7200&lt;/lifetime&gt;</v>
      </c>
      <c r="B19533" t="s">
        <v>3328</v>
      </c>
    </row>
    <row r="19534" spans="1:8" x14ac:dyDescent="0.25">
      <c r="A19534" t="str">
        <f>"&lt;restock&gt;" &amp;$F$19531&amp;"&lt;/restock&gt;"</f>
        <v>&lt;restock&gt;0&lt;/restock&gt;</v>
      </c>
      <c r="B19534" t="s">
        <v>3328</v>
      </c>
    </row>
    <row r="19535" spans="1:8" x14ac:dyDescent="0.25">
      <c r="A19535" t="str">
        <f>"&lt;min&gt;" &amp;$G$19531&amp;"&lt;/min&gt;"</f>
        <v>&lt;min&gt;10&lt;/min&gt;</v>
      </c>
      <c r="B19535" t="s">
        <v>3328</v>
      </c>
    </row>
    <row r="19536" spans="1:8" x14ac:dyDescent="0.25">
      <c r="A19536" t="s">
        <v>320</v>
      </c>
      <c r="B19536" t="s">
        <v>3328</v>
      </c>
    </row>
    <row r="19537" spans="1:8" x14ac:dyDescent="0.25">
      <c r="A19537" t="s">
        <v>321</v>
      </c>
      <c r="B19537" t="s">
        <v>3328</v>
      </c>
    </row>
    <row r="19538" spans="1:8" x14ac:dyDescent="0.25">
      <c r="A19538" t="s">
        <v>18</v>
      </c>
      <c r="B19538" t="s">
        <v>3328</v>
      </c>
    </row>
    <row r="19539" spans="1:8" x14ac:dyDescent="0.25">
      <c r="A19539" t="str">
        <f xml:space="preserve"> $H$19531</f>
        <v>&lt;flags count_in_cargo="0" count_in_hoarder="0" count_in_map="1" count_in_player="0" crafted="0" deloot="0"/&gt;</v>
      </c>
      <c r="B19539" t="s">
        <v>3328</v>
      </c>
    </row>
    <row r="19540" spans="1:8" x14ac:dyDescent="0.25">
      <c r="A19540" t="str">
        <f>"&lt;category name=" &amp;"""" &amp;$C$19531&amp;"""/&gt;"</f>
        <v>&lt;category name="weapons"/&gt;</v>
      </c>
      <c r="B19540" t="s">
        <v>3328</v>
      </c>
    </row>
    <row r="19541" spans="1:8" x14ac:dyDescent="0.25">
      <c r="A19541" t="s">
        <v>20</v>
      </c>
      <c r="B19541" t="s">
        <v>3328</v>
      </c>
    </row>
    <row r="19542" spans="1:8" x14ac:dyDescent="0.25">
      <c r="A19542" t="s">
        <v>173</v>
      </c>
      <c r="B19542" t="s">
        <v>3328</v>
      </c>
    </row>
    <row r="19543" spans="1:8" x14ac:dyDescent="0.25">
      <c r="A19543" t="s">
        <v>40</v>
      </c>
      <c r="B19543" t="s">
        <v>3328</v>
      </c>
    </row>
    <row r="19544" spans="1:8" x14ac:dyDescent="0.25">
      <c r="A19544" t="s">
        <v>22</v>
      </c>
      <c r="B19544" t="s">
        <v>3328</v>
      </c>
    </row>
    <row r="19545" spans="1:8" x14ac:dyDescent="0.25">
      <c r="A19545" t="s">
        <v>3307</v>
      </c>
      <c r="B19545" t="s">
        <v>3329</v>
      </c>
      <c r="C19545" t="s">
        <v>8</v>
      </c>
      <c r="D19545">
        <v>10</v>
      </c>
      <c r="E19545">
        <v>7200</v>
      </c>
      <c r="F19545">
        <v>0</v>
      </c>
      <c r="G19545">
        <v>5</v>
      </c>
      <c r="H19545" t="s">
        <v>19</v>
      </c>
    </row>
    <row r="19546" spans="1:8" x14ac:dyDescent="0.25">
      <c r="A19546" t="str">
        <f>"&lt;nominal&gt;" &amp;$D$19545&amp;"&lt;/nominal&gt;"</f>
        <v>&lt;nominal&gt;10&lt;/nominal&gt;</v>
      </c>
      <c r="B19546" t="s">
        <v>3329</v>
      </c>
    </row>
    <row r="19547" spans="1:8" x14ac:dyDescent="0.25">
      <c r="A19547" t="str">
        <f>"&lt;lifetime&gt;" &amp;$E$19545&amp;"&lt;/lifetime&gt;"</f>
        <v>&lt;lifetime&gt;7200&lt;/lifetime&gt;</v>
      </c>
      <c r="B19547" t="s">
        <v>3329</v>
      </c>
    </row>
    <row r="19548" spans="1:8" x14ac:dyDescent="0.25">
      <c r="A19548" t="str">
        <f>"&lt;restock&gt;" &amp;$F$19545&amp;"&lt;/restock&gt;"</f>
        <v>&lt;restock&gt;0&lt;/restock&gt;</v>
      </c>
      <c r="B19548" t="s">
        <v>3329</v>
      </c>
    </row>
    <row r="19549" spans="1:8" x14ac:dyDescent="0.25">
      <c r="A19549" t="str">
        <f>"&lt;min&gt;" &amp;$G$19545&amp;"&lt;/min&gt;"</f>
        <v>&lt;min&gt;5&lt;/min&gt;</v>
      </c>
      <c r="B19549" t="s">
        <v>3329</v>
      </c>
    </row>
    <row r="19550" spans="1:8" x14ac:dyDescent="0.25">
      <c r="A19550" t="s">
        <v>320</v>
      </c>
      <c r="B19550" t="s">
        <v>3329</v>
      </c>
    </row>
    <row r="19551" spans="1:8" x14ac:dyDescent="0.25">
      <c r="A19551" t="s">
        <v>321</v>
      </c>
      <c r="B19551" t="s">
        <v>3329</v>
      </c>
    </row>
    <row r="19552" spans="1:8" x14ac:dyDescent="0.25">
      <c r="A19552" t="s">
        <v>18</v>
      </c>
      <c r="B19552" t="s">
        <v>3329</v>
      </c>
    </row>
    <row r="19553" spans="1:8" x14ac:dyDescent="0.25">
      <c r="A19553" t="str">
        <f xml:space="preserve"> $H$19545</f>
        <v>&lt;flags count_in_cargo="0" count_in_hoarder="0" count_in_map="1" count_in_player="0" crafted="0" deloot="0"/&gt;</v>
      </c>
      <c r="B19553" t="s">
        <v>3329</v>
      </c>
    </row>
    <row r="19554" spans="1:8" x14ac:dyDescent="0.25">
      <c r="A19554" t="str">
        <f>"&lt;category name=" &amp;"""" &amp;$C$19545&amp;"""/&gt;"</f>
        <v>&lt;category name="weapons"/&gt;</v>
      </c>
      <c r="B19554" t="s">
        <v>3329</v>
      </c>
    </row>
    <row r="19555" spans="1:8" x14ac:dyDescent="0.25">
      <c r="A19555" t="s">
        <v>20</v>
      </c>
      <c r="B19555" t="s">
        <v>3329</v>
      </c>
    </row>
    <row r="19556" spans="1:8" x14ac:dyDescent="0.25">
      <c r="A19556" t="s">
        <v>173</v>
      </c>
      <c r="B19556" t="s">
        <v>3329</v>
      </c>
    </row>
    <row r="19557" spans="1:8" x14ac:dyDescent="0.25">
      <c r="A19557" t="s">
        <v>40</v>
      </c>
      <c r="B19557" t="s">
        <v>3329</v>
      </c>
    </row>
    <row r="19558" spans="1:8" x14ac:dyDescent="0.25">
      <c r="A19558" t="s">
        <v>22</v>
      </c>
      <c r="B19558" t="s">
        <v>3329</v>
      </c>
    </row>
    <row r="19559" spans="1:8" x14ac:dyDescent="0.25">
      <c r="B19559" t="s">
        <v>3329</v>
      </c>
    </row>
    <row r="19560" spans="1:8" x14ac:dyDescent="0.25">
      <c r="A19560" t="s">
        <v>322</v>
      </c>
      <c r="B19560" t="s">
        <v>10</v>
      </c>
      <c r="C19560" t="s">
        <v>8</v>
      </c>
      <c r="D19560">
        <v>10</v>
      </c>
      <c r="E19560">
        <v>10800</v>
      </c>
      <c r="F19560">
        <v>1800</v>
      </c>
      <c r="G19560">
        <v>5</v>
      </c>
      <c r="H19560" t="s">
        <v>19</v>
      </c>
    </row>
    <row r="19561" spans="1:8" x14ac:dyDescent="0.25">
      <c r="A19561" t="str">
        <f>"&lt;nominal&gt;" &amp;$D$19560&amp;"&lt;/nominal&gt;"</f>
        <v>&lt;nominal&gt;10&lt;/nominal&gt;</v>
      </c>
      <c r="B19561" t="s">
        <v>10</v>
      </c>
    </row>
    <row r="19562" spans="1:8" x14ac:dyDescent="0.25">
      <c r="A19562" t="str">
        <f>"&lt;lifetime&gt;" &amp;$E$19560&amp;"&lt;/lifetime&gt;"</f>
        <v>&lt;lifetime&gt;10800&lt;/lifetime&gt;</v>
      </c>
      <c r="B19562" t="s">
        <v>10</v>
      </c>
    </row>
    <row r="19563" spans="1:8" x14ac:dyDescent="0.25">
      <c r="A19563" t="str">
        <f>"&lt;restock&gt;" &amp;$F$19560&amp;"&lt;/restock&gt;"</f>
        <v>&lt;restock&gt;1800&lt;/restock&gt;</v>
      </c>
      <c r="B19563" t="s">
        <v>10</v>
      </c>
    </row>
    <row r="19564" spans="1:8" x14ac:dyDescent="0.25">
      <c r="A19564" t="str">
        <f>"&lt;min&gt;" &amp;$G$19560&amp;"&lt;/min&gt;"</f>
        <v>&lt;min&gt;5&lt;/min&gt;</v>
      </c>
      <c r="B19564" t="s">
        <v>10</v>
      </c>
    </row>
    <row r="19565" spans="1:8" x14ac:dyDescent="0.25">
      <c r="A19565" t="s">
        <v>16</v>
      </c>
      <c r="B19565" t="s">
        <v>10</v>
      </c>
    </row>
    <row r="19566" spans="1:8" x14ac:dyDescent="0.25">
      <c r="A19566" t="s">
        <v>17</v>
      </c>
      <c r="B19566" t="s">
        <v>10</v>
      </c>
    </row>
    <row r="19567" spans="1:8" x14ac:dyDescent="0.25">
      <c r="A19567" t="s">
        <v>18</v>
      </c>
      <c r="B19567" t="s">
        <v>10</v>
      </c>
    </row>
    <row r="19568" spans="1:8" x14ac:dyDescent="0.25">
      <c r="A19568" t="str">
        <f xml:space="preserve"> $H$19560</f>
        <v>&lt;flags count_in_cargo="0" count_in_hoarder="0" count_in_map="1" count_in_player="0" crafted="0" deloot="0"/&gt;</v>
      </c>
      <c r="B19568" t="s">
        <v>10</v>
      </c>
    </row>
    <row r="19569" spans="1:8" x14ac:dyDescent="0.25">
      <c r="A19569" t="str">
        <f>"&lt;category name=" &amp;"""" &amp;$C$19560&amp;"""/&gt;"</f>
        <v>&lt;category name="weapons"/&gt;</v>
      </c>
      <c r="B19569" t="s">
        <v>10</v>
      </c>
    </row>
    <row r="19570" spans="1:8" x14ac:dyDescent="0.25">
      <c r="A19570" t="s">
        <v>29</v>
      </c>
      <c r="B19570" t="s">
        <v>10</v>
      </c>
    </row>
    <row r="19571" spans="1:8" x14ac:dyDescent="0.25">
      <c r="A19571" t="s">
        <v>31</v>
      </c>
      <c r="B19571" t="s">
        <v>10</v>
      </c>
    </row>
    <row r="19572" spans="1:8" x14ac:dyDescent="0.25">
      <c r="A19572" t="s">
        <v>22</v>
      </c>
      <c r="B19572" t="s">
        <v>10</v>
      </c>
    </row>
    <row r="19573" spans="1:8" x14ac:dyDescent="0.25">
      <c r="B19573" t="s">
        <v>10</v>
      </c>
    </row>
    <row r="19574" spans="1:8" x14ac:dyDescent="0.25">
      <c r="A19574" t="s">
        <v>323</v>
      </c>
      <c r="B19574" t="s">
        <v>1394</v>
      </c>
      <c r="C19574" t="s">
        <v>8</v>
      </c>
      <c r="D19574">
        <v>5</v>
      </c>
      <c r="E19574">
        <v>7200</v>
      </c>
      <c r="F19574">
        <v>14400</v>
      </c>
      <c r="G19574">
        <v>2</v>
      </c>
      <c r="H19574" t="s">
        <v>28</v>
      </c>
    </row>
    <row r="19575" spans="1:8" x14ac:dyDescent="0.25">
      <c r="A19575" t="str">
        <f>"&lt;nominal&gt;" &amp;$D$19574&amp;"&lt;/nominal&gt;"</f>
        <v>&lt;nominal&gt;5&lt;/nominal&gt;</v>
      </c>
      <c r="B19575" t="s">
        <v>1394</v>
      </c>
    </row>
    <row r="19576" spans="1:8" x14ac:dyDescent="0.25">
      <c r="A19576" t="str">
        <f>"&lt;lifetime&gt;" &amp;$E$19574&amp;"&lt;/lifetime&gt;"</f>
        <v>&lt;lifetime&gt;7200&lt;/lifetime&gt;</v>
      </c>
      <c r="B19576" t="s">
        <v>1394</v>
      </c>
    </row>
    <row r="19577" spans="1:8" x14ac:dyDescent="0.25">
      <c r="A19577" t="str">
        <f>"&lt;restock&gt;" &amp;$F$19574&amp;"&lt;/restock&gt;"</f>
        <v>&lt;restock&gt;14400&lt;/restock&gt;</v>
      </c>
      <c r="B19577" t="s">
        <v>1394</v>
      </c>
    </row>
    <row r="19578" spans="1:8" x14ac:dyDescent="0.25">
      <c r="A19578" t="str">
        <f>"&lt;min&gt;" &amp;$G$19574&amp;"&lt;/min&gt;"</f>
        <v>&lt;min&gt;2&lt;/min&gt;</v>
      </c>
      <c r="B19578" t="s">
        <v>1394</v>
      </c>
    </row>
    <row r="19579" spans="1:8" x14ac:dyDescent="0.25">
      <c r="A19579" t="s">
        <v>16</v>
      </c>
      <c r="B19579" t="s">
        <v>1394</v>
      </c>
    </row>
    <row r="19580" spans="1:8" x14ac:dyDescent="0.25">
      <c r="A19580" t="s">
        <v>17</v>
      </c>
      <c r="B19580" t="s">
        <v>1394</v>
      </c>
    </row>
    <row r="19581" spans="1:8" x14ac:dyDescent="0.25">
      <c r="A19581" t="s">
        <v>18</v>
      </c>
      <c r="B19581" t="s">
        <v>1394</v>
      </c>
    </row>
    <row r="19582" spans="1:8" x14ac:dyDescent="0.25">
      <c r="A19582" t="str">
        <f xml:space="preserve"> $H$19574</f>
        <v>&lt;flags count_in_cargo="1" count_in_hoarder="1" count_in_map="1" count_in_player="1" crafted="0" deloot="1"/&gt;</v>
      </c>
      <c r="B19582" t="s">
        <v>1394</v>
      </c>
    </row>
    <row r="19583" spans="1:8" x14ac:dyDescent="0.25">
      <c r="A19583" t="str">
        <f>"&lt;category name=" &amp;"""" &amp;$C$19574&amp;"""/&gt;"</f>
        <v>&lt;category name="weapons"/&gt;</v>
      </c>
      <c r="B19583" t="s">
        <v>1394</v>
      </c>
    </row>
    <row r="19584" spans="1:8" x14ac:dyDescent="0.25">
      <c r="A19584" t="s">
        <v>29</v>
      </c>
      <c r="B19584" t="s">
        <v>1394</v>
      </c>
    </row>
    <row r="19585" spans="1:8" x14ac:dyDescent="0.25">
      <c r="A19585" t="s">
        <v>307</v>
      </c>
      <c r="B19585" t="s">
        <v>1394</v>
      </c>
    </row>
    <row r="19586" spans="1:8" x14ac:dyDescent="0.25">
      <c r="A19586" t="s">
        <v>22</v>
      </c>
      <c r="B19586" t="s">
        <v>1394</v>
      </c>
    </row>
    <row r="19587" spans="1:8" x14ac:dyDescent="0.25">
      <c r="A19587" t="s">
        <v>3308</v>
      </c>
      <c r="B19587" t="s">
        <v>3330</v>
      </c>
      <c r="C19587" t="s">
        <v>8</v>
      </c>
      <c r="D19587">
        <v>10</v>
      </c>
      <c r="E19587">
        <v>10800</v>
      </c>
      <c r="F19587">
        <v>1800</v>
      </c>
      <c r="G19587">
        <v>5</v>
      </c>
      <c r="H19587" t="s">
        <v>19</v>
      </c>
    </row>
    <row r="19588" spans="1:8" x14ac:dyDescent="0.25">
      <c r="A19588" t="str">
        <f>"&lt;nominal&gt;" &amp;$D$19587&amp;"&lt;/nominal&gt;"</f>
        <v>&lt;nominal&gt;10&lt;/nominal&gt;</v>
      </c>
      <c r="B19588" t="s">
        <v>3330</v>
      </c>
    </row>
    <row r="19589" spans="1:8" x14ac:dyDescent="0.25">
      <c r="A19589" t="str">
        <f>"&lt;lifetime&gt;" &amp;$E$19587&amp;"&lt;/lifetime&gt;"</f>
        <v>&lt;lifetime&gt;10800&lt;/lifetime&gt;</v>
      </c>
      <c r="B19589" t="s">
        <v>3330</v>
      </c>
    </row>
    <row r="19590" spans="1:8" x14ac:dyDescent="0.25">
      <c r="A19590" t="str">
        <f>"&lt;restock&gt;" &amp;$F$19587&amp;"&lt;/restock&gt;"</f>
        <v>&lt;restock&gt;1800&lt;/restock&gt;</v>
      </c>
      <c r="B19590" t="s">
        <v>3330</v>
      </c>
    </row>
    <row r="19591" spans="1:8" x14ac:dyDescent="0.25">
      <c r="A19591" t="str">
        <f>"&lt;min&gt;" &amp;$G$19587&amp;"&lt;/min&gt;"</f>
        <v>&lt;min&gt;5&lt;/min&gt;</v>
      </c>
      <c r="B19591" t="s">
        <v>3330</v>
      </c>
    </row>
    <row r="19592" spans="1:8" x14ac:dyDescent="0.25">
      <c r="A19592" t="s">
        <v>45</v>
      </c>
      <c r="B19592" t="s">
        <v>3330</v>
      </c>
    </row>
    <row r="19593" spans="1:8" x14ac:dyDescent="0.25">
      <c r="A19593" t="s">
        <v>46</v>
      </c>
      <c r="B19593" t="s">
        <v>3330</v>
      </c>
    </row>
    <row r="19594" spans="1:8" x14ac:dyDescent="0.25">
      <c r="A19594" t="s">
        <v>324</v>
      </c>
      <c r="B19594" t="s">
        <v>3330</v>
      </c>
    </row>
    <row r="19595" spans="1:8" x14ac:dyDescent="0.25">
      <c r="A19595" t="str">
        <f xml:space="preserve"> $H$19587</f>
        <v>&lt;flags count_in_cargo="0" count_in_hoarder="0" count_in_map="1" count_in_player="0" crafted="0" deloot="0"/&gt;</v>
      </c>
      <c r="B19595" t="s">
        <v>3330</v>
      </c>
    </row>
    <row r="19596" spans="1:8" x14ac:dyDescent="0.25">
      <c r="A19596" t="str">
        <f>"&lt;category name=" &amp;"""" &amp;$C$19587&amp;"""/&gt;"</f>
        <v>&lt;category name="weapons"/&gt;</v>
      </c>
      <c r="B19596" t="s">
        <v>3330</v>
      </c>
    </row>
    <row r="19597" spans="1:8" x14ac:dyDescent="0.25">
      <c r="A19597" t="s">
        <v>29</v>
      </c>
      <c r="B19597" t="s">
        <v>3330</v>
      </c>
    </row>
    <row r="19598" spans="1:8" x14ac:dyDescent="0.25">
      <c r="A19598" t="s">
        <v>31</v>
      </c>
      <c r="B19598" t="s">
        <v>3330</v>
      </c>
    </row>
    <row r="19599" spans="1:8" x14ac:dyDescent="0.25">
      <c r="A19599" t="s">
        <v>22</v>
      </c>
      <c r="B19599" t="s">
        <v>3330</v>
      </c>
    </row>
    <row r="19600" spans="1:8" x14ac:dyDescent="0.25">
      <c r="A19600" t="s">
        <v>3309</v>
      </c>
      <c r="B19600" t="s">
        <v>3331</v>
      </c>
      <c r="C19600" t="s">
        <v>8</v>
      </c>
      <c r="D19600">
        <v>5</v>
      </c>
      <c r="E19600">
        <v>10800</v>
      </c>
      <c r="F19600">
        <v>1800</v>
      </c>
      <c r="G19600">
        <v>5</v>
      </c>
      <c r="H19600" t="s">
        <v>19</v>
      </c>
    </row>
    <row r="19601" spans="1:8" x14ac:dyDescent="0.25">
      <c r="A19601" t="str">
        <f>"&lt;nominal&gt;" &amp;$D$19600&amp;"&lt;/nominal&gt;"</f>
        <v>&lt;nominal&gt;5&lt;/nominal&gt;</v>
      </c>
      <c r="B19601" t="s">
        <v>3331</v>
      </c>
    </row>
    <row r="19602" spans="1:8" x14ac:dyDescent="0.25">
      <c r="A19602" t="str">
        <f>"&lt;lifetime&gt;" &amp;$E$19600&amp;"&lt;/lifetime&gt;"</f>
        <v>&lt;lifetime&gt;10800&lt;/lifetime&gt;</v>
      </c>
      <c r="B19602" t="s">
        <v>3331</v>
      </c>
    </row>
    <row r="19603" spans="1:8" x14ac:dyDescent="0.25">
      <c r="A19603" t="str">
        <f>"&lt;restock&gt;" &amp;$F$19600&amp;"&lt;/restock&gt;"</f>
        <v>&lt;restock&gt;1800&lt;/restock&gt;</v>
      </c>
      <c r="B19603" t="s">
        <v>3331</v>
      </c>
    </row>
    <row r="19604" spans="1:8" x14ac:dyDescent="0.25">
      <c r="A19604" t="str">
        <f>"&lt;min&gt;" &amp;$G$19600&amp;"&lt;/min&gt;"</f>
        <v>&lt;min&gt;5&lt;/min&gt;</v>
      </c>
      <c r="B19604" t="s">
        <v>3331</v>
      </c>
    </row>
    <row r="19605" spans="1:8" x14ac:dyDescent="0.25">
      <c r="A19605" t="s">
        <v>45</v>
      </c>
      <c r="B19605" t="s">
        <v>3331</v>
      </c>
    </row>
    <row r="19606" spans="1:8" x14ac:dyDescent="0.25">
      <c r="A19606" t="s">
        <v>46</v>
      </c>
      <c r="B19606" t="s">
        <v>3331</v>
      </c>
    </row>
    <row r="19607" spans="1:8" x14ac:dyDescent="0.25">
      <c r="A19607" t="s">
        <v>324</v>
      </c>
      <c r="B19607" t="s">
        <v>3331</v>
      </c>
    </row>
    <row r="19608" spans="1:8" x14ac:dyDescent="0.25">
      <c r="A19608" t="str">
        <f xml:space="preserve"> $H$19600</f>
        <v>&lt;flags count_in_cargo="0" count_in_hoarder="0" count_in_map="1" count_in_player="0" crafted="0" deloot="0"/&gt;</v>
      </c>
      <c r="B19608" t="s">
        <v>3331</v>
      </c>
    </row>
    <row r="19609" spans="1:8" x14ac:dyDescent="0.25">
      <c r="A19609" t="str">
        <f>"&lt;category name=" &amp;"""" &amp;$C$19600&amp;"""/&gt;"</f>
        <v>&lt;category name="weapons"/&gt;</v>
      </c>
      <c r="B19609" t="s">
        <v>3331</v>
      </c>
    </row>
    <row r="19610" spans="1:8" x14ac:dyDescent="0.25">
      <c r="A19610" t="s">
        <v>29</v>
      </c>
      <c r="B19610" t="s">
        <v>3331</v>
      </c>
    </row>
    <row r="19611" spans="1:8" x14ac:dyDescent="0.25">
      <c r="A19611" t="s">
        <v>31</v>
      </c>
      <c r="B19611" t="s">
        <v>3331</v>
      </c>
    </row>
    <row r="19612" spans="1:8" x14ac:dyDescent="0.25">
      <c r="A19612" t="s">
        <v>22</v>
      </c>
      <c r="B19612" t="s">
        <v>3331</v>
      </c>
    </row>
    <row r="19613" spans="1:8" x14ac:dyDescent="0.25">
      <c r="A19613" t="s">
        <v>325</v>
      </c>
      <c r="B19613" t="s">
        <v>11</v>
      </c>
      <c r="C19613" t="s">
        <v>8</v>
      </c>
      <c r="D19613">
        <v>10</v>
      </c>
      <c r="E19613">
        <v>10800</v>
      </c>
      <c r="F19613">
        <v>1800</v>
      </c>
      <c r="G19613">
        <v>5</v>
      </c>
      <c r="H19613" t="s">
        <v>19</v>
      </c>
    </row>
    <row r="19614" spans="1:8" x14ac:dyDescent="0.25">
      <c r="A19614" t="str">
        <f>"&lt;nominal&gt;" &amp;$D$19613&amp;"&lt;/nominal&gt;"</f>
        <v>&lt;nominal&gt;10&lt;/nominal&gt;</v>
      </c>
      <c r="B19614" t="s">
        <v>11</v>
      </c>
    </row>
    <row r="19615" spans="1:8" x14ac:dyDescent="0.25">
      <c r="A19615" t="str">
        <f>"&lt;lifetime&gt;" &amp;$E$19613&amp;"&lt;/lifetime&gt;"</f>
        <v>&lt;lifetime&gt;10800&lt;/lifetime&gt;</v>
      </c>
      <c r="B19615" t="s">
        <v>11</v>
      </c>
    </row>
    <row r="19616" spans="1:8" x14ac:dyDescent="0.25">
      <c r="A19616" t="str">
        <f>"&lt;restock&gt;" &amp;$F$19613&amp;"&lt;/restock&gt;"</f>
        <v>&lt;restock&gt;1800&lt;/restock&gt;</v>
      </c>
      <c r="B19616" t="s">
        <v>11</v>
      </c>
    </row>
    <row r="19617" spans="1:8" x14ac:dyDescent="0.25">
      <c r="A19617" t="str">
        <f>"&lt;min&gt;" &amp;$G$19613&amp;"&lt;/min&gt;"</f>
        <v>&lt;min&gt;5&lt;/min&gt;</v>
      </c>
      <c r="B19617" t="s">
        <v>11</v>
      </c>
    </row>
    <row r="19618" spans="1:8" x14ac:dyDescent="0.25">
      <c r="A19618" t="s">
        <v>16</v>
      </c>
      <c r="B19618" t="s">
        <v>11</v>
      </c>
    </row>
    <row r="19619" spans="1:8" x14ac:dyDescent="0.25">
      <c r="A19619" t="s">
        <v>17</v>
      </c>
      <c r="B19619" t="s">
        <v>11</v>
      </c>
    </row>
    <row r="19620" spans="1:8" x14ac:dyDescent="0.25">
      <c r="A19620" t="s">
        <v>18</v>
      </c>
      <c r="B19620" t="s">
        <v>11</v>
      </c>
    </row>
    <row r="19621" spans="1:8" x14ac:dyDescent="0.25">
      <c r="A19621" t="str">
        <f xml:space="preserve"> $H$19613</f>
        <v>&lt;flags count_in_cargo="0" count_in_hoarder="0" count_in_map="1" count_in_player="0" crafted="0" deloot="0"/&gt;</v>
      </c>
      <c r="B19621" t="s">
        <v>11</v>
      </c>
    </row>
    <row r="19622" spans="1:8" x14ac:dyDescent="0.25">
      <c r="A19622" t="str">
        <f>"&lt;category name=" &amp;"""" &amp;$C$19613&amp;"""/&gt;"</f>
        <v>&lt;category name="weapons"/&gt;</v>
      </c>
      <c r="B19622" t="s">
        <v>11</v>
      </c>
    </row>
    <row r="19623" spans="1:8" x14ac:dyDescent="0.25">
      <c r="A19623" t="s">
        <v>29</v>
      </c>
      <c r="B19623" t="s">
        <v>11</v>
      </c>
    </row>
    <row r="19624" spans="1:8" x14ac:dyDescent="0.25">
      <c r="A19624" t="s">
        <v>31</v>
      </c>
      <c r="B19624" t="s">
        <v>11</v>
      </c>
    </row>
    <row r="19625" spans="1:8" x14ac:dyDescent="0.25">
      <c r="A19625" t="s">
        <v>22</v>
      </c>
      <c r="B19625" t="s">
        <v>11</v>
      </c>
    </row>
    <row r="19626" spans="1:8" x14ac:dyDescent="0.25">
      <c r="A19626" t="s">
        <v>326</v>
      </c>
      <c r="B19626" t="s">
        <v>1395</v>
      </c>
      <c r="C19626" t="s">
        <v>8</v>
      </c>
      <c r="D19626">
        <v>10</v>
      </c>
      <c r="E19626">
        <v>10800</v>
      </c>
      <c r="F19626">
        <v>1800</v>
      </c>
      <c r="G19626">
        <v>5</v>
      </c>
      <c r="H19626" t="s">
        <v>19</v>
      </c>
    </row>
    <row r="19627" spans="1:8" x14ac:dyDescent="0.25">
      <c r="A19627" t="str">
        <f>"&lt;nominal&gt;" &amp;$D$19626&amp;"&lt;/nominal&gt;"</f>
        <v>&lt;nominal&gt;10&lt;/nominal&gt;</v>
      </c>
      <c r="B19627" t="s">
        <v>1395</v>
      </c>
    </row>
    <row r="19628" spans="1:8" x14ac:dyDescent="0.25">
      <c r="A19628" t="str">
        <f>"&lt;lifetime&gt;" &amp;$E$19626&amp;"&lt;/lifetime&gt;"</f>
        <v>&lt;lifetime&gt;10800&lt;/lifetime&gt;</v>
      </c>
      <c r="B19628" t="s">
        <v>1395</v>
      </c>
    </row>
    <row r="19629" spans="1:8" x14ac:dyDescent="0.25">
      <c r="A19629" t="str">
        <f>"&lt;restock&gt;" &amp;$F$19626&amp;"&lt;/restock&gt;"</f>
        <v>&lt;restock&gt;1800&lt;/restock&gt;</v>
      </c>
      <c r="B19629" t="s">
        <v>1395</v>
      </c>
    </row>
    <row r="19630" spans="1:8" x14ac:dyDescent="0.25">
      <c r="A19630" t="str">
        <f>"&lt;min&gt;" &amp;$G$19626&amp;"&lt;/min&gt;"</f>
        <v>&lt;min&gt;5&lt;/min&gt;</v>
      </c>
      <c r="B19630" t="s">
        <v>1395</v>
      </c>
    </row>
    <row r="19631" spans="1:8" x14ac:dyDescent="0.25">
      <c r="A19631" t="s">
        <v>16</v>
      </c>
      <c r="B19631" t="s">
        <v>1395</v>
      </c>
    </row>
    <row r="19632" spans="1:8" x14ac:dyDescent="0.25">
      <c r="A19632" t="s">
        <v>17</v>
      </c>
      <c r="B19632" t="s">
        <v>1395</v>
      </c>
    </row>
    <row r="19633" spans="1:8" x14ac:dyDescent="0.25">
      <c r="A19633" t="s">
        <v>18</v>
      </c>
      <c r="B19633" t="s">
        <v>1395</v>
      </c>
    </row>
    <row r="19634" spans="1:8" x14ac:dyDescent="0.25">
      <c r="A19634" t="str">
        <f xml:space="preserve"> $H$19626</f>
        <v>&lt;flags count_in_cargo="0" count_in_hoarder="0" count_in_map="1" count_in_player="0" crafted="0" deloot="0"/&gt;</v>
      </c>
      <c r="B19634" t="s">
        <v>1395</v>
      </c>
    </row>
    <row r="19635" spans="1:8" x14ac:dyDescent="0.25">
      <c r="A19635" t="str">
        <f>"&lt;category name=" &amp;"""" &amp;$C$19626&amp;"""/&gt;"</f>
        <v>&lt;category name="weapons"/&gt;</v>
      </c>
      <c r="B19635" t="s">
        <v>1395</v>
      </c>
    </row>
    <row r="19636" spans="1:8" x14ac:dyDescent="0.25">
      <c r="A19636" t="s">
        <v>29</v>
      </c>
      <c r="B19636" t="s">
        <v>1395</v>
      </c>
    </row>
    <row r="19637" spans="1:8" x14ac:dyDescent="0.25">
      <c r="A19637" t="s">
        <v>31</v>
      </c>
      <c r="B19637" t="s">
        <v>1395</v>
      </c>
    </row>
    <row r="19638" spans="1:8" x14ac:dyDescent="0.25">
      <c r="A19638" t="s">
        <v>22</v>
      </c>
      <c r="B19638" t="s">
        <v>1395</v>
      </c>
    </row>
    <row r="19639" spans="1:8" x14ac:dyDescent="0.25">
      <c r="B19639" t="s">
        <v>1395</v>
      </c>
    </row>
    <row r="19640" spans="1:8" x14ac:dyDescent="0.25">
      <c r="A19640" t="s">
        <v>329</v>
      </c>
      <c r="B19640" t="s">
        <v>1396</v>
      </c>
      <c r="C19640" t="s">
        <v>8</v>
      </c>
      <c r="D19640">
        <v>5</v>
      </c>
      <c r="E19640">
        <v>10800</v>
      </c>
      <c r="F19640">
        <v>1800</v>
      </c>
      <c r="G19640">
        <v>2</v>
      </c>
      <c r="H19640" t="s">
        <v>19</v>
      </c>
    </row>
    <row r="19641" spans="1:8" x14ac:dyDescent="0.25">
      <c r="A19641" t="str">
        <f>"&lt;nominal&gt;" &amp;$D$19640&amp;"&lt;/nominal&gt;"</f>
        <v>&lt;nominal&gt;5&lt;/nominal&gt;</v>
      </c>
      <c r="B19641" t="s">
        <v>1396</v>
      </c>
    </row>
    <row r="19642" spans="1:8" x14ac:dyDescent="0.25">
      <c r="A19642" t="str">
        <f>"&lt;lifetime&gt;" &amp;$E$19640&amp;"&lt;/lifetime&gt;"</f>
        <v>&lt;lifetime&gt;10800&lt;/lifetime&gt;</v>
      </c>
      <c r="B19642" t="s">
        <v>1396</v>
      </c>
    </row>
    <row r="19643" spans="1:8" x14ac:dyDescent="0.25">
      <c r="A19643" t="str">
        <f>"&lt;restock&gt;" &amp;$F$19640&amp;"&lt;/restock&gt;"</f>
        <v>&lt;restock&gt;1800&lt;/restock&gt;</v>
      </c>
      <c r="B19643" t="s">
        <v>1396</v>
      </c>
    </row>
    <row r="19644" spans="1:8" x14ac:dyDescent="0.25">
      <c r="A19644" t="str">
        <f>"&lt;min&gt;" &amp;$G$19640&amp;"&lt;/min&gt;"</f>
        <v>&lt;min&gt;2&lt;/min&gt;</v>
      </c>
      <c r="B19644" t="s">
        <v>1396</v>
      </c>
    </row>
    <row r="19645" spans="1:8" x14ac:dyDescent="0.25">
      <c r="A19645" t="s">
        <v>16</v>
      </c>
      <c r="B19645" t="s">
        <v>1396</v>
      </c>
    </row>
    <row r="19646" spans="1:8" x14ac:dyDescent="0.25">
      <c r="A19646" t="s">
        <v>17</v>
      </c>
      <c r="B19646" t="s">
        <v>1396</v>
      </c>
    </row>
    <row r="19647" spans="1:8" x14ac:dyDescent="0.25">
      <c r="A19647" t="s">
        <v>18</v>
      </c>
      <c r="B19647" t="s">
        <v>1396</v>
      </c>
    </row>
    <row r="19648" spans="1:8" x14ac:dyDescent="0.25">
      <c r="A19648" t="str">
        <f xml:space="preserve"> $H$19640</f>
        <v>&lt;flags count_in_cargo="0" count_in_hoarder="0" count_in_map="1" count_in_player="0" crafted="0" deloot="0"/&gt;</v>
      </c>
      <c r="B19648" t="s">
        <v>1396</v>
      </c>
    </row>
    <row r="19649" spans="1:8" x14ac:dyDescent="0.25">
      <c r="A19649" t="str">
        <f>"&lt;category name=" &amp;"""" &amp;$C$19640&amp;"""/&gt;"</f>
        <v>&lt;category name="weapons"/&gt;</v>
      </c>
      <c r="B19649" t="s">
        <v>1396</v>
      </c>
    </row>
    <row r="19650" spans="1:8" x14ac:dyDescent="0.25">
      <c r="A19650" t="s">
        <v>56</v>
      </c>
      <c r="B19650" t="s">
        <v>1396</v>
      </c>
    </row>
    <row r="19651" spans="1:8" x14ac:dyDescent="0.25">
      <c r="A19651" t="s">
        <v>40</v>
      </c>
      <c r="B19651" t="s">
        <v>1396</v>
      </c>
    </row>
    <row r="19652" spans="1:8" x14ac:dyDescent="0.25">
      <c r="A19652" t="s">
        <v>22</v>
      </c>
      <c r="B19652" t="s">
        <v>1396</v>
      </c>
    </row>
    <row r="19653" spans="1:8" x14ac:dyDescent="0.25">
      <c r="A19653" t="s">
        <v>3310</v>
      </c>
      <c r="B19653" t="s">
        <v>3332</v>
      </c>
      <c r="C19653" t="s">
        <v>8</v>
      </c>
      <c r="D19653">
        <v>8</v>
      </c>
      <c r="E19653">
        <v>7200</v>
      </c>
      <c r="F19653">
        <v>0</v>
      </c>
      <c r="G19653">
        <v>4</v>
      </c>
      <c r="H19653" t="s">
        <v>19</v>
      </c>
    </row>
    <row r="19654" spans="1:8" x14ac:dyDescent="0.25">
      <c r="A19654" t="str">
        <f>"&lt;nominal&gt;" &amp;$D$19653&amp;"&lt;/nominal&gt;"</f>
        <v>&lt;nominal&gt;8&lt;/nominal&gt;</v>
      </c>
      <c r="B19654" t="s">
        <v>3332</v>
      </c>
    </row>
    <row r="19655" spans="1:8" x14ac:dyDescent="0.25">
      <c r="A19655" t="str">
        <f>"&lt;lifetime&gt;" &amp;$E$19653&amp;"&lt;/lifetime&gt;"</f>
        <v>&lt;lifetime&gt;7200&lt;/lifetime&gt;</v>
      </c>
      <c r="B19655" t="s">
        <v>3332</v>
      </c>
    </row>
    <row r="19656" spans="1:8" x14ac:dyDescent="0.25">
      <c r="A19656" t="str">
        <f>"&lt;restock&gt;" &amp;$F$19653&amp;"&lt;/restock&gt;"</f>
        <v>&lt;restock&gt;0&lt;/restock&gt;</v>
      </c>
      <c r="B19656" t="s">
        <v>3332</v>
      </c>
    </row>
    <row r="19657" spans="1:8" x14ac:dyDescent="0.25">
      <c r="A19657" t="str">
        <f>"&lt;min&gt;" &amp;$G$19653&amp;"&lt;/min&gt;"</f>
        <v>&lt;min&gt;4&lt;/min&gt;</v>
      </c>
      <c r="B19657" t="s">
        <v>3332</v>
      </c>
    </row>
    <row r="19658" spans="1:8" x14ac:dyDescent="0.25">
      <c r="A19658" t="s">
        <v>320</v>
      </c>
      <c r="B19658" t="s">
        <v>3332</v>
      </c>
    </row>
    <row r="19659" spans="1:8" x14ac:dyDescent="0.25">
      <c r="A19659" t="s">
        <v>321</v>
      </c>
      <c r="B19659" t="s">
        <v>3332</v>
      </c>
    </row>
    <row r="19660" spans="1:8" x14ac:dyDescent="0.25">
      <c r="A19660" t="s">
        <v>18</v>
      </c>
      <c r="B19660" t="s">
        <v>3332</v>
      </c>
    </row>
    <row r="19661" spans="1:8" x14ac:dyDescent="0.25">
      <c r="A19661" t="str">
        <f xml:space="preserve"> $H$19653</f>
        <v>&lt;flags count_in_cargo="0" count_in_hoarder="0" count_in_map="1" count_in_player="0" crafted="0" deloot="0"/&gt;</v>
      </c>
      <c r="B19661" t="s">
        <v>3332</v>
      </c>
    </row>
    <row r="19662" spans="1:8" x14ac:dyDescent="0.25">
      <c r="A19662" t="str">
        <f>"&lt;category name=" &amp;"""" &amp;$C$19653&amp;"""/&gt;"</f>
        <v>&lt;category name="weapons"/&gt;</v>
      </c>
      <c r="B19662" t="s">
        <v>3332</v>
      </c>
    </row>
    <row r="19663" spans="1:8" x14ac:dyDescent="0.25">
      <c r="A19663" t="s">
        <v>56</v>
      </c>
      <c r="B19663" t="s">
        <v>3332</v>
      </c>
    </row>
    <row r="19664" spans="1:8" x14ac:dyDescent="0.25">
      <c r="A19664" t="s">
        <v>40</v>
      </c>
      <c r="B19664" t="s">
        <v>3332</v>
      </c>
    </row>
    <row r="19665" spans="1:8" x14ac:dyDescent="0.25">
      <c r="A19665" t="s">
        <v>22</v>
      </c>
      <c r="B19665" t="s">
        <v>3332</v>
      </c>
    </row>
    <row r="19666" spans="1:8" x14ac:dyDescent="0.25">
      <c r="B19666" t="s">
        <v>3332</v>
      </c>
    </row>
    <row r="19667" spans="1:8" x14ac:dyDescent="0.25">
      <c r="B19667" t="s">
        <v>3332</v>
      </c>
    </row>
    <row r="19668" spans="1:8" x14ac:dyDescent="0.25">
      <c r="A19668" t="s">
        <v>330</v>
      </c>
      <c r="B19668" t="s">
        <v>1397</v>
      </c>
      <c r="C19668" t="s">
        <v>8</v>
      </c>
      <c r="D19668">
        <v>5</v>
      </c>
      <c r="E19668">
        <v>10800</v>
      </c>
      <c r="F19668">
        <v>1800</v>
      </c>
      <c r="G19668">
        <v>2</v>
      </c>
      <c r="H19668" t="s">
        <v>19</v>
      </c>
    </row>
    <row r="19669" spans="1:8" x14ac:dyDescent="0.25">
      <c r="A19669" t="str">
        <f>"&lt;nominal&gt;" &amp;$D$19668&amp;"&lt;/nominal&gt;"</f>
        <v>&lt;nominal&gt;5&lt;/nominal&gt;</v>
      </c>
      <c r="B19669" t="s">
        <v>1397</v>
      </c>
    </row>
    <row r="19670" spans="1:8" x14ac:dyDescent="0.25">
      <c r="A19670" t="str">
        <f>"&lt;lifetime&gt;" &amp;$E$19668&amp;"&lt;/lifetime&gt;"</f>
        <v>&lt;lifetime&gt;10800&lt;/lifetime&gt;</v>
      </c>
      <c r="B19670" t="s">
        <v>1397</v>
      </c>
    </row>
    <row r="19671" spans="1:8" x14ac:dyDescent="0.25">
      <c r="A19671" t="str">
        <f>"&lt;restock&gt;" &amp;$F$19668&amp;"&lt;/restock&gt;"</f>
        <v>&lt;restock&gt;1800&lt;/restock&gt;</v>
      </c>
      <c r="B19671" t="s">
        <v>1397</v>
      </c>
    </row>
    <row r="19672" spans="1:8" x14ac:dyDescent="0.25">
      <c r="A19672" t="str">
        <f>"&lt;min&gt;" &amp;$G$19668&amp;"&lt;/min&gt;"</f>
        <v>&lt;min&gt;2&lt;/min&gt;</v>
      </c>
      <c r="B19672" t="s">
        <v>1397</v>
      </c>
    </row>
    <row r="19673" spans="1:8" x14ac:dyDescent="0.25">
      <c r="A19673" t="s">
        <v>16</v>
      </c>
      <c r="B19673" t="s">
        <v>1397</v>
      </c>
    </row>
    <row r="19674" spans="1:8" x14ac:dyDescent="0.25">
      <c r="A19674" t="s">
        <v>17</v>
      </c>
      <c r="B19674" t="s">
        <v>1397</v>
      </c>
    </row>
    <row r="19675" spans="1:8" x14ac:dyDescent="0.25">
      <c r="A19675" t="s">
        <v>18</v>
      </c>
      <c r="B19675" t="s">
        <v>1397</v>
      </c>
    </row>
    <row r="19676" spans="1:8" x14ac:dyDescent="0.25">
      <c r="A19676" t="str">
        <f xml:space="preserve"> $H$19668</f>
        <v>&lt;flags count_in_cargo="0" count_in_hoarder="0" count_in_map="1" count_in_player="0" crafted="0" deloot="0"/&gt;</v>
      </c>
      <c r="B19676" t="s">
        <v>1397</v>
      </c>
    </row>
    <row r="19677" spans="1:8" x14ac:dyDescent="0.25">
      <c r="A19677" t="str">
        <f>"&lt;category name=" &amp;"""" &amp;$C$19668&amp;"""/&gt;"</f>
        <v>&lt;category name="weapons"/&gt;</v>
      </c>
      <c r="B19677" t="s">
        <v>1397</v>
      </c>
    </row>
    <row r="19678" spans="1:8" x14ac:dyDescent="0.25">
      <c r="A19678" t="s">
        <v>56</v>
      </c>
      <c r="B19678" t="s">
        <v>1397</v>
      </c>
    </row>
    <row r="19679" spans="1:8" x14ac:dyDescent="0.25">
      <c r="A19679" t="s">
        <v>40</v>
      </c>
      <c r="B19679" t="s">
        <v>1397</v>
      </c>
    </row>
    <row r="19680" spans="1:8" x14ac:dyDescent="0.25">
      <c r="A19680" t="s">
        <v>22</v>
      </c>
      <c r="B19680" t="s">
        <v>1397</v>
      </c>
    </row>
    <row r="19681" spans="1:8" x14ac:dyDescent="0.25">
      <c r="B19681" t="s">
        <v>1397</v>
      </c>
    </row>
    <row r="19682" spans="1:8" x14ac:dyDescent="0.25">
      <c r="A19682" t="s">
        <v>2778</v>
      </c>
      <c r="B19682" t="s">
        <v>2816</v>
      </c>
      <c r="C19682" t="s">
        <v>8</v>
      </c>
      <c r="D19682">
        <v>5</v>
      </c>
      <c r="E19682">
        <v>10800</v>
      </c>
      <c r="F19682">
        <v>1800</v>
      </c>
      <c r="G19682">
        <v>2</v>
      </c>
      <c r="H19682" t="s">
        <v>19</v>
      </c>
    </row>
    <row r="19683" spans="1:8" x14ac:dyDescent="0.25">
      <c r="A19683" t="str">
        <f>"&lt;nominal&gt;" &amp;$D$19682&amp;"&lt;/nominal&gt;"</f>
        <v>&lt;nominal&gt;5&lt;/nominal&gt;</v>
      </c>
      <c r="B19683" t="s">
        <v>2816</v>
      </c>
    </row>
    <row r="19684" spans="1:8" x14ac:dyDescent="0.25">
      <c r="A19684" t="str">
        <f>"&lt;lifetime&gt;" &amp;$E$19682&amp;"&lt;/lifetime&gt;"</f>
        <v>&lt;lifetime&gt;10800&lt;/lifetime&gt;</v>
      </c>
      <c r="B19684" t="s">
        <v>2816</v>
      </c>
    </row>
    <row r="19685" spans="1:8" x14ac:dyDescent="0.25">
      <c r="A19685" t="str">
        <f>"&lt;restock&gt;" &amp;$F$19682&amp;"&lt;/restock&gt;"</f>
        <v>&lt;restock&gt;1800&lt;/restock&gt;</v>
      </c>
      <c r="B19685" t="s">
        <v>2816</v>
      </c>
    </row>
    <row r="19686" spans="1:8" x14ac:dyDescent="0.25">
      <c r="A19686" t="str">
        <f>"&lt;min&gt;" &amp;$G$19682&amp;"&lt;/min&gt;"</f>
        <v>&lt;min&gt;2&lt;/min&gt;</v>
      </c>
      <c r="B19686" t="s">
        <v>2816</v>
      </c>
    </row>
    <row r="19687" spans="1:8" x14ac:dyDescent="0.25">
      <c r="A19687" t="s">
        <v>16</v>
      </c>
      <c r="B19687" t="s">
        <v>2816</v>
      </c>
    </row>
    <row r="19688" spans="1:8" x14ac:dyDescent="0.25">
      <c r="A19688" t="s">
        <v>17</v>
      </c>
      <c r="B19688" t="s">
        <v>2816</v>
      </c>
    </row>
    <row r="19689" spans="1:8" x14ac:dyDescent="0.25">
      <c r="A19689" t="s">
        <v>18</v>
      </c>
      <c r="B19689" t="s">
        <v>2816</v>
      </c>
    </row>
    <row r="19690" spans="1:8" x14ac:dyDescent="0.25">
      <c r="A19690" t="str">
        <f xml:space="preserve"> $H$19682</f>
        <v>&lt;flags count_in_cargo="0" count_in_hoarder="0" count_in_map="1" count_in_player="0" crafted="0" deloot="0"/&gt;</v>
      </c>
      <c r="B19690" t="s">
        <v>2816</v>
      </c>
    </row>
    <row r="19691" spans="1:8" x14ac:dyDescent="0.25">
      <c r="A19691" t="str">
        <f>"&lt;category name=" &amp;"""" &amp;$C$19682&amp;"""/&gt;"</f>
        <v>&lt;category name="weapons"/&gt;</v>
      </c>
      <c r="B19691" t="s">
        <v>2816</v>
      </c>
    </row>
    <row r="19692" spans="1:8" x14ac:dyDescent="0.25">
      <c r="A19692" t="s">
        <v>56</v>
      </c>
      <c r="B19692" t="s">
        <v>2816</v>
      </c>
    </row>
    <row r="19693" spans="1:8" x14ac:dyDescent="0.25">
      <c r="A19693" t="s">
        <v>40</v>
      </c>
      <c r="B19693" t="s">
        <v>2816</v>
      </c>
    </row>
    <row r="19694" spans="1:8" x14ac:dyDescent="0.25">
      <c r="A19694" t="s">
        <v>22</v>
      </c>
      <c r="B19694" t="s">
        <v>2816</v>
      </c>
    </row>
    <row r="19695" spans="1:8" x14ac:dyDescent="0.25">
      <c r="B19695" t="s">
        <v>2816</v>
      </c>
    </row>
    <row r="19696" spans="1:8" x14ac:dyDescent="0.25">
      <c r="A19696" t="s">
        <v>3311</v>
      </c>
      <c r="B19696" t="s">
        <v>3333</v>
      </c>
      <c r="C19696" t="s">
        <v>8</v>
      </c>
      <c r="D19696">
        <v>8</v>
      </c>
      <c r="E19696">
        <v>7200</v>
      </c>
      <c r="F19696">
        <v>0</v>
      </c>
      <c r="G19696">
        <v>4</v>
      </c>
      <c r="H19696" t="s">
        <v>19</v>
      </c>
    </row>
    <row r="19697" spans="1:8" x14ac:dyDescent="0.25">
      <c r="A19697" t="str">
        <f>"&lt;nominal&gt;" &amp;$D$19696&amp;"&lt;/nominal&gt;"</f>
        <v>&lt;nominal&gt;8&lt;/nominal&gt;</v>
      </c>
      <c r="B19697" t="s">
        <v>3333</v>
      </c>
    </row>
    <row r="19698" spans="1:8" x14ac:dyDescent="0.25">
      <c r="A19698" t="str">
        <f>"&lt;lifetime&gt;" &amp;$E$19696&amp;"&lt;/lifetime&gt;"</f>
        <v>&lt;lifetime&gt;7200&lt;/lifetime&gt;</v>
      </c>
      <c r="B19698" t="s">
        <v>3333</v>
      </c>
    </row>
    <row r="19699" spans="1:8" x14ac:dyDescent="0.25">
      <c r="A19699" t="str">
        <f>"&lt;restock&gt;" &amp;$F$19696&amp;"&lt;/restock&gt;"</f>
        <v>&lt;restock&gt;0&lt;/restock&gt;</v>
      </c>
      <c r="B19699" t="s">
        <v>3333</v>
      </c>
    </row>
    <row r="19700" spans="1:8" x14ac:dyDescent="0.25">
      <c r="A19700" t="str">
        <f>"&lt;min&gt;" &amp;$G$19696&amp;"&lt;/min&gt;"</f>
        <v>&lt;min&gt;4&lt;/min&gt;</v>
      </c>
      <c r="B19700" t="s">
        <v>3333</v>
      </c>
    </row>
    <row r="19701" spans="1:8" x14ac:dyDescent="0.25">
      <c r="A19701" t="s">
        <v>320</v>
      </c>
      <c r="B19701" t="s">
        <v>3333</v>
      </c>
    </row>
    <row r="19702" spans="1:8" x14ac:dyDescent="0.25">
      <c r="A19702" t="s">
        <v>321</v>
      </c>
      <c r="B19702" t="s">
        <v>3333</v>
      </c>
    </row>
    <row r="19703" spans="1:8" x14ac:dyDescent="0.25">
      <c r="A19703" t="s">
        <v>18</v>
      </c>
      <c r="B19703" t="s">
        <v>3333</v>
      </c>
    </row>
    <row r="19704" spans="1:8" x14ac:dyDescent="0.25">
      <c r="A19704" t="str">
        <f xml:space="preserve"> $H$19696</f>
        <v>&lt;flags count_in_cargo="0" count_in_hoarder="0" count_in_map="1" count_in_player="0" crafted="0" deloot="0"/&gt;</v>
      </c>
      <c r="B19704" t="s">
        <v>3333</v>
      </c>
    </row>
    <row r="19705" spans="1:8" x14ac:dyDescent="0.25">
      <c r="A19705" t="str">
        <f>"&lt;category name=" &amp;"""" &amp;$C$19696&amp;"""/&gt;"</f>
        <v>&lt;category name="weapons"/&gt;</v>
      </c>
      <c r="B19705" t="s">
        <v>3333</v>
      </c>
    </row>
    <row r="19706" spans="1:8" x14ac:dyDescent="0.25">
      <c r="A19706" t="s">
        <v>56</v>
      </c>
      <c r="B19706" t="s">
        <v>3333</v>
      </c>
    </row>
    <row r="19707" spans="1:8" x14ac:dyDescent="0.25">
      <c r="A19707" t="s">
        <v>40</v>
      </c>
      <c r="B19707" t="s">
        <v>3333</v>
      </c>
    </row>
    <row r="19708" spans="1:8" x14ac:dyDescent="0.25">
      <c r="A19708" t="s">
        <v>22</v>
      </c>
      <c r="B19708" t="s">
        <v>3333</v>
      </c>
    </row>
    <row r="19709" spans="1:8" x14ac:dyDescent="0.25">
      <c r="B19709" t="s">
        <v>3333</v>
      </c>
    </row>
    <row r="19710" spans="1:8" x14ac:dyDescent="0.25">
      <c r="A19710" t="s">
        <v>331</v>
      </c>
      <c r="B19710" t="s">
        <v>1398</v>
      </c>
      <c r="C19710" t="s">
        <v>8</v>
      </c>
      <c r="D19710">
        <v>5</v>
      </c>
      <c r="E19710">
        <v>7200</v>
      </c>
      <c r="F19710">
        <v>14400</v>
      </c>
      <c r="G19710">
        <v>2</v>
      </c>
      <c r="H19710" t="s">
        <v>28</v>
      </c>
    </row>
    <row r="19711" spans="1:8" x14ac:dyDescent="0.25">
      <c r="A19711" t="str">
        <f>"&lt;nominal&gt;" &amp;$D$19710&amp;"&lt;/nominal&gt;"</f>
        <v>&lt;nominal&gt;5&lt;/nominal&gt;</v>
      </c>
      <c r="B19711" t="s">
        <v>1398</v>
      </c>
    </row>
    <row r="19712" spans="1:8" x14ac:dyDescent="0.25">
      <c r="A19712" t="str">
        <f>"&lt;lifetime&gt;" &amp;$E$19710&amp;"&lt;/lifetime&gt;"</f>
        <v>&lt;lifetime&gt;7200&lt;/lifetime&gt;</v>
      </c>
      <c r="B19712" t="s">
        <v>1398</v>
      </c>
    </row>
    <row r="19713" spans="1:8" x14ac:dyDescent="0.25">
      <c r="A19713" t="str">
        <f>"&lt;restock&gt;" &amp;$F$19710&amp;"&lt;/restock&gt;"</f>
        <v>&lt;restock&gt;14400&lt;/restock&gt;</v>
      </c>
      <c r="B19713" t="s">
        <v>1398</v>
      </c>
    </row>
    <row r="19714" spans="1:8" x14ac:dyDescent="0.25">
      <c r="A19714" t="str">
        <f>"&lt;min&gt;" &amp;$G$19710&amp;"&lt;/min&gt;"</f>
        <v>&lt;min&gt;2&lt;/min&gt;</v>
      </c>
      <c r="B19714" t="s">
        <v>1398</v>
      </c>
    </row>
    <row r="19715" spans="1:8" x14ac:dyDescent="0.25">
      <c r="A19715" t="s">
        <v>16</v>
      </c>
      <c r="B19715" t="s">
        <v>1398</v>
      </c>
    </row>
    <row r="19716" spans="1:8" x14ac:dyDescent="0.25">
      <c r="A19716" t="s">
        <v>17</v>
      </c>
      <c r="B19716" t="s">
        <v>1398</v>
      </c>
    </row>
    <row r="19717" spans="1:8" x14ac:dyDescent="0.25">
      <c r="A19717" t="s">
        <v>18</v>
      </c>
      <c r="B19717" t="s">
        <v>1398</v>
      </c>
    </row>
    <row r="19718" spans="1:8" x14ac:dyDescent="0.25">
      <c r="A19718" t="str">
        <f xml:space="preserve"> $H$19710</f>
        <v>&lt;flags count_in_cargo="1" count_in_hoarder="1" count_in_map="1" count_in_player="1" crafted="0" deloot="1"/&gt;</v>
      </c>
      <c r="B19718" t="s">
        <v>1398</v>
      </c>
    </row>
    <row r="19719" spans="1:8" x14ac:dyDescent="0.25">
      <c r="A19719" t="str">
        <f>"&lt;category name=" &amp;"""" &amp;$C$19710&amp;"""/&gt;"</f>
        <v>&lt;category name="weapons"/&gt;</v>
      </c>
      <c r="B19719" t="s">
        <v>1398</v>
      </c>
    </row>
    <row r="19720" spans="1:8" x14ac:dyDescent="0.25">
      <c r="A19720" t="s">
        <v>29</v>
      </c>
      <c r="B19720" t="s">
        <v>1398</v>
      </c>
    </row>
    <row r="19721" spans="1:8" x14ac:dyDescent="0.25">
      <c r="A19721" t="s">
        <v>307</v>
      </c>
      <c r="B19721" t="s">
        <v>1398</v>
      </c>
    </row>
    <row r="19722" spans="1:8" x14ac:dyDescent="0.25">
      <c r="A19722" t="s">
        <v>22</v>
      </c>
      <c r="B19722" t="s">
        <v>1398</v>
      </c>
    </row>
    <row r="19723" spans="1:8" x14ac:dyDescent="0.25">
      <c r="A19723" t="s">
        <v>3312</v>
      </c>
      <c r="B19723" t="s">
        <v>3334</v>
      </c>
      <c r="C19723" t="s">
        <v>8</v>
      </c>
      <c r="D19723">
        <v>10</v>
      </c>
      <c r="E19723">
        <v>10800</v>
      </c>
      <c r="F19723">
        <v>1800</v>
      </c>
      <c r="G19723">
        <v>5</v>
      </c>
      <c r="H19723" t="s">
        <v>19</v>
      </c>
    </row>
    <row r="19724" spans="1:8" x14ac:dyDescent="0.25">
      <c r="A19724" t="str">
        <f>"&lt;nominal&gt;" &amp;$D$19723&amp;"&lt;/nominal&gt;"</f>
        <v>&lt;nominal&gt;10&lt;/nominal&gt;</v>
      </c>
      <c r="B19724" t="s">
        <v>3334</v>
      </c>
    </row>
    <row r="19725" spans="1:8" x14ac:dyDescent="0.25">
      <c r="A19725" t="str">
        <f>"&lt;lifetime&gt;" &amp;$E$19723&amp;"&lt;/lifetime&gt;"</f>
        <v>&lt;lifetime&gt;10800&lt;/lifetime&gt;</v>
      </c>
      <c r="B19725" t="s">
        <v>3334</v>
      </c>
    </row>
    <row r="19726" spans="1:8" x14ac:dyDescent="0.25">
      <c r="A19726" t="str">
        <f>"&lt;restock&gt;" &amp;$F$19723&amp;"&lt;/restock&gt;"</f>
        <v>&lt;restock&gt;1800&lt;/restock&gt;</v>
      </c>
      <c r="B19726" t="s">
        <v>3334</v>
      </c>
    </row>
    <row r="19727" spans="1:8" x14ac:dyDescent="0.25">
      <c r="A19727" t="str">
        <f>"&lt;min&gt;" &amp;$G$19723&amp;"&lt;/min&gt;"</f>
        <v>&lt;min&gt;5&lt;/min&gt;</v>
      </c>
      <c r="B19727" t="s">
        <v>3334</v>
      </c>
    </row>
    <row r="19728" spans="1:8" x14ac:dyDescent="0.25">
      <c r="A19728" t="s">
        <v>45</v>
      </c>
      <c r="B19728" t="s">
        <v>3334</v>
      </c>
    </row>
    <row r="19729" spans="1:8" x14ac:dyDescent="0.25">
      <c r="A19729" t="s">
        <v>46</v>
      </c>
      <c r="B19729" t="s">
        <v>3334</v>
      </c>
    </row>
    <row r="19730" spans="1:8" x14ac:dyDescent="0.25">
      <c r="A19730" t="s">
        <v>324</v>
      </c>
      <c r="B19730" t="s">
        <v>3334</v>
      </c>
    </row>
    <row r="19731" spans="1:8" x14ac:dyDescent="0.25">
      <c r="A19731" t="str">
        <f xml:space="preserve"> $H$19723</f>
        <v>&lt;flags count_in_cargo="0" count_in_hoarder="0" count_in_map="1" count_in_player="0" crafted="0" deloot="0"/&gt;</v>
      </c>
      <c r="B19731" t="s">
        <v>3334</v>
      </c>
    </row>
    <row r="19732" spans="1:8" x14ac:dyDescent="0.25">
      <c r="A19732" t="str">
        <f>"&lt;category name=" &amp;"""" &amp;$C$19723&amp;"""/&gt;"</f>
        <v>&lt;category name="weapons"/&gt;</v>
      </c>
      <c r="B19732" t="s">
        <v>3334</v>
      </c>
    </row>
    <row r="19733" spans="1:8" x14ac:dyDescent="0.25">
      <c r="A19733" t="s">
        <v>29</v>
      </c>
      <c r="B19733" t="s">
        <v>3334</v>
      </c>
    </row>
    <row r="19734" spans="1:8" x14ac:dyDescent="0.25">
      <c r="A19734" t="s">
        <v>307</v>
      </c>
      <c r="B19734" t="s">
        <v>3334</v>
      </c>
    </row>
    <row r="19735" spans="1:8" x14ac:dyDescent="0.25">
      <c r="A19735" t="s">
        <v>22</v>
      </c>
      <c r="B19735" t="s">
        <v>3334</v>
      </c>
    </row>
    <row r="19736" spans="1:8" x14ac:dyDescent="0.25">
      <c r="A19736" t="s">
        <v>332</v>
      </c>
      <c r="B19736" t="s">
        <v>1399</v>
      </c>
      <c r="C19736" t="s">
        <v>8</v>
      </c>
      <c r="D19736">
        <v>3</v>
      </c>
      <c r="E19736">
        <v>7200</v>
      </c>
      <c r="F19736">
        <v>14400</v>
      </c>
      <c r="G19736">
        <v>1</v>
      </c>
      <c r="H19736" t="s">
        <v>28</v>
      </c>
    </row>
    <row r="19737" spans="1:8" x14ac:dyDescent="0.25">
      <c r="A19737" t="str">
        <f>"&lt;nominal&gt;" &amp;$D$19736&amp;"&lt;/nominal&gt;"</f>
        <v>&lt;nominal&gt;3&lt;/nominal&gt;</v>
      </c>
      <c r="B19737" t="s">
        <v>1399</v>
      </c>
    </row>
    <row r="19738" spans="1:8" x14ac:dyDescent="0.25">
      <c r="A19738" t="str">
        <f>"&lt;lifetime&gt;" &amp;$E$19736&amp;"&lt;/lifetime&gt;"</f>
        <v>&lt;lifetime&gt;7200&lt;/lifetime&gt;</v>
      </c>
      <c r="B19738" t="s">
        <v>1399</v>
      </c>
    </row>
    <row r="19739" spans="1:8" x14ac:dyDescent="0.25">
      <c r="A19739" t="str">
        <f>"&lt;restock&gt;" &amp;$F$19736&amp;"&lt;/restock&gt;"</f>
        <v>&lt;restock&gt;14400&lt;/restock&gt;</v>
      </c>
      <c r="B19739" t="s">
        <v>1399</v>
      </c>
    </row>
    <row r="19740" spans="1:8" x14ac:dyDescent="0.25">
      <c r="A19740" t="str">
        <f>"&lt;min&gt;" &amp;$G$19736&amp;"&lt;/min&gt;"</f>
        <v>&lt;min&gt;1&lt;/min&gt;</v>
      </c>
      <c r="B19740" t="s">
        <v>1399</v>
      </c>
    </row>
    <row r="19741" spans="1:8" x14ac:dyDescent="0.25">
      <c r="A19741" t="s">
        <v>16</v>
      </c>
      <c r="B19741" t="s">
        <v>1399</v>
      </c>
    </row>
    <row r="19742" spans="1:8" x14ac:dyDescent="0.25">
      <c r="A19742" t="s">
        <v>17</v>
      </c>
      <c r="B19742" t="s">
        <v>1399</v>
      </c>
    </row>
    <row r="19743" spans="1:8" x14ac:dyDescent="0.25">
      <c r="A19743" t="s">
        <v>18</v>
      </c>
      <c r="B19743" t="s">
        <v>1399</v>
      </c>
    </row>
    <row r="19744" spans="1:8" x14ac:dyDescent="0.25">
      <c r="A19744" t="str">
        <f xml:space="preserve"> $H$19736</f>
        <v>&lt;flags count_in_cargo="1" count_in_hoarder="1" count_in_map="1" count_in_player="1" crafted="0" deloot="1"/&gt;</v>
      </c>
      <c r="B19744" t="s">
        <v>1399</v>
      </c>
    </row>
    <row r="19745" spans="1:8" x14ac:dyDescent="0.25">
      <c r="A19745" t="str">
        <f>"&lt;category name=" &amp;"""" &amp;$C$19736&amp;"""/&gt;"</f>
        <v>&lt;category name="weapons"/&gt;</v>
      </c>
      <c r="B19745" t="s">
        <v>1399</v>
      </c>
    </row>
    <row r="19746" spans="1:8" x14ac:dyDescent="0.25">
      <c r="A19746" t="s">
        <v>29</v>
      </c>
      <c r="B19746" t="s">
        <v>1399</v>
      </c>
    </row>
    <row r="19747" spans="1:8" x14ac:dyDescent="0.25">
      <c r="A19747" t="s">
        <v>307</v>
      </c>
      <c r="B19747" t="s">
        <v>1399</v>
      </c>
    </row>
    <row r="19748" spans="1:8" x14ac:dyDescent="0.25">
      <c r="A19748" t="s">
        <v>22</v>
      </c>
      <c r="B19748" t="s">
        <v>1399</v>
      </c>
    </row>
    <row r="19749" spans="1:8" x14ac:dyDescent="0.25">
      <c r="A19749" t="s">
        <v>3313</v>
      </c>
      <c r="B19749" t="s">
        <v>3335</v>
      </c>
      <c r="C19749" t="s">
        <v>8</v>
      </c>
      <c r="D19749">
        <v>5</v>
      </c>
      <c r="E19749">
        <v>10800</v>
      </c>
      <c r="F19749">
        <v>1800</v>
      </c>
      <c r="G19749">
        <v>2</v>
      </c>
      <c r="H19749" t="s">
        <v>28</v>
      </c>
    </row>
    <row r="19750" spans="1:8" x14ac:dyDescent="0.25">
      <c r="A19750" t="str">
        <f>"&lt;nominal&gt;" &amp;$D$19749&amp;"&lt;/nominal&gt;"</f>
        <v>&lt;nominal&gt;5&lt;/nominal&gt;</v>
      </c>
      <c r="B19750" t="s">
        <v>3335</v>
      </c>
    </row>
    <row r="19751" spans="1:8" x14ac:dyDescent="0.25">
      <c r="A19751" t="str">
        <f>"&lt;lifetime&gt;" &amp;$E$19749&amp;"&lt;/lifetime&gt;"</f>
        <v>&lt;lifetime&gt;10800&lt;/lifetime&gt;</v>
      </c>
      <c r="B19751" t="s">
        <v>3335</v>
      </c>
    </row>
    <row r="19752" spans="1:8" x14ac:dyDescent="0.25">
      <c r="A19752" t="str">
        <f>"&lt;restock&gt;" &amp;$F$19749&amp;"&lt;/restock&gt;"</f>
        <v>&lt;restock&gt;1800&lt;/restock&gt;</v>
      </c>
      <c r="B19752" t="s">
        <v>3335</v>
      </c>
    </row>
    <row r="19753" spans="1:8" x14ac:dyDescent="0.25">
      <c r="A19753" t="str">
        <f>"&lt;min&gt;" &amp;$G$19749&amp;"&lt;/min&gt;"</f>
        <v>&lt;min&gt;2&lt;/min&gt;</v>
      </c>
      <c r="B19753" t="s">
        <v>3335</v>
      </c>
    </row>
    <row r="19754" spans="1:8" x14ac:dyDescent="0.25">
      <c r="A19754" t="s">
        <v>45</v>
      </c>
      <c r="B19754" t="s">
        <v>3335</v>
      </c>
    </row>
    <row r="19755" spans="1:8" x14ac:dyDescent="0.25">
      <c r="A19755" t="s">
        <v>46</v>
      </c>
      <c r="B19755" t="s">
        <v>3335</v>
      </c>
    </row>
    <row r="19756" spans="1:8" x14ac:dyDescent="0.25">
      <c r="A19756" t="s">
        <v>324</v>
      </c>
      <c r="B19756" t="s">
        <v>3335</v>
      </c>
    </row>
    <row r="19757" spans="1:8" x14ac:dyDescent="0.25">
      <c r="A19757" t="str">
        <f xml:space="preserve"> $H$19749</f>
        <v>&lt;flags count_in_cargo="1" count_in_hoarder="1" count_in_map="1" count_in_player="1" crafted="0" deloot="1"/&gt;</v>
      </c>
      <c r="B19757" t="s">
        <v>3335</v>
      </c>
    </row>
    <row r="19758" spans="1:8" x14ac:dyDescent="0.25">
      <c r="A19758" t="str">
        <f>"&lt;category name=" &amp;"""" &amp;$C$19749&amp;"""/&gt;"</f>
        <v>&lt;category name="weapons"/&gt;</v>
      </c>
      <c r="B19758" t="s">
        <v>3335</v>
      </c>
    </row>
    <row r="19759" spans="1:8" x14ac:dyDescent="0.25">
      <c r="A19759" t="s">
        <v>29</v>
      </c>
      <c r="B19759" t="s">
        <v>3335</v>
      </c>
    </row>
    <row r="19760" spans="1:8" x14ac:dyDescent="0.25">
      <c r="A19760" t="s">
        <v>307</v>
      </c>
      <c r="B19760" t="s">
        <v>3335</v>
      </c>
    </row>
    <row r="19761" spans="1:8" x14ac:dyDescent="0.25">
      <c r="A19761" t="s">
        <v>22</v>
      </c>
      <c r="B19761" t="s">
        <v>3335</v>
      </c>
    </row>
    <row r="19762" spans="1:8" x14ac:dyDescent="0.25">
      <c r="A19762" t="s">
        <v>333</v>
      </c>
      <c r="B19762" t="s">
        <v>12</v>
      </c>
      <c r="C19762" t="s">
        <v>8</v>
      </c>
      <c r="D19762">
        <v>3</v>
      </c>
      <c r="E19762">
        <v>7200</v>
      </c>
      <c r="F19762">
        <v>14400</v>
      </c>
      <c r="G19762">
        <v>1</v>
      </c>
      <c r="H19762" t="s">
        <v>28</v>
      </c>
    </row>
    <row r="19763" spans="1:8" x14ac:dyDescent="0.25">
      <c r="A19763" t="str">
        <f>"&lt;nominal&gt;" &amp;$D$19762&amp;"&lt;/nominal&gt;"</f>
        <v>&lt;nominal&gt;3&lt;/nominal&gt;</v>
      </c>
      <c r="B19763" t="s">
        <v>12</v>
      </c>
    </row>
    <row r="19764" spans="1:8" x14ac:dyDescent="0.25">
      <c r="A19764" t="str">
        <f>"&lt;lifetime&gt;" &amp;$E$19762&amp;"&lt;/lifetime&gt;"</f>
        <v>&lt;lifetime&gt;7200&lt;/lifetime&gt;</v>
      </c>
      <c r="B19764" t="s">
        <v>12</v>
      </c>
    </row>
    <row r="19765" spans="1:8" x14ac:dyDescent="0.25">
      <c r="A19765" t="str">
        <f>"&lt;restock&gt;" &amp;$F$19762&amp;"&lt;/restock&gt;"</f>
        <v>&lt;restock&gt;14400&lt;/restock&gt;</v>
      </c>
      <c r="B19765" t="s">
        <v>12</v>
      </c>
    </row>
    <row r="19766" spans="1:8" x14ac:dyDescent="0.25">
      <c r="A19766" t="str">
        <f>"&lt;min&gt;" &amp;$G$19762&amp;"&lt;/min&gt;"</f>
        <v>&lt;min&gt;1&lt;/min&gt;</v>
      </c>
      <c r="B19766" t="s">
        <v>12</v>
      </c>
    </row>
    <row r="19767" spans="1:8" x14ac:dyDescent="0.25">
      <c r="A19767" t="s">
        <v>16</v>
      </c>
      <c r="B19767" t="s">
        <v>12</v>
      </c>
    </row>
    <row r="19768" spans="1:8" x14ac:dyDescent="0.25">
      <c r="A19768" t="s">
        <v>17</v>
      </c>
      <c r="B19768" t="s">
        <v>12</v>
      </c>
    </row>
    <row r="19769" spans="1:8" x14ac:dyDescent="0.25">
      <c r="A19769" t="s">
        <v>18</v>
      </c>
      <c r="B19769" t="s">
        <v>12</v>
      </c>
    </row>
    <row r="19770" spans="1:8" x14ac:dyDescent="0.25">
      <c r="A19770" t="str">
        <f xml:space="preserve"> $H$19762</f>
        <v>&lt;flags count_in_cargo="1" count_in_hoarder="1" count_in_map="1" count_in_player="1" crafted="0" deloot="1"/&gt;</v>
      </c>
      <c r="B19770" t="s">
        <v>12</v>
      </c>
    </row>
    <row r="19771" spans="1:8" x14ac:dyDescent="0.25">
      <c r="A19771" t="str">
        <f>"&lt;category name=" &amp;"""" &amp;$C$19762&amp;"""/&gt;"</f>
        <v>&lt;category name="weapons"/&gt;</v>
      </c>
      <c r="B19771" t="s">
        <v>12</v>
      </c>
    </row>
    <row r="19772" spans="1:8" x14ac:dyDescent="0.25">
      <c r="A19772" t="s">
        <v>29</v>
      </c>
      <c r="B19772" t="s">
        <v>12</v>
      </c>
    </row>
    <row r="19773" spans="1:8" x14ac:dyDescent="0.25">
      <c r="A19773" t="s">
        <v>307</v>
      </c>
      <c r="B19773" t="s">
        <v>12</v>
      </c>
    </row>
    <row r="19774" spans="1:8" x14ac:dyDescent="0.25">
      <c r="A19774" t="s">
        <v>22</v>
      </c>
      <c r="B19774" t="s">
        <v>12</v>
      </c>
    </row>
    <row r="19775" spans="1:8" x14ac:dyDescent="0.25">
      <c r="B19775" t="s">
        <v>12</v>
      </c>
    </row>
    <row r="19776" spans="1:8" x14ac:dyDescent="0.25">
      <c r="A19776" t="s">
        <v>2779</v>
      </c>
      <c r="B19776" t="s">
        <v>2817</v>
      </c>
      <c r="C19776" t="s">
        <v>8</v>
      </c>
      <c r="D19776">
        <v>3</v>
      </c>
      <c r="E19776">
        <v>7200</v>
      </c>
      <c r="F19776">
        <v>14400</v>
      </c>
      <c r="G19776">
        <v>1</v>
      </c>
      <c r="H19776" t="s">
        <v>28</v>
      </c>
    </row>
    <row r="19777" spans="1:8" x14ac:dyDescent="0.25">
      <c r="A19777" t="str">
        <f>"&lt;nominal&gt;" &amp;$D$19776&amp;"&lt;/nominal&gt;"</f>
        <v>&lt;nominal&gt;3&lt;/nominal&gt;</v>
      </c>
      <c r="B19777" t="s">
        <v>2817</v>
      </c>
    </row>
    <row r="19778" spans="1:8" x14ac:dyDescent="0.25">
      <c r="A19778" t="str">
        <f>"&lt;lifetime&gt;" &amp;$E$19776&amp;"&lt;/lifetime&gt;"</f>
        <v>&lt;lifetime&gt;7200&lt;/lifetime&gt;</v>
      </c>
      <c r="B19778" t="s">
        <v>2817</v>
      </c>
    </row>
    <row r="19779" spans="1:8" x14ac:dyDescent="0.25">
      <c r="A19779" t="str">
        <f>"&lt;restock&gt;" &amp;$F$19776&amp;"&lt;/restock&gt;"</f>
        <v>&lt;restock&gt;14400&lt;/restock&gt;</v>
      </c>
      <c r="B19779" t="s">
        <v>2817</v>
      </c>
    </row>
    <row r="19780" spans="1:8" x14ac:dyDescent="0.25">
      <c r="A19780" t="str">
        <f>"&lt;min&gt;" &amp;$G$19776&amp;"&lt;/min&gt;"</f>
        <v>&lt;min&gt;1&lt;/min&gt;</v>
      </c>
      <c r="B19780" t="s">
        <v>2817</v>
      </c>
    </row>
    <row r="19781" spans="1:8" x14ac:dyDescent="0.25">
      <c r="A19781" t="s">
        <v>16</v>
      </c>
      <c r="B19781" t="s">
        <v>2817</v>
      </c>
    </row>
    <row r="19782" spans="1:8" x14ac:dyDescent="0.25">
      <c r="A19782" t="s">
        <v>17</v>
      </c>
      <c r="B19782" t="s">
        <v>2817</v>
      </c>
    </row>
    <row r="19783" spans="1:8" x14ac:dyDescent="0.25">
      <c r="A19783" t="s">
        <v>18</v>
      </c>
      <c r="B19783" t="s">
        <v>2817</v>
      </c>
    </row>
    <row r="19784" spans="1:8" x14ac:dyDescent="0.25">
      <c r="A19784" t="str">
        <f xml:space="preserve"> $H$19776</f>
        <v>&lt;flags count_in_cargo="1" count_in_hoarder="1" count_in_map="1" count_in_player="1" crafted="0" deloot="1"/&gt;</v>
      </c>
      <c r="B19784" t="s">
        <v>2817</v>
      </c>
    </row>
    <row r="19785" spans="1:8" x14ac:dyDescent="0.25">
      <c r="A19785" t="str">
        <f>"&lt;category name=" &amp;"""" &amp;$C$19776&amp;"""/&gt;"</f>
        <v>&lt;category name="weapons"/&gt;</v>
      </c>
      <c r="B19785" t="s">
        <v>2817</v>
      </c>
    </row>
    <row r="19786" spans="1:8" x14ac:dyDescent="0.25">
      <c r="A19786" t="s">
        <v>29</v>
      </c>
      <c r="B19786" t="s">
        <v>2817</v>
      </c>
    </row>
    <row r="19787" spans="1:8" x14ac:dyDescent="0.25">
      <c r="A19787" t="s">
        <v>307</v>
      </c>
      <c r="B19787" t="s">
        <v>2817</v>
      </c>
    </row>
    <row r="19788" spans="1:8" x14ac:dyDescent="0.25">
      <c r="A19788" t="s">
        <v>22</v>
      </c>
      <c r="B19788" t="s">
        <v>2817</v>
      </c>
    </row>
    <row r="19789" spans="1:8" x14ac:dyDescent="0.25">
      <c r="A19789" t="s">
        <v>3314</v>
      </c>
      <c r="B19789" t="s">
        <v>3336</v>
      </c>
      <c r="C19789" t="s">
        <v>8</v>
      </c>
      <c r="D19789">
        <v>5</v>
      </c>
      <c r="E19789">
        <v>10800</v>
      </c>
      <c r="F19789">
        <v>1800</v>
      </c>
      <c r="G19789">
        <v>2</v>
      </c>
      <c r="H19789" t="s">
        <v>28</v>
      </c>
    </row>
    <row r="19790" spans="1:8" x14ac:dyDescent="0.25">
      <c r="A19790" t="str">
        <f>"&lt;nominal&gt;" &amp;$D$19789&amp;"&lt;/nominal&gt;"</f>
        <v>&lt;nominal&gt;5&lt;/nominal&gt;</v>
      </c>
      <c r="B19790" t="s">
        <v>3336</v>
      </c>
    </row>
    <row r="19791" spans="1:8" x14ac:dyDescent="0.25">
      <c r="A19791" t="str">
        <f>"&lt;lifetime&gt;" &amp;$E$19789&amp;"&lt;/lifetime&gt;"</f>
        <v>&lt;lifetime&gt;10800&lt;/lifetime&gt;</v>
      </c>
      <c r="B19791" t="s">
        <v>3336</v>
      </c>
    </row>
    <row r="19792" spans="1:8" x14ac:dyDescent="0.25">
      <c r="A19792" t="str">
        <f>"&lt;restock&gt;" &amp;$F$19789&amp;"&lt;/restock&gt;"</f>
        <v>&lt;restock&gt;1800&lt;/restock&gt;</v>
      </c>
      <c r="B19792" t="s">
        <v>3336</v>
      </c>
    </row>
    <row r="19793" spans="1:8" x14ac:dyDescent="0.25">
      <c r="A19793" t="str">
        <f>"&lt;min&gt;" &amp;$G$19789&amp;"&lt;/min&gt;"</f>
        <v>&lt;min&gt;2&lt;/min&gt;</v>
      </c>
      <c r="B19793" t="s">
        <v>3336</v>
      </c>
    </row>
    <row r="19794" spans="1:8" x14ac:dyDescent="0.25">
      <c r="A19794" t="s">
        <v>45</v>
      </c>
      <c r="B19794" t="s">
        <v>3336</v>
      </c>
    </row>
    <row r="19795" spans="1:8" x14ac:dyDescent="0.25">
      <c r="A19795" t="s">
        <v>46</v>
      </c>
      <c r="B19795" t="s">
        <v>3336</v>
      </c>
    </row>
    <row r="19796" spans="1:8" x14ac:dyDescent="0.25">
      <c r="A19796" t="s">
        <v>324</v>
      </c>
      <c r="B19796" t="s">
        <v>3336</v>
      </c>
    </row>
    <row r="19797" spans="1:8" x14ac:dyDescent="0.25">
      <c r="A19797" t="str">
        <f xml:space="preserve"> $H$19789</f>
        <v>&lt;flags count_in_cargo="1" count_in_hoarder="1" count_in_map="1" count_in_player="1" crafted="0" deloot="1"/&gt;</v>
      </c>
      <c r="B19797" t="s">
        <v>3336</v>
      </c>
    </row>
    <row r="19798" spans="1:8" x14ac:dyDescent="0.25">
      <c r="A19798" t="str">
        <f>"&lt;category name=" &amp;"""" &amp;$C$19789&amp;"""/&gt;"</f>
        <v>&lt;category name="weapons"/&gt;</v>
      </c>
      <c r="B19798" t="s">
        <v>3336</v>
      </c>
    </row>
    <row r="19799" spans="1:8" x14ac:dyDescent="0.25">
      <c r="A19799" t="s">
        <v>29</v>
      </c>
      <c r="B19799" t="s">
        <v>3336</v>
      </c>
    </row>
    <row r="19800" spans="1:8" x14ac:dyDescent="0.25">
      <c r="A19800" t="s">
        <v>307</v>
      </c>
      <c r="B19800" t="s">
        <v>3336</v>
      </c>
    </row>
    <row r="19801" spans="1:8" x14ac:dyDescent="0.25">
      <c r="A19801" t="s">
        <v>22</v>
      </c>
      <c r="B19801" t="s">
        <v>3336</v>
      </c>
    </row>
    <row r="19802" spans="1:8" x14ac:dyDescent="0.25">
      <c r="A19802" t="s">
        <v>3315</v>
      </c>
      <c r="B19802" t="s">
        <v>3337</v>
      </c>
      <c r="C19802" t="s">
        <v>8</v>
      </c>
      <c r="D19802">
        <v>5</v>
      </c>
      <c r="E19802">
        <v>10800</v>
      </c>
      <c r="F19802">
        <v>1800</v>
      </c>
      <c r="G19802">
        <v>2</v>
      </c>
      <c r="H19802" t="s">
        <v>28</v>
      </c>
    </row>
    <row r="19803" spans="1:8" x14ac:dyDescent="0.25">
      <c r="A19803" t="str">
        <f>"&lt;nominal&gt;" &amp;$D$19802&amp;"&lt;/nominal&gt;"</f>
        <v>&lt;nominal&gt;5&lt;/nominal&gt;</v>
      </c>
      <c r="B19803" t="s">
        <v>3337</v>
      </c>
    </row>
    <row r="19804" spans="1:8" x14ac:dyDescent="0.25">
      <c r="A19804" t="str">
        <f>"&lt;lifetime&gt;" &amp;$E$19802&amp;"&lt;/lifetime&gt;"</f>
        <v>&lt;lifetime&gt;10800&lt;/lifetime&gt;</v>
      </c>
      <c r="B19804" t="s">
        <v>3337</v>
      </c>
    </row>
    <row r="19805" spans="1:8" x14ac:dyDescent="0.25">
      <c r="A19805" t="str">
        <f>"&lt;restock&gt;" &amp;$F$19802&amp;"&lt;/restock&gt;"</f>
        <v>&lt;restock&gt;1800&lt;/restock&gt;</v>
      </c>
      <c r="B19805" t="s">
        <v>3337</v>
      </c>
    </row>
    <row r="19806" spans="1:8" x14ac:dyDescent="0.25">
      <c r="A19806" t="str">
        <f>"&lt;min&gt;" &amp;$G$19802&amp;"&lt;/min&gt;"</f>
        <v>&lt;min&gt;2&lt;/min&gt;</v>
      </c>
      <c r="B19806" t="s">
        <v>3337</v>
      </c>
    </row>
    <row r="19807" spans="1:8" x14ac:dyDescent="0.25">
      <c r="A19807" t="s">
        <v>45</v>
      </c>
      <c r="B19807" t="s">
        <v>3337</v>
      </c>
    </row>
    <row r="19808" spans="1:8" x14ac:dyDescent="0.25">
      <c r="A19808" t="s">
        <v>46</v>
      </c>
      <c r="B19808" t="s">
        <v>3337</v>
      </c>
    </row>
    <row r="19809" spans="1:8" x14ac:dyDescent="0.25">
      <c r="A19809" t="s">
        <v>324</v>
      </c>
      <c r="B19809" t="s">
        <v>3337</v>
      </c>
    </row>
    <row r="19810" spans="1:8" x14ac:dyDescent="0.25">
      <c r="A19810" t="str">
        <f xml:space="preserve"> $H$19802</f>
        <v>&lt;flags count_in_cargo="1" count_in_hoarder="1" count_in_map="1" count_in_player="1" crafted="0" deloot="1"/&gt;</v>
      </c>
      <c r="B19810" t="s">
        <v>3337</v>
      </c>
    </row>
    <row r="19811" spans="1:8" x14ac:dyDescent="0.25">
      <c r="A19811" t="str">
        <f>"&lt;category name=" &amp;"""" &amp;$C$19802&amp;"""/&gt;"</f>
        <v>&lt;category name="weapons"/&gt;</v>
      </c>
      <c r="B19811" t="s">
        <v>3337</v>
      </c>
    </row>
    <row r="19812" spans="1:8" x14ac:dyDescent="0.25">
      <c r="A19812" t="s">
        <v>29</v>
      </c>
      <c r="B19812" t="s">
        <v>3337</v>
      </c>
    </row>
    <row r="19813" spans="1:8" x14ac:dyDescent="0.25">
      <c r="A19813" t="s">
        <v>307</v>
      </c>
      <c r="B19813" t="s">
        <v>3337</v>
      </c>
    </row>
    <row r="19814" spans="1:8" x14ac:dyDescent="0.25">
      <c r="A19814" t="s">
        <v>22</v>
      </c>
      <c r="B19814" t="s">
        <v>3337</v>
      </c>
    </row>
    <row r="19815" spans="1:8" x14ac:dyDescent="0.25">
      <c r="A19815" t="s">
        <v>334</v>
      </c>
      <c r="B19815" t="s">
        <v>1400</v>
      </c>
      <c r="C19815" t="s">
        <v>8</v>
      </c>
      <c r="D19815">
        <v>5</v>
      </c>
      <c r="E19815">
        <v>7200</v>
      </c>
      <c r="F19815">
        <v>14400</v>
      </c>
      <c r="G19815">
        <v>2</v>
      </c>
      <c r="H19815" t="s">
        <v>28</v>
      </c>
    </row>
    <row r="19816" spans="1:8" x14ac:dyDescent="0.25">
      <c r="A19816" t="str">
        <f>"&lt;nominal&gt;" &amp;$D$19815&amp;"&lt;/nominal&gt;"</f>
        <v>&lt;nominal&gt;5&lt;/nominal&gt;</v>
      </c>
      <c r="B19816" t="s">
        <v>1400</v>
      </c>
    </row>
    <row r="19817" spans="1:8" x14ac:dyDescent="0.25">
      <c r="A19817" t="str">
        <f>"&lt;lifetime&gt;" &amp;$E$19815&amp;"&lt;/lifetime&gt;"</f>
        <v>&lt;lifetime&gt;7200&lt;/lifetime&gt;</v>
      </c>
      <c r="B19817" t="s">
        <v>1400</v>
      </c>
    </row>
    <row r="19818" spans="1:8" x14ac:dyDescent="0.25">
      <c r="A19818" t="str">
        <f>"&lt;restock&gt;" &amp;$F$19815&amp;"&lt;/restock&gt;"</f>
        <v>&lt;restock&gt;14400&lt;/restock&gt;</v>
      </c>
      <c r="B19818" t="s">
        <v>1400</v>
      </c>
    </row>
    <row r="19819" spans="1:8" x14ac:dyDescent="0.25">
      <c r="A19819" t="str">
        <f>"&lt;min&gt;" &amp;$G$19815&amp;"&lt;/min&gt;"</f>
        <v>&lt;min&gt;2&lt;/min&gt;</v>
      </c>
      <c r="B19819" t="s">
        <v>1400</v>
      </c>
    </row>
    <row r="19820" spans="1:8" x14ac:dyDescent="0.25">
      <c r="A19820" t="s">
        <v>16</v>
      </c>
      <c r="B19820" t="s">
        <v>1400</v>
      </c>
    </row>
    <row r="19821" spans="1:8" x14ac:dyDescent="0.25">
      <c r="A19821" t="s">
        <v>17</v>
      </c>
      <c r="B19821" t="s">
        <v>1400</v>
      </c>
    </row>
    <row r="19822" spans="1:8" x14ac:dyDescent="0.25">
      <c r="A19822" t="s">
        <v>18</v>
      </c>
      <c r="B19822" t="s">
        <v>1400</v>
      </c>
    </row>
    <row r="19823" spans="1:8" x14ac:dyDescent="0.25">
      <c r="A19823" t="str">
        <f xml:space="preserve"> $H$19815</f>
        <v>&lt;flags count_in_cargo="1" count_in_hoarder="1" count_in_map="1" count_in_player="1" crafted="0" deloot="1"/&gt;</v>
      </c>
      <c r="B19823" t="s">
        <v>1400</v>
      </c>
    </row>
    <row r="19824" spans="1:8" x14ac:dyDescent="0.25">
      <c r="A19824" t="str">
        <f>"&lt;category name=" &amp;"""" &amp;$C$19815&amp;"""/&gt;"</f>
        <v>&lt;category name="weapons"/&gt;</v>
      </c>
      <c r="B19824" t="s">
        <v>1400</v>
      </c>
    </row>
    <row r="19825" spans="1:8" x14ac:dyDescent="0.25">
      <c r="A19825" t="s">
        <v>29</v>
      </c>
      <c r="B19825" t="s">
        <v>1400</v>
      </c>
    </row>
    <row r="19826" spans="1:8" x14ac:dyDescent="0.25">
      <c r="A19826" t="s">
        <v>307</v>
      </c>
      <c r="B19826" t="s">
        <v>1400</v>
      </c>
    </row>
    <row r="19827" spans="1:8" x14ac:dyDescent="0.25">
      <c r="A19827" t="s">
        <v>22</v>
      </c>
      <c r="B19827" t="s">
        <v>1400</v>
      </c>
    </row>
    <row r="19828" spans="1:8" x14ac:dyDescent="0.25">
      <c r="A19828" t="s">
        <v>3316</v>
      </c>
      <c r="B19828" t="s">
        <v>3338</v>
      </c>
      <c r="C19828" t="s">
        <v>8</v>
      </c>
      <c r="D19828">
        <v>10</v>
      </c>
      <c r="E19828">
        <v>10800</v>
      </c>
      <c r="F19828">
        <v>1800</v>
      </c>
      <c r="G19828">
        <v>5</v>
      </c>
      <c r="H19828" t="s">
        <v>19</v>
      </c>
    </row>
    <row r="19829" spans="1:8" x14ac:dyDescent="0.25">
      <c r="A19829" t="str">
        <f>"&lt;nominal&gt;" &amp;$D$19828&amp;"&lt;/nominal&gt;"</f>
        <v>&lt;nominal&gt;10&lt;/nominal&gt;</v>
      </c>
      <c r="B19829" t="s">
        <v>3338</v>
      </c>
    </row>
    <row r="19830" spans="1:8" x14ac:dyDescent="0.25">
      <c r="A19830" t="str">
        <f>"&lt;lifetime&gt;" &amp;$E$19828&amp;"&lt;/lifetime&gt;"</f>
        <v>&lt;lifetime&gt;10800&lt;/lifetime&gt;</v>
      </c>
      <c r="B19830" t="s">
        <v>3338</v>
      </c>
    </row>
    <row r="19831" spans="1:8" x14ac:dyDescent="0.25">
      <c r="A19831" t="str">
        <f>"&lt;restock&gt;" &amp;$F$19828&amp;"&lt;/restock&gt;"</f>
        <v>&lt;restock&gt;1800&lt;/restock&gt;</v>
      </c>
      <c r="B19831" t="s">
        <v>3338</v>
      </c>
    </row>
    <row r="19832" spans="1:8" x14ac:dyDescent="0.25">
      <c r="A19832" t="str">
        <f>"&lt;min&gt;" &amp;$G$19828&amp;"&lt;/min&gt;"</f>
        <v>&lt;min&gt;5&lt;/min&gt;</v>
      </c>
      <c r="B19832" t="s">
        <v>3338</v>
      </c>
    </row>
    <row r="19833" spans="1:8" x14ac:dyDescent="0.25">
      <c r="A19833" t="s">
        <v>45</v>
      </c>
      <c r="B19833" t="s">
        <v>3338</v>
      </c>
    </row>
    <row r="19834" spans="1:8" x14ac:dyDescent="0.25">
      <c r="A19834" t="s">
        <v>46</v>
      </c>
      <c r="B19834" t="s">
        <v>3338</v>
      </c>
    </row>
    <row r="19835" spans="1:8" x14ac:dyDescent="0.25">
      <c r="A19835" t="s">
        <v>324</v>
      </c>
      <c r="B19835" t="s">
        <v>3338</v>
      </c>
    </row>
    <row r="19836" spans="1:8" x14ac:dyDescent="0.25">
      <c r="A19836" t="str">
        <f xml:space="preserve"> $H$19828</f>
        <v>&lt;flags count_in_cargo="0" count_in_hoarder="0" count_in_map="1" count_in_player="0" crafted="0" deloot="0"/&gt;</v>
      </c>
      <c r="B19836" t="s">
        <v>3338</v>
      </c>
    </row>
    <row r="19837" spans="1:8" x14ac:dyDescent="0.25">
      <c r="A19837" t="str">
        <f>"&lt;category name=" &amp;"""" &amp;$C$19828&amp;"""/&gt;"</f>
        <v>&lt;category name="weapons"/&gt;</v>
      </c>
      <c r="B19837" t="s">
        <v>3338</v>
      </c>
    </row>
    <row r="19838" spans="1:8" x14ac:dyDescent="0.25">
      <c r="A19838" t="s">
        <v>29</v>
      </c>
      <c r="B19838" t="s">
        <v>3338</v>
      </c>
    </row>
    <row r="19839" spans="1:8" x14ac:dyDescent="0.25">
      <c r="A19839" t="s">
        <v>307</v>
      </c>
      <c r="B19839" t="s">
        <v>3338</v>
      </c>
    </row>
    <row r="19840" spans="1:8" x14ac:dyDescent="0.25">
      <c r="A19840" t="s">
        <v>22</v>
      </c>
      <c r="B19840" t="s">
        <v>3338</v>
      </c>
    </row>
    <row r="19841" spans="1:8" x14ac:dyDescent="0.25">
      <c r="A19841" t="s">
        <v>335</v>
      </c>
      <c r="B19841" t="s">
        <v>13</v>
      </c>
      <c r="C19841" t="s">
        <v>8</v>
      </c>
      <c r="D19841">
        <v>5</v>
      </c>
      <c r="E19841">
        <v>7200</v>
      </c>
      <c r="F19841">
        <v>14400</v>
      </c>
      <c r="G19841">
        <v>2</v>
      </c>
      <c r="H19841" t="s">
        <v>28</v>
      </c>
    </row>
    <row r="19842" spans="1:8" x14ac:dyDescent="0.25">
      <c r="A19842" t="str">
        <f>"&lt;nominal&gt;" &amp;$D$19841&amp;"&lt;/nominal&gt;"</f>
        <v>&lt;nominal&gt;5&lt;/nominal&gt;</v>
      </c>
      <c r="B19842" t="s">
        <v>13</v>
      </c>
    </row>
    <row r="19843" spans="1:8" x14ac:dyDescent="0.25">
      <c r="A19843" t="str">
        <f>"&lt;lifetime&gt;" &amp;$E$19841&amp;"&lt;/lifetime&gt;"</f>
        <v>&lt;lifetime&gt;7200&lt;/lifetime&gt;</v>
      </c>
      <c r="B19843" t="s">
        <v>13</v>
      </c>
    </row>
    <row r="19844" spans="1:8" x14ac:dyDescent="0.25">
      <c r="A19844" t="str">
        <f>"&lt;restock&gt;" &amp;$F$19841&amp;"&lt;/restock&gt;"</f>
        <v>&lt;restock&gt;14400&lt;/restock&gt;</v>
      </c>
      <c r="B19844" t="s">
        <v>13</v>
      </c>
    </row>
    <row r="19845" spans="1:8" x14ac:dyDescent="0.25">
      <c r="A19845" t="str">
        <f>"&lt;min&gt;" &amp;$G$19841&amp;"&lt;/min&gt;"</f>
        <v>&lt;min&gt;2&lt;/min&gt;</v>
      </c>
      <c r="B19845" t="s">
        <v>13</v>
      </c>
    </row>
    <row r="19846" spans="1:8" x14ac:dyDescent="0.25">
      <c r="A19846" t="s">
        <v>16</v>
      </c>
      <c r="B19846" t="s">
        <v>13</v>
      </c>
    </row>
    <row r="19847" spans="1:8" x14ac:dyDescent="0.25">
      <c r="A19847" t="s">
        <v>17</v>
      </c>
      <c r="B19847" t="s">
        <v>13</v>
      </c>
    </row>
    <row r="19848" spans="1:8" x14ac:dyDescent="0.25">
      <c r="A19848" t="s">
        <v>18</v>
      </c>
      <c r="B19848" t="s">
        <v>13</v>
      </c>
    </row>
    <row r="19849" spans="1:8" x14ac:dyDescent="0.25">
      <c r="A19849" t="str">
        <f xml:space="preserve"> $H$19841</f>
        <v>&lt;flags count_in_cargo="1" count_in_hoarder="1" count_in_map="1" count_in_player="1" crafted="0" deloot="1"/&gt;</v>
      </c>
      <c r="B19849" t="s">
        <v>13</v>
      </c>
    </row>
    <row r="19850" spans="1:8" x14ac:dyDescent="0.25">
      <c r="A19850" t="str">
        <f>"&lt;category name=" &amp;"""" &amp;$C$19841&amp;"""/&gt;"</f>
        <v>&lt;category name="weapons"/&gt;</v>
      </c>
      <c r="B19850" t="s">
        <v>13</v>
      </c>
    </row>
    <row r="19851" spans="1:8" x14ac:dyDescent="0.25">
      <c r="A19851" t="s">
        <v>29</v>
      </c>
      <c r="B19851" t="s">
        <v>13</v>
      </c>
    </row>
    <row r="19852" spans="1:8" x14ac:dyDescent="0.25">
      <c r="A19852" t="s">
        <v>307</v>
      </c>
      <c r="B19852" t="s">
        <v>13</v>
      </c>
    </row>
    <row r="19853" spans="1:8" x14ac:dyDescent="0.25">
      <c r="A19853" t="s">
        <v>22</v>
      </c>
      <c r="B19853" t="s">
        <v>13</v>
      </c>
    </row>
    <row r="19854" spans="1:8" x14ac:dyDescent="0.25">
      <c r="A19854" t="s">
        <v>3317</v>
      </c>
      <c r="B19854" t="s">
        <v>3339</v>
      </c>
      <c r="C19854" t="s">
        <v>8</v>
      </c>
      <c r="D19854">
        <v>10</v>
      </c>
      <c r="E19854">
        <v>10800</v>
      </c>
      <c r="F19854">
        <v>1800</v>
      </c>
      <c r="G19854">
        <v>5</v>
      </c>
      <c r="H19854" t="s">
        <v>19</v>
      </c>
    </row>
    <row r="19855" spans="1:8" x14ac:dyDescent="0.25">
      <c r="A19855" t="str">
        <f>"&lt;nominal&gt;" &amp;$D$19854&amp;"&lt;/nominal&gt;"</f>
        <v>&lt;nominal&gt;10&lt;/nominal&gt;</v>
      </c>
      <c r="B19855" t="s">
        <v>3339</v>
      </c>
    </row>
    <row r="19856" spans="1:8" x14ac:dyDescent="0.25">
      <c r="A19856" t="str">
        <f>"&lt;lifetime&gt;" &amp;$E$19854&amp;"&lt;/lifetime&gt;"</f>
        <v>&lt;lifetime&gt;10800&lt;/lifetime&gt;</v>
      </c>
      <c r="B19856" t="s">
        <v>3339</v>
      </c>
    </row>
    <row r="19857" spans="1:8" x14ac:dyDescent="0.25">
      <c r="A19857" t="str">
        <f>"&lt;restock&gt;" &amp;$F$19854&amp;"&lt;/restock&gt;"</f>
        <v>&lt;restock&gt;1800&lt;/restock&gt;</v>
      </c>
      <c r="B19857" t="s">
        <v>3339</v>
      </c>
    </row>
    <row r="19858" spans="1:8" x14ac:dyDescent="0.25">
      <c r="A19858" t="str">
        <f>"&lt;min&gt;" &amp;$G$19854&amp;"&lt;/min&gt;"</f>
        <v>&lt;min&gt;5&lt;/min&gt;</v>
      </c>
      <c r="B19858" t="s">
        <v>3339</v>
      </c>
    </row>
    <row r="19859" spans="1:8" x14ac:dyDescent="0.25">
      <c r="A19859" t="s">
        <v>45</v>
      </c>
      <c r="B19859" t="s">
        <v>3339</v>
      </c>
    </row>
    <row r="19860" spans="1:8" x14ac:dyDescent="0.25">
      <c r="A19860" t="s">
        <v>46</v>
      </c>
      <c r="B19860" t="s">
        <v>3339</v>
      </c>
    </row>
    <row r="19861" spans="1:8" x14ac:dyDescent="0.25">
      <c r="A19861" t="s">
        <v>324</v>
      </c>
      <c r="B19861" t="s">
        <v>3339</v>
      </c>
    </row>
    <row r="19862" spans="1:8" x14ac:dyDescent="0.25">
      <c r="A19862" t="str">
        <f xml:space="preserve"> $H$19854</f>
        <v>&lt;flags count_in_cargo="0" count_in_hoarder="0" count_in_map="1" count_in_player="0" crafted="0" deloot="0"/&gt;</v>
      </c>
      <c r="B19862" t="s">
        <v>3339</v>
      </c>
    </row>
    <row r="19863" spans="1:8" x14ac:dyDescent="0.25">
      <c r="A19863" t="str">
        <f>"&lt;category name=" &amp;"""" &amp;$C$19854&amp;"""/&gt;"</f>
        <v>&lt;category name="weapons"/&gt;</v>
      </c>
      <c r="B19863" t="s">
        <v>3339</v>
      </c>
    </row>
    <row r="19864" spans="1:8" x14ac:dyDescent="0.25">
      <c r="A19864" t="s">
        <v>29</v>
      </c>
      <c r="B19864" t="s">
        <v>3339</v>
      </c>
    </row>
    <row r="19865" spans="1:8" x14ac:dyDescent="0.25">
      <c r="A19865" t="s">
        <v>307</v>
      </c>
      <c r="B19865" t="s">
        <v>3339</v>
      </c>
    </row>
    <row r="19866" spans="1:8" x14ac:dyDescent="0.25">
      <c r="A19866" t="s">
        <v>22</v>
      </c>
      <c r="B19866" t="s">
        <v>3339</v>
      </c>
    </row>
    <row r="19867" spans="1:8" x14ac:dyDescent="0.25">
      <c r="B19867" t="s">
        <v>3339</v>
      </c>
    </row>
    <row r="19868" spans="1:8" x14ac:dyDescent="0.25">
      <c r="A19868" t="s">
        <v>2821</v>
      </c>
      <c r="B19868" t="s">
        <v>2782</v>
      </c>
      <c r="C19868" t="s">
        <v>8</v>
      </c>
      <c r="D19868">
        <v>20</v>
      </c>
      <c r="E19868">
        <v>7200</v>
      </c>
      <c r="F19868">
        <v>0</v>
      </c>
      <c r="G19868">
        <v>10</v>
      </c>
      <c r="H19868" t="s">
        <v>19</v>
      </c>
    </row>
    <row r="19869" spans="1:8" x14ac:dyDescent="0.25">
      <c r="A19869" t="str">
        <f>"&lt;nominal&gt;" &amp;$D$19868&amp;"&lt;/nominal&gt;"</f>
        <v>&lt;nominal&gt;20&lt;/nominal&gt;</v>
      </c>
      <c r="B19869" t="s">
        <v>2782</v>
      </c>
    </row>
    <row r="19870" spans="1:8" x14ac:dyDescent="0.25">
      <c r="A19870" t="str">
        <f>"&lt;lifetime&gt;" &amp;$E$19868&amp;"&lt;/lifetime&gt;"</f>
        <v>&lt;lifetime&gt;7200&lt;/lifetime&gt;</v>
      </c>
      <c r="B19870" t="s">
        <v>2782</v>
      </c>
    </row>
    <row r="19871" spans="1:8" x14ac:dyDescent="0.25">
      <c r="A19871" t="str">
        <f>"&lt;restock&gt;" &amp;$F$19868&amp;"&lt;/restock&gt;"</f>
        <v>&lt;restock&gt;0&lt;/restock&gt;</v>
      </c>
      <c r="B19871" t="s">
        <v>2782</v>
      </c>
    </row>
    <row r="19872" spans="1:8" x14ac:dyDescent="0.25">
      <c r="A19872" t="str">
        <f>"&lt;min&gt;" &amp;$G$19868&amp;"&lt;/min&gt;"</f>
        <v>&lt;min&gt;10&lt;/min&gt;</v>
      </c>
      <c r="B19872" t="s">
        <v>2782</v>
      </c>
    </row>
    <row r="19873" spans="1:8" x14ac:dyDescent="0.25">
      <c r="A19873" t="s">
        <v>320</v>
      </c>
      <c r="B19873" t="s">
        <v>2782</v>
      </c>
    </row>
    <row r="19874" spans="1:8" x14ac:dyDescent="0.25">
      <c r="A19874" t="s">
        <v>46</v>
      </c>
      <c r="B19874" t="s">
        <v>2782</v>
      </c>
    </row>
    <row r="19875" spans="1:8" x14ac:dyDescent="0.25">
      <c r="A19875" t="s">
        <v>18</v>
      </c>
      <c r="B19875" t="s">
        <v>2782</v>
      </c>
    </row>
    <row r="19876" spans="1:8" x14ac:dyDescent="0.25">
      <c r="A19876" t="str">
        <f xml:space="preserve"> $H$19868</f>
        <v>&lt;flags count_in_cargo="0" count_in_hoarder="0" count_in_map="1" count_in_player="0" crafted="0" deloot="0"/&gt;</v>
      </c>
      <c r="B19876" t="s">
        <v>2782</v>
      </c>
    </row>
    <row r="19877" spans="1:8" x14ac:dyDescent="0.25">
      <c r="A19877" t="str">
        <f>"&lt;category name=" &amp;"""" &amp;$C$19868&amp;"""/&gt;"</f>
        <v>&lt;category name="weapons"/&gt;</v>
      </c>
      <c r="B19877" t="s">
        <v>2782</v>
      </c>
    </row>
    <row r="19878" spans="1:8" x14ac:dyDescent="0.25">
      <c r="A19878" t="s">
        <v>20</v>
      </c>
      <c r="B19878" t="s">
        <v>2782</v>
      </c>
    </row>
    <row r="19879" spans="1:8" x14ac:dyDescent="0.25">
      <c r="A19879" t="s">
        <v>56</v>
      </c>
      <c r="B19879" t="s">
        <v>2782</v>
      </c>
    </row>
    <row r="19880" spans="1:8" x14ac:dyDescent="0.25">
      <c r="A19880" t="s">
        <v>39</v>
      </c>
      <c r="B19880" t="s">
        <v>2782</v>
      </c>
    </row>
    <row r="19881" spans="1:8" x14ac:dyDescent="0.25">
      <c r="A19881" t="s">
        <v>40</v>
      </c>
      <c r="B19881" t="s">
        <v>2782</v>
      </c>
    </row>
    <row r="19882" spans="1:8" x14ac:dyDescent="0.25">
      <c r="A19882" t="s">
        <v>67</v>
      </c>
      <c r="B19882" t="s">
        <v>2782</v>
      </c>
    </row>
    <row r="19883" spans="1:8" x14ac:dyDescent="0.25">
      <c r="A19883" t="s">
        <v>22</v>
      </c>
      <c r="B19883" t="s">
        <v>2782</v>
      </c>
    </row>
    <row r="19884" spans="1:8" x14ac:dyDescent="0.25">
      <c r="A19884" t="s">
        <v>2822</v>
      </c>
      <c r="B19884" t="s">
        <v>2783</v>
      </c>
      <c r="C19884" t="s">
        <v>8</v>
      </c>
      <c r="D19884">
        <v>10</v>
      </c>
      <c r="E19884">
        <v>10800</v>
      </c>
      <c r="F19884">
        <v>0</v>
      </c>
      <c r="G19884">
        <v>5</v>
      </c>
      <c r="H19884" t="s">
        <v>19</v>
      </c>
    </row>
    <row r="19885" spans="1:8" x14ac:dyDescent="0.25">
      <c r="A19885" t="str">
        <f>"&lt;nominal&gt;" &amp;$D$19884&amp;"&lt;/nominal&gt;"</f>
        <v>&lt;nominal&gt;10&lt;/nominal&gt;</v>
      </c>
      <c r="B19885" t="s">
        <v>2783</v>
      </c>
    </row>
    <row r="19886" spans="1:8" x14ac:dyDescent="0.25">
      <c r="A19886" t="str">
        <f>"&lt;lifetime&gt;" &amp;$E$19884&amp;"&lt;/lifetime&gt;"</f>
        <v>&lt;lifetime&gt;10800&lt;/lifetime&gt;</v>
      </c>
      <c r="B19886" t="s">
        <v>2783</v>
      </c>
    </row>
    <row r="19887" spans="1:8" x14ac:dyDescent="0.25">
      <c r="A19887" t="str">
        <f>"&lt;restock&gt;" &amp;$F$19884&amp;"&lt;/restock&gt;"</f>
        <v>&lt;restock&gt;0&lt;/restock&gt;</v>
      </c>
      <c r="B19887" t="s">
        <v>2783</v>
      </c>
    </row>
    <row r="19888" spans="1:8" x14ac:dyDescent="0.25">
      <c r="A19888" t="str">
        <f>"&lt;min&gt;" &amp;$G$19884&amp;"&lt;/min&gt;"</f>
        <v>&lt;min&gt;5&lt;/min&gt;</v>
      </c>
      <c r="B19888" t="s">
        <v>2783</v>
      </c>
    </row>
    <row r="19889" spans="1:8" x14ac:dyDescent="0.25">
      <c r="A19889" t="s">
        <v>16</v>
      </c>
      <c r="B19889" t="s">
        <v>2783</v>
      </c>
    </row>
    <row r="19890" spans="1:8" x14ac:dyDescent="0.25">
      <c r="A19890" t="s">
        <v>17</v>
      </c>
      <c r="B19890" t="s">
        <v>2783</v>
      </c>
    </row>
    <row r="19891" spans="1:8" x14ac:dyDescent="0.25">
      <c r="A19891" t="s">
        <v>18</v>
      </c>
      <c r="B19891" t="s">
        <v>2783</v>
      </c>
    </row>
    <row r="19892" spans="1:8" x14ac:dyDescent="0.25">
      <c r="A19892" t="str">
        <f xml:space="preserve"> $H$19884</f>
        <v>&lt;flags count_in_cargo="0" count_in_hoarder="0" count_in_map="1" count_in_player="0" crafted="0" deloot="0"/&gt;</v>
      </c>
      <c r="B19892" t="s">
        <v>2783</v>
      </c>
    </row>
    <row r="19893" spans="1:8" x14ac:dyDescent="0.25">
      <c r="A19893" t="str">
        <f>"&lt;category name=" &amp;"""" &amp;$C$19884&amp;"""/&gt;"</f>
        <v>&lt;category name="weapons"/&gt;</v>
      </c>
      <c r="B19893" t="s">
        <v>2783</v>
      </c>
    </row>
    <row r="19894" spans="1:8" x14ac:dyDescent="0.25">
      <c r="A19894" t="s">
        <v>29</v>
      </c>
      <c r="B19894" t="s">
        <v>2783</v>
      </c>
    </row>
    <row r="19895" spans="1:8" x14ac:dyDescent="0.25">
      <c r="A19895" t="s">
        <v>67</v>
      </c>
      <c r="B19895" t="s">
        <v>2783</v>
      </c>
    </row>
    <row r="19896" spans="1:8" x14ac:dyDescent="0.25">
      <c r="A19896" t="s">
        <v>31</v>
      </c>
      <c r="B19896" t="s">
        <v>2783</v>
      </c>
    </row>
    <row r="19897" spans="1:8" x14ac:dyDescent="0.25">
      <c r="A19897" t="s">
        <v>307</v>
      </c>
      <c r="B19897" t="s">
        <v>2783</v>
      </c>
    </row>
    <row r="19898" spans="1:8" x14ac:dyDescent="0.25">
      <c r="A19898" t="s">
        <v>22</v>
      </c>
      <c r="B19898" t="s">
        <v>2783</v>
      </c>
    </row>
    <row r="19899" spans="1:8" x14ac:dyDescent="0.25">
      <c r="B19899" t="s">
        <v>2783</v>
      </c>
    </row>
    <row r="19900" spans="1:8" x14ac:dyDescent="0.25">
      <c r="A19900" t="s">
        <v>2823</v>
      </c>
      <c r="B19900" t="s">
        <v>2784</v>
      </c>
      <c r="C19900" t="s">
        <v>8</v>
      </c>
      <c r="D19900">
        <v>6</v>
      </c>
      <c r="E19900">
        <v>7200</v>
      </c>
      <c r="F19900">
        <v>0</v>
      </c>
      <c r="G19900">
        <v>2</v>
      </c>
      <c r="H19900" t="s">
        <v>19</v>
      </c>
    </row>
    <row r="19901" spans="1:8" x14ac:dyDescent="0.25">
      <c r="A19901" t="str">
        <f>"&lt;nominal&gt;" &amp;$D$19900&amp;"&lt;/nominal&gt;"</f>
        <v>&lt;nominal&gt;6&lt;/nominal&gt;</v>
      </c>
      <c r="B19901" t="s">
        <v>2784</v>
      </c>
    </row>
    <row r="19902" spans="1:8" x14ac:dyDescent="0.25">
      <c r="A19902" t="str">
        <f>"&lt;lifetime&gt;" &amp;$E$19900&amp;"&lt;/lifetime&gt;"</f>
        <v>&lt;lifetime&gt;7200&lt;/lifetime&gt;</v>
      </c>
      <c r="B19902" t="s">
        <v>2784</v>
      </c>
    </row>
    <row r="19903" spans="1:8" x14ac:dyDescent="0.25">
      <c r="A19903" t="str">
        <f>"&lt;restock&gt;" &amp;$F$19900&amp;"&lt;/restock&gt;"</f>
        <v>&lt;restock&gt;0&lt;/restock&gt;</v>
      </c>
      <c r="B19903" t="s">
        <v>2784</v>
      </c>
    </row>
    <row r="19904" spans="1:8" x14ac:dyDescent="0.25">
      <c r="A19904" t="str">
        <f>"&lt;min&gt;" &amp;$G$19900&amp;"&lt;/min&gt;"</f>
        <v>&lt;min&gt;2&lt;/min&gt;</v>
      </c>
      <c r="B19904" t="s">
        <v>2784</v>
      </c>
    </row>
    <row r="19905" spans="1:8" x14ac:dyDescent="0.25">
      <c r="A19905" t="s">
        <v>45</v>
      </c>
      <c r="B19905" t="s">
        <v>2784</v>
      </c>
    </row>
    <row r="19906" spans="1:8" x14ac:dyDescent="0.25">
      <c r="A19906" t="s">
        <v>328</v>
      </c>
      <c r="B19906" t="s">
        <v>2784</v>
      </c>
    </row>
    <row r="19907" spans="1:8" x14ac:dyDescent="0.25">
      <c r="A19907" t="s">
        <v>18</v>
      </c>
      <c r="B19907" t="s">
        <v>2784</v>
      </c>
    </row>
    <row r="19908" spans="1:8" x14ac:dyDescent="0.25">
      <c r="A19908" t="str">
        <f xml:space="preserve"> $H$19900</f>
        <v>&lt;flags count_in_cargo="0" count_in_hoarder="0" count_in_map="1" count_in_player="0" crafted="0" deloot="0"/&gt;</v>
      </c>
      <c r="B19908" t="s">
        <v>2784</v>
      </c>
    </row>
    <row r="19909" spans="1:8" x14ac:dyDescent="0.25">
      <c r="A19909" t="str">
        <f>"&lt;category name=" &amp;"""" &amp;$C$19900&amp;"""/&gt;"</f>
        <v>&lt;category name="weapons"/&gt;</v>
      </c>
      <c r="B19909" t="s">
        <v>2784</v>
      </c>
    </row>
    <row r="19910" spans="1:8" x14ac:dyDescent="0.25">
      <c r="A19910" t="s">
        <v>20</v>
      </c>
      <c r="B19910" t="s">
        <v>2784</v>
      </c>
    </row>
    <row r="19911" spans="1:8" x14ac:dyDescent="0.25">
      <c r="A19911" t="s">
        <v>31</v>
      </c>
      <c r="B19911" t="s">
        <v>2784</v>
      </c>
    </row>
    <row r="19912" spans="1:8" x14ac:dyDescent="0.25">
      <c r="A19912" t="s">
        <v>307</v>
      </c>
      <c r="B19912" t="s">
        <v>2784</v>
      </c>
    </row>
    <row r="19913" spans="1:8" x14ac:dyDescent="0.25">
      <c r="A19913" t="s">
        <v>22</v>
      </c>
      <c r="B19913" t="s">
        <v>2784</v>
      </c>
    </row>
    <row r="19914" spans="1:8" x14ac:dyDescent="0.25">
      <c r="A19914" t="s">
        <v>2824</v>
      </c>
      <c r="B19914" t="s">
        <v>2785</v>
      </c>
      <c r="C19914" t="s">
        <v>8</v>
      </c>
      <c r="D19914">
        <v>3</v>
      </c>
      <c r="E19914">
        <v>10800</v>
      </c>
      <c r="F19914">
        <v>0</v>
      </c>
      <c r="G19914">
        <v>1</v>
      </c>
      <c r="H19914" t="s">
        <v>19</v>
      </c>
    </row>
    <row r="19915" spans="1:8" x14ac:dyDescent="0.25">
      <c r="A19915" t="str">
        <f>"&lt;nominal&gt;" &amp;$D$19914&amp;"&lt;/nominal&gt;"</f>
        <v>&lt;nominal&gt;3&lt;/nominal&gt;</v>
      </c>
      <c r="B19915" t="s">
        <v>2785</v>
      </c>
    </row>
    <row r="19916" spans="1:8" x14ac:dyDescent="0.25">
      <c r="A19916" t="str">
        <f>"&lt;lifetime&gt;" &amp;$E$19914&amp;"&lt;/lifetime&gt;"</f>
        <v>&lt;lifetime&gt;10800&lt;/lifetime&gt;</v>
      </c>
      <c r="B19916" t="s">
        <v>2785</v>
      </c>
    </row>
    <row r="19917" spans="1:8" x14ac:dyDescent="0.25">
      <c r="A19917" t="str">
        <f>"&lt;restock&gt;" &amp;$F$19914&amp;"&lt;/restock&gt;"</f>
        <v>&lt;restock&gt;0&lt;/restock&gt;</v>
      </c>
      <c r="B19917" t="s">
        <v>2785</v>
      </c>
    </row>
    <row r="19918" spans="1:8" x14ac:dyDescent="0.25">
      <c r="A19918" t="str">
        <f>"&lt;min&gt;" &amp;$G$19914&amp;"&lt;/min&gt;"</f>
        <v>&lt;min&gt;1&lt;/min&gt;</v>
      </c>
      <c r="B19918" t="s">
        <v>2785</v>
      </c>
    </row>
    <row r="19919" spans="1:8" x14ac:dyDescent="0.25">
      <c r="A19919" t="s">
        <v>16</v>
      </c>
      <c r="B19919" t="s">
        <v>2785</v>
      </c>
    </row>
    <row r="19920" spans="1:8" x14ac:dyDescent="0.25">
      <c r="A19920" t="s">
        <v>17</v>
      </c>
      <c r="B19920" t="s">
        <v>2785</v>
      </c>
    </row>
    <row r="19921" spans="1:8" x14ac:dyDescent="0.25">
      <c r="A19921" t="s">
        <v>18</v>
      </c>
      <c r="B19921" t="s">
        <v>2785</v>
      </c>
    </row>
    <row r="19922" spans="1:8" x14ac:dyDescent="0.25">
      <c r="A19922" t="str">
        <f xml:space="preserve"> $H$19914</f>
        <v>&lt;flags count_in_cargo="0" count_in_hoarder="0" count_in_map="1" count_in_player="0" crafted="0" deloot="0"/&gt;</v>
      </c>
      <c r="B19922" t="s">
        <v>2785</v>
      </c>
    </row>
    <row r="19923" spans="1:8" x14ac:dyDescent="0.25">
      <c r="A19923" t="str">
        <f>"&lt;category name=" &amp;"""" &amp;$C$19914&amp;"""/&gt;"</f>
        <v>&lt;category name="weapons"/&gt;</v>
      </c>
      <c r="B19923" t="s">
        <v>2785</v>
      </c>
    </row>
    <row r="19924" spans="1:8" x14ac:dyDescent="0.25">
      <c r="A19924" t="s">
        <v>20</v>
      </c>
      <c r="B19924" t="s">
        <v>2785</v>
      </c>
    </row>
    <row r="19925" spans="1:8" x14ac:dyDescent="0.25">
      <c r="A19925" t="s">
        <v>29</v>
      </c>
      <c r="B19925" t="s">
        <v>2785</v>
      </c>
    </row>
    <row r="19926" spans="1:8" x14ac:dyDescent="0.25">
      <c r="A19926" t="s">
        <v>31</v>
      </c>
      <c r="B19926" t="s">
        <v>2785</v>
      </c>
    </row>
    <row r="19927" spans="1:8" x14ac:dyDescent="0.25">
      <c r="A19927" t="s">
        <v>307</v>
      </c>
      <c r="B19927" t="s">
        <v>2785</v>
      </c>
    </row>
    <row r="19928" spans="1:8" x14ac:dyDescent="0.25">
      <c r="A19928" t="s">
        <v>22</v>
      </c>
      <c r="B19928" t="s">
        <v>2785</v>
      </c>
    </row>
    <row r="19929" spans="1:8" x14ac:dyDescent="0.25">
      <c r="B19929" t="s">
        <v>2785</v>
      </c>
    </row>
    <row r="19930" spans="1:8" x14ac:dyDescent="0.25">
      <c r="A19930" t="s">
        <v>2825</v>
      </c>
      <c r="B19930" t="s">
        <v>2807</v>
      </c>
      <c r="C19930" t="s">
        <v>8</v>
      </c>
      <c r="D19930">
        <v>6</v>
      </c>
      <c r="E19930">
        <v>7200</v>
      </c>
      <c r="F19930">
        <v>0</v>
      </c>
      <c r="G19930">
        <v>2</v>
      </c>
      <c r="H19930" t="s">
        <v>19</v>
      </c>
    </row>
    <row r="19931" spans="1:8" x14ac:dyDescent="0.25">
      <c r="A19931" t="str">
        <f>"&lt;nominal&gt;" &amp;$D$19930&amp;"&lt;/nominal&gt;"</f>
        <v>&lt;nominal&gt;6&lt;/nominal&gt;</v>
      </c>
      <c r="B19931" t="s">
        <v>2807</v>
      </c>
    </row>
    <row r="19932" spans="1:8" x14ac:dyDescent="0.25">
      <c r="A19932" t="str">
        <f>"&lt;lifetime&gt;" &amp;$E$19930&amp;"&lt;/lifetime&gt;"</f>
        <v>&lt;lifetime&gt;7200&lt;/lifetime&gt;</v>
      </c>
      <c r="B19932" t="s">
        <v>2807</v>
      </c>
    </row>
    <row r="19933" spans="1:8" x14ac:dyDescent="0.25">
      <c r="A19933" t="str">
        <f>"&lt;restock&gt;" &amp;$F$19930&amp;"&lt;/restock&gt;"</f>
        <v>&lt;restock&gt;0&lt;/restock&gt;</v>
      </c>
      <c r="B19933" t="s">
        <v>2807</v>
      </c>
    </row>
    <row r="19934" spans="1:8" x14ac:dyDescent="0.25">
      <c r="A19934" t="str">
        <f>"&lt;min&gt;" &amp;$G$19930&amp;"&lt;/min&gt;"</f>
        <v>&lt;min&gt;2&lt;/min&gt;</v>
      </c>
      <c r="B19934" t="s">
        <v>2807</v>
      </c>
    </row>
    <row r="19935" spans="1:8" x14ac:dyDescent="0.25">
      <c r="A19935" t="s">
        <v>45</v>
      </c>
      <c r="B19935" t="s">
        <v>2807</v>
      </c>
    </row>
    <row r="19936" spans="1:8" x14ac:dyDescent="0.25">
      <c r="A19936" t="s">
        <v>328</v>
      </c>
      <c r="B19936" t="s">
        <v>2807</v>
      </c>
    </row>
    <row r="19937" spans="1:8" x14ac:dyDescent="0.25">
      <c r="A19937" t="s">
        <v>18</v>
      </c>
      <c r="B19937" t="s">
        <v>2807</v>
      </c>
    </row>
    <row r="19938" spans="1:8" x14ac:dyDescent="0.25">
      <c r="A19938" t="str">
        <f xml:space="preserve"> $H$19930</f>
        <v>&lt;flags count_in_cargo="0" count_in_hoarder="0" count_in_map="1" count_in_player="0" crafted="0" deloot="0"/&gt;</v>
      </c>
      <c r="B19938" t="s">
        <v>2807</v>
      </c>
    </row>
    <row r="19939" spans="1:8" x14ac:dyDescent="0.25">
      <c r="A19939" t="str">
        <f>"&lt;category name=" &amp;"""" &amp;$C$19930&amp;"""/&gt;"</f>
        <v>&lt;category name="weapons"/&gt;</v>
      </c>
      <c r="B19939" t="s">
        <v>2807</v>
      </c>
    </row>
    <row r="19940" spans="1:8" x14ac:dyDescent="0.25">
      <c r="A19940" t="s">
        <v>20</v>
      </c>
      <c r="B19940" t="s">
        <v>2807</v>
      </c>
    </row>
    <row r="19941" spans="1:8" x14ac:dyDescent="0.25">
      <c r="A19941" t="s">
        <v>31</v>
      </c>
      <c r="B19941" t="s">
        <v>2807</v>
      </c>
    </row>
    <row r="19942" spans="1:8" x14ac:dyDescent="0.25">
      <c r="A19942" t="s">
        <v>307</v>
      </c>
      <c r="B19942" t="s">
        <v>2807</v>
      </c>
    </row>
    <row r="19943" spans="1:8" x14ac:dyDescent="0.25">
      <c r="A19943" t="s">
        <v>22</v>
      </c>
      <c r="B19943" t="s">
        <v>2807</v>
      </c>
    </row>
    <row r="19944" spans="1:8" x14ac:dyDescent="0.25">
      <c r="A19944" t="s">
        <v>2826</v>
      </c>
      <c r="B19944" t="s">
        <v>2808</v>
      </c>
      <c r="C19944" t="s">
        <v>8</v>
      </c>
      <c r="D19944">
        <v>5</v>
      </c>
      <c r="E19944">
        <v>10800</v>
      </c>
      <c r="F19944">
        <v>0</v>
      </c>
      <c r="G19944">
        <v>2</v>
      </c>
      <c r="H19944" t="s">
        <v>19</v>
      </c>
    </row>
    <row r="19945" spans="1:8" x14ac:dyDescent="0.25">
      <c r="A19945" t="str">
        <f>"&lt;nominal&gt;" &amp;$D$19944&amp;"&lt;/nominal&gt;"</f>
        <v>&lt;nominal&gt;5&lt;/nominal&gt;</v>
      </c>
      <c r="B19945" t="s">
        <v>2808</v>
      </c>
    </row>
    <row r="19946" spans="1:8" x14ac:dyDescent="0.25">
      <c r="A19946" t="str">
        <f>"&lt;lifetime&gt;" &amp;$E$19944&amp;"&lt;/lifetime&gt;"</f>
        <v>&lt;lifetime&gt;10800&lt;/lifetime&gt;</v>
      </c>
      <c r="B19946" t="s">
        <v>2808</v>
      </c>
    </row>
    <row r="19947" spans="1:8" x14ac:dyDescent="0.25">
      <c r="A19947" t="str">
        <f>"&lt;restock&gt;" &amp;$F$19944&amp;"&lt;/restock&gt;"</f>
        <v>&lt;restock&gt;0&lt;/restock&gt;</v>
      </c>
      <c r="B19947" t="s">
        <v>2808</v>
      </c>
    </row>
    <row r="19948" spans="1:8" x14ac:dyDescent="0.25">
      <c r="A19948" t="str">
        <f>"&lt;min&gt;" &amp;$G$19944&amp;"&lt;/min&gt;"</f>
        <v>&lt;min&gt;2&lt;/min&gt;</v>
      </c>
      <c r="B19948" t="s">
        <v>2808</v>
      </c>
    </row>
    <row r="19949" spans="1:8" x14ac:dyDescent="0.25">
      <c r="A19949" t="s">
        <v>16</v>
      </c>
      <c r="B19949" t="s">
        <v>2808</v>
      </c>
    </row>
    <row r="19950" spans="1:8" x14ac:dyDescent="0.25">
      <c r="A19950" t="s">
        <v>17</v>
      </c>
      <c r="B19950" t="s">
        <v>2808</v>
      </c>
    </row>
    <row r="19951" spans="1:8" x14ac:dyDescent="0.25">
      <c r="A19951" t="s">
        <v>18</v>
      </c>
      <c r="B19951" t="s">
        <v>2808</v>
      </c>
    </row>
    <row r="19952" spans="1:8" x14ac:dyDescent="0.25">
      <c r="A19952" t="str">
        <f xml:space="preserve"> $H$19944</f>
        <v>&lt;flags count_in_cargo="0" count_in_hoarder="0" count_in_map="1" count_in_player="0" crafted="0" deloot="0"/&gt;</v>
      </c>
      <c r="B19952" t="s">
        <v>2808</v>
      </c>
    </row>
    <row r="19953" spans="1:8" x14ac:dyDescent="0.25">
      <c r="A19953" t="str">
        <f>"&lt;category name=" &amp;"""" &amp;$C$19944&amp;"""/&gt;"</f>
        <v>&lt;category name="weapons"/&gt;</v>
      </c>
      <c r="B19953" t="s">
        <v>2808</v>
      </c>
    </row>
    <row r="19954" spans="1:8" x14ac:dyDescent="0.25">
      <c r="A19954" t="s">
        <v>20</v>
      </c>
      <c r="B19954" t="s">
        <v>2808</v>
      </c>
    </row>
    <row r="19955" spans="1:8" x14ac:dyDescent="0.25">
      <c r="A19955" t="s">
        <v>29</v>
      </c>
      <c r="B19955" t="s">
        <v>2808</v>
      </c>
    </row>
    <row r="19956" spans="1:8" x14ac:dyDescent="0.25">
      <c r="A19956" t="s">
        <v>31</v>
      </c>
      <c r="B19956" t="s">
        <v>2808</v>
      </c>
    </row>
    <row r="19957" spans="1:8" x14ac:dyDescent="0.25">
      <c r="A19957" t="s">
        <v>307</v>
      </c>
      <c r="B19957" t="s">
        <v>2808</v>
      </c>
    </row>
    <row r="19958" spans="1:8" x14ac:dyDescent="0.25">
      <c r="A19958" t="s">
        <v>22</v>
      </c>
      <c r="B19958" t="s">
        <v>2808</v>
      </c>
    </row>
    <row r="19959" spans="1:8" x14ac:dyDescent="0.25">
      <c r="B19959" t="s">
        <v>2808</v>
      </c>
    </row>
    <row r="19960" spans="1:8" x14ac:dyDescent="0.25">
      <c r="A19960" t="s">
        <v>2827</v>
      </c>
      <c r="B19960" t="s">
        <v>2786</v>
      </c>
      <c r="C19960" t="s">
        <v>8</v>
      </c>
      <c r="D19960">
        <v>6</v>
      </c>
      <c r="E19960">
        <v>7200</v>
      </c>
      <c r="F19960">
        <v>0</v>
      </c>
      <c r="G19960">
        <v>2</v>
      </c>
      <c r="H19960" t="s">
        <v>19</v>
      </c>
    </row>
    <row r="19961" spans="1:8" x14ac:dyDescent="0.25">
      <c r="A19961" t="str">
        <f>"&lt;nominal&gt;" &amp;$D$19960&amp;"&lt;/nominal&gt;"</f>
        <v>&lt;nominal&gt;6&lt;/nominal&gt;</v>
      </c>
      <c r="B19961" t="s">
        <v>2786</v>
      </c>
    </row>
    <row r="19962" spans="1:8" x14ac:dyDescent="0.25">
      <c r="A19962" t="str">
        <f>"&lt;lifetime&gt;" &amp;$E$19960&amp;"&lt;/lifetime&gt;"</f>
        <v>&lt;lifetime&gt;7200&lt;/lifetime&gt;</v>
      </c>
      <c r="B19962" t="s">
        <v>2786</v>
      </c>
    </row>
    <row r="19963" spans="1:8" x14ac:dyDescent="0.25">
      <c r="A19963" t="str">
        <f>"&lt;restock&gt;" &amp;$F$19960&amp;"&lt;/restock&gt;"</f>
        <v>&lt;restock&gt;0&lt;/restock&gt;</v>
      </c>
      <c r="B19963" t="s">
        <v>2786</v>
      </c>
    </row>
    <row r="19964" spans="1:8" x14ac:dyDescent="0.25">
      <c r="A19964" t="str">
        <f>"&lt;min&gt;" &amp;$G$19960&amp;"&lt;/min&gt;"</f>
        <v>&lt;min&gt;2&lt;/min&gt;</v>
      </c>
      <c r="B19964" t="s">
        <v>2786</v>
      </c>
    </row>
    <row r="19965" spans="1:8" x14ac:dyDescent="0.25">
      <c r="A19965" t="s">
        <v>45</v>
      </c>
      <c r="B19965" t="s">
        <v>2786</v>
      </c>
    </row>
    <row r="19966" spans="1:8" x14ac:dyDescent="0.25">
      <c r="A19966" t="s">
        <v>328</v>
      </c>
      <c r="B19966" t="s">
        <v>2786</v>
      </c>
    </row>
    <row r="19967" spans="1:8" x14ac:dyDescent="0.25">
      <c r="A19967" t="s">
        <v>18</v>
      </c>
      <c r="B19967" t="s">
        <v>2786</v>
      </c>
    </row>
    <row r="19968" spans="1:8" x14ac:dyDescent="0.25">
      <c r="A19968" t="str">
        <f xml:space="preserve"> $H$19960</f>
        <v>&lt;flags count_in_cargo="0" count_in_hoarder="0" count_in_map="1" count_in_player="0" crafted="0" deloot="0"/&gt;</v>
      </c>
      <c r="B19968" t="s">
        <v>2786</v>
      </c>
    </row>
    <row r="19969" spans="1:8" x14ac:dyDescent="0.25">
      <c r="A19969" t="str">
        <f>"&lt;category name=" &amp;"""" &amp;$C$19960&amp;"""/&gt;"</f>
        <v>&lt;category name="weapons"/&gt;</v>
      </c>
      <c r="B19969" t="s">
        <v>2786</v>
      </c>
    </row>
    <row r="19970" spans="1:8" x14ac:dyDescent="0.25">
      <c r="A19970" t="s">
        <v>20</v>
      </c>
      <c r="B19970" t="s">
        <v>2786</v>
      </c>
    </row>
    <row r="19971" spans="1:8" x14ac:dyDescent="0.25">
      <c r="A19971" t="s">
        <v>307</v>
      </c>
      <c r="B19971" t="s">
        <v>2786</v>
      </c>
    </row>
    <row r="19972" spans="1:8" x14ac:dyDescent="0.25">
      <c r="A19972" t="s">
        <v>22</v>
      </c>
      <c r="B19972" t="s">
        <v>2786</v>
      </c>
    </row>
    <row r="19973" spans="1:8" x14ac:dyDescent="0.25">
      <c r="A19973" t="s">
        <v>2828</v>
      </c>
      <c r="B19973" t="s">
        <v>2787</v>
      </c>
      <c r="C19973" t="s">
        <v>8</v>
      </c>
      <c r="D19973">
        <v>3</v>
      </c>
      <c r="E19973">
        <v>10800</v>
      </c>
      <c r="F19973">
        <v>0</v>
      </c>
      <c r="G19973">
        <v>1</v>
      </c>
      <c r="H19973" t="s">
        <v>19</v>
      </c>
    </row>
    <row r="19974" spans="1:8" x14ac:dyDescent="0.25">
      <c r="A19974" t="str">
        <f>"&lt;nominal&gt;" &amp;$D$19973&amp;"&lt;/nominal&gt;"</f>
        <v>&lt;nominal&gt;3&lt;/nominal&gt;</v>
      </c>
      <c r="B19974" t="s">
        <v>2787</v>
      </c>
    </row>
    <row r="19975" spans="1:8" x14ac:dyDescent="0.25">
      <c r="A19975" t="str">
        <f>"&lt;lifetime&gt;" &amp;$E$19973&amp;"&lt;/lifetime&gt;"</f>
        <v>&lt;lifetime&gt;10800&lt;/lifetime&gt;</v>
      </c>
      <c r="B19975" t="s">
        <v>2787</v>
      </c>
    </row>
    <row r="19976" spans="1:8" x14ac:dyDescent="0.25">
      <c r="A19976" t="str">
        <f>"&lt;restock&gt;" &amp;$F$19973&amp;"&lt;/restock&gt;"</f>
        <v>&lt;restock&gt;0&lt;/restock&gt;</v>
      </c>
      <c r="B19976" t="s">
        <v>2787</v>
      </c>
    </row>
    <row r="19977" spans="1:8" x14ac:dyDescent="0.25">
      <c r="A19977" t="str">
        <f>"&lt;min&gt;" &amp;$G$19973&amp;"&lt;/min&gt;"</f>
        <v>&lt;min&gt;1&lt;/min&gt;</v>
      </c>
      <c r="B19977" t="s">
        <v>2787</v>
      </c>
    </row>
    <row r="19978" spans="1:8" x14ac:dyDescent="0.25">
      <c r="A19978" t="s">
        <v>16</v>
      </c>
      <c r="B19978" t="s">
        <v>2787</v>
      </c>
    </row>
    <row r="19979" spans="1:8" x14ac:dyDescent="0.25">
      <c r="A19979" t="s">
        <v>17</v>
      </c>
      <c r="B19979" t="s">
        <v>2787</v>
      </c>
    </row>
    <row r="19980" spans="1:8" x14ac:dyDescent="0.25">
      <c r="A19980" t="s">
        <v>18</v>
      </c>
      <c r="B19980" t="s">
        <v>2787</v>
      </c>
    </row>
    <row r="19981" spans="1:8" x14ac:dyDescent="0.25">
      <c r="A19981" t="str">
        <f xml:space="preserve"> $H$19973</f>
        <v>&lt;flags count_in_cargo="0" count_in_hoarder="0" count_in_map="1" count_in_player="0" crafted="0" deloot="0"/&gt;</v>
      </c>
      <c r="B19981" t="s">
        <v>2787</v>
      </c>
    </row>
    <row r="19982" spans="1:8" x14ac:dyDescent="0.25">
      <c r="A19982" t="str">
        <f>"&lt;category name=" &amp;"""" &amp;$C$19973&amp;"""/&gt;"</f>
        <v>&lt;category name="weapons"/&gt;</v>
      </c>
      <c r="B19982" t="s">
        <v>2787</v>
      </c>
    </row>
    <row r="19983" spans="1:8" x14ac:dyDescent="0.25">
      <c r="A19983" t="s">
        <v>20</v>
      </c>
      <c r="B19983" t="s">
        <v>2787</v>
      </c>
    </row>
    <row r="19984" spans="1:8" x14ac:dyDescent="0.25">
      <c r="A19984" t="s">
        <v>29</v>
      </c>
      <c r="B19984" t="s">
        <v>2787</v>
      </c>
    </row>
    <row r="19985" spans="1:8" x14ac:dyDescent="0.25">
      <c r="A19985" t="s">
        <v>307</v>
      </c>
      <c r="B19985" t="s">
        <v>2787</v>
      </c>
    </row>
    <row r="19986" spans="1:8" x14ac:dyDescent="0.25">
      <c r="A19986" t="s">
        <v>336</v>
      </c>
      <c r="B19986" t="s">
        <v>2787</v>
      </c>
    </row>
    <row r="19987" spans="1:8" x14ac:dyDescent="0.25">
      <c r="B19987" t="s">
        <v>2787</v>
      </c>
    </row>
    <row r="19988" spans="1:8" x14ac:dyDescent="0.25">
      <c r="A19988" t="s">
        <v>2829</v>
      </c>
      <c r="B19988" t="s">
        <v>2788</v>
      </c>
      <c r="C19988" t="s">
        <v>8</v>
      </c>
      <c r="D19988">
        <v>6</v>
      </c>
      <c r="E19988">
        <v>7200</v>
      </c>
      <c r="F19988">
        <v>0</v>
      </c>
      <c r="G19988">
        <v>2</v>
      </c>
      <c r="H19988" t="s">
        <v>19</v>
      </c>
    </row>
    <row r="19989" spans="1:8" x14ac:dyDescent="0.25">
      <c r="A19989" t="str">
        <f>"&lt;nominal&gt;" &amp;$D$19988&amp;"&lt;/nominal&gt;"</f>
        <v>&lt;nominal&gt;6&lt;/nominal&gt;</v>
      </c>
      <c r="B19989" t="s">
        <v>2788</v>
      </c>
    </row>
    <row r="19990" spans="1:8" x14ac:dyDescent="0.25">
      <c r="A19990" t="str">
        <f>"&lt;lifetime&gt;" &amp;$E$19988&amp;"&lt;/lifetime&gt;"</f>
        <v>&lt;lifetime&gt;7200&lt;/lifetime&gt;</v>
      </c>
      <c r="B19990" t="s">
        <v>2788</v>
      </c>
    </row>
    <row r="19991" spans="1:8" x14ac:dyDescent="0.25">
      <c r="A19991" t="str">
        <f>"&lt;restock&gt;" &amp;$F$19988&amp;"&lt;/restock&gt;"</f>
        <v>&lt;restock&gt;0&lt;/restock&gt;</v>
      </c>
      <c r="B19991" t="s">
        <v>2788</v>
      </c>
    </row>
    <row r="19992" spans="1:8" x14ac:dyDescent="0.25">
      <c r="A19992" t="str">
        <f>"&lt;min&gt;" &amp;$G$19988&amp;"&lt;/min&gt;"</f>
        <v>&lt;min&gt;2&lt;/min&gt;</v>
      </c>
      <c r="B19992" t="s">
        <v>2788</v>
      </c>
    </row>
    <row r="19993" spans="1:8" x14ac:dyDescent="0.25">
      <c r="A19993" t="s">
        <v>45</v>
      </c>
      <c r="B19993" t="s">
        <v>2788</v>
      </c>
    </row>
    <row r="19994" spans="1:8" x14ac:dyDescent="0.25">
      <c r="A19994" t="s">
        <v>328</v>
      </c>
      <c r="B19994" t="s">
        <v>2788</v>
      </c>
    </row>
    <row r="19995" spans="1:8" x14ac:dyDescent="0.25">
      <c r="A19995" t="s">
        <v>18</v>
      </c>
      <c r="B19995" t="s">
        <v>2788</v>
      </c>
    </row>
    <row r="19996" spans="1:8" x14ac:dyDescent="0.25">
      <c r="A19996" t="str">
        <f xml:space="preserve"> $H$19988</f>
        <v>&lt;flags count_in_cargo="0" count_in_hoarder="0" count_in_map="1" count_in_player="0" crafted="0" deloot="0"/&gt;</v>
      </c>
      <c r="B19996" t="s">
        <v>2788</v>
      </c>
    </row>
    <row r="19997" spans="1:8" x14ac:dyDescent="0.25">
      <c r="A19997" t="str">
        <f>"&lt;category name=" &amp;"""" &amp;$C$19988&amp;"""/&gt;"</f>
        <v>&lt;category name="weapons"/&gt;</v>
      </c>
      <c r="B19997" t="s">
        <v>2788</v>
      </c>
    </row>
    <row r="19998" spans="1:8" x14ac:dyDescent="0.25">
      <c r="A19998" t="s">
        <v>20</v>
      </c>
      <c r="B19998" t="s">
        <v>2788</v>
      </c>
    </row>
    <row r="19999" spans="1:8" x14ac:dyDescent="0.25">
      <c r="A19999" t="s">
        <v>307</v>
      </c>
      <c r="B19999" t="s">
        <v>2788</v>
      </c>
    </row>
    <row r="20000" spans="1:8" x14ac:dyDescent="0.25">
      <c r="A20000" t="s">
        <v>22</v>
      </c>
      <c r="B20000" t="s">
        <v>2788</v>
      </c>
    </row>
    <row r="20001" spans="1:8" x14ac:dyDescent="0.25">
      <c r="A20001" t="s">
        <v>2830</v>
      </c>
      <c r="B20001" t="s">
        <v>2789</v>
      </c>
      <c r="C20001" t="s">
        <v>8</v>
      </c>
      <c r="D20001">
        <v>3</v>
      </c>
      <c r="E20001">
        <v>10800</v>
      </c>
      <c r="F20001">
        <v>0</v>
      </c>
      <c r="G20001">
        <v>1</v>
      </c>
      <c r="H20001" t="s">
        <v>19</v>
      </c>
    </row>
    <row r="20002" spans="1:8" x14ac:dyDescent="0.25">
      <c r="A20002" t="str">
        <f>"&lt;nominal&gt;" &amp;$D$20001&amp;"&lt;/nominal&gt;"</f>
        <v>&lt;nominal&gt;3&lt;/nominal&gt;</v>
      </c>
      <c r="B20002" t="s">
        <v>2789</v>
      </c>
    </row>
    <row r="20003" spans="1:8" x14ac:dyDescent="0.25">
      <c r="A20003" t="str">
        <f>"&lt;lifetime&gt;" &amp;$E$20001&amp;"&lt;/lifetime&gt;"</f>
        <v>&lt;lifetime&gt;10800&lt;/lifetime&gt;</v>
      </c>
      <c r="B20003" t="s">
        <v>2789</v>
      </c>
    </row>
    <row r="20004" spans="1:8" x14ac:dyDescent="0.25">
      <c r="A20004" t="str">
        <f>"&lt;restock&gt;" &amp;$F$20001&amp;"&lt;/restock&gt;"</f>
        <v>&lt;restock&gt;0&lt;/restock&gt;</v>
      </c>
      <c r="B20004" t="s">
        <v>2789</v>
      </c>
    </row>
    <row r="20005" spans="1:8" x14ac:dyDescent="0.25">
      <c r="A20005" t="str">
        <f>"&lt;min&gt;" &amp;$G$20001&amp;"&lt;/min&gt;"</f>
        <v>&lt;min&gt;1&lt;/min&gt;</v>
      </c>
      <c r="B20005" t="s">
        <v>2789</v>
      </c>
    </row>
    <row r="20006" spans="1:8" x14ac:dyDescent="0.25">
      <c r="A20006" t="s">
        <v>16</v>
      </c>
      <c r="B20006" t="s">
        <v>2789</v>
      </c>
    </row>
    <row r="20007" spans="1:8" x14ac:dyDescent="0.25">
      <c r="A20007" t="s">
        <v>17</v>
      </c>
      <c r="B20007" t="s">
        <v>2789</v>
      </c>
    </row>
    <row r="20008" spans="1:8" x14ac:dyDescent="0.25">
      <c r="A20008" t="s">
        <v>18</v>
      </c>
      <c r="B20008" t="s">
        <v>2789</v>
      </c>
    </row>
    <row r="20009" spans="1:8" x14ac:dyDescent="0.25">
      <c r="A20009" t="str">
        <f xml:space="preserve"> $H$20001</f>
        <v>&lt;flags count_in_cargo="0" count_in_hoarder="0" count_in_map="1" count_in_player="0" crafted="0" deloot="0"/&gt;</v>
      </c>
      <c r="B20009" t="s">
        <v>2789</v>
      </c>
    </row>
    <row r="20010" spans="1:8" x14ac:dyDescent="0.25">
      <c r="A20010" t="str">
        <f>"&lt;category name=" &amp;"""" &amp;$C$20001&amp;"""/&gt;"</f>
        <v>&lt;category name="weapons"/&gt;</v>
      </c>
      <c r="B20010" t="s">
        <v>2789</v>
      </c>
    </row>
    <row r="20011" spans="1:8" x14ac:dyDescent="0.25">
      <c r="A20011" t="s">
        <v>20</v>
      </c>
      <c r="B20011" t="s">
        <v>2789</v>
      </c>
    </row>
    <row r="20012" spans="1:8" x14ac:dyDescent="0.25">
      <c r="A20012" t="s">
        <v>29</v>
      </c>
      <c r="B20012" t="s">
        <v>2789</v>
      </c>
    </row>
    <row r="20013" spans="1:8" x14ac:dyDescent="0.25">
      <c r="A20013" t="s">
        <v>307</v>
      </c>
      <c r="B20013" t="s">
        <v>2789</v>
      </c>
    </row>
    <row r="20014" spans="1:8" x14ac:dyDescent="0.25">
      <c r="A20014" t="s">
        <v>22</v>
      </c>
      <c r="B20014" t="s">
        <v>2789</v>
      </c>
    </row>
    <row r="20015" spans="1:8" x14ac:dyDescent="0.25">
      <c r="B20015" t="s">
        <v>2789</v>
      </c>
    </row>
    <row r="20016" spans="1:8" x14ac:dyDescent="0.25">
      <c r="B20016" t="s">
        <v>2789</v>
      </c>
    </row>
    <row r="20017" spans="1:8" x14ac:dyDescent="0.25">
      <c r="A20017" t="s">
        <v>2831</v>
      </c>
      <c r="B20017" t="s">
        <v>2790</v>
      </c>
      <c r="C20017" t="s">
        <v>8</v>
      </c>
      <c r="D20017">
        <v>20</v>
      </c>
      <c r="E20017">
        <v>7200</v>
      </c>
      <c r="F20017">
        <v>0</v>
      </c>
      <c r="G20017">
        <v>10</v>
      </c>
      <c r="H20017" t="s">
        <v>19</v>
      </c>
    </row>
    <row r="20018" spans="1:8" x14ac:dyDescent="0.25">
      <c r="A20018" t="str">
        <f>"&lt;nominal&gt;" &amp;$D$20017&amp;"&lt;/nominal&gt;"</f>
        <v>&lt;nominal&gt;20&lt;/nominal&gt;</v>
      </c>
      <c r="B20018" t="s">
        <v>2790</v>
      </c>
    </row>
    <row r="20019" spans="1:8" x14ac:dyDescent="0.25">
      <c r="A20019" t="str">
        <f>"&lt;lifetime&gt;" &amp;$E$20017&amp;"&lt;/lifetime&gt;"</f>
        <v>&lt;lifetime&gt;7200&lt;/lifetime&gt;</v>
      </c>
      <c r="B20019" t="s">
        <v>2790</v>
      </c>
    </row>
    <row r="20020" spans="1:8" x14ac:dyDescent="0.25">
      <c r="A20020" t="str">
        <f>"&lt;restock&gt;" &amp;$F$20017&amp;"&lt;/restock&gt;"</f>
        <v>&lt;restock&gt;0&lt;/restock&gt;</v>
      </c>
      <c r="B20020" t="s">
        <v>2790</v>
      </c>
    </row>
    <row r="20021" spans="1:8" x14ac:dyDescent="0.25">
      <c r="A20021" t="str">
        <f>"&lt;min&gt;" &amp;$G$20017&amp;"&lt;/min&gt;"</f>
        <v>&lt;min&gt;10&lt;/min&gt;</v>
      </c>
      <c r="B20021" t="s">
        <v>2790</v>
      </c>
    </row>
    <row r="20022" spans="1:8" x14ac:dyDescent="0.25">
      <c r="A20022" t="s">
        <v>45</v>
      </c>
      <c r="B20022" t="s">
        <v>2790</v>
      </c>
    </row>
    <row r="20023" spans="1:8" x14ac:dyDescent="0.25">
      <c r="A20023" t="s">
        <v>328</v>
      </c>
      <c r="B20023" t="s">
        <v>2790</v>
      </c>
    </row>
    <row r="20024" spans="1:8" x14ac:dyDescent="0.25">
      <c r="A20024" t="s">
        <v>18</v>
      </c>
      <c r="B20024" t="s">
        <v>2790</v>
      </c>
    </row>
    <row r="20025" spans="1:8" x14ac:dyDescent="0.25">
      <c r="A20025" t="str">
        <f xml:space="preserve"> $H$20017</f>
        <v>&lt;flags count_in_cargo="0" count_in_hoarder="0" count_in_map="1" count_in_player="0" crafted="0" deloot="0"/&gt;</v>
      </c>
      <c r="B20025" t="s">
        <v>2790</v>
      </c>
    </row>
    <row r="20026" spans="1:8" x14ac:dyDescent="0.25">
      <c r="A20026" t="str">
        <f>"&lt;category name=" &amp;"""" &amp;$C$20017&amp;"""/&gt;"</f>
        <v>&lt;category name="weapons"/&gt;</v>
      </c>
      <c r="B20026" t="s">
        <v>2790</v>
      </c>
    </row>
    <row r="20027" spans="1:8" x14ac:dyDescent="0.25">
      <c r="A20027" t="s">
        <v>20</v>
      </c>
      <c r="B20027" t="s">
        <v>2790</v>
      </c>
    </row>
    <row r="20028" spans="1:8" x14ac:dyDescent="0.25">
      <c r="A20028" t="s">
        <v>56</v>
      </c>
      <c r="B20028" t="s">
        <v>2790</v>
      </c>
    </row>
    <row r="20029" spans="1:8" x14ac:dyDescent="0.25">
      <c r="A20029" t="s">
        <v>39</v>
      </c>
      <c r="B20029" t="s">
        <v>2790</v>
      </c>
    </row>
    <row r="20030" spans="1:8" x14ac:dyDescent="0.25">
      <c r="A20030" t="s">
        <v>40</v>
      </c>
      <c r="B20030" t="s">
        <v>2790</v>
      </c>
    </row>
    <row r="20031" spans="1:8" x14ac:dyDescent="0.25">
      <c r="A20031" t="s">
        <v>67</v>
      </c>
      <c r="B20031" t="s">
        <v>2790</v>
      </c>
    </row>
    <row r="20032" spans="1:8" x14ac:dyDescent="0.25">
      <c r="A20032" t="s">
        <v>30</v>
      </c>
      <c r="B20032" t="s">
        <v>2790</v>
      </c>
    </row>
    <row r="20033" spans="1:8" x14ac:dyDescent="0.25">
      <c r="A20033" t="s">
        <v>31</v>
      </c>
      <c r="B20033" t="s">
        <v>2790</v>
      </c>
    </row>
    <row r="20034" spans="1:8" x14ac:dyDescent="0.25">
      <c r="A20034" t="s">
        <v>307</v>
      </c>
      <c r="B20034" t="s">
        <v>2790</v>
      </c>
    </row>
    <row r="20035" spans="1:8" x14ac:dyDescent="0.25">
      <c r="A20035" t="s">
        <v>22</v>
      </c>
      <c r="B20035" t="s">
        <v>2790</v>
      </c>
    </row>
    <row r="20036" spans="1:8" x14ac:dyDescent="0.25">
      <c r="A20036" t="s">
        <v>2832</v>
      </c>
      <c r="B20036" t="s">
        <v>2791</v>
      </c>
      <c r="C20036" t="s">
        <v>8</v>
      </c>
      <c r="D20036">
        <v>10</v>
      </c>
      <c r="E20036">
        <v>10800</v>
      </c>
      <c r="F20036">
        <v>0</v>
      </c>
      <c r="G20036">
        <v>5</v>
      </c>
      <c r="H20036" t="s">
        <v>19</v>
      </c>
    </row>
    <row r="20037" spans="1:8" x14ac:dyDescent="0.25">
      <c r="A20037" t="str">
        <f>"&lt;nominal&gt;" &amp;$D$20036&amp;"&lt;/nominal&gt;"</f>
        <v>&lt;nominal&gt;10&lt;/nominal&gt;</v>
      </c>
      <c r="B20037" t="s">
        <v>2791</v>
      </c>
    </row>
    <row r="20038" spans="1:8" x14ac:dyDescent="0.25">
      <c r="A20038" t="str">
        <f>"&lt;lifetime&gt;" &amp;$E$20036&amp;"&lt;/lifetime&gt;"</f>
        <v>&lt;lifetime&gt;10800&lt;/lifetime&gt;</v>
      </c>
      <c r="B20038" t="s">
        <v>2791</v>
      </c>
    </row>
    <row r="20039" spans="1:8" x14ac:dyDescent="0.25">
      <c r="A20039" t="str">
        <f>"&lt;restock&gt;" &amp;$F$20036&amp;"&lt;/restock&gt;"</f>
        <v>&lt;restock&gt;0&lt;/restock&gt;</v>
      </c>
      <c r="B20039" t="s">
        <v>2791</v>
      </c>
    </row>
    <row r="20040" spans="1:8" x14ac:dyDescent="0.25">
      <c r="A20040" t="str">
        <f>"&lt;min&gt;" &amp;$G$20036&amp;"&lt;/min&gt;"</f>
        <v>&lt;min&gt;5&lt;/min&gt;</v>
      </c>
      <c r="B20040" t="s">
        <v>2791</v>
      </c>
    </row>
    <row r="20041" spans="1:8" x14ac:dyDescent="0.25">
      <c r="A20041" t="s">
        <v>16</v>
      </c>
      <c r="B20041" t="s">
        <v>2791</v>
      </c>
    </row>
    <row r="20042" spans="1:8" x14ac:dyDescent="0.25">
      <c r="A20042" t="s">
        <v>17</v>
      </c>
      <c r="B20042" t="s">
        <v>2791</v>
      </c>
    </row>
    <row r="20043" spans="1:8" x14ac:dyDescent="0.25">
      <c r="A20043" t="s">
        <v>18</v>
      </c>
      <c r="B20043" t="s">
        <v>2791</v>
      </c>
    </row>
    <row r="20044" spans="1:8" x14ac:dyDescent="0.25">
      <c r="A20044" t="str">
        <f xml:space="preserve"> $H$20036</f>
        <v>&lt;flags count_in_cargo="0" count_in_hoarder="0" count_in_map="1" count_in_player="0" crafted="0" deloot="0"/&gt;</v>
      </c>
      <c r="B20044" t="s">
        <v>2791</v>
      </c>
    </row>
    <row r="20045" spans="1:8" x14ac:dyDescent="0.25">
      <c r="A20045" t="str">
        <f>"&lt;category name=" &amp;"""" &amp;$C$20036&amp;"""/&gt;"</f>
        <v>&lt;category name="weapons"/&gt;</v>
      </c>
      <c r="B20045" t="s">
        <v>2791</v>
      </c>
    </row>
    <row r="20046" spans="1:8" x14ac:dyDescent="0.25">
      <c r="A20046" t="s">
        <v>29</v>
      </c>
      <c r="B20046" t="s">
        <v>2791</v>
      </c>
    </row>
    <row r="20047" spans="1:8" x14ac:dyDescent="0.25">
      <c r="A20047" t="s">
        <v>67</v>
      </c>
      <c r="B20047" t="s">
        <v>2791</v>
      </c>
    </row>
    <row r="20048" spans="1:8" x14ac:dyDescent="0.25">
      <c r="A20048" t="s">
        <v>30</v>
      </c>
      <c r="B20048" t="s">
        <v>2791</v>
      </c>
    </row>
    <row r="20049" spans="1:8" x14ac:dyDescent="0.25">
      <c r="A20049" t="s">
        <v>31</v>
      </c>
      <c r="B20049" t="s">
        <v>2791</v>
      </c>
    </row>
    <row r="20050" spans="1:8" x14ac:dyDescent="0.25">
      <c r="A20050" t="s">
        <v>307</v>
      </c>
      <c r="B20050" t="s">
        <v>2791</v>
      </c>
    </row>
    <row r="20051" spans="1:8" x14ac:dyDescent="0.25">
      <c r="A20051" t="s">
        <v>22</v>
      </c>
      <c r="B20051" t="s">
        <v>2791</v>
      </c>
    </row>
    <row r="20052" spans="1:8" x14ac:dyDescent="0.25">
      <c r="A20052" t="s">
        <v>2833</v>
      </c>
      <c r="B20052" t="s">
        <v>2792</v>
      </c>
      <c r="C20052" t="s">
        <v>8</v>
      </c>
      <c r="D20052">
        <v>20</v>
      </c>
      <c r="E20052">
        <v>7200</v>
      </c>
      <c r="F20052">
        <v>0</v>
      </c>
      <c r="G20052">
        <v>10</v>
      </c>
      <c r="H20052" t="s">
        <v>19</v>
      </c>
    </row>
    <row r="20053" spans="1:8" x14ac:dyDescent="0.25">
      <c r="A20053" t="str">
        <f>"&lt;nominal&gt;" &amp;$D$20052&amp;"&lt;/nominal&gt;"</f>
        <v>&lt;nominal&gt;20&lt;/nominal&gt;</v>
      </c>
      <c r="B20053" t="s">
        <v>2792</v>
      </c>
    </row>
    <row r="20054" spans="1:8" x14ac:dyDescent="0.25">
      <c r="A20054" t="str">
        <f>"&lt;lifetime&gt;" &amp;$E$20052&amp;"&lt;/lifetime&gt;"</f>
        <v>&lt;lifetime&gt;7200&lt;/lifetime&gt;</v>
      </c>
      <c r="B20054" t="s">
        <v>2792</v>
      </c>
    </row>
    <row r="20055" spans="1:8" x14ac:dyDescent="0.25">
      <c r="A20055" t="str">
        <f>"&lt;restock&gt;" &amp;$F$20052&amp;"&lt;/restock&gt;"</f>
        <v>&lt;restock&gt;0&lt;/restock&gt;</v>
      </c>
      <c r="B20055" t="s">
        <v>2792</v>
      </c>
    </row>
    <row r="20056" spans="1:8" x14ac:dyDescent="0.25">
      <c r="A20056" t="str">
        <f>"&lt;min&gt;" &amp;$G$20052&amp;"&lt;/min&gt;"</f>
        <v>&lt;min&gt;10&lt;/min&gt;</v>
      </c>
      <c r="B20056" t="s">
        <v>2792</v>
      </c>
    </row>
    <row r="20057" spans="1:8" x14ac:dyDescent="0.25">
      <c r="A20057" t="s">
        <v>45</v>
      </c>
      <c r="B20057" t="s">
        <v>2792</v>
      </c>
    </row>
    <row r="20058" spans="1:8" x14ac:dyDescent="0.25">
      <c r="A20058" t="s">
        <v>328</v>
      </c>
      <c r="B20058" t="s">
        <v>2792</v>
      </c>
    </row>
    <row r="20059" spans="1:8" x14ac:dyDescent="0.25">
      <c r="A20059" t="s">
        <v>18</v>
      </c>
      <c r="B20059" t="s">
        <v>2792</v>
      </c>
    </row>
    <row r="20060" spans="1:8" x14ac:dyDescent="0.25">
      <c r="A20060" t="str">
        <f xml:space="preserve"> $H$20052</f>
        <v>&lt;flags count_in_cargo="0" count_in_hoarder="0" count_in_map="1" count_in_player="0" crafted="0" deloot="0"/&gt;</v>
      </c>
      <c r="B20060" t="s">
        <v>2792</v>
      </c>
    </row>
    <row r="20061" spans="1:8" x14ac:dyDescent="0.25">
      <c r="A20061" t="str">
        <f>"&lt;category name=" &amp;"""" &amp;$C$20052&amp;"""/&gt;"</f>
        <v>&lt;category name="weapons"/&gt;</v>
      </c>
      <c r="B20061" t="s">
        <v>2792</v>
      </c>
    </row>
    <row r="20062" spans="1:8" x14ac:dyDescent="0.25">
      <c r="A20062" t="s">
        <v>20</v>
      </c>
      <c r="B20062" t="s">
        <v>2792</v>
      </c>
    </row>
    <row r="20063" spans="1:8" x14ac:dyDescent="0.25">
      <c r="A20063" t="s">
        <v>56</v>
      </c>
      <c r="B20063" t="s">
        <v>2792</v>
      </c>
    </row>
    <row r="20064" spans="1:8" x14ac:dyDescent="0.25">
      <c r="A20064" t="s">
        <v>39</v>
      </c>
      <c r="B20064" t="s">
        <v>2792</v>
      </c>
    </row>
    <row r="20065" spans="1:8" x14ac:dyDescent="0.25">
      <c r="A20065" t="s">
        <v>40</v>
      </c>
      <c r="B20065" t="s">
        <v>2792</v>
      </c>
    </row>
    <row r="20066" spans="1:8" x14ac:dyDescent="0.25">
      <c r="A20066" t="s">
        <v>67</v>
      </c>
      <c r="B20066" t="s">
        <v>2792</v>
      </c>
    </row>
    <row r="20067" spans="1:8" x14ac:dyDescent="0.25">
      <c r="A20067" t="s">
        <v>30</v>
      </c>
      <c r="B20067" t="s">
        <v>2792</v>
      </c>
    </row>
    <row r="20068" spans="1:8" x14ac:dyDescent="0.25">
      <c r="A20068" t="s">
        <v>31</v>
      </c>
      <c r="B20068" t="s">
        <v>2792</v>
      </c>
    </row>
    <row r="20069" spans="1:8" x14ac:dyDescent="0.25">
      <c r="A20069" t="s">
        <v>307</v>
      </c>
      <c r="B20069" t="s">
        <v>2792</v>
      </c>
    </row>
    <row r="20070" spans="1:8" x14ac:dyDescent="0.25">
      <c r="A20070" t="s">
        <v>22</v>
      </c>
      <c r="B20070" t="s">
        <v>2792</v>
      </c>
    </row>
    <row r="20071" spans="1:8" x14ac:dyDescent="0.25">
      <c r="A20071" t="s">
        <v>2834</v>
      </c>
      <c r="B20071" t="s">
        <v>2793</v>
      </c>
      <c r="C20071" t="s">
        <v>8</v>
      </c>
      <c r="D20071">
        <v>10</v>
      </c>
      <c r="E20071">
        <v>10800</v>
      </c>
      <c r="F20071">
        <v>0</v>
      </c>
      <c r="G20071">
        <v>5</v>
      </c>
      <c r="H20071" t="s">
        <v>19</v>
      </c>
    </row>
    <row r="20072" spans="1:8" x14ac:dyDescent="0.25">
      <c r="A20072" t="str">
        <f>"&lt;nominal&gt;" &amp;$D$20071&amp;"&lt;/nominal&gt;"</f>
        <v>&lt;nominal&gt;10&lt;/nominal&gt;</v>
      </c>
      <c r="B20072" t="s">
        <v>2793</v>
      </c>
    </row>
    <row r="20073" spans="1:8" x14ac:dyDescent="0.25">
      <c r="A20073" t="str">
        <f>"&lt;lifetime&gt;" &amp;$E$20071&amp;"&lt;/lifetime&gt;"</f>
        <v>&lt;lifetime&gt;10800&lt;/lifetime&gt;</v>
      </c>
      <c r="B20073" t="s">
        <v>2793</v>
      </c>
    </row>
    <row r="20074" spans="1:8" x14ac:dyDescent="0.25">
      <c r="A20074" t="str">
        <f>"&lt;restock&gt;" &amp;$F$20071&amp;"&lt;/restock&gt;"</f>
        <v>&lt;restock&gt;0&lt;/restock&gt;</v>
      </c>
      <c r="B20074" t="s">
        <v>2793</v>
      </c>
    </row>
    <row r="20075" spans="1:8" x14ac:dyDescent="0.25">
      <c r="A20075" t="str">
        <f>"&lt;min&gt;" &amp;$G$20071&amp;"&lt;/min&gt;"</f>
        <v>&lt;min&gt;5&lt;/min&gt;</v>
      </c>
      <c r="B20075" t="s">
        <v>2793</v>
      </c>
    </row>
    <row r="20076" spans="1:8" x14ac:dyDescent="0.25">
      <c r="A20076" t="s">
        <v>16</v>
      </c>
      <c r="B20076" t="s">
        <v>2793</v>
      </c>
    </row>
    <row r="20077" spans="1:8" x14ac:dyDescent="0.25">
      <c r="A20077" t="s">
        <v>17</v>
      </c>
      <c r="B20077" t="s">
        <v>2793</v>
      </c>
    </row>
    <row r="20078" spans="1:8" x14ac:dyDescent="0.25">
      <c r="A20078" t="s">
        <v>18</v>
      </c>
      <c r="B20078" t="s">
        <v>2793</v>
      </c>
    </row>
    <row r="20079" spans="1:8" x14ac:dyDescent="0.25">
      <c r="A20079" t="str">
        <f xml:space="preserve"> $H$20071</f>
        <v>&lt;flags count_in_cargo="0" count_in_hoarder="0" count_in_map="1" count_in_player="0" crafted="0" deloot="0"/&gt;</v>
      </c>
      <c r="B20079" t="s">
        <v>2793</v>
      </c>
    </row>
    <row r="20080" spans="1:8" x14ac:dyDescent="0.25">
      <c r="A20080" t="str">
        <f>"&lt;category name=" &amp;"""" &amp;$C$20071&amp;"""/&gt;"</f>
        <v>&lt;category name="weapons"/&gt;</v>
      </c>
      <c r="B20080" t="s">
        <v>2793</v>
      </c>
    </row>
    <row r="20081" spans="1:8" x14ac:dyDescent="0.25">
      <c r="A20081" t="s">
        <v>29</v>
      </c>
      <c r="B20081" t="s">
        <v>2793</v>
      </c>
    </row>
    <row r="20082" spans="1:8" x14ac:dyDescent="0.25">
      <c r="A20082" t="s">
        <v>67</v>
      </c>
      <c r="B20082" t="s">
        <v>2793</v>
      </c>
    </row>
    <row r="20083" spans="1:8" x14ac:dyDescent="0.25">
      <c r="A20083" t="s">
        <v>30</v>
      </c>
      <c r="B20083" t="s">
        <v>2793</v>
      </c>
    </row>
    <row r="20084" spans="1:8" x14ac:dyDescent="0.25">
      <c r="A20084" t="s">
        <v>31</v>
      </c>
      <c r="B20084" t="s">
        <v>2793</v>
      </c>
    </row>
    <row r="20085" spans="1:8" x14ac:dyDescent="0.25">
      <c r="A20085" t="s">
        <v>307</v>
      </c>
      <c r="B20085" t="s">
        <v>2793</v>
      </c>
    </row>
    <row r="20086" spans="1:8" x14ac:dyDescent="0.25">
      <c r="A20086" t="s">
        <v>22</v>
      </c>
      <c r="B20086" t="s">
        <v>2793</v>
      </c>
    </row>
    <row r="20087" spans="1:8" x14ac:dyDescent="0.25">
      <c r="B20087" t="s">
        <v>2793</v>
      </c>
    </row>
    <row r="20088" spans="1:8" x14ac:dyDescent="0.25">
      <c r="A20088" t="s">
        <v>2835</v>
      </c>
      <c r="B20088" t="s">
        <v>2806</v>
      </c>
      <c r="C20088" t="s">
        <v>8</v>
      </c>
      <c r="D20088">
        <v>20</v>
      </c>
      <c r="E20088">
        <v>7200</v>
      </c>
      <c r="F20088">
        <v>180</v>
      </c>
      <c r="G20088">
        <v>10</v>
      </c>
      <c r="H20088" t="s">
        <v>19</v>
      </c>
    </row>
    <row r="20089" spans="1:8" x14ac:dyDescent="0.25">
      <c r="A20089" t="str">
        <f>"&lt;nominal&gt;" &amp;$D$20088&amp;"&lt;/nominal&gt;"</f>
        <v>&lt;nominal&gt;20&lt;/nominal&gt;</v>
      </c>
      <c r="B20089" t="s">
        <v>2806</v>
      </c>
    </row>
    <row r="20090" spans="1:8" x14ac:dyDescent="0.25">
      <c r="A20090" t="str">
        <f>"&lt;lifetime&gt;" &amp;$E$20088&amp;"&lt;/lifetime&gt;"</f>
        <v>&lt;lifetime&gt;7200&lt;/lifetime&gt;</v>
      </c>
      <c r="B20090" t="s">
        <v>2806</v>
      </c>
    </row>
    <row r="20091" spans="1:8" x14ac:dyDescent="0.25">
      <c r="A20091" t="str">
        <f>"&lt;restock&gt;" &amp;$F$20088&amp;"&lt;/restock&gt;"</f>
        <v>&lt;restock&gt;180&lt;/restock&gt;</v>
      </c>
      <c r="B20091" t="s">
        <v>2806</v>
      </c>
    </row>
    <row r="20092" spans="1:8" x14ac:dyDescent="0.25">
      <c r="A20092" t="str">
        <f>"&lt;min&gt;" &amp;$G$20088&amp;"&lt;/min&gt;"</f>
        <v>&lt;min&gt;10&lt;/min&gt;</v>
      </c>
      <c r="B20092" t="s">
        <v>2806</v>
      </c>
    </row>
    <row r="20093" spans="1:8" x14ac:dyDescent="0.25">
      <c r="A20093" t="s">
        <v>337</v>
      </c>
      <c r="B20093" t="s">
        <v>2806</v>
      </c>
    </row>
    <row r="20094" spans="1:8" x14ac:dyDescent="0.25">
      <c r="A20094" t="s">
        <v>46</v>
      </c>
      <c r="B20094" t="s">
        <v>2806</v>
      </c>
    </row>
    <row r="20095" spans="1:8" x14ac:dyDescent="0.25">
      <c r="A20095" t="s">
        <v>18</v>
      </c>
      <c r="B20095" t="s">
        <v>2806</v>
      </c>
    </row>
    <row r="20096" spans="1:8" x14ac:dyDescent="0.25">
      <c r="A20096" t="str">
        <f xml:space="preserve"> $H$20088</f>
        <v>&lt;flags count_in_cargo="0" count_in_hoarder="0" count_in_map="1" count_in_player="0" crafted="0" deloot="0"/&gt;</v>
      </c>
      <c r="B20096" t="s">
        <v>2806</v>
      </c>
    </row>
    <row r="20097" spans="1:8" x14ac:dyDescent="0.25">
      <c r="A20097" t="str">
        <f>"&lt;category name=" &amp;"""" &amp;$C$20088&amp;"""/&gt;"</f>
        <v>&lt;category name="weapons"/&gt;</v>
      </c>
      <c r="B20097" t="s">
        <v>2806</v>
      </c>
    </row>
    <row r="20098" spans="1:8" x14ac:dyDescent="0.25">
      <c r="A20098" t="s">
        <v>20</v>
      </c>
      <c r="B20098" t="s">
        <v>2806</v>
      </c>
    </row>
    <row r="20099" spans="1:8" x14ac:dyDescent="0.25">
      <c r="A20099" t="s">
        <v>56</v>
      </c>
      <c r="B20099" t="s">
        <v>2806</v>
      </c>
    </row>
    <row r="20100" spans="1:8" x14ac:dyDescent="0.25">
      <c r="A20100" t="s">
        <v>39</v>
      </c>
      <c r="B20100" t="s">
        <v>2806</v>
      </c>
    </row>
    <row r="20101" spans="1:8" x14ac:dyDescent="0.25">
      <c r="A20101" t="s">
        <v>40</v>
      </c>
      <c r="B20101" t="s">
        <v>2806</v>
      </c>
    </row>
    <row r="20102" spans="1:8" x14ac:dyDescent="0.25">
      <c r="A20102" t="s">
        <v>22</v>
      </c>
      <c r="B20102" t="s">
        <v>2806</v>
      </c>
    </row>
    <row r="20103" spans="1:8" x14ac:dyDescent="0.25">
      <c r="A20103" t="s">
        <v>2836</v>
      </c>
      <c r="B20103" t="s">
        <v>2805</v>
      </c>
      <c r="C20103" t="s">
        <v>8</v>
      </c>
      <c r="D20103">
        <v>10</v>
      </c>
      <c r="E20103">
        <v>10800</v>
      </c>
      <c r="F20103">
        <v>0</v>
      </c>
      <c r="G20103">
        <v>5</v>
      </c>
      <c r="H20103" t="s">
        <v>19</v>
      </c>
    </row>
    <row r="20104" spans="1:8" x14ac:dyDescent="0.25">
      <c r="A20104" t="str">
        <f>"&lt;nominal&gt;" &amp;$D$20103&amp;"&lt;/nominal&gt;"</f>
        <v>&lt;nominal&gt;10&lt;/nominal&gt;</v>
      </c>
      <c r="B20104" t="s">
        <v>2805</v>
      </c>
    </row>
    <row r="20105" spans="1:8" x14ac:dyDescent="0.25">
      <c r="A20105" t="str">
        <f>"&lt;lifetime&gt;" &amp;$E$20103&amp;"&lt;/lifetime&gt;"</f>
        <v>&lt;lifetime&gt;10800&lt;/lifetime&gt;</v>
      </c>
      <c r="B20105" t="s">
        <v>2805</v>
      </c>
    </row>
    <row r="20106" spans="1:8" x14ac:dyDescent="0.25">
      <c r="A20106" t="str">
        <f>"&lt;restock&gt;" &amp;$F$20103&amp;"&lt;/restock&gt;"</f>
        <v>&lt;restock&gt;0&lt;/restock&gt;</v>
      </c>
      <c r="B20106" t="s">
        <v>2805</v>
      </c>
    </row>
    <row r="20107" spans="1:8" x14ac:dyDescent="0.25">
      <c r="A20107" t="str">
        <f>"&lt;min&gt;" &amp;$G$20103&amp;"&lt;/min&gt;"</f>
        <v>&lt;min&gt;5&lt;/min&gt;</v>
      </c>
      <c r="B20107" t="s">
        <v>2805</v>
      </c>
    </row>
    <row r="20108" spans="1:8" x14ac:dyDescent="0.25">
      <c r="A20108" t="s">
        <v>16</v>
      </c>
      <c r="B20108" t="s">
        <v>2805</v>
      </c>
    </row>
    <row r="20109" spans="1:8" x14ac:dyDescent="0.25">
      <c r="A20109" t="s">
        <v>17</v>
      </c>
      <c r="B20109" t="s">
        <v>2805</v>
      </c>
    </row>
    <row r="20110" spans="1:8" x14ac:dyDescent="0.25">
      <c r="A20110" t="s">
        <v>18</v>
      </c>
      <c r="B20110" t="s">
        <v>2805</v>
      </c>
    </row>
    <row r="20111" spans="1:8" x14ac:dyDescent="0.25">
      <c r="A20111" t="str">
        <f xml:space="preserve"> $H$20103</f>
        <v>&lt;flags count_in_cargo="0" count_in_hoarder="0" count_in_map="1" count_in_player="0" crafted="0" deloot="0"/&gt;</v>
      </c>
      <c r="B20111" t="s">
        <v>2805</v>
      </c>
    </row>
    <row r="20112" spans="1:8" x14ac:dyDescent="0.25">
      <c r="A20112" t="str">
        <f>"&lt;category name=" &amp;"""" &amp;$C$20103&amp;"""/&gt;"</f>
        <v>&lt;category name="weapons"/&gt;</v>
      </c>
      <c r="B20112" t="s">
        <v>2805</v>
      </c>
    </row>
    <row r="20113" spans="1:8" x14ac:dyDescent="0.25">
      <c r="A20113" t="s">
        <v>20</v>
      </c>
      <c r="B20113" t="s">
        <v>2805</v>
      </c>
    </row>
    <row r="20114" spans="1:8" x14ac:dyDescent="0.25">
      <c r="A20114" t="s">
        <v>56</v>
      </c>
      <c r="B20114" t="s">
        <v>2805</v>
      </c>
    </row>
    <row r="20115" spans="1:8" x14ac:dyDescent="0.25">
      <c r="A20115" t="s">
        <v>39</v>
      </c>
      <c r="B20115" t="s">
        <v>2805</v>
      </c>
    </row>
    <row r="20116" spans="1:8" x14ac:dyDescent="0.25">
      <c r="A20116" t="s">
        <v>40</v>
      </c>
      <c r="B20116" t="s">
        <v>2805</v>
      </c>
    </row>
    <row r="20117" spans="1:8" x14ac:dyDescent="0.25">
      <c r="A20117" t="s">
        <v>22</v>
      </c>
      <c r="B20117" t="s">
        <v>2805</v>
      </c>
    </row>
    <row r="20118" spans="1:8" x14ac:dyDescent="0.25">
      <c r="B20118" t="s">
        <v>2805</v>
      </c>
    </row>
    <row r="20119" spans="1:8" x14ac:dyDescent="0.25">
      <c r="A20119" t="s">
        <v>2837</v>
      </c>
      <c r="B20119" t="s">
        <v>2794</v>
      </c>
      <c r="C20119" t="s">
        <v>8</v>
      </c>
      <c r="D20119">
        <v>20</v>
      </c>
      <c r="E20119">
        <v>7200</v>
      </c>
      <c r="F20119">
        <v>180</v>
      </c>
      <c r="G20119">
        <v>10</v>
      </c>
      <c r="H20119" t="s">
        <v>19</v>
      </c>
    </row>
    <row r="20120" spans="1:8" x14ac:dyDescent="0.25">
      <c r="A20120" t="str">
        <f>"&lt;nominal&gt;" &amp;$D$20119&amp;"&lt;/nominal&gt;"</f>
        <v>&lt;nominal&gt;20&lt;/nominal&gt;</v>
      </c>
      <c r="B20120" t="s">
        <v>2794</v>
      </c>
    </row>
    <row r="20121" spans="1:8" x14ac:dyDescent="0.25">
      <c r="A20121" t="str">
        <f>"&lt;lifetime&gt;" &amp;$E$20119&amp;"&lt;/lifetime&gt;"</f>
        <v>&lt;lifetime&gt;7200&lt;/lifetime&gt;</v>
      </c>
      <c r="B20121" t="s">
        <v>2794</v>
      </c>
    </row>
    <row r="20122" spans="1:8" x14ac:dyDescent="0.25">
      <c r="A20122" t="str">
        <f>"&lt;restock&gt;" &amp;$F$20119&amp;"&lt;/restock&gt;"</f>
        <v>&lt;restock&gt;180&lt;/restock&gt;</v>
      </c>
      <c r="B20122" t="s">
        <v>2794</v>
      </c>
    </row>
    <row r="20123" spans="1:8" x14ac:dyDescent="0.25">
      <c r="A20123" t="str">
        <f>"&lt;min&gt;" &amp;$G$20119&amp;"&lt;/min&gt;"</f>
        <v>&lt;min&gt;10&lt;/min&gt;</v>
      </c>
      <c r="B20123" t="s">
        <v>2794</v>
      </c>
    </row>
    <row r="20124" spans="1:8" x14ac:dyDescent="0.25">
      <c r="A20124" t="s">
        <v>337</v>
      </c>
      <c r="B20124" t="s">
        <v>2794</v>
      </c>
    </row>
    <row r="20125" spans="1:8" x14ac:dyDescent="0.25">
      <c r="A20125" t="s">
        <v>46</v>
      </c>
      <c r="B20125" t="s">
        <v>2794</v>
      </c>
    </row>
    <row r="20126" spans="1:8" x14ac:dyDescent="0.25">
      <c r="A20126" t="s">
        <v>18</v>
      </c>
      <c r="B20126" t="s">
        <v>2794</v>
      </c>
    </row>
    <row r="20127" spans="1:8" x14ac:dyDescent="0.25">
      <c r="A20127" t="str">
        <f xml:space="preserve"> $H$20119</f>
        <v>&lt;flags count_in_cargo="0" count_in_hoarder="0" count_in_map="1" count_in_player="0" crafted="0" deloot="0"/&gt;</v>
      </c>
      <c r="B20127" t="s">
        <v>2794</v>
      </c>
    </row>
    <row r="20128" spans="1:8" x14ac:dyDescent="0.25">
      <c r="A20128" t="str">
        <f>"&lt;category name=" &amp;"""" &amp;$C$20119&amp;"""/&gt;"</f>
        <v>&lt;category name="weapons"/&gt;</v>
      </c>
      <c r="B20128" t="s">
        <v>2794</v>
      </c>
    </row>
    <row r="20129" spans="1:8" x14ac:dyDescent="0.25">
      <c r="A20129" t="s">
        <v>20</v>
      </c>
      <c r="B20129" t="s">
        <v>2794</v>
      </c>
    </row>
    <row r="20130" spans="1:8" x14ac:dyDescent="0.25">
      <c r="A20130" t="s">
        <v>56</v>
      </c>
      <c r="B20130" t="s">
        <v>2794</v>
      </c>
    </row>
    <row r="20131" spans="1:8" x14ac:dyDescent="0.25">
      <c r="A20131" t="s">
        <v>39</v>
      </c>
      <c r="B20131" t="s">
        <v>2794</v>
      </c>
    </row>
    <row r="20132" spans="1:8" x14ac:dyDescent="0.25">
      <c r="A20132" t="s">
        <v>40</v>
      </c>
      <c r="B20132" t="s">
        <v>2794</v>
      </c>
    </row>
    <row r="20133" spans="1:8" x14ac:dyDescent="0.25">
      <c r="A20133" t="s">
        <v>22</v>
      </c>
      <c r="B20133" t="s">
        <v>2794</v>
      </c>
    </row>
    <row r="20134" spans="1:8" x14ac:dyDescent="0.25">
      <c r="A20134" t="s">
        <v>2838</v>
      </c>
      <c r="B20134" t="s">
        <v>2795</v>
      </c>
      <c r="C20134" t="s">
        <v>8</v>
      </c>
      <c r="D20134">
        <v>10</v>
      </c>
      <c r="E20134">
        <v>10800</v>
      </c>
      <c r="F20134">
        <v>0</v>
      </c>
      <c r="G20134">
        <v>5</v>
      </c>
      <c r="H20134" t="s">
        <v>19</v>
      </c>
    </row>
    <row r="20135" spans="1:8" x14ac:dyDescent="0.25">
      <c r="A20135" t="str">
        <f>"&lt;nominal&gt;" &amp;$D$20134&amp;"&lt;/nominal&gt;"</f>
        <v>&lt;nominal&gt;10&lt;/nominal&gt;</v>
      </c>
      <c r="B20135" t="s">
        <v>2795</v>
      </c>
    </row>
    <row r="20136" spans="1:8" x14ac:dyDescent="0.25">
      <c r="A20136" t="str">
        <f>"&lt;lifetime&gt;" &amp;$E$20134&amp;"&lt;/lifetime&gt;"</f>
        <v>&lt;lifetime&gt;10800&lt;/lifetime&gt;</v>
      </c>
      <c r="B20136" t="s">
        <v>2795</v>
      </c>
    </row>
    <row r="20137" spans="1:8" x14ac:dyDescent="0.25">
      <c r="A20137" t="str">
        <f>"&lt;restock&gt;" &amp;$F$20134&amp;"&lt;/restock&gt;"</f>
        <v>&lt;restock&gt;0&lt;/restock&gt;</v>
      </c>
      <c r="B20137" t="s">
        <v>2795</v>
      </c>
    </row>
    <row r="20138" spans="1:8" x14ac:dyDescent="0.25">
      <c r="A20138" t="str">
        <f>"&lt;min&gt;" &amp;$G$20134&amp;"&lt;/min&gt;"</f>
        <v>&lt;min&gt;5&lt;/min&gt;</v>
      </c>
      <c r="B20138" t="s">
        <v>2795</v>
      </c>
    </row>
    <row r="20139" spans="1:8" x14ac:dyDescent="0.25">
      <c r="A20139" t="s">
        <v>16</v>
      </c>
      <c r="B20139" t="s">
        <v>2795</v>
      </c>
    </row>
    <row r="20140" spans="1:8" x14ac:dyDescent="0.25">
      <c r="A20140" t="s">
        <v>17</v>
      </c>
      <c r="B20140" t="s">
        <v>2795</v>
      </c>
    </row>
    <row r="20141" spans="1:8" x14ac:dyDescent="0.25">
      <c r="A20141" t="s">
        <v>18</v>
      </c>
      <c r="B20141" t="s">
        <v>2795</v>
      </c>
    </row>
    <row r="20142" spans="1:8" x14ac:dyDescent="0.25">
      <c r="A20142" t="str">
        <f xml:space="preserve"> $H$20134</f>
        <v>&lt;flags count_in_cargo="0" count_in_hoarder="0" count_in_map="1" count_in_player="0" crafted="0" deloot="0"/&gt;</v>
      </c>
      <c r="B20142" t="s">
        <v>2795</v>
      </c>
    </row>
    <row r="20143" spans="1:8" x14ac:dyDescent="0.25">
      <c r="A20143" t="str">
        <f>"&lt;category name=" &amp;"""" &amp;$C$20134&amp;"""/&gt;"</f>
        <v>&lt;category name="weapons"/&gt;</v>
      </c>
      <c r="B20143" t="s">
        <v>2795</v>
      </c>
    </row>
    <row r="20144" spans="1:8" x14ac:dyDescent="0.25">
      <c r="A20144" t="s">
        <v>20</v>
      </c>
      <c r="B20144" t="s">
        <v>2795</v>
      </c>
    </row>
    <row r="20145" spans="1:8" x14ac:dyDescent="0.25">
      <c r="A20145" t="s">
        <v>56</v>
      </c>
      <c r="B20145" t="s">
        <v>2795</v>
      </c>
    </row>
    <row r="20146" spans="1:8" x14ac:dyDescent="0.25">
      <c r="A20146" t="s">
        <v>39</v>
      </c>
      <c r="B20146" t="s">
        <v>2795</v>
      </c>
    </row>
    <row r="20147" spans="1:8" x14ac:dyDescent="0.25">
      <c r="A20147" t="s">
        <v>40</v>
      </c>
      <c r="B20147" t="s">
        <v>2795</v>
      </c>
    </row>
    <row r="20148" spans="1:8" x14ac:dyDescent="0.25">
      <c r="A20148" t="s">
        <v>22</v>
      </c>
      <c r="B20148" t="s">
        <v>2795</v>
      </c>
    </row>
    <row r="20149" spans="1:8" x14ac:dyDescent="0.25">
      <c r="B20149" t="s">
        <v>2795</v>
      </c>
    </row>
    <row r="20150" spans="1:8" x14ac:dyDescent="0.25">
      <c r="B20150" t="s">
        <v>2795</v>
      </c>
    </row>
    <row r="20151" spans="1:8" x14ac:dyDescent="0.25">
      <c r="A20151" t="s">
        <v>2839</v>
      </c>
      <c r="B20151" t="s">
        <v>2796</v>
      </c>
      <c r="C20151" t="s">
        <v>8</v>
      </c>
      <c r="D20151">
        <v>20</v>
      </c>
      <c r="E20151">
        <v>7200</v>
      </c>
      <c r="F20151">
        <v>180</v>
      </c>
      <c r="G20151">
        <v>10</v>
      </c>
      <c r="H20151" t="s">
        <v>19</v>
      </c>
    </row>
    <row r="20152" spans="1:8" x14ac:dyDescent="0.25">
      <c r="A20152" t="str">
        <f>"&lt;nominal&gt;" &amp;$D$20151&amp;"&lt;/nominal&gt;"</f>
        <v>&lt;nominal&gt;20&lt;/nominal&gt;</v>
      </c>
      <c r="B20152" t="s">
        <v>2796</v>
      </c>
    </row>
    <row r="20153" spans="1:8" x14ac:dyDescent="0.25">
      <c r="A20153" t="str">
        <f>"&lt;lifetime&gt;" &amp;$E$20151&amp;"&lt;/lifetime&gt;"</f>
        <v>&lt;lifetime&gt;7200&lt;/lifetime&gt;</v>
      </c>
      <c r="B20153" t="s">
        <v>2796</v>
      </c>
    </row>
    <row r="20154" spans="1:8" x14ac:dyDescent="0.25">
      <c r="A20154" t="str">
        <f>"&lt;restock&gt;" &amp;$F$20151&amp;"&lt;/restock&gt;"</f>
        <v>&lt;restock&gt;180&lt;/restock&gt;</v>
      </c>
      <c r="B20154" t="s">
        <v>2796</v>
      </c>
    </row>
    <row r="20155" spans="1:8" x14ac:dyDescent="0.25">
      <c r="A20155" t="str">
        <f>"&lt;min&gt;" &amp;$G$20151&amp;"&lt;/min&gt;"</f>
        <v>&lt;min&gt;10&lt;/min&gt;</v>
      </c>
      <c r="B20155" t="s">
        <v>2796</v>
      </c>
    </row>
    <row r="20156" spans="1:8" x14ac:dyDescent="0.25">
      <c r="A20156" t="s">
        <v>337</v>
      </c>
      <c r="B20156" t="s">
        <v>2796</v>
      </c>
    </row>
    <row r="20157" spans="1:8" x14ac:dyDescent="0.25">
      <c r="A20157" t="s">
        <v>46</v>
      </c>
      <c r="B20157" t="s">
        <v>2796</v>
      </c>
    </row>
    <row r="20158" spans="1:8" x14ac:dyDescent="0.25">
      <c r="A20158" t="s">
        <v>18</v>
      </c>
      <c r="B20158" t="s">
        <v>2796</v>
      </c>
    </row>
    <row r="20159" spans="1:8" x14ac:dyDescent="0.25">
      <c r="A20159" t="str">
        <f xml:space="preserve"> $H$20151</f>
        <v>&lt;flags count_in_cargo="0" count_in_hoarder="0" count_in_map="1" count_in_player="0" crafted="0" deloot="0"/&gt;</v>
      </c>
      <c r="B20159" t="s">
        <v>2796</v>
      </c>
    </row>
    <row r="20160" spans="1:8" x14ac:dyDescent="0.25">
      <c r="A20160" t="str">
        <f>"&lt;category name=" &amp;"""" &amp;$C$20151&amp;"""/&gt;"</f>
        <v>&lt;category name="weapons"/&gt;</v>
      </c>
      <c r="B20160" t="s">
        <v>2796</v>
      </c>
    </row>
    <row r="20161" spans="1:8" x14ac:dyDescent="0.25">
      <c r="A20161" t="s">
        <v>20</v>
      </c>
      <c r="B20161" t="s">
        <v>2796</v>
      </c>
    </row>
    <row r="20162" spans="1:8" x14ac:dyDescent="0.25">
      <c r="A20162" t="s">
        <v>56</v>
      </c>
      <c r="B20162" t="s">
        <v>2796</v>
      </c>
    </row>
    <row r="20163" spans="1:8" x14ac:dyDescent="0.25">
      <c r="A20163" t="s">
        <v>39</v>
      </c>
      <c r="B20163" t="s">
        <v>2796</v>
      </c>
    </row>
    <row r="20164" spans="1:8" x14ac:dyDescent="0.25">
      <c r="A20164" t="s">
        <v>40</v>
      </c>
      <c r="B20164" t="s">
        <v>2796</v>
      </c>
    </row>
    <row r="20165" spans="1:8" x14ac:dyDescent="0.25">
      <c r="A20165" t="s">
        <v>22</v>
      </c>
      <c r="B20165" t="s">
        <v>2796</v>
      </c>
    </row>
    <row r="20166" spans="1:8" x14ac:dyDescent="0.25">
      <c r="A20166" t="s">
        <v>2840</v>
      </c>
      <c r="B20166" t="s">
        <v>2797</v>
      </c>
      <c r="C20166" t="s">
        <v>8</v>
      </c>
      <c r="D20166">
        <v>10</v>
      </c>
      <c r="E20166">
        <v>10800</v>
      </c>
      <c r="F20166">
        <v>0</v>
      </c>
      <c r="G20166">
        <v>5</v>
      </c>
      <c r="H20166" t="s">
        <v>19</v>
      </c>
    </row>
    <row r="20167" spans="1:8" x14ac:dyDescent="0.25">
      <c r="A20167" t="str">
        <f>"&lt;nominal&gt;" &amp;$D$20166&amp;"&lt;/nominal&gt;"</f>
        <v>&lt;nominal&gt;10&lt;/nominal&gt;</v>
      </c>
      <c r="B20167" t="s">
        <v>2797</v>
      </c>
    </row>
    <row r="20168" spans="1:8" x14ac:dyDescent="0.25">
      <c r="A20168" t="str">
        <f>"&lt;lifetime&gt;" &amp;$E$20166&amp;"&lt;/lifetime&gt;"</f>
        <v>&lt;lifetime&gt;10800&lt;/lifetime&gt;</v>
      </c>
      <c r="B20168" t="s">
        <v>2797</v>
      </c>
    </row>
    <row r="20169" spans="1:8" x14ac:dyDescent="0.25">
      <c r="A20169" t="str">
        <f>"&lt;restock&gt;" &amp;$F$20166&amp;"&lt;/restock&gt;"</f>
        <v>&lt;restock&gt;0&lt;/restock&gt;</v>
      </c>
      <c r="B20169" t="s">
        <v>2797</v>
      </c>
    </row>
    <row r="20170" spans="1:8" x14ac:dyDescent="0.25">
      <c r="A20170" t="str">
        <f>"&lt;min&gt;" &amp;$G$20166&amp;"&lt;/min&gt;"</f>
        <v>&lt;min&gt;5&lt;/min&gt;</v>
      </c>
      <c r="B20170" t="s">
        <v>2797</v>
      </c>
    </row>
    <row r="20171" spans="1:8" x14ac:dyDescent="0.25">
      <c r="A20171" t="s">
        <v>16</v>
      </c>
      <c r="B20171" t="s">
        <v>2797</v>
      </c>
    </row>
    <row r="20172" spans="1:8" x14ac:dyDescent="0.25">
      <c r="A20172" t="s">
        <v>17</v>
      </c>
      <c r="B20172" t="s">
        <v>2797</v>
      </c>
    </row>
    <row r="20173" spans="1:8" x14ac:dyDescent="0.25">
      <c r="A20173" t="s">
        <v>18</v>
      </c>
      <c r="B20173" t="s">
        <v>2797</v>
      </c>
    </row>
    <row r="20174" spans="1:8" x14ac:dyDescent="0.25">
      <c r="A20174" t="str">
        <f xml:space="preserve"> $H$20166</f>
        <v>&lt;flags count_in_cargo="0" count_in_hoarder="0" count_in_map="1" count_in_player="0" crafted="0" deloot="0"/&gt;</v>
      </c>
      <c r="B20174" t="s">
        <v>2797</v>
      </c>
    </row>
    <row r="20175" spans="1:8" x14ac:dyDescent="0.25">
      <c r="A20175" t="str">
        <f>"&lt;category name=" &amp;"""" &amp;$C$20166&amp;"""/&gt;"</f>
        <v>&lt;category name="weapons"/&gt;</v>
      </c>
      <c r="B20175" t="s">
        <v>2797</v>
      </c>
    </row>
    <row r="20176" spans="1:8" x14ac:dyDescent="0.25">
      <c r="A20176" t="s">
        <v>20</v>
      </c>
      <c r="B20176" t="s">
        <v>2797</v>
      </c>
    </row>
    <row r="20177" spans="1:8" x14ac:dyDescent="0.25">
      <c r="A20177" t="s">
        <v>56</v>
      </c>
      <c r="B20177" t="s">
        <v>2797</v>
      </c>
    </row>
    <row r="20178" spans="1:8" x14ac:dyDescent="0.25">
      <c r="A20178" t="s">
        <v>39</v>
      </c>
      <c r="B20178" t="s">
        <v>2797</v>
      </c>
    </row>
    <row r="20179" spans="1:8" x14ac:dyDescent="0.25">
      <c r="A20179" t="s">
        <v>40</v>
      </c>
      <c r="B20179" t="s">
        <v>2797</v>
      </c>
    </row>
    <row r="20180" spans="1:8" x14ac:dyDescent="0.25">
      <c r="A20180" t="s">
        <v>22</v>
      </c>
      <c r="B20180" t="s">
        <v>2797</v>
      </c>
    </row>
    <row r="20181" spans="1:8" x14ac:dyDescent="0.25">
      <c r="B20181" t="s">
        <v>2797</v>
      </c>
    </row>
    <row r="20182" spans="1:8" x14ac:dyDescent="0.25">
      <c r="A20182" t="s">
        <v>2841</v>
      </c>
      <c r="B20182" t="s">
        <v>2798</v>
      </c>
      <c r="C20182" t="s">
        <v>8</v>
      </c>
      <c r="D20182">
        <v>20</v>
      </c>
      <c r="E20182">
        <v>7200</v>
      </c>
      <c r="F20182">
        <v>180</v>
      </c>
      <c r="G20182">
        <v>10</v>
      </c>
      <c r="H20182" t="s">
        <v>19</v>
      </c>
    </row>
    <row r="20183" spans="1:8" x14ac:dyDescent="0.25">
      <c r="A20183" t="str">
        <f>"&lt;nominal&gt;" &amp;$D$20182&amp;"&lt;/nominal&gt;"</f>
        <v>&lt;nominal&gt;20&lt;/nominal&gt;</v>
      </c>
      <c r="B20183" t="s">
        <v>2798</v>
      </c>
    </row>
    <row r="20184" spans="1:8" x14ac:dyDescent="0.25">
      <c r="A20184" t="str">
        <f>"&lt;lifetime&gt;" &amp;$E$20182&amp;"&lt;/lifetime&gt;"</f>
        <v>&lt;lifetime&gt;7200&lt;/lifetime&gt;</v>
      </c>
      <c r="B20184" t="s">
        <v>2798</v>
      </c>
    </row>
    <row r="20185" spans="1:8" x14ac:dyDescent="0.25">
      <c r="A20185" t="str">
        <f>"&lt;restock&gt;" &amp;$F$20182&amp;"&lt;/restock&gt;"</f>
        <v>&lt;restock&gt;180&lt;/restock&gt;</v>
      </c>
      <c r="B20185" t="s">
        <v>2798</v>
      </c>
    </row>
    <row r="20186" spans="1:8" x14ac:dyDescent="0.25">
      <c r="A20186" t="str">
        <f>"&lt;min&gt;" &amp;$G$20182&amp;"&lt;/min&gt;"</f>
        <v>&lt;min&gt;10&lt;/min&gt;</v>
      </c>
      <c r="B20186" t="s">
        <v>2798</v>
      </c>
    </row>
    <row r="20187" spans="1:8" x14ac:dyDescent="0.25">
      <c r="A20187" t="s">
        <v>337</v>
      </c>
      <c r="B20187" t="s">
        <v>2798</v>
      </c>
    </row>
    <row r="20188" spans="1:8" x14ac:dyDescent="0.25">
      <c r="A20188" t="s">
        <v>46</v>
      </c>
      <c r="B20188" t="s">
        <v>2798</v>
      </c>
    </row>
    <row r="20189" spans="1:8" x14ac:dyDescent="0.25">
      <c r="A20189" t="s">
        <v>18</v>
      </c>
      <c r="B20189" t="s">
        <v>2798</v>
      </c>
    </row>
    <row r="20190" spans="1:8" x14ac:dyDescent="0.25">
      <c r="A20190" t="str">
        <f xml:space="preserve"> $H$20182</f>
        <v>&lt;flags count_in_cargo="0" count_in_hoarder="0" count_in_map="1" count_in_player="0" crafted="0" deloot="0"/&gt;</v>
      </c>
      <c r="B20190" t="s">
        <v>2798</v>
      </c>
    </row>
    <row r="20191" spans="1:8" x14ac:dyDescent="0.25">
      <c r="A20191" t="str">
        <f>"&lt;category name=" &amp;"""" &amp;$C$20182&amp;"""/&gt;"</f>
        <v>&lt;category name="weapons"/&gt;</v>
      </c>
      <c r="B20191" t="s">
        <v>2798</v>
      </c>
    </row>
    <row r="20192" spans="1:8" x14ac:dyDescent="0.25">
      <c r="A20192" t="s">
        <v>20</v>
      </c>
      <c r="B20192" t="s">
        <v>2798</v>
      </c>
    </row>
    <row r="20193" spans="1:8" x14ac:dyDescent="0.25">
      <c r="A20193" t="s">
        <v>56</v>
      </c>
      <c r="B20193" t="s">
        <v>2798</v>
      </c>
    </row>
    <row r="20194" spans="1:8" x14ac:dyDescent="0.25">
      <c r="A20194" t="s">
        <v>39</v>
      </c>
      <c r="B20194" t="s">
        <v>2798</v>
      </c>
    </row>
    <row r="20195" spans="1:8" x14ac:dyDescent="0.25">
      <c r="A20195" t="s">
        <v>40</v>
      </c>
      <c r="B20195" t="s">
        <v>2798</v>
      </c>
    </row>
    <row r="20196" spans="1:8" x14ac:dyDescent="0.25">
      <c r="A20196" t="s">
        <v>22</v>
      </c>
      <c r="B20196" t="s">
        <v>2798</v>
      </c>
    </row>
    <row r="20197" spans="1:8" x14ac:dyDescent="0.25">
      <c r="A20197" t="s">
        <v>2842</v>
      </c>
      <c r="B20197" t="s">
        <v>2799</v>
      </c>
      <c r="C20197" t="s">
        <v>8</v>
      </c>
      <c r="D20197">
        <v>10</v>
      </c>
      <c r="E20197">
        <v>10800</v>
      </c>
      <c r="F20197">
        <v>0</v>
      </c>
      <c r="G20197">
        <v>5</v>
      </c>
      <c r="H20197" t="s">
        <v>19</v>
      </c>
    </row>
    <row r="20198" spans="1:8" x14ac:dyDescent="0.25">
      <c r="A20198" t="str">
        <f>"&lt;nominal&gt;" &amp;$D$20197&amp;"&lt;/nominal&gt;"</f>
        <v>&lt;nominal&gt;10&lt;/nominal&gt;</v>
      </c>
      <c r="B20198" t="s">
        <v>2799</v>
      </c>
    </row>
    <row r="20199" spans="1:8" x14ac:dyDescent="0.25">
      <c r="A20199" t="str">
        <f>"&lt;lifetime&gt;" &amp;$E$20197&amp;"&lt;/lifetime&gt;"</f>
        <v>&lt;lifetime&gt;10800&lt;/lifetime&gt;</v>
      </c>
      <c r="B20199" t="s">
        <v>2799</v>
      </c>
    </row>
    <row r="20200" spans="1:8" x14ac:dyDescent="0.25">
      <c r="A20200" t="str">
        <f>"&lt;restock&gt;" &amp;$F$20197&amp;"&lt;/restock&gt;"</f>
        <v>&lt;restock&gt;0&lt;/restock&gt;</v>
      </c>
      <c r="B20200" t="s">
        <v>2799</v>
      </c>
    </row>
    <row r="20201" spans="1:8" x14ac:dyDescent="0.25">
      <c r="A20201" t="str">
        <f>"&lt;min&gt;" &amp;$G$20197&amp;"&lt;/min&gt;"</f>
        <v>&lt;min&gt;5&lt;/min&gt;</v>
      </c>
      <c r="B20201" t="s">
        <v>2799</v>
      </c>
    </row>
    <row r="20202" spans="1:8" x14ac:dyDescent="0.25">
      <c r="A20202" t="s">
        <v>16</v>
      </c>
      <c r="B20202" t="s">
        <v>2799</v>
      </c>
    </row>
    <row r="20203" spans="1:8" x14ac:dyDescent="0.25">
      <c r="A20203" t="s">
        <v>17</v>
      </c>
      <c r="B20203" t="s">
        <v>2799</v>
      </c>
    </row>
    <row r="20204" spans="1:8" x14ac:dyDescent="0.25">
      <c r="A20204" t="s">
        <v>18</v>
      </c>
      <c r="B20204" t="s">
        <v>2799</v>
      </c>
    </row>
    <row r="20205" spans="1:8" x14ac:dyDescent="0.25">
      <c r="A20205" t="str">
        <f xml:space="preserve"> $H$20197</f>
        <v>&lt;flags count_in_cargo="0" count_in_hoarder="0" count_in_map="1" count_in_player="0" crafted="0" deloot="0"/&gt;</v>
      </c>
      <c r="B20205" t="s">
        <v>2799</v>
      </c>
    </row>
    <row r="20206" spans="1:8" x14ac:dyDescent="0.25">
      <c r="A20206" t="str">
        <f>"&lt;category name=" &amp;"""" &amp;$C$20197&amp;"""/&gt;"</f>
        <v>&lt;category name="weapons"/&gt;</v>
      </c>
      <c r="B20206" t="s">
        <v>2799</v>
      </c>
    </row>
    <row r="20207" spans="1:8" x14ac:dyDescent="0.25">
      <c r="A20207" t="s">
        <v>20</v>
      </c>
      <c r="B20207" t="s">
        <v>2799</v>
      </c>
    </row>
    <row r="20208" spans="1:8" x14ac:dyDescent="0.25">
      <c r="A20208" t="s">
        <v>56</v>
      </c>
      <c r="B20208" t="s">
        <v>2799</v>
      </c>
    </row>
    <row r="20209" spans="1:8" x14ac:dyDescent="0.25">
      <c r="A20209" t="s">
        <v>39</v>
      </c>
      <c r="B20209" t="s">
        <v>2799</v>
      </c>
    </row>
    <row r="20210" spans="1:8" x14ac:dyDescent="0.25">
      <c r="A20210" t="s">
        <v>40</v>
      </c>
      <c r="B20210" t="s">
        <v>2799</v>
      </c>
    </row>
    <row r="20211" spans="1:8" x14ac:dyDescent="0.25">
      <c r="A20211" t="s">
        <v>22</v>
      </c>
      <c r="B20211" t="s">
        <v>2799</v>
      </c>
    </row>
    <row r="20212" spans="1:8" x14ac:dyDescent="0.25">
      <c r="B20212" t="s">
        <v>2799</v>
      </c>
    </row>
    <row r="20213" spans="1:8" x14ac:dyDescent="0.25">
      <c r="A20213" t="s">
        <v>338</v>
      </c>
      <c r="B20213" t="s">
        <v>308</v>
      </c>
      <c r="C20213" t="s">
        <v>8</v>
      </c>
      <c r="D20213">
        <v>10</v>
      </c>
      <c r="E20213">
        <v>7200</v>
      </c>
      <c r="F20213">
        <v>0</v>
      </c>
      <c r="G20213">
        <v>5</v>
      </c>
      <c r="H20213" t="s">
        <v>19</v>
      </c>
    </row>
    <row r="20214" spans="1:8" x14ac:dyDescent="0.25">
      <c r="A20214" t="str">
        <f>"&lt;nominal&gt;" &amp;$D$20213&amp;"&lt;/nominal&gt;"</f>
        <v>&lt;nominal&gt;10&lt;/nominal&gt;</v>
      </c>
      <c r="B20214" t="s">
        <v>308</v>
      </c>
    </row>
    <row r="20215" spans="1:8" x14ac:dyDescent="0.25">
      <c r="A20215" t="str">
        <f>"&lt;lifetime&gt;" &amp;$E$20213&amp;"&lt;/lifetime&gt;"</f>
        <v>&lt;lifetime&gt;7200&lt;/lifetime&gt;</v>
      </c>
      <c r="B20215" t="s">
        <v>308</v>
      </c>
    </row>
    <row r="20216" spans="1:8" x14ac:dyDescent="0.25">
      <c r="A20216" t="str">
        <f>"&lt;restock&gt;" &amp;$F$20213&amp;"&lt;/restock&gt;"</f>
        <v>&lt;restock&gt;0&lt;/restock&gt;</v>
      </c>
      <c r="B20216" t="s">
        <v>308</v>
      </c>
    </row>
    <row r="20217" spans="1:8" x14ac:dyDescent="0.25">
      <c r="A20217" t="str">
        <f>"&lt;min&gt;" &amp;$G$20213&amp;"&lt;/min&gt;"</f>
        <v>&lt;min&gt;5&lt;/min&gt;</v>
      </c>
      <c r="B20217" t="s">
        <v>308</v>
      </c>
    </row>
    <row r="20218" spans="1:8" x14ac:dyDescent="0.25">
      <c r="A20218" t="s">
        <v>16</v>
      </c>
      <c r="B20218" t="s">
        <v>308</v>
      </c>
    </row>
    <row r="20219" spans="1:8" x14ac:dyDescent="0.25">
      <c r="A20219" t="s">
        <v>17</v>
      </c>
      <c r="B20219" t="s">
        <v>308</v>
      </c>
    </row>
    <row r="20220" spans="1:8" x14ac:dyDescent="0.25">
      <c r="A20220" t="s">
        <v>18</v>
      </c>
      <c r="B20220" t="s">
        <v>308</v>
      </c>
    </row>
    <row r="20221" spans="1:8" x14ac:dyDescent="0.25">
      <c r="A20221" t="str">
        <f xml:space="preserve"> $H$20213</f>
        <v>&lt;flags count_in_cargo="0" count_in_hoarder="0" count_in_map="1" count_in_player="0" crafted="0" deloot="0"/&gt;</v>
      </c>
      <c r="B20221" t="s">
        <v>308</v>
      </c>
    </row>
    <row r="20222" spans="1:8" x14ac:dyDescent="0.25">
      <c r="A20222" t="str">
        <f>"&lt;category name=" &amp;"""" &amp;$C$20213&amp;"""/&gt;"</f>
        <v>&lt;category name="weapons"/&gt;</v>
      </c>
      <c r="B20222" t="s">
        <v>308</v>
      </c>
    </row>
    <row r="20223" spans="1:8" x14ac:dyDescent="0.25">
      <c r="A20223" t="s">
        <v>29</v>
      </c>
      <c r="B20223" t="s">
        <v>308</v>
      </c>
    </row>
    <row r="20224" spans="1:8" x14ac:dyDescent="0.25">
      <c r="A20224" t="s">
        <v>31</v>
      </c>
      <c r="B20224" t="s">
        <v>308</v>
      </c>
    </row>
    <row r="20225" spans="1:8" x14ac:dyDescent="0.25">
      <c r="A20225" t="s">
        <v>307</v>
      </c>
      <c r="B20225" t="s">
        <v>308</v>
      </c>
    </row>
    <row r="20226" spans="1:8" x14ac:dyDescent="0.25">
      <c r="A20226" t="s">
        <v>22</v>
      </c>
      <c r="B20226" t="s">
        <v>308</v>
      </c>
    </row>
    <row r="20227" spans="1:8" x14ac:dyDescent="0.25">
      <c r="B20227" t="s">
        <v>308</v>
      </c>
    </row>
    <row r="20228" spans="1:8" x14ac:dyDescent="0.25">
      <c r="A20228" t="s">
        <v>339</v>
      </c>
      <c r="B20228" t="s">
        <v>309</v>
      </c>
      <c r="C20228" t="s">
        <v>8</v>
      </c>
      <c r="D20228">
        <v>5</v>
      </c>
      <c r="E20228">
        <v>7200</v>
      </c>
      <c r="F20228">
        <v>0</v>
      </c>
      <c r="G20228">
        <v>2</v>
      </c>
      <c r="H20228" t="s">
        <v>19</v>
      </c>
    </row>
    <row r="20229" spans="1:8" x14ac:dyDescent="0.25">
      <c r="A20229" t="str">
        <f>"&lt;nominal&gt;" &amp;$D$20228&amp;"&lt;/nominal&gt;"</f>
        <v>&lt;nominal&gt;5&lt;/nominal&gt;</v>
      </c>
      <c r="B20229" t="s">
        <v>309</v>
      </c>
    </row>
    <row r="20230" spans="1:8" x14ac:dyDescent="0.25">
      <c r="A20230" t="str">
        <f>"&lt;lifetime&gt;" &amp;$E$20228&amp;"&lt;/lifetime&gt;"</f>
        <v>&lt;lifetime&gt;7200&lt;/lifetime&gt;</v>
      </c>
      <c r="B20230" t="s">
        <v>309</v>
      </c>
    </row>
    <row r="20231" spans="1:8" x14ac:dyDescent="0.25">
      <c r="A20231" t="str">
        <f>"&lt;restock&gt;" &amp;$F$20228&amp;"&lt;/restock&gt;"</f>
        <v>&lt;restock&gt;0&lt;/restock&gt;</v>
      </c>
      <c r="B20231" t="s">
        <v>309</v>
      </c>
    </row>
    <row r="20232" spans="1:8" x14ac:dyDescent="0.25">
      <c r="A20232" t="str">
        <f>"&lt;min&gt;" &amp;$G$20228&amp;"&lt;/min&gt;"</f>
        <v>&lt;min&gt;2&lt;/min&gt;</v>
      </c>
      <c r="B20232" t="s">
        <v>309</v>
      </c>
    </row>
    <row r="20233" spans="1:8" x14ac:dyDescent="0.25">
      <c r="A20233" t="s">
        <v>16</v>
      </c>
      <c r="B20233" t="s">
        <v>309</v>
      </c>
    </row>
    <row r="20234" spans="1:8" x14ac:dyDescent="0.25">
      <c r="A20234" t="s">
        <v>17</v>
      </c>
      <c r="B20234" t="s">
        <v>309</v>
      </c>
    </row>
    <row r="20235" spans="1:8" x14ac:dyDescent="0.25">
      <c r="A20235" t="s">
        <v>18</v>
      </c>
      <c r="B20235" t="s">
        <v>309</v>
      </c>
    </row>
    <row r="20236" spans="1:8" x14ac:dyDescent="0.25">
      <c r="A20236" t="str">
        <f xml:space="preserve"> $H$20228</f>
        <v>&lt;flags count_in_cargo="0" count_in_hoarder="0" count_in_map="1" count_in_player="0" crafted="0" deloot="0"/&gt;</v>
      </c>
      <c r="B20236" t="s">
        <v>309</v>
      </c>
    </row>
    <row r="20237" spans="1:8" x14ac:dyDescent="0.25">
      <c r="A20237" t="str">
        <f>"&lt;category name=" &amp;"""" &amp;$C$20228&amp;"""/&gt;"</f>
        <v>&lt;category name="weapons"/&gt;</v>
      </c>
      <c r="B20237" t="s">
        <v>309</v>
      </c>
    </row>
    <row r="20238" spans="1:8" x14ac:dyDescent="0.25">
      <c r="A20238" t="s">
        <v>29</v>
      </c>
      <c r="B20238" t="s">
        <v>309</v>
      </c>
    </row>
    <row r="20239" spans="1:8" x14ac:dyDescent="0.25">
      <c r="A20239" t="s">
        <v>31</v>
      </c>
      <c r="B20239" t="s">
        <v>309</v>
      </c>
    </row>
    <row r="20240" spans="1:8" x14ac:dyDescent="0.25">
      <c r="A20240" t="s">
        <v>307</v>
      </c>
      <c r="B20240" t="s">
        <v>309</v>
      </c>
    </row>
    <row r="20241" spans="1:8" x14ac:dyDescent="0.25">
      <c r="A20241" t="s">
        <v>22</v>
      </c>
      <c r="B20241" t="s">
        <v>309</v>
      </c>
    </row>
    <row r="20242" spans="1:8" x14ac:dyDescent="0.25">
      <c r="B20242" t="s">
        <v>309</v>
      </c>
    </row>
    <row r="20243" spans="1:8" x14ac:dyDescent="0.25">
      <c r="A20243" t="s">
        <v>340</v>
      </c>
      <c r="B20243" t="s">
        <v>310</v>
      </c>
      <c r="C20243" t="s">
        <v>8</v>
      </c>
      <c r="D20243">
        <v>10</v>
      </c>
      <c r="E20243">
        <v>7200</v>
      </c>
      <c r="F20243">
        <v>0</v>
      </c>
      <c r="G20243">
        <v>5</v>
      </c>
      <c r="H20243" t="s">
        <v>19</v>
      </c>
    </row>
    <row r="20244" spans="1:8" x14ac:dyDescent="0.25">
      <c r="A20244" t="str">
        <f>"&lt;nominal&gt;" &amp;$D$20243&amp;"&lt;/nominal&gt;"</f>
        <v>&lt;nominal&gt;10&lt;/nominal&gt;</v>
      </c>
      <c r="B20244" t="s">
        <v>310</v>
      </c>
    </row>
    <row r="20245" spans="1:8" x14ac:dyDescent="0.25">
      <c r="A20245" t="str">
        <f>"&lt;lifetime&gt;" &amp;$E$20243&amp;"&lt;/lifetime&gt;"</f>
        <v>&lt;lifetime&gt;7200&lt;/lifetime&gt;</v>
      </c>
      <c r="B20245" t="s">
        <v>310</v>
      </c>
    </row>
    <row r="20246" spans="1:8" x14ac:dyDescent="0.25">
      <c r="A20246" t="str">
        <f>"&lt;restock&gt;" &amp;$F$20243&amp;"&lt;/restock&gt;"</f>
        <v>&lt;restock&gt;0&lt;/restock&gt;</v>
      </c>
      <c r="B20246" t="s">
        <v>310</v>
      </c>
    </row>
    <row r="20247" spans="1:8" x14ac:dyDescent="0.25">
      <c r="A20247" t="str">
        <f>"&lt;min&gt;" &amp;$G$20243&amp;"&lt;/min&gt;"</f>
        <v>&lt;min&gt;5&lt;/min&gt;</v>
      </c>
      <c r="B20247" t="s">
        <v>310</v>
      </c>
    </row>
    <row r="20248" spans="1:8" x14ac:dyDescent="0.25">
      <c r="A20248" t="s">
        <v>16</v>
      </c>
      <c r="B20248" t="s">
        <v>310</v>
      </c>
    </row>
    <row r="20249" spans="1:8" x14ac:dyDescent="0.25">
      <c r="A20249" t="s">
        <v>17</v>
      </c>
      <c r="B20249" t="s">
        <v>310</v>
      </c>
    </row>
    <row r="20250" spans="1:8" x14ac:dyDescent="0.25">
      <c r="A20250" t="s">
        <v>18</v>
      </c>
      <c r="B20250" t="s">
        <v>310</v>
      </c>
    </row>
    <row r="20251" spans="1:8" x14ac:dyDescent="0.25">
      <c r="A20251" t="str">
        <f xml:space="preserve"> $H$20243</f>
        <v>&lt;flags count_in_cargo="0" count_in_hoarder="0" count_in_map="1" count_in_player="0" crafted="0" deloot="0"/&gt;</v>
      </c>
      <c r="B20251" t="s">
        <v>310</v>
      </c>
    </row>
    <row r="20252" spans="1:8" x14ac:dyDescent="0.25">
      <c r="A20252" t="str">
        <f>"&lt;category name=" &amp;"""" &amp;$C$20243&amp;"""/&gt;"</f>
        <v>&lt;category name="weapons"/&gt;</v>
      </c>
      <c r="B20252" t="s">
        <v>310</v>
      </c>
    </row>
    <row r="20253" spans="1:8" x14ac:dyDescent="0.25">
      <c r="A20253" t="s">
        <v>29</v>
      </c>
      <c r="B20253" t="s">
        <v>310</v>
      </c>
    </row>
    <row r="20254" spans="1:8" x14ac:dyDescent="0.25">
      <c r="A20254" t="s">
        <v>31</v>
      </c>
      <c r="B20254" t="s">
        <v>310</v>
      </c>
    </row>
    <row r="20255" spans="1:8" x14ac:dyDescent="0.25">
      <c r="A20255" t="s">
        <v>307</v>
      </c>
      <c r="B20255" t="s">
        <v>310</v>
      </c>
    </row>
    <row r="20256" spans="1:8" x14ac:dyDescent="0.25">
      <c r="A20256" t="s">
        <v>22</v>
      </c>
      <c r="B20256" t="s">
        <v>310</v>
      </c>
    </row>
    <row r="20257" spans="1:8" x14ac:dyDescent="0.25">
      <c r="B20257" t="s">
        <v>310</v>
      </c>
    </row>
    <row r="20258" spans="1:8" x14ac:dyDescent="0.25">
      <c r="A20258" t="s">
        <v>341</v>
      </c>
      <c r="B20258" t="s">
        <v>311</v>
      </c>
      <c r="C20258" t="s">
        <v>8</v>
      </c>
      <c r="D20258">
        <v>10</v>
      </c>
      <c r="E20258">
        <v>7200</v>
      </c>
      <c r="F20258">
        <v>0</v>
      </c>
      <c r="G20258">
        <v>5</v>
      </c>
      <c r="H20258" t="s">
        <v>19</v>
      </c>
    </row>
    <row r="20259" spans="1:8" x14ac:dyDescent="0.25">
      <c r="A20259" t="str">
        <f>"&lt;nominal&gt;" &amp;$D$20258&amp;"&lt;/nominal&gt;"</f>
        <v>&lt;nominal&gt;10&lt;/nominal&gt;</v>
      </c>
      <c r="B20259" t="s">
        <v>311</v>
      </c>
    </row>
    <row r="20260" spans="1:8" x14ac:dyDescent="0.25">
      <c r="A20260" t="str">
        <f>"&lt;lifetime&gt;" &amp;$E$20258&amp;"&lt;/lifetime&gt;"</f>
        <v>&lt;lifetime&gt;7200&lt;/lifetime&gt;</v>
      </c>
      <c r="B20260" t="s">
        <v>311</v>
      </c>
    </row>
    <row r="20261" spans="1:8" x14ac:dyDescent="0.25">
      <c r="A20261" t="str">
        <f>"&lt;restock&gt;" &amp;$F$20258&amp;"&lt;/restock&gt;"</f>
        <v>&lt;restock&gt;0&lt;/restock&gt;</v>
      </c>
      <c r="B20261" t="s">
        <v>311</v>
      </c>
    </row>
    <row r="20262" spans="1:8" x14ac:dyDescent="0.25">
      <c r="A20262" t="str">
        <f>"&lt;min&gt;" &amp;$G$20258&amp;"&lt;/min&gt;"</f>
        <v>&lt;min&gt;5&lt;/min&gt;</v>
      </c>
      <c r="B20262" t="s">
        <v>311</v>
      </c>
    </row>
    <row r="20263" spans="1:8" x14ac:dyDescent="0.25">
      <c r="A20263" t="s">
        <v>16</v>
      </c>
      <c r="B20263" t="s">
        <v>311</v>
      </c>
    </row>
    <row r="20264" spans="1:8" x14ac:dyDescent="0.25">
      <c r="A20264" t="s">
        <v>17</v>
      </c>
      <c r="B20264" t="s">
        <v>311</v>
      </c>
    </row>
    <row r="20265" spans="1:8" x14ac:dyDescent="0.25">
      <c r="A20265" t="s">
        <v>18</v>
      </c>
      <c r="B20265" t="s">
        <v>311</v>
      </c>
    </row>
    <row r="20266" spans="1:8" x14ac:dyDescent="0.25">
      <c r="A20266" t="str">
        <f xml:space="preserve"> $H$20258</f>
        <v>&lt;flags count_in_cargo="0" count_in_hoarder="0" count_in_map="1" count_in_player="0" crafted="0" deloot="0"/&gt;</v>
      </c>
      <c r="B20266" t="s">
        <v>311</v>
      </c>
    </row>
    <row r="20267" spans="1:8" x14ac:dyDescent="0.25">
      <c r="A20267" t="str">
        <f>"&lt;category name=" &amp;"""" &amp;$C$20258&amp;"""/&gt;"</f>
        <v>&lt;category name="weapons"/&gt;</v>
      </c>
      <c r="B20267" t="s">
        <v>311</v>
      </c>
    </row>
    <row r="20268" spans="1:8" x14ac:dyDescent="0.25">
      <c r="A20268" t="s">
        <v>29</v>
      </c>
      <c r="B20268" t="s">
        <v>311</v>
      </c>
    </row>
    <row r="20269" spans="1:8" x14ac:dyDescent="0.25">
      <c r="A20269" t="s">
        <v>31</v>
      </c>
      <c r="B20269" t="s">
        <v>311</v>
      </c>
    </row>
    <row r="20270" spans="1:8" x14ac:dyDescent="0.25">
      <c r="A20270" t="s">
        <v>307</v>
      </c>
      <c r="B20270" t="s">
        <v>311</v>
      </c>
    </row>
    <row r="20271" spans="1:8" x14ac:dyDescent="0.25">
      <c r="A20271" t="s">
        <v>22</v>
      </c>
      <c r="B20271" t="s">
        <v>311</v>
      </c>
    </row>
    <row r="20272" spans="1:8" x14ac:dyDescent="0.25">
      <c r="B20272" t="s">
        <v>311</v>
      </c>
    </row>
    <row r="20273" spans="1:8" x14ac:dyDescent="0.25">
      <c r="A20273" t="s">
        <v>342</v>
      </c>
      <c r="B20273" t="s">
        <v>313</v>
      </c>
      <c r="C20273" t="s">
        <v>8</v>
      </c>
      <c r="D20273">
        <v>5</v>
      </c>
      <c r="E20273">
        <v>14400</v>
      </c>
      <c r="F20273">
        <v>3600</v>
      </c>
      <c r="G20273">
        <v>2</v>
      </c>
      <c r="H20273" t="s">
        <v>19</v>
      </c>
    </row>
    <row r="20274" spans="1:8" x14ac:dyDescent="0.25">
      <c r="A20274" t="str">
        <f>"&lt;nominal&gt;" &amp;$D$20273&amp;"&lt;/nominal&gt;"</f>
        <v>&lt;nominal&gt;5&lt;/nominal&gt;</v>
      </c>
      <c r="B20274" t="s">
        <v>313</v>
      </c>
    </row>
    <row r="20275" spans="1:8" x14ac:dyDescent="0.25">
      <c r="A20275" t="str">
        <f>"&lt;lifetime&gt;" &amp;$E$20273&amp;"&lt;/lifetime&gt;"</f>
        <v>&lt;lifetime&gt;14400&lt;/lifetime&gt;</v>
      </c>
      <c r="B20275" t="s">
        <v>313</v>
      </c>
    </row>
    <row r="20276" spans="1:8" x14ac:dyDescent="0.25">
      <c r="A20276" t="str">
        <f>"&lt;restock&gt;" &amp;$F$20273&amp;"&lt;/restock&gt;"</f>
        <v>&lt;restock&gt;3600&lt;/restock&gt;</v>
      </c>
      <c r="B20276" t="s">
        <v>313</v>
      </c>
    </row>
    <row r="20277" spans="1:8" x14ac:dyDescent="0.25">
      <c r="A20277" t="str">
        <f>"&lt;min&gt;" &amp;$G$20273&amp;"&lt;/min&gt;"</f>
        <v>&lt;min&gt;2&lt;/min&gt;</v>
      </c>
      <c r="B20277" t="s">
        <v>313</v>
      </c>
    </row>
    <row r="20278" spans="1:8" x14ac:dyDescent="0.25">
      <c r="A20278" t="s">
        <v>16</v>
      </c>
      <c r="B20278" t="s">
        <v>313</v>
      </c>
    </row>
    <row r="20279" spans="1:8" x14ac:dyDescent="0.25">
      <c r="A20279" t="s">
        <v>17</v>
      </c>
      <c r="B20279" t="s">
        <v>313</v>
      </c>
    </row>
    <row r="20280" spans="1:8" x14ac:dyDescent="0.25">
      <c r="A20280" t="s">
        <v>18</v>
      </c>
      <c r="B20280" t="s">
        <v>313</v>
      </c>
    </row>
    <row r="20281" spans="1:8" x14ac:dyDescent="0.25">
      <c r="A20281" t="str">
        <f xml:space="preserve"> $H$20273</f>
        <v>&lt;flags count_in_cargo="0" count_in_hoarder="0" count_in_map="1" count_in_player="0" crafted="0" deloot="0"/&gt;</v>
      </c>
      <c r="B20281" t="s">
        <v>313</v>
      </c>
    </row>
    <row r="20282" spans="1:8" x14ac:dyDescent="0.25">
      <c r="A20282" t="str">
        <f>"&lt;category name=" &amp;"""" &amp;$C$20273&amp;"""/&gt;"</f>
        <v>&lt;category name="weapons"/&gt;</v>
      </c>
      <c r="B20282" t="s">
        <v>313</v>
      </c>
    </row>
    <row r="20283" spans="1:8" x14ac:dyDescent="0.25">
      <c r="A20283" t="s">
        <v>29</v>
      </c>
      <c r="B20283" t="s">
        <v>313</v>
      </c>
    </row>
    <row r="20284" spans="1:8" x14ac:dyDescent="0.25">
      <c r="A20284" t="s">
        <v>30</v>
      </c>
      <c r="B20284" t="s">
        <v>313</v>
      </c>
    </row>
    <row r="20285" spans="1:8" x14ac:dyDescent="0.25">
      <c r="A20285" t="s">
        <v>31</v>
      </c>
      <c r="B20285" t="s">
        <v>313</v>
      </c>
    </row>
    <row r="20286" spans="1:8" x14ac:dyDescent="0.25">
      <c r="A20286" t="s">
        <v>307</v>
      </c>
      <c r="B20286" t="s">
        <v>313</v>
      </c>
    </row>
    <row r="20287" spans="1:8" x14ac:dyDescent="0.25">
      <c r="A20287" t="s">
        <v>22</v>
      </c>
      <c r="B20287" t="s">
        <v>313</v>
      </c>
    </row>
    <row r="20288" spans="1:8" x14ac:dyDescent="0.25">
      <c r="B20288" t="s">
        <v>313</v>
      </c>
    </row>
    <row r="20289" spans="1:8" x14ac:dyDescent="0.25">
      <c r="A20289" t="s">
        <v>343</v>
      </c>
      <c r="B20289" t="s">
        <v>312</v>
      </c>
      <c r="C20289" t="s">
        <v>8</v>
      </c>
      <c r="D20289">
        <v>10</v>
      </c>
      <c r="E20289">
        <v>7200</v>
      </c>
      <c r="F20289">
        <v>0</v>
      </c>
      <c r="G20289">
        <v>5</v>
      </c>
      <c r="H20289" t="s">
        <v>19</v>
      </c>
    </row>
    <row r="20290" spans="1:8" x14ac:dyDescent="0.25">
      <c r="A20290" t="str">
        <f>"&lt;nominal&gt;" &amp;$D$20289&amp;"&lt;/nominal&gt;"</f>
        <v>&lt;nominal&gt;10&lt;/nominal&gt;</v>
      </c>
      <c r="B20290" t="s">
        <v>312</v>
      </c>
    </row>
    <row r="20291" spans="1:8" x14ac:dyDescent="0.25">
      <c r="A20291" t="str">
        <f>"&lt;lifetime&gt;" &amp;$E$20289&amp;"&lt;/lifetime&gt;"</f>
        <v>&lt;lifetime&gt;7200&lt;/lifetime&gt;</v>
      </c>
      <c r="B20291" t="s">
        <v>312</v>
      </c>
    </row>
    <row r="20292" spans="1:8" x14ac:dyDescent="0.25">
      <c r="A20292" t="str">
        <f>"&lt;restock&gt;" &amp;$F$20289&amp;"&lt;/restock&gt;"</f>
        <v>&lt;restock&gt;0&lt;/restock&gt;</v>
      </c>
      <c r="B20292" t="s">
        <v>312</v>
      </c>
    </row>
    <row r="20293" spans="1:8" x14ac:dyDescent="0.25">
      <c r="A20293" t="str">
        <f>"&lt;min&gt;" &amp;$G$20289&amp;"&lt;/min&gt;"</f>
        <v>&lt;min&gt;5&lt;/min&gt;</v>
      </c>
      <c r="B20293" t="s">
        <v>312</v>
      </c>
    </row>
    <row r="20294" spans="1:8" x14ac:dyDescent="0.25">
      <c r="A20294" t="s">
        <v>16</v>
      </c>
      <c r="B20294" t="s">
        <v>312</v>
      </c>
    </row>
    <row r="20295" spans="1:8" x14ac:dyDescent="0.25">
      <c r="A20295" t="s">
        <v>17</v>
      </c>
      <c r="B20295" t="s">
        <v>312</v>
      </c>
    </row>
    <row r="20296" spans="1:8" x14ac:dyDescent="0.25">
      <c r="A20296" t="s">
        <v>18</v>
      </c>
      <c r="B20296" t="s">
        <v>312</v>
      </c>
    </row>
    <row r="20297" spans="1:8" x14ac:dyDescent="0.25">
      <c r="A20297" t="str">
        <f xml:space="preserve"> $H$20289</f>
        <v>&lt;flags count_in_cargo="0" count_in_hoarder="0" count_in_map="1" count_in_player="0" crafted="0" deloot="0"/&gt;</v>
      </c>
      <c r="B20297" t="s">
        <v>312</v>
      </c>
    </row>
    <row r="20298" spans="1:8" x14ac:dyDescent="0.25">
      <c r="A20298" t="str">
        <f>"&lt;category name=" &amp;"""" &amp;$C$20289&amp;"""/&gt;"</f>
        <v>&lt;category name="weapons"/&gt;</v>
      </c>
      <c r="B20298" t="s">
        <v>312</v>
      </c>
    </row>
    <row r="20299" spans="1:8" x14ac:dyDescent="0.25">
      <c r="A20299" t="s">
        <v>20</v>
      </c>
      <c r="B20299" t="s">
        <v>312</v>
      </c>
    </row>
    <row r="20300" spans="1:8" x14ac:dyDescent="0.25">
      <c r="A20300" t="s">
        <v>29</v>
      </c>
      <c r="B20300" t="s">
        <v>312</v>
      </c>
    </row>
    <row r="20301" spans="1:8" x14ac:dyDescent="0.25">
      <c r="A20301" t="s">
        <v>22</v>
      </c>
      <c r="B20301" t="s">
        <v>312</v>
      </c>
    </row>
    <row r="20302" spans="1:8" x14ac:dyDescent="0.25">
      <c r="B20302" t="s">
        <v>312</v>
      </c>
    </row>
    <row r="20303" spans="1:8" x14ac:dyDescent="0.25">
      <c r="A20303" t="s">
        <v>344</v>
      </c>
      <c r="B20303" t="s">
        <v>314</v>
      </c>
      <c r="C20303" t="s">
        <v>426</v>
      </c>
      <c r="D20303">
        <v>20</v>
      </c>
      <c r="E20303">
        <v>2700</v>
      </c>
      <c r="F20303">
        <v>0</v>
      </c>
      <c r="G20303">
        <v>10</v>
      </c>
      <c r="H20303" t="s">
        <v>19</v>
      </c>
    </row>
    <row r="20304" spans="1:8" x14ac:dyDescent="0.25">
      <c r="A20304" t="str">
        <f>"&lt;nominal&gt;" &amp;$D$20303&amp;"&lt;/nominal&gt;"</f>
        <v>&lt;nominal&gt;20&lt;/nominal&gt;</v>
      </c>
      <c r="B20304" t="s">
        <v>314</v>
      </c>
    </row>
    <row r="20305" spans="1:8" x14ac:dyDescent="0.25">
      <c r="A20305" t="str">
        <f>"&lt;lifetime&gt;" &amp;$E$20303&amp;"&lt;/lifetime&gt;"</f>
        <v>&lt;lifetime&gt;2700&lt;/lifetime&gt;</v>
      </c>
      <c r="B20305" t="s">
        <v>314</v>
      </c>
    </row>
    <row r="20306" spans="1:8" x14ac:dyDescent="0.25">
      <c r="A20306" t="str">
        <f>"&lt;restock&gt;" &amp;$F$20303&amp;"&lt;/restock&gt;"</f>
        <v>&lt;restock&gt;0&lt;/restock&gt;</v>
      </c>
      <c r="B20306" t="s">
        <v>314</v>
      </c>
    </row>
    <row r="20307" spans="1:8" x14ac:dyDescent="0.25">
      <c r="A20307" t="str">
        <f>"&lt;min&gt;" &amp;$G$20303&amp;"&lt;/min&gt;"</f>
        <v>&lt;min&gt;10&lt;/min&gt;</v>
      </c>
      <c r="B20307" t="s">
        <v>314</v>
      </c>
    </row>
    <row r="20308" spans="1:8" x14ac:dyDescent="0.25">
      <c r="A20308" t="s">
        <v>16</v>
      </c>
      <c r="B20308" t="s">
        <v>314</v>
      </c>
    </row>
    <row r="20309" spans="1:8" x14ac:dyDescent="0.25">
      <c r="A20309" t="s">
        <v>17</v>
      </c>
      <c r="B20309" t="s">
        <v>314</v>
      </c>
    </row>
    <row r="20310" spans="1:8" x14ac:dyDescent="0.25">
      <c r="A20310" t="s">
        <v>18</v>
      </c>
      <c r="B20310" t="s">
        <v>314</v>
      </c>
    </row>
    <row r="20311" spans="1:8" x14ac:dyDescent="0.25">
      <c r="A20311" t="str">
        <f xml:space="preserve"> $H$20303</f>
        <v>&lt;flags count_in_cargo="0" count_in_hoarder="0" count_in_map="1" count_in_player="0" crafted="0" deloot="0"/&gt;</v>
      </c>
      <c r="B20311" t="s">
        <v>314</v>
      </c>
    </row>
    <row r="20312" spans="1:8" x14ac:dyDescent="0.25">
      <c r="A20312" t="str">
        <f>"&lt;category name=" &amp;"""" &amp;$C$20303&amp;"""/&gt;"</f>
        <v>&lt;category name="tools"/&gt;</v>
      </c>
      <c r="B20312" t="s">
        <v>314</v>
      </c>
    </row>
    <row r="20313" spans="1:8" x14ac:dyDescent="0.25">
      <c r="A20313" t="s">
        <v>20</v>
      </c>
      <c r="B20313" t="s">
        <v>314</v>
      </c>
    </row>
    <row r="20314" spans="1:8" x14ac:dyDescent="0.25">
      <c r="A20314" t="s">
        <v>29</v>
      </c>
      <c r="B20314" t="s">
        <v>314</v>
      </c>
    </row>
    <row r="20315" spans="1:8" x14ac:dyDescent="0.25">
      <c r="A20315" t="s">
        <v>22</v>
      </c>
      <c r="B20315" t="s">
        <v>314</v>
      </c>
    </row>
    <row r="20316" spans="1:8" x14ac:dyDescent="0.25">
      <c r="B20316" t="s">
        <v>314</v>
      </c>
    </row>
    <row r="20317" spans="1:8" x14ac:dyDescent="0.25">
      <c r="A20317" t="s">
        <v>345</v>
      </c>
      <c r="B20317" t="s">
        <v>1401</v>
      </c>
      <c r="C20317" t="s">
        <v>426</v>
      </c>
      <c r="D20317">
        <v>20</v>
      </c>
      <c r="E20317">
        <v>2700</v>
      </c>
      <c r="F20317">
        <v>0</v>
      </c>
      <c r="G20317">
        <v>10</v>
      </c>
      <c r="H20317" t="s">
        <v>19</v>
      </c>
    </row>
    <row r="20318" spans="1:8" x14ac:dyDescent="0.25">
      <c r="A20318" t="str">
        <f>"&lt;nominal&gt;" &amp;$D$20317&amp;"&lt;/nominal&gt;"</f>
        <v>&lt;nominal&gt;20&lt;/nominal&gt;</v>
      </c>
      <c r="B20318" t="s">
        <v>1401</v>
      </c>
    </row>
    <row r="20319" spans="1:8" x14ac:dyDescent="0.25">
      <c r="A20319" t="str">
        <f>"&lt;lifetime&gt;" &amp;$E$20317&amp;"&lt;/lifetime&gt;"</f>
        <v>&lt;lifetime&gt;2700&lt;/lifetime&gt;</v>
      </c>
      <c r="B20319" t="s">
        <v>1401</v>
      </c>
    </row>
    <row r="20320" spans="1:8" x14ac:dyDescent="0.25">
      <c r="A20320" t="str">
        <f>"&lt;restock&gt;" &amp;$F$20317&amp;"&lt;/restock&gt;"</f>
        <v>&lt;restock&gt;0&lt;/restock&gt;</v>
      </c>
      <c r="B20320" t="s">
        <v>1401</v>
      </c>
    </row>
    <row r="20321" spans="1:8" x14ac:dyDescent="0.25">
      <c r="A20321" t="str">
        <f>"&lt;min&gt;" &amp;$G$20317&amp;"&lt;/min&gt;"</f>
        <v>&lt;min&gt;10&lt;/min&gt;</v>
      </c>
      <c r="B20321" t="s">
        <v>1401</v>
      </c>
    </row>
    <row r="20322" spans="1:8" x14ac:dyDescent="0.25">
      <c r="A20322" t="s">
        <v>16</v>
      </c>
      <c r="B20322" t="s">
        <v>1401</v>
      </c>
    </row>
    <row r="20323" spans="1:8" x14ac:dyDescent="0.25">
      <c r="A20323" t="s">
        <v>17</v>
      </c>
      <c r="B20323" t="s">
        <v>1401</v>
      </c>
    </row>
    <row r="20324" spans="1:8" x14ac:dyDescent="0.25">
      <c r="A20324" t="s">
        <v>18</v>
      </c>
      <c r="B20324" t="s">
        <v>1401</v>
      </c>
    </row>
    <row r="20325" spans="1:8" x14ac:dyDescent="0.25">
      <c r="A20325" t="str">
        <f xml:space="preserve"> $H$20317</f>
        <v>&lt;flags count_in_cargo="0" count_in_hoarder="0" count_in_map="1" count_in_player="0" crafted="0" deloot="0"/&gt;</v>
      </c>
      <c r="B20325" t="s">
        <v>1401</v>
      </c>
    </row>
    <row r="20326" spans="1:8" x14ac:dyDescent="0.25">
      <c r="A20326" t="str">
        <f>"&lt;category name=" &amp;"""" &amp;$C$20317&amp;"""/&gt;"</f>
        <v>&lt;category name="tools"/&gt;</v>
      </c>
      <c r="B20326" t="s">
        <v>1401</v>
      </c>
    </row>
    <row r="20327" spans="1:8" x14ac:dyDescent="0.25">
      <c r="A20327" t="s">
        <v>20</v>
      </c>
      <c r="B20327" t="s">
        <v>1401</v>
      </c>
    </row>
    <row r="20328" spans="1:8" x14ac:dyDescent="0.25">
      <c r="A20328" t="s">
        <v>29</v>
      </c>
      <c r="B20328" t="s">
        <v>1401</v>
      </c>
    </row>
    <row r="20329" spans="1:8" x14ac:dyDescent="0.25">
      <c r="A20329" t="s">
        <v>22</v>
      </c>
      <c r="B20329" t="s">
        <v>1401</v>
      </c>
    </row>
    <row r="20330" spans="1:8" x14ac:dyDescent="0.25">
      <c r="B20330" t="s">
        <v>1401</v>
      </c>
    </row>
    <row r="20331" spans="1:8" x14ac:dyDescent="0.25">
      <c r="A20331" t="s">
        <v>346</v>
      </c>
      <c r="B20331" t="s">
        <v>315</v>
      </c>
      <c r="C20331" t="s">
        <v>426</v>
      </c>
      <c r="D20331">
        <v>80</v>
      </c>
      <c r="E20331">
        <v>7200</v>
      </c>
      <c r="F20331">
        <v>0</v>
      </c>
      <c r="G20331">
        <v>50</v>
      </c>
      <c r="H20331" t="s">
        <v>19</v>
      </c>
    </row>
    <row r="20332" spans="1:8" x14ac:dyDescent="0.25">
      <c r="A20332" t="str">
        <f>"&lt;nominal&gt;" &amp;$D$20331&amp;"&lt;/nominal&gt;"</f>
        <v>&lt;nominal&gt;80&lt;/nominal&gt;</v>
      </c>
      <c r="B20332" t="s">
        <v>315</v>
      </c>
    </row>
    <row r="20333" spans="1:8" x14ac:dyDescent="0.25">
      <c r="A20333" t="str">
        <f>"&lt;lifetime&gt;" &amp;$E$20331&amp;"&lt;/lifetime&gt;"</f>
        <v>&lt;lifetime&gt;7200&lt;/lifetime&gt;</v>
      </c>
      <c r="B20333" t="s">
        <v>315</v>
      </c>
    </row>
    <row r="20334" spans="1:8" x14ac:dyDescent="0.25">
      <c r="A20334" t="str">
        <f>"&lt;restock&gt;" &amp;$F$20331&amp;"&lt;/restock&gt;"</f>
        <v>&lt;restock&gt;0&lt;/restock&gt;</v>
      </c>
      <c r="B20334" t="s">
        <v>315</v>
      </c>
    </row>
    <row r="20335" spans="1:8" x14ac:dyDescent="0.25">
      <c r="A20335" t="str">
        <f>"&lt;min&gt;" &amp;$G$20331&amp;"&lt;/min&gt;"</f>
        <v>&lt;min&gt;50&lt;/min&gt;</v>
      </c>
      <c r="B20335" t="s">
        <v>315</v>
      </c>
    </row>
    <row r="20336" spans="1:8" x14ac:dyDescent="0.25">
      <c r="A20336" t="s">
        <v>16</v>
      </c>
      <c r="B20336" t="s">
        <v>315</v>
      </c>
    </row>
    <row r="20337" spans="1:8" x14ac:dyDescent="0.25">
      <c r="A20337" t="s">
        <v>17</v>
      </c>
      <c r="B20337" t="s">
        <v>315</v>
      </c>
    </row>
    <row r="20338" spans="1:8" x14ac:dyDescent="0.25">
      <c r="A20338" t="s">
        <v>18</v>
      </c>
      <c r="B20338" t="s">
        <v>315</v>
      </c>
    </row>
    <row r="20339" spans="1:8" x14ac:dyDescent="0.25">
      <c r="A20339" t="str">
        <f xml:space="preserve"> $H$20331</f>
        <v>&lt;flags count_in_cargo="0" count_in_hoarder="0" count_in_map="1" count_in_player="0" crafted="0" deloot="0"/&gt;</v>
      </c>
      <c r="B20339" t="s">
        <v>315</v>
      </c>
    </row>
    <row r="20340" spans="1:8" x14ac:dyDescent="0.25">
      <c r="A20340" t="str">
        <f>"&lt;category name=" &amp;"""" &amp;$C$20331&amp;"""/&gt;"</f>
        <v>&lt;category name="tools"/&gt;</v>
      </c>
      <c r="B20340" t="s">
        <v>315</v>
      </c>
    </row>
    <row r="20341" spans="1:8" x14ac:dyDescent="0.25">
      <c r="A20341" t="s">
        <v>25</v>
      </c>
      <c r="B20341" t="s">
        <v>315</v>
      </c>
    </row>
    <row r="20342" spans="1:8" x14ac:dyDescent="0.25">
      <c r="A20342" t="s">
        <v>56</v>
      </c>
      <c r="B20342" t="s">
        <v>315</v>
      </c>
    </row>
    <row r="20343" spans="1:8" x14ac:dyDescent="0.25">
      <c r="A20343" t="s">
        <v>40</v>
      </c>
      <c r="B20343" t="s">
        <v>315</v>
      </c>
    </row>
    <row r="20344" spans="1:8" x14ac:dyDescent="0.25">
      <c r="A20344" t="s">
        <v>22</v>
      </c>
      <c r="B20344" t="s">
        <v>315</v>
      </c>
    </row>
    <row r="20345" spans="1:8" x14ac:dyDescent="0.25">
      <c r="B20345" t="s">
        <v>315</v>
      </c>
    </row>
    <row r="20346" spans="1:8" x14ac:dyDescent="0.25">
      <c r="B20346" t="s">
        <v>315</v>
      </c>
    </row>
    <row r="20347" spans="1:8" x14ac:dyDescent="0.25">
      <c r="A20347" t="s">
        <v>2767</v>
      </c>
      <c r="B20347" t="s">
        <v>2804</v>
      </c>
      <c r="C20347" t="s">
        <v>8</v>
      </c>
      <c r="D20347">
        <v>20</v>
      </c>
      <c r="E20347">
        <v>7200</v>
      </c>
      <c r="F20347">
        <v>0</v>
      </c>
      <c r="G20347">
        <v>15</v>
      </c>
      <c r="H20347" t="s">
        <v>19</v>
      </c>
    </row>
    <row r="20348" spans="1:8" x14ac:dyDescent="0.25">
      <c r="A20348" t="str">
        <f>"&lt;nominal&gt;" &amp;$D$20347&amp;"&lt;/nominal&gt;"</f>
        <v>&lt;nominal&gt;20&lt;/nominal&gt;</v>
      </c>
      <c r="B20348" t="s">
        <v>2804</v>
      </c>
    </row>
    <row r="20349" spans="1:8" x14ac:dyDescent="0.25">
      <c r="A20349" t="str">
        <f>"&lt;lifetime&gt;" &amp;$E$20347&amp;"&lt;/lifetime&gt;"</f>
        <v>&lt;lifetime&gt;7200&lt;/lifetime&gt;</v>
      </c>
      <c r="B20349" t="s">
        <v>2804</v>
      </c>
    </row>
    <row r="20350" spans="1:8" x14ac:dyDescent="0.25">
      <c r="A20350" t="str">
        <f>"&lt;restock&gt;" &amp;$F$20347&amp;"&lt;/restock&gt;"</f>
        <v>&lt;restock&gt;0&lt;/restock&gt;</v>
      </c>
      <c r="B20350" t="s">
        <v>2804</v>
      </c>
    </row>
    <row r="20351" spans="1:8" x14ac:dyDescent="0.25">
      <c r="A20351" t="str">
        <f>"&lt;min&gt;" &amp;$G$20347&amp;"&lt;/min&gt;"</f>
        <v>&lt;min&gt;15&lt;/min&gt;</v>
      </c>
      <c r="B20351" t="s">
        <v>2804</v>
      </c>
    </row>
    <row r="20352" spans="1:8" x14ac:dyDescent="0.25">
      <c r="A20352" t="s">
        <v>16</v>
      </c>
      <c r="B20352" t="s">
        <v>2804</v>
      </c>
    </row>
    <row r="20353" spans="1:8" x14ac:dyDescent="0.25">
      <c r="A20353" t="s">
        <v>17</v>
      </c>
      <c r="B20353" t="s">
        <v>2804</v>
      </c>
    </row>
    <row r="20354" spans="1:8" x14ac:dyDescent="0.25">
      <c r="A20354" t="s">
        <v>18</v>
      </c>
      <c r="B20354" t="s">
        <v>2804</v>
      </c>
    </row>
    <row r="20355" spans="1:8" x14ac:dyDescent="0.25">
      <c r="A20355" t="str">
        <f xml:space="preserve"> $H$20347</f>
        <v>&lt;flags count_in_cargo="0" count_in_hoarder="0" count_in_map="1" count_in_player="0" crafted="0" deloot="0"/&gt;</v>
      </c>
      <c r="B20355" t="s">
        <v>2804</v>
      </c>
    </row>
    <row r="20356" spans="1:8" x14ac:dyDescent="0.25">
      <c r="A20356" t="str">
        <f>"&lt;category name=" &amp;"""" &amp;$C$20347&amp;"""/&gt;"</f>
        <v>&lt;category name="weapons"/&gt;</v>
      </c>
      <c r="B20356" t="s">
        <v>2804</v>
      </c>
    </row>
    <row r="20357" spans="1:8" x14ac:dyDescent="0.25">
      <c r="A20357" t="s">
        <v>56</v>
      </c>
      <c r="B20357" t="s">
        <v>2804</v>
      </c>
    </row>
    <row r="20358" spans="1:8" x14ac:dyDescent="0.25">
      <c r="A20358" t="s">
        <v>40</v>
      </c>
      <c r="B20358" t="s">
        <v>2804</v>
      </c>
    </row>
    <row r="20359" spans="1:8" x14ac:dyDescent="0.25">
      <c r="A20359" t="s">
        <v>82</v>
      </c>
      <c r="B20359" t="s">
        <v>2804</v>
      </c>
    </row>
    <row r="20360" spans="1:8" x14ac:dyDescent="0.25">
      <c r="A20360" t="s">
        <v>30</v>
      </c>
      <c r="B20360" t="s">
        <v>2804</v>
      </c>
    </row>
    <row r="20361" spans="1:8" x14ac:dyDescent="0.25">
      <c r="A20361" t="s">
        <v>22</v>
      </c>
      <c r="B20361" t="s">
        <v>2804</v>
      </c>
    </row>
    <row r="20362" spans="1:8" x14ac:dyDescent="0.25">
      <c r="A20362" t="s">
        <v>2768</v>
      </c>
      <c r="B20362" t="s">
        <v>2802</v>
      </c>
      <c r="C20362" t="s">
        <v>8</v>
      </c>
      <c r="D20362">
        <v>20</v>
      </c>
      <c r="E20362">
        <v>10800</v>
      </c>
      <c r="F20362">
        <v>0</v>
      </c>
      <c r="G20362">
        <v>10</v>
      </c>
      <c r="H20362" t="s">
        <v>19</v>
      </c>
    </row>
    <row r="20363" spans="1:8" x14ac:dyDescent="0.25">
      <c r="A20363" t="str">
        <f>"&lt;nominal&gt;" &amp;$D$20362&amp;"&lt;/nominal&gt;"</f>
        <v>&lt;nominal&gt;20&lt;/nominal&gt;</v>
      </c>
      <c r="B20363" t="s">
        <v>2802</v>
      </c>
    </row>
    <row r="20364" spans="1:8" x14ac:dyDescent="0.25">
      <c r="A20364" t="str">
        <f>"&lt;lifetime&gt;" &amp;$E$20362&amp;"&lt;/lifetime&gt;"</f>
        <v>&lt;lifetime&gt;10800&lt;/lifetime&gt;</v>
      </c>
      <c r="B20364" t="s">
        <v>2802</v>
      </c>
    </row>
    <row r="20365" spans="1:8" x14ac:dyDescent="0.25">
      <c r="A20365" t="str">
        <f>"&lt;restock&gt;" &amp;$F$20362&amp;"&lt;/restock&gt;"</f>
        <v>&lt;restock&gt;0&lt;/restock&gt;</v>
      </c>
      <c r="B20365" t="s">
        <v>2802</v>
      </c>
    </row>
    <row r="20366" spans="1:8" x14ac:dyDescent="0.25">
      <c r="A20366" t="str">
        <f>"&lt;min&gt;" &amp;$G$20362&amp;"&lt;/min&gt;"</f>
        <v>&lt;min&gt;10&lt;/min&gt;</v>
      </c>
      <c r="B20366" t="s">
        <v>2802</v>
      </c>
    </row>
    <row r="20367" spans="1:8" x14ac:dyDescent="0.25">
      <c r="A20367" t="s">
        <v>16</v>
      </c>
      <c r="B20367" t="s">
        <v>2802</v>
      </c>
    </row>
    <row r="20368" spans="1:8" x14ac:dyDescent="0.25">
      <c r="A20368" t="s">
        <v>17</v>
      </c>
      <c r="B20368" t="s">
        <v>2802</v>
      </c>
    </row>
    <row r="20369" spans="1:8" x14ac:dyDescent="0.25">
      <c r="A20369" t="s">
        <v>18</v>
      </c>
      <c r="B20369" t="s">
        <v>2802</v>
      </c>
    </row>
    <row r="20370" spans="1:8" x14ac:dyDescent="0.25">
      <c r="A20370" t="str">
        <f xml:space="preserve"> $H$20362</f>
        <v>&lt;flags count_in_cargo="0" count_in_hoarder="0" count_in_map="1" count_in_player="0" crafted="0" deloot="0"/&gt;</v>
      </c>
      <c r="B20370" t="s">
        <v>2802</v>
      </c>
    </row>
    <row r="20371" spans="1:8" x14ac:dyDescent="0.25">
      <c r="A20371" t="str">
        <f>"&lt;category name=" &amp;"""" &amp;$C$20362&amp;"""/&gt;"</f>
        <v>&lt;category name="weapons"/&gt;</v>
      </c>
      <c r="B20371" t="s">
        <v>2802</v>
      </c>
    </row>
    <row r="20372" spans="1:8" x14ac:dyDescent="0.25">
      <c r="A20372" t="s">
        <v>20</v>
      </c>
      <c r="B20372" t="s">
        <v>2802</v>
      </c>
    </row>
    <row r="20373" spans="1:8" x14ac:dyDescent="0.25">
      <c r="A20373" t="s">
        <v>40</v>
      </c>
      <c r="B20373" t="s">
        <v>2802</v>
      </c>
    </row>
    <row r="20374" spans="1:8" x14ac:dyDescent="0.25">
      <c r="A20374" t="s">
        <v>22</v>
      </c>
      <c r="B20374" t="s">
        <v>2802</v>
      </c>
    </row>
    <row r="20375" spans="1:8" x14ac:dyDescent="0.25">
      <c r="A20375" t="s">
        <v>2769</v>
      </c>
      <c r="B20375" t="s">
        <v>2803</v>
      </c>
      <c r="C20375" t="s">
        <v>8</v>
      </c>
      <c r="D20375">
        <v>40</v>
      </c>
      <c r="E20375">
        <v>10800</v>
      </c>
      <c r="F20375">
        <v>0</v>
      </c>
      <c r="G20375">
        <v>20</v>
      </c>
      <c r="H20375" t="s">
        <v>19</v>
      </c>
    </row>
    <row r="20376" spans="1:8" x14ac:dyDescent="0.25">
      <c r="A20376" t="str">
        <f>"&lt;nominal&gt;" &amp;$D$20375&amp;"&lt;/nominal&gt;"</f>
        <v>&lt;nominal&gt;40&lt;/nominal&gt;</v>
      </c>
      <c r="B20376" t="s">
        <v>2803</v>
      </c>
    </row>
    <row r="20377" spans="1:8" x14ac:dyDescent="0.25">
      <c r="A20377" t="str">
        <f>"&lt;lifetime&gt;" &amp;$E$20375&amp;"&lt;/lifetime&gt;"</f>
        <v>&lt;lifetime&gt;10800&lt;/lifetime&gt;</v>
      </c>
      <c r="B20377" t="s">
        <v>2803</v>
      </c>
    </row>
    <row r="20378" spans="1:8" x14ac:dyDescent="0.25">
      <c r="A20378" t="str">
        <f>"&lt;restock&gt;" &amp;$F$20375&amp;"&lt;/restock&gt;"</f>
        <v>&lt;restock&gt;0&lt;/restock&gt;</v>
      </c>
      <c r="B20378" t="s">
        <v>2803</v>
      </c>
    </row>
    <row r="20379" spans="1:8" x14ac:dyDescent="0.25">
      <c r="A20379" t="str">
        <f>"&lt;min&gt;" &amp;$G$20375&amp;"&lt;/min&gt;"</f>
        <v>&lt;min&gt;20&lt;/min&gt;</v>
      </c>
      <c r="B20379" t="s">
        <v>2803</v>
      </c>
    </row>
    <row r="20380" spans="1:8" x14ac:dyDescent="0.25">
      <c r="A20380" t="s">
        <v>45</v>
      </c>
      <c r="B20380" t="s">
        <v>2803</v>
      </c>
    </row>
    <row r="20381" spans="1:8" x14ac:dyDescent="0.25">
      <c r="A20381" t="s">
        <v>2062</v>
      </c>
      <c r="B20381" t="s">
        <v>2803</v>
      </c>
    </row>
    <row r="20382" spans="1:8" x14ac:dyDescent="0.25">
      <c r="A20382" t="s">
        <v>18</v>
      </c>
      <c r="B20382" t="s">
        <v>2803</v>
      </c>
    </row>
    <row r="20383" spans="1:8" x14ac:dyDescent="0.25">
      <c r="A20383" t="str">
        <f xml:space="preserve"> $H$20375</f>
        <v>&lt;flags count_in_cargo="0" count_in_hoarder="0" count_in_map="1" count_in_player="0" crafted="0" deloot="0"/&gt;</v>
      </c>
      <c r="B20383" t="s">
        <v>2803</v>
      </c>
    </row>
    <row r="20384" spans="1:8" x14ac:dyDescent="0.25">
      <c r="A20384" t="str">
        <f>"&lt;category name=" &amp;"""" &amp;$C$20375&amp;"""/&gt;"</f>
        <v>&lt;category name="weapons"/&gt;</v>
      </c>
      <c r="B20384" t="s">
        <v>2803</v>
      </c>
    </row>
    <row r="20385" spans="1:8" x14ac:dyDescent="0.25">
      <c r="A20385" t="s">
        <v>20</v>
      </c>
      <c r="B20385" t="s">
        <v>2803</v>
      </c>
    </row>
    <row r="20386" spans="1:8" x14ac:dyDescent="0.25">
      <c r="A20386" t="s">
        <v>56</v>
      </c>
      <c r="B20386" t="s">
        <v>2803</v>
      </c>
    </row>
    <row r="20387" spans="1:8" x14ac:dyDescent="0.25">
      <c r="A20387" t="s">
        <v>40</v>
      </c>
      <c r="B20387" t="s">
        <v>2803</v>
      </c>
    </row>
    <row r="20388" spans="1:8" x14ac:dyDescent="0.25">
      <c r="A20388" t="s">
        <v>22</v>
      </c>
      <c r="B20388" t="s">
        <v>2803</v>
      </c>
    </row>
    <row r="20389" spans="1:8" x14ac:dyDescent="0.25">
      <c r="A20389" t="s">
        <v>2770</v>
      </c>
      <c r="B20389" t="s">
        <v>2800</v>
      </c>
      <c r="C20389" t="s">
        <v>8</v>
      </c>
      <c r="D20389">
        <v>20</v>
      </c>
      <c r="E20389">
        <v>10800</v>
      </c>
      <c r="F20389">
        <v>0</v>
      </c>
      <c r="G20389">
        <v>10</v>
      </c>
      <c r="H20389" t="s">
        <v>19</v>
      </c>
    </row>
    <row r="20390" spans="1:8" x14ac:dyDescent="0.25">
      <c r="A20390" t="str">
        <f>"&lt;nominal&gt;" &amp;$D$20389&amp;"&lt;/nominal&gt;"</f>
        <v>&lt;nominal&gt;20&lt;/nominal&gt;</v>
      </c>
      <c r="B20390" t="s">
        <v>2800</v>
      </c>
    </row>
    <row r="20391" spans="1:8" x14ac:dyDescent="0.25">
      <c r="A20391" t="str">
        <f>"&lt;lifetime&gt;" &amp;$E$20389&amp;"&lt;/lifetime&gt;"</f>
        <v>&lt;lifetime&gt;10800&lt;/lifetime&gt;</v>
      </c>
      <c r="B20391" t="s">
        <v>2800</v>
      </c>
    </row>
    <row r="20392" spans="1:8" x14ac:dyDescent="0.25">
      <c r="A20392" t="str">
        <f>"&lt;restock&gt;" &amp;$F$20389&amp;"&lt;/restock&gt;"</f>
        <v>&lt;restock&gt;0&lt;/restock&gt;</v>
      </c>
      <c r="B20392" t="s">
        <v>2800</v>
      </c>
    </row>
    <row r="20393" spans="1:8" x14ac:dyDescent="0.25">
      <c r="A20393" t="str">
        <f>"&lt;min&gt;" &amp;$G$20389&amp;"&lt;/min&gt;"</f>
        <v>&lt;min&gt;10&lt;/min&gt;</v>
      </c>
      <c r="B20393" t="s">
        <v>2800</v>
      </c>
    </row>
    <row r="20394" spans="1:8" x14ac:dyDescent="0.25">
      <c r="A20394" t="s">
        <v>16</v>
      </c>
      <c r="B20394" t="s">
        <v>2800</v>
      </c>
    </row>
    <row r="20395" spans="1:8" x14ac:dyDescent="0.25">
      <c r="A20395" t="s">
        <v>17</v>
      </c>
      <c r="B20395" t="s">
        <v>2800</v>
      </c>
    </row>
    <row r="20396" spans="1:8" x14ac:dyDescent="0.25">
      <c r="A20396" t="s">
        <v>18</v>
      </c>
      <c r="B20396" t="s">
        <v>2800</v>
      </c>
    </row>
    <row r="20397" spans="1:8" x14ac:dyDescent="0.25">
      <c r="A20397" t="str">
        <f xml:space="preserve"> $H$20389</f>
        <v>&lt;flags count_in_cargo="0" count_in_hoarder="0" count_in_map="1" count_in_player="0" crafted="0" deloot="0"/&gt;</v>
      </c>
      <c r="B20397" t="s">
        <v>2800</v>
      </c>
    </row>
    <row r="20398" spans="1:8" x14ac:dyDescent="0.25">
      <c r="A20398" t="str">
        <f>"&lt;category name=" &amp;"""" &amp;$C$20389&amp;"""/&gt;"</f>
        <v>&lt;category name="weapons"/&gt;</v>
      </c>
      <c r="B20398" t="s">
        <v>2800</v>
      </c>
    </row>
    <row r="20399" spans="1:8" x14ac:dyDescent="0.25">
      <c r="A20399" t="s">
        <v>173</v>
      </c>
      <c r="B20399" t="s">
        <v>2800</v>
      </c>
    </row>
    <row r="20400" spans="1:8" x14ac:dyDescent="0.25">
      <c r="A20400" t="s">
        <v>22</v>
      </c>
      <c r="B20400" t="s">
        <v>2800</v>
      </c>
    </row>
    <row r="20401" spans="1:8" x14ac:dyDescent="0.25">
      <c r="A20401" t="s">
        <v>2771</v>
      </c>
      <c r="B20401" t="s">
        <v>2801</v>
      </c>
      <c r="C20401" t="s">
        <v>8</v>
      </c>
      <c r="D20401">
        <v>40</v>
      </c>
      <c r="E20401">
        <v>10800</v>
      </c>
      <c r="F20401">
        <v>0</v>
      </c>
      <c r="G20401">
        <v>20</v>
      </c>
      <c r="H20401" t="s">
        <v>19</v>
      </c>
    </row>
    <row r="20402" spans="1:8" x14ac:dyDescent="0.25">
      <c r="A20402" t="str">
        <f>"&lt;nominal&gt;" &amp;$D$20401&amp;"&lt;/nominal&gt;"</f>
        <v>&lt;nominal&gt;40&lt;/nominal&gt;</v>
      </c>
      <c r="B20402" t="s">
        <v>2801</v>
      </c>
    </row>
    <row r="20403" spans="1:8" x14ac:dyDescent="0.25">
      <c r="A20403" t="str">
        <f>"&lt;lifetime&gt;" &amp;$E$20401&amp;"&lt;/lifetime&gt;"</f>
        <v>&lt;lifetime&gt;10800&lt;/lifetime&gt;</v>
      </c>
      <c r="B20403" t="s">
        <v>2801</v>
      </c>
    </row>
    <row r="20404" spans="1:8" x14ac:dyDescent="0.25">
      <c r="A20404" t="str">
        <f>"&lt;restock&gt;" &amp;$F$20401&amp;"&lt;/restock&gt;"</f>
        <v>&lt;restock&gt;0&lt;/restock&gt;</v>
      </c>
      <c r="B20404" t="s">
        <v>2801</v>
      </c>
    </row>
    <row r="20405" spans="1:8" x14ac:dyDescent="0.25">
      <c r="A20405" t="str">
        <f>"&lt;min&gt;" &amp;$G$20401&amp;"&lt;/min&gt;"</f>
        <v>&lt;min&gt;20&lt;/min&gt;</v>
      </c>
      <c r="B20405" t="s">
        <v>2801</v>
      </c>
    </row>
    <row r="20406" spans="1:8" x14ac:dyDescent="0.25">
      <c r="A20406" t="s">
        <v>45</v>
      </c>
      <c r="B20406" t="s">
        <v>2801</v>
      </c>
    </row>
    <row r="20407" spans="1:8" x14ac:dyDescent="0.25">
      <c r="A20407" t="s">
        <v>321</v>
      </c>
      <c r="B20407" t="s">
        <v>2801</v>
      </c>
    </row>
    <row r="20408" spans="1:8" x14ac:dyDescent="0.25">
      <c r="A20408" t="s">
        <v>18</v>
      </c>
      <c r="B20408" t="s">
        <v>2801</v>
      </c>
    </row>
    <row r="20409" spans="1:8" x14ac:dyDescent="0.25">
      <c r="A20409" t="str">
        <f xml:space="preserve"> $H$20401</f>
        <v>&lt;flags count_in_cargo="0" count_in_hoarder="0" count_in_map="1" count_in_player="0" crafted="0" deloot="0"/&gt;</v>
      </c>
      <c r="B20409" t="s">
        <v>2801</v>
      </c>
    </row>
    <row r="20410" spans="1:8" x14ac:dyDescent="0.25">
      <c r="A20410" t="str">
        <f>"&lt;category name=" &amp;"""" &amp;$C$20401&amp;"""/&gt;"</f>
        <v>&lt;category name="weapons"/&gt;</v>
      </c>
      <c r="B20410" t="s">
        <v>2801</v>
      </c>
    </row>
    <row r="20411" spans="1:8" x14ac:dyDescent="0.25">
      <c r="A20411" t="s">
        <v>173</v>
      </c>
      <c r="B20411" t="s">
        <v>2801</v>
      </c>
    </row>
    <row r="20412" spans="1:8" x14ac:dyDescent="0.25">
      <c r="A20412" t="s">
        <v>56</v>
      </c>
      <c r="B20412" t="s">
        <v>2801</v>
      </c>
    </row>
    <row r="20413" spans="1:8" x14ac:dyDescent="0.25">
      <c r="A20413" t="s">
        <v>22</v>
      </c>
      <c r="B20413" t="s">
        <v>2801</v>
      </c>
    </row>
    <row r="20414" spans="1:8" x14ac:dyDescent="0.25">
      <c r="A20414" t="s">
        <v>2843</v>
      </c>
      <c r="B20414" t="s">
        <v>2801</v>
      </c>
    </row>
    <row r="20415" spans="1:8" x14ac:dyDescent="0.25">
      <c r="A20415" t="s">
        <v>2844</v>
      </c>
      <c r="B20415" t="s">
        <v>3395</v>
      </c>
      <c r="D20415">
        <v>0</v>
      </c>
      <c r="E20415">
        <v>3</v>
      </c>
      <c r="F20415">
        <v>0</v>
      </c>
      <c r="G20415">
        <v>0</v>
      </c>
      <c r="H20415" t="s">
        <v>19</v>
      </c>
    </row>
    <row r="20416" spans="1:8" x14ac:dyDescent="0.25">
      <c r="A20416" t="str">
        <f>"&lt;nominal&gt;" &amp;$D$20415&amp;"&lt;/nominal&gt;"</f>
        <v>&lt;nominal&gt;0&lt;/nominal&gt;</v>
      </c>
      <c r="B20416" t="s">
        <v>3395</v>
      </c>
    </row>
    <row r="20417" spans="1:8" x14ac:dyDescent="0.25">
      <c r="A20417" t="str">
        <f>"&lt;lifetime&gt;" &amp;$E$20415&amp;"&lt;/lifetime&gt;"</f>
        <v>&lt;lifetime&gt;3&lt;/lifetime&gt;</v>
      </c>
      <c r="B20417" t="s">
        <v>3395</v>
      </c>
    </row>
    <row r="20418" spans="1:8" x14ac:dyDescent="0.25">
      <c r="A20418" t="str">
        <f>"&lt;restock&gt;" &amp;$F$20415&amp;"&lt;/restock&gt;"</f>
        <v>&lt;restock&gt;0&lt;/restock&gt;</v>
      </c>
      <c r="B20418" t="s">
        <v>3395</v>
      </c>
    </row>
    <row r="20419" spans="1:8" x14ac:dyDescent="0.25">
      <c r="A20419" t="str">
        <f>"&lt;min&gt;" &amp;$G$20415&amp;"&lt;/min&gt;"</f>
        <v>&lt;min&gt;0&lt;/min&gt;</v>
      </c>
      <c r="B20419" t="s">
        <v>3395</v>
      </c>
    </row>
    <row r="20420" spans="1:8" x14ac:dyDescent="0.25">
      <c r="A20420" t="s">
        <v>16</v>
      </c>
      <c r="B20420" t="s">
        <v>3395</v>
      </c>
    </row>
    <row r="20421" spans="1:8" x14ac:dyDescent="0.25">
      <c r="A20421" t="s">
        <v>17</v>
      </c>
      <c r="B20421" t="s">
        <v>3395</v>
      </c>
    </row>
    <row r="20422" spans="1:8" x14ac:dyDescent="0.25">
      <c r="A20422" t="s">
        <v>18</v>
      </c>
      <c r="B20422" t="s">
        <v>3395</v>
      </c>
    </row>
    <row r="20423" spans="1:8" x14ac:dyDescent="0.25">
      <c r="A20423" t="str">
        <f xml:space="preserve"> $H$20415</f>
        <v>&lt;flags count_in_cargo="0" count_in_hoarder="0" count_in_map="1" count_in_player="0" crafted="0" deloot="0"/&gt;</v>
      </c>
      <c r="B20423" t="s">
        <v>3395</v>
      </c>
    </row>
    <row r="20424" spans="1:8" x14ac:dyDescent="0.25">
      <c r="A20424" t="s">
        <v>22</v>
      </c>
      <c r="B20424" t="s">
        <v>3395</v>
      </c>
    </row>
    <row r="20425" spans="1:8" x14ac:dyDescent="0.25">
      <c r="A20425" t="s">
        <v>2845</v>
      </c>
      <c r="B20425" t="s">
        <v>3032</v>
      </c>
      <c r="C20425" t="s">
        <v>3033</v>
      </c>
      <c r="D20425">
        <v>2</v>
      </c>
      <c r="E20425">
        <v>2700</v>
      </c>
      <c r="F20425">
        <v>0</v>
      </c>
      <c r="G20425">
        <v>1</v>
      </c>
      <c r="H20425" t="s">
        <v>19</v>
      </c>
    </row>
    <row r="20426" spans="1:8" x14ac:dyDescent="0.25">
      <c r="A20426" t="str">
        <f>"&lt;nominal&gt;" &amp;$D$20425&amp;"&lt;/nominal&gt;"</f>
        <v>&lt;nominal&gt;2&lt;/nominal&gt;</v>
      </c>
      <c r="B20426" t="s">
        <v>3032</v>
      </c>
    </row>
    <row r="20427" spans="1:8" x14ac:dyDescent="0.25">
      <c r="A20427" t="str">
        <f>"&lt;lifetime&gt;" &amp;$E$20425&amp;"&lt;/lifetime&gt;"</f>
        <v>&lt;lifetime&gt;2700&lt;/lifetime&gt;</v>
      </c>
      <c r="B20427" t="s">
        <v>3032</v>
      </c>
    </row>
    <row r="20428" spans="1:8" x14ac:dyDescent="0.25">
      <c r="A20428" t="str">
        <f>"&lt;restock&gt;" &amp;$F$20425&amp;"&lt;/restock&gt;"</f>
        <v>&lt;restock&gt;0&lt;/restock&gt;</v>
      </c>
      <c r="B20428" t="s">
        <v>3032</v>
      </c>
    </row>
    <row r="20429" spans="1:8" x14ac:dyDescent="0.25">
      <c r="A20429" t="str">
        <f>"&lt;min&gt;" &amp;$G$20425&amp;"&lt;/min&gt;"</f>
        <v>&lt;min&gt;1&lt;/min&gt;</v>
      </c>
      <c r="B20429" t="s">
        <v>3032</v>
      </c>
    </row>
    <row r="20430" spans="1:8" x14ac:dyDescent="0.25">
      <c r="A20430" t="s">
        <v>16</v>
      </c>
      <c r="B20430" t="s">
        <v>3032</v>
      </c>
    </row>
    <row r="20431" spans="1:8" x14ac:dyDescent="0.25">
      <c r="A20431" t="s">
        <v>17</v>
      </c>
      <c r="B20431" t="s">
        <v>3032</v>
      </c>
    </row>
    <row r="20432" spans="1:8" x14ac:dyDescent="0.25">
      <c r="A20432" t="s">
        <v>18</v>
      </c>
      <c r="B20432" t="s">
        <v>3032</v>
      </c>
    </row>
    <row r="20433" spans="1:8" x14ac:dyDescent="0.25">
      <c r="A20433" t="str">
        <f xml:space="preserve"> $H$20425</f>
        <v>&lt;flags count_in_cargo="0" count_in_hoarder="0" count_in_map="1" count_in_player="0" crafted="0" deloot="0"/&gt;</v>
      </c>
      <c r="B20433" t="s">
        <v>3032</v>
      </c>
    </row>
    <row r="20434" spans="1:8" x14ac:dyDescent="0.25">
      <c r="A20434" t="str">
        <f>"&lt;category name=" &amp;"""" &amp;$C$20425&amp;"""/&gt;"</f>
        <v>&lt;category name="vehiclesparts"/&gt;</v>
      </c>
      <c r="B20434" t="s">
        <v>3032</v>
      </c>
    </row>
    <row r="20435" spans="1:8" x14ac:dyDescent="0.25">
      <c r="A20435" t="s">
        <v>25</v>
      </c>
      <c r="B20435" t="s">
        <v>3032</v>
      </c>
    </row>
    <row r="20436" spans="1:8" x14ac:dyDescent="0.25">
      <c r="A20436" t="s">
        <v>55</v>
      </c>
      <c r="B20436" t="s">
        <v>3032</v>
      </c>
    </row>
    <row r="20437" spans="1:8" x14ac:dyDescent="0.25">
      <c r="A20437" t="s">
        <v>22</v>
      </c>
      <c r="B20437" t="s">
        <v>3032</v>
      </c>
    </row>
    <row r="20438" spans="1:8" x14ac:dyDescent="0.25">
      <c r="A20438" t="s">
        <v>2846</v>
      </c>
      <c r="B20438" t="s">
        <v>3034</v>
      </c>
      <c r="C20438" t="s">
        <v>3033</v>
      </c>
      <c r="D20438">
        <v>2</v>
      </c>
      <c r="E20438">
        <v>2700</v>
      </c>
      <c r="F20438">
        <v>0</v>
      </c>
      <c r="G20438">
        <v>1</v>
      </c>
      <c r="H20438" t="s">
        <v>19</v>
      </c>
    </row>
    <row r="20439" spans="1:8" x14ac:dyDescent="0.25">
      <c r="A20439" t="str">
        <f>"&lt;nominal&gt;" &amp;$D$20438&amp;"&lt;/nominal&gt;"</f>
        <v>&lt;nominal&gt;2&lt;/nominal&gt;</v>
      </c>
      <c r="B20439" t="s">
        <v>3034</v>
      </c>
    </row>
    <row r="20440" spans="1:8" x14ac:dyDescent="0.25">
      <c r="A20440" t="str">
        <f>"&lt;lifetime&gt;" &amp;$E$20438&amp;"&lt;/lifetime&gt;"</f>
        <v>&lt;lifetime&gt;2700&lt;/lifetime&gt;</v>
      </c>
      <c r="B20440" t="s">
        <v>3034</v>
      </c>
    </row>
    <row r="20441" spans="1:8" x14ac:dyDescent="0.25">
      <c r="A20441" t="str">
        <f>"&lt;restock&gt;" &amp;$F$20438&amp;"&lt;/restock&gt;"</f>
        <v>&lt;restock&gt;0&lt;/restock&gt;</v>
      </c>
      <c r="B20441" t="s">
        <v>3034</v>
      </c>
    </row>
    <row r="20442" spans="1:8" x14ac:dyDescent="0.25">
      <c r="A20442" t="str">
        <f>"&lt;min&gt;" &amp;$G$20438&amp;"&lt;/min&gt;"</f>
        <v>&lt;min&gt;1&lt;/min&gt;</v>
      </c>
      <c r="B20442" t="s">
        <v>3034</v>
      </c>
    </row>
    <row r="20443" spans="1:8" x14ac:dyDescent="0.25">
      <c r="A20443" t="s">
        <v>16</v>
      </c>
      <c r="B20443" t="s">
        <v>3034</v>
      </c>
    </row>
    <row r="20444" spans="1:8" x14ac:dyDescent="0.25">
      <c r="A20444" t="s">
        <v>17</v>
      </c>
      <c r="B20444" t="s">
        <v>3034</v>
      </c>
    </row>
    <row r="20445" spans="1:8" x14ac:dyDescent="0.25">
      <c r="A20445" t="s">
        <v>18</v>
      </c>
      <c r="B20445" t="s">
        <v>3034</v>
      </c>
    </row>
    <row r="20446" spans="1:8" x14ac:dyDescent="0.25">
      <c r="A20446" t="str">
        <f xml:space="preserve"> $H$20438</f>
        <v>&lt;flags count_in_cargo="0" count_in_hoarder="0" count_in_map="1" count_in_player="0" crafted="0" deloot="0"/&gt;</v>
      </c>
      <c r="B20446" t="s">
        <v>3034</v>
      </c>
    </row>
    <row r="20447" spans="1:8" x14ac:dyDescent="0.25">
      <c r="A20447" t="str">
        <f>"&lt;category name=" &amp;"""" &amp;$C$20438&amp;"""/&gt;"</f>
        <v>&lt;category name="vehiclesparts"/&gt;</v>
      </c>
      <c r="B20447" t="s">
        <v>3034</v>
      </c>
    </row>
    <row r="20448" spans="1:8" x14ac:dyDescent="0.25">
      <c r="A20448" t="s">
        <v>25</v>
      </c>
      <c r="B20448" t="s">
        <v>3034</v>
      </c>
    </row>
    <row r="20449" spans="1:8" x14ac:dyDescent="0.25">
      <c r="A20449" t="s">
        <v>55</v>
      </c>
      <c r="B20449" t="s">
        <v>3034</v>
      </c>
    </row>
    <row r="20450" spans="1:8" x14ac:dyDescent="0.25">
      <c r="A20450" t="s">
        <v>22</v>
      </c>
      <c r="B20450" t="s">
        <v>3034</v>
      </c>
    </row>
    <row r="20451" spans="1:8" x14ac:dyDescent="0.25">
      <c r="A20451" t="s">
        <v>2847</v>
      </c>
      <c r="B20451" t="s">
        <v>3035</v>
      </c>
      <c r="C20451" t="s">
        <v>3033</v>
      </c>
      <c r="D20451">
        <v>2</v>
      </c>
      <c r="E20451">
        <v>2700</v>
      </c>
      <c r="F20451">
        <v>0</v>
      </c>
      <c r="G20451">
        <v>1</v>
      </c>
      <c r="H20451" t="s">
        <v>19</v>
      </c>
    </row>
    <row r="20452" spans="1:8" x14ac:dyDescent="0.25">
      <c r="A20452" t="str">
        <f>"&lt;nominal&gt;" &amp;$D$20451&amp;"&lt;/nominal&gt;"</f>
        <v>&lt;nominal&gt;2&lt;/nominal&gt;</v>
      </c>
      <c r="B20452" t="s">
        <v>3035</v>
      </c>
    </row>
    <row r="20453" spans="1:8" x14ac:dyDescent="0.25">
      <c r="A20453" t="str">
        <f>"&lt;lifetime&gt;" &amp;$E$20451&amp;"&lt;/lifetime&gt;"</f>
        <v>&lt;lifetime&gt;2700&lt;/lifetime&gt;</v>
      </c>
      <c r="B20453" t="s">
        <v>3035</v>
      </c>
    </row>
    <row r="20454" spans="1:8" x14ac:dyDescent="0.25">
      <c r="A20454" t="str">
        <f>"&lt;restock&gt;" &amp;$F$20451&amp;"&lt;/restock&gt;"</f>
        <v>&lt;restock&gt;0&lt;/restock&gt;</v>
      </c>
      <c r="B20454" t="s">
        <v>3035</v>
      </c>
    </row>
    <row r="20455" spans="1:8" x14ac:dyDescent="0.25">
      <c r="A20455" t="str">
        <f>"&lt;min&gt;" &amp;$G$20451&amp;"&lt;/min&gt;"</f>
        <v>&lt;min&gt;1&lt;/min&gt;</v>
      </c>
      <c r="B20455" t="s">
        <v>3035</v>
      </c>
    </row>
    <row r="20456" spans="1:8" x14ac:dyDescent="0.25">
      <c r="A20456" t="s">
        <v>16</v>
      </c>
      <c r="B20456" t="s">
        <v>3035</v>
      </c>
    </row>
    <row r="20457" spans="1:8" x14ac:dyDescent="0.25">
      <c r="A20457" t="s">
        <v>17</v>
      </c>
      <c r="B20457" t="s">
        <v>3035</v>
      </c>
    </row>
    <row r="20458" spans="1:8" x14ac:dyDescent="0.25">
      <c r="A20458" t="s">
        <v>18</v>
      </c>
      <c r="B20458" t="s">
        <v>3035</v>
      </c>
    </row>
    <row r="20459" spans="1:8" x14ac:dyDescent="0.25">
      <c r="A20459" t="str">
        <f xml:space="preserve"> $H$20451</f>
        <v>&lt;flags count_in_cargo="0" count_in_hoarder="0" count_in_map="1" count_in_player="0" crafted="0" deloot="0"/&gt;</v>
      </c>
      <c r="B20459" t="s">
        <v>3035</v>
      </c>
    </row>
    <row r="20460" spans="1:8" x14ac:dyDescent="0.25">
      <c r="A20460" t="str">
        <f>"&lt;category name=" &amp;"""" &amp;$C$20451&amp;"""/&gt;"</f>
        <v>&lt;category name="vehiclesparts"/&gt;</v>
      </c>
      <c r="B20460" t="s">
        <v>3035</v>
      </c>
    </row>
    <row r="20461" spans="1:8" x14ac:dyDescent="0.25">
      <c r="A20461" t="s">
        <v>25</v>
      </c>
      <c r="B20461" t="s">
        <v>3035</v>
      </c>
    </row>
    <row r="20462" spans="1:8" x14ac:dyDescent="0.25">
      <c r="A20462" t="s">
        <v>55</v>
      </c>
      <c r="B20462" t="s">
        <v>3035</v>
      </c>
    </row>
    <row r="20463" spans="1:8" x14ac:dyDescent="0.25">
      <c r="A20463" t="s">
        <v>22</v>
      </c>
      <c r="B20463" t="s">
        <v>3035</v>
      </c>
    </row>
    <row r="20464" spans="1:8" x14ac:dyDescent="0.25">
      <c r="A20464" t="s">
        <v>2848</v>
      </c>
      <c r="B20464" t="s">
        <v>3036</v>
      </c>
      <c r="C20464" t="s">
        <v>3033</v>
      </c>
      <c r="D20464">
        <v>2</v>
      </c>
      <c r="E20464">
        <v>2700</v>
      </c>
      <c r="F20464">
        <v>0</v>
      </c>
      <c r="G20464">
        <v>1</v>
      </c>
      <c r="H20464" t="s">
        <v>19</v>
      </c>
    </row>
    <row r="20465" spans="1:8" x14ac:dyDescent="0.25">
      <c r="A20465" t="str">
        <f>"&lt;nominal&gt;" &amp;$D$20464&amp;"&lt;/nominal&gt;"</f>
        <v>&lt;nominal&gt;2&lt;/nominal&gt;</v>
      </c>
      <c r="B20465" t="s">
        <v>3036</v>
      </c>
    </row>
    <row r="20466" spans="1:8" x14ac:dyDescent="0.25">
      <c r="A20466" t="str">
        <f>"&lt;lifetime&gt;" &amp;$E$20464&amp;"&lt;/lifetime&gt;"</f>
        <v>&lt;lifetime&gt;2700&lt;/lifetime&gt;</v>
      </c>
      <c r="B20466" t="s">
        <v>3036</v>
      </c>
    </row>
    <row r="20467" spans="1:8" x14ac:dyDescent="0.25">
      <c r="A20467" t="str">
        <f>"&lt;restock&gt;" &amp;$F$20464&amp;"&lt;/restock&gt;"</f>
        <v>&lt;restock&gt;0&lt;/restock&gt;</v>
      </c>
      <c r="B20467" t="s">
        <v>3036</v>
      </c>
    </row>
    <row r="20468" spans="1:8" x14ac:dyDescent="0.25">
      <c r="A20468" t="str">
        <f>"&lt;min&gt;" &amp;$G$20464&amp;"&lt;/min&gt;"</f>
        <v>&lt;min&gt;1&lt;/min&gt;</v>
      </c>
      <c r="B20468" t="s">
        <v>3036</v>
      </c>
    </row>
    <row r="20469" spans="1:8" x14ac:dyDescent="0.25">
      <c r="A20469" t="s">
        <v>16</v>
      </c>
      <c r="B20469" t="s">
        <v>3036</v>
      </c>
    </row>
    <row r="20470" spans="1:8" x14ac:dyDescent="0.25">
      <c r="A20470" t="s">
        <v>17</v>
      </c>
      <c r="B20470" t="s">
        <v>3036</v>
      </c>
    </row>
    <row r="20471" spans="1:8" x14ac:dyDescent="0.25">
      <c r="A20471" t="s">
        <v>18</v>
      </c>
      <c r="B20471" t="s">
        <v>3036</v>
      </c>
    </row>
    <row r="20472" spans="1:8" x14ac:dyDescent="0.25">
      <c r="A20472" t="str">
        <f xml:space="preserve"> $H$20464</f>
        <v>&lt;flags count_in_cargo="0" count_in_hoarder="0" count_in_map="1" count_in_player="0" crafted="0" deloot="0"/&gt;</v>
      </c>
      <c r="B20472" t="s">
        <v>3036</v>
      </c>
    </row>
    <row r="20473" spans="1:8" x14ac:dyDescent="0.25">
      <c r="A20473" t="str">
        <f>"&lt;category name=" &amp;"""" &amp;$C$20464&amp;"""/&gt;"</f>
        <v>&lt;category name="vehiclesparts"/&gt;</v>
      </c>
      <c r="B20473" t="s">
        <v>3036</v>
      </c>
    </row>
    <row r="20474" spans="1:8" x14ac:dyDescent="0.25">
      <c r="A20474" t="s">
        <v>25</v>
      </c>
      <c r="B20474" t="s">
        <v>3036</v>
      </c>
    </row>
    <row r="20475" spans="1:8" x14ac:dyDescent="0.25">
      <c r="A20475" t="s">
        <v>55</v>
      </c>
      <c r="B20475" t="s">
        <v>3036</v>
      </c>
    </row>
    <row r="20476" spans="1:8" x14ac:dyDescent="0.25">
      <c r="A20476" t="s">
        <v>22</v>
      </c>
      <c r="B20476" t="s">
        <v>3036</v>
      </c>
    </row>
    <row r="20477" spans="1:8" x14ac:dyDescent="0.25">
      <c r="A20477" t="s">
        <v>2849</v>
      </c>
      <c r="B20477" t="s">
        <v>3037</v>
      </c>
      <c r="C20477" t="s">
        <v>3033</v>
      </c>
      <c r="D20477">
        <v>2</v>
      </c>
      <c r="E20477">
        <v>2700</v>
      </c>
      <c r="F20477">
        <v>0</v>
      </c>
      <c r="G20477">
        <v>1</v>
      </c>
      <c r="H20477" t="s">
        <v>19</v>
      </c>
    </row>
    <row r="20478" spans="1:8" x14ac:dyDescent="0.25">
      <c r="A20478" t="str">
        <f>"&lt;nominal&gt;" &amp;$D$20477&amp;"&lt;/nominal&gt;"</f>
        <v>&lt;nominal&gt;2&lt;/nominal&gt;</v>
      </c>
      <c r="B20478" t="s">
        <v>3037</v>
      </c>
    </row>
    <row r="20479" spans="1:8" x14ac:dyDescent="0.25">
      <c r="A20479" t="str">
        <f>"&lt;lifetime&gt;" &amp;$E$20477&amp;"&lt;/lifetime&gt;"</f>
        <v>&lt;lifetime&gt;2700&lt;/lifetime&gt;</v>
      </c>
      <c r="B20479" t="s">
        <v>3037</v>
      </c>
    </row>
    <row r="20480" spans="1:8" x14ac:dyDescent="0.25">
      <c r="A20480" t="str">
        <f>"&lt;restock&gt;" &amp;$F$20477&amp;"&lt;/restock&gt;"</f>
        <v>&lt;restock&gt;0&lt;/restock&gt;</v>
      </c>
      <c r="B20480" t="s">
        <v>3037</v>
      </c>
    </row>
    <row r="20481" spans="1:8" x14ac:dyDescent="0.25">
      <c r="A20481" t="str">
        <f>"&lt;min&gt;" &amp;$G$20477&amp;"&lt;/min&gt;"</f>
        <v>&lt;min&gt;1&lt;/min&gt;</v>
      </c>
      <c r="B20481" t="s">
        <v>3037</v>
      </c>
    </row>
    <row r="20482" spans="1:8" x14ac:dyDescent="0.25">
      <c r="A20482" t="s">
        <v>16</v>
      </c>
      <c r="B20482" t="s">
        <v>3037</v>
      </c>
    </row>
    <row r="20483" spans="1:8" x14ac:dyDescent="0.25">
      <c r="A20483" t="s">
        <v>17</v>
      </c>
      <c r="B20483" t="s">
        <v>3037</v>
      </c>
    </row>
    <row r="20484" spans="1:8" x14ac:dyDescent="0.25">
      <c r="A20484" t="s">
        <v>18</v>
      </c>
      <c r="B20484" t="s">
        <v>3037</v>
      </c>
    </row>
    <row r="20485" spans="1:8" x14ac:dyDescent="0.25">
      <c r="A20485" t="str">
        <f xml:space="preserve"> $H$20477</f>
        <v>&lt;flags count_in_cargo="0" count_in_hoarder="0" count_in_map="1" count_in_player="0" crafted="0" deloot="0"/&gt;</v>
      </c>
      <c r="B20485" t="s">
        <v>3037</v>
      </c>
    </row>
    <row r="20486" spans="1:8" x14ac:dyDescent="0.25">
      <c r="A20486" t="str">
        <f>"&lt;category name=" &amp;"""" &amp;$C$20477&amp;"""/&gt;"</f>
        <v>&lt;category name="vehiclesparts"/&gt;</v>
      </c>
      <c r="B20486" t="s">
        <v>3037</v>
      </c>
    </row>
    <row r="20487" spans="1:8" x14ac:dyDescent="0.25">
      <c r="A20487" t="s">
        <v>25</v>
      </c>
      <c r="B20487" t="s">
        <v>3037</v>
      </c>
    </row>
    <row r="20488" spans="1:8" x14ac:dyDescent="0.25">
      <c r="A20488" t="s">
        <v>55</v>
      </c>
      <c r="B20488" t="s">
        <v>3037</v>
      </c>
    </row>
    <row r="20489" spans="1:8" x14ac:dyDescent="0.25">
      <c r="A20489" t="s">
        <v>22</v>
      </c>
      <c r="B20489" t="s">
        <v>3037</v>
      </c>
    </row>
    <row r="20490" spans="1:8" x14ac:dyDescent="0.25">
      <c r="A20490" t="s">
        <v>2850</v>
      </c>
      <c r="B20490" t="s">
        <v>3038</v>
      </c>
      <c r="C20490" t="s">
        <v>3033</v>
      </c>
      <c r="D20490">
        <v>2</v>
      </c>
      <c r="E20490">
        <v>2700</v>
      </c>
      <c r="F20490">
        <v>0</v>
      </c>
      <c r="G20490">
        <v>1</v>
      </c>
      <c r="H20490" t="s">
        <v>19</v>
      </c>
    </row>
    <row r="20491" spans="1:8" x14ac:dyDescent="0.25">
      <c r="A20491" t="str">
        <f>"&lt;nominal&gt;" &amp;$D$20490&amp;"&lt;/nominal&gt;"</f>
        <v>&lt;nominal&gt;2&lt;/nominal&gt;</v>
      </c>
      <c r="B20491" t="s">
        <v>3038</v>
      </c>
    </row>
    <row r="20492" spans="1:8" x14ac:dyDescent="0.25">
      <c r="A20492" t="str">
        <f>"&lt;lifetime&gt;" &amp;$E$20490&amp;"&lt;/lifetime&gt;"</f>
        <v>&lt;lifetime&gt;2700&lt;/lifetime&gt;</v>
      </c>
      <c r="B20492" t="s">
        <v>3038</v>
      </c>
    </row>
    <row r="20493" spans="1:8" x14ac:dyDescent="0.25">
      <c r="A20493" t="str">
        <f>"&lt;restock&gt;" &amp;$F$20490&amp;"&lt;/restock&gt;"</f>
        <v>&lt;restock&gt;0&lt;/restock&gt;</v>
      </c>
      <c r="B20493" t="s">
        <v>3038</v>
      </c>
    </row>
    <row r="20494" spans="1:8" x14ac:dyDescent="0.25">
      <c r="A20494" t="str">
        <f>"&lt;min&gt;" &amp;$G$20490&amp;"&lt;/min&gt;"</f>
        <v>&lt;min&gt;1&lt;/min&gt;</v>
      </c>
      <c r="B20494" t="s">
        <v>3038</v>
      </c>
    </row>
    <row r="20495" spans="1:8" x14ac:dyDescent="0.25">
      <c r="A20495" t="s">
        <v>16</v>
      </c>
      <c r="B20495" t="s">
        <v>3038</v>
      </c>
    </row>
    <row r="20496" spans="1:8" x14ac:dyDescent="0.25">
      <c r="A20496" t="s">
        <v>17</v>
      </c>
      <c r="B20496" t="s">
        <v>3038</v>
      </c>
    </row>
    <row r="20497" spans="1:8" x14ac:dyDescent="0.25">
      <c r="A20497" t="s">
        <v>18</v>
      </c>
      <c r="B20497" t="s">
        <v>3038</v>
      </c>
    </row>
    <row r="20498" spans="1:8" x14ac:dyDescent="0.25">
      <c r="A20498" t="str">
        <f xml:space="preserve"> $H$20490</f>
        <v>&lt;flags count_in_cargo="0" count_in_hoarder="0" count_in_map="1" count_in_player="0" crafted="0" deloot="0"/&gt;</v>
      </c>
      <c r="B20498" t="s">
        <v>3038</v>
      </c>
    </row>
    <row r="20499" spans="1:8" x14ac:dyDescent="0.25">
      <c r="A20499" t="str">
        <f>"&lt;category name=" &amp;"""" &amp;$C$20490&amp;"""/&gt;"</f>
        <v>&lt;category name="vehiclesparts"/&gt;</v>
      </c>
      <c r="B20499" t="s">
        <v>3038</v>
      </c>
    </row>
    <row r="20500" spans="1:8" x14ac:dyDescent="0.25">
      <c r="A20500" t="s">
        <v>25</v>
      </c>
      <c r="B20500" t="s">
        <v>3038</v>
      </c>
    </row>
    <row r="20501" spans="1:8" x14ac:dyDescent="0.25">
      <c r="A20501" t="s">
        <v>55</v>
      </c>
      <c r="B20501" t="s">
        <v>3038</v>
      </c>
    </row>
    <row r="20502" spans="1:8" x14ac:dyDescent="0.25">
      <c r="A20502" t="s">
        <v>22</v>
      </c>
      <c r="B20502" t="s">
        <v>3038</v>
      </c>
    </row>
    <row r="20503" spans="1:8" x14ac:dyDescent="0.25">
      <c r="A20503" t="s">
        <v>2851</v>
      </c>
      <c r="B20503" t="s">
        <v>3039</v>
      </c>
      <c r="C20503" t="s">
        <v>3033</v>
      </c>
      <c r="D20503">
        <v>2</v>
      </c>
      <c r="E20503">
        <v>2700</v>
      </c>
      <c r="F20503">
        <v>0</v>
      </c>
      <c r="G20503">
        <v>1</v>
      </c>
      <c r="H20503" t="s">
        <v>19</v>
      </c>
    </row>
    <row r="20504" spans="1:8" x14ac:dyDescent="0.25">
      <c r="A20504" t="str">
        <f>"&lt;nominal&gt;" &amp;$D$20503&amp;"&lt;/nominal&gt;"</f>
        <v>&lt;nominal&gt;2&lt;/nominal&gt;</v>
      </c>
      <c r="B20504" t="s">
        <v>3039</v>
      </c>
    </row>
    <row r="20505" spans="1:8" x14ac:dyDescent="0.25">
      <c r="A20505" t="str">
        <f>"&lt;lifetime&gt;" &amp;$E$20503&amp;"&lt;/lifetime&gt;"</f>
        <v>&lt;lifetime&gt;2700&lt;/lifetime&gt;</v>
      </c>
      <c r="B20505" t="s">
        <v>3039</v>
      </c>
    </row>
    <row r="20506" spans="1:8" x14ac:dyDescent="0.25">
      <c r="A20506" t="str">
        <f>"&lt;restock&gt;" &amp;$F$20503&amp;"&lt;/restock&gt;"</f>
        <v>&lt;restock&gt;0&lt;/restock&gt;</v>
      </c>
      <c r="B20506" t="s">
        <v>3039</v>
      </c>
    </row>
    <row r="20507" spans="1:8" x14ac:dyDescent="0.25">
      <c r="A20507" t="str">
        <f>"&lt;min&gt;" &amp;$G$20503&amp;"&lt;/min&gt;"</f>
        <v>&lt;min&gt;1&lt;/min&gt;</v>
      </c>
      <c r="B20507" t="s">
        <v>3039</v>
      </c>
    </row>
    <row r="20508" spans="1:8" x14ac:dyDescent="0.25">
      <c r="A20508" t="s">
        <v>16</v>
      </c>
      <c r="B20508" t="s">
        <v>3039</v>
      </c>
    </row>
    <row r="20509" spans="1:8" x14ac:dyDescent="0.25">
      <c r="A20509" t="s">
        <v>17</v>
      </c>
      <c r="B20509" t="s">
        <v>3039</v>
      </c>
    </row>
    <row r="20510" spans="1:8" x14ac:dyDescent="0.25">
      <c r="A20510" t="s">
        <v>18</v>
      </c>
      <c r="B20510" t="s">
        <v>3039</v>
      </c>
    </row>
    <row r="20511" spans="1:8" x14ac:dyDescent="0.25">
      <c r="A20511" t="str">
        <f xml:space="preserve"> $H$20503</f>
        <v>&lt;flags count_in_cargo="0" count_in_hoarder="0" count_in_map="1" count_in_player="0" crafted="0" deloot="0"/&gt;</v>
      </c>
      <c r="B20511" t="s">
        <v>3039</v>
      </c>
    </row>
    <row r="20512" spans="1:8" x14ac:dyDescent="0.25">
      <c r="A20512" t="str">
        <f>"&lt;category name=" &amp;"""" &amp;$C$20503&amp;"""/&gt;"</f>
        <v>&lt;category name="vehiclesparts"/&gt;</v>
      </c>
      <c r="B20512" t="s">
        <v>3039</v>
      </c>
    </row>
    <row r="20513" spans="1:8" x14ac:dyDescent="0.25">
      <c r="A20513" t="s">
        <v>25</v>
      </c>
      <c r="B20513" t="s">
        <v>3039</v>
      </c>
    </row>
    <row r="20514" spans="1:8" x14ac:dyDescent="0.25">
      <c r="A20514" t="s">
        <v>55</v>
      </c>
      <c r="B20514" t="s">
        <v>3039</v>
      </c>
    </row>
    <row r="20515" spans="1:8" x14ac:dyDescent="0.25">
      <c r="A20515" t="s">
        <v>22</v>
      </c>
      <c r="B20515" t="s">
        <v>3039</v>
      </c>
    </row>
    <row r="20516" spans="1:8" x14ac:dyDescent="0.25">
      <c r="A20516" t="s">
        <v>2852</v>
      </c>
      <c r="B20516" t="s">
        <v>3040</v>
      </c>
      <c r="C20516" t="s">
        <v>3033</v>
      </c>
      <c r="D20516">
        <v>2</v>
      </c>
      <c r="E20516">
        <v>2700</v>
      </c>
      <c r="F20516">
        <v>0</v>
      </c>
      <c r="G20516">
        <v>1</v>
      </c>
      <c r="H20516" t="s">
        <v>19</v>
      </c>
    </row>
    <row r="20517" spans="1:8" x14ac:dyDescent="0.25">
      <c r="A20517" t="str">
        <f>"&lt;nominal&gt;" &amp;$D$20516&amp;"&lt;/nominal&gt;"</f>
        <v>&lt;nominal&gt;2&lt;/nominal&gt;</v>
      </c>
      <c r="B20517" t="s">
        <v>3040</v>
      </c>
    </row>
    <row r="20518" spans="1:8" x14ac:dyDescent="0.25">
      <c r="A20518" t="str">
        <f>"&lt;lifetime&gt;" &amp;$E$20516&amp;"&lt;/lifetime&gt;"</f>
        <v>&lt;lifetime&gt;2700&lt;/lifetime&gt;</v>
      </c>
      <c r="B20518" t="s">
        <v>3040</v>
      </c>
    </row>
    <row r="20519" spans="1:8" x14ac:dyDescent="0.25">
      <c r="A20519" t="str">
        <f>"&lt;restock&gt;" &amp;$F$20516&amp;"&lt;/restock&gt;"</f>
        <v>&lt;restock&gt;0&lt;/restock&gt;</v>
      </c>
      <c r="B20519" t="s">
        <v>3040</v>
      </c>
    </row>
    <row r="20520" spans="1:8" x14ac:dyDescent="0.25">
      <c r="A20520" t="str">
        <f>"&lt;min&gt;" &amp;$G$20516&amp;"&lt;/min&gt;"</f>
        <v>&lt;min&gt;1&lt;/min&gt;</v>
      </c>
      <c r="B20520" t="s">
        <v>3040</v>
      </c>
    </row>
    <row r="20521" spans="1:8" x14ac:dyDescent="0.25">
      <c r="A20521" t="s">
        <v>16</v>
      </c>
      <c r="B20521" t="s">
        <v>3040</v>
      </c>
    </row>
    <row r="20522" spans="1:8" x14ac:dyDescent="0.25">
      <c r="A20522" t="s">
        <v>17</v>
      </c>
      <c r="B20522" t="s">
        <v>3040</v>
      </c>
    </row>
    <row r="20523" spans="1:8" x14ac:dyDescent="0.25">
      <c r="A20523" t="s">
        <v>18</v>
      </c>
      <c r="B20523" t="s">
        <v>3040</v>
      </c>
    </row>
    <row r="20524" spans="1:8" x14ac:dyDescent="0.25">
      <c r="A20524" t="str">
        <f xml:space="preserve"> $H$20516</f>
        <v>&lt;flags count_in_cargo="0" count_in_hoarder="0" count_in_map="1" count_in_player="0" crafted="0" deloot="0"/&gt;</v>
      </c>
      <c r="B20524" t="s">
        <v>3040</v>
      </c>
    </row>
    <row r="20525" spans="1:8" x14ac:dyDescent="0.25">
      <c r="A20525" t="str">
        <f>"&lt;category name=" &amp;"""" &amp;$C$20516&amp;"""/&gt;"</f>
        <v>&lt;category name="vehiclesparts"/&gt;</v>
      </c>
      <c r="B20525" t="s">
        <v>3040</v>
      </c>
    </row>
    <row r="20526" spans="1:8" x14ac:dyDescent="0.25">
      <c r="A20526" t="s">
        <v>25</v>
      </c>
      <c r="B20526" t="s">
        <v>3040</v>
      </c>
    </row>
    <row r="20527" spans="1:8" x14ac:dyDescent="0.25">
      <c r="A20527" t="s">
        <v>55</v>
      </c>
      <c r="B20527" t="s">
        <v>3040</v>
      </c>
    </row>
    <row r="20528" spans="1:8" x14ac:dyDescent="0.25">
      <c r="A20528" t="s">
        <v>22</v>
      </c>
      <c r="B20528" t="s">
        <v>3040</v>
      </c>
    </row>
    <row r="20529" spans="1:8" x14ac:dyDescent="0.25">
      <c r="A20529" t="s">
        <v>2853</v>
      </c>
      <c r="B20529" t="s">
        <v>3041</v>
      </c>
      <c r="C20529" t="s">
        <v>3033</v>
      </c>
      <c r="D20529">
        <v>2</v>
      </c>
      <c r="E20529">
        <v>2700</v>
      </c>
      <c r="F20529">
        <v>0</v>
      </c>
      <c r="G20529">
        <v>1</v>
      </c>
      <c r="H20529" t="s">
        <v>19</v>
      </c>
    </row>
    <row r="20530" spans="1:8" x14ac:dyDescent="0.25">
      <c r="A20530" t="str">
        <f>"&lt;nominal&gt;" &amp;$D$20529&amp;"&lt;/nominal&gt;"</f>
        <v>&lt;nominal&gt;2&lt;/nominal&gt;</v>
      </c>
      <c r="B20530" t="s">
        <v>3041</v>
      </c>
    </row>
    <row r="20531" spans="1:8" x14ac:dyDescent="0.25">
      <c r="A20531" t="str">
        <f>"&lt;lifetime&gt;" &amp;$E$20529&amp;"&lt;/lifetime&gt;"</f>
        <v>&lt;lifetime&gt;2700&lt;/lifetime&gt;</v>
      </c>
      <c r="B20531" t="s">
        <v>3041</v>
      </c>
    </row>
    <row r="20532" spans="1:8" x14ac:dyDescent="0.25">
      <c r="A20532" t="str">
        <f>"&lt;restock&gt;" &amp;$F$20529&amp;"&lt;/restock&gt;"</f>
        <v>&lt;restock&gt;0&lt;/restock&gt;</v>
      </c>
      <c r="B20532" t="s">
        <v>3041</v>
      </c>
    </row>
    <row r="20533" spans="1:8" x14ac:dyDescent="0.25">
      <c r="A20533" t="str">
        <f>"&lt;min&gt;" &amp;$G$20529&amp;"&lt;/min&gt;"</f>
        <v>&lt;min&gt;1&lt;/min&gt;</v>
      </c>
      <c r="B20533" t="s">
        <v>3041</v>
      </c>
    </row>
    <row r="20534" spans="1:8" x14ac:dyDescent="0.25">
      <c r="A20534" t="s">
        <v>16</v>
      </c>
      <c r="B20534" t="s">
        <v>3041</v>
      </c>
    </row>
    <row r="20535" spans="1:8" x14ac:dyDescent="0.25">
      <c r="A20535" t="s">
        <v>17</v>
      </c>
      <c r="B20535" t="s">
        <v>3041</v>
      </c>
    </row>
    <row r="20536" spans="1:8" x14ac:dyDescent="0.25">
      <c r="A20536" t="s">
        <v>18</v>
      </c>
      <c r="B20536" t="s">
        <v>3041</v>
      </c>
    </row>
    <row r="20537" spans="1:8" x14ac:dyDescent="0.25">
      <c r="A20537" t="str">
        <f xml:space="preserve"> $H$20529</f>
        <v>&lt;flags count_in_cargo="0" count_in_hoarder="0" count_in_map="1" count_in_player="0" crafted="0" deloot="0"/&gt;</v>
      </c>
      <c r="B20537" t="s">
        <v>3041</v>
      </c>
    </row>
    <row r="20538" spans="1:8" x14ac:dyDescent="0.25">
      <c r="A20538" t="str">
        <f>"&lt;category name=" &amp;"""" &amp;$C$20529&amp;"""/&gt;"</f>
        <v>&lt;category name="vehiclesparts"/&gt;</v>
      </c>
      <c r="B20538" t="s">
        <v>3041</v>
      </c>
    </row>
    <row r="20539" spans="1:8" x14ac:dyDescent="0.25">
      <c r="A20539" t="s">
        <v>25</v>
      </c>
      <c r="B20539" t="s">
        <v>3041</v>
      </c>
    </row>
    <row r="20540" spans="1:8" x14ac:dyDescent="0.25">
      <c r="A20540" t="s">
        <v>55</v>
      </c>
      <c r="B20540" t="s">
        <v>3041</v>
      </c>
    </row>
    <row r="20541" spans="1:8" x14ac:dyDescent="0.25">
      <c r="A20541" t="s">
        <v>22</v>
      </c>
      <c r="B20541" t="s">
        <v>3041</v>
      </c>
    </row>
    <row r="20542" spans="1:8" x14ac:dyDescent="0.25">
      <c r="A20542" t="s">
        <v>2854</v>
      </c>
      <c r="B20542" t="s">
        <v>3042</v>
      </c>
      <c r="C20542" t="s">
        <v>3033</v>
      </c>
      <c r="D20542">
        <v>2</v>
      </c>
      <c r="E20542">
        <v>2700</v>
      </c>
      <c r="F20542">
        <v>0</v>
      </c>
      <c r="G20542">
        <v>1</v>
      </c>
      <c r="H20542" t="s">
        <v>19</v>
      </c>
    </row>
    <row r="20543" spans="1:8" x14ac:dyDescent="0.25">
      <c r="A20543" t="str">
        <f>"&lt;nominal&gt;" &amp;$D$20542&amp;"&lt;/nominal&gt;"</f>
        <v>&lt;nominal&gt;2&lt;/nominal&gt;</v>
      </c>
      <c r="B20543" t="s">
        <v>3042</v>
      </c>
    </row>
    <row r="20544" spans="1:8" x14ac:dyDescent="0.25">
      <c r="A20544" t="str">
        <f>"&lt;lifetime&gt;" &amp;$E$20542&amp;"&lt;/lifetime&gt;"</f>
        <v>&lt;lifetime&gt;2700&lt;/lifetime&gt;</v>
      </c>
      <c r="B20544" t="s">
        <v>3042</v>
      </c>
    </row>
    <row r="20545" spans="1:8" x14ac:dyDescent="0.25">
      <c r="A20545" t="str">
        <f>"&lt;restock&gt;" &amp;$F$20542&amp;"&lt;/restock&gt;"</f>
        <v>&lt;restock&gt;0&lt;/restock&gt;</v>
      </c>
      <c r="B20545" t="s">
        <v>3042</v>
      </c>
    </row>
    <row r="20546" spans="1:8" x14ac:dyDescent="0.25">
      <c r="A20546" t="str">
        <f>"&lt;min&gt;" &amp;$G$20542&amp;"&lt;/min&gt;"</f>
        <v>&lt;min&gt;1&lt;/min&gt;</v>
      </c>
      <c r="B20546" t="s">
        <v>3042</v>
      </c>
    </row>
    <row r="20547" spans="1:8" x14ac:dyDescent="0.25">
      <c r="A20547" t="s">
        <v>16</v>
      </c>
      <c r="B20547" t="s">
        <v>3042</v>
      </c>
    </row>
    <row r="20548" spans="1:8" x14ac:dyDescent="0.25">
      <c r="A20548" t="s">
        <v>17</v>
      </c>
      <c r="B20548" t="s">
        <v>3042</v>
      </c>
    </row>
    <row r="20549" spans="1:8" x14ac:dyDescent="0.25">
      <c r="A20549" t="s">
        <v>18</v>
      </c>
      <c r="B20549" t="s">
        <v>3042</v>
      </c>
    </row>
    <row r="20550" spans="1:8" x14ac:dyDescent="0.25">
      <c r="A20550" t="str">
        <f xml:space="preserve"> $H$20542</f>
        <v>&lt;flags count_in_cargo="0" count_in_hoarder="0" count_in_map="1" count_in_player="0" crafted="0" deloot="0"/&gt;</v>
      </c>
      <c r="B20550" t="s">
        <v>3042</v>
      </c>
    </row>
    <row r="20551" spans="1:8" x14ac:dyDescent="0.25">
      <c r="A20551" t="str">
        <f>"&lt;category name=" &amp;"""" &amp;$C$20542&amp;"""/&gt;"</f>
        <v>&lt;category name="vehiclesparts"/&gt;</v>
      </c>
      <c r="B20551" t="s">
        <v>3042</v>
      </c>
    </row>
    <row r="20552" spans="1:8" x14ac:dyDescent="0.25">
      <c r="A20552" t="s">
        <v>25</v>
      </c>
      <c r="B20552" t="s">
        <v>3042</v>
      </c>
    </row>
    <row r="20553" spans="1:8" x14ac:dyDescent="0.25">
      <c r="A20553" t="s">
        <v>55</v>
      </c>
      <c r="B20553" t="s">
        <v>3042</v>
      </c>
    </row>
    <row r="20554" spans="1:8" x14ac:dyDescent="0.25">
      <c r="A20554" t="s">
        <v>22</v>
      </c>
      <c r="B20554" t="s">
        <v>3042</v>
      </c>
    </row>
    <row r="20555" spans="1:8" x14ac:dyDescent="0.25">
      <c r="A20555" t="s">
        <v>2855</v>
      </c>
      <c r="B20555" t="s">
        <v>3043</v>
      </c>
      <c r="C20555" t="s">
        <v>3033</v>
      </c>
      <c r="D20555">
        <v>2</v>
      </c>
      <c r="E20555">
        <v>2700</v>
      </c>
      <c r="F20555">
        <v>0</v>
      </c>
      <c r="G20555">
        <v>1</v>
      </c>
      <c r="H20555" t="s">
        <v>19</v>
      </c>
    </row>
    <row r="20556" spans="1:8" x14ac:dyDescent="0.25">
      <c r="A20556" t="str">
        <f>"&lt;nominal&gt;" &amp;$D$20555&amp;"&lt;/nominal&gt;"</f>
        <v>&lt;nominal&gt;2&lt;/nominal&gt;</v>
      </c>
      <c r="B20556" t="s">
        <v>3043</v>
      </c>
    </row>
    <row r="20557" spans="1:8" x14ac:dyDescent="0.25">
      <c r="A20557" t="str">
        <f>"&lt;lifetime&gt;" &amp;$E$20555&amp;"&lt;/lifetime&gt;"</f>
        <v>&lt;lifetime&gt;2700&lt;/lifetime&gt;</v>
      </c>
      <c r="B20557" t="s">
        <v>3043</v>
      </c>
    </row>
    <row r="20558" spans="1:8" x14ac:dyDescent="0.25">
      <c r="A20558" t="str">
        <f>"&lt;restock&gt;" &amp;$F$20555&amp;"&lt;/restock&gt;"</f>
        <v>&lt;restock&gt;0&lt;/restock&gt;</v>
      </c>
      <c r="B20558" t="s">
        <v>3043</v>
      </c>
    </row>
    <row r="20559" spans="1:8" x14ac:dyDescent="0.25">
      <c r="A20559" t="str">
        <f>"&lt;min&gt;" &amp;$G$20555&amp;"&lt;/min&gt;"</f>
        <v>&lt;min&gt;1&lt;/min&gt;</v>
      </c>
      <c r="B20559" t="s">
        <v>3043</v>
      </c>
    </row>
    <row r="20560" spans="1:8" x14ac:dyDescent="0.25">
      <c r="A20560" t="s">
        <v>16</v>
      </c>
      <c r="B20560" t="s">
        <v>3043</v>
      </c>
    </row>
    <row r="20561" spans="1:8" x14ac:dyDescent="0.25">
      <c r="A20561" t="s">
        <v>17</v>
      </c>
      <c r="B20561" t="s">
        <v>3043</v>
      </c>
    </row>
    <row r="20562" spans="1:8" x14ac:dyDescent="0.25">
      <c r="A20562" t="s">
        <v>18</v>
      </c>
      <c r="B20562" t="s">
        <v>3043</v>
      </c>
    </row>
    <row r="20563" spans="1:8" x14ac:dyDescent="0.25">
      <c r="A20563" t="str">
        <f xml:space="preserve"> $H$20555</f>
        <v>&lt;flags count_in_cargo="0" count_in_hoarder="0" count_in_map="1" count_in_player="0" crafted="0" deloot="0"/&gt;</v>
      </c>
      <c r="B20563" t="s">
        <v>3043</v>
      </c>
    </row>
    <row r="20564" spans="1:8" x14ac:dyDescent="0.25">
      <c r="A20564" t="str">
        <f>"&lt;category name=" &amp;"""" &amp;$C$20555&amp;"""/&gt;"</f>
        <v>&lt;category name="vehiclesparts"/&gt;</v>
      </c>
      <c r="B20564" t="s">
        <v>3043</v>
      </c>
    </row>
    <row r="20565" spans="1:8" x14ac:dyDescent="0.25">
      <c r="A20565" t="s">
        <v>25</v>
      </c>
      <c r="B20565" t="s">
        <v>3043</v>
      </c>
    </row>
    <row r="20566" spans="1:8" x14ac:dyDescent="0.25">
      <c r="A20566" t="s">
        <v>55</v>
      </c>
      <c r="B20566" t="s">
        <v>3043</v>
      </c>
    </row>
    <row r="20567" spans="1:8" x14ac:dyDescent="0.25">
      <c r="A20567" t="s">
        <v>22</v>
      </c>
      <c r="B20567" t="s">
        <v>3043</v>
      </c>
    </row>
    <row r="20568" spans="1:8" x14ac:dyDescent="0.25">
      <c r="A20568" t="s">
        <v>2856</v>
      </c>
      <c r="B20568" t="s">
        <v>3044</v>
      </c>
      <c r="C20568" t="s">
        <v>3033</v>
      </c>
      <c r="D20568">
        <v>2</v>
      </c>
      <c r="E20568">
        <v>2700</v>
      </c>
      <c r="F20568">
        <v>0</v>
      </c>
      <c r="G20568">
        <v>1</v>
      </c>
      <c r="H20568" t="s">
        <v>19</v>
      </c>
    </row>
    <row r="20569" spans="1:8" x14ac:dyDescent="0.25">
      <c r="A20569" t="str">
        <f>"&lt;nominal&gt;" &amp;$D$20568&amp;"&lt;/nominal&gt;"</f>
        <v>&lt;nominal&gt;2&lt;/nominal&gt;</v>
      </c>
      <c r="B20569" t="s">
        <v>3044</v>
      </c>
    </row>
    <row r="20570" spans="1:8" x14ac:dyDescent="0.25">
      <c r="A20570" t="str">
        <f>"&lt;lifetime&gt;" &amp;$E$20568&amp;"&lt;/lifetime&gt;"</f>
        <v>&lt;lifetime&gt;2700&lt;/lifetime&gt;</v>
      </c>
      <c r="B20570" t="s">
        <v>3044</v>
      </c>
    </row>
    <row r="20571" spans="1:8" x14ac:dyDescent="0.25">
      <c r="A20571" t="str">
        <f>"&lt;restock&gt;" &amp;$F$20568&amp;"&lt;/restock&gt;"</f>
        <v>&lt;restock&gt;0&lt;/restock&gt;</v>
      </c>
      <c r="B20571" t="s">
        <v>3044</v>
      </c>
    </row>
    <row r="20572" spans="1:8" x14ac:dyDescent="0.25">
      <c r="A20572" t="str">
        <f>"&lt;min&gt;" &amp;$G$20568&amp;"&lt;/min&gt;"</f>
        <v>&lt;min&gt;1&lt;/min&gt;</v>
      </c>
      <c r="B20572" t="s">
        <v>3044</v>
      </c>
    </row>
    <row r="20573" spans="1:8" x14ac:dyDescent="0.25">
      <c r="A20573" t="s">
        <v>16</v>
      </c>
      <c r="B20573" t="s">
        <v>3044</v>
      </c>
    </row>
    <row r="20574" spans="1:8" x14ac:dyDescent="0.25">
      <c r="A20574" t="s">
        <v>17</v>
      </c>
      <c r="B20574" t="s">
        <v>3044</v>
      </c>
    </row>
    <row r="20575" spans="1:8" x14ac:dyDescent="0.25">
      <c r="A20575" t="s">
        <v>18</v>
      </c>
      <c r="B20575" t="s">
        <v>3044</v>
      </c>
    </row>
    <row r="20576" spans="1:8" x14ac:dyDescent="0.25">
      <c r="A20576" t="str">
        <f xml:space="preserve"> $H$20568</f>
        <v>&lt;flags count_in_cargo="0" count_in_hoarder="0" count_in_map="1" count_in_player="0" crafted="0" deloot="0"/&gt;</v>
      </c>
      <c r="B20576" t="s">
        <v>3044</v>
      </c>
    </row>
    <row r="20577" spans="1:8" x14ac:dyDescent="0.25">
      <c r="A20577" t="str">
        <f>"&lt;category name=" &amp;"""" &amp;$C$20568&amp;"""/&gt;"</f>
        <v>&lt;category name="vehiclesparts"/&gt;</v>
      </c>
      <c r="B20577" t="s">
        <v>3044</v>
      </c>
    </row>
    <row r="20578" spans="1:8" x14ac:dyDescent="0.25">
      <c r="A20578" t="s">
        <v>25</v>
      </c>
      <c r="B20578" t="s">
        <v>3044</v>
      </c>
    </row>
    <row r="20579" spans="1:8" x14ac:dyDescent="0.25">
      <c r="A20579" t="s">
        <v>55</v>
      </c>
      <c r="B20579" t="s">
        <v>3044</v>
      </c>
    </row>
    <row r="20580" spans="1:8" x14ac:dyDescent="0.25">
      <c r="A20580" t="s">
        <v>22</v>
      </c>
      <c r="B20580" t="s">
        <v>3044</v>
      </c>
    </row>
    <row r="20581" spans="1:8" x14ac:dyDescent="0.25">
      <c r="A20581" t="s">
        <v>2857</v>
      </c>
      <c r="B20581" t="s">
        <v>3045</v>
      </c>
      <c r="C20581" t="s">
        <v>3033</v>
      </c>
      <c r="D20581">
        <v>2</v>
      </c>
      <c r="E20581">
        <v>2700</v>
      </c>
      <c r="F20581">
        <v>0</v>
      </c>
      <c r="G20581">
        <v>1</v>
      </c>
      <c r="H20581" t="s">
        <v>19</v>
      </c>
    </row>
    <row r="20582" spans="1:8" x14ac:dyDescent="0.25">
      <c r="A20582" t="str">
        <f>"&lt;nominal&gt;" &amp;$D$20581&amp;"&lt;/nominal&gt;"</f>
        <v>&lt;nominal&gt;2&lt;/nominal&gt;</v>
      </c>
      <c r="B20582" t="s">
        <v>3045</v>
      </c>
    </row>
    <row r="20583" spans="1:8" x14ac:dyDescent="0.25">
      <c r="A20583" t="str">
        <f>"&lt;lifetime&gt;" &amp;$E$20581&amp;"&lt;/lifetime&gt;"</f>
        <v>&lt;lifetime&gt;2700&lt;/lifetime&gt;</v>
      </c>
      <c r="B20583" t="s">
        <v>3045</v>
      </c>
    </row>
    <row r="20584" spans="1:8" x14ac:dyDescent="0.25">
      <c r="A20584" t="str">
        <f>"&lt;restock&gt;" &amp;$F$20581&amp;"&lt;/restock&gt;"</f>
        <v>&lt;restock&gt;0&lt;/restock&gt;</v>
      </c>
      <c r="B20584" t="s">
        <v>3045</v>
      </c>
    </row>
    <row r="20585" spans="1:8" x14ac:dyDescent="0.25">
      <c r="A20585" t="str">
        <f>"&lt;min&gt;" &amp;$G$20581&amp;"&lt;/min&gt;"</f>
        <v>&lt;min&gt;1&lt;/min&gt;</v>
      </c>
      <c r="B20585" t="s">
        <v>3045</v>
      </c>
    </row>
    <row r="20586" spans="1:8" x14ac:dyDescent="0.25">
      <c r="A20586" t="s">
        <v>16</v>
      </c>
      <c r="B20586" t="s">
        <v>3045</v>
      </c>
    </row>
    <row r="20587" spans="1:8" x14ac:dyDescent="0.25">
      <c r="A20587" t="s">
        <v>17</v>
      </c>
      <c r="B20587" t="s">
        <v>3045</v>
      </c>
    </row>
    <row r="20588" spans="1:8" x14ac:dyDescent="0.25">
      <c r="A20588" t="s">
        <v>18</v>
      </c>
      <c r="B20588" t="s">
        <v>3045</v>
      </c>
    </row>
    <row r="20589" spans="1:8" x14ac:dyDescent="0.25">
      <c r="A20589" t="str">
        <f xml:space="preserve"> $H$20581</f>
        <v>&lt;flags count_in_cargo="0" count_in_hoarder="0" count_in_map="1" count_in_player="0" crafted="0" deloot="0"/&gt;</v>
      </c>
      <c r="B20589" t="s">
        <v>3045</v>
      </c>
    </row>
    <row r="20590" spans="1:8" x14ac:dyDescent="0.25">
      <c r="A20590" t="str">
        <f>"&lt;category name=" &amp;"""" &amp;$C$20581&amp;"""/&gt;"</f>
        <v>&lt;category name="vehiclesparts"/&gt;</v>
      </c>
      <c r="B20590" t="s">
        <v>3045</v>
      </c>
    </row>
    <row r="20591" spans="1:8" x14ac:dyDescent="0.25">
      <c r="A20591" t="s">
        <v>25</v>
      </c>
      <c r="B20591" t="s">
        <v>3045</v>
      </c>
    </row>
    <row r="20592" spans="1:8" x14ac:dyDescent="0.25">
      <c r="A20592" t="s">
        <v>55</v>
      </c>
      <c r="B20592" t="s">
        <v>3045</v>
      </c>
    </row>
    <row r="20593" spans="1:8" x14ac:dyDescent="0.25">
      <c r="A20593" t="s">
        <v>22</v>
      </c>
      <c r="B20593" t="s">
        <v>3045</v>
      </c>
    </row>
    <row r="20594" spans="1:8" x14ac:dyDescent="0.25">
      <c r="A20594" t="s">
        <v>2858</v>
      </c>
      <c r="B20594" t="s">
        <v>3046</v>
      </c>
      <c r="C20594" t="s">
        <v>3033</v>
      </c>
      <c r="D20594">
        <v>2</v>
      </c>
      <c r="E20594">
        <v>2700</v>
      </c>
      <c r="F20594">
        <v>0</v>
      </c>
      <c r="G20594">
        <v>1</v>
      </c>
      <c r="H20594" t="s">
        <v>19</v>
      </c>
    </row>
    <row r="20595" spans="1:8" x14ac:dyDescent="0.25">
      <c r="A20595" t="str">
        <f>"&lt;nominal&gt;" &amp;$D$20594&amp;"&lt;/nominal&gt;"</f>
        <v>&lt;nominal&gt;2&lt;/nominal&gt;</v>
      </c>
      <c r="B20595" t="s">
        <v>3046</v>
      </c>
    </row>
    <row r="20596" spans="1:8" x14ac:dyDescent="0.25">
      <c r="A20596" t="str">
        <f>"&lt;lifetime&gt;" &amp;$E$20594&amp;"&lt;/lifetime&gt;"</f>
        <v>&lt;lifetime&gt;2700&lt;/lifetime&gt;</v>
      </c>
      <c r="B20596" t="s">
        <v>3046</v>
      </c>
    </row>
    <row r="20597" spans="1:8" x14ac:dyDescent="0.25">
      <c r="A20597" t="str">
        <f>"&lt;restock&gt;" &amp;$F$20594&amp;"&lt;/restock&gt;"</f>
        <v>&lt;restock&gt;0&lt;/restock&gt;</v>
      </c>
      <c r="B20597" t="s">
        <v>3046</v>
      </c>
    </row>
    <row r="20598" spans="1:8" x14ac:dyDescent="0.25">
      <c r="A20598" t="str">
        <f>"&lt;min&gt;" &amp;$G$20594&amp;"&lt;/min&gt;"</f>
        <v>&lt;min&gt;1&lt;/min&gt;</v>
      </c>
      <c r="B20598" t="s">
        <v>3046</v>
      </c>
    </row>
    <row r="20599" spans="1:8" x14ac:dyDescent="0.25">
      <c r="A20599" t="s">
        <v>16</v>
      </c>
      <c r="B20599" t="s">
        <v>3046</v>
      </c>
    </row>
    <row r="20600" spans="1:8" x14ac:dyDescent="0.25">
      <c r="A20600" t="s">
        <v>17</v>
      </c>
      <c r="B20600" t="s">
        <v>3046</v>
      </c>
    </row>
    <row r="20601" spans="1:8" x14ac:dyDescent="0.25">
      <c r="A20601" t="s">
        <v>18</v>
      </c>
      <c r="B20601" t="s">
        <v>3046</v>
      </c>
    </row>
    <row r="20602" spans="1:8" x14ac:dyDescent="0.25">
      <c r="A20602" t="str">
        <f xml:space="preserve"> $H$20594</f>
        <v>&lt;flags count_in_cargo="0" count_in_hoarder="0" count_in_map="1" count_in_player="0" crafted="0" deloot="0"/&gt;</v>
      </c>
      <c r="B20602" t="s">
        <v>3046</v>
      </c>
    </row>
    <row r="20603" spans="1:8" x14ac:dyDescent="0.25">
      <c r="A20603" t="str">
        <f>"&lt;category name=" &amp;"""" &amp;$C$20594&amp;"""/&gt;"</f>
        <v>&lt;category name="vehiclesparts"/&gt;</v>
      </c>
      <c r="B20603" t="s">
        <v>3046</v>
      </c>
    </row>
    <row r="20604" spans="1:8" x14ac:dyDescent="0.25">
      <c r="A20604" t="s">
        <v>25</v>
      </c>
      <c r="B20604" t="s">
        <v>3046</v>
      </c>
    </row>
    <row r="20605" spans="1:8" x14ac:dyDescent="0.25">
      <c r="A20605" t="s">
        <v>55</v>
      </c>
      <c r="B20605" t="s">
        <v>3046</v>
      </c>
    </row>
    <row r="20606" spans="1:8" x14ac:dyDescent="0.25">
      <c r="A20606" t="s">
        <v>22</v>
      </c>
      <c r="B20606" t="s">
        <v>3046</v>
      </c>
    </row>
    <row r="20607" spans="1:8" x14ac:dyDescent="0.25">
      <c r="A20607" t="s">
        <v>2859</v>
      </c>
      <c r="B20607" t="s">
        <v>3047</v>
      </c>
      <c r="C20607" t="s">
        <v>3033</v>
      </c>
      <c r="D20607">
        <v>2</v>
      </c>
      <c r="E20607">
        <v>2700</v>
      </c>
      <c r="F20607">
        <v>0</v>
      </c>
      <c r="G20607">
        <v>1</v>
      </c>
      <c r="H20607" t="s">
        <v>19</v>
      </c>
    </row>
    <row r="20608" spans="1:8" x14ac:dyDescent="0.25">
      <c r="A20608" t="str">
        <f>"&lt;nominal&gt;" &amp;$D$20607&amp;"&lt;/nominal&gt;"</f>
        <v>&lt;nominal&gt;2&lt;/nominal&gt;</v>
      </c>
      <c r="B20608" t="s">
        <v>3047</v>
      </c>
    </row>
    <row r="20609" spans="1:8" x14ac:dyDescent="0.25">
      <c r="A20609" t="str">
        <f>"&lt;lifetime&gt;" &amp;$E$20607&amp;"&lt;/lifetime&gt;"</f>
        <v>&lt;lifetime&gt;2700&lt;/lifetime&gt;</v>
      </c>
      <c r="B20609" t="s">
        <v>3047</v>
      </c>
    </row>
    <row r="20610" spans="1:8" x14ac:dyDescent="0.25">
      <c r="A20610" t="str">
        <f>"&lt;restock&gt;" &amp;$F$20607&amp;"&lt;/restock&gt;"</f>
        <v>&lt;restock&gt;0&lt;/restock&gt;</v>
      </c>
      <c r="B20610" t="s">
        <v>3047</v>
      </c>
    </row>
    <row r="20611" spans="1:8" x14ac:dyDescent="0.25">
      <c r="A20611" t="str">
        <f>"&lt;min&gt;" &amp;$G$20607&amp;"&lt;/min&gt;"</f>
        <v>&lt;min&gt;1&lt;/min&gt;</v>
      </c>
      <c r="B20611" t="s">
        <v>3047</v>
      </c>
    </row>
    <row r="20612" spans="1:8" x14ac:dyDescent="0.25">
      <c r="A20612" t="s">
        <v>16</v>
      </c>
      <c r="B20612" t="s">
        <v>3047</v>
      </c>
    </row>
    <row r="20613" spans="1:8" x14ac:dyDescent="0.25">
      <c r="A20613" t="s">
        <v>17</v>
      </c>
      <c r="B20613" t="s">
        <v>3047</v>
      </c>
    </row>
    <row r="20614" spans="1:8" x14ac:dyDescent="0.25">
      <c r="A20614" t="s">
        <v>18</v>
      </c>
      <c r="B20614" t="s">
        <v>3047</v>
      </c>
    </row>
    <row r="20615" spans="1:8" x14ac:dyDescent="0.25">
      <c r="A20615" t="str">
        <f xml:space="preserve"> $H$20607</f>
        <v>&lt;flags count_in_cargo="0" count_in_hoarder="0" count_in_map="1" count_in_player="0" crafted="0" deloot="0"/&gt;</v>
      </c>
      <c r="B20615" t="s">
        <v>3047</v>
      </c>
    </row>
    <row r="20616" spans="1:8" x14ac:dyDescent="0.25">
      <c r="A20616" t="str">
        <f>"&lt;category name=" &amp;"""" &amp;$C$20607&amp;"""/&gt;"</f>
        <v>&lt;category name="vehiclesparts"/&gt;</v>
      </c>
      <c r="B20616" t="s">
        <v>3047</v>
      </c>
    </row>
    <row r="20617" spans="1:8" x14ac:dyDescent="0.25">
      <c r="A20617" t="s">
        <v>25</v>
      </c>
      <c r="B20617" t="s">
        <v>3047</v>
      </c>
    </row>
    <row r="20618" spans="1:8" x14ac:dyDescent="0.25">
      <c r="A20618" t="s">
        <v>55</v>
      </c>
      <c r="B20618" t="s">
        <v>3047</v>
      </c>
    </row>
    <row r="20619" spans="1:8" x14ac:dyDescent="0.25">
      <c r="A20619" t="s">
        <v>22</v>
      </c>
      <c r="B20619" t="s">
        <v>3047</v>
      </c>
    </row>
    <row r="20620" spans="1:8" x14ac:dyDescent="0.25">
      <c r="A20620" t="s">
        <v>2860</v>
      </c>
      <c r="B20620" t="s">
        <v>3048</v>
      </c>
      <c r="C20620" t="s">
        <v>3033</v>
      </c>
      <c r="D20620">
        <v>2</v>
      </c>
      <c r="E20620">
        <v>2700</v>
      </c>
      <c r="F20620">
        <v>0</v>
      </c>
      <c r="G20620">
        <v>1</v>
      </c>
      <c r="H20620" t="s">
        <v>19</v>
      </c>
    </row>
    <row r="20621" spans="1:8" x14ac:dyDescent="0.25">
      <c r="A20621" t="str">
        <f>"&lt;nominal&gt;" &amp;$D$20620&amp;"&lt;/nominal&gt;"</f>
        <v>&lt;nominal&gt;2&lt;/nominal&gt;</v>
      </c>
      <c r="B20621" t="s">
        <v>3048</v>
      </c>
    </row>
    <row r="20622" spans="1:8" x14ac:dyDescent="0.25">
      <c r="A20622" t="str">
        <f>"&lt;lifetime&gt;" &amp;$E$20620&amp;"&lt;/lifetime&gt;"</f>
        <v>&lt;lifetime&gt;2700&lt;/lifetime&gt;</v>
      </c>
      <c r="B20622" t="s">
        <v>3048</v>
      </c>
    </row>
    <row r="20623" spans="1:8" x14ac:dyDescent="0.25">
      <c r="A20623" t="str">
        <f>"&lt;restock&gt;" &amp;$F$20620&amp;"&lt;/restock&gt;"</f>
        <v>&lt;restock&gt;0&lt;/restock&gt;</v>
      </c>
      <c r="B20623" t="s">
        <v>3048</v>
      </c>
    </row>
    <row r="20624" spans="1:8" x14ac:dyDescent="0.25">
      <c r="A20624" t="str">
        <f>"&lt;min&gt;" &amp;$G$20620&amp;"&lt;/min&gt;"</f>
        <v>&lt;min&gt;1&lt;/min&gt;</v>
      </c>
      <c r="B20624" t="s">
        <v>3048</v>
      </c>
    </row>
    <row r="20625" spans="1:8" x14ac:dyDescent="0.25">
      <c r="A20625" t="s">
        <v>16</v>
      </c>
      <c r="B20625" t="s">
        <v>3048</v>
      </c>
    </row>
    <row r="20626" spans="1:8" x14ac:dyDescent="0.25">
      <c r="A20626" t="s">
        <v>17</v>
      </c>
      <c r="B20626" t="s">
        <v>3048</v>
      </c>
    </row>
    <row r="20627" spans="1:8" x14ac:dyDescent="0.25">
      <c r="A20627" t="s">
        <v>18</v>
      </c>
      <c r="B20627" t="s">
        <v>3048</v>
      </c>
    </row>
    <row r="20628" spans="1:8" x14ac:dyDescent="0.25">
      <c r="A20628" t="str">
        <f xml:space="preserve"> $H$20620</f>
        <v>&lt;flags count_in_cargo="0" count_in_hoarder="0" count_in_map="1" count_in_player="0" crafted="0" deloot="0"/&gt;</v>
      </c>
      <c r="B20628" t="s">
        <v>3048</v>
      </c>
    </row>
    <row r="20629" spans="1:8" x14ac:dyDescent="0.25">
      <c r="A20629" t="str">
        <f>"&lt;category name=" &amp;"""" &amp;$C$20620&amp;"""/&gt;"</f>
        <v>&lt;category name="vehiclesparts"/&gt;</v>
      </c>
      <c r="B20629" t="s">
        <v>3048</v>
      </c>
    </row>
    <row r="20630" spans="1:8" x14ac:dyDescent="0.25">
      <c r="A20630" t="s">
        <v>25</v>
      </c>
      <c r="B20630" t="s">
        <v>3048</v>
      </c>
    </row>
    <row r="20631" spans="1:8" x14ac:dyDescent="0.25">
      <c r="A20631" t="s">
        <v>55</v>
      </c>
      <c r="B20631" t="s">
        <v>3048</v>
      </c>
    </row>
    <row r="20632" spans="1:8" x14ac:dyDescent="0.25">
      <c r="A20632" t="s">
        <v>22</v>
      </c>
      <c r="B20632" t="s">
        <v>3048</v>
      </c>
    </row>
    <row r="20633" spans="1:8" x14ac:dyDescent="0.25">
      <c r="A20633" t="s">
        <v>2861</v>
      </c>
      <c r="B20633" t="s">
        <v>3049</v>
      </c>
      <c r="C20633" t="s">
        <v>3033</v>
      </c>
      <c r="D20633">
        <v>2</v>
      </c>
      <c r="E20633">
        <v>2700</v>
      </c>
      <c r="F20633">
        <v>0</v>
      </c>
      <c r="G20633">
        <v>1</v>
      </c>
      <c r="H20633" t="s">
        <v>19</v>
      </c>
    </row>
    <row r="20634" spans="1:8" x14ac:dyDescent="0.25">
      <c r="A20634" t="str">
        <f>"&lt;nominal&gt;" &amp;$D$20633&amp;"&lt;/nominal&gt;"</f>
        <v>&lt;nominal&gt;2&lt;/nominal&gt;</v>
      </c>
      <c r="B20634" t="s">
        <v>3049</v>
      </c>
    </row>
    <row r="20635" spans="1:8" x14ac:dyDescent="0.25">
      <c r="A20635" t="str">
        <f>"&lt;lifetime&gt;" &amp;$E$20633&amp;"&lt;/lifetime&gt;"</f>
        <v>&lt;lifetime&gt;2700&lt;/lifetime&gt;</v>
      </c>
      <c r="B20635" t="s">
        <v>3049</v>
      </c>
    </row>
    <row r="20636" spans="1:8" x14ac:dyDescent="0.25">
      <c r="A20636" t="str">
        <f>"&lt;restock&gt;" &amp;$F$20633&amp;"&lt;/restock&gt;"</f>
        <v>&lt;restock&gt;0&lt;/restock&gt;</v>
      </c>
      <c r="B20636" t="s">
        <v>3049</v>
      </c>
    </row>
    <row r="20637" spans="1:8" x14ac:dyDescent="0.25">
      <c r="A20637" t="str">
        <f>"&lt;min&gt;" &amp;$G$20633&amp;"&lt;/min&gt;"</f>
        <v>&lt;min&gt;1&lt;/min&gt;</v>
      </c>
      <c r="B20637" t="s">
        <v>3049</v>
      </c>
    </row>
    <row r="20638" spans="1:8" x14ac:dyDescent="0.25">
      <c r="A20638" t="s">
        <v>16</v>
      </c>
      <c r="B20638" t="s">
        <v>3049</v>
      </c>
    </row>
    <row r="20639" spans="1:8" x14ac:dyDescent="0.25">
      <c r="A20639" t="s">
        <v>17</v>
      </c>
      <c r="B20639" t="s">
        <v>3049</v>
      </c>
    </row>
    <row r="20640" spans="1:8" x14ac:dyDescent="0.25">
      <c r="A20640" t="s">
        <v>18</v>
      </c>
      <c r="B20640" t="s">
        <v>3049</v>
      </c>
    </row>
    <row r="20641" spans="1:8" x14ac:dyDescent="0.25">
      <c r="A20641" t="str">
        <f xml:space="preserve"> $H$20633</f>
        <v>&lt;flags count_in_cargo="0" count_in_hoarder="0" count_in_map="1" count_in_player="0" crafted="0" deloot="0"/&gt;</v>
      </c>
      <c r="B20641" t="s">
        <v>3049</v>
      </c>
    </row>
    <row r="20642" spans="1:8" x14ac:dyDescent="0.25">
      <c r="A20642" t="str">
        <f>"&lt;category name=" &amp;"""" &amp;$C$20633&amp;"""/&gt;"</f>
        <v>&lt;category name="vehiclesparts"/&gt;</v>
      </c>
      <c r="B20642" t="s">
        <v>3049</v>
      </c>
    </row>
    <row r="20643" spans="1:8" x14ac:dyDescent="0.25">
      <c r="A20643" t="s">
        <v>25</v>
      </c>
      <c r="B20643" t="s">
        <v>3049</v>
      </c>
    </row>
    <row r="20644" spans="1:8" x14ac:dyDescent="0.25">
      <c r="A20644" t="s">
        <v>55</v>
      </c>
      <c r="B20644" t="s">
        <v>3049</v>
      </c>
    </row>
    <row r="20645" spans="1:8" x14ac:dyDescent="0.25">
      <c r="A20645" t="s">
        <v>22</v>
      </c>
      <c r="B20645" t="s">
        <v>3049</v>
      </c>
    </row>
    <row r="20646" spans="1:8" x14ac:dyDescent="0.25">
      <c r="A20646" t="s">
        <v>2862</v>
      </c>
      <c r="B20646" t="s">
        <v>3050</v>
      </c>
      <c r="C20646" t="s">
        <v>3033</v>
      </c>
      <c r="D20646">
        <v>2</v>
      </c>
      <c r="E20646">
        <v>2700</v>
      </c>
      <c r="F20646">
        <v>0</v>
      </c>
      <c r="G20646">
        <v>1</v>
      </c>
      <c r="H20646" t="s">
        <v>19</v>
      </c>
    </row>
    <row r="20647" spans="1:8" x14ac:dyDescent="0.25">
      <c r="A20647" t="str">
        <f>"&lt;nominal&gt;" &amp;$D$20646&amp;"&lt;/nominal&gt;"</f>
        <v>&lt;nominal&gt;2&lt;/nominal&gt;</v>
      </c>
      <c r="B20647" t="s">
        <v>3050</v>
      </c>
    </row>
    <row r="20648" spans="1:8" x14ac:dyDescent="0.25">
      <c r="A20648" t="str">
        <f>"&lt;lifetime&gt;" &amp;$E$20646&amp;"&lt;/lifetime&gt;"</f>
        <v>&lt;lifetime&gt;2700&lt;/lifetime&gt;</v>
      </c>
      <c r="B20648" t="s">
        <v>3050</v>
      </c>
    </row>
    <row r="20649" spans="1:8" x14ac:dyDescent="0.25">
      <c r="A20649" t="str">
        <f>"&lt;restock&gt;" &amp;$F$20646&amp;"&lt;/restock&gt;"</f>
        <v>&lt;restock&gt;0&lt;/restock&gt;</v>
      </c>
      <c r="B20649" t="s">
        <v>3050</v>
      </c>
    </row>
    <row r="20650" spans="1:8" x14ac:dyDescent="0.25">
      <c r="A20650" t="str">
        <f>"&lt;min&gt;" &amp;$G$20646&amp;"&lt;/min&gt;"</f>
        <v>&lt;min&gt;1&lt;/min&gt;</v>
      </c>
      <c r="B20650" t="s">
        <v>3050</v>
      </c>
    </row>
    <row r="20651" spans="1:8" x14ac:dyDescent="0.25">
      <c r="A20651" t="s">
        <v>16</v>
      </c>
      <c r="B20651" t="s">
        <v>3050</v>
      </c>
    </row>
    <row r="20652" spans="1:8" x14ac:dyDescent="0.25">
      <c r="A20652" t="s">
        <v>17</v>
      </c>
      <c r="B20652" t="s">
        <v>3050</v>
      </c>
    </row>
    <row r="20653" spans="1:8" x14ac:dyDescent="0.25">
      <c r="A20653" t="s">
        <v>18</v>
      </c>
      <c r="B20653" t="s">
        <v>3050</v>
      </c>
    </row>
    <row r="20654" spans="1:8" x14ac:dyDescent="0.25">
      <c r="A20654" t="str">
        <f xml:space="preserve"> $H$20646</f>
        <v>&lt;flags count_in_cargo="0" count_in_hoarder="0" count_in_map="1" count_in_player="0" crafted="0" deloot="0"/&gt;</v>
      </c>
      <c r="B20654" t="s">
        <v>3050</v>
      </c>
    </row>
    <row r="20655" spans="1:8" x14ac:dyDescent="0.25">
      <c r="A20655" t="str">
        <f>"&lt;category name=" &amp;"""" &amp;$C$20646&amp;"""/&gt;"</f>
        <v>&lt;category name="vehiclesparts"/&gt;</v>
      </c>
      <c r="B20655" t="s">
        <v>3050</v>
      </c>
    </row>
    <row r="20656" spans="1:8" x14ac:dyDescent="0.25">
      <c r="A20656" t="s">
        <v>25</v>
      </c>
      <c r="B20656" t="s">
        <v>3050</v>
      </c>
    </row>
    <row r="20657" spans="1:8" x14ac:dyDescent="0.25">
      <c r="A20657" t="s">
        <v>55</v>
      </c>
      <c r="B20657" t="s">
        <v>3050</v>
      </c>
    </row>
    <row r="20658" spans="1:8" x14ac:dyDescent="0.25">
      <c r="A20658" t="s">
        <v>22</v>
      </c>
      <c r="B20658" t="s">
        <v>3050</v>
      </c>
    </row>
    <row r="20659" spans="1:8" x14ac:dyDescent="0.25">
      <c r="A20659" t="s">
        <v>2863</v>
      </c>
      <c r="B20659" t="s">
        <v>3051</v>
      </c>
      <c r="C20659" t="s">
        <v>3033</v>
      </c>
      <c r="D20659">
        <v>2</v>
      </c>
      <c r="E20659">
        <v>2700</v>
      </c>
      <c r="F20659">
        <v>0</v>
      </c>
      <c r="G20659">
        <v>1</v>
      </c>
      <c r="H20659" t="s">
        <v>19</v>
      </c>
    </row>
    <row r="20660" spans="1:8" x14ac:dyDescent="0.25">
      <c r="A20660" t="str">
        <f>"&lt;nominal&gt;" &amp;$D$20659&amp;"&lt;/nominal&gt;"</f>
        <v>&lt;nominal&gt;2&lt;/nominal&gt;</v>
      </c>
      <c r="B20660" t="s">
        <v>3051</v>
      </c>
    </row>
    <row r="20661" spans="1:8" x14ac:dyDescent="0.25">
      <c r="A20661" t="str">
        <f>"&lt;lifetime&gt;" &amp;$E$20659&amp;"&lt;/lifetime&gt;"</f>
        <v>&lt;lifetime&gt;2700&lt;/lifetime&gt;</v>
      </c>
      <c r="B20661" t="s">
        <v>3051</v>
      </c>
    </row>
    <row r="20662" spans="1:8" x14ac:dyDescent="0.25">
      <c r="A20662" t="str">
        <f>"&lt;restock&gt;" &amp;$F$20659&amp;"&lt;/restock&gt;"</f>
        <v>&lt;restock&gt;0&lt;/restock&gt;</v>
      </c>
      <c r="B20662" t="s">
        <v>3051</v>
      </c>
    </row>
    <row r="20663" spans="1:8" x14ac:dyDescent="0.25">
      <c r="A20663" t="str">
        <f>"&lt;min&gt;" &amp;$G$20659&amp;"&lt;/min&gt;"</f>
        <v>&lt;min&gt;1&lt;/min&gt;</v>
      </c>
      <c r="B20663" t="s">
        <v>3051</v>
      </c>
    </row>
    <row r="20664" spans="1:8" x14ac:dyDescent="0.25">
      <c r="A20664" t="s">
        <v>16</v>
      </c>
      <c r="B20664" t="s">
        <v>3051</v>
      </c>
    </row>
    <row r="20665" spans="1:8" x14ac:dyDescent="0.25">
      <c r="A20665" t="s">
        <v>17</v>
      </c>
      <c r="B20665" t="s">
        <v>3051</v>
      </c>
    </row>
    <row r="20666" spans="1:8" x14ac:dyDescent="0.25">
      <c r="A20666" t="s">
        <v>18</v>
      </c>
      <c r="B20666" t="s">
        <v>3051</v>
      </c>
    </row>
    <row r="20667" spans="1:8" x14ac:dyDescent="0.25">
      <c r="A20667" t="str">
        <f xml:space="preserve"> $H$20659</f>
        <v>&lt;flags count_in_cargo="0" count_in_hoarder="0" count_in_map="1" count_in_player="0" crafted="0" deloot="0"/&gt;</v>
      </c>
      <c r="B20667" t="s">
        <v>3051</v>
      </c>
    </row>
    <row r="20668" spans="1:8" x14ac:dyDescent="0.25">
      <c r="A20668" t="str">
        <f>"&lt;category name=" &amp;"""" &amp;$C$20659&amp;"""/&gt;"</f>
        <v>&lt;category name="vehiclesparts"/&gt;</v>
      </c>
      <c r="B20668" t="s">
        <v>3051</v>
      </c>
    </row>
    <row r="20669" spans="1:8" x14ac:dyDescent="0.25">
      <c r="A20669" t="s">
        <v>25</v>
      </c>
      <c r="B20669" t="s">
        <v>3051</v>
      </c>
    </row>
    <row r="20670" spans="1:8" x14ac:dyDescent="0.25">
      <c r="A20670" t="s">
        <v>55</v>
      </c>
      <c r="B20670" t="s">
        <v>3051</v>
      </c>
    </row>
    <row r="20671" spans="1:8" x14ac:dyDescent="0.25">
      <c r="A20671" t="s">
        <v>22</v>
      </c>
      <c r="B20671" t="s">
        <v>3051</v>
      </c>
    </row>
    <row r="20672" spans="1:8" x14ac:dyDescent="0.25">
      <c r="A20672" t="s">
        <v>2864</v>
      </c>
      <c r="B20672" t="s">
        <v>3052</v>
      </c>
      <c r="C20672" t="s">
        <v>3033</v>
      </c>
      <c r="D20672">
        <v>2</v>
      </c>
      <c r="E20672">
        <v>2700</v>
      </c>
      <c r="F20672">
        <v>0</v>
      </c>
      <c r="G20672">
        <v>1</v>
      </c>
      <c r="H20672" t="s">
        <v>19</v>
      </c>
    </row>
    <row r="20673" spans="1:8" x14ac:dyDescent="0.25">
      <c r="A20673" t="str">
        <f>"&lt;nominal&gt;" &amp;$D$20672&amp;"&lt;/nominal&gt;"</f>
        <v>&lt;nominal&gt;2&lt;/nominal&gt;</v>
      </c>
      <c r="B20673" t="s">
        <v>3052</v>
      </c>
    </row>
    <row r="20674" spans="1:8" x14ac:dyDescent="0.25">
      <c r="A20674" t="str">
        <f>"&lt;lifetime&gt;" &amp;$E$20672&amp;"&lt;/lifetime&gt;"</f>
        <v>&lt;lifetime&gt;2700&lt;/lifetime&gt;</v>
      </c>
      <c r="B20674" t="s">
        <v>3052</v>
      </c>
    </row>
    <row r="20675" spans="1:8" x14ac:dyDescent="0.25">
      <c r="A20675" t="str">
        <f>"&lt;restock&gt;" &amp;$F$20672&amp;"&lt;/restock&gt;"</f>
        <v>&lt;restock&gt;0&lt;/restock&gt;</v>
      </c>
      <c r="B20675" t="s">
        <v>3052</v>
      </c>
    </row>
    <row r="20676" spans="1:8" x14ac:dyDescent="0.25">
      <c r="A20676" t="str">
        <f>"&lt;min&gt;" &amp;$G$20672&amp;"&lt;/min&gt;"</f>
        <v>&lt;min&gt;1&lt;/min&gt;</v>
      </c>
      <c r="B20676" t="s">
        <v>3052</v>
      </c>
    </row>
    <row r="20677" spans="1:8" x14ac:dyDescent="0.25">
      <c r="A20677" t="s">
        <v>16</v>
      </c>
      <c r="B20677" t="s">
        <v>3052</v>
      </c>
    </row>
    <row r="20678" spans="1:8" x14ac:dyDescent="0.25">
      <c r="A20678" t="s">
        <v>17</v>
      </c>
      <c r="B20678" t="s">
        <v>3052</v>
      </c>
    </row>
    <row r="20679" spans="1:8" x14ac:dyDescent="0.25">
      <c r="A20679" t="s">
        <v>18</v>
      </c>
      <c r="B20679" t="s">
        <v>3052</v>
      </c>
    </row>
    <row r="20680" spans="1:8" x14ac:dyDescent="0.25">
      <c r="A20680" t="str">
        <f xml:space="preserve"> $H$20672</f>
        <v>&lt;flags count_in_cargo="0" count_in_hoarder="0" count_in_map="1" count_in_player="0" crafted="0" deloot="0"/&gt;</v>
      </c>
      <c r="B20680" t="s">
        <v>3052</v>
      </c>
    </row>
    <row r="20681" spans="1:8" x14ac:dyDescent="0.25">
      <c r="A20681" t="str">
        <f>"&lt;category name=" &amp;"""" &amp;$C$20672&amp;"""/&gt;"</f>
        <v>&lt;category name="vehiclesparts"/&gt;</v>
      </c>
      <c r="B20681" t="s">
        <v>3052</v>
      </c>
    </row>
    <row r="20682" spans="1:8" x14ac:dyDescent="0.25">
      <c r="A20682" t="s">
        <v>25</v>
      </c>
      <c r="B20682" t="s">
        <v>3052</v>
      </c>
    </row>
    <row r="20683" spans="1:8" x14ac:dyDescent="0.25">
      <c r="A20683" t="s">
        <v>55</v>
      </c>
      <c r="B20683" t="s">
        <v>3052</v>
      </c>
    </row>
    <row r="20684" spans="1:8" x14ac:dyDescent="0.25">
      <c r="A20684" t="s">
        <v>22</v>
      </c>
      <c r="B20684" t="s">
        <v>3052</v>
      </c>
    </row>
    <row r="20685" spans="1:8" x14ac:dyDescent="0.25">
      <c r="A20685" t="s">
        <v>2865</v>
      </c>
      <c r="B20685" t="s">
        <v>3053</v>
      </c>
      <c r="C20685" t="s">
        <v>3033</v>
      </c>
      <c r="D20685">
        <v>2</v>
      </c>
      <c r="E20685">
        <v>2700</v>
      </c>
      <c r="F20685">
        <v>0</v>
      </c>
      <c r="G20685">
        <v>1</v>
      </c>
      <c r="H20685" t="s">
        <v>19</v>
      </c>
    </row>
    <row r="20686" spans="1:8" x14ac:dyDescent="0.25">
      <c r="A20686" t="str">
        <f>"&lt;nominal&gt;" &amp;$D$20685&amp;"&lt;/nominal&gt;"</f>
        <v>&lt;nominal&gt;2&lt;/nominal&gt;</v>
      </c>
      <c r="B20686" t="s">
        <v>3053</v>
      </c>
    </row>
    <row r="20687" spans="1:8" x14ac:dyDescent="0.25">
      <c r="A20687" t="str">
        <f>"&lt;lifetime&gt;" &amp;$E$20685&amp;"&lt;/lifetime&gt;"</f>
        <v>&lt;lifetime&gt;2700&lt;/lifetime&gt;</v>
      </c>
      <c r="B20687" t="s">
        <v>3053</v>
      </c>
    </row>
    <row r="20688" spans="1:8" x14ac:dyDescent="0.25">
      <c r="A20688" t="str">
        <f>"&lt;restock&gt;" &amp;$F$20685&amp;"&lt;/restock&gt;"</f>
        <v>&lt;restock&gt;0&lt;/restock&gt;</v>
      </c>
      <c r="B20688" t="s">
        <v>3053</v>
      </c>
    </row>
    <row r="20689" spans="1:8" x14ac:dyDescent="0.25">
      <c r="A20689" t="str">
        <f>"&lt;min&gt;" &amp;$G$20685&amp;"&lt;/min&gt;"</f>
        <v>&lt;min&gt;1&lt;/min&gt;</v>
      </c>
      <c r="B20689" t="s">
        <v>3053</v>
      </c>
    </row>
    <row r="20690" spans="1:8" x14ac:dyDescent="0.25">
      <c r="A20690" t="s">
        <v>16</v>
      </c>
      <c r="B20690" t="s">
        <v>3053</v>
      </c>
    </row>
    <row r="20691" spans="1:8" x14ac:dyDescent="0.25">
      <c r="A20691" t="s">
        <v>17</v>
      </c>
      <c r="B20691" t="s">
        <v>3053</v>
      </c>
    </row>
    <row r="20692" spans="1:8" x14ac:dyDescent="0.25">
      <c r="A20692" t="s">
        <v>18</v>
      </c>
      <c r="B20692" t="s">
        <v>3053</v>
      </c>
    </row>
    <row r="20693" spans="1:8" x14ac:dyDescent="0.25">
      <c r="A20693" t="str">
        <f xml:space="preserve"> $H$20685</f>
        <v>&lt;flags count_in_cargo="0" count_in_hoarder="0" count_in_map="1" count_in_player="0" crafted="0" deloot="0"/&gt;</v>
      </c>
      <c r="B20693" t="s">
        <v>3053</v>
      </c>
    </row>
    <row r="20694" spans="1:8" x14ac:dyDescent="0.25">
      <c r="A20694" t="str">
        <f>"&lt;category name=" &amp;"""" &amp;$C$20685&amp;"""/&gt;"</f>
        <v>&lt;category name="vehiclesparts"/&gt;</v>
      </c>
      <c r="B20694" t="s">
        <v>3053</v>
      </c>
    </row>
    <row r="20695" spans="1:8" x14ac:dyDescent="0.25">
      <c r="A20695" t="s">
        <v>25</v>
      </c>
      <c r="B20695" t="s">
        <v>3053</v>
      </c>
    </row>
    <row r="20696" spans="1:8" x14ac:dyDescent="0.25">
      <c r="A20696" t="s">
        <v>55</v>
      </c>
      <c r="B20696" t="s">
        <v>3053</v>
      </c>
    </row>
    <row r="20697" spans="1:8" x14ac:dyDescent="0.25">
      <c r="A20697" t="s">
        <v>22</v>
      </c>
      <c r="B20697" t="s">
        <v>3053</v>
      </c>
    </row>
    <row r="20698" spans="1:8" x14ac:dyDescent="0.25">
      <c r="A20698" t="s">
        <v>2866</v>
      </c>
      <c r="B20698" t="s">
        <v>3054</v>
      </c>
      <c r="C20698" t="s">
        <v>3033</v>
      </c>
      <c r="D20698">
        <v>2</v>
      </c>
      <c r="E20698">
        <v>2700</v>
      </c>
      <c r="F20698">
        <v>0</v>
      </c>
      <c r="G20698">
        <v>1</v>
      </c>
      <c r="H20698" t="s">
        <v>19</v>
      </c>
    </row>
    <row r="20699" spans="1:8" x14ac:dyDescent="0.25">
      <c r="A20699" t="str">
        <f>"&lt;nominal&gt;" &amp;$D$20698&amp;"&lt;/nominal&gt;"</f>
        <v>&lt;nominal&gt;2&lt;/nominal&gt;</v>
      </c>
      <c r="B20699" t="s">
        <v>3054</v>
      </c>
    </row>
    <row r="20700" spans="1:8" x14ac:dyDescent="0.25">
      <c r="A20700" t="str">
        <f>"&lt;lifetime&gt;" &amp;$E$20698&amp;"&lt;/lifetime&gt;"</f>
        <v>&lt;lifetime&gt;2700&lt;/lifetime&gt;</v>
      </c>
      <c r="B20700" t="s">
        <v>3054</v>
      </c>
    </row>
    <row r="20701" spans="1:8" x14ac:dyDescent="0.25">
      <c r="A20701" t="str">
        <f>"&lt;restock&gt;" &amp;$F$20698&amp;"&lt;/restock&gt;"</f>
        <v>&lt;restock&gt;0&lt;/restock&gt;</v>
      </c>
      <c r="B20701" t="s">
        <v>3054</v>
      </c>
    </row>
    <row r="20702" spans="1:8" x14ac:dyDescent="0.25">
      <c r="A20702" t="str">
        <f>"&lt;min&gt;" &amp;$G$20698&amp;"&lt;/min&gt;"</f>
        <v>&lt;min&gt;1&lt;/min&gt;</v>
      </c>
      <c r="B20702" t="s">
        <v>3054</v>
      </c>
    </row>
    <row r="20703" spans="1:8" x14ac:dyDescent="0.25">
      <c r="A20703" t="s">
        <v>16</v>
      </c>
      <c r="B20703" t="s">
        <v>3054</v>
      </c>
    </row>
    <row r="20704" spans="1:8" x14ac:dyDescent="0.25">
      <c r="A20704" t="s">
        <v>17</v>
      </c>
      <c r="B20704" t="s">
        <v>3054</v>
      </c>
    </row>
    <row r="20705" spans="1:8" x14ac:dyDescent="0.25">
      <c r="A20705" t="s">
        <v>18</v>
      </c>
      <c r="B20705" t="s">
        <v>3054</v>
      </c>
    </row>
    <row r="20706" spans="1:8" x14ac:dyDescent="0.25">
      <c r="A20706" t="str">
        <f xml:space="preserve"> $H$20698</f>
        <v>&lt;flags count_in_cargo="0" count_in_hoarder="0" count_in_map="1" count_in_player="0" crafted="0" deloot="0"/&gt;</v>
      </c>
      <c r="B20706" t="s">
        <v>3054</v>
      </c>
    </row>
    <row r="20707" spans="1:8" x14ac:dyDescent="0.25">
      <c r="A20707" t="str">
        <f>"&lt;category name=" &amp;"""" &amp;$C$20698&amp;"""/&gt;"</f>
        <v>&lt;category name="vehiclesparts"/&gt;</v>
      </c>
      <c r="B20707" t="s">
        <v>3054</v>
      </c>
    </row>
    <row r="20708" spans="1:8" x14ac:dyDescent="0.25">
      <c r="A20708" t="s">
        <v>25</v>
      </c>
      <c r="B20708" t="s">
        <v>3054</v>
      </c>
    </row>
    <row r="20709" spans="1:8" x14ac:dyDescent="0.25">
      <c r="A20709" t="s">
        <v>55</v>
      </c>
      <c r="B20709" t="s">
        <v>3054</v>
      </c>
    </row>
    <row r="20710" spans="1:8" x14ac:dyDescent="0.25">
      <c r="A20710" t="s">
        <v>22</v>
      </c>
      <c r="B20710" t="s">
        <v>3054</v>
      </c>
    </row>
    <row r="20711" spans="1:8" x14ac:dyDescent="0.25">
      <c r="A20711" t="s">
        <v>2867</v>
      </c>
      <c r="B20711" t="s">
        <v>3055</v>
      </c>
      <c r="C20711" t="s">
        <v>3033</v>
      </c>
      <c r="D20711">
        <v>2</v>
      </c>
      <c r="E20711">
        <v>2700</v>
      </c>
      <c r="F20711">
        <v>0</v>
      </c>
      <c r="G20711">
        <v>1</v>
      </c>
      <c r="H20711" t="s">
        <v>19</v>
      </c>
    </row>
    <row r="20712" spans="1:8" x14ac:dyDescent="0.25">
      <c r="A20712" t="str">
        <f>"&lt;nominal&gt;" &amp;$D$20711&amp;"&lt;/nominal&gt;"</f>
        <v>&lt;nominal&gt;2&lt;/nominal&gt;</v>
      </c>
      <c r="B20712" t="s">
        <v>3055</v>
      </c>
    </row>
    <row r="20713" spans="1:8" x14ac:dyDescent="0.25">
      <c r="A20713" t="str">
        <f>"&lt;lifetime&gt;" &amp;$E$20711&amp;"&lt;/lifetime&gt;"</f>
        <v>&lt;lifetime&gt;2700&lt;/lifetime&gt;</v>
      </c>
      <c r="B20713" t="s">
        <v>3055</v>
      </c>
    </row>
    <row r="20714" spans="1:8" x14ac:dyDescent="0.25">
      <c r="A20714" t="str">
        <f>"&lt;restock&gt;" &amp;$F$20711&amp;"&lt;/restock&gt;"</f>
        <v>&lt;restock&gt;0&lt;/restock&gt;</v>
      </c>
      <c r="B20714" t="s">
        <v>3055</v>
      </c>
    </row>
    <row r="20715" spans="1:8" x14ac:dyDescent="0.25">
      <c r="A20715" t="str">
        <f>"&lt;min&gt;" &amp;$G$20711&amp;"&lt;/min&gt;"</f>
        <v>&lt;min&gt;1&lt;/min&gt;</v>
      </c>
      <c r="B20715" t="s">
        <v>3055</v>
      </c>
    </row>
    <row r="20716" spans="1:8" x14ac:dyDescent="0.25">
      <c r="A20716" t="s">
        <v>16</v>
      </c>
      <c r="B20716" t="s">
        <v>3055</v>
      </c>
    </row>
    <row r="20717" spans="1:8" x14ac:dyDescent="0.25">
      <c r="A20717" t="s">
        <v>17</v>
      </c>
      <c r="B20717" t="s">
        <v>3055</v>
      </c>
    </row>
    <row r="20718" spans="1:8" x14ac:dyDescent="0.25">
      <c r="A20718" t="s">
        <v>18</v>
      </c>
      <c r="B20718" t="s">
        <v>3055</v>
      </c>
    </row>
    <row r="20719" spans="1:8" x14ac:dyDescent="0.25">
      <c r="A20719" t="str">
        <f xml:space="preserve"> $H$20711</f>
        <v>&lt;flags count_in_cargo="0" count_in_hoarder="0" count_in_map="1" count_in_player="0" crafted="0" deloot="0"/&gt;</v>
      </c>
      <c r="B20719" t="s">
        <v>3055</v>
      </c>
    </row>
    <row r="20720" spans="1:8" x14ac:dyDescent="0.25">
      <c r="A20720" t="str">
        <f>"&lt;category name=" &amp;"""" &amp;$C$20711&amp;"""/&gt;"</f>
        <v>&lt;category name="vehiclesparts"/&gt;</v>
      </c>
      <c r="B20720" t="s">
        <v>3055</v>
      </c>
    </row>
    <row r="20721" spans="1:8" x14ac:dyDescent="0.25">
      <c r="A20721" t="s">
        <v>25</v>
      </c>
      <c r="B20721" t="s">
        <v>3055</v>
      </c>
    </row>
    <row r="20722" spans="1:8" x14ac:dyDescent="0.25">
      <c r="A20722" t="s">
        <v>55</v>
      </c>
      <c r="B20722" t="s">
        <v>3055</v>
      </c>
    </row>
    <row r="20723" spans="1:8" x14ac:dyDescent="0.25">
      <c r="A20723" t="s">
        <v>22</v>
      </c>
      <c r="B20723" t="s">
        <v>3055</v>
      </c>
    </row>
    <row r="20724" spans="1:8" x14ac:dyDescent="0.25">
      <c r="A20724" t="s">
        <v>2868</v>
      </c>
      <c r="B20724" t="s">
        <v>3056</v>
      </c>
      <c r="C20724" t="s">
        <v>3033</v>
      </c>
      <c r="D20724">
        <v>2</v>
      </c>
      <c r="E20724">
        <v>2700</v>
      </c>
      <c r="F20724">
        <v>0</v>
      </c>
      <c r="G20724">
        <v>1</v>
      </c>
      <c r="H20724" t="s">
        <v>19</v>
      </c>
    </row>
    <row r="20725" spans="1:8" x14ac:dyDescent="0.25">
      <c r="A20725" t="str">
        <f>"&lt;nominal&gt;" &amp;$D$20724&amp;"&lt;/nominal&gt;"</f>
        <v>&lt;nominal&gt;2&lt;/nominal&gt;</v>
      </c>
      <c r="B20725" t="s">
        <v>3056</v>
      </c>
    </row>
    <row r="20726" spans="1:8" x14ac:dyDescent="0.25">
      <c r="A20726" t="str">
        <f>"&lt;lifetime&gt;" &amp;$E$20724&amp;"&lt;/lifetime&gt;"</f>
        <v>&lt;lifetime&gt;2700&lt;/lifetime&gt;</v>
      </c>
      <c r="B20726" t="s">
        <v>3056</v>
      </c>
    </row>
    <row r="20727" spans="1:8" x14ac:dyDescent="0.25">
      <c r="A20727" t="str">
        <f>"&lt;restock&gt;" &amp;$F$20724&amp;"&lt;/restock&gt;"</f>
        <v>&lt;restock&gt;0&lt;/restock&gt;</v>
      </c>
      <c r="B20727" t="s">
        <v>3056</v>
      </c>
    </row>
    <row r="20728" spans="1:8" x14ac:dyDescent="0.25">
      <c r="A20728" t="str">
        <f>"&lt;min&gt;" &amp;$G$20724&amp;"&lt;/min&gt;"</f>
        <v>&lt;min&gt;1&lt;/min&gt;</v>
      </c>
      <c r="B20728" t="s">
        <v>3056</v>
      </c>
    </row>
    <row r="20729" spans="1:8" x14ac:dyDescent="0.25">
      <c r="A20729" t="s">
        <v>16</v>
      </c>
      <c r="B20729" t="s">
        <v>3056</v>
      </c>
    </row>
    <row r="20730" spans="1:8" x14ac:dyDescent="0.25">
      <c r="A20730" t="s">
        <v>17</v>
      </c>
      <c r="B20730" t="s">
        <v>3056</v>
      </c>
    </row>
    <row r="20731" spans="1:8" x14ac:dyDescent="0.25">
      <c r="A20731" t="s">
        <v>18</v>
      </c>
      <c r="B20731" t="s">
        <v>3056</v>
      </c>
    </row>
    <row r="20732" spans="1:8" x14ac:dyDescent="0.25">
      <c r="A20732" t="str">
        <f xml:space="preserve"> $H$20724</f>
        <v>&lt;flags count_in_cargo="0" count_in_hoarder="0" count_in_map="1" count_in_player="0" crafted="0" deloot="0"/&gt;</v>
      </c>
      <c r="B20732" t="s">
        <v>3056</v>
      </c>
    </row>
    <row r="20733" spans="1:8" x14ac:dyDescent="0.25">
      <c r="A20733" t="str">
        <f>"&lt;category name=" &amp;"""" &amp;$C$20724&amp;"""/&gt;"</f>
        <v>&lt;category name="vehiclesparts"/&gt;</v>
      </c>
      <c r="B20733" t="s">
        <v>3056</v>
      </c>
    </row>
    <row r="20734" spans="1:8" x14ac:dyDescent="0.25">
      <c r="A20734" t="s">
        <v>25</v>
      </c>
      <c r="B20734" t="s">
        <v>3056</v>
      </c>
    </row>
    <row r="20735" spans="1:8" x14ac:dyDescent="0.25">
      <c r="A20735" t="s">
        <v>55</v>
      </c>
      <c r="B20735" t="s">
        <v>3056</v>
      </c>
    </row>
    <row r="20736" spans="1:8" x14ac:dyDescent="0.25">
      <c r="A20736" t="s">
        <v>22</v>
      </c>
      <c r="B20736" t="s">
        <v>3056</v>
      </c>
    </row>
    <row r="20737" spans="1:8" x14ac:dyDescent="0.25">
      <c r="A20737" t="s">
        <v>2869</v>
      </c>
      <c r="B20737" t="s">
        <v>3057</v>
      </c>
      <c r="C20737" t="s">
        <v>3033</v>
      </c>
      <c r="D20737">
        <v>2</v>
      </c>
      <c r="E20737">
        <v>2700</v>
      </c>
      <c r="F20737">
        <v>0</v>
      </c>
      <c r="G20737">
        <v>1</v>
      </c>
      <c r="H20737" t="s">
        <v>19</v>
      </c>
    </row>
    <row r="20738" spans="1:8" x14ac:dyDescent="0.25">
      <c r="A20738" t="str">
        <f>"&lt;nominal&gt;" &amp;$D$20737&amp;"&lt;/nominal&gt;"</f>
        <v>&lt;nominal&gt;2&lt;/nominal&gt;</v>
      </c>
      <c r="B20738" t="s">
        <v>3057</v>
      </c>
    </row>
    <row r="20739" spans="1:8" x14ac:dyDescent="0.25">
      <c r="A20739" t="str">
        <f>"&lt;lifetime&gt;" &amp;$E$20737&amp;"&lt;/lifetime&gt;"</f>
        <v>&lt;lifetime&gt;2700&lt;/lifetime&gt;</v>
      </c>
      <c r="B20739" t="s">
        <v>3057</v>
      </c>
    </row>
    <row r="20740" spans="1:8" x14ac:dyDescent="0.25">
      <c r="A20740" t="str">
        <f>"&lt;restock&gt;" &amp;$F$20737&amp;"&lt;/restock&gt;"</f>
        <v>&lt;restock&gt;0&lt;/restock&gt;</v>
      </c>
      <c r="B20740" t="s">
        <v>3057</v>
      </c>
    </row>
    <row r="20741" spans="1:8" x14ac:dyDescent="0.25">
      <c r="A20741" t="str">
        <f>"&lt;min&gt;" &amp;$G$20737&amp;"&lt;/min&gt;"</f>
        <v>&lt;min&gt;1&lt;/min&gt;</v>
      </c>
      <c r="B20741" t="s">
        <v>3057</v>
      </c>
    </row>
    <row r="20742" spans="1:8" x14ac:dyDescent="0.25">
      <c r="A20742" t="s">
        <v>16</v>
      </c>
      <c r="B20742" t="s">
        <v>3057</v>
      </c>
    </row>
    <row r="20743" spans="1:8" x14ac:dyDescent="0.25">
      <c r="A20743" t="s">
        <v>17</v>
      </c>
      <c r="B20743" t="s">
        <v>3057</v>
      </c>
    </row>
    <row r="20744" spans="1:8" x14ac:dyDescent="0.25">
      <c r="A20744" t="s">
        <v>18</v>
      </c>
      <c r="B20744" t="s">
        <v>3057</v>
      </c>
    </row>
    <row r="20745" spans="1:8" x14ac:dyDescent="0.25">
      <c r="A20745" t="str">
        <f xml:space="preserve"> $H$20737</f>
        <v>&lt;flags count_in_cargo="0" count_in_hoarder="0" count_in_map="1" count_in_player="0" crafted="0" deloot="0"/&gt;</v>
      </c>
      <c r="B20745" t="s">
        <v>3057</v>
      </c>
    </row>
    <row r="20746" spans="1:8" x14ac:dyDescent="0.25">
      <c r="A20746" t="str">
        <f>"&lt;category name=" &amp;"""" &amp;$C$20737&amp;"""/&gt;"</f>
        <v>&lt;category name="vehiclesparts"/&gt;</v>
      </c>
      <c r="B20746" t="s">
        <v>3057</v>
      </c>
    </row>
    <row r="20747" spans="1:8" x14ac:dyDescent="0.25">
      <c r="A20747" t="s">
        <v>25</v>
      </c>
      <c r="B20747" t="s">
        <v>3057</v>
      </c>
    </row>
    <row r="20748" spans="1:8" x14ac:dyDescent="0.25">
      <c r="A20748" t="s">
        <v>55</v>
      </c>
      <c r="B20748" t="s">
        <v>3057</v>
      </c>
    </row>
    <row r="20749" spans="1:8" x14ac:dyDescent="0.25">
      <c r="A20749" t="s">
        <v>22</v>
      </c>
      <c r="B20749" t="s">
        <v>3057</v>
      </c>
    </row>
    <row r="20750" spans="1:8" x14ac:dyDescent="0.25">
      <c r="A20750" t="s">
        <v>2870</v>
      </c>
      <c r="B20750" t="s">
        <v>3058</v>
      </c>
      <c r="C20750" t="s">
        <v>3033</v>
      </c>
      <c r="D20750">
        <v>2</v>
      </c>
      <c r="E20750">
        <v>2700</v>
      </c>
      <c r="F20750">
        <v>0</v>
      </c>
      <c r="G20750">
        <v>1</v>
      </c>
      <c r="H20750" t="s">
        <v>19</v>
      </c>
    </row>
    <row r="20751" spans="1:8" x14ac:dyDescent="0.25">
      <c r="A20751" t="str">
        <f>"&lt;nominal&gt;" &amp;$D$20750&amp;"&lt;/nominal&gt;"</f>
        <v>&lt;nominal&gt;2&lt;/nominal&gt;</v>
      </c>
      <c r="B20751" t="s">
        <v>3058</v>
      </c>
    </row>
    <row r="20752" spans="1:8" x14ac:dyDescent="0.25">
      <c r="A20752" t="str">
        <f>"&lt;lifetime&gt;" &amp;$E$20750&amp;"&lt;/lifetime&gt;"</f>
        <v>&lt;lifetime&gt;2700&lt;/lifetime&gt;</v>
      </c>
      <c r="B20752" t="s">
        <v>3058</v>
      </c>
    </row>
    <row r="20753" spans="1:8" x14ac:dyDescent="0.25">
      <c r="A20753" t="str">
        <f>"&lt;restock&gt;" &amp;$F$20750&amp;"&lt;/restock&gt;"</f>
        <v>&lt;restock&gt;0&lt;/restock&gt;</v>
      </c>
      <c r="B20753" t="s">
        <v>3058</v>
      </c>
    </row>
    <row r="20754" spans="1:8" x14ac:dyDescent="0.25">
      <c r="A20754" t="str">
        <f>"&lt;min&gt;" &amp;$G$20750&amp;"&lt;/min&gt;"</f>
        <v>&lt;min&gt;1&lt;/min&gt;</v>
      </c>
      <c r="B20754" t="s">
        <v>3058</v>
      </c>
    </row>
    <row r="20755" spans="1:8" x14ac:dyDescent="0.25">
      <c r="A20755" t="s">
        <v>16</v>
      </c>
      <c r="B20755" t="s">
        <v>3058</v>
      </c>
    </row>
    <row r="20756" spans="1:8" x14ac:dyDescent="0.25">
      <c r="A20756" t="s">
        <v>17</v>
      </c>
      <c r="B20756" t="s">
        <v>3058</v>
      </c>
    </row>
    <row r="20757" spans="1:8" x14ac:dyDescent="0.25">
      <c r="A20757" t="s">
        <v>18</v>
      </c>
      <c r="B20757" t="s">
        <v>3058</v>
      </c>
    </row>
    <row r="20758" spans="1:8" x14ac:dyDescent="0.25">
      <c r="A20758" t="str">
        <f xml:space="preserve"> $H$20750</f>
        <v>&lt;flags count_in_cargo="0" count_in_hoarder="0" count_in_map="1" count_in_player="0" crafted="0" deloot="0"/&gt;</v>
      </c>
      <c r="B20758" t="s">
        <v>3058</v>
      </c>
    </row>
    <row r="20759" spans="1:8" x14ac:dyDescent="0.25">
      <c r="A20759" t="str">
        <f>"&lt;category name=" &amp;"""" &amp;$C$20750&amp;"""/&gt;"</f>
        <v>&lt;category name="vehiclesparts"/&gt;</v>
      </c>
      <c r="B20759" t="s">
        <v>3058</v>
      </c>
    </row>
    <row r="20760" spans="1:8" x14ac:dyDescent="0.25">
      <c r="A20760" t="s">
        <v>25</v>
      </c>
      <c r="B20760" t="s">
        <v>3058</v>
      </c>
    </row>
    <row r="20761" spans="1:8" x14ac:dyDescent="0.25">
      <c r="A20761" t="s">
        <v>55</v>
      </c>
      <c r="B20761" t="s">
        <v>3058</v>
      </c>
    </row>
    <row r="20762" spans="1:8" x14ac:dyDescent="0.25">
      <c r="A20762" t="s">
        <v>22</v>
      </c>
      <c r="B20762" t="s">
        <v>3058</v>
      </c>
    </row>
    <row r="20763" spans="1:8" x14ac:dyDescent="0.25">
      <c r="A20763" t="s">
        <v>2871</v>
      </c>
      <c r="B20763" t="s">
        <v>3059</v>
      </c>
      <c r="C20763" t="s">
        <v>3033</v>
      </c>
      <c r="D20763">
        <v>2</v>
      </c>
      <c r="E20763">
        <v>2700</v>
      </c>
      <c r="F20763">
        <v>0</v>
      </c>
      <c r="G20763">
        <v>1</v>
      </c>
      <c r="H20763" t="s">
        <v>19</v>
      </c>
    </row>
    <row r="20764" spans="1:8" x14ac:dyDescent="0.25">
      <c r="A20764" t="str">
        <f>"&lt;nominal&gt;" &amp;$D$20763&amp;"&lt;/nominal&gt;"</f>
        <v>&lt;nominal&gt;2&lt;/nominal&gt;</v>
      </c>
      <c r="B20764" t="s">
        <v>3059</v>
      </c>
    </row>
    <row r="20765" spans="1:8" x14ac:dyDescent="0.25">
      <c r="A20765" t="str">
        <f>"&lt;lifetime&gt;" &amp;$E$20763&amp;"&lt;/lifetime&gt;"</f>
        <v>&lt;lifetime&gt;2700&lt;/lifetime&gt;</v>
      </c>
      <c r="B20765" t="s">
        <v>3059</v>
      </c>
    </row>
    <row r="20766" spans="1:8" x14ac:dyDescent="0.25">
      <c r="A20766" t="str">
        <f>"&lt;restock&gt;" &amp;$F$20763&amp;"&lt;/restock&gt;"</f>
        <v>&lt;restock&gt;0&lt;/restock&gt;</v>
      </c>
      <c r="B20766" t="s">
        <v>3059</v>
      </c>
    </row>
    <row r="20767" spans="1:8" x14ac:dyDescent="0.25">
      <c r="A20767" t="str">
        <f>"&lt;min&gt;" &amp;$G$20763&amp;"&lt;/min&gt;"</f>
        <v>&lt;min&gt;1&lt;/min&gt;</v>
      </c>
      <c r="B20767" t="s">
        <v>3059</v>
      </c>
    </row>
    <row r="20768" spans="1:8" x14ac:dyDescent="0.25">
      <c r="A20768" t="s">
        <v>16</v>
      </c>
      <c r="B20768" t="s">
        <v>3059</v>
      </c>
    </row>
    <row r="20769" spans="1:8" x14ac:dyDescent="0.25">
      <c r="A20769" t="s">
        <v>17</v>
      </c>
      <c r="B20769" t="s">
        <v>3059</v>
      </c>
    </row>
    <row r="20770" spans="1:8" x14ac:dyDescent="0.25">
      <c r="A20770" t="s">
        <v>18</v>
      </c>
      <c r="B20770" t="s">
        <v>3059</v>
      </c>
    </row>
    <row r="20771" spans="1:8" x14ac:dyDescent="0.25">
      <c r="A20771" t="str">
        <f xml:space="preserve"> $H$20763</f>
        <v>&lt;flags count_in_cargo="0" count_in_hoarder="0" count_in_map="1" count_in_player="0" crafted="0" deloot="0"/&gt;</v>
      </c>
      <c r="B20771" t="s">
        <v>3059</v>
      </c>
    </row>
    <row r="20772" spans="1:8" x14ac:dyDescent="0.25">
      <c r="A20772" t="str">
        <f>"&lt;category name=" &amp;"""" &amp;$C$20763&amp;"""/&gt;"</f>
        <v>&lt;category name="vehiclesparts"/&gt;</v>
      </c>
      <c r="B20772" t="s">
        <v>3059</v>
      </c>
    </row>
    <row r="20773" spans="1:8" x14ac:dyDescent="0.25">
      <c r="A20773" t="s">
        <v>25</v>
      </c>
      <c r="B20773" t="s">
        <v>3059</v>
      </c>
    </row>
    <row r="20774" spans="1:8" x14ac:dyDescent="0.25">
      <c r="A20774" t="s">
        <v>55</v>
      </c>
      <c r="B20774" t="s">
        <v>3059</v>
      </c>
    </row>
    <row r="20775" spans="1:8" x14ac:dyDescent="0.25">
      <c r="A20775" t="s">
        <v>22</v>
      </c>
      <c r="B20775" t="s">
        <v>3059</v>
      </c>
    </row>
    <row r="20776" spans="1:8" x14ac:dyDescent="0.25">
      <c r="A20776" t="s">
        <v>2872</v>
      </c>
      <c r="B20776" t="s">
        <v>3060</v>
      </c>
      <c r="C20776" t="s">
        <v>3033</v>
      </c>
      <c r="D20776">
        <v>2</v>
      </c>
      <c r="E20776">
        <v>2700</v>
      </c>
      <c r="F20776">
        <v>0</v>
      </c>
      <c r="G20776">
        <v>1</v>
      </c>
      <c r="H20776" t="s">
        <v>19</v>
      </c>
    </row>
    <row r="20777" spans="1:8" x14ac:dyDescent="0.25">
      <c r="A20777" t="str">
        <f>"&lt;nominal&gt;" &amp;$D$20776&amp;"&lt;/nominal&gt;"</f>
        <v>&lt;nominal&gt;2&lt;/nominal&gt;</v>
      </c>
      <c r="B20777" t="s">
        <v>3060</v>
      </c>
    </row>
    <row r="20778" spans="1:8" x14ac:dyDescent="0.25">
      <c r="A20778" t="str">
        <f>"&lt;lifetime&gt;" &amp;$E$20776&amp;"&lt;/lifetime&gt;"</f>
        <v>&lt;lifetime&gt;2700&lt;/lifetime&gt;</v>
      </c>
      <c r="B20778" t="s">
        <v>3060</v>
      </c>
    </row>
    <row r="20779" spans="1:8" x14ac:dyDescent="0.25">
      <c r="A20779" t="str">
        <f>"&lt;restock&gt;" &amp;$F$20776&amp;"&lt;/restock&gt;"</f>
        <v>&lt;restock&gt;0&lt;/restock&gt;</v>
      </c>
      <c r="B20779" t="s">
        <v>3060</v>
      </c>
    </row>
    <row r="20780" spans="1:8" x14ac:dyDescent="0.25">
      <c r="A20780" t="str">
        <f>"&lt;min&gt;" &amp;$G$20776&amp;"&lt;/min&gt;"</f>
        <v>&lt;min&gt;1&lt;/min&gt;</v>
      </c>
      <c r="B20780" t="s">
        <v>3060</v>
      </c>
    </row>
    <row r="20781" spans="1:8" x14ac:dyDescent="0.25">
      <c r="A20781" t="s">
        <v>16</v>
      </c>
      <c r="B20781" t="s">
        <v>3060</v>
      </c>
    </row>
    <row r="20782" spans="1:8" x14ac:dyDescent="0.25">
      <c r="A20782" t="s">
        <v>17</v>
      </c>
      <c r="B20782" t="s">
        <v>3060</v>
      </c>
    </row>
    <row r="20783" spans="1:8" x14ac:dyDescent="0.25">
      <c r="A20783" t="s">
        <v>18</v>
      </c>
      <c r="B20783" t="s">
        <v>3060</v>
      </c>
    </row>
    <row r="20784" spans="1:8" x14ac:dyDescent="0.25">
      <c r="A20784" t="str">
        <f xml:space="preserve"> $H$20776</f>
        <v>&lt;flags count_in_cargo="0" count_in_hoarder="0" count_in_map="1" count_in_player="0" crafted="0" deloot="0"/&gt;</v>
      </c>
      <c r="B20784" t="s">
        <v>3060</v>
      </c>
    </row>
    <row r="20785" spans="1:8" x14ac:dyDescent="0.25">
      <c r="A20785" t="str">
        <f>"&lt;category name=" &amp;"""" &amp;$C$20776&amp;"""/&gt;"</f>
        <v>&lt;category name="vehiclesparts"/&gt;</v>
      </c>
      <c r="B20785" t="s">
        <v>3060</v>
      </c>
    </row>
    <row r="20786" spans="1:8" x14ac:dyDescent="0.25">
      <c r="A20786" t="s">
        <v>25</v>
      </c>
      <c r="B20786" t="s">
        <v>3060</v>
      </c>
    </row>
    <row r="20787" spans="1:8" x14ac:dyDescent="0.25">
      <c r="A20787" t="s">
        <v>55</v>
      </c>
      <c r="B20787" t="s">
        <v>3060</v>
      </c>
    </row>
    <row r="20788" spans="1:8" x14ac:dyDescent="0.25">
      <c r="A20788" t="s">
        <v>22</v>
      </c>
      <c r="B20788" t="s">
        <v>3060</v>
      </c>
    </row>
    <row r="20789" spans="1:8" x14ac:dyDescent="0.25">
      <c r="A20789" t="s">
        <v>2873</v>
      </c>
      <c r="B20789" t="s">
        <v>3061</v>
      </c>
      <c r="C20789" t="s">
        <v>3033</v>
      </c>
      <c r="D20789">
        <v>2</v>
      </c>
      <c r="E20789">
        <v>2700</v>
      </c>
      <c r="F20789">
        <v>0</v>
      </c>
      <c r="G20789">
        <v>1</v>
      </c>
      <c r="H20789" t="s">
        <v>19</v>
      </c>
    </row>
    <row r="20790" spans="1:8" x14ac:dyDescent="0.25">
      <c r="A20790" t="str">
        <f>"&lt;nominal&gt;" &amp;$D$20789&amp;"&lt;/nominal&gt;"</f>
        <v>&lt;nominal&gt;2&lt;/nominal&gt;</v>
      </c>
      <c r="B20790" t="s">
        <v>3061</v>
      </c>
    </row>
    <row r="20791" spans="1:8" x14ac:dyDescent="0.25">
      <c r="A20791" t="str">
        <f>"&lt;lifetime&gt;" &amp;$E$20789&amp;"&lt;/lifetime&gt;"</f>
        <v>&lt;lifetime&gt;2700&lt;/lifetime&gt;</v>
      </c>
      <c r="B20791" t="s">
        <v>3061</v>
      </c>
    </row>
    <row r="20792" spans="1:8" x14ac:dyDescent="0.25">
      <c r="A20792" t="str">
        <f>"&lt;restock&gt;" &amp;$F$20789&amp;"&lt;/restock&gt;"</f>
        <v>&lt;restock&gt;0&lt;/restock&gt;</v>
      </c>
      <c r="B20792" t="s">
        <v>3061</v>
      </c>
    </row>
    <row r="20793" spans="1:8" x14ac:dyDescent="0.25">
      <c r="A20793" t="str">
        <f>"&lt;min&gt;" &amp;$G$20789&amp;"&lt;/min&gt;"</f>
        <v>&lt;min&gt;1&lt;/min&gt;</v>
      </c>
      <c r="B20793" t="s">
        <v>3061</v>
      </c>
    </row>
    <row r="20794" spans="1:8" x14ac:dyDescent="0.25">
      <c r="A20794" t="s">
        <v>16</v>
      </c>
      <c r="B20794" t="s">
        <v>3061</v>
      </c>
    </row>
    <row r="20795" spans="1:8" x14ac:dyDescent="0.25">
      <c r="A20795" t="s">
        <v>17</v>
      </c>
      <c r="B20795" t="s">
        <v>3061</v>
      </c>
    </row>
    <row r="20796" spans="1:8" x14ac:dyDescent="0.25">
      <c r="A20796" t="s">
        <v>18</v>
      </c>
      <c r="B20796" t="s">
        <v>3061</v>
      </c>
    </row>
    <row r="20797" spans="1:8" x14ac:dyDescent="0.25">
      <c r="A20797" t="str">
        <f xml:space="preserve"> $H$20789</f>
        <v>&lt;flags count_in_cargo="0" count_in_hoarder="0" count_in_map="1" count_in_player="0" crafted="0" deloot="0"/&gt;</v>
      </c>
      <c r="B20797" t="s">
        <v>3061</v>
      </c>
    </row>
    <row r="20798" spans="1:8" x14ac:dyDescent="0.25">
      <c r="A20798" t="str">
        <f>"&lt;category name=" &amp;"""" &amp;$C$20789&amp;"""/&gt;"</f>
        <v>&lt;category name="vehiclesparts"/&gt;</v>
      </c>
      <c r="B20798" t="s">
        <v>3061</v>
      </c>
    </row>
    <row r="20799" spans="1:8" x14ac:dyDescent="0.25">
      <c r="A20799" t="s">
        <v>25</v>
      </c>
      <c r="B20799" t="s">
        <v>3061</v>
      </c>
    </row>
    <row r="20800" spans="1:8" x14ac:dyDescent="0.25">
      <c r="A20800" t="s">
        <v>55</v>
      </c>
      <c r="B20800" t="s">
        <v>3061</v>
      </c>
    </row>
    <row r="20801" spans="1:8" x14ac:dyDescent="0.25">
      <c r="A20801" t="s">
        <v>22</v>
      </c>
      <c r="B20801" t="s">
        <v>3061</v>
      </c>
    </row>
    <row r="20802" spans="1:8" x14ac:dyDescent="0.25">
      <c r="A20802" t="s">
        <v>2874</v>
      </c>
      <c r="B20802" t="s">
        <v>3062</v>
      </c>
      <c r="C20802" t="s">
        <v>3033</v>
      </c>
      <c r="D20802">
        <v>2</v>
      </c>
      <c r="E20802">
        <v>2700</v>
      </c>
      <c r="F20802">
        <v>0</v>
      </c>
      <c r="G20802">
        <v>1</v>
      </c>
      <c r="H20802" t="s">
        <v>19</v>
      </c>
    </row>
    <row r="20803" spans="1:8" x14ac:dyDescent="0.25">
      <c r="A20803" t="str">
        <f>"&lt;nominal&gt;" &amp;$D$20802&amp;"&lt;/nominal&gt;"</f>
        <v>&lt;nominal&gt;2&lt;/nominal&gt;</v>
      </c>
      <c r="B20803" t="s">
        <v>3062</v>
      </c>
    </row>
    <row r="20804" spans="1:8" x14ac:dyDescent="0.25">
      <c r="A20804" t="str">
        <f>"&lt;lifetime&gt;" &amp;$E$20802&amp;"&lt;/lifetime&gt;"</f>
        <v>&lt;lifetime&gt;2700&lt;/lifetime&gt;</v>
      </c>
      <c r="B20804" t="s">
        <v>3062</v>
      </c>
    </row>
    <row r="20805" spans="1:8" x14ac:dyDescent="0.25">
      <c r="A20805" t="str">
        <f>"&lt;restock&gt;" &amp;$F$20802&amp;"&lt;/restock&gt;"</f>
        <v>&lt;restock&gt;0&lt;/restock&gt;</v>
      </c>
      <c r="B20805" t="s">
        <v>3062</v>
      </c>
    </row>
    <row r="20806" spans="1:8" x14ac:dyDescent="0.25">
      <c r="A20806" t="str">
        <f>"&lt;min&gt;" &amp;$G$20802&amp;"&lt;/min&gt;"</f>
        <v>&lt;min&gt;1&lt;/min&gt;</v>
      </c>
      <c r="B20806" t="s">
        <v>3062</v>
      </c>
    </row>
    <row r="20807" spans="1:8" x14ac:dyDescent="0.25">
      <c r="A20807" t="s">
        <v>16</v>
      </c>
      <c r="B20807" t="s">
        <v>3062</v>
      </c>
    </row>
    <row r="20808" spans="1:8" x14ac:dyDescent="0.25">
      <c r="A20808" t="s">
        <v>17</v>
      </c>
      <c r="B20808" t="s">
        <v>3062</v>
      </c>
    </row>
    <row r="20809" spans="1:8" x14ac:dyDescent="0.25">
      <c r="A20809" t="s">
        <v>18</v>
      </c>
      <c r="B20809" t="s">
        <v>3062</v>
      </c>
    </row>
    <row r="20810" spans="1:8" x14ac:dyDescent="0.25">
      <c r="A20810" t="str">
        <f xml:space="preserve"> $H$20802</f>
        <v>&lt;flags count_in_cargo="0" count_in_hoarder="0" count_in_map="1" count_in_player="0" crafted="0" deloot="0"/&gt;</v>
      </c>
      <c r="B20810" t="s">
        <v>3062</v>
      </c>
    </row>
    <row r="20811" spans="1:8" x14ac:dyDescent="0.25">
      <c r="A20811" t="str">
        <f>"&lt;category name=" &amp;"""" &amp;$C$20802&amp;"""/&gt;"</f>
        <v>&lt;category name="vehiclesparts"/&gt;</v>
      </c>
      <c r="B20811" t="s">
        <v>3062</v>
      </c>
    </row>
    <row r="20812" spans="1:8" x14ac:dyDescent="0.25">
      <c r="A20812" t="s">
        <v>25</v>
      </c>
      <c r="B20812" t="s">
        <v>3062</v>
      </c>
    </row>
    <row r="20813" spans="1:8" x14ac:dyDescent="0.25">
      <c r="A20813" t="s">
        <v>55</v>
      </c>
      <c r="B20813" t="s">
        <v>3062</v>
      </c>
    </row>
    <row r="20814" spans="1:8" x14ac:dyDescent="0.25">
      <c r="A20814" t="s">
        <v>22</v>
      </c>
      <c r="B20814" t="s">
        <v>3062</v>
      </c>
    </row>
    <row r="20815" spans="1:8" x14ac:dyDescent="0.25">
      <c r="A20815" t="s">
        <v>2875</v>
      </c>
      <c r="B20815" t="s">
        <v>3063</v>
      </c>
      <c r="C20815" t="s">
        <v>3033</v>
      </c>
      <c r="D20815">
        <v>2</v>
      </c>
      <c r="E20815">
        <v>2700</v>
      </c>
      <c r="F20815">
        <v>0</v>
      </c>
      <c r="G20815">
        <v>1</v>
      </c>
      <c r="H20815" t="s">
        <v>19</v>
      </c>
    </row>
    <row r="20816" spans="1:8" x14ac:dyDescent="0.25">
      <c r="A20816" t="str">
        <f>"&lt;nominal&gt;" &amp;$D$20815&amp;"&lt;/nominal&gt;"</f>
        <v>&lt;nominal&gt;2&lt;/nominal&gt;</v>
      </c>
      <c r="B20816" t="s">
        <v>3063</v>
      </c>
    </row>
    <row r="20817" spans="1:8" x14ac:dyDescent="0.25">
      <c r="A20817" t="str">
        <f>"&lt;lifetime&gt;" &amp;$E$20815&amp;"&lt;/lifetime&gt;"</f>
        <v>&lt;lifetime&gt;2700&lt;/lifetime&gt;</v>
      </c>
      <c r="B20817" t="s">
        <v>3063</v>
      </c>
    </row>
    <row r="20818" spans="1:8" x14ac:dyDescent="0.25">
      <c r="A20818" t="str">
        <f>"&lt;restock&gt;" &amp;$F$20815&amp;"&lt;/restock&gt;"</f>
        <v>&lt;restock&gt;0&lt;/restock&gt;</v>
      </c>
      <c r="B20818" t="s">
        <v>3063</v>
      </c>
    </row>
    <row r="20819" spans="1:8" x14ac:dyDescent="0.25">
      <c r="A20819" t="str">
        <f>"&lt;min&gt;" &amp;$G$20815&amp;"&lt;/min&gt;"</f>
        <v>&lt;min&gt;1&lt;/min&gt;</v>
      </c>
      <c r="B20819" t="s">
        <v>3063</v>
      </c>
    </row>
    <row r="20820" spans="1:8" x14ac:dyDescent="0.25">
      <c r="A20820" t="s">
        <v>16</v>
      </c>
      <c r="B20820" t="s">
        <v>3063</v>
      </c>
    </row>
    <row r="20821" spans="1:8" x14ac:dyDescent="0.25">
      <c r="A20821" t="s">
        <v>17</v>
      </c>
      <c r="B20821" t="s">
        <v>3063</v>
      </c>
    </row>
    <row r="20822" spans="1:8" x14ac:dyDescent="0.25">
      <c r="A20822" t="s">
        <v>18</v>
      </c>
      <c r="B20822" t="s">
        <v>3063</v>
      </c>
    </row>
    <row r="20823" spans="1:8" x14ac:dyDescent="0.25">
      <c r="A20823" t="str">
        <f xml:space="preserve"> $H$20815</f>
        <v>&lt;flags count_in_cargo="0" count_in_hoarder="0" count_in_map="1" count_in_player="0" crafted="0" deloot="0"/&gt;</v>
      </c>
      <c r="B20823" t="s">
        <v>3063</v>
      </c>
    </row>
    <row r="20824" spans="1:8" x14ac:dyDescent="0.25">
      <c r="A20824" t="str">
        <f>"&lt;category name=" &amp;"""" &amp;$C$20815&amp;"""/&gt;"</f>
        <v>&lt;category name="vehiclesparts"/&gt;</v>
      </c>
      <c r="B20824" t="s">
        <v>3063</v>
      </c>
    </row>
    <row r="20825" spans="1:8" x14ac:dyDescent="0.25">
      <c r="A20825" t="s">
        <v>25</v>
      </c>
      <c r="B20825" t="s">
        <v>3063</v>
      </c>
    </row>
    <row r="20826" spans="1:8" x14ac:dyDescent="0.25">
      <c r="A20826" t="s">
        <v>55</v>
      </c>
      <c r="B20826" t="s">
        <v>3063</v>
      </c>
    </row>
    <row r="20827" spans="1:8" x14ac:dyDescent="0.25">
      <c r="A20827" t="s">
        <v>22</v>
      </c>
      <c r="B20827" t="s">
        <v>3063</v>
      </c>
    </row>
    <row r="20828" spans="1:8" x14ac:dyDescent="0.25">
      <c r="A20828" t="s">
        <v>2876</v>
      </c>
      <c r="B20828" t="s">
        <v>3064</v>
      </c>
      <c r="C20828" t="s">
        <v>3033</v>
      </c>
      <c r="D20828">
        <v>2</v>
      </c>
      <c r="E20828">
        <v>2700</v>
      </c>
      <c r="F20828">
        <v>0</v>
      </c>
      <c r="G20828">
        <v>1</v>
      </c>
      <c r="H20828" t="s">
        <v>19</v>
      </c>
    </row>
    <row r="20829" spans="1:8" x14ac:dyDescent="0.25">
      <c r="A20829" t="str">
        <f>"&lt;nominal&gt;" &amp;$D$20828&amp;"&lt;/nominal&gt;"</f>
        <v>&lt;nominal&gt;2&lt;/nominal&gt;</v>
      </c>
      <c r="B20829" t="s">
        <v>3064</v>
      </c>
    </row>
    <row r="20830" spans="1:8" x14ac:dyDescent="0.25">
      <c r="A20830" t="str">
        <f>"&lt;lifetime&gt;" &amp;$E$20828&amp;"&lt;/lifetime&gt;"</f>
        <v>&lt;lifetime&gt;2700&lt;/lifetime&gt;</v>
      </c>
      <c r="B20830" t="s">
        <v>3064</v>
      </c>
    </row>
    <row r="20831" spans="1:8" x14ac:dyDescent="0.25">
      <c r="A20831" t="str">
        <f>"&lt;restock&gt;" &amp;$F$20828&amp;"&lt;/restock&gt;"</f>
        <v>&lt;restock&gt;0&lt;/restock&gt;</v>
      </c>
      <c r="B20831" t="s">
        <v>3064</v>
      </c>
    </row>
    <row r="20832" spans="1:8" x14ac:dyDescent="0.25">
      <c r="A20832" t="str">
        <f>"&lt;min&gt;" &amp;$G$20828&amp;"&lt;/min&gt;"</f>
        <v>&lt;min&gt;1&lt;/min&gt;</v>
      </c>
      <c r="B20832" t="s">
        <v>3064</v>
      </c>
    </row>
    <row r="20833" spans="1:8" x14ac:dyDescent="0.25">
      <c r="A20833" t="s">
        <v>16</v>
      </c>
      <c r="B20833" t="s">
        <v>3064</v>
      </c>
    </row>
    <row r="20834" spans="1:8" x14ac:dyDescent="0.25">
      <c r="A20834" t="s">
        <v>17</v>
      </c>
      <c r="B20834" t="s">
        <v>3064</v>
      </c>
    </row>
    <row r="20835" spans="1:8" x14ac:dyDescent="0.25">
      <c r="A20835" t="s">
        <v>18</v>
      </c>
      <c r="B20835" t="s">
        <v>3064</v>
      </c>
    </row>
    <row r="20836" spans="1:8" x14ac:dyDescent="0.25">
      <c r="A20836" t="str">
        <f xml:space="preserve"> $H$20828</f>
        <v>&lt;flags count_in_cargo="0" count_in_hoarder="0" count_in_map="1" count_in_player="0" crafted="0" deloot="0"/&gt;</v>
      </c>
      <c r="B20836" t="s">
        <v>3064</v>
      </c>
    </row>
    <row r="20837" spans="1:8" x14ac:dyDescent="0.25">
      <c r="A20837" t="str">
        <f>"&lt;category name=" &amp;"""" &amp;$C$20828&amp;"""/&gt;"</f>
        <v>&lt;category name="vehiclesparts"/&gt;</v>
      </c>
      <c r="B20837" t="s">
        <v>3064</v>
      </c>
    </row>
    <row r="20838" spans="1:8" x14ac:dyDescent="0.25">
      <c r="A20838" t="s">
        <v>25</v>
      </c>
      <c r="B20838" t="s">
        <v>3064</v>
      </c>
    </row>
    <row r="20839" spans="1:8" x14ac:dyDescent="0.25">
      <c r="A20839" t="s">
        <v>55</v>
      </c>
      <c r="B20839" t="s">
        <v>3064</v>
      </c>
    </row>
    <row r="20840" spans="1:8" x14ac:dyDescent="0.25">
      <c r="A20840" t="s">
        <v>22</v>
      </c>
      <c r="B20840" t="s">
        <v>3064</v>
      </c>
    </row>
    <row r="20841" spans="1:8" x14ac:dyDescent="0.25">
      <c r="A20841" t="s">
        <v>2877</v>
      </c>
      <c r="B20841" t="s">
        <v>3065</v>
      </c>
      <c r="C20841" t="s">
        <v>3033</v>
      </c>
      <c r="D20841">
        <v>2</v>
      </c>
      <c r="E20841">
        <v>2700</v>
      </c>
      <c r="F20841">
        <v>0</v>
      </c>
      <c r="G20841">
        <v>1</v>
      </c>
      <c r="H20841" t="s">
        <v>19</v>
      </c>
    </row>
    <row r="20842" spans="1:8" x14ac:dyDescent="0.25">
      <c r="A20842" t="str">
        <f>"&lt;nominal&gt;" &amp;$D$20841&amp;"&lt;/nominal&gt;"</f>
        <v>&lt;nominal&gt;2&lt;/nominal&gt;</v>
      </c>
      <c r="B20842" t="s">
        <v>3065</v>
      </c>
    </row>
    <row r="20843" spans="1:8" x14ac:dyDescent="0.25">
      <c r="A20843" t="str">
        <f>"&lt;lifetime&gt;" &amp;$E$20841&amp;"&lt;/lifetime&gt;"</f>
        <v>&lt;lifetime&gt;2700&lt;/lifetime&gt;</v>
      </c>
      <c r="B20843" t="s">
        <v>3065</v>
      </c>
    </row>
    <row r="20844" spans="1:8" x14ac:dyDescent="0.25">
      <c r="A20844" t="str">
        <f>"&lt;restock&gt;" &amp;$F$20841&amp;"&lt;/restock&gt;"</f>
        <v>&lt;restock&gt;0&lt;/restock&gt;</v>
      </c>
      <c r="B20844" t="s">
        <v>3065</v>
      </c>
    </row>
    <row r="20845" spans="1:8" x14ac:dyDescent="0.25">
      <c r="A20845" t="str">
        <f>"&lt;min&gt;" &amp;$G$20841&amp;"&lt;/min&gt;"</f>
        <v>&lt;min&gt;1&lt;/min&gt;</v>
      </c>
      <c r="B20845" t="s">
        <v>3065</v>
      </c>
    </row>
    <row r="20846" spans="1:8" x14ac:dyDescent="0.25">
      <c r="A20846" t="s">
        <v>16</v>
      </c>
      <c r="B20846" t="s">
        <v>3065</v>
      </c>
    </row>
    <row r="20847" spans="1:8" x14ac:dyDescent="0.25">
      <c r="A20847" t="s">
        <v>17</v>
      </c>
      <c r="B20847" t="s">
        <v>3065</v>
      </c>
    </row>
    <row r="20848" spans="1:8" x14ac:dyDescent="0.25">
      <c r="A20848" t="s">
        <v>18</v>
      </c>
      <c r="B20848" t="s">
        <v>3065</v>
      </c>
    </row>
    <row r="20849" spans="1:8" x14ac:dyDescent="0.25">
      <c r="A20849" t="str">
        <f xml:space="preserve"> $H$20841</f>
        <v>&lt;flags count_in_cargo="0" count_in_hoarder="0" count_in_map="1" count_in_player="0" crafted="0" deloot="0"/&gt;</v>
      </c>
      <c r="B20849" t="s">
        <v>3065</v>
      </c>
    </row>
    <row r="20850" spans="1:8" x14ac:dyDescent="0.25">
      <c r="A20850" t="str">
        <f>"&lt;category name=" &amp;"""" &amp;$C$20841&amp;"""/&gt;"</f>
        <v>&lt;category name="vehiclesparts"/&gt;</v>
      </c>
      <c r="B20850" t="s">
        <v>3065</v>
      </c>
    </row>
    <row r="20851" spans="1:8" x14ac:dyDescent="0.25">
      <c r="A20851" t="s">
        <v>25</v>
      </c>
      <c r="B20851" t="s">
        <v>3065</v>
      </c>
    </row>
    <row r="20852" spans="1:8" x14ac:dyDescent="0.25">
      <c r="A20852" t="s">
        <v>55</v>
      </c>
      <c r="B20852" t="s">
        <v>3065</v>
      </c>
    </row>
    <row r="20853" spans="1:8" x14ac:dyDescent="0.25">
      <c r="A20853" t="s">
        <v>22</v>
      </c>
      <c r="B20853" t="s">
        <v>3065</v>
      </c>
    </row>
    <row r="20854" spans="1:8" x14ac:dyDescent="0.25">
      <c r="A20854" t="s">
        <v>2878</v>
      </c>
      <c r="B20854" t="s">
        <v>3066</v>
      </c>
      <c r="C20854" t="s">
        <v>3033</v>
      </c>
      <c r="D20854">
        <v>2</v>
      </c>
      <c r="E20854">
        <v>2700</v>
      </c>
      <c r="F20854">
        <v>0</v>
      </c>
      <c r="G20854">
        <v>1</v>
      </c>
      <c r="H20854" t="s">
        <v>19</v>
      </c>
    </row>
    <row r="20855" spans="1:8" x14ac:dyDescent="0.25">
      <c r="A20855" t="str">
        <f>"&lt;nominal&gt;" &amp;$D$20854&amp;"&lt;/nominal&gt;"</f>
        <v>&lt;nominal&gt;2&lt;/nominal&gt;</v>
      </c>
      <c r="B20855" t="s">
        <v>3066</v>
      </c>
    </row>
    <row r="20856" spans="1:8" x14ac:dyDescent="0.25">
      <c r="A20856" t="str">
        <f>"&lt;lifetime&gt;" &amp;$E$20854&amp;"&lt;/lifetime&gt;"</f>
        <v>&lt;lifetime&gt;2700&lt;/lifetime&gt;</v>
      </c>
      <c r="B20856" t="s">
        <v>3066</v>
      </c>
    </row>
    <row r="20857" spans="1:8" x14ac:dyDescent="0.25">
      <c r="A20857" t="str">
        <f>"&lt;restock&gt;" &amp;$F$20854&amp;"&lt;/restock&gt;"</f>
        <v>&lt;restock&gt;0&lt;/restock&gt;</v>
      </c>
      <c r="B20857" t="s">
        <v>3066</v>
      </c>
    </row>
    <row r="20858" spans="1:8" x14ac:dyDescent="0.25">
      <c r="A20858" t="str">
        <f>"&lt;min&gt;" &amp;$G$20854&amp;"&lt;/min&gt;"</f>
        <v>&lt;min&gt;1&lt;/min&gt;</v>
      </c>
      <c r="B20858" t="s">
        <v>3066</v>
      </c>
    </row>
    <row r="20859" spans="1:8" x14ac:dyDescent="0.25">
      <c r="A20859" t="s">
        <v>16</v>
      </c>
      <c r="B20859" t="s">
        <v>3066</v>
      </c>
    </row>
    <row r="20860" spans="1:8" x14ac:dyDescent="0.25">
      <c r="A20860" t="s">
        <v>17</v>
      </c>
      <c r="B20860" t="s">
        <v>3066</v>
      </c>
    </row>
    <row r="20861" spans="1:8" x14ac:dyDescent="0.25">
      <c r="A20861" t="s">
        <v>18</v>
      </c>
      <c r="B20861" t="s">
        <v>3066</v>
      </c>
    </row>
    <row r="20862" spans="1:8" x14ac:dyDescent="0.25">
      <c r="A20862" t="str">
        <f xml:space="preserve"> $H$20854</f>
        <v>&lt;flags count_in_cargo="0" count_in_hoarder="0" count_in_map="1" count_in_player="0" crafted="0" deloot="0"/&gt;</v>
      </c>
      <c r="B20862" t="s">
        <v>3066</v>
      </c>
    </row>
    <row r="20863" spans="1:8" x14ac:dyDescent="0.25">
      <c r="A20863" t="str">
        <f>"&lt;category name=" &amp;"""" &amp;$C$20854&amp;"""/&gt;"</f>
        <v>&lt;category name="vehiclesparts"/&gt;</v>
      </c>
      <c r="B20863" t="s">
        <v>3066</v>
      </c>
    </row>
    <row r="20864" spans="1:8" x14ac:dyDescent="0.25">
      <c r="A20864" t="s">
        <v>25</v>
      </c>
      <c r="B20864" t="s">
        <v>3066</v>
      </c>
    </row>
    <row r="20865" spans="1:8" x14ac:dyDescent="0.25">
      <c r="A20865" t="s">
        <v>55</v>
      </c>
      <c r="B20865" t="s">
        <v>3066</v>
      </c>
    </row>
    <row r="20866" spans="1:8" x14ac:dyDescent="0.25">
      <c r="A20866" t="s">
        <v>22</v>
      </c>
      <c r="B20866" t="s">
        <v>3066</v>
      </c>
    </row>
    <row r="20867" spans="1:8" x14ac:dyDescent="0.25">
      <c r="A20867" t="s">
        <v>2879</v>
      </c>
      <c r="B20867" t="s">
        <v>3067</v>
      </c>
      <c r="C20867" t="s">
        <v>3033</v>
      </c>
      <c r="D20867">
        <v>2</v>
      </c>
      <c r="E20867">
        <v>2700</v>
      </c>
      <c r="F20867">
        <v>0</v>
      </c>
      <c r="G20867">
        <v>1</v>
      </c>
      <c r="H20867" t="s">
        <v>19</v>
      </c>
    </row>
    <row r="20868" spans="1:8" x14ac:dyDescent="0.25">
      <c r="A20868" t="str">
        <f>"&lt;nominal&gt;" &amp;$D$20867&amp;"&lt;/nominal&gt;"</f>
        <v>&lt;nominal&gt;2&lt;/nominal&gt;</v>
      </c>
      <c r="B20868" t="s">
        <v>3067</v>
      </c>
    </row>
    <row r="20869" spans="1:8" x14ac:dyDescent="0.25">
      <c r="A20869" t="str">
        <f>"&lt;lifetime&gt;" &amp;$E$20867&amp;"&lt;/lifetime&gt;"</f>
        <v>&lt;lifetime&gt;2700&lt;/lifetime&gt;</v>
      </c>
      <c r="B20869" t="s">
        <v>3067</v>
      </c>
    </row>
    <row r="20870" spans="1:8" x14ac:dyDescent="0.25">
      <c r="A20870" t="str">
        <f>"&lt;restock&gt;" &amp;$F$20867&amp;"&lt;/restock&gt;"</f>
        <v>&lt;restock&gt;0&lt;/restock&gt;</v>
      </c>
      <c r="B20870" t="s">
        <v>3067</v>
      </c>
    </row>
    <row r="20871" spans="1:8" x14ac:dyDescent="0.25">
      <c r="A20871" t="str">
        <f>"&lt;min&gt;" &amp;$G$20867&amp;"&lt;/min&gt;"</f>
        <v>&lt;min&gt;1&lt;/min&gt;</v>
      </c>
      <c r="B20871" t="s">
        <v>3067</v>
      </c>
    </row>
    <row r="20872" spans="1:8" x14ac:dyDescent="0.25">
      <c r="A20872" t="s">
        <v>16</v>
      </c>
      <c r="B20872" t="s">
        <v>3067</v>
      </c>
    </row>
    <row r="20873" spans="1:8" x14ac:dyDescent="0.25">
      <c r="A20873" t="s">
        <v>17</v>
      </c>
      <c r="B20873" t="s">
        <v>3067</v>
      </c>
    </row>
    <row r="20874" spans="1:8" x14ac:dyDescent="0.25">
      <c r="A20874" t="s">
        <v>18</v>
      </c>
      <c r="B20874" t="s">
        <v>3067</v>
      </c>
    </row>
    <row r="20875" spans="1:8" x14ac:dyDescent="0.25">
      <c r="A20875" t="str">
        <f xml:space="preserve"> $H$20867</f>
        <v>&lt;flags count_in_cargo="0" count_in_hoarder="0" count_in_map="1" count_in_player="0" crafted="0" deloot="0"/&gt;</v>
      </c>
      <c r="B20875" t="s">
        <v>3067</v>
      </c>
    </row>
    <row r="20876" spans="1:8" x14ac:dyDescent="0.25">
      <c r="A20876" t="str">
        <f>"&lt;category name=" &amp;"""" &amp;$C$20867&amp;"""/&gt;"</f>
        <v>&lt;category name="vehiclesparts"/&gt;</v>
      </c>
      <c r="B20876" t="s">
        <v>3067</v>
      </c>
    </row>
    <row r="20877" spans="1:8" x14ac:dyDescent="0.25">
      <c r="A20877" t="s">
        <v>25</v>
      </c>
      <c r="B20877" t="s">
        <v>3067</v>
      </c>
    </row>
    <row r="20878" spans="1:8" x14ac:dyDescent="0.25">
      <c r="A20878" t="s">
        <v>55</v>
      </c>
      <c r="B20878" t="s">
        <v>3067</v>
      </c>
    </row>
    <row r="20879" spans="1:8" x14ac:dyDescent="0.25">
      <c r="A20879" t="s">
        <v>22</v>
      </c>
      <c r="B20879" t="s">
        <v>3067</v>
      </c>
    </row>
    <row r="20880" spans="1:8" x14ac:dyDescent="0.25">
      <c r="A20880" t="s">
        <v>2880</v>
      </c>
      <c r="B20880" t="s">
        <v>3068</v>
      </c>
      <c r="C20880" t="s">
        <v>3033</v>
      </c>
      <c r="D20880">
        <v>2</v>
      </c>
      <c r="E20880">
        <v>2700</v>
      </c>
      <c r="F20880">
        <v>0</v>
      </c>
      <c r="G20880">
        <v>1</v>
      </c>
      <c r="H20880" t="s">
        <v>19</v>
      </c>
    </row>
    <row r="20881" spans="1:8" x14ac:dyDescent="0.25">
      <c r="A20881" t="str">
        <f>"&lt;nominal&gt;" &amp;$D$20880&amp;"&lt;/nominal&gt;"</f>
        <v>&lt;nominal&gt;2&lt;/nominal&gt;</v>
      </c>
      <c r="B20881" t="s">
        <v>3068</v>
      </c>
    </row>
    <row r="20882" spans="1:8" x14ac:dyDescent="0.25">
      <c r="A20882" t="str">
        <f>"&lt;lifetime&gt;" &amp;$E$20880&amp;"&lt;/lifetime&gt;"</f>
        <v>&lt;lifetime&gt;2700&lt;/lifetime&gt;</v>
      </c>
      <c r="B20882" t="s">
        <v>3068</v>
      </c>
    </row>
    <row r="20883" spans="1:8" x14ac:dyDescent="0.25">
      <c r="A20883" t="str">
        <f>"&lt;restock&gt;" &amp;$F$20880&amp;"&lt;/restock&gt;"</f>
        <v>&lt;restock&gt;0&lt;/restock&gt;</v>
      </c>
      <c r="B20883" t="s">
        <v>3068</v>
      </c>
    </row>
    <row r="20884" spans="1:8" x14ac:dyDescent="0.25">
      <c r="A20884" t="str">
        <f>"&lt;min&gt;" &amp;$G$20880&amp;"&lt;/min&gt;"</f>
        <v>&lt;min&gt;1&lt;/min&gt;</v>
      </c>
      <c r="B20884" t="s">
        <v>3068</v>
      </c>
    </row>
    <row r="20885" spans="1:8" x14ac:dyDescent="0.25">
      <c r="A20885" t="s">
        <v>16</v>
      </c>
      <c r="B20885" t="s">
        <v>3068</v>
      </c>
    </row>
    <row r="20886" spans="1:8" x14ac:dyDescent="0.25">
      <c r="A20886" t="s">
        <v>17</v>
      </c>
      <c r="B20886" t="s">
        <v>3068</v>
      </c>
    </row>
    <row r="20887" spans="1:8" x14ac:dyDescent="0.25">
      <c r="A20887" t="s">
        <v>18</v>
      </c>
      <c r="B20887" t="s">
        <v>3068</v>
      </c>
    </row>
    <row r="20888" spans="1:8" x14ac:dyDescent="0.25">
      <c r="A20888" t="str">
        <f xml:space="preserve"> $H$20880</f>
        <v>&lt;flags count_in_cargo="0" count_in_hoarder="0" count_in_map="1" count_in_player="0" crafted="0" deloot="0"/&gt;</v>
      </c>
      <c r="B20888" t="s">
        <v>3068</v>
      </c>
    </row>
    <row r="20889" spans="1:8" x14ac:dyDescent="0.25">
      <c r="A20889" t="str">
        <f>"&lt;category name=" &amp;"""" &amp;$C$20880&amp;"""/&gt;"</f>
        <v>&lt;category name="vehiclesparts"/&gt;</v>
      </c>
      <c r="B20889" t="s">
        <v>3068</v>
      </c>
    </row>
    <row r="20890" spans="1:8" x14ac:dyDescent="0.25">
      <c r="A20890" t="s">
        <v>25</v>
      </c>
      <c r="B20890" t="s">
        <v>3068</v>
      </c>
    </row>
    <row r="20891" spans="1:8" x14ac:dyDescent="0.25">
      <c r="A20891" t="s">
        <v>55</v>
      </c>
      <c r="B20891" t="s">
        <v>3068</v>
      </c>
    </row>
    <row r="20892" spans="1:8" x14ac:dyDescent="0.25">
      <c r="A20892" t="s">
        <v>22</v>
      </c>
      <c r="B20892" t="s">
        <v>3068</v>
      </c>
    </row>
    <row r="20893" spans="1:8" x14ac:dyDescent="0.25">
      <c r="A20893" t="s">
        <v>2881</v>
      </c>
      <c r="B20893" t="s">
        <v>3069</v>
      </c>
      <c r="C20893" t="s">
        <v>3033</v>
      </c>
      <c r="D20893">
        <v>2</v>
      </c>
      <c r="E20893">
        <v>2700</v>
      </c>
      <c r="F20893">
        <v>0</v>
      </c>
      <c r="G20893">
        <v>1</v>
      </c>
      <c r="H20893" t="s">
        <v>19</v>
      </c>
    </row>
    <row r="20894" spans="1:8" x14ac:dyDescent="0.25">
      <c r="A20894" t="str">
        <f>"&lt;nominal&gt;" &amp;$D$20893&amp;"&lt;/nominal&gt;"</f>
        <v>&lt;nominal&gt;2&lt;/nominal&gt;</v>
      </c>
      <c r="B20894" t="s">
        <v>3069</v>
      </c>
    </row>
    <row r="20895" spans="1:8" x14ac:dyDescent="0.25">
      <c r="A20895" t="str">
        <f>"&lt;lifetime&gt;" &amp;$E$20893&amp;"&lt;/lifetime&gt;"</f>
        <v>&lt;lifetime&gt;2700&lt;/lifetime&gt;</v>
      </c>
      <c r="B20895" t="s">
        <v>3069</v>
      </c>
    </row>
    <row r="20896" spans="1:8" x14ac:dyDescent="0.25">
      <c r="A20896" t="str">
        <f>"&lt;restock&gt;" &amp;$F$20893&amp;"&lt;/restock&gt;"</f>
        <v>&lt;restock&gt;0&lt;/restock&gt;</v>
      </c>
      <c r="B20896" t="s">
        <v>3069</v>
      </c>
    </row>
    <row r="20897" spans="1:8" x14ac:dyDescent="0.25">
      <c r="A20897" t="str">
        <f>"&lt;min&gt;" &amp;$G$20893&amp;"&lt;/min&gt;"</f>
        <v>&lt;min&gt;1&lt;/min&gt;</v>
      </c>
      <c r="B20897" t="s">
        <v>3069</v>
      </c>
    </row>
    <row r="20898" spans="1:8" x14ac:dyDescent="0.25">
      <c r="A20898" t="s">
        <v>16</v>
      </c>
      <c r="B20898" t="s">
        <v>3069</v>
      </c>
    </row>
    <row r="20899" spans="1:8" x14ac:dyDescent="0.25">
      <c r="A20899" t="s">
        <v>17</v>
      </c>
      <c r="B20899" t="s">
        <v>3069</v>
      </c>
    </row>
    <row r="20900" spans="1:8" x14ac:dyDescent="0.25">
      <c r="A20900" t="s">
        <v>18</v>
      </c>
      <c r="B20900" t="s">
        <v>3069</v>
      </c>
    </row>
    <row r="20901" spans="1:8" x14ac:dyDescent="0.25">
      <c r="A20901" t="str">
        <f xml:space="preserve"> $H$20893</f>
        <v>&lt;flags count_in_cargo="0" count_in_hoarder="0" count_in_map="1" count_in_player="0" crafted="0" deloot="0"/&gt;</v>
      </c>
      <c r="B20901" t="s">
        <v>3069</v>
      </c>
    </row>
    <row r="20902" spans="1:8" x14ac:dyDescent="0.25">
      <c r="A20902" t="str">
        <f>"&lt;category name=" &amp;"""" &amp;$C$20893&amp;"""/&gt;"</f>
        <v>&lt;category name="vehiclesparts"/&gt;</v>
      </c>
      <c r="B20902" t="s">
        <v>3069</v>
      </c>
    </row>
    <row r="20903" spans="1:8" x14ac:dyDescent="0.25">
      <c r="A20903" t="s">
        <v>25</v>
      </c>
      <c r="B20903" t="s">
        <v>3069</v>
      </c>
    </row>
    <row r="20904" spans="1:8" x14ac:dyDescent="0.25">
      <c r="A20904" t="s">
        <v>55</v>
      </c>
      <c r="B20904" t="s">
        <v>3069</v>
      </c>
    </row>
    <row r="20905" spans="1:8" x14ac:dyDescent="0.25">
      <c r="A20905" t="s">
        <v>22</v>
      </c>
      <c r="B20905" t="s">
        <v>3069</v>
      </c>
    </row>
    <row r="20906" spans="1:8" x14ac:dyDescent="0.25">
      <c r="A20906" t="s">
        <v>2882</v>
      </c>
      <c r="B20906" t="s">
        <v>3070</v>
      </c>
      <c r="C20906" t="s">
        <v>3033</v>
      </c>
      <c r="D20906">
        <v>2</v>
      </c>
      <c r="E20906">
        <v>2700</v>
      </c>
      <c r="F20906">
        <v>0</v>
      </c>
      <c r="G20906">
        <v>1</v>
      </c>
      <c r="H20906" t="s">
        <v>19</v>
      </c>
    </row>
    <row r="20907" spans="1:8" x14ac:dyDescent="0.25">
      <c r="A20907" t="str">
        <f>"&lt;nominal&gt;" &amp;$D$20906&amp;"&lt;/nominal&gt;"</f>
        <v>&lt;nominal&gt;2&lt;/nominal&gt;</v>
      </c>
      <c r="B20907" t="s">
        <v>3070</v>
      </c>
    </row>
    <row r="20908" spans="1:8" x14ac:dyDescent="0.25">
      <c r="A20908" t="str">
        <f>"&lt;lifetime&gt;" &amp;$E$20906&amp;"&lt;/lifetime&gt;"</f>
        <v>&lt;lifetime&gt;2700&lt;/lifetime&gt;</v>
      </c>
      <c r="B20908" t="s">
        <v>3070</v>
      </c>
    </row>
    <row r="20909" spans="1:8" x14ac:dyDescent="0.25">
      <c r="A20909" t="str">
        <f>"&lt;restock&gt;" &amp;$F$20906&amp;"&lt;/restock&gt;"</f>
        <v>&lt;restock&gt;0&lt;/restock&gt;</v>
      </c>
      <c r="B20909" t="s">
        <v>3070</v>
      </c>
    </row>
    <row r="20910" spans="1:8" x14ac:dyDescent="0.25">
      <c r="A20910" t="str">
        <f>"&lt;min&gt;" &amp;$G$20906&amp;"&lt;/min&gt;"</f>
        <v>&lt;min&gt;1&lt;/min&gt;</v>
      </c>
      <c r="B20910" t="s">
        <v>3070</v>
      </c>
    </row>
    <row r="20911" spans="1:8" x14ac:dyDescent="0.25">
      <c r="A20911" t="s">
        <v>16</v>
      </c>
      <c r="B20911" t="s">
        <v>3070</v>
      </c>
    </row>
    <row r="20912" spans="1:8" x14ac:dyDescent="0.25">
      <c r="A20912" t="s">
        <v>17</v>
      </c>
      <c r="B20912" t="s">
        <v>3070</v>
      </c>
    </row>
    <row r="20913" spans="1:8" x14ac:dyDescent="0.25">
      <c r="A20913" t="s">
        <v>18</v>
      </c>
      <c r="B20913" t="s">
        <v>3070</v>
      </c>
    </row>
    <row r="20914" spans="1:8" x14ac:dyDescent="0.25">
      <c r="A20914" t="str">
        <f xml:space="preserve"> $H$20906</f>
        <v>&lt;flags count_in_cargo="0" count_in_hoarder="0" count_in_map="1" count_in_player="0" crafted="0" deloot="0"/&gt;</v>
      </c>
      <c r="B20914" t="s">
        <v>3070</v>
      </c>
    </row>
    <row r="20915" spans="1:8" x14ac:dyDescent="0.25">
      <c r="A20915" t="str">
        <f>"&lt;category name=" &amp;"""" &amp;$C$20906&amp;"""/&gt;"</f>
        <v>&lt;category name="vehiclesparts"/&gt;</v>
      </c>
      <c r="B20915" t="s">
        <v>3070</v>
      </c>
    </row>
    <row r="20916" spans="1:8" x14ac:dyDescent="0.25">
      <c r="A20916" t="s">
        <v>25</v>
      </c>
      <c r="B20916" t="s">
        <v>3070</v>
      </c>
    </row>
    <row r="20917" spans="1:8" x14ac:dyDescent="0.25">
      <c r="A20917" t="s">
        <v>55</v>
      </c>
      <c r="B20917" t="s">
        <v>3070</v>
      </c>
    </row>
    <row r="20918" spans="1:8" x14ac:dyDescent="0.25">
      <c r="A20918" t="s">
        <v>22</v>
      </c>
      <c r="B20918" t="s">
        <v>3070</v>
      </c>
    </row>
    <row r="20919" spans="1:8" x14ac:dyDescent="0.25">
      <c r="A20919" t="s">
        <v>2883</v>
      </c>
      <c r="B20919" t="s">
        <v>3071</v>
      </c>
      <c r="C20919" t="s">
        <v>3033</v>
      </c>
      <c r="D20919">
        <v>2</v>
      </c>
      <c r="E20919">
        <v>2700</v>
      </c>
      <c r="F20919">
        <v>0</v>
      </c>
      <c r="G20919">
        <v>1</v>
      </c>
      <c r="H20919" t="s">
        <v>19</v>
      </c>
    </row>
    <row r="20920" spans="1:8" x14ac:dyDescent="0.25">
      <c r="A20920" t="str">
        <f>"&lt;nominal&gt;" &amp;$D$20919&amp;"&lt;/nominal&gt;"</f>
        <v>&lt;nominal&gt;2&lt;/nominal&gt;</v>
      </c>
      <c r="B20920" t="s">
        <v>3071</v>
      </c>
    </row>
    <row r="20921" spans="1:8" x14ac:dyDescent="0.25">
      <c r="A20921" t="str">
        <f>"&lt;lifetime&gt;" &amp;$E$20919&amp;"&lt;/lifetime&gt;"</f>
        <v>&lt;lifetime&gt;2700&lt;/lifetime&gt;</v>
      </c>
      <c r="B20921" t="s">
        <v>3071</v>
      </c>
    </row>
    <row r="20922" spans="1:8" x14ac:dyDescent="0.25">
      <c r="A20922" t="str">
        <f>"&lt;restock&gt;" &amp;$F$20919&amp;"&lt;/restock&gt;"</f>
        <v>&lt;restock&gt;0&lt;/restock&gt;</v>
      </c>
      <c r="B20922" t="s">
        <v>3071</v>
      </c>
    </row>
    <row r="20923" spans="1:8" x14ac:dyDescent="0.25">
      <c r="A20923" t="str">
        <f>"&lt;min&gt;" &amp;$G$20919&amp;"&lt;/min&gt;"</f>
        <v>&lt;min&gt;1&lt;/min&gt;</v>
      </c>
      <c r="B20923" t="s">
        <v>3071</v>
      </c>
    </row>
    <row r="20924" spans="1:8" x14ac:dyDescent="0.25">
      <c r="A20924" t="s">
        <v>16</v>
      </c>
      <c r="B20924" t="s">
        <v>3071</v>
      </c>
    </row>
    <row r="20925" spans="1:8" x14ac:dyDescent="0.25">
      <c r="A20925" t="s">
        <v>17</v>
      </c>
      <c r="B20925" t="s">
        <v>3071</v>
      </c>
    </row>
    <row r="20926" spans="1:8" x14ac:dyDescent="0.25">
      <c r="A20926" t="s">
        <v>18</v>
      </c>
      <c r="B20926" t="s">
        <v>3071</v>
      </c>
    </row>
    <row r="20927" spans="1:8" x14ac:dyDescent="0.25">
      <c r="A20927" t="str">
        <f xml:space="preserve"> $H$20919</f>
        <v>&lt;flags count_in_cargo="0" count_in_hoarder="0" count_in_map="1" count_in_player="0" crafted="0" deloot="0"/&gt;</v>
      </c>
      <c r="B20927" t="s">
        <v>3071</v>
      </c>
    </row>
    <row r="20928" spans="1:8" x14ac:dyDescent="0.25">
      <c r="A20928" t="str">
        <f>"&lt;category name=" &amp;"""" &amp;$C$20919&amp;"""/&gt;"</f>
        <v>&lt;category name="vehiclesparts"/&gt;</v>
      </c>
      <c r="B20928" t="s">
        <v>3071</v>
      </c>
    </row>
    <row r="20929" spans="1:8" x14ac:dyDescent="0.25">
      <c r="A20929" t="s">
        <v>25</v>
      </c>
      <c r="B20929" t="s">
        <v>3071</v>
      </c>
    </row>
    <row r="20930" spans="1:8" x14ac:dyDescent="0.25">
      <c r="A20930" t="s">
        <v>55</v>
      </c>
      <c r="B20930" t="s">
        <v>3071</v>
      </c>
    </row>
    <row r="20931" spans="1:8" x14ac:dyDescent="0.25">
      <c r="A20931" t="s">
        <v>22</v>
      </c>
      <c r="B20931" t="s">
        <v>3071</v>
      </c>
    </row>
    <row r="20932" spans="1:8" x14ac:dyDescent="0.25">
      <c r="A20932" t="s">
        <v>2884</v>
      </c>
      <c r="B20932" t="s">
        <v>3072</v>
      </c>
      <c r="C20932" t="s">
        <v>3033</v>
      </c>
      <c r="D20932">
        <v>2</v>
      </c>
      <c r="E20932">
        <v>2700</v>
      </c>
      <c r="F20932">
        <v>0</v>
      </c>
      <c r="G20932">
        <v>1</v>
      </c>
      <c r="H20932" t="s">
        <v>19</v>
      </c>
    </row>
    <row r="20933" spans="1:8" x14ac:dyDescent="0.25">
      <c r="A20933" t="str">
        <f>"&lt;nominal&gt;" &amp;$D$20932&amp;"&lt;/nominal&gt;"</f>
        <v>&lt;nominal&gt;2&lt;/nominal&gt;</v>
      </c>
      <c r="B20933" t="s">
        <v>3072</v>
      </c>
    </row>
    <row r="20934" spans="1:8" x14ac:dyDescent="0.25">
      <c r="A20934" t="str">
        <f>"&lt;lifetime&gt;" &amp;$E$20932&amp;"&lt;/lifetime&gt;"</f>
        <v>&lt;lifetime&gt;2700&lt;/lifetime&gt;</v>
      </c>
      <c r="B20934" t="s">
        <v>3072</v>
      </c>
    </row>
    <row r="20935" spans="1:8" x14ac:dyDescent="0.25">
      <c r="A20935" t="str">
        <f>"&lt;restock&gt;" &amp;$F$20932&amp;"&lt;/restock&gt;"</f>
        <v>&lt;restock&gt;0&lt;/restock&gt;</v>
      </c>
      <c r="B20935" t="s">
        <v>3072</v>
      </c>
    </row>
    <row r="20936" spans="1:8" x14ac:dyDescent="0.25">
      <c r="A20936" t="str">
        <f>"&lt;min&gt;" &amp;$G$20932&amp;"&lt;/min&gt;"</f>
        <v>&lt;min&gt;1&lt;/min&gt;</v>
      </c>
      <c r="B20936" t="s">
        <v>3072</v>
      </c>
    </row>
    <row r="20937" spans="1:8" x14ac:dyDescent="0.25">
      <c r="A20937" t="s">
        <v>16</v>
      </c>
      <c r="B20937" t="s">
        <v>3072</v>
      </c>
    </row>
    <row r="20938" spans="1:8" x14ac:dyDescent="0.25">
      <c r="A20938" t="s">
        <v>17</v>
      </c>
      <c r="B20938" t="s">
        <v>3072</v>
      </c>
    </row>
    <row r="20939" spans="1:8" x14ac:dyDescent="0.25">
      <c r="A20939" t="s">
        <v>18</v>
      </c>
      <c r="B20939" t="s">
        <v>3072</v>
      </c>
    </row>
    <row r="20940" spans="1:8" x14ac:dyDescent="0.25">
      <c r="A20940" t="str">
        <f xml:space="preserve"> $H$20932</f>
        <v>&lt;flags count_in_cargo="0" count_in_hoarder="0" count_in_map="1" count_in_player="0" crafted="0" deloot="0"/&gt;</v>
      </c>
      <c r="B20940" t="s">
        <v>3072</v>
      </c>
    </row>
    <row r="20941" spans="1:8" x14ac:dyDescent="0.25">
      <c r="A20941" t="str">
        <f>"&lt;category name=" &amp;"""" &amp;$C$20932&amp;"""/&gt;"</f>
        <v>&lt;category name="vehiclesparts"/&gt;</v>
      </c>
      <c r="B20941" t="s">
        <v>3072</v>
      </c>
    </row>
    <row r="20942" spans="1:8" x14ac:dyDescent="0.25">
      <c r="A20942" t="s">
        <v>25</v>
      </c>
      <c r="B20942" t="s">
        <v>3072</v>
      </c>
    </row>
    <row r="20943" spans="1:8" x14ac:dyDescent="0.25">
      <c r="A20943" t="s">
        <v>55</v>
      </c>
      <c r="B20943" t="s">
        <v>3072</v>
      </c>
    </row>
    <row r="20944" spans="1:8" x14ac:dyDescent="0.25">
      <c r="A20944" t="s">
        <v>22</v>
      </c>
      <c r="B20944" t="s">
        <v>3072</v>
      </c>
    </row>
    <row r="20945" spans="1:8" x14ac:dyDescent="0.25">
      <c r="A20945" t="s">
        <v>2885</v>
      </c>
      <c r="B20945" t="s">
        <v>3073</v>
      </c>
      <c r="C20945" t="s">
        <v>3033</v>
      </c>
      <c r="D20945">
        <v>2</v>
      </c>
      <c r="E20945">
        <v>2700</v>
      </c>
      <c r="F20945">
        <v>0</v>
      </c>
      <c r="G20945">
        <v>1</v>
      </c>
      <c r="H20945" t="s">
        <v>19</v>
      </c>
    </row>
    <row r="20946" spans="1:8" x14ac:dyDescent="0.25">
      <c r="A20946" t="str">
        <f>"&lt;nominal&gt;" &amp;$D$20945&amp;"&lt;/nominal&gt;"</f>
        <v>&lt;nominal&gt;2&lt;/nominal&gt;</v>
      </c>
      <c r="B20946" t="s">
        <v>3073</v>
      </c>
    </row>
    <row r="20947" spans="1:8" x14ac:dyDescent="0.25">
      <c r="A20947" t="str">
        <f>"&lt;lifetime&gt;" &amp;$E$20945&amp;"&lt;/lifetime&gt;"</f>
        <v>&lt;lifetime&gt;2700&lt;/lifetime&gt;</v>
      </c>
      <c r="B20947" t="s">
        <v>3073</v>
      </c>
    </row>
    <row r="20948" spans="1:8" x14ac:dyDescent="0.25">
      <c r="A20948" t="str">
        <f>"&lt;restock&gt;" &amp;$F$20945&amp;"&lt;/restock&gt;"</f>
        <v>&lt;restock&gt;0&lt;/restock&gt;</v>
      </c>
      <c r="B20948" t="s">
        <v>3073</v>
      </c>
    </row>
    <row r="20949" spans="1:8" x14ac:dyDescent="0.25">
      <c r="A20949" t="str">
        <f>"&lt;min&gt;" &amp;$G$20945&amp;"&lt;/min&gt;"</f>
        <v>&lt;min&gt;1&lt;/min&gt;</v>
      </c>
      <c r="B20949" t="s">
        <v>3073</v>
      </c>
    </row>
    <row r="20950" spans="1:8" x14ac:dyDescent="0.25">
      <c r="A20950" t="s">
        <v>16</v>
      </c>
      <c r="B20950" t="s">
        <v>3073</v>
      </c>
    </row>
    <row r="20951" spans="1:8" x14ac:dyDescent="0.25">
      <c r="A20951" t="s">
        <v>17</v>
      </c>
      <c r="B20951" t="s">
        <v>3073</v>
      </c>
    </row>
    <row r="20952" spans="1:8" x14ac:dyDescent="0.25">
      <c r="A20952" t="s">
        <v>18</v>
      </c>
      <c r="B20952" t="s">
        <v>3073</v>
      </c>
    </row>
    <row r="20953" spans="1:8" x14ac:dyDescent="0.25">
      <c r="A20953" t="str">
        <f xml:space="preserve"> $H$20945</f>
        <v>&lt;flags count_in_cargo="0" count_in_hoarder="0" count_in_map="1" count_in_player="0" crafted="0" deloot="0"/&gt;</v>
      </c>
      <c r="B20953" t="s">
        <v>3073</v>
      </c>
    </row>
    <row r="20954" spans="1:8" x14ac:dyDescent="0.25">
      <c r="A20954" t="str">
        <f>"&lt;category name=" &amp;"""" &amp;$C$20945&amp;"""/&gt;"</f>
        <v>&lt;category name="vehiclesparts"/&gt;</v>
      </c>
      <c r="B20954" t="s">
        <v>3073</v>
      </c>
    </row>
    <row r="20955" spans="1:8" x14ac:dyDescent="0.25">
      <c r="A20955" t="s">
        <v>25</v>
      </c>
      <c r="B20955" t="s">
        <v>3073</v>
      </c>
    </row>
    <row r="20956" spans="1:8" x14ac:dyDescent="0.25">
      <c r="A20956" t="s">
        <v>55</v>
      </c>
      <c r="B20956" t="s">
        <v>3073</v>
      </c>
    </row>
    <row r="20957" spans="1:8" x14ac:dyDescent="0.25">
      <c r="A20957" t="s">
        <v>22</v>
      </c>
      <c r="B20957" t="s">
        <v>3073</v>
      </c>
    </row>
    <row r="20958" spans="1:8" x14ac:dyDescent="0.25">
      <c r="A20958" t="s">
        <v>2886</v>
      </c>
      <c r="B20958" t="s">
        <v>3074</v>
      </c>
      <c r="C20958" t="s">
        <v>3033</v>
      </c>
      <c r="D20958">
        <v>2</v>
      </c>
      <c r="E20958">
        <v>2700</v>
      </c>
      <c r="F20958">
        <v>0</v>
      </c>
      <c r="G20958">
        <v>1</v>
      </c>
      <c r="H20958" t="s">
        <v>19</v>
      </c>
    </row>
    <row r="20959" spans="1:8" x14ac:dyDescent="0.25">
      <c r="A20959" t="str">
        <f>"&lt;nominal&gt;" &amp;$D$20958&amp;"&lt;/nominal&gt;"</f>
        <v>&lt;nominal&gt;2&lt;/nominal&gt;</v>
      </c>
      <c r="B20959" t="s">
        <v>3074</v>
      </c>
    </row>
    <row r="20960" spans="1:8" x14ac:dyDescent="0.25">
      <c r="A20960" t="str">
        <f>"&lt;lifetime&gt;" &amp;$E$20958&amp;"&lt;/lifetime&gt;"</f>
        <v>&lt;lifetime&gt;2700&lt;/lifetime&gt;</v>
      </c>
      <c r="B20960" t="s">
        <v>3074</v>
      </c>
    </row>
    <row r="20961" spans="1:8" x14ac:dyDescent="0.25">
      <c r="A20961" t="str">
        <f>"&lt;restock&gt;" &amp;$F$20958&amp;"&lt;/restock&gt;"</f>
        <v>&lt;restock&gt;0&lt;/restock&gt;</v>
      </c>
      <c r="B20961" t="s">
        <v>3074</v>
      </c>
    </row>
    <row r="20962" spans="1:8" x14ac:dyDescent="0.25">
      <c r="A20962" t="str">
        <f>"&lt;min&gt;" &amp;$G$20958&amp;"&lt;/min&gt;"</f>
        <v>&lt;min&gt;1&lt;/min&gt;</v>
      </c>
      <c r="B20962" t="s">
        <v>3074</v>
      </c>
    </row>
    <row r="20963" spans="1:8" x14ac:dyDescent="0.25">
      <c r="A20963" t="s">
        <v>16</v>
      </c>
      <c r="B20963" t="s">
        <v>3074</v>
      </c>
    </row>
    <row r="20964" spans="1:8" x14ac:dyDescent="0.25">
      <c r="A20964" t="s">
        <v>17</v>
      </c>
      <c r="B20964" t="s">
        <v>3074</v>
      </c>
    </row>
    <row r="20965" spans="1:8" x14ac:dyDescent="0.25">
      <c r="A20965" t="s">
        <v>18</v>
      </c>
      <c r="B20965" t="s">
        <v>3074</v>
      </c>
    </row>
    <row r="20966" spans="1:8" x14ac:dyDescent="0.25">
      <c r="A20966" t="str">
        <f xml:space="preserve"> $H$20958</f>
        <v>&lt;flags count_in_cargo="0" count_in_hoarder="0" count_in_map="1" count_in_player="0" crafted="0" deloot="0"/&gt;</v>
      </c>
      <c r="B20966" t="s">
        <v>3074</v>
      </c>
    </row>
    <row r="20967" spans="1:8" x14ac:dyDescent="0.25">
      <c r="A20967" t="str">
        <f>"&lt;category name=" &amp;"""" &amp;$C$20958&amp;"""/&gt;"</f>
        <v>&lt;category name="vehiclesparts"/&gt;</v>
      </c>
      <c r="B20967" t="s">
        <v>3074</v>
      </c>
    </row>
    <row r="20968" spans="1:8" x14ac:dyDescent="0.25">
      <c r="A20968" t="s">
        <v>25</v>
      </c>
      <c r="B20968" t="s">
        <v>3074</v>
      </c>
    </row>
    <row r="20969" spans="1:8" x14ac:dyDescent="0.25">
      <c r="A20969" t="s">
        <v>55</v>
      </c>
      <c r="B20969" t="s">
        <v>3074</v>
      </c>
    </row>
    <row r="20970" spans="1:8" x14ac:dyDescent="0.25">
      <c r="A20970" t="s">
        <v>22</v>
      </c>
      <c r="B20970" t="s">
        <v>3074</v>
      </c>
    </row>
    <row r="20971" spans="1:8" x14ac:dyDescent="0.25">
      <c r="A20971" t="s">
        <v>2887</v>
      </c>
      <c r="B20971" t="s">
        <v>3075</v>
      </c>
      <c r="C20971" t="s">
        <v>3033</v>
      </c>
      <c r="D20971">
        <v>2</v>
      </c>
      <c r="E20971">
        <v>2700</v>
      </c>
      <c r="F20971">
        <v>0</v>
      </c>
      <c r="G20971">
        <v>1</v>
      </c>
      <c r="H20971" t="s">
        <v>19</v>
      </c>
    </row>
    <row r="20972" spans="1:8" x14ac:dyDescent="0.25">
      <c r="A20972" t="str">
        <f>"&lt;nominal&gt;" &amp;$D$20971&amp;"&lt;/nominal&gt;"</f>
        <v>&lt;nominal&gt;2&lt;/nominal&gt;</v>
      </c>
      <c r="B20972" t="s">
        <v>3075</v>
      </c>
    </row>
    <row r="20973" spans="1:8" x14ac:dyDescent="0.25">
      <c r="A20973" t="str">
        <f>"&lt;lifetime&gt;" &amp;$E$20971&amp;"&lt;/lifetime&gt;"</f>
        <v>&lt;lifetime&gt;2700&lt;/lifetime&gt;</v>
      </c>
      <c r="B20973" t="s">
        <v>3075</v>
      </c>
    </row>
    <row r="20974" spans="1:8" x14ac:dyDescent="0.25">
      <c r="A20974" t="str">
        <f>"&lt;restock&gt;" &amp;$F$20971&amp;"&lt;/restock&gt;"</f>
        <v>&lt;restock&gt;0&lt;/restock&gt;</v>
      </c>
      <c r="B20974" t="s">
        <v>3075</v>
      </c>
    </row>
    <row r="20975" spans="1:8" x14ac:dyDescent="0.25">
      <c r="A20975" t="str">
        <f>"&lt;min&gt;" &amp;$G$20971&amp;"&lt;/min&gt;"</f>
        <v>&lt;min&gt;1&lt;/min&gt;</v>
      </c>
      <c r="B20975" t="s">
        <v>3075</v>
      </c>
    </row>
    <row r="20976" spans="1:8" x14ac:dyDescent="0.25">
      <c r="A20976" t="s">
        <v>16</v>
      </c>
      <c r="B20976" t="s">
        <v>3075</v>
      </c>
    </row>
    <row r="20977" spans="1:8" x14ac:dyDescent="0.25">
      <c r="A20977" t="s">
        <v>17</v>
      </c>
      <c r="B20977" t="s">
        <v>3075</v>
      </c>
    </row>
    <row r="20978" spans="1:8" x14ac:dyDescent="0.25">
      <c r="A20978" t="s">
        <v>18</v>
      </c>
      <c r="B20978" t="s">
        <v>3075</v>
      </c>
    </row>
    <row r="20979" spans="1:8" x14ac:dyDescent="0.25">
      <c r="A20979" t="str">
        <f xml:space="preserve"> $H$20971</f>
        <v>&lt;flags count_in_cargo="0" count_in_hoarder="0" count_in_map="1" count_in_player="0" crafted="0" deloot="0"/&gt;</v>
      </c>
      <c r="B20979" t="s">
        <v>3075</v>
      </c>
    </row>
    <row r="20980" spans="1:8" x14ac:dyDescent="0.25">
      <c r="A20980" t="str">
        <f>"&lt;category name=" &amp;"""" &amp;$C$20971&amp;"""/&gt;"</f>
        <v>&lt;category name="vehiclesparts"/&gt;</v>
      </c>
      <c r="B20980" t="s">
        <v>3075</v>
      </c>
    </row>
    <row r="20981" spans="1:8" x14ac:dyDescent="0.25">
      <c r="A20981" t="s">
        <v>25</v>
      </c>
      <c r="B20981" t="s">
        <v>3075</v>
      </c>
    </row>
    <row r="20982" spans="1:8" x14ac:dyDescent="0.25">
      <c r="A20982" t="s">
        <v>55</v>
      </c>
      <c r="B20982" t="s">
        <v>3075</v>
      </c>
    </row>
    <row r="20983" spans="1:8" x14ac:dyDescent="0.25">
      <c r="A20983" t="s">
        <v>22</v>
      </c>
      <c r="B20983" t="s">
        <v>3075</v>
      </c>
    </row>
    <row r="20984" spans="1:8" x14ac:dyDescent="0.25">
      <c r="A20984" t="s">
        <v>2888</v>
      </c>
      <c r="B20984" t="s">
        <v>3076</v>
      </c>
      <c r="C20984" t="s">
        <v>3033</v>
      </c>
      <c r="D20984">
        <v>2</v>
      </c>
      <c r="E20984">
        <v>2700</v>
      </c>
      <c r="F20984">
        <v>0</v>
      </c>
      <c r="G20984">
        <v>1</v>
      </c>
      <c r="H20984" t="s">
        <v>19</v>
      </c>
    </row>
    <row r="20985" spans="1:8" x14ac:dyDescent="0.25">
      <c r="A20985" t="str">
        <f>"&lt;nominal&gt;" &amp;$D$20984&amp;"&lt;/nominal&gt;"</f>
        <v>&lt;nominal&gt;2&lt;/nominal&gt;</v>
      </c>
      <c r="B20985" t="s">
        <v>3076</v>
      </c>
    </row>
    <row r="20986" spans="1:8" x14ac:dyDescent="0.25">
      <c r="A20986" t="str">
        <f>"&lt;lifetime&gt;" &amp;$E$20984&amp;"&lt;/lifetime&gt;"</f>
        <v>&lt;lifetime&gt;2700&lt;/lifetime&gt;</v>
      </c>
      <c r="B20986" t="s">
        <v>3076</v>
      </c>
    </row>
    <row r="20987" spans="1:8" x14ac:dyDescent="0.25">
      <c r="A20987" t="str">
        <f>"&lt;restock&gt;" &amp;$F$20984&amp;"&lt;/restock&gt;"</f>
        <v>&lt;restock&gt;0&lt;/restock&gt;</v>
      </c>
      <c r="B20987" t="s">
        <v>3076</v>
      </c>
    </row>
    <row r="20988" spans="1:8" x14ac:dyDescent="0.25">
      <c r="A20988" t="str">
        <f>"&lt;min&gt;" &amp;$G$20984&amp;"&lt;/min&gt;"</f>
        <v>&lt;min&gt;1&lt;/min&gt;</v>
      </c>
      <c r="B20988" t="s">
        <v>3076</v>
      </c>
    </row>
    <row r="20989" spans="1:8" x14ac:dyDescent="0.25">
      <c r="A20989" t="s">
        <v>16</v>
      </c>
      <c r="B20989" t="s">
        <v>3076</v>
      </c>
    </row>
    <row r="20990" spans="1:8" x14ac:dyDescent="0.25">
      <c r="A20990" t="s">
        <v>17</v>
      </c>
      <c r="B20990" t="s">
        <v>3076</v>
      </c>
    </row>
    <row r="20991" spans="1:8" x14ac:dyDescent="0.25">
      <c r="A20991" t="s">
        <v>18</v>
      </c>
      <c r="B20991" t="s">
        <v>3076</v>
      </c>
    </row>
    <row r="20992" spans="1:8" x14ac:dyDescent="0.25">
      <c r="A20992" t="str">
        <f xml:space="preserve"> $H$20984</f>
        <v>&lt;flags count_in_cargo="0" count_in_hoarder="0" count_in_map="1" count_in_player="0" crafted="0" deloot="0"/&gt;</v>
      </c>
      <c r="B20992" t="s">
        <v>3076</v>
      </c>
    </row>
    <row r="20993" spans="1:8" x14ac:dyDescent="0.25">
      <c r="A20993" t="str">
        <f>"&lt;category name=" &amp;"""" &amp;$C$20984&amp;"""/&gt;"</f>
        <v>&lt;category name="vehiclesparts"/&gt;</v>
      </c>
      <c r="B20993" t="s">
        <v>3076</v>
      </c>
    </row>
    <row r="20994" spans="1:8" x14ac:dyDescent="0.25">
      <c r="A20994" t="s">
        <v>25</v>
      </c>
      <c r="B20994" t="s">
        <v>3076</v>
      </c>
    </row>
    <row r="20995" spans="1:8" x14ac:dyDescent="0.25">
      <c r="A20995" t="s">
        <v>55</v>
      </c>
      <c r="B20995" t="s">
        <v>3076</v>
      </c>
    </row>
    <row r="20996" spans="1:8" x14ac:dyDescent="0.25">
      <c r="A20996" t="s">
        <v>22</v>
      </c>
      <c r="B20996" t="s">
        <v>3076</v>
      </c>
    </row>
    <row r="20997" spans="1:8" x14ac:dyDescent="0.25">
      <c r="A20997" t="s">
        <v>2889</v>
      </c>
      <c r="B20997" t="s">
        <v>3077</v>
      </c>
      <c r="C20997" t="s">
        <v>3033</v>
      </c>
      <c r="D20997">
        <v>2</v>
      </c>
      <c r="E20997">
        <v>2700</v>
      </c>
      <c r="F20997">
        <v>0</v>
      </c>
      <c r="G20997">
        <v>1</v>
      </c>
      <c r="H20997" t="s">
        <v>19</v>
      </c>
    </row>
    <row r="20998" spans="1:8" x14ac:dyDescent="0.25">
      <c r="A20998" t="str">
        <f>"&lt;nominal&gt;" &amp;$D$20997&amp;"&lt;/nominal&gt;"</f>
        <v>&lt;nominal&gt;2&lt;/nominal&gt;</v>
      </c>
      <c r="B20998" t="s">
        <v>3077</v>
      </c>
    </row>
    <row r="20999" spans="1:8" x14ac:dyDescent="0.25">
      <c r="A20999" t="str">
        <f>"&lt;lifetime&gt;" &amp;$E$20997&amp;"&lt;/lifetime&gt;"</f>
        <v>&lt;lifetime&gt;2700&lt;/lifetime&gt;</v>
      </c>
      <c r="B20999" t="s">
        <v>3077</v>
      </c>
    </row>
    <row r="21000" spans="1:8" x14ac:dyDescent="0.25">
      <c r="A21000" t="str">
        <f>"&lt;restock&gt;" &amp;$F$20997&amp;"&lt;/restock&gt;"</f>
        <v>&lt;restock&gt;0&lt;/restock&gt;</v>
      </c>
      <c r="B21000" t="s">
        <v>3077</v>
      </c>
    </row>
    <row r="21001" spans="1:8" x14ac:dyDescent="0.25">
      <c r="A21001" t="str">
        <f>"&lt;min&gt;" &amp;$G$20997&amp;"&lt;/min&gt;"</f>
        <v>&lt;min&gt;1&lt;/min&gt;</v>
      </c>
      <c r="B21001" t="s">
        <v>3077</v>
      </c>
    </row>
    <row r="21002" spans="1:8" x14ac:dyDescent="0.25">
      <c r="A21002" t="s">
        <v>16</v>
      </c>
      <c r="B21002" t="s">
        <v>3077</v>
      </c>
    </row>
    <row r="21003" spans="1:8" x14ac:dyDescent="0.25">
      <c r="A21003" t="s">
        <v>17</v>
      </c>
      <c r="B21003" t="s">
        <v>3077</v>
      </c>
    </row>
    <row r="21004" spans="1:8" x14ac:dyDescent="0.25">
      <c r="A21004" t="s">
        <v>18</v>
      </c>
      <c r="B21004" t="s">
        <v>3077</v>
      </c>
    </row>
    <row r="21005" spans="1:8" x14ac:dyDescent="0.25">
      <c r="A21005" t="str">
        <f xml:space="preserve"> $H$20997</f>
        <v>&lt;flags count_in_cargo="0" count_in_hoarder="0" count_in_map="1" count_in_player="0" crafted="0" deloot="0"/&gt;</v>
      </c>
      <c r="B21005" t="s">
        <v>3077</v>
      </c>
    </row>
    <row r="21006" spans="1:8" x14ac:dyDescent="0.25">
      <c r="A21006" t="str">
        <f>"&lt;category name=" &amp;"""" &amp;$C$20997&amp;"""/&gt;"</f>
        <v>&lt;category name="vehiclesparts"/&gt;</v>
      </c>
      <c r="B21006" t="s">
        <v>3077</v>
      </c>
    </row>
    <row r="21007" spans="1:8" x14ac:dyDescent="0.25">
      <c r="A21007" t="s">
        <v>25</v>
      </c>
      <c r="B21007" t="s">
        <v>3077</v>
      </c>
    </row>
    <row r="21008" spans="1:8" x14ac:dyDescent="0.25">
      <c r="A21008" t="s">
        <v>55</v>
      </c>
      <c r="B21008" t="s">
        <v>3077</v>
      </c>
    </row>
    <row r="21009" spans="1:8" x14ac:dyDescent="0.25">
      <c r="A21009" t="s">
        <v>22</v>
      </c>
      <c r="B21009" t="s">
        <v>3077</v>
      </c>
    </row>
    <row r="21010" spans="1:8" x14ac:dyDescent="0.25">
      <c r="A21010" t="s">
        <v>2890</v>
      </c>
      <c r="B21010" t="s">
        <v>3078</v>
      </c>
      <c r="C21010" t="s">
        <v>3033</v>
      </c>
      <c r="D21010">
        <v>2</v>
      </c>
      <c r="E21010">
        <v>2700</v>
      </c>
      <c r="F21010">
        <v>0</v>
      </c>
      <c r="G21010">
        <v>1</v>
      </c>
      <c r="H21010" t="s">
        <v>19</v>
      </c>
    </row>
    <row r="21011" spans="1:8" x14ac:dyDescent="0.25">
      <c r="A21011" t="str">
        <f>"&lt;nominal&gt;" &amp;$D$21010&amp;"&lt;/nominal&gt;"</f>
        <v>&lt;nominal&gt;2&lt;/nominal&gt;</v>
      </c>
      <c r="B21011" t="s">
        <v>3078</v>
      </c>
    </row>
    <row r="21012" spans="1:8" x14ac:dyDescent="0.25">
      <c r="A21012" t="str">
        <f>"&lt;lifetime&gt;" &amp;$E$21010&amp;"&lt;/lifetime&gt;"</f>
        <v>&lt;lifetime&gt;2700&lt;/lifetime&gt;</v>
      </c>
      <c r="B21012" t="s">
        <v>3078</v>
      </c>
    </row>
    <row r="21013" spans="1:8" x14ac:dyDescent="0.25">
      <c r="A21013" t="str">
        <f>"&lt;restock&gt;" &amp;$F$21010&amp;"&lt;/restock&gt;"</f>
        <v>&lt;restock&gt;0&lt;/restock&gt;</v>
      </c>
      <c r="B21013" t="s">
        <v>3078</v>
      </c>
    </row>
    <row r="21014" spans="1:8" x14ac:dyDescent="0.25">
      <c r="A21014" t="str">
        <f>"&lt;min&gt;" &amp;$G$21010&amp;"&lt;/min&gt;"</f>
        <v>&lt;min&gt;1&lt;/min&gt;</v>
      </c>
      <c r="B21014" t="s">
        <v>3078</v>
      </c>
    </row>
    <row r="21015" spans="1:8" x14ac:dyDescent="0.25">
      <c r="A21015" t="s">
        <v>16</v>
      </c>
      <c r="B21015" t="s">
        <v>3078</v>
      </c>
    </row>
    <row r="21016" spans="1:8" x14ac:dyDescent="0.25">
      <c r="A21016" t="s">
        <v>17</v>
      </c>
      <c r="B21016" t="s">
        <v>3078</v>
      </c>
    </row>
    <row r="21017" spans="1:8" x14ac:dyDescent="0.25">
      <c r="A21017" t="s">
        <v>18</v>
      </c>
      <c r="B21017" t="s">
        <v>3078</v>
      </c>
    </row>
    <row r="21018" spans="1:8" x14ac:dyDescent="0.25">
      <c r="A21018" t="str">
        <f xml:space="preserve"> $H$21010</f>
        <v>&lt;flags count_in_cargo="0" count_in_hoarder="0" count_in_map="1" count_in_player="0" crafted="0" deloot="0"/&gt;</v>
      </c>
      <c r="B21018" t="s">
        <v>3078</v>
      </c>
    </row>
    <row r="21019" spans="1:8" x14ac:dyDescent="0.25">
      <c r="A21019" t="str">
        <f>"&lt;category name=" &amp;"""" &amp;$C$21010&amp;"""/&gt;"</f>
        <v>&lt;category name="vehiclesparts"/&gt;</v>
      </c>
      <c r="B21019" t="s">
        <v>3078</v>
      </c>
    </row>
    <row r="21020" spans="1:8" x14ac:dyDescent="0.25">
      <c r="A21020" t="s">
        <v>25</v>
      </c>
      <c r="B21020" t="s">
        <v>3078</v>
      </c>
    </row>
    <row r="21021" spans="1:8" x14ac:dyDescent="0.25">
      <c r="A21021" t="s">
        <v>55</v>
      </c>
      <c r="B21021" t="s">
        <v>3078</v>
      </c>
    </row>
    <row r="21022" spans="1:8" x14ac:dyDescent="0.25">
      <c r="A21022" t="s">
        <v>22</v>
      </c>
      <c r="B21022" t="s">
        <v>3078</v>
      </c>
    </row>
    <row r="21023" spans="1:8" x14ac:dyDescent="0.25">
      <c r="A21023" t="s">
        <v>2891</v>
      </c>
      <c r="B21023" t="s">
        <v>3079</v>
      </c>
      <c r="C21023" t="s">
        <v>3033</v>
      </c>
      <c r="D21023">
        <v>2</v>
      </c>
      <c r="E21023">
        <v>2700</v>
      </c>
      <c r="F21023">
        <v>0</v>
      </c>
      <c r="G21023">
        <v>1</v>
      </c>
      <c r="H21023" t="s">
        <v>19</v>
      </c>
    </row>
    <row r="21024" spans="1:8" x14ac:dyDescent="0.25">
      <c r="A21024" t="str">
        <f>"&lt;nominal&gt;" &amp;$D$21023&amp;"&lt;/nominal&gt;"</f>
        <v>&lt;nominal&gt;2&lt;/nominal&gt;</v>
      </c>
      <c r="B21024" t="s">
        <v>3079</v>
      </c>
    </row>
    <row r="21025" spans="1:8" x14ac:dyDescent="0.25">
      <c r="A21025" t="str">
        <f>"&lt;lifetime&gt;" &amp;$E$21023&amp;"&lt;/lifetime&gt;"</f>
        <v>&lt;lifetime&gt;2700&lt;/lifetime&gt;</v>
      </c>
      <c r="B21025" t="s">
        <v>3079</v>
      </c>
    </row>
    <row r="21026" spans="1:8" x14ac:dyDescent="0.25">
      <c r="A21026" t="str">
        <f>"&lt;restock&gt;" &amp;$F$21023&amp;"&lt;/restock&gt;"</f>
        <v>&lt;restock&gt;0&lt;/restock&gt;</v>
      </c>
      <c r="B21026" t="s">
        <v>3079</v>
      </c>
    </row>
    <row r="21027" spans="1:8" x14ac:dyDescent="0.25">
      <c r="A21027" t="str">
        <f>"&lt;min&gt;" &amp;$G$21023&amp;"&lt;/min&gt;"</f>
        <v>&lt;min&gt;1&lt;/min&gt;</v>
      </c>
      <c r="B21027" t="s">
        <v>3079</v>
      </c>
    </row>
    <row r="21028" spans="1:8" x14ac:dyDescent="0.25">
      <c r="A21028" t="s">
        <v>16</v>
      </c>
      <c r="B21028" t="s">
        <v>3079</v>
      </c>
    </row>
    <row r="21029" spans="1:8" x14ac:dyDescent="0.25">
      <c r="A21029" t="s">
        <v>17</v>
      </c>
      <c r="B21029" t="s">
        <v>3079</v>
      </c>
    </row>
    <row r="21030" spans="1:8" x14ac:dyDescent="0.25">
      <c r="A21030" t="s">
        <v>18</v>
      </c>
      <c r="B21030" t="s">
        <v>3079</v>
      </c>
    </row>
    <row r="21031" spans="1:8" x14ac:dyDescent="0.25">
      <c r="A21031" t="str">
        <f xml:space="preserve"> $H$21023</f>
        <v>&lt;flags count_in_cargo="0" count_in_hoarder="0" count_in_map="1" count_in_player="0" crafted="0" deloot="0"/&gt;</v>
      </c>
      <c r="B21031" t="s">
        <v>3079</v>
      </c>
    </row>
    <row r="21032" spans="1:8" x14ac:dyDescent="0.25">
      <c r="A21032" t="str">
        <f>"&lt;category name=" &amp;"""" &amp;$C$21023&amp;"""/&gt;"</f>
        <v>&lt;category name="vehiclesparts"/&gt;</v>
      </c>
      <c r="B21032" t="s">
        <v>3079</v>
      </c>
    </row>
    <row r="21033" spans="1:8" x14ac:dyDescent="0.25">
      <c r="A21033" t="s">
        <v>25</v>
      </c>
      <c r="B21033" t="s">
        <v>3079</v>
      </c>
    </row>
    <row r="21034" spans="1:8" x14ac:dyDescent="0.25">
      <c r="A21034" t="s">
        <v>55</v>
      </c>
      <c r="B21034" t="s">
        <v>3079</v>
      </c>
    </row>
    <row r="21035" spans="1:8" x14ac:dyDescent="0.25">
      <c r="A21035" t="s">
        <v>22</v>
      </c>
      <c r="B21035" t="s">
        <v>3079</v>
      </c>
    </row>
    <row r="21036" spans="1:8" x14ac:dyDescent="0.25">
      <c r="A21036" t="s">
        <v>2892</v>
      </c>
      <c r="B21036" t="s">
        <v>3080</v>
      </c>
      <c r="C21036" t="s">
        <v>3033</v>
      </c>
      <c r="D21036">
        <v>2</v>
      </c>
      <c r="E21036">
        <v>2700</v>
      </c>
      <c r="F21036">
        <v>0</v>
      </c>
      <c r="G21036">
        <v>1</v>
      </c>
      <c r="H21036" t="s">
        <v>19</v>
      </c>
    </row>
    <row r="21037" spans="1:8" x14ac:dyDescent="0.25">
      <c r="A21037" t="str">
        <f>"&lt;nominal&gt;" &amp;$D$21036&amp;"&lt;/nominal&gt;"</f>
        <v>&lt;nominal&gt;2&lt;/nominal&gt;</v>
      </c>
      <c r="B21037" t="s">
        <v>3080</v>
      </c>
    </row>
    <row r="21038" spans="1:8" x14ac:dyDescent="0.25">
      <c r="A21038" t="str">
        <f>"&lt;lifetime&gt;" &amp;$E$21036&amp;"&lt;/lifetime&gt;"</f>
        <v>&lt;lifetime&gt;2700&lt;/lifetime&gt;</v>
      </c>
      <c r="B21038" t="s">
        <v>3080</v>
      </c>
    </row>
    <row r="21039" spans="1:8" x14ac:dyDescent="0.25">
      <c r="A21039" t="str">
        <f>"&lt;restock&gt;" &amp;$F$21036&amp;"&lt;/restock&gt;"</f>
        <v>&lt;restock&gt;0&lt;/restock&gt;</v>
      </c>
      <c r="B21039" t="s">
        <v>3080</v>
      </c>
    </row>
    <row r="21040" spans="1:8" x14ac:dyDescent="0.25">
      <c r="A21040" t="str">
        <f>"&lt;min&gt;" &amp;$G$21036&amp;"&lt;/min&gt;"</f>
        <v>&lt;min&gt;1&lt;/min&gt;</v>
      </c>
      <c r="B21040" t="s">
        <v>3080</v>
      </c>
    </row>
    <row r="21041" spans="1:8" x14ac:dyDescent="0.25">
      <c r="A21041" t="s">
        <v>16</v>
      </c>
      <c r="B21041" t="s">
        <v>3080</v>
      </c>
    </row>
    <row r="21042" spans="1:8" x14ac:dyDescent="0.25">
      <c r="A21042" t="s">
        <v>17</v>
      </c>
      <c r="B21042" t="s">
        <v>3080</v>
      </c>
    </row>
    <row r="21043" spans="1:8" x14ac:dyDescent="0.25">
      <c r="A21043" t="s">
        <v>18</v>
      </c>
      <c r="B21043" t="s">
        <v>3080</v>
      </c>
    </row>
    <row r="21044" spans="1:8" x14ac:dyDescent="0.25">
      <c r="A21044" t="str">
        <f xml:space="preserve"> $H$21036</f>
        <v>&lt;flags count_in_cargo="0" count_in_hoarder="0" count_in_map="1" count_in_player="0" crafted="0" deloot="0"/&gt;</v>
      </c>
      <c r="B21044" t="s">
        <v>3080</v>
      </c>
    </row>
    <row r="21045" spans="1:8" x14ac:dyDescent="0.25">
      <c r="A21045" t="str">
        <f>"&lt;category name=" &amp;"""" &amp;$C$21036&amp;"""/&gt;"</f>
        <v>&lt;category name="vehiclesparts"/&gt;</v>
      </c>
      <c r="B21045" t="s">
        <v>3080</v>
      </c>
    </row>
    <row r="21046" spans="1:8" x14ac:dyDescent="0.25">
      <c r="A21046" t="s">
        <v>25</v>
      </c>
      <c r="B21046" t="s">
        <v>3080</v>
      </c>
    </row>
    <row r="21047" spans="1:8" x14ac:dyDescent="0.25">
      <c r="A21047" t="s">
        <v>55</v>
      </c>
      <c r="B21047" t="s">
        <v>3080</v>
      </c>
    </row>
    <row r="21048" spans="1:8" x14ac:dyDescent="0.25">
      <c r="A21048" t="s">
        <v>22</v>
      </c>
      <c r="B21048" t="s">
        <v>3080</v>
      </c>
    </row>
    <row r="21049" spans="1:8" x14ac:dyDescent="0.25">
      <c r="A21049" t="s">
        <v>2893</v>
      </c>
      <c r="B21049" t="s">
        <v>3081</v>
      </c>
      <c r="C21049" t="s">
        <v>3033</v>
      </c>
      <c r="D21049">
        <v>2</v>
      </c>
      <c r="E21049">
        <v>2700</v>
      </c>
      <c r="F21049">
        <v>0</v>
      </c>
      <c r="G21049">
        <v>1</v>
      </c>
      <c r="H21049" t="s">
        <v>19</v>
      </c>
    </row>
    <row r="21050" spans="1:8" x14ac:dyDescent="0.25">
      <c r="A21050" t="str">
        <f>"&lt;nominal&gt;" &amp;$D$21049&amp;"&lt;/nominal&gt;"</f>
        <v>&lt;nominal&gt;2&lt;/nominal&gt;</v>
      </c>
      <c r="B21050" t="s">
        <v>3081</v>
      </c>
    </row>
    <row r="21051" spans="1:8" x14ac:dyDescent="0.25">
      <c r="A21051" t="str">
        <f>"&lt;lifetime&gt;" &amp;$E$21049&amp;"&lt;/lifetime&gt;"</f>
        <v>&lt;lifetime&gt;2700&lt;/lifetime&gt;</v>
      </c>
      <c r="B21051" t="s">
        <v>3081</v>
      </c>
    </row>
    <row r="21052" spans="1:8" x14ac:dyDescent="0.25">
      <c r="A21052" t="str">
        <f>"&lt;restock&gt;" &amp;$F$21049&amp;"&lt;/restock&gt;"</f>
        <v>&lt;restock&gt;0&lt;/restock&gt;</v>
      </c>
      <c r="B21052" t="s">
        <v>3081</v>
      </c>
    </row>
    <row r="21053" spans="1:8" x14ac:dyDescent="0.25">
      <c r="A21053" t="str">
        <f>"&lt;min&gt;" &amp;$G$21049&amp;"&lt;/min&gt;"</f>
        <v>&lt;min&gt;1&lt;/min&gt;</v>
      </c>
      <c r="B21053" t="s">
        <v>3081</v>
      </c>
    </row>
    <row r="21054" spans="1:8" x14ac:dyDescent="0.25">
      <c r="A21054" t="s">
        <v>16</v>
      </c>
      <c r="B21054" t="s">
        <v>3081</v>
      </c>
    </row>
    <row r="21055" spans="1:8" x14ac:dyDescent="0.25">
      <c r="A21055" t="s">
        <v>17</v>
      </c>
      <c r="B21055" t="s">
        <v>3081</v>
      </c>
    </row>
    <row r="21056" spans="1:8" x14ac:dyDescent="0.25">
      <c r="A21056" t="s">
        <v>18</v>
      </c>
      <c r="B21056" t="s">
        <v>3081</v>
      </c>
    </row>
    <row r="21057" spans="1:8" x14ac:dyDescent="0.25">
      <c r="A21057" t="str">
        <f xml:space="preserve"> $H$21049</f>
        <v>&lt;flags count_in_cargo="0" count_in_hoarder="0" count_in_map="1" count_in_player="0" crafted="0" deloot="0"/&gt;</v>
      </c>
      <c r="B21057" t="s">
        <v>3081</v>
      </c>
    </row>
    <row r="21058" spans="1:8" x14ac:dyDescent="0.25">
      <c r="A21058" t="str">
        <f>"&lt;category name=" &amp;"""" &amp;$C$21049&amp;"""/&gt;"</f>
        <v>&lt;category name="vehiclesparts"/&gt;</v>
      </c>
      <c r="B21058" t="s">
        <v>3081</v>
      </c>
    </row>
    <row r="21059" spans="1:8" x14ac:dyDescent="0.25">
      <c r="A21059" t="s">
        <v>25</v>
      </c>
      <c r="B21059" t="s">
        <v>3081</v>
      </c>
    </row>
    <row r="21060" spans="1:8" x14ac:dyDescent="0.25">
      <c r="A21060" t="s">
        <v>55</v>
      </c>
      <c r="B21060" t="s">
        <v>3081</v>
      </c>
    </row>
    <row r="21061" spans="1:8" x14ac:dyDescent="0.25">
      <c r="A21061" t="s">
        <v>22</v>
      </c>
      <c r="B21061" t="s">
        <v>3081</v>
      </c>
    </row>
    <row r="21062" spans="1:8" x14ac:dyDescent="0.25">
      <c r="A21062" t="s">
        <v>2894</v>
      </c>
      <c r="B21062" t="s">
        <v>3082</v>
      </c>
      <c r="C21062" t="s">
        <v>3033</v>
      </c>
      <c r="D21062">
        <v>2</v>
      </c>
      <c r="E21062">
        <v>2700</v>
      </c>
      <c r="F21062">
        <v>0</v>
      </c>
      <c r="G21062">
        <v>1</v>
      </c>
      <c r="H21062" t="s">
        <v>19</v>
      </c>
    </row>
    <row r="21063" spans="1:8" x14ac:dyDescent="0.25">
      <c r="A21063" t="str">
        <f>"&lt;nominal&gt;" &amp;$D$21062&amp;"&lt;/nominal&gt;"</f>
        <v>&lt;nominal&gt;2&lt;/nominal&gt;</v>
      </c>
      <c r="B21063" t="s">
        <v>3082</v>
      </c>
    </row>
    <row r="21064" spans="1:8" x14ac:dyDescent="0.25">
      <c r="A21064" t="str">
        <f>"&lt;lifetime&gt;" &amp;$E$21062&amp;"&lt;/lifetime&gt;"</f>
        <v>&lt;lifetime&gt;2700&lt;/lifetime&gt;</v>
      </c>
      <c r="B21064" t="s">
        <v>3082</v>
      </c>
    </row>
    <row r="21065" spans="1:8" x14ac:dyDescent="0.25">
      <c r="A21065" t="str">
        <f>"&lt;restock&gt;" &amp;$F$21062&amp;"&lt;/restock&gt;"</f>
        <v>&lt;restock&gt;0&lt;/restock&gt;</v>
      </c>
      <c r="B21065" t="s">
        <v>3082</v>
      </c>
    </row>
    <row r="21066" spans="1:8" x14ac:dyDescent="0.25">
      <c r="A21066" t="str">
        <f>"&lt;min&gt;" &amp;$G$21062&amp;"&lt;/min&gt;"</f>
        <v>&lt;min&gt;1&lt;/min&gt;</v>
      </c>
      <c r="B21066" t="s">
        <v>3082</v>
      </c>
    </row>
    <row r="21067" spans="1:8" x14ac:dyDescent="0.25">
      <c r="A21067" t="s">
        <v>16</v>
      </c>
      <c r="B21067" t="s">
        <v>3082</v>
      </c>
    </row>
    <row r="21068" spans="1:8" x14ac:dyDescent="0.25">
      <c r="A21068" t="s">
        <v>17</v>
      </c>
      <c r="B21068" t="s">
        <v>3082</v>
      </c>
    </row>
    <row r="21069" spans="1:8" x14ac:dyDescent="0.25">
      <c r="A21069" t="s">
        <v>18</v>
      </c>
      <c r="B21069" t="s">
        <v>3082</v>
      </c>
    </row>
    <row r="21070" spans="1:8" x14ac:dyDescent="0.25">
      <c r="A21070" t="str">
        <f xml:space="preserve"> $H$21062</f>
        <v>&lt;flags count_in_cargo="0" count_in_hoarder="0" count_in_map="1" count_in_player="0" crafted="0" deloot="0"/&gt;</v>
      </c>
      <c r="B21070" t="s">
        <v>3082</v>
      </c>
    </row>
    <row r="21071" spans="1:8" x14ac:dyDescent="0.25">
      <c r="A21071" t="str">
        <f>"&lt;category name=" &amp;"""" &amp;$C$21062&amp;"""/&gt;"</f>
        <v>&lt;category name="vehiclesparts"/&gt;</v>
      </c>
      <c r="B21071" t="s">
        <v>3082</v>
      </c>
    </row>
    <row r="21072" spans="1:8" x14ac:dyDescent="0.25">
      <c r="A21072" t="s">
        <v>25</v>
      </c>
      <c r="B21072" t="s">
        <v>3082</v>
      </c>
    </row>
    <row r="21073" spans="1:8" x14ac:dyDescent="0.25">
      <c r="A21073" t="s">
        <v>55</v>
      </c>
      <c r="B21073" t="s">
        <v>3082</v>
      </c>
    </row>
    <row r="21074" spans="1:8" x14ac:dyDescent="0.25">
      <c r="A21074" t="s">
        <v>22</v>
      </c>
      <c r="B21074" t="s">
        <v>3082</v>
      </c>
    </row>
    <row r="21075" spans="1:8" x14ac:dyDescent="0.25">
      <c r="A21075" t="s">
        <v>2895</v>
      </c>
      <c r="B21075" t="s">
        <v>3083</v>
      </c>
      <c r="C21075" t="s">
        <v>3033</v>
      </c>
      <c r="D21075">
        <v>2</v>
      </c>
      <c r="E21075">
        <v>2700</v>
      </c>
      <c r="F21075">
        <v>0</v>
      </c>
      <c r="G21075">
        <v>1</v>
      </c>
      <c r="H21075" t="s">
        <v>19</v>
      </c>
    </row>
    <row r="21076" spans="1:8" x14ac:dyDescent="0.25">
      <c r="A21076" t="str">
        <f>"&lt;nominal&gt;" &amp;$D$21075&amp;"&lt;/nominal&gt;"</f>
        <v>&lt;nominal&gt;2&lt;/nominal&gt;</v>
      </c>
      <c r="B21076" t="s">
        <v>3083</v>
      </c>
    </row>
    <row r="21077" spans="1:8" x14ac:dyDescent="0.25">
      <c r="A21077" t="str">
        <f>"&lt;lifetime&gt;" &amp;$E$21075&amp;"&lt;/lifetime&gt;"</f>
        <v>&lt;lifetime&gt;2700&lt;/lifetime&gt;</v>
      </c>
      <c r="B21077" t="s">
        <v>3083</v>
      </c>
    </row>
    <row r="21078" spans="1:8" x14ac:dyDescent="0.25">
      <c r="A21078" t="str">
        <f>"&lt;restock&gt;" &amp;$F$21075&amp;"&lt;/restock&gt;"</f>
        <v>&lt;restock&gt;0&lt;/restock&gt;</v>
      </c>
      <c r="B21078" t="s">
        <v>3083</v>
      </c>
    </row>
    <row r="21079" spans="1:8" x14ac:dyDescent="0.25">
      <c r="A21079" t="str">
        <f>"&lt;min&gt;" &amp;$G$21075&amp;"&lt;/min&gt;"</f>
        <v>&lt;min&gt;1&lt;/min&gt;</v>
      </c>
      <c r="B21079" t="s">
        <v>3083</v>
      </c>
    </row>
    <row r="21080" spans="1:8" x14ac:dyDescent="0.25">
      <c r="A21080" t="s">
        <v>16</v>
      </c>
      <c r="B21080" t="s">
        <v>3083</v>
      </c>
    </row>
    <row r="21081" spans="1:8" x14ac:dyDescent="0.25">
      <c r="A21081" t="s">
        <v>17</v>
      </c>
      <c r="B21081" t="s">
        <v>3083</v>
      </c>
    </row>
    <row r="21082" spans="1:8" x14ac:dyDescent="0.25">
      <c r="A21082" t="s">
        <v>18</v>
      </c>
      <c r="B21082" t="s">
        <v>3083</v>
      </c>
    </row>
    <row r="21083" spans="1:8" x14ac:dyDescent="0.25">
      <c r="A21083" t="str">
        <f xml:space="preserve"> $H$21075</f>
        <v>&lt;flags count_in_cargo="0" count_in_hoarder="0" count_in_map="1" count_in_player="0" crafted="0" deloot="0"/&gt;</v>
      </c>
      <c r="B21083" t="s">
        <v>3083</v>
      </c>
    </row>
    <row r="21084" spans="1:8" x14ac:dyDescent="0.25">
      <c r="A21084" t="str">
        <f>"&lt;category name=" &amp;"""" &amp;$C$21075&amp;"""/&gt;"</f>
        <v>&lt;category name="vehiclesparts"/&gt;</v>
      </c>
      <c r="B21084" t="s">
        <v>3083</v>
      </c>
    </row>
    <row r="21085" spans="1:8" x14ac:dyDescent="0.25">
      <c r="A21085" t="s">
        <v>25</v>
      </c>
      <c r="B21085" t="s">
        <v>3083</v>
      </c>
    </row>
    <row r="21086" spans="1:8" x14ac:dyDescent="0.25">
      <c r="A21086" t="s">
        <v>55</v>
      </c>
      <c r="B21086" t="s">
        <v>3083</v>
      </c>
    </row>
    <row r="21087" spans="1:8" x14ac:dyDescent="0.25">
      <c r="A21087" t="s">
        <v>22</v>
      </c>
      <c r="B21087" t="s">
        <v>3083</v>
      </c>
    </row>
    <row r="21088" spans="1:8" x14ac:dyDescent="0.25">
      <c r="A21088" t="s">
        <v>2896</v>
      </c>
      <c r="B21088" t="s">
        <v>3084</v>
      </c>
      <c r="C21088" t="s">
        <v>3033</v>
      </c>
      <c r="D21088">
        <v>2</v>
      </c>
      <c r="E21088">
        <v>2700</v>
      </c>
      <c r="F21088">
        <v>0</v>
      </c>
      <c r="G21088">
        <v>1</v>
      </c>
      <c r="H21088" t="s">
        <v>19</v>
      </c>
    </row>
    <row r="21089" spans="1:8" x14ac:dyDescent="0.25">
      <c r="A21089" t="str">
        <f>"&lt;nominal&gt;" &amp;$D$21088&amp;"&lt;/nominal&gt;"</f>
        <v>&lt;nominal&gt;2&lt;/nominal&gt;</v>
      </c>
      <c r="B21089" t="s">
        <v>3084</v>
      </c>
    </row>
    <row r="21090" spans="1:8" x14ac:dyDescent="0.25">
      <c r="A21090" t="str">
        <f>"&lt;lifetime&gt;" &amp;$E$21088&amp;"&lt;/lifetime&gt;"</f>
        <v>&lt;lifetime&gt;2700&lt;/lifetime&gt;</v>
      </c>
      <c r="B21090" t="s">
        <v>3084</v>
      </c>
    </row>
    <row r="21091" spans="1:8" x14ac:dyDescent="0.25">
      <c r="A21091" t="str">
        <f>"&lt;restock&gt;" &amp;$F$21088&amp;"&lt;/restock&gt;"</f>
        <v>&lt;restock&gt;0&lt;/restock&gt;</v>
      </c>
      <c r="B21091" t="s">
        <v>3084</v>
      </c>
    </row>
    <row r="21092" spans="1:8" x14ac:dyDescent="0.25">
      <c r="A21092" t="str">
        <f>"&lt;min&gt;" &amp;$G$21088&amp;"&lt;/min&gt;"</f>
        <v>&lt;min&gt;1&lt;/min&gt;</v>
      </c>
      <c r="B21092" t="s">
        <v>3084</v>
      </c>
    </row>
    <row r="21093" spans="1:8" x14ac:dyDescent="0.25">
      <c r="A21093" t="s">
        <v>16</v>
      </c>
      <c r="B21093" t="s">
        <v>3084</v>
      </c>
    </row>
    <row r="21094" spans="1:8" x14ac:dyDescent="0.25">
      <c r="A21094" t="s">
        <v>17</v>
      </c>
      <c r="B21094" t="s">
        <v>3084</v>
      </c>
    </row>
    <row r="21095" spans="1:8" x14ac:dyDescent="0.25">
      <c r="A21095" t="s">
        <v>18</v>
      </c>
      <c r="B21095" t="s">
        <v>3084</v>
      </c>
    </row>
    <row r="21096" spans="1:8" x14ac:dyDescent="0.25">
      <c r="A21096" t="str">
        <f xml:space="preserve"> $H$21088</f>
        <v>&lt;flags count_in_cargo="0" count_in_hoarder="0" count_in_map="1" count_in_player="0" crafted="0" deloot="0"/&gt;</v>
      </c>
      <c r="B21096" t="s">
        <v>3084</v>
      </c>
    </row>
    <row r="21097" spans="1:8" x14ac:dyDescent="0.25">
      <c r="A21097" t="str">
        <f>"&lt;category name=" &amp;"""" &amp;$C$21088&amp;"""/&gt;"</f>
        <v>&lt;category name="vehiclesparts"/&gt;</v>
      </c>
      <c r="B21097" t="s">
        <v>3084</v>
      </c>
    </row>
    <row r="21098" spans="1:8" x14ac:dyDescent="0.25">
      <c r="A21098" t="s">
        <v>25</v>
      </c>
      <c r="B21098" t="s">
        <v>3084</v>
      </c>
    </row>
    <row r="21099" spans="1:8" x14ac:dyDescent="0.25">
      <c r="A21099" t="s">
        <v>55</v>
      </c>
      <c r="B21099" t="s">
        <v>3084</v>
      </c>
    </row>
    <row r="21100" spans="1:8" x14ac:dyDescent="0.25">
      <c r="A21100" t="s">
        <v>22</v>
      </c>
      <c r="B21100" t="s">
        <v>3084</v>
      </c>
    </row>
    <row r="21101" spans="1:8" x14ac:dyDescent="0.25">
      <c r="A21101" t="s">
        <v>2897</v>
      </c>
      <c r="B21101" t="s">
        <v>3085</v>
      </c>
      <c r="C21101" t="s">
        <v>3033</v>
      </c>
      <c r="D21101">
        <v>2</v>
      </c>
      <c r="E21101">
        <v>2700</v>
      </c>
      <c r="F21101">
        <v>0</v>
      </c>
      <c r="G21101">
        <v>1</v>
      </c>
      <c r="H21101" t="s">
        <v>19</v>
      </c>
    </row>
    <row r="21102" spans="1:8" x14ac:dyDescent="0.25">
      <c r="A21102" t="str">
        <f>"&lt;nominal&gt;" &amp;$D$21101&amp;"&lt;/nominal&gt;"</f>
        <v>&lt;nominal&gt;2&lt;/nominal&gt;</v>
      </c>
      <c r="B21102" t="s">
        <v>3085</v>
      </c>
    </row>
    <row r="21103" spans="1:8" x14ac:dyDescent="0.25">
      <c r="A21103" t="str">
        <f>"&lt;lifetime&gt;" &amp;$E$21101&amp;"&lt;/lifetime&gt;"</f>
        <v>&lt;lifetime&gt;2700&lt;/lifetime&gt;</v>
      </c>
      <c r="B21103" t="s">
        <v>3085</v>
      </c>
    </row>
    <row r="21104" spans="1:8" x14ac:dyDescent="0.25">
      <c r="A21104" t="str">
        <f>"&lt;restock&gt;" &amp;$F$21101&amp;"&lt;/restock&gt;"</f>
        <v>&lt;restock&gt;0&lt;/restock&gt;</v>
      </c>
      <c r="B21104" t="s">
        <v>3085</v>
      </c>
    </row>
    <row r="21105" spans="1:8" x14ac:dyDescent="0.25">
      <c r="A21105" t="str">
        <f>"&lt;min&gt;" &amp;$G$21101&amp;"&lt;/min&gt;"</f>
        <v>&lt;min&gt;1&lt;/min&gt;</v>
      </c>
      <c r="B21105" t="s">
        <v>3085</v>
      </c>
    </row>
    <row r="21106" spans="1:8" x14ac:dyDescent="0.25">
      <c r="A21106" t="s">
        <v>16</v>
      </c>
      <c r="B21106" t="s">
        <v>3085</v>
      </c>
    </row>
    <row r="21107" spans="1:8" x14ac:dyDescent="0.25">
      <c r="A21107" t="s">
        <v>17</v>
      </c>
      <c r="B21107" t="s">
        <v>3085</v>
      </c>
    </row>
    <row r="21108" spans="1:8" x14ac:dyDescent="0.25">
      <c r="A21108" t="s">
        <v>18</v>
      </c>
      <c r="B21108" t="s">
        <v>3085</v>
      </c>
    </row>
    <row r="21109" spans="1:8" x14ac:dyDescent="0.25">
      <c r="A21109" t="str">
        <f xml:space="preserve"> $H$21101</f>
        <v>&lt;flags count_in_cargo="0" count_in_hoarder="0" count_in_map="1" count_in_player="0" crafted="0" deloot="0"/&gt;</v>
      </c>
      <c r="B21109" t="s">
        <v>3085</v>
      </c>
    </row>
    <row r="21110" spans="1:8" x14ac:dyDescent="0.25">
      <c r="A21110" t="str">
        <f>"&lt;category name=" &amp;"""" &amp;$C$21101&amp;"""/&gt;"</f>
        <v>&lt;category name="vehiclesparts"/&gt;</v>
      </c>
      <c r="B21110" t="s">
        <v>3085</v>
      </c>
    </row>
    <row r="21111" spans="1:8" x14ac:dyDescent="0.25">
      <c r="A21111" t="s">
        <v>25</v>
      </c>
      <c r="B21111" t="s">
        <v>3085</v>
      </c>
    </row>
    <row r="21112" spans="1:8" x14ac:dyDescent="0.25">
      <c r="A21112" t="s">
        <v>55</v>
      </c>
      <c r="B21112" t="s">
        <v>3085</v>
      </c>
    </row>
    <row r="21113" spans="1:8" x14ac:dyDescent="0.25">
      <c r="A21113" t="s">
        <v>22</v>
      </c>
      <c r="B21113" t="s">
        <v>3085</v>
      </c>
    </row>
    <row r="21114" spans="1:8" x14ac:dyDescent="0.25">
      <c r="A21114" t="s">
        <v>2898</v>
      </c>
      <c r="B21114" t="s">
        <v>3086</v>
      </c>
      <c r="C21114" t="s">
        <v>3033</v>
      </c>
      <c r="D21114">
        <v>2</v>
      </c>
      <c r="E21114">
        <v>2700</v>
      </c>
      <c r="F21114">
        <v>0</v>
      </c>
      <c r="G21114">
        <v>1</v>
      </c>
      <c r="H21114" t="s">
        <v>19</v>
      </c>
    </row>
    <row r="21115" spans="1:8" x14ac:dyDescent="0.25">
      <c r="A21115" t="str">
        <f>"&lt;nominal&gt;" &amp;$D$21114&amp;"&lt;/nominal&gt;"</f>
        <v>&lt;nominal&gt;2&lt;/nominal&gt;</v>
      </c>
      <c r="B21115" t="s">
        <v>3086</v>
      </c>
    </row>
    <row r="21116" spans="1:8" x14ac:dyDescent="0.25">
      <c r="A21116" t="str">
        <f>"&lt;lifetime&gt;" &amp;$E$21114&amp;"&lt;/lifetime&gt;"</f>
        <v>&lt;lifetime&gt;2700&lt;/lifetime&gt;</v>
      </c>
      <c r="B21116" t="s">
        <v>3086</v>
      </c>
    </row>
    <row r="21117" spans="1:8" x14ac:dyDescent="0.25">
      <c r="A21117" t="str">
        <f>"&lt;restock&gt;" &amp;$F$21114&amp;"&lt;/restock&gt;"</f>
        <v>&lt;restock&gt;0&lt;/restock&gt;</v>
      </c>
      <c r="B21117" t="s">
        <v>3086</v>
      </c>
    </row>
    <row r="21118" spans="1:8" x14ac:dyDescent="0.25">
      <c r="A21118" t="str">
        <f>"&lt;min&gt;" &amp;$G$21114&amp;"&lt;/min&gt;"</f>
        <v>&lt;min&gt;1&lt;/min&gt;</v>
      </c>
      <c r="B21118" t="s">
        <v>3086</v>
      </c>
    </row>
    <row r="21119" spans="1:8" x14ac:dyDescent="0.25">
      <c r="A21119" t="s">
        <v>16</v>
      </c>
      <c r="B21119" t="s">
        <v>3086</v>
      </c>
    </row>
    <row r="21120" spans="1:8" x14ac:dyDescent="0.25">
      <c r="A21120" t="s">
        <v>17</v>
      </c>
      <c r="B21120" t="s">
        <v>3086</v>
      </c>
    </row>
    <row r="21121" spans="1:8" x14ac:dyDescent="0.25">
      <c r="A21121" t="s">
        <v>18</v>
      </c>
      <c r="B21121" t="s">
        <v>3086</v>
      </c>
    </row>
    <row r="21122" spans="1:8" x14ac:dyDescent="0.25">
      <c r="A21122" t="str">
        <f xml:space="preserve"> $H$21114</f>
        <v>&lt;flags count_in_cargo="0" count_in_hoarder="0" count_in_map="1" count_in_player="0" crafted="0" deloot="0"/&gt;</v>
      </c>
      <c r="B21122" t="s">
        <v>3086</v>
      </c>
    </row>
    <row r="21123" spans="1:8" x14ac:dyDescent="0.25">
      <c r="A21123" t="str">
        <f>"&lt;category name=" &amp;"""" &amp;$C$21114&amp;"""/&gt;"</f>
        <v>&lt;category name="vehiclesparts"/&gt;</v>
      </c>
      <c r="B21123" t="s">
        <v>3086</v>
      </c>
    </row>
    <row r="21124" spans="1:8" x14ac:dyDescent="0.25">
      <c r="A21124" t="s">
        <v>25</v>
      </c>
      <c r="B21124" t="s">
        <v>3086</v>
      </c>
    </row>
    <row r="21125" spans="1:8" x14ac:dyDescent="0.25">
      <c r="A21125" t="s">
        <v>55</v>
      </c>
      <c r="B21125" t="s">
        <v>3086</v>
      </c>
    </row>
    <row r="21126" spans="1:8" x14ac:dyDescent="0.25">
      <c r="A21126" t="s">
        <v>22</v>
      </c>
      <c r="B21126" t="s">
        <v>3086</v>
      </c>
    </row>
    <row r="21127" spans="1:8" x14ac:dyDescent="0.25">
      <c r="A21127" t="s">
        <v>2899</v>
      </c>
      <c r="B21127" t="s">
        <v>3087</v>
      </c>
      <c r="C21127" t="s">
        <v>3033</v>
      </c>
      <c r="D21127">
        <v>2</v>
      </c>
      <c r="E21127">
        <v>2700</v>
      </c>
      <c r="F21127">
        <v>0</v>
      </c>
      <c r="G21127">
        <v>1</v>
      </c>
      <c r="H21127" t="s">
        <v>19</v>
      </c>
    </row>
    <row r="21128" spans="1:8" x14ac:dyDescent="0.25">
      <c r="A21128" t="str">
        <f>"&lt;nominal&gt;" &amp;$D$21127&amp;"&lt;/nominal&gt;"</f>
        <v>&lt;nominal&gt;2&lt;/nominal&gt;</v>
      </c>
      <c r="B21128" t="s">
        <v>3087</v>
      </c>
    </row>
    <row r="21129" spans="1:8" x14ac:dyDescent="0.25">
      <c r="A21129" t="str">
        <f>"&lt;lifetime&gt;" &amp;$E$21127&amp;"&lt;/lifetime&gt;"</f>
        <v>&lt;lifetime&gt;2700&lt;/lifetime&gt;</v>
      </c>
      <c r="B21129" t="s">
        <v>3087</v>
      </c>
    </row>
    <row r="21130" spans="1:8" x14ac:dyDescent="0.25">
      <c r="A21130" t="str">
        <f>"&lt;restock&gt;" &amp;$F$21127&amp;"&lt;/restock&gt;"</f>
        <v>&lt;restock&gt;0&lt;/restock&gt;</v>
      </c>
      <c r="B21130" t="s">
        <v>3087</v>
      </c>
    </row>
    <row r="21131" spans="1:8" x14ac:dyDescent="0.25">
      <c r="A21131" t="str">
        <f>"&lt;min&gt;" &amp;$G$21127&amp;"&lt;/min&gt;"</f>
        <v>&lt;min&gt;1&lt;/min&gt;</v>
      </c>
      <c r="B21131" t="s">
        <v>3087</v>
      </c>
    </row>
    <row r="21132" spans="1:8" x14ac:dyDescent="0.25">
      <c r="A21132" t="s">
        <v>16</v>
      </c>
      <c r="B21132" t="s">
        <v>3087</v>
      </c>
    </row>
    <row r="21133" spans="1:8" x14ac:dyDescent="0.25">
      <c r="A21133" t="s">
        <v>17</v>
      </c>
      <c r="B21133" t="s">
        <v>3087</v>
      </c>
    </row>
    <row r="21134" spans="1:8" x14ac:dyDescent="0.25">
      <c r="A21134" t="s">
        <v>18</v>
      </c>
      <c r="B21134" t="s">
        <v>3087</v>
      </c>
    </row>
    <row r="21135" spans="1:8" x14ac:dyDescent="0.25">
      <c r="A21135" t="str">
        <f xml:space="preserve"> $H$21127</f>
        <v>&lt;flags count_in_cargo="0" count_in_hoarder="0" count_in_map="1" count_in_player="0" crafted="0" deloot="0"/&gt;</v>
      </c>
      <c r="B21135" t="s">
        <v>3087</v>
      </c>
    </row>
    <row r="21136" spans="1:8" x14ac:dyDescent="0.25">
      <c r="A21136" t="str">
        <f>"&lt;category name=" &amp;"""" &amp;$C$21127&amp;"""/&gt;"</f>
        <v>&lt;category name="vehiclesparts"/&gt;</v>
      </c>
      <c r="B21136" t="s">
        <v>3087</v>
      </c>
    </row>
    <row r="21137" spans="1:8" x14ac:dyDescent="0.25">
      <c r="A21137" t="s">
        <v>25</v>
      </c>
      <c r="B21137" t="s">
        <v>3087</v>
      </c>
    </row>
    <row r="21138" spans="1:8" x14ac:dyDescent="0.25">
      <c r="A21138" t="s">
        <v>55</v>
      </c>
      <c r="B21138" t="s">
        <v>3087</v>
      </c>
    </row>
    <row r="21139" spans="1:8" x14ac:dyDescent="0.25">
      <c r="A21139" t="s">
        <v>22</v>
      </c>
      <c r="B21139" t="s">
        <v>3087</v>
      </c>
    </row>
    <row r="21140" spans="1:8" x14ac:dyDescent="0.25">
      <c r="A21140" t="s">
        <v>2900</v>
      </c>
      <c r="B21140" t="s">
        <v>3088</v>
      </c>
      <c r="C21140" t="s">
        <v>3033</v>
      </c>
      <c r="D21140">
        <v>2</v>
      </c>
      <c r="E21140">
        <v>2700</v>
      </c>
      <c r="F21140">
        <v>0</v>
      </c>
      <c r="G21140">
        <v>1</v>
      </c>
      <c r="H21140" t="s">
        <v>19</v>
      </c>
    </row>
    <row r="21141" spans="1:8" x14ac:dyDescent="0.25">
      <c r="A21141" t="str">
        <f>"&lt;nominal&gt;" &amp;$D$21140&amp;"&lt;/nominal&gt;"</f>
        <v>&lt;nominal&gt;2&lt;/nominal&gt;</v>
      </c>
      <c r="B21141" t="s">
        <v>3088</v>
      </c>
    </row>
    <row r="21142" spans="1:8" x14ac:dyDescent="0.25">
      <c r="A21142" t="str">
        <f>"&lt;lifetime&gt;" &amp;$E$21140&amp;"&lt;/lifetime&gt;"</f>
        <v>&lt;lifetime&gt;2700&lt;/lifetime&gt;</v>
      </c>
      <c r="B21142" t="s">
        <v>3088</v>
      </c>
    </row>
    <row r="21143" spans="1:8" x14ac:dyDescent="0.25">
      <c r="A21143" t="str">
        <f>"&lt;restock&gt;" &amp;$F$21140&amp;"&lt;/restock&gt;"</f>
        <v>&lt;restock&gt;0&lt;/restock&gt;</v>
      </c>
      <c r="B21143" t="s">
        <v>3088</v>
      </c>
    </row>
    <row r="21144" spans="1:8" x14ac:dyDescent="0.25">
      <c r="A21144" t="str">
        <f>"&lt;min&gt;" &amp;$G$21140&amp;"&lt;/min&gt;"</f>
        <v>&lt;min&gt;1&lt;/min&gt;</v>
      </c>
      <c r="B21144" t="s">
        <v>3088</v>
      </c>
    </row>
    <row r="21145" spans="1:8" x14ac:dyDescent="0.25">
      <c r="A21145" t="s">
        <v>16</v>
      </c>
      <c r="B21145" t="s">
        <v>3088</v>
      </c>
    </row>
    <row r="21146" spans="1:8" x14ac:dyDescent="0.25">
      <c r="A21146" t="s">
        <v>17</v>
      </c>
      <c r="B21146" t="s">
        <v>3088</v>
      </c>
    </row>
    <row r="21147" spans="1:8" x14ac:dyDescent="0.25">
      <c r="A21147" t="s">
        <v>18</v>
      </c>
      <c r="B21147" t="s">
        <v>3088</v>
      </c>
    </row>
    <row r="21148" spans="1:8" x14ac:dyDescent="0.25">
      <c r="A21148" t="str">
        <f xml:space="preserve"> $H$21140</f>
        <v>&lt;flags count_in_cargo="0" count_in_hoarder="0" count_in_map="1" count_in_player="0" crafted="0" deloot="0"/&gt;</v>
      </c>
      <c r="B21148" t="s">
        <v>3088</v>
      </c>
    </row>
    <row r="21149" spans="1:8" x14ac:dyDescent="0.25">
      <c r="A21149" t="str">
        <f>"&lt;category name=" &amp;"""" &amp;$C$21140&amp;"""/&gt;"</f>
        <v>&lt;category name="vehiclesparts"/&gt;</v>
      </c>
      <c r="B21149" t="s">
        <v>3088</v>
      </c>
    </row>
    <row r="21150" spans="1:8" x14ac:dyDescent="0.25">
      <c r="A21150" t="s">
        <v>25</v>
      </c>
      <c r="B21150" t="s">
        <v>3088</v>
      </c>
    </row>
    <row r="21151" spans="1:8" x14ac:dyDescent="0.25">
      <c r="A21151" t="s">
        <v>55</v>
      </c>
      <c r="B21151" t="s">
        <v>3088</v>
      </c>
    </row>
    <row r="21152" spans="1:8" x14ac:dyDescent="0.25">
      <c r="A21152" t="s">
        <v>22</v>
      </c>
      <c r="B21152" t="s">
        <v>3088</v>
      </c>
    </row>
    <row r="21153" spans="1:8" x14ac:dyDescent="0.25">
      <c r="A21153" t="s">
        <v>2901</v>
      </c>
      <c r="B21153" t="s">
        <v>3089</v>
      </c>
      <c r="C21153" t="s">
        <v>3033</v>
      </c>
      <c r="D21153">
        <v>2</v>
      </c>
      <c r="E21153">
        <v>2700</v>
      </c>
      <c r="F21153">
        <v>0</v>
      </c>
      <c r="G21153">
        <v>1</v>
      </c>
      <c r="H21153" t="s">
        <v>19</v>
      </c>
    </row>
    <row r="21154" spans="1:8" x14ac:dyDescent="0.25">
      <c r="A21154" t="str">
        <f>"&lt;nominal&gt;" &amp;$D$21153&amp;"&lt;/nominal&gt;"</f>
        <v>&lt;nominal&gt;2&lt;/nominal&gt;</v>
      </c>
      <c r="B21154" t="s">
        <v>3089</v>
      </c>
    </row>
    <row r="21155" spans="1:8" x14ac:dyDescent="0.25">
      <c r="A21155" t="str">
        <f>"&lt;lifetime&gt;" &amp;$E$21153&amp;"&lt;/lifetime&gt;"</f>
        <v>&lt;lifetime&gt;2700&lt;/lifetime&gt;</v>
      </c>
      <c r="B21155" t="s">
        <v>3089</v>
      </c>
    </row>
    <row r="21156" spans="1:8" x14ac:dyDescent="0.25">
      <c r="A21156" t="str">
        <f>"&lt;restock&gt;" &amp;$F$21153&amp;"&lt;/restock&gt;"</f>
        <v>&lt;restock&gt;0&lt;/restock&gt;</v>
      </c>
      <c r="B21156" t="s">
        <v>3089</v>
      </c>
    </row>
    <row r="21157" spans="1:8" x14ac:dyDescent="0.25">
      <c r="A21157" t="str">
        <f>"&lt;min&gt;" &amp;$G$21153&amp;"&lt;/min&gt;"</f>
        <v>&lt;min&gt;1&lt;/min&gt;</v>
      </c>
      <c r="B21157" t="s">
        <v>3089</v>
      </c>
    </row>
    <row r="21158" spans="1:8" x14ac:dyDescent="0.25">
      <c r="A21158" t="s">
        <v>16</v>
      </c>
      <c r="B21158" t="s">
        <v>3089</v>
      </c>
    </row>
    <row r="21159" spans="1:8" x14ac:dyDescent="0.25">
      <c r="A21159" t="s">
        <v>17</v>
      </c>
      <c r="B21159" t="s">
        <v>3089</v>
      </c>
    </row>
    <row r="21160" spans="1:8" x14ac:dyDescent="0.25">
      <c r="A21160" t="s">
        <v>18</v>
      </c>
      <c r="B21160" t="s">
        <v>3089</v>
      </c>
    </row>
    <row r="21161" spans="1:8" x14ac:dyDescent="0.25">
      <c r="A21161" t="str">
        <f xml:space="preserve"> $H$21153</f>
        <v>&lt;flags count_in_cargo="0" count_in_hoarder="0" count_in_map="1" count_in_player="0" crafted="0" deloot="0"/&gt;</v>
      </c>
      <c r="B21161" t="s">
        <v>3089</v>
      </c>
    </row>
    <row r="21162" spans="1:8" x14ac:dyDescent="0.25">
      <c r="A21162" t="str">
        <f>"&lt;category name=" &amp;"""" &amp;$C$21153&amp;"""/&gt;"</f>
        <v>&lt;category name="vehiclesparts"/&gt;</v>
      </c>
      <c r="B21162" t="s">
        <v>3089</v>
      </c>
    </row>
    <row r="21163" spans="1:8" x14ac:dyDescent="0.25">
      <c r="A21163" t="s">
        <v>25</v>
      </c>
      <c r="B21163" t="s">
        <v>3089</v>
      </c>
    </row>
    <row r="21164" spans="1:8" x14ac:dyDescent="0.25">
      <c r="A21164" t="s">
        <v>55</v>
      </c>
      <c r="B21164" t="s">
        <v>3089</v>
      </c>
    </row>
    <row r="21165" spans="1:8" x14ac:dyDescent="0.25">
      <c r="A21165" t="s">
        <v>22</v>
      </c>
      <c r="B21165" t="s">
        <v>3089</v>
      </c>
    </row>
    <row r="21166" spans="1:8" x14ac:dyDescent="0.25">
      <c r="A21166" t="s">
        <v>2902</v>
      </c>
      <c r="B21166" t="s">
        <v>3090</v>
      </c>
      <c r="C21166" t="s">
        <v>3033</v>
      </c>
      <c r="D21166">
        <v>2</v>
      </c>
      <c r="E21166">
        <v>2700</v>
      </c>
      <c r="F21166">
        <v>0</v>
      </c>
      <c r="G21166">
        <v>1</v>
      </c>
      <c r="H21166" t="s">
        <v>19</v>
      </c>
    </row>
    <row r="21167" spans="1:8" x14ac:dyDescent="0.25">
      <c r="A21167" t="str">
        <f>"&lt;nominal&gt;" &amp;$D$21166&amp;"&lt;/nominal&gt;"</f>
        <v>&lt;nominal&gt;2&lt;/nominal&gt;</v>
      </c>
      <c r="B21167" t="s">
        <v>3090</v>
      </c>
    </row>
    <row r="21168" spans="1:8" x14ac:dyDescent="0.25">
      <c r="A21168" t="str">
        <f>"&lt;lifetime&gt;" &amp;$E$21166&amp;"&lt;/lifetime&gt;"</f>
        <v>&lt;lifetime&gt;2700&lt;/lifetime&gt;</v>
      </c>
      <c r="B21168" t="s">
        <v>3090</v>
      </c>
    </row>
    <row r="21169" spans="1:8" x14ac:dyDescent="0.25">
      <c r="A21169" t="str">
        <f>"&lt;restock&gt;" &amp;$F$21166&amp;"&lt;/restock&gt;"</f>
        <v>&lt;restock&gt;0&lt;/restock&gt;</v>
      </c>
      <c r="B21169" t="s">
        <v>3090</v>
      </c>
    </row>
    <row r="21170" spans="1:8" x14ac:dyDescent="0.25">
      <c r="A21170" t="str">
        <f>"&lt;min&gt;" &amp;$G$21166&amp;"&lt;/min&gt;"</f>
        <v>&lt;min&gt;1&lt;/min&gt;</v>
      </c>
      <c r="B21170" t="s">
        <v>3090</v>
      </c>
    </row>
    <row r="21171" spans="1:8" x14ac:dyDescent="0.25">
      <c r="A21171" t="s">
        <v>16</v>
      </c>
      <c r="B21171" t="s">
        <v>3090</v>
      </c>
    </row>
    <row r="21172" spans="1:8" x14ac:dyDescent="0.25">
      <c r="A21172" t="s">
        <v>17</v>
      </c>
      <c r="B21172" t="s">
        <v>3090</v>
      </c>
    </row>
    <row r="21173" spans="1:8" x14ac:dyDescent="0.25">
      <c r="A21173" t="s">
        <v>18</v>
      </c>
      <c r="B21173" t="s">
        <v>3090</v>
      </c>
    </row>
    <row r="21174" spans="1:8" x14ac:dyDescent="0.25">
      <c r="A21174" t="str">
        <f xml:space="preserve"> $H$21166</f>
        <v>&lt;flags count_in_cargo="0" count_in_hoarder="0" count_in_map="1" count_in_player="0" crafted="0" deloot="0"/&gt;</v>
      </c>
      <c r="B21174" t="s">
        <v>3090</v>
      </c>
    </row>
    <row r="21175" spans="1:8" x14ac:dyDescent="0.25">
      <c r="A21175" t="str">
        <f>"&lt;category name=" &amp;"""" &amp;$C$21166&amp;"""/&gt;"</f>
        <v>&lt;category name="vehiclesparts"/&gt;</v>
      </c>
      <c r="B21175" t="s">
        <v>3090</v>
      </c>
    </row>
    <row r="21176" spans="1:8" x14ac:dyDescent="0.25">
      <c r="A21176" t="s">
        <v>25</v>
      </c>
      <c r="B21176" t="s">
        <v>3090</v>
      </c>
    </row>
    <row r="21177" spans="1:8" x14ac:dyDescent="0.25">
      <c r="A21177" t="s">
        <v>55</v>
      </c>
      <c r="B21177" t="s">
        <v>3090</v>
      </c>
    </row>
    <row r="21178" spans="1:8" x14ac:dyDescent="0.25">
      <c r="A21178" t="s">
        <v>22</v>
      </c>
      <c r="B21178" t="s">
        <v>3090</v>
      </c>
    </row>
    <row r="21179" spans="1:8" x14ac:dyDescent="0.25">
      <c r="A21179" t="s">
        <v>2903</v>
      </c>
      <c r="B21179" t="s">
        <v>3091</v>
      </c>
      <c r="C21179" t="s">
        <v>3033</v>
      </c>
      <c r="D21179">
        <v>2</v>
      </c>
      <c r="E21179">
        <v>2700</v>
      </c>
      <c r="F21179">
        <v>0</v>
      </c>
      <c r="G21179">
        <v>1</v>
      </c>
      <c r="H21179" t="s">
        <v>19</v>
      </c>
    </row>
    <row r="21180" spans="1:8" x14ac:dyDescent="0.25">
      <c r="A21180" t="str">
        <f>"&lt;nominal&gt;" &amp;$D$21179&amp;"&lt;/nominal&gt;"</f>
        <v>&lt;nominal&gt;2&lt;/nominal&gt;</v>
      </c>
      <c r="B21180" t="s">
        <v>3091</v>
      </c>
    </row>
    <row r="21181" spans="1:8" x14ac:dyDescent="0.25">
      <c r="A21181" t="str">
        <f>"&lt;lifetime&gt;" &amp;$E$21179&amp;"&lt;/lifetime&gt;"</f>
        <v>&lt;lifetime&gt;2700&lt;/lifetime&gt;</v>
      </c>
      <c r="B21181" t="s">
        <v>3091</v>
      </c>
    </row>
    <row r="21182" spans="1:8" x14ac:dyDescent="0.25">
      <c r="A21182" t="str">
        <f>"&lt;restock&gt;" &amp;$F$21179&amp;"&lt;/restock&gt;"</f>
        <v>&lt;restock&gt;0&lt;/restock&gt;</v>
      </c>
      <c r="B21182" t="s">
        <v>3091</v>
      </c>
    </row>
    <row r="21183" spans="1:8" x14ac:dyDescent="0.25">
      <c r="A21183" t="str">
        <f>"&lt;min&gt;" &amp;$G$21179&amp;"&lt;/min&gt;"</f>
        <v>&lt;min&gt;1&lt;/min&gt;</v>
      </c>
      <c r="B21183" t="s">
        <v>3091</v>
      </c>
    </row>
    <row r="21184" spans="1:8" x14ac:dyDescent="0.25">
      <c r="A21184" t="s">
        <v>16</v>
      </c>
      <c r="B21184" t="s">
        <v>3091</v>
      </c>
    </row>
    <row r="21185" spans="1:8" x14ac:dyDescent="0.25">
      <c r="A21185" t="s">
        <v>17</v>
      </c>
      <c r="B21185" t="s">
        <v>3091</v>
      </c>
    </row>
    <row r="21186" spans="1:8" x14ac:dyDescent="0.25">
      <c r="A21186" t="s">
        <v>18</v>
      </c>
      <c r="B21186" t="s">
        <v>3091</v>
      </c>
    </row>
    <row r="21187" spans="1:8" x14ac:dyDescent="0.25">
      <c r="A21187" t="str">
        <f xml:space="preserve"> $H$21179</f>
        <v>&lt;flags count_in_cargo="0" count_in_hoarder="0" count_in_map="1" count_in_player="0" crafted="0" deloot="0"/&gt;</v>
      </c>
      <c r="B21187" t="s">
        <v>3091</v>
      </c>
    </row>
    <row r="21188" spans="1:8" x14ac:dyDescent="0.25">
      <c r="A21188" t="str">
        <f>"&lt;category name=" &amp;"""" &amp;$C$21179&amp;"""/&gt;"</f>
        <v>&lt;category name="vehiclesparts"/&gt;</v>
      </c>
      <c r="B21188" t="s">
        <v>3091</v>
      </c>
    </row>
    <row r="21189" spans="1:8" x14ac:dyDescent="0.25">
      <c r="A21189" t="s">
        <v>25</v>
      </c>
      <c r="B21189" t="s">
        <v>3091</v>
      </c>
    </row>
    <row r="21190" spans="1:8" x14ac:dyDescent="0.25">
      <c r="A21190" t="s">
        <v>55</v>
      </c>
      <c r="B21190" t="s">
        <v>3091</v>
      </c>
    </row>
    <row r="21191" spans="1:8" x14ac:dyDescent="0.25">
      <c r="A21191" t="s">
        <v>22</v>
      </c>
      <c r="B21191" t="s">
        <v>3091</v>
      </c>
    </row>
    <row r="21192" spans="1:8" x14ac:dyDescent="0.25">
      <c r="A21192" t="s">
        <v>2904</v>
      </c>
      <c r="B21192" t="s">
        <v>3092</v>
      </c>
      <c r="C21192" t="s">
        <v>3033</v>
      </c>
      <c r="D21192">
        <v>2</v>
      </c>
      <c r="E21192">
        <v>2700</v>
      </c>
      <c r="F21192">
        <v>0</v>
      </c>
      <c r="G21192">
        <v>1</v>
      </c>
      <c r="H21192" t="s">
        <v>19</v>
      </c>
    </row>
    <row r="21193" spans="1:8" x14ac:dyDescent="0.25">
      <c r="A21193" t="str">
        <f>"&lt;nominal&gt;" &amp;$D$21192&amp;"&lt;/nominal&gt;"</f>
        <v>&lt;nominal&gt;2&lt;/nominal&gt;</v>
      </c>
      <c r="B21193" t="s">
        <v>3092</v>
      </c>
    </row>
    <row r="21194" spans="1:8" x14ac:dyDescent="0.25">
      <c r="A21194" t="str">
        <f>"&lt;lifetime&gt;" &amp;$E$21192&amp;"&lt;/lifetime&gt;"</f>
        <v>&lt;lifetime&gt;2700&lt;/lifetime&gt;</v>
      </c>
      <c r="B21194" t="s">
        <v>3092</v>
      </c>
    </row>
    <row r="21195" spans="1:8" x14ac:dyDescent="0.25">
      <c r="A21195" t="str">
        <f>"&lt;restock&gt;" &amp;$F$21192&amp;"&lt;/restock&gt;"</f>
        <v>&lt;restock&gt;0&lt;/restock&gt;</v>
      </c>
      <c r="B21195" t="s">
        <v>3092</v>
      </c>
    </row>
    <row r="21196" spans="1:8" x14ac:dyDescent="0.25">
      <c r="A21196" t="str">
        <f>"&lt;min&gt;" &amp;$G$21192&amp;"&lt;/min&gt;"</f>
        <v>&lt;min&gt;1&lt;/min&gt;</v>
      </c>
      <c r="B21196" t="s">
        <v>3092</v>
      </c>
    </row>
    <row r="21197" spans="1:8" x14ac:dyDescent="0.25">
      <c r="A21197" t="s">
        <v>16</v>
      </c>
      <c r="B21197" t="s">
        <v>3092</v>
      </c>
    </row>
    <row r="21198" spans="1:8" x14ac:dyDescent="0.25">
      <c r="A21198" t="s">
        <v>17</v>
      </c>
      <c r="B21198" t="s">
        <v>3092</v>
      </c>
    </row>
    <row r="21199" spans="1:8" x14ac:dyDescent="0.25">
      <c r="A21199" t="s">
        <v>18</v>
      </c>
      <c r="B21199" t="s">
        <v>3092</v>
      </c>
    </row>
    <row r="21200" spans="1:8" x14ac:dyDescent="0.25">
      <c r="A21200" t="str">
        <f xml:space="preserve"> $H$21192</f>
        <v>&lt;flags count_in_cargo="0" count_in_hoarder="0" count_in_map="1" count_in_player="0" crafted="0" deloot="0"/&gt;</v>
      </c>
      <c r="B21200" t="s">
        <v>3092</v>
      </c>
    </row>
    <row r="21201" spans="1:8" x14ac:dyDescent="0.25">
      <c r="A21201" t="str">
        <f>"&lt;category name=" &amp;"""" &amp;$C$21192&amp;"""/&gt;"</f>
        <v>&lt;category name="vehiclesparts"/&gt;</v>
      </c>
      <c r="B21201" t="s">
        <v>3092</v>
      </c>
    </row>
    <row r="21202" spans="1:8" x14ac:dyDescent="0.25">
      <c r="A21202" t="s">
        <v>25</v>
      </c>
      <c r="B21202" t="s">
        <v>3092</v>
      </c>
    </row>
    <row r="21203" spans="1:8" x14ac:dyDescent="0.25">
      <c r="A21203" t="s">
        <v>55</v>
      </c>
      <c r="B21203" t="s">
        <v>3092</v>
      </c>
    </row>
    <row r="21204" spans="1:8" x14ac:dyDescent="0.25">
      <c r="A21204" t="s">
        <v>22</v>
      </c>
      <c r="B21204" t="s">
        <v>3092</v>
      </c>
    </row>
    <row r="21205" spans="1:8" x14ac:dyDescent="0.25">
      <c r="A21205" t="s">
        <v>2905</v>
      </c>
      <c r="B21205" t="s">
        <v>3093</v>
      </c>
      <c r="C21205" t="s">
        <v>3033</v>
      </c>
      <c r="D21205">
        <v>2</v>
      </c>
      <c r="E21205">
        <v>2700</v>
      </c>
      <c r="F21205">
        <v>0</v>
      </c>
      <c r="G21205">
        <v>1</v>
      </c>
      <c r="H21205" t="s">
        <v>19</v>
      </c>
    </row>
    <row r="21206" spans="1:8" x14ac:dyDescent="0.25">
      <c r="A21206" t="str">
        <f>"&lt;nominal&gt;" &amp;$D$21205&amp;"&lt;/nominal&gt;"</f>
        <v>&lt;nominal&gt;2&lt;/nominal&gt;</v>
      </c>
      <c r="B21206" t="s">
        <v>3093</v>
      </c>
    </row>
    <row r="21207" spans="1:8" x14ac:dyDescent="0.25">
      <c r="A21207" t="str">
        <f>"&lt;lifetime&gt;" &amp;$E$21205&amp;"&lt;/lifetime&gt;"</f>
        <v>&lt;lifetime&gt;2700&lt;/lifetime&gt;</v>
      </c>
      <c r="B21207" t="s">
        <v>3093</v>
      </c>
    </row>
    <row r="21208" spans="1:8" x14ac:dyDescent="0.25">
      <c r="A21208" t="str">
        <f>"&lt;restock&gt;" &amp;$F$21205&amp;"&lt;/restock&gt;"</f>
        <v>&lt;restock&gt;0&lt;/restock&gt;</v>
      </c>
      <c r="B21208" t="s">
        <v>3093</v>
      </c>
    </row>
    <row r="21209" spans="1:8" x14ac:dyDescent="0.25">
      <c r="A21209" t="str">
        <f>"&lt;min&gt;" &amp;$G$21205&amp;"&lt;/min&gt;"</f>
        <v>&lt;min&gt;1&lt;/min&gt;</v>
      </c>
      <c r="B21209" t="s">
        <v>3093</v>
      </c>
    </row>
    <row r="21210" spans="1:8" x14ac:dyDescent="0.25">
      <c r="A21210" t="s">
        <v>16</v>
      </c>
      <c r="B21210" t="s">
        <v>3093</v>
      </c>
    </row>
    <row r="21211" spans="1:8" x14ac:dyDescent="0.25">
      <c r="A21211" t="s">
        <v>17</v>
      </c>
      <c r="B21211" t="s">
        <v>3093</v>
      </c>
    </row>
    <row r="21212" spans="1:8" x14ac:dyDescent="0.25">
      <c r="A21212" t="s">
        <v>18</v>
      </c>
      <c r="B21212" t="s">
        <v>3093</v>
      </c>
    </row>
    <row r="21213" spans="1:8" x14ac:dyDescent="0.25">
      <c r="A21213" t="str">
        <f xml:space="preserve"> $H$21205</f>
        <v>&lt;flags count_in_cargo="0" count_in_hoarder="0" count_in_map="1" count_in_player="0" crafted="0" deloot="0"/&gt;</v>
      </c>
      <c r="B21213" t="s">
        <v>3093</v>
      </c>
    </row>
    <row r="21214" spans="1:8" x14ac:dyDescent="0.25">
      <c r="A21214" t="str">
        <f>"&lt;category name=" &amp;"""" &amp;$C$21205&amp;"""/&gt;"</f>
        <v>&lt;category name="vehiclesparts"/&gt;</v>
      </c>
      <c r="B21214" t="s">
        <v>3093</v>
      </c>
    </row>
    <row r="21215" spans="1:8" x14ac:dyDescent="0.25">
      <c r="A21215" t="s">
        <v>25</v>
      </c>
      <c r="B21215" t="s">
        <v>3093</v>
      </c>
    </row>
    <row r="21216" spans="1:8" x14ac:dyDescent="0.25">
      <c r="A21216" t="s">
        <v>55</v>
      </c>
      <c r="B21216" t="s">
        <v>3093</v>
      </c>
    </row>
    <row r="21217" spans="1:8" x14ac:dyDescent="0.25">
      <c r="A21217" t="s">
        <v>22</v>
      </c>
      <c r="B21217" t="s">
        <v>3093</v>
      </c>
    </row>
    <row r="21218" spans="1:8" x14ac:dyDescent="0.25">
      <c r="A21218" t="s">
        <v>2906</v>
      </c>
      <c r="B21218" t="s">
        <v>3094</v>
      </c>
      <c r="C21218" t="s">
        <v>3033</v>
      </c>
      <c r="D21218">
        <v>2</v>
      </c>
      <c r="E21218">
        <v>2700</v>
      </c>
      <c r="F21218">
        <v>0</v>
      </c>
      <c r="G21218">
        <v>1</v>
      </c>
      <c r="H21218" t="s">
        <v>19</v>
      </c>
    </row>
    <row r="21219" spans="1:8" x14ac:dyDescent="0.25">
      <c r="A21219" t="str">
        <f>"&lt;nominal&gt;" &amp;$D$21218&amp;"&lt;/nominal&gt;"</f>
        <v>&lt;nominal&gt;2&lt;/nominal&gt;</v>
      </c>
      <c r="B21219" t="s">
        <v>3094</v>
      </c>
    </row>
    <row r="21220" spans="1:8" x14ac:dyDescent="0.25">
      <c r="A21220" t="str">
        <f>"&lt;lifetime&gt;" &amp;$E$21218&amp;"&lt;/lifetime&gt;"</f>
        <v>&lt;lifetime&gt;2700&lt;/lifetime&gt;</v>
      </c>
      <c r="B21220" t="s">
        <v>3094</v>
      </c>
    </row>
    <row r="21221" spans="1:8" x14ac:dyDescent="0.25">
      <c r="A21221" t="str">
        <f>"&lt;restock&gt;" &amp;$F$21218&amp;"&lt;/restock&gt;"</f>
        <v>&lt;restock&gt;0&lt;/restock&gt;</v>
      </c>
      <c r="B21221" t="s">
        <v>3094</v>
      </c>
    </row>
    <row r="21222" spans="1:8" x14ac:dyDescent="0.25">
      <c r="A21222" t="str">
        <f>"&lt;min&gt;" &amp;$G$21218&amp;"&lt;/min&gt;"</f>
        <v>&lt;min&gt;1&lt;/min&gt;</v>
      </c>
      <c r="B21222" t="s">
        <v>3094</v>
      </c>
    </row>
    <row r="21223" spans="1:8" x14ac:dyDescent="0.25">
      <c r="A21223" t="s">
        <v>16</v>
      </c>
      <c r="B21223" t="s">
        <v>3094</v>
      </c>
    </row>
    <row r="21224" spans="1:8" x14ac:dyDescent="0.25">
      <c r="A21224" t="s">
        <v>17</v>
      </c>
      <c r="B21224" t="s">
        <v>3094</v>
      </c>
    </row>
    <row r="21225" spans="1:8" x14ac:dyDescent="0.25">
      <c r="A21225" t="s">
        <v>18</v>
      </c>
      <c r="B21225" t="s">
        <v>3094</v>
      </c>
    </row>
    <row r="21226" spans="1:8" x14ac:dyDescent="0.25">
      <c r="A21226" t="str">
        <f xml:space="preserve"> $H$21218</f>
        <v>&lt;flags count_in_cargo="0" count_in_hoarder="0" count_in_map="1" count_in_player="0" crafted="0" deloot="0"/&gt;</v>
      </c>
      <c r="B21226" t="s">
        <v>3094</v>
      </c>
    </row>
    <row r="21227" spans="1:8" x14ac:dyDescent="0.25">
      <c r="A21227" t="str">
        <f>"&lt;category name=" &amp;"""" &amp;$C$21218&amp;"""/&gt;"</f>
        <v>&lt;category name="vehiclesparts"/&gt;</v>
      </c>
      <c r="B21227" t="s">
        <v>3094</v>
      </c>
    </row>
    <row r="21228" spans="1:8" x14ac:dyDescent="0.25">
      <c r="A21228" t="s">
        <v>25</v>
      </c>
      <c r="B21228" t="s">
        <v>3094</v>
      </c>
    </row>
    <row r="21229" spans="1:8" x14ac:dyDescent="0.25">
      <c r="A21229" t="s">
        <v>55</v>
      </c>
      <c r="B21229" t="s">
        <v>3094</v>
      </c>
    </row>
    <row r="21230" spans="1:8" x14ac:dyDescent="0.25">
      <c r="A21230" t="s">
        <v>22</v>
      </c>
      <c r="B21230" t="s">
        <v>3094</v>
      </c>
    </row>
    <row r="21231" spans="1:8" x14ac:dyDescent="0.25">
      <c r="A21231" t="s">
        <v>2907</v>
      </c>
      <c r="B21231" t="s">
        <v>3095</v>
      </c>
      <c r="C21231" t="s">
        <v>3033</v>
      </c>
      <c r="D21231">
        <v>2</v>
      </c>
      <c r="E21231">
        <v>2700</v>
      </c>
      <c r="F21231">
        <v>0</v>
      </c>
      <c r="G21231">
        <v>1</v>
      </c>
      <c r="H21231" t="s">
        <v>19</v>
      </c>
    </row>
    <row r="21232" spans="1:8" x14ac:dyDescent="0.25">
      <c r="A21232" t="str">
        <f>"&lt;nominal&gt;" &amp;$D$21231&amp;"&lt;/nominal&gt;"</f>
        <v>&lt;nominal&gt;2&lt;/nominal&gt;</v>
      </c>
      <c r="B21232" t="s">
        <v>3095</v>
      </c>
    </row>
    <row r="21233" spans="1:8" x14ac:dyDescent="0.25">
      <c r="A21233" t="str">
        <f>"&lt;lifetime&gt;" &amp;$E$21231&amp;"&lt;/lifetime&gt;"</f>
        <v>&lt;lifetime&gt;2700&lt;/lifetime&gt;</v>
      </c>
      <c r="B21233" t="s">
        <v>3095</v>
      </c>
    </row>
    <row r="21234" spans="1:8" x14ac:dyDescent="0.25">
      <c r="A21234" t="str">
        <f>"&lt;restock&gt;" &amp;$F$21231&amp;"&lt;/restock&gt;"</f>
        <v>&lt;restock&gt;0&lt;/restock&gt;</v>
      </c>
      <c r="B21234" t="s">
        <v>3095</v>
      </c>
    </row>
    <row r="21235" spans="1:8" x14ac:dyDescent="0.25">
      <c r="A21235" t="str">
        <f>"&lt;min&gt;" &amp;$G$21231&amp;"&lt;/min&gt;"</f>
        <v>&lt;min&gt;1&lt;/min&gt;</v>
      </c>
      <c r="B21235" t="s">
        <v>3095</v>
      </c>
    </row>
    <row r="21236" spans="1:8" x14ac:dyDescent="0.25">
      <c r="A21236" t="s">
        <v>16</v>
      </c>
      <c r="B21236" t="s">
        <v>3095</v>
      </c>
    </row>
    <row r="21237" spans="1:8" x14ac:dyDescent="0.25">
      <c r="A21237" t="s">
        <v>17</v>
      </c>
      <c r="B21237" t="s">
        <v>3095</v>
      </c>
    </row>
    <row r="21238" spans="1:8" x14ac:dyDescent="0.25">
      <c r="A21238" t="s">
        <v>18</v>
      </c>
      <c r="B21238" t="s">
        <v>3095</v>
      </c>
    </row>
    <row r="21239" spans="1:8" x14ac:dyDescent="0.25">
      <c r="A21239" t="str">
        <f xml:space="preserve"> $H$21231</f>
        <v>&lt;flags count_in_cargo="0" count_in_hoarder="0" count_in_map="1" count_in_player="0" crafted="0" deloot="0"/&gt;</v>
      </c>
      <c r="B21239" t="s">
        <v>3095</v>
      </c>
    </row>
    <row r="21240" spans="1:8" x14ac:dyDescent="0.25">
      <c r="A21240" t="str">
        <f>"&lt;category name=" &amp;"""" &amp;$C$21231&amp;"""/&gt;"</f>
        <v>&lt;category name="vehiclesparts"/&gt;</v>
      </c>
      <c r="B21240" t="s">
        <v>3095</v>
      </c>
    </row>
    <row r="21241" spans="1:8" x14ac:dyDescent="0.25">
      <c r="A21241" t="s">
        <v>25</v>
      </c>
      <c r="B21241" t="s">
        <v>3095</v>
      </c>
    </row>
    <row r="21242" spans="1:8" x14ac:dyDescent="0.25">
      <c r="A21242" t="s">
        <v>55</v>
      </c>
      <c r="B21242" t="s">
        <v>3095</v>
      </c>
    </row>
    <row r="21243" spans="1:8" x14ac:dyDescent="0.25">
      <c r="A21243" t="s">
        <v>22</v>
      </c>
      <c r="B21243" t="s">
        <v>3095</v>
      </c>
    </row>
    <row r="21244" spans="1:8" x14ac:dyDescent="0.25">
      <c r="A21244" t="s">
        <v>2908</v>
      </c>
      <c r="B21244" t="s">
        <v>3096</v>
      </c>
      <c r="C21244" t="s">
        <v>3033</v>
      </c>
      <c r="D21244">
        <v>2</v>
      </c>
      <c r="E21244">
        <v>2700</v>
      </c>
      <c r="F21244">
        <v>0</v>
      </c>
      <c r="G21244">
        <v>1</v>
      </c>
      <c r="H21244" t="s">
        <v>19</v>
      </c>
    </row>
    <row r="21245" spans="1:8" x14ac:dyDescent="0.25">
      <c r="A21245" t="str">
        <f>"&lt;nominal&gt;" &amp;$D$21244&amp;"&lt;/nominal&gt;"</f>
        <v>&lt;nominal&gt;2&lt;/nominal&gt;</v>
      </c>
      <c r="B21245" t="s">
        <v>3096</v>
      </c>
    </row>
    <row r="21246" spans="1:8" x14ac:dyDescent="0.25">
      <c r="A21246" t="str">
        <f>"&lt;lifetime&gt;" &amp;$E$21244&amp;"&lt;/lifetime&gt;"</f>
        <v>&lt;lifetime&gt;2700&lt;/lifetime&gt;</v>
      </c>
      <c r="B21246" t="s">
        <v>3096</v>
      </c>
    </row>
    <row r="21247" spans="1:8" x14ac:dyDescent="0.25">
      <c r="A21247" t="str">
        <f>"&lt;restock&gt;" &amp;$F$21244&amp;"&lt;/restock&gt;"</f>
        <v>&lt;restock&gt;0&lt;/restock&gt;</v>
      </c>
      <c r="B21247" t="s">
        <v>3096</v>
      </c>
    </row>
    <row r="21248" spans="1:8" x14ac:dyDescent="0.25">
      <c r="A21248" t="str">
        <f>"&lt;min&gt;" &amp;$G$21244&amp;"&lt;/min&gt;"</f>
        <v>&lt;min&gt;1&lt;/min&gt;</v>
      </c>
      <c r="B21248" t="s">
        <v>3096</v>
      </c>
    </row>
    <row r="21249" spans="1:8" x14ac:dyDescent="0.25">
      <c r="A21249" t="s">
        <v>16</v>
      </c>
      <c r="B21249" t="s">
        <v>3096</v>
      </c>
    </row>
    <row r="21250" spans="1:8" x14ac:dyDescent="0.25">
      <c r="A21250" t="s">
        <v>17</v>
      </c>
      <c r="B21250" t="s">
        <v>3096</v>
      </c>
    </row>
    <row r="21251" spans="1:8" x14ac:dyDescent="0.25">
      <c r="A21251" t="s">
        <v>18</v>
      </c>
      <c r="B21251" t="s">
        <v>3096</v>
      </c>
    </row>
    <row r="21252" spans="1:8" x14ac:dyDescent="0.25">
      <c r="A21252" t="str">
        <f xml:space="preserve"> $H$21244</f>
        <v>&lt;flags count_in_cargo="0" count_in_hoarder="0" count_in_map="1" count_in_player="0" crafted="0" deloot="0"/&gt;</v>
      </c>
      <c r="B21252" t="s">
        <v>3096</v>
      </c>
    </row>
    <row r="21253" spans="1:8" x14ac:dyDescent="0.25">
      <c r="A21253" t="str">
        <f>"&lt;category name=" &amp;"""" &amp;$C$21244&amp;"""/&gt;"</f>
        <v>&lt;category name="vehiclesparts"/&gt;</v>
      </c>
      <c r="B21253" t="s">
        <v>3096</v>
      </c>
    </row>
    <row r="21254" spans="1:8" x14ac:dyDescent="0.25">
      <c r="A21254" t="s">
        <v>25</v>
      </c>
      <c r="B21254" t="s">
        <v>3096</v>
      </c>
    </row>
    <row r="21255" spans="1:8" x14ac:dyDescent="0.25">
      <c r="A21255" t="s">
        <v>55</v>
      </c>
      <c r="B21255" t="s">
        <v>3096</v>
      </c>
    </row>
    <row r="21256" spans="1:8" x14ac:dyDescent="0.25">
      <c r="A21256" t="s">
        <v>22</v>
      </c>
      <c r="B21256" t="s">
        <v>3096</v>
      </c>
    </row>
    <row r="21257" spans="1:8" x14ac:dyDescent="0.25">
      <c r="A21257" t="s">
        <v>2909</v>
      </c>
      <c r="B21257" t="s">
        <v>3097</v>
      </c>
      <c r="C21257" t="s">
        <v>3033</v>
      </c>
      <c r="D21257">
        <v>2</v>
      </c>
      <c r="E21257">
        <v>2700</v>
      </c>
      <c r="F21257">
        <v>0</v>
      </c>
      <c r="G21257">
        <v>1</v>
      </c>
      <c r="H21257" t="s">
        <v>19</v>
      </c>
    </row>
    <row r="21258" spans="1:8" x14ac:dyDescent="0.25">
      <c r="A21258" t="str">
        <f>"&lt;nominal&gt;" &amp;$D$21257&amp;"&lt;/nominal&gt;"</f>
        <v>&lt;nominal&gt;2&lt;/nominal&gt;</v>
      </c>
      <c r="B21258" t="s">
        <v>3097</v>
      </c>
    </row>
    <row r="21259" spans="1:8" x14ac:dyDescent="0.25">
      <c r="A21259" t="str">
        <f>"&lt;lifetime&gt;" &amp;$E$21257&amp;"&lt;/lifetime&gt;"</f>
        <v>&lt;lifetime&gt;2700&lt;/lifetime&gt;</v>
      </c>
      <c r="B21259" t="s">
        <v>3097</v>
      </c>
    </row>
    <row r="21260" spans="1:8" x14ac:dyDescent="0.25">
      <c r="A21260" t="str">
        <f>"&lt;restock&gt;" &amp;$F$21257&amp;"&lt;/restock&gt;"</f>
        <v>&lt;restock&gt;0&lt;/restock&gt;</v>
      </c>
      <c r="B21260" t="s">
        <v>3097</v>
      </c>
    </row>
    <row r="21261" spans="1:8" x14ac:dyDescent="0.25">
      <c r="A21261" t="str">
        <f>"&lt;min&gt;" &amp;$G$21257&amp;"&lt;/min&gt;"</f>
        <v>&lt;min&gt;1&lt;/min&gt;</v>
      </c>
      <c r="B21261" t="s">
        <v>3097</v>
      </c>
    </row>
    <row r="21262" spans="1:8" x14ac:dyDescent="0.25">
      <c r="A21262" t="s">
        <v>16</v>
      </c>
      <c r="B21262" t="s">
        <v>3097</v>
      </c>
    </row>
    <row r="21263" spans="1:8" x14ac:dyDescent="0.25">
      <c r="A21263" t="s">
        <v>17</v>
      </c>
      <c r="B21263" t="s">
        <v>3097</v>
      </c>
    </row>
    <row r="21264" spans="1:8" x14ac:dyDescent="0.25">
      <c r="A21264" t="s">
        <v>18</v>
      </c>
      <c r="B21264" t="s">
        <v>3097</v>
      </c>
    </row>
    <row r="21265" spans="1:8" x14ac:dyDescent="0.25">
      <c r="A21265" t="str">
        <f xml:space="preserve"> $H$21257</f>
        <v>&lt;flags count_in_cargo="0" count_in_hoarder="0" count_in_map="1" count_in_player="0" crafted="0" deloot="0"/&gt;</v>
      </c>
      <c r="B21265" t="s">
        <v>3097</v>
      </c>
    </row>
    <row r="21266" spans="1:8" x14ac:dyDescent="0.25">
      <c r="A21266" t="str">
        <f>"&lt;category name=" &amp;"""" &amp;$C$21257&amp;"""/&gt;"</f>
        <v>&lt;category name="vehiclesparts"/&gt;</v>
      </c>
      <c r="B21266" t="s">
        <v>3097</v>
      </c>
    </row>
    <row r="21267" spans="1:8" x14ac:dyDescent="0.25">
      <c r="A21267" t="s">
        <v>25</v>
      </c>
      <c r="B21267" t="s">
        <v>3097</v>
      </c>
    </row>
    <row r="21268" spans="1:8" x14ac:dyDescent="0.25">
      <c r="A21268" t="s">
        <v>55</v>
      </c>
      <c r="B21268" t="s">
        <v>3097</v>
      </c>
    </row>
    <row r="21269" spans="1:8" x14ac:dyDescent="0.25">
      <c r="A21269" t="s">
        <v>22</v>
      </c>
      <c r="B21269" t="s">
        <v>3097</v>
      </c>
    </row>
    <row r="21270" spans="1:8" x14ac:dyDescent="0.25">
      <c r="A21270" t="s">
        <v>2910</v>
      </c>
      <c r="B21270" t="s">
        <v>3098</v>
      </c>
      <c r="C21270" t="s">
        <v>3033</v>
      </c>
      <c r="D21270">
        <v>2</v>
      </c>
      <c r="E21270">
        <v>2700</v>
      </c>
      <c r="F21270">
        <v>0</v>
      </c>
      <c r="G21270">
        <v>1</v>
      </c>
      <c r="H21270" t="s">
        <v>19</v>
      </c>
    </row>
    <row r="21271" spans="1:8" x14ac:dyDescent="0.25">
      <c r="A21271" t="str">
        <f>"&lt;nominal&gt;" &amp;$D$21270&amp;"&lt;/nominal&gt;"</f>
        <v>&lt;nominal&gt;2&lt;/nominal&gt;</v>
      </c>
      <c r="B21271" t="s">
        <v>3098</v>
      </c>
    </row>
    <row r="21272" spans="1:8" x14ac:dyDescent="0.25">
      <c r="A21272" t="str">
        <f>"&lt;lifetime&gt;" &amp;$E$21270&amp;"&lt;/lifetime&gt;"</f>
        <v>&lt;lifetime&gt;2700&lt;/lifetime&gt;</v>
      </c>
      <c r="B21272" t="s">
        <v>3098</v>
      </c>
    </row>
    <row r="21273" spans="1:8" x14ac:dyDescent="0.25">
      <c r="A21273" t="str">
        <f>"&lt;restock&gt;" &amp;$F$21270&amp;"&lt;/restock&gt;"</f>
        <v>&lt;restock&gt;0&lt;/restock&gt;</v>
      </c>
      <c r="B21273" t="s">
        <v>3098</v>
      </c>
    </row>
    <row r="21274" spans="1:8" x14ac:dyDescent="0.25">
      <c r="A21274" t="str">
        <f>"&lt;min&gt;" &amp;$G$21270&amp;"&lt;/min&gt;"</f>
        <v>&lt;min&gt;1&lt;/min&gt;</v>
      </c>
      <c r="B21274" t="s">
        <v>3098</v>
      </c>
    </row>
    <row r="21275" spans="1:8" x14ac:dyDescent="0.25">
      <c r="A21275" t="s">
        <v>16</v>
      </c>
      <c r="B21275" t="s">
        <v>3098</v>
      </c>
    </row>
    <row r="21276" spans="1:8" x14ac:dyDescent="0.25">
      <c r="A21276" t="s">
        <v>17</v>
      </c>
      <c r="B21276" t="s">
        <v>3098</v>
      </c>
    </row>
    <row r="21277" spans="1:8" x14ac:dyDescent="0.25">
      <c r="A21277" t="s">
        <v>18</v>
      </c>
      <c r="B21277" t="s">
        <v>3098</v>
      </c>
    </row>
    <row r="21278" spans="1:8" x14ac:dyDescent="0.25">
      <c r="A21278" t="str">
        <f xml:space="preserve"> $H$21270</f>
        <v>&lt;flags count_in_cargo="0" count_in_hoarder="0" count_in_map="1" count_in_player="0" crafted="0" deloot="0"/&gt;</v>
      </c>
      <c r="B21278" t="s">
        <v>3098</v>
      </c>
    </row>
    <row r="21279" spans="1:8" x14ac:dyDescent="0.25">
      <c r="A21279" t="str">
        <f>"&lt;category name=" &amp;"""" &amp;$C$21270&amp;"""/&gt;"</f>
        <v>&lt;category name="vehiclesparts"/&gt;</v>
      </c>
      <c r="B21279" t="s">
        <v>3098</v>
      </c>
    </row>
    <row r="21280" spans="1:8" x14ac:dyDescent="0.25">
      <c r="A21280" t="s">
        <v>25</v>
      </c>
      <c r="B21280" t="s">
        <v>3098</v>
      </c>
    </row>
    <row r="21281" spans="1:8" x14ac:dyDescent="0.25">
      <c r="A21281" t="s">
        <v>55</v>
      </c>
      <c r="B21281" t="s">
        <v>3098</v>
      </c>
    </row>
    <row r="21282" spans="1:8" x14ac:dyDescent="0.25">
      <c r="A21282" t="s">
        <v>22</v>
      </c>
      <c r="B21282" t="s">
        <v>3098</v>
      </c>
    </row>
    <row r="21283" spans="1:8" x14ac:dyDescent="0.25">
      <c r="A21283" t="s">
        <v>2911</v>
      </c>
      <c r="B21283" t="s">
        <v>3099</v>
      </c>
      <c r="C21283" t="s">
        <v>3033</v>
      </c>
      <c r="D21283">
        <v>2</v>
      </c>
      <c r="E21283">
        <v>2700</v>
      </c>
      <c r="F21283">
        <v>0</v>
      </c>
      <c r="G21283">
        <v>1</v>
      </c>
      <c r="H21283" t="s">
        <v>19</v>
      </c>
    </row>
    <row r="21284" spans="1:8" x14ac:dyDescent="0.25">
      <c r="A21284" t="str">
        <f>"&lt;nominal&gt;" &amp;$D$21283&amp;"&lt;/nominal&gt;"</f>
        <v>&lt;nominal&gt;2&lt;/nominal&gt;</v>
      </c>
      <c r="B21284" t="s">
        <v>3099</v>
      </c>
    </row>
    <row r="21285" spans="1:8" x14ac:dyDescent="0.25">
      <c r="A21285" t="str">
        <f>"&lt;lifetime&gt;" &amp;$E$21283&amp;"&lt;/lifetime&gt;"</f>
        <v>&lt;lifetime&gt;2700&lt;/lifetime&gt;</v>
      </c>
      <c r="B21285" t="s">
        <v>3099</v>
      </c>
    </row>
    <row r="21286" spans="1:8" x14ac:dyDescent="0.25">
      <c r="A21286" t="str">
        <f>"&lt;restock&gt;" &amp;$F$21283&amp;"&lt;/restock&gt;"</f>
        <v>&lt;restock&gt;0&lt;/restock&gt;</v>
      </c>
      <c r="B21286" t="s">
        <v>3099</v>
      </c>
    </row>
    <row r="21287" spans="1:8" x14ac:dyDescent="0.25">
      <c r="A21287" t="str">
        <f>"&lt;min&gt;" &amp;$G$21283&amp;"&lt;/min&gt;"</f>
        <v>&lt;min&gt;1&lt;/min&gt;</v>
      </c>
      <c r="B21287" t="s">
        <v>3099</v>
      </c>
    </row>
    <row r="21288" spans="1:8" x14ac:dyDescent="0.25">
      <c r="A21288" t="s">
        <v>16</v>
      </c>
      <c r="B21288" t="s">
        <v>3099</v>
      </c>
    </row>
    <row r="21289" spans="1:8" x14ac:dyDescent="0.25">
      <c r="A21289" t="s">
        <v>17</v>
      </c>
      <c r="B21289" t="s">
        <v>3099</v>
      </c>
    </row>
    <row r="21290" spans="1:8" x14ac:dyDescent="0.25">
      <c r="A21290" t="s">
        <v>18</v>
      </c>
      <c r="B21290" t="s">
        <v>3099</v>
      </c>
    </row>
    <row r="21291" spans="1:8" x14ac:dyDescent="0.25">
      <c r="A21291" t="str">
        <f xml:space="preserve"> $H$21283</f>
        <v>&lt;flags count_in_cargo="0" count_in_hoarder="0" count_in_map="1" count_in_player="0" crafted="0" deloot="0"/&gt;</v>
      </c>
      <c r="B21291" t="s">
        <v>3099</v>
      </c>
    </row>
    <row r="21292" spans="1:8" x14ac:dyDescent="0.25">
      <c r="A21292" t="str">
        <f>"&lt;category name=" &amp;"""" &amp;$C$21283&amp;"""/&gt;"</f>
        <v>&lt;category name="vehiclesparts"/&gt;</v>
      </c>
      <c r="B21292" t="s">
        <v>3099</v>
      </c>
    </row>
    <row r="21293" spans="1:8" x14ac:dyDescent="0.25">
      <c r="A21293" t="s">
        <v>25</v>
      </c>
      <c r="B21293" t="s">
        <v>3099</v>
      </c>
    </row>
    <row r="21294" spans="1:8" x14ac:dyDescent="0.25">
      <c r="A21294" t="s">
        <v>55</v>
      </c>
      <c r="B21294" t="s">
        <v>3099</v>
      </c>
    </row>
    <row r="21295" spans="1:8" x14ac:dyDescent="0.25">
      <c r="A21295" t="s">
        <v>22</v>
      </c>
      <c r="B21295" t="s">
        <v>3099</v>
      </c>
    </row>
    <row r="21296" spans="1:8" x14ac:dyDescent="0.25">
      <c r="B21296" t="s">
        <v>3099</v>
      </c>
    </row>
    <row r="21297" spans="1:8" x14ac:dyDescent="0.25">
      <c r="A21297" t="s">
        <v>2912</v>
      </c>
      <c r="B21297" t="s">
        <v>3100</v>
      </c>
      <c r="C21297" t="s">
        <v>426</v>
      </c>
      <c r="D21297">
        <v>20</v>
      </c>
      <c r="E21297">
        <v>7200</v>
      </c>
      <c r="F21297">
        <v>0</v>
      </c>
      <c r="G21297">
        <v>10</v>
      </c>
      <c r="H21297" t="s">
        <v>19</v>
      </c>
    </row>
    <row r="21298" spans="1:8" x14ac:dyDescent="0.25">
      <c r="A21298" t="str">
        <f>"&lt;nominal&gt;" &amp;$D$21297&amp;"&lt;/nominal&gt;"</f>
        <v>&lt;nominal&gt;20&lt;/nominal&gt;</v>
      </c>
      <c r="B21298" t="s">
        <v>3100</v>
      </c>
    </row>
    <row r="21299" spans="1:8" x14ac:dyDescent="0.25">
      <c r="A21299" t="str">
        <f>"&lt;lifetime&gt;" &amp;$E$21297&amp;"&lt;/lifetime&gt;"</f>
        <v>&lt;lifetime&gt;7200&lt;/lifetime&gt;</v>
      </c>
      <c r="B21299" t="s">
        <v>3100</v>
      </c>
    </row>
    <row r="21300" spans="1:8" x14ac:dyDescent="0.25">
      <c r="A21300" t="str">
        <f>"&lt;restock&gt;" &amp;$F$21297&amp;"&lt;/restock&gt;"</f>
        <v>&lt;restock&gt;0&lt;/restock&gt;</v>
      </c>
      <c r="B21300" t="s">
        <v>3100</v>
      </c>
    </row>
    <row r="21301" spans="1:8" x14ac:dyDescent="0.25">
      <c r="A21301" t="str">
        <f>"&lt;min&gt;" &amp;$G$21297&amp;"&lt;/min&gt;"</f>
        <v>&lt;min&gt;10&lt;/min&gt;</v>
      </c>
      <c r="B21301" t="s">
        <v>3100</v>
      </c>
    </row>
    <row r="21302" spans="1:8" x14ac:dyDescent="0.25">
      <c r="A21302" t="s">
        <v>16</v>
      </c>
      <c r="B21302" t="s">
        <v>3100</v>
      </c>
    </row>
    <row r="21303" spans="1:8" x14ac:dyDescent="0.25">
      <c r="A21303" t="s">
        <v>17</v>
      </c>
      <c r="B21303" t="s">
        <v>3100</v>
      </c>
    </row>
    <row r="21304" spans="1:8" x14ac:dyDescent="0.25">
      <c r="A21304" t="s">
        <v>18</v>
      </c>
      <c r="B21304" t="s">
        <v>3100</v>
      </c>
    </row>
    <row r="21305" spans="1:8" x14ac:dyDescent="0.25">
      <c r="A21305" t="str">
        <f xml:space="preserve"> $H$21297</f>
        <v>&lt;flags count_in_cargo="0" count_in_hoarder="0" count_in_map="1" count_in_player="0" crafted="0" deloot="0"/&gt;</v>
      </c>
      <c r="B21305" t="s">
        <v>3100</v>
      </c>
    </row>
    <row r="21306" spans="1:8" x14ac:dyDescent="0.25">
      <c r="A21306" t="str">
        <f>"&lt;category name=" &amp;"""" &amp;$C$21297&amp;"""/&gt;"</f>
        <v>&lt;category name="tools"/&gt;</v>
      </c>
      <c r="B21306" t="s">
        <v>3100</v>
      </c>
    </row>
    <row r="21307" spans="1:8" x14ac:dyDescent="0.25">
      <c r="A21307" t="s">
        <v>55</v>
      </c>
      <c r="B21307" t="s">
        <v>3100</v>
      </c>
    </row>
    <row r="21308" spans="1:8" x14ac:dyDescent="0.25">
      <c r="A21308" t="s">
        <v>56</v>
      </c>
      <c r="B21308" t="s">
        <v>3100</v>
      </c>
    </row>
    <row r="21309" spans="1:8" x14ac:dyDescent="0.25">
      <c r="A21309" t="s">
        <v>40</v>
      </c>
      <c r="B21309" t="s">
        <v>3100</v>
      </c>
    </row>
    <row r="21310" spans="1:8" x14ac:dyDescent="0.25">
      <c r="A21310" t="s">
        <v>2913</v>
      </c>
      <c r="B21310" t="s">
        <v>3100</v>
      </c>
    </row>
    <row r="21311" spans="1:8" x14ac:dyDescent="0.25">
      <c r="A21311" t="s">
        <v>2914</v>
      </c>
      <c r="B21311" t="s">
        <v>3770</v>
      </c>
      <c r="E21311">
        <v>3888000</v>
      </c>
      <c r="H21311" t="s">
        <v>62</v>
      </c>
    </row>
    <row r="21312" spans="1:8" x14ac:dyDescent="0.25">
      <c r="A21312" t="str">
        <f>"&lt;lifetime&gt;" &amp;$E$21311&amp;"&lt;/lifetime&gt;"</f>
        <v>&lt;lifetime&gt;3888000&lt;/lifetime&gt;</v>
      </c>
      <c r="B21312" t="s">
        <v>3770</v>
      </c>
    </row>
    <row r="21313" spans="1:8" x14ac:dyDescent="0.25">
      <c r="A21313" t="str">
        <f xml:space="preserve"> $H$21311</f>
        <v>&lt;flags count_in_cargo="0" count_in_hoarder="0" count_in_map="1" count_in_player="0" crafted="1" deloot="0"/&gt;</v>
      </c>
      <c r="B21313" t="s">
        <v>3770</v>
      </c>
    </row>
    <row r="21314" spans="1:8" x14ac:dyDescent="0.25">
      <c r="A21314" t="s">
        <v>22</v>
      </c>
      <c r="B21314" t="s">
        <v>3770</v>
      </c>
    </row>
    <row r="21315" spans="1:8" x14ac:dyDescent="0.25">
      <c r="A21315" t="s">
        <v>2915</v>
      </c>
      <c r="B21315" t="s">
        <v>3771</v>
      </c>
      <c r="E21315">
        <v>7200</v>
      </c>
      <c r="H21315" t="s">
        <v>62</v>
      </c>
    </row>
    <row r="21316" spans="1:8" x14ac:dyDescent="0.25">
      <c r="A21316" t="str">
        <f>"&lt;lifetime&gt;" &amp;$E$21315&amp;"&lt;/lifetime&gt;"</f>
        <v>&lt;lifetime&gt;7200&lt;/lifetime&gt;</v>
      </c>
      <c r="B21316" t="s">
        <v>3771</v>
      </c>
    </row>
    <row r="21317" spans="1:8" x14ac:dyDescent="0.25">
      <c r="A21317" t="str">
        <f xml:space="preserve"> $H$21315</f>
        <v>&lt;flags count_in_cargo="0" count_in_hoarder="0" count_in_map="1" count_in_player="0" crafted="1" deloot="0"/&gt;</v>
      </c>
      <c r="B21317" t="s">
        <v>3771</v>
      </c>
    </row>
    <row r="21318" spans="1:8" x14ac:dyDescent="0.25">
      <c r="A21318" t="s">
        <v>22</v>
      </c>
      <c r="B21318" t="s">
        <v>3771</v>
      </c>
    </row>
    <row r="21319" spans="1:8" x14ac:dyDescent="0.25">
      <c r="A21319" t="s">
        <v>2916</v>
      </c>
      <c r="B21319" t="s">
        <v>3101</v>
      </c>
      <c r="C21319" t="s">
        <v>426</v>
      </c>
      <c r="D21319">
        <v>10</v>
      </c>
      <c r="E21319">
        <v>21600</v>
      </c>
      <c r="F21319">
        <v>0</v>
      </c>
      <c r="G21319">
        <v>5</v>
      </c>
      <c r="H21319" t="s">
        <v>19</v>
      </c>
    </row>
    <row r="21320" spans="1:8" x14ac:dyDescent="0.25">
      <c r="A21320" t="str">
        <f>"&lt;nominal&gt;" &amp;$D$21319&amp;"&lt;/nominal&gt;"</f>
        <v>&lt;nominal&gt;10&lt;/nominal&gt;</v>
      </c>
      <c r="B21320" t="s">
        <v>3101</v>
      </c>
    </row>
    <row r="21321" spans="1:8" x14ac:dyDescent="0.25">
      <c r="A21321" t="str">
        <f>"&lt;lifetime&gt;" &amp;$E$21319&amp;"&lt;/lifetime&gt;"</f>
        <v>&lt;lifetime&gt;21600&lt;/lifetime&gt;</v>
      </c>
      <c r="B21321" t="s">
        <v>3101</v>
      </c>
    </row>
    <row r="21322" spans="1:8" x14ac:dyDescent="0.25">
      <c r="A21322" t="str">
        <f>"&lt;restock&gt;" &amp;$F$21319&amp;"&lt;/restock&gt;"</f>
        <v>&lt;restock&gt;0&lt;/restock&gt;</v>
      </c>
      <c r="B21322" t="s">
        <v>3101</v>
      </c>
    </row>
    <row r="21323" spans="1:8" x14ac:dyDescent="0.25">
      <c r="A21323" t="str">
        <f>"&lt;min&gt;" &amp;$G$21319&amp;"&lt;/min&gt;"</f>
        <v>&lt;min&gt;5&lt;/min&gt;</v>
      </c>
      <c r="B21323" t="s">
        <v>3101</v>
      </c>
    </row>
    <row r="21324" spans="1:8" x14ac:dyDescent="0.25">
      <c r="A21324" t="s">
        <v>16</v>
      </c>
      <c r="B21324" t="s">
        <v>3101</v>
      </c>
    </row>
    <row r="21325" spans="1:8" x14ac:dyDescent="0.25">
      <c r="A21325" t="s">
        <v>17</v>
      </c>
      <c r="B21325" t="s">
        <v>3101</v>
      </c>
    </row>
    <row r="21326" spans="1:8" x14ac:dyDescent="0.25">
      <c r="A21326" t="s">
        <v>18</v>
      </c>
      <c r="B21326" t="s">
        <v>3101</v>
      </c>
    </row>
    <row r="21327" spans="1:8" x14ac:dyDescent="0.25">
      <c r="A21327" t="str">
        <f xml:space="preserve"> $H$21319</f>
        <v>&lt;flags count_in_cargo="0" count_in_hoarder="0" count_in_map="1" count_in_player="0" crafted="0" deloot="0"/&gt;</v>
      </c>
      <c r="B21327" t="s">
        <v>3101</v>
      </c>
    </row>
    <row r="21328" spans="1:8" x14ac:dyDescent="0.25">
      <c r="A21328" t="str">
        <f>"&lt;category name=" &amp;"""" &amp;$C$21319&amp;"""/&gt;"</f>
        <v>&lt;category name="tools"/&gt;</v>
      </c>
      <c r="B21328" t="s">
        <v>3101</v>
      </c>
    </row>
    <row r="21329" spans="1:8" x14ac:dyDescent="0.25">
      <c r="A21329" t="s">
        <v>29</v>
      </c>
      <c r="B21329" t="s">
        <v>3101</v>
      </c>
    </row>
    <row r="21330" spans="1:8" x14ac:dyDescent="0.25">
      <c r="A21330" t="s">
        <v>22</v>
      </c>
      <c r="B21330" t="s">
        <v>3101</v>
      </c>
    </row>
    <row r="21331" spans="1:8" x14ac:dyDescent="0.25">
      <c r="A21331" t="s">
        <v>2917</v>
      </c>
      <c r="B21331" t="s">
        <v>3102</v>
      </c>
      <c r="C21331" t="s">
        <v>426</v>
      </c>
      <c r="D21331">
        <v>10</v>
      </c>
      <c r="E21331">
        <v>21600</v>
      </c>
      <c r="F21331">
        <v>0</v>
      </c>
      <c r="G21331">
        <v>5</v>
      </c>
      <c r="H21331" t="s">
        <v>19</v>
      </c>
    </row>
    <row r="21332" spans="1:8" x14ac:dyDescent="0.25">
      <c r="A21332" t="str">
        <f>"&lt;nominal&gt;" &amp;$D$21331&amp;"&lt;/nominal&gt;"</f>
        <v>&lt;nominal&gt;10&lt;/nominal&gt;</v>
      </c>
      <c r="B21332" t="s">
        <v>3102</v>
      </c>
    </row>
    <row r="21333" spans="1:8" x14ac:dyDescent="0.25">
      <c r="A21333" t="str">
        <f>"&lt;lifetime&gt;" &amp;$E$21331&amp;"&lt;/lifetime&gt;"</f>
        <v>&lt;lifetime&gt;21600&lt;/lifetime&gt;</v>
      </c>
      <c r="B21333" t="s">
        <v>3102</v>
      </c>
    </row>
    <row r="21334" spans="1:8" x14ac:dyDescent="0.25">
      <c r="A21334" t="str">
        <f>"&lt;restock&gt;" &amp;$F$21331&amp;"&lt;/restock&gt;"</f>
        <v>&lt;restock&gt;0&lt;/restock&gt;</v>
      </c>
      <c r="B21334" t="s">
        <v>3102</v>
      </c>
    </row>
    <row r="21335" spans="1:8" x14ac:dyDescent="0.25">
      <c r="A21335" t="str">
        <f>"&lt;min&gt;" &amp;$G$21331&amp;"&lt;/min&gt;"</f>
        <v>&lt;min&gt;5&lt;/min&gt;</v>
      </c>
      <c r="B21335" t="s">
        <v>3102</v>
      </c>
    </row>
    <row r="21336" spans="1:8" x14ac:dyDescent="0.25">
      <c r="A21336" t="s">
        <v>16</v>
      </c>
      <c r="B21336" t="s">
        <v>3102</v>
      </c>
    </row>
    <row r="21337" spans="1:8" x14ac:dyDescent="0.25">
      <c r="A21337" t="s">
        <v>17</v>
      </c>
      <c r="B21337" t="s">
        <v>3102</v>
      </c>
    </row>
    <row r="21338" spans="1:8" x14ac:dyDescent="0.25">
      <c r="A21338" t="s">
        <v>18</v>
      </c>
      <c r="B21338" t="s">
        <v>3102</v>
      </c>
    </row>
    <row r="21339" spans="1:8" x14ac:dyDescent="0.25">
      <c r="A21339" t="str">
        <f xml:space="preserve"> $H$21331</f>
        <v>&lt;flags count_in_cargo="0" count_in_hoarder="0" count_in_map="1" count_in_player="0" crafted="0" deloot="0"/&gt;</v>
      </c>
      <c r="B21339" t="s">
        <v>3102</v>
      </c>
    </row>
    <row r="21340" spans="1:8" x14ac:dyDescent="0.25">
      <c r="A21340" t="str">
        <f>"&lt;category name=" &amp;"""" &amp;$C$21331&amp;"""/&gt;"</f>
        <v>&lt;category name="tools"/&gt;</v>
      </c>
      <c r="B21340" t="s">
        <v>3102</v>
      </c>
    </row>
    <row r="21341" spans="1:8" x14ac:dyDescent="0.25">
      <c r="A21341" t="s">
        <v>29</v>
      </c>
      <c r="B21341" t="s">
        <v>3102</v>
      </c>
    </row>
    <row r="21342" spans="1:8" x14ac:dyDescent="0.25">
      <c r="A21342" t="s">
        <v>22</v>
      </c>
      <c r="B21342" t="s">
        <v>3102</v>
      </c>
    </row>
    <row r="21343" spans="1:8" x14ac:dyDescent="0.25">
      <c r="A21343" t="s">
        <v>2918</v>
      </c>
      <c r="B21343" t="s">
        <v>3103</v>
      </c>
      <c r="C21343" t="s">
        <v>426</v>
      </c>
      <c r="D21343">
        <v>10</v>
      </c>
      <c r="E21343">
        <v>21600</v>
      </c>
      <c r="F21343">
        <v>0</v>
      </c>
      <c r="G21343">
        <v>5</v>
      </c>
      <c r="H21343" t="s">
        <v>19</v>
      </c>
    </row>
    <row r="21344" spans="1:8" x14ac:dyDescent="0.25">
      <c r="A21344" t="str">
        <f>"&lt;nominal&gt;" &amp;$D$21343&amp;"&lt;/nominal&gt;"</f>
        <v>&lt;nominal&gt;10&lt;/nominal&gt;</v>
      </c>
      <c r="B21344" t="s">
        <v>3103</v>
      </c>
    </row>
    <row r="21345" spans="1:8" x14ac:dyDescent="0.25">
      <c r="A21345" t="str">
        <f>"&lt;lifetime&gt;" &amp;$E$21343&amp;"&lt;/lifetime&gt;"</f>
        <v>&lt;lifetime&gt;21600&lt;/lifetime&gt;</v>
      </c>
      <c r="B21345" t="s">
        <v>3103</v>
      </c>
    </row>
    <row r="21346" spans="1:8" x14ac:dyDescent="0.25">
      <c r="A21346" t="str">
        <f>"&lt;restock&gt;" &amp;$F$21343&amp;"&lt;/restock&gt;"</f>
        <v>&lt;restock&gt;0&lt;/restock&gt;</v>
      </c>
      <c r="B21346" t="s">
        <v>3103</v>
      </c>
    </row>
    <row r="21347" spans="1:8" x14ac:dyDescent="0.25">
      <c r="A21347" t="str">
        <f>"&lt;min&gt;" &amp;$G$21343&amp;"&lt;/min&gt;"</f>
        <v>&lt;min&gt;5&lt;/min&gt;</v>
      </c>
      <c r="B21347" t="s">
        <v>3103</v>
      </c>
    </row>
    <row r="21348" spans="1:8" x14ac:dyDescent="0.25">
      <c r="A21348" t="s">
        <v>16</v>
      </c>
      <c r="B21348" t="s">
        <v>3103</v>
      </c>
    </row>
    <row r="21349" spans="1:8" x14ac:dyDescent="0.25">
      <c r="A21349" t="s">
        <v>17</v>
      </c>
      <c r="B21349" t="s">
        <v>3103</v>
      </c>
    </row>
    <row r="21350" spans="1:8" x14ac:dyDescent="0.25">
      <c r="A21350" t="s">
        <v>18</v>
      </c>
      <c r="B21350" t="s">
        <v>3103</v>
      </c>
    </row>
    <row r="21351" spans="1:8" x14ac:dyDescent="0.25">
      <c r="A21351" t="str">
        <f xml:space="preserve"> $H$21343</f>
        <v>&lt;flags count_in_cargo="0" count_in_hoarder="0" count_in_map="1" count_in_player="0" crafted="0" deloot="0"/&gt;</v>
      </c>
      <c r="B21351" t="s">
        <v>3103</v>
      </c>
    </row>
    <row r="21352" spans="1:8" x14ac:dyDescent="0.25">
      <c r="A21352" t="str">
        <f>"&lt;category name=" &amp;"""" &amp;$C$21343&amp;"""/&gt;"</f>
        <v>&lt;category name="tools"/&gt;</v>
      </c>
      <c r="B21352" t="s">
        <v>3103</v>
      </c>
    </row>
    <row r="21353" spans="1:8" x14ac:dyDescent="0.25">
      <c r="A21353" t="s">
        <v>29</v>
      </c>
      <c r="B21353" t="s">
        <v>3103</v>
      </c>
    </row>
    <row r="21354" spans="1:8" x14ac:dyDescent="0.25">
      <c r="A21354" t="s">
        <v>22</v>
      </c>
      <c r="B21354" t="s">
        <v>3103</v>
      </c>
    </row>
    <row r="21355" spans="1:8" x14ac:dyDescent="0.25">
      <c r="A21355" t="s">
        <v>2919</v>
      </c>
      <c r="B21355" t="s">
        <v>3104</v>
      </c>
      <c r="C21355" t="s">
        <v>426</v>
      </c>
      <c r="D21355">
        <v>10</v>
      </c>
      <c r="E21355">
        <v>21600</v>
      </c>
      <c r="F21355">
        <v>0</v>
      </c>
      <c r="G21355">
        <v>5</v>
      </c>
      <c r="H21355" t="s">
        <v>19</v>
      </c>
    </row>
    <row r="21356" spans="1:8" x14ac:dyDescent="0.25">
      <c r="A21356" t="str">
        <f>"&lt;nominal&gt;" &amp;$D$21355&amp;"&lt;/nominal&gt;"</f>
        <v>&lt;nominal&gt;10&lt;/nominal&gt;</v>
      </c>
      <c r="B21356" t="s">
        <v>3104</v>
      </c>
    </row>
    <row r="21357" spans="1:8" x14ac:dyDescent="0.25">
      <c r="A21357" t="str">
        <f>"&lt;lifetime&gt;" &amp;$E$21355&amp;"&lt;/lifetime&gt;"</f>
        <v>&lt;lifetime&gt;21600&lt;/lifetime&gt;</v>
      </c>
      <c r="B21357" t="s">
        <v>3104</v>
      </c>
    </row>
    <row r="21358" spans="1:8" x14ac:dyDescent="0.25">
      <c r="A21358" t="str">
        <f>"&lt;restock&gt;" &amp;$F$21355&amp;"&lt;/restock&gt;"</f>
        <v>&lt;restock&gt;0&lt;/restock&gt;</v>
      </c>
      <c r="B21358" t="s">
        <v>3104</v>
      </c>
    </row>
    <row r="21359" spans="1:8" x14ac:dyDescent="0.25">
      <c r="A21359" t="str">
        <f>"&lt;min&gt;" &amp;$G$21355&amp;"&lt;/min&gt;"</f>
        <v>&lt;min&gt;5&lt;/min&gt;</v>
      </c>
      <c r="B21359" t="s">
        <v>3104</v>
      </c>
    </row>
    <row r="21360" spans="1:8" x14ac:dyDescent="0.25">
      <c r="A21360" t="s">
        <v>16</v>
      </c>
      <c r="B21360" t="s">
        <v>3104</v>
      </c>
    </row>
    <row r="21361" spans="1:8" x14ac:dyDescent="0.25">
      <c r="A21361" t="s">
        <v>17</v>
      </c>
      <c r="B21361" t="s">
        <v>3104</v>
      </c>
    </row>
    <row r="21362" spans="1:8" x14ac:dyDescent="0.25">
      <c r="A21362" t="s">
        <v>18</v>
      </c>
      <c r="B21362" t="s">
        <v>3104</v>
      </c>
    </row>
    <row r="21363" spans="1:8" x14ac:dyDescent="0.25">
      <c r="A21363" t="str">
        <f xml:space="preserve"> $H$21355</f>
        <v>&lt;flags count_in_cargo="0" count_in_hoarder="0" count_in_map="1" count_in_player="0" crafted="0" deloot="0"/&gt;</v>
      </c>
      <c r="B21363" t="s">
        <v>3104</v>
      </c>
    </row>
    <row r="21364" spans="1:8" x14ac:dyDescent="0.25">
      <c r="A21364" t="str">
        <f>"&lt;category name=" &amp;"""" &amp;$C$21355&amp;"""/&gt;"</f>
        <v>&lt;category name="tools"/&gt;</v>
      </c>
      <c r="B21364" t="s">
        <v>3104</v>
      </c>
    </row>
    <row r="21365" spans="1:8" x14ac:dyDescent="0.25">
      <c r="A21365" t="s">
        <v>29</v>
      </c>
      <c r="B21365" t="s">
        <v>3104</v>
      </c>
    </row>
    <row r="21366" spans="1:8" x14ac:dyDescent="0.25">
      <c r="A21366" t="s">
        <v>22</v>
      </c>
      <c r="B21366" t="s">
        <v>3104</v>
      </c>
    </row>
    <row r="21367" spans="1:8" x14ac:dyDescent="0.25">
      <c r="A21367" t="s">
        <v>2920</v>
      </c>
      <c r="B21367" t="s">
        <v>3105</v>
      </c>
      <c r="C21367" t="s">
        <v>426</v>
      </c>
      <c r="D21367">
        <v>7</v>
      </c>
      <c r="E21367">
        <v>21600</v>
      </c>
      <c r="F21367">
        <v>0</v>
      </c>
      <c r="G21367">
        <v>5</v>
      </c>
      <c r="H21367" t="s">
        <v>19</v>
      </c>
    </row>
    <row r="21368" spans="1:8" x14ac:dyDescent="0.25">
      <c r="A21368" t="str">
        <f>"&lt;nominal&gt;" &amp;$D$21367&amp;"&lt;/nominal&gt;"</f>
        <v>&lt;nominal&gt;7&lt;/nominal&gt;</v>
      </c>
      <c r="B21368" t="s">
        <v>3105</v>
      </c>
    </row>
    <row r="21369" spans="1:8" x14ac:dyDescent="0.25">
      <c r="A21369" t="str">
        <f>"&lt;lifetime&gt;" &amp;$E$21367&amp;"&lt;/lifetime&gt;"</f>
        <v>&lt;lifetime&gt;21600&lt;/lifetime&gt;</v>
      </c>
      <c r="B21369" t="s">
        <v>3105</v>
      </c>
    </row>
    <row r="21370" spans="1:8" x14ac:dyDescent="0.25">
      <c r="A21370" t="str">
        <f>"&lt;restock&gt;" &amp;$F$21367&amp;"&lt;/restock&gt;"</f>
        <v>&lt;restock&gt;0&lt;/restock&gt;</v>
      </c>
      <c r="B21370" t="s">
        <v>3105</v>
      </c>
    </row>
    <row r="21371" spans="1:8" x14ac:dyDescent="0.25">
      <c r="A21371" t="str">
        <f>"&lt;min&gt;" &amp;$G$21367&amp;"&lt;/min&gt;"</f>
        <v>&lt;min&gt;5&lt;/min&gt;</v>
      </c>
      <c r="B21371" t="s">
        <v>3105</v>
      </c>
    </row>
    <row r="21372" spans="1:8" x14ac:dyDescent="0.25">
      <c r="A21372" t="s">
        <v>16</v>
      </c>
      <c r="B21372" t="s">
        <v>3105</v>
      </c>
    </row>
    <row r="21373" spans="1:8" x14ac:dyDescent="0.25">
      <c r="A21373" t="s">
        <v>17</v>
      </c>
      <c r="B21373" t="s">
        <v>3105</v>
      </c>
    </row>
    <row r="21374" spans="1:8" x14ac:dyDescent="0.25">
      <c r="A21374" t="s">
        <v>18</v>
      </c>
      <c r="B21374" t="s">
        <v>3105</v>
      </c>
    </row>
    <row r="21375" spans="1:8" x14ac:dyDescent="0.25">
      <c r="A21375" t="str">
        <f xml:space="preserve"> $H$21367</f>
        <v>&lt;flags count_in_cargo="0" count_in_hoarder="0" count_in_map="1" count_in_player="0" crafted="0" deloot="0"/&gt;</v>
      </c>
      <c r="B21375" t="s">
        <v>3105</v>
      </c>
    </row>
    <row r="21376" spans="1:8" x14ac:dyDescent="0.25">
      <c r="A21376" t="str">
        <f>"&lt;category name=" &amp;"""" &amp;$C$21367&amp;"""/&gt;"</f>
        <v>&lt;category name="tools"/&gt;</v>
      </c>
      <c r="B21376" t="s">
        <v>3105</v>
      </c>
    </row>
    <row r="21377" spans="1:8" x14ac:dyDescent="0.25">
      <c r="A21377" t="s">
        <v>29</v>
      </c>
      <c r="B21377" t="s">
        <v>3105</v>
      </c>
    </row>
    <row r="21378" spans="1:8" x14ac:dyDescent="0.25">
      <c r="A21378" t="s">
        <v>22</v>
      </c>
      <c r="B21378" t="s">
        <v>3105</v>
      </c>
    </row>
    <row r="21379" spans="1:8" x14ac:dyDescent="0.25">
      <c r="A21379" t="s">
        <v>2921</v>
      </c>
      <c r="B21379" t="s">
        <v>3106</v>
      </c>
      <c r="C21379" t="s">
        <v>426</v>
      </c>
      <c r="D21379">
        <v>7</v>
      </c>
      <c r="E21379">
        <v>21600</v>
      </c>
      <c r="F21379">
        <v>0</v>
      </c>
      <c r="G21379">
        <v>5</v>
      </c>
      <c r="H21379" t="s">
        <v>19</v>
      </c>
    </row>
    <row r="21380" spans="1:8" x14ac:dyDescent="0.25">
      <c r="A21380" t="str">
        <f>"&lt;nominal&gt;" &amp;$D$21379&amp;"&lt;/nominal&gt;"</f>
        <v>&lt;nominal&gt;7&lt;/nominal&gt;</v>
      </c>
      <c r="B21380" t="s">
        <v>3106</v>
      </c>
    </row>
    <row r="21381" spans="1:8" x14ac:dyDescent="0.25">
      <c r="A21381" t="str">
        <f>"&lt;lifetime&gt;" &amp;$E$21379&amp;"&lt;/lifetime&gt;"</f>
        <v>&lt;lifetime&gt;21600&lt;/lifetime&gt;</v>
      </c>
      <c r="B21381" t="s">
        <v>3106</v>
      </c>
    </row>
    <row r="21382" spans="1:8" x14ac:dyDescent="0.25">
      <c r="A21382" t="str">
        <f>"&lt;restock&gt;" &amp;$F$21379&amp;"&lt;/restock&gt;"</f>
        <v>&lt;restock&gt;0&lt;/restock&gt;</v>
      </c>
      <c r="B21382" t="s">
        <v>3106</v>
      </c>
    </row>
    <row r="21383" spans="1:8" x14ac:dyDescent="0.25">
      <c r="A21383" t="str">
        <f>"&lt;min&gt;" &amp;$G$21379&amp;"&lt;/min&gt;"</f>
        <v>&lt;min&gt;5&lt;/min&gt;</v>
      </c>
      <c r="B21383" t="s">
        <v>3106</v>
      </c>
    </row>
    <row r="21384" spans="1:8" x14ac:dyDescent="0.25">
      <c r="A21384" t="s">
        <v>16</v>
      </c>
      <c r="B21384" t="s">
        <v>3106</v>
      </c>
    </row>
    <row r="21385" spans="1:8" x14ac:dyDescent="0.25">
      <c r="A21385" t="s">
        <v>17</v>
      </c>
      <c r="B21385" t="s">
        <v>3106</v>
      </c>
    </row>
    <row r="21386" spans="1:8" x14ac:dyDescent="0.25">
      <c r="A21386" t="s">
        <v>18</v>
      </c>
      <c r="B21386" t="s">
        <v>3106</v>
      </c>
    </row>
    <row r="21387" spans="1:8" x14ac:dyDescent="0.25">
      <c r="A21387" t="str">
        <f xml:space="preserve"> $H$21379</f>
        <v>&lt;flags count_in_cargo="0" count_in_hoarder="0" count_in_map="1" count_in_player="0" crafted="0" deloot="0"/&gt;</v>
      </c>
      <c r="B21387" t="s">
        <v>3106</v>
      </c>
    </row>
    <row r="21388" spans="1:8" x14ac:dyDescent="0.25">
      <c r="A21388" t="str">
        <f>"&lt;category name=" &amp;"""" &amp;$C$21379&amp;"""/&gt;"</f>
        <v>&lt;category name="tools"/&gt;</v>
      </c>
      <c r="B21388" t="s">
        <v>3106</v>
      </c>
    </row>
    <row r="21389" spans="1:8" x14ac:dyDescent="0.25">
      <c r="A21389" t="s">
        <v>29</v>
      </c>
      <c r="B21389" t="s">
        <v>3106</v>
      </c>
    </row>
    <row r="21390" spans="1:8" x14ac:dyDescent="0.25">
      <c r="A21390" t="s">
        <v>22</v>
      </c>
      <c r="B21390" t="s">
        <v>3106</v>
      </c>
    </row>
    <row r="21391" spans="1:8" x14ac:dyDescent="0.25">
      <c r="A21391" t="s">
        <v>2922</v>
      </c>
      <c r="B21391" t="s">
        <v>3107</v>
      </c>
      <c r="C21391" t="s">
        <v>426</v>
      </c>
      <c r="D21391">
        <v>7</v>
      </c>
      <c r="E21391">
        <v>21600</v>
      </c>
      <c r="F21391">
        <v>0</v>
      </c>
      <c r="G21391">
        <v>5</v>
      </c>
      <c r="H21391" t="s">
        <v>19</v>
      </c>
    </row>
    <row r="21392" spans="1:8" x14ac:dyDescent="0.25">
      <c r="A21392" t="str">
        <f>"&lt;nominal&gt;" &amp;$D$21391&amp;"&lt;/nominal&gt;"</f>
        <v>&lt;nominal&gt;7&lt;/nominal&gt;</v>
      </c>
      <c r="B21392" t="s">
        <v>3107</v>
      </c>
    </row>
    <row r="21393" spans="1:8" x14ac:dyDescent="0.25">
      <c r="A21393" t="str">
        <f>"&lt;lifetime&gt;" &amp;$E$21391&amp;"&lt;/lifetime&gt;"</f>
        <v>&lt;lifetime&gt;21600&lt;/lifetime&gt;</v>
      </c>
      <c r="B21393" t="s">
        <v>3107</v>
      </c>
    </row>
    <row r="21394" spans="1:8" x14ac:dyDescent="0.25">
      <c r="A21394" t="str">
        <f>"&lt;restock&gt;" &amp;$F$21391&amp;"&lt;/restock&gt;"</f>
        <v>&lt;restock&gt;0&lt;/restock&gt;</v>
      </c>
      <c r="B21394" t="s">
        <v>3107</v>
      </c>
    </row>
    <row r="21395" spans="1:8" x14ac:dyDescent="0.25">
      <c r="A21395" t="str">
        <f>"&lt;min&gt;" &amp;$G$21391&amp;"&lt;/min&gt;"</f>
        <v>&lt;min&gt;5&lt;/min&gt;</v>
      </c>
      <c r="B21395" t="s">
        <v>3107</v>
      </c>
    </row>
    <row r="21396" spans="1:8" x14ac:dyDescent="0.25">
      <c r="A21396" t="s">
        <v>16</v>
      </c>
      <c r="B21396" t="s">
        <v>3107</v>
      </c>
    </row>
    <row r="21397" spans="1:8" x14ac:dyDescent="0.25">
      <c r="A21397" t="s">
        <v>17</v>
      </c>
      <c r="B21397" t="s">
        <v>3107</v>
      </c>
    </row>
    <row r="21398" spans="1:8" x14ac:dyDescent="0.25">
      <c r="A21398" t="s">
        <v>18</v>
      </c>
      <c r="B21398" t="s">
        <v>3107</v>
      </c>
    </row>
    <row r="21399" spans="1:8" x14ac:dyDescent="0.25">
      <c r="A21399" t="str">
        <f xml:space="preserve"> $H$21391</f>
        <v>&lt;flags count_in_cargo="0" count_in_hoarder="0" count_in_map="1" count_in_player="0" crafted="0" deloot="0"/&gt;</v>
      </c>
      <c r="B21399" t="s">
        <v>3107</v>
      </c>
    </row>
    <row r="21400" spans="1:8" x14ac:dyDescent="0.25">
      <c r="A21400" t="str">
        <f>"&lt;category name=" &amp;"""" &amp;$C$21391&amp;"""/&gt;"</f>
        <v>&lt;category name="tools"/&gt;</v>
      </c>
      <c r="B21400" t="s">
        <v>3107</v>
      </c>
    </row>
    <row r="21401" spans="1:8" x14ac:dyDescent="0.25">
      <c r="A21401" t="s">
        <v>29</v>
      </c>
      <c r="B21401" t="s">
        <v>3107</v>
      </c>
    </row>
    <row r="21402" spans="1:8" x14ac:dyDescent="0.25">
      <c r="A21402" t="s">
        <v>22</v>
      </c>
      <c r="B21402" t="s">
        <v>3107</v>
      </c>
    </row>
    <row r="21403" spans="1:8" x14ac:dyDescent="0.25">
      <c r="A21403" t="s">
        <v>2923</v>
      </c>
      <c r="B21403" t="s">
        <v>3108</v>
      </c>
      <c r="C21403" t="s">
        <v>426</v>
      </c>
      <c r="D21403">
        <v>7</v>
      </c>
      <c r="E21403">
        <v>21600</v>
      </c>
      <c r="F21403">
        <v>0</v>
      </c>
      <c r="G21403">
        <v>5</v>
      </c>
      <c r="H21403" t="s">
        <v>19</v>
      </c>
    </row>
    <row r="21404" spans="1:8" x14ac:dyDescent="0.25">
      <c r="A21404" t="str">
        <f>"&lt;nominal&gt;" &amp;$D$21403&amp;"&lt;/nominal&gt;"</f>
        <v>&lt;nominal&gt;7&lt;/nominal&gt;</v>
      </c>
      <c r="B21404" t="s">
        <v>3108</v>
      </c>
    </row>
    <row r="21405" spans="1:8" x14ac:dyDescent="0.25">
      <c r="A21405" t="str">
        <f>"&lt;lifetime&gt;" &amp;$E$21403&amp;"&lt;/lifetime&gt;"</f>
        <v>&lt;lifetime&gt;21600&lt;/lifetime&gt;</v>
      </c>
      <c r="B21405" t="s">
        <v>3108</v>
      </c>
    </row>
    <row r="21406" spans="1:8" x14ac:dyDescent="0.25">
      <c r="A21406" t="str">
        <f>"&lt;restock&gt;" &amp;$F$21403&amp;"&lt;/restock&gt;"</f>
        <v>&lt;restock&gt;0&lt;/restock&gt;</v>
      </c>
      <c r="B21406" t="s">
        <v>3108</v>
      </c>
    </row>
    <row r="21407" spans="1:8" x14ac:dyDescent="0.25">
      <c r="A21407" t="str">
        <f>"&lt;min&gt;" &amp;$G$21403&amp;"&lt;/min&gt;"</f>
        <v>&lt;min&gt;5&lt;/min&gt;</v>
      </c>
      <c r="B21407" t="s">
        <v>3108</v>
      </c>
    </row>
    <row r="21408" spans="1:8" x14ac:dyDescent="0.25">
      <c r="A21408" t="s">
        <v>16</v>
      </c>
      <c r="B21408" t="s">
        <v>3108</v>
      </c>
    </row>
    <row r="21409" spans="1:8" x14ac:dyDescent="0.25">
      <c r="A21409" t="s">
        <v>17</v>
      </c>
      <c r="B21409" t="s">
        <v>3108</v>
      </c>
    </row>
    <row r="21410" spans="1:8" x14ac:dyDescent="0.25">
      <c r="A21410" t="s">
        <v>18</v>
      </c>
      <c r="B21410" t="s">
        <v>3108</v>
      </c>
    </row>
    <row r="21411" spans="1:8" x14ac:dyDescent="0.25">
      <c r="A21411" t="str">
        <f xml:space="preserve"> $H$21403</f>
        <v>&lt;flags count_in_cargo="0" count_in_hoarder="0" count_in_map="1" count_in_player="0" crafted="0" deloot="0"/&gt;</v>
      </c>
      <c r="B21411" t="s">
        <v>3108</v>
      </c>
    </row>
    <row r="21412" spans="1:8" x14ac:dyDescent="0.25">
      <c r="A21412" t="str">
        <f>"&lt;category name=" &amp;"""" &amp;$C$21403&amp;"""/&gt;"</f>
        <v>&lt;category name="tools"/&gt;</v>
      </c>
      <c r="B21412" t="s">
        <v>3108</v>
      </c>
    </row>
    <row r="21413" spans="1:8" x14ac:dyDescent="0.25">
      <c r="A21413" t="s">
        <v>29</v>
      </c>
      <c r="B21413" t="s">
        <v>3108</v>
      </c>
    </row>
    <row r="21414" spans="1:8" x14ac:dyDescent="0.25">
      <c r="A21414" t="s">
        <v>2924</v>
      </c>
      <c r="B21414" t="s">
        <v>3108</v>
      </c>
    </row>
    <row r="21415" spans="1:8" x14ac:dyDescent="0.25">
      <c r="A21415" t="s">
        <v>2925</v>
      </c>
      <c r="B21415" t="s">
        <v>2781</v>
      </c>
      <c r="C21415" t="s">
        <v>426</v>
      </c>
      <c r="D21415">
        <v>0</v>
      </c>
      <c r="E21415">
        <v>3600</v>
      </c>
      <c r="F21415">
        <v>0</v>
      </c>
      <c r="G21415">
        <v>0</v>
      </c>
      <c r="H21415" t="s">
        <v>19</v>
      </c>
    </row>
    <row r="21416" spans="1:8" x14ac:dyDescent="0.25">
      <c r="A21416" t="str">
        <f>"&lt;nominal&gt;" &amp;$D$21415&amp;"&lt;/nominal&gt;"</f>
        <v>&lt;nominal&gt;0&lt;/nominal&gt;</v>
      </c>
      <c r="B21416" t="s">
        <v>2781</v>
      </c>
    </row>
    <row r="21417" spans="1:8" x14ac:dyDescent="0.25">
      <c r="A21417" t="str">
        <f>"&lt;lifetime&gt;" &amp;$E$21415&amp;"&lt;/lifetime&gt;"</f>
        <v>&lt;lifetime&gt;3600&lt;/lifetime&gt;</v>
      </c>
      <c r="B21417" t="s">
        <v>2781</v>
      </c>
    </row>
    <row r="21418" spans="1:8" x14ac:dyDescent="0.25">
      <c r="A21418" t="str">
        <f>"&lt;restock&gt;" &amp;$F$21415&amp;"&lt;/restock&gt;"</f>
        <v>&lt;restock&gt;0&lt;/restock&gt;</v>
      </c>
      <c r="B21418" t="s">
        <v>2781</v>
      </c>
    </row>
    <row r="21419" spans="1:8" x14ac:dyDescent="0.25">
      <c r="A21419" t="str">
        <f>"&lt;min&gt;" &amp;$G$21415&amp;"&lt;/min&gt;"</f>
        <v>&lt;min&gt;0&lt;/min&gt;</v>
      </c>
      <c r="B21419" t="s">
        <v>2781</v>
      </c>
    </row>
    <row r="21420" spans="1:8" x14ac:dyDescent="0.25">
      <c r="A21420" t="s">
        <v>16</v>
      </c>
      <c r="B21420" t="s">
        <v>2781</v>
      </c>
    </row>
    <row r="21421" spans="1:8" x14ac:dyDescent="0.25">
      <c r="A21421" t="s">
        <v>17</v>
      </c>
      <c r="B21421" t="s">
        <v>2781</v>
      </c>
    </row>
    <row r="21422" spans="1:8" x14ac:dyDescent="0.25">
      <c r="A21422" t="s">
        <v>18</v>
      </c>
      <c r="B21422" t="s">
        <v>2781</v>
      </c>
    </row>
    <row r="21423" spans="1:8" x14ac:dyDescent="0.25">
      <c r="A21423" t="str">
        <f xml:space="preserve"> $H$21415</f>
        <v>&lt;flags count_in_cargo="0" count_in_hoarder="0" count_in_map="1" count_in_player="0" crafted="0" deloot="0"/&gt;</v>
      </c>
      <c r="B21423" t="s">
        <v>2781</v>
      </c>
    </row>
    <row r="21424" spans="1:8" x14ac:dyDescent="0.25">
      <c r="A21424" t="str">
        <f>"&lt;category name=" &amp;"""" &amp;$C$21415&amp;"""/&gt;"</f>
        <v>&lt;category name="tools"/&gt;</v>
      </c>
      <c r="B21424" t="s">
        <v>2781</v>
      </c>
    </row>
    <row r="21425" spans="1:8" x14ac:dyDescent="0.25">
      <c r="A21425" t="s">
        <v>20</v>
      </c>
      <c r="B21425" t="s">
        <v>2781</v>
      </c>
    </row>
    <row r="21426" spans="1:8" x14ac:dyDescent="0.25">
      <c r="A21426" t="s">
        <v>39</v>
      </c>
      <c r="B21426" t="s">
        <v>2781</v>
      </c>
    </row>
    <row r="21427" spans="1:8" x14ac:dyDescent="0.25">
      <c r="A21427" t="s">
        <v>40</v>
      </c>
      <c r="B21427" t="s">
        <v>2781</v>
      </c>
    </row>
    <row r="21428" spans="1:8" x14ac:dyDescent="0.25">
      <c r="A21428" t="s">
        <v>22</v>
      </c>
      <c r="B21428" t="s">
        <v>2781</v>
      </c>
    </row>
    <row r="21429" spans="1:8" x14ac:dyDescent="0.25">
      <c r="B21429" t="s">
        <v>2781</v>
      </c>
    </row>
    <row r="21430" spans="1:8" x14ac:dyDescent="0.25">
      <c r="B21430" t="s">
        <v>2781</v>
      </c>
    </row>
    <row r="21431" spans="1:8" x14ac:dyDescent="0.25">
      <c r="A21431" t="s">
        <v>3340</v>
      </c>
      <c r="B21431" t="s">
        <v>3342</v>
      </c>
      <c r="C21431" t="s">
        <v>426</v>
      </c>
      <c r="D21431">
        <v>0</v>
      </c>
      <c r="E21431">
        <v>7200</v>
      </c>
      <c r="F21431">
        <v>0</v>
      </c>
      <c r="G21431">
        <v>0</v>
      </c>
      <c r="H21431" t="s">
        <v>19</v>
      </c>
    </row>
    <row r="21432" spans="1:8" x14ac:dyDescent="0.25">
      <c r="A21432" t="str">
        <f>"&lt;nominal&gt;" &amp;$D$21431&amp;"&lt;/nominal&gt;"</f>
        <v>&lt;nominal&gt;0&lt;/nominal&gt;</v>
      </c>
      <c r="B21432" t="s">
        <v>3342</v>
      </c>
    </row>
    <row r="21433" spans="1:8" x14ac:dyDescent="0.25">
      <c r="A21433" t="str">
        <f>"&lt;lifetime&gt;" &amp;$E$21431&amp;"&lt;/lifetime&gt;"</f>
        <v>&lt;lifetime&gt;7200&lt;/lifetime&gt;</v>
      </c>
      <c r="B21433" t="s">
        <v>3342</v>
      </c>
    </row>
    <row r="21434" spans="1:8" x14ac:dyDescent="0.25">
      <c r="A21434" t="str">
        <f>"&lt;restock&gt;" &amp;$F$21431&amp;"&lt;/restock&gt;"</f>
        <v>&lt;restock&gt;0&lt;/restock&gt;</v>
      </c>
      <c r="B21434" t="s">
        <v>3342</v>
      </c>
    </row>
    <row r="21435" spans="1:8" x14ac:dyDescent="0.25">
      <c r="A21435" t="str">
        <f>"&lt;min&gt;" &amp;$G$21431&amp;"&lt;/min&gt;"</f>
        <v>&lt;min&gt;0&lt;/min&gt;</v>
      </c>
      <c r="B21435" t="s">
        <v>3342</v>
      </c>
    </row>
    <row r="21436" spans="1:8" x14ac:dyDescent="0.25">
      <c r="A21436" t="s">
        <v>16</v>
      </c>
      <c r="B21436" t="s">
        <v>3342</v>
      </c>
    </row>
    <row r="21437" spans="1:8" x14ac:dyDescent="0.25">
      <c r="A21437" t="s">
        <v>17</v>
      </c>
      <c r="B21437" t="s">
        <v>3342</v>
      </c>
    </row>
    <row r="21438" spans="1:8" x14ac:dyDescent="0.25">
      <c r="A21438" t="s">
        <v>18</v>
      </c>
      <c r="B21438" t="s">
        <v>3342</v>
      </c>
    </row>
    <row r="21439" spans="1:8" x14ac:dyDescent="0.25">
      <c r="A21439" t="str">
        <f xml:space="preserve"> $H$21431</f>
        <v>&lt;flags count_in_cargo="0" count_in_hoarder="0" count_in_map="1" count_in_player="0" crafted="0" deloot="0"/&gt;</v>
      </c>
      <c r="B21439" t="s">
        <v>3342</v>
      </c>
    </row>
    <row r="21440" spans="1:8" x14ac:dyDescent="0.25">
      <c r="A21440" t="str">
        <f>"&lt;category name=" &amp;"""" &amp;$C$21431&amp;"""/&gt;"</f>
        <v>&lt;category name="tools"/&gt;</v>
      </c>
      <c r="B21440" t="s">
        <v>3342</v>
      </c>
    </row>
    <row r="21441" spans="1:8" x14ac:dyDescent="0.25">
      <c r="A21441" t="s">
        <v>25</v>
      </c>
      <c r="B21441" t="s">
        <v>3342</v>
      </c>
    </row>
    <row r="21442" spans="1:8" x14ac:dyDescent="0.25">
      <c r="A21442" t="s">
        <v>55</v>
      </c>
      <c r="B21442" t="s">
        <v>3342</v>
      </c>
    </row>
    <row r="21443" spans="1:8" x14ac:dyDescent="0.25">
      <c r="A21443" t="s">
        <v>22</v>
      </c>
      <c r="B21443" t="s">
        <v>3342</v>
      </c>
    </row>
    <row r="21444" spans="1:8" x14ac:dyDescent="0.25">
      <c r="A21444" t="s">
        <v>3341</v>
      </c>
      <c r="B21444" t="s">
        <v>3772</v>
      </c>
      <c r="E21444">
        <v>3888000</v>
      </c>
      <c r="H21444" t="s">
        <v>175</v>
      </c>
    </row>
    <row r="21445" spans="1:8" x14ac:dyDescent="0.25">
      <c r="A21445" t="str">
        <f>"&lt;lifetime&gt;" &amp;$E$21444&amp;"&lt;/lifetime&gt;"</f>
        <v>&lt;lifetime&gt;3888000&lt;/lifetime&gt;</v>
      </c>
      <c r="B21445" t="s">
        <v>3772</v>
      </c>
    </row>
    <row r="21446" spans="1:8" x14ac:dyDescent="0.25">
      <c r="A21446" t="str">
        <f xml:space="preserve"> $H$21444</f>
        <v>&lt;flags count_in_cargo="1" count_in_hoarder="0" count_in_map="1" count_in_player="0" crafted="1" deloot="0"/&gt;</v>
      </c>
      <c r="B21446" t="s">
        <v>3772</v>
      </c>
    </row>
    <row r="21447" spans="1:8" x14ac:dyDescent="0.25">
      <c r="A21447" t="s">
        <v>22</v>
      </c>
      <c r="B21447" t="s">
        <v>3772</v>
      </c>
    </row>
    <row r="21448" spans="1:8" x14ac:dyDescent="0.25">
      <c r="B21448" t="s">
        <v>3772</v>
      </c>
    </row>
    <row r="21449" spans="1:8" x14ac:dyDescent="0.25">
      <c r="A21449" t="s">
        <v>3</v>
      </c>
      <c r="B21449" t="s">
        <v>3772</v>
      </c>
    </row>
    <row r="21450" spans="1:8" x14ac:dyDescent="0.25">
      <c r="B21450" t="s">
        <v>3772</v>
      </c>
    </row>
    <row r="21451" spans="1:8" x14ac:dyDescent="0.25">
      <c r="B21451" t="s">
        <v>3772</v>
      </c>
    </row>
    <row r="21452" spans="1:8" x14ac:dyDescent="0.25">
      <c r="B21452" t="s">
        <v>3772</v>
      </c>
    </row>
    <row r="21453" spans="1:8" x14ac:dyDescent="0.25">
      <c r="B21453" t="s">
        <v>3772</v>
      </c>
    </row>
    <row r="21454" spans="1:8" x14ac:dyDescent="0.25">
      <c r="B21454" t="s">
        <v>3772</v>
      </c>
    </row>
    <row r="21455" spans="1:8" x14ac:dyDescent="0.25">
      <c r="B21455" t="s">
        <v>3772</v>
      </c>
    </row>
    <row r="21456" spans="1:8" x14ac:dyDescent="0.25">
      <c r="B21456" t="s">
        <v>3772</v>
      </c>
    </row>
    <row r="21457" spans="2:2" x14ac:dyDescent="0.25">
      <c r="B21457" t="s">
        <v>3772</v>
      </c>
    </row>
    <row r="21458" spans="2:2" x14ac:dyDescent="0.25">
      <c r="B21458" t="s">
        <v>3772</v>
      </c>
    </row>
    <row r="21459" spans="2:2" x14ac:dyDescent="0.25">
      <c r="B21459" t="s">
        <v>3772</v>
      </c>
    </row>
    <row r="21460" spans="2:2" x14ac:dyDescent="0.25">
      <c r="B21460" t="s">
        <v>3772</v>
      </c>
    </row>
    <row r="21461" spans="2:2" x14ac:dyDescent="0.25">
      <c r="B21461" t="s">
        <v>3772</v>
      </c>
    </row>
    <row r="21462" spans="2:2" x14ac:dyDescent="0.25">
      <c r="B21462" t="s">
        <v>3772</v>
      </c>
    </row>
    <row r="21463" spans="2:2" x14ac:dyDescent="0.25">
      <c r="B21463" t="s">
        <v>3772</v>
      </c>
    </row>
    <row r="21464" spans="2:2" x14ac:dyDescent="0.25">
      <c r="B21464" t="s">
        <v>3772</v>
      </c>
    </row>
    <row r="21465" spans="2:2" x14ac:dyDescent="0.25">
      <c r="B21465" t="s">
        <v>3772</v>
      </c>
    </row>
    <row r="21466" spans="2:2" x14ac:dyDescent="0.25">
      <c r="B21466" t="s">
        <v>3772</v>
      </c>
    </row>
    <row r="21467" spans="2:2" x14ac:dyDescent="0.25">
      <c r="B21467" t="s">
        <v>3772</v>
      </c>
    </row>
    <row r="21468" spans="2:2" x14ac:dyDescent="0.25">
      <c r="B21468" t="s">
        <v>3772</v>
      </c>
    </row>
    <row r="21469" spans="2:2" x14ac:dyDescent="0.25">
      <c r="B21469" t="s">
        <v>3772</v>
      </c>
    </row>
    <row r="21470" spans="2:2" x14ac:dyDescent="0.25">
      <c r="B21470" t="s">
        <v>3772</v>
      </c>
    </row>
    <row r="21471" spans="2:2" x14ac:dyDescent="0.25">
      <c r="B21471" t="s">
        <v>3772</v>
      </c>
    </row>
    <row r="21472" spans="2:2" x14ac:dyDescent="0.25">
      <c r="B21472" t="s">
        <v>3772</v>
      </c>
    </row>
    <row r="21473" spans="2:2" x14ac:dyDescent="0.25">
      <c r="B21473" t="s">
        <v>3772</v>
      </c>
    </row>
    <row r="21474" spans="2:2" x14ac:dyDescent="0.25">
      <c r="B21474" t="s">
        <v>3772</v>
      </c>
    </row>
    <row r="21475" spans="2:2" x14ac:dyDescent="0.25">
      <c r="B21475" t="s">
        <v>3772</v>
      </c>
    </row>
    <row r="21476" spans="2:2" x14ac:dyDescent="0.25">
      <c r="B21476" t="s">
        <v>3772</v>
      </c>
    </row>
    <row r="21477" spans="2:2" x14ac:dyDescent="0.25">
      <c r="B21477" t="s">
        <v>3772</v>
      </c>
    </row>
    <row r="21478" spans="2:2" x14ac:dyDescent="0.25">
      <c r="B21478" t="s">
        <v>3772</v>
      </c>
    </row>
    <row r="21479" spans="2:2" x14ac:dyDescent="0.25">
      <c r="B21479" t="s">
        <v>3772</v>
      </c>
    </row>
    <row r="21480" spans="2:2" x14ac:dyDescent="0.25">
      <c r="B21480" t="s">
        <v>3772</v>
      </c>
    </row>
    <row r="21481" spans="2:2" x14ac:dyDescent="0.25">
      <c r="B21481" t="s">
        <v>3772</v>
      </c>
    </row>
    <row r="21482" spans="2:2" x14ac:dyDescent="0.25">
      <c r="B21482" t="s">
        <v>3772</v>
      </c>
    </row>
    <row r="21483" spans="2:2" x14ac:dyDescent="0.25">
      <c r="B21483" t="s">
        <v>3772</v>
      </c>
    </row>
    <row r="21484" spans="2:2" x14ac:dyDescent="0.25">
      <c r="B21484" t="s">
        <v>3772</v>
      </c>
    </row>
    <row r="21485" spans="2:2" x14ac:dyDescent="0.25">
      <c r="B21485" t="s">
        <v>3772</v>
      </c>
    </row>
    <row r="21486" spans="2:2" x14ac:dyDescent="0.25">
      <c r="B21486" t="s">
        <v>3772</v>
      </c>
    </row>
    <row r="21487" spans="2:2" x14ac:dyDescent="0.25">
      <c r="B21487" t="s">
        <v>3772</v>
      </c>
    </row>
    <row r="21488" spans="2:2" x14ac:dyDescent="0.25">
      <c r="B21488" t="s">
        <v>3772</v>
      </c>
    </row>
    <row r="21489" spans="2:2" x14ac:dyDescent="0.25">
      <c r="B21489" t="s">
        <v>3772</v>
      </c>
    </row>
    <row r="21490" spans="2:2" x14ac:dyDescent="0.25">
      <c r="B21490" t="s">
        <v>3772</v>
      </c>
    </row>
    <row r="21491" spans="2:2" x14ac:dyDescent="0.25">
      <c r="B21491" t="s">
        <v>3772</v>
      </c>
    </row>
    <row r="21492" spans="2:2" x14ac:dyDescent="0.25">
      <c r="B21492" t="s">
        <v>3772</v>
      </c>
    </row>
    <row r="21493" spans="2:2" x14ac:dyDescent="0.25">
      <c r="B21493" t="s">
        <v>3772</v>
      </c>
    </row>
    <row r="21494" spans="2:2" x14ac:dyDescent="0.25">
      <c r="B21494" t="s">
        <v>3772</v>
      </c>
    </row>
    <row r="21495" spans="2:2" x14ac:dyDescent="0.25">
      <c r="B21495" t="s">
        <v>3772</v>
      </c>
    </row>
    <row r="21496" spans="2:2" x14ac:dyDescent="0.25">
      <c r="B21496" t="s">
        <v>3772</v>
      </c>
    </row>
    <row r="21497" spans="2:2" x14ac:dyDescent="0.25">
      <c r="B21497" t="s">
        <v>3772</v>
      </c>
    </row>
    <row r="21498" spans="2:2" x14ac:dyDescent="0.25">
      <c r="B21498" t="s">
        <v>3772</v>
      </c>
    </row>
    <row r="21499" spans="2:2" x14ac:dyDescent="0.25">
      <c r="B21499" t="s">
        <v>3772</v>
      </c>
    </row>
    <row r="21500" spans="2:2" x14ac:dyDescent="0.25">
      <c r="B21500" t="s">
        <v>3772</v>
      </c>
    </row>
    <row r="21501" spans="2:2" x14ac:dyDescent="0.25">
      <c r="B21501" t="s">
        <v>3772</v>
      </c>
    </row>
    <row r="21502" spans="2:2" x14ac:dyDescent="0.25">
      <c r="B21502" t="s">
        <v>3772</v>
      </c>
    </row>
    <row r="21503" spans="2:2" x14ac:dyDescent="0.25">
      <c r="B21503" t="s">
        <v>3772</v>
      </c>
    </row>
    <row r="21504" spans="2:2" x14ac:dyDescent="0.25">
      <c r="B21504" t="s">
        <v>3772</v>
      </c>
    </row>
    <row r="21505" spans="2:2" x14ac:dyDescent="0.25">
      <c r="B21505" t="s">
        <v>3772</v>
      </c>
    </row>
    <row r="21506" spans="2:2" x14ac:dyDescent="0.25">
      <c r="B21506" t="s">
        <v>3772</v>
      </c>
    </row>
    <row r="21507" spans="2:2" x14ac:dyDescent="0.25">
      <c r="B21507" t="s">
        <v>3772</v>
      </c>
    </row>
    <row r="21508" spans="2:2" x14ac:dyDescent="0.25">
      <c r="B21508" t="s">
        <v>3772</v>
      </c>
    </row>
    <row r="21509" spans="2:2" x14ac:dyDescent="0.25">
      <c r="B21509" t="s">
        <v>3772</v>
      </c>
    </row>
    <row r="21510" spans="2:2" x14ac:dyDescent="0.25">
      <c r="B21510" t="s">
        <v>3772</v>
      </c>
    </row>
    <row r="21511" spans="2:2" x14ac:dyDescent="0.25">
      <c r="B21511" t="s">
        <v>3772</v>
      </c>
    </row>
    <row r="21512" spans="2:2" x14ac:dyDescent="0.25">
      <c r="B21512" t="s">
        <v>3772</v>
      </c>
    </row>
    <row r="21513" spans="2:2" x14ac:dyDescent="0.25">
      <c r="B21513" t="s">
        <v>3772</v>
      </c>
    </row>
    <row r="21514" spans="2:2" x14ac:dyDescent="0.25">
      <c r="B21514" t="s">
        <v>3772</v>
      </c>
    </row>
    <row r="21515" spans="2:2" x14ac:dyDescent="0.25">
      <c r="B21515" t="s">
        <v>3772</v>
      </c>
    </row>
    <row r="21516" spans="2:2" x14ac:dyDescent="0.25">
      <c r="B21516" t="s">
        <v>3772</v>
      </c>
    </row>
    <row r="21517" spans="2:2" x14ac:dyDescent="0.25">
      <c r="B21517" t="s">
        <v>3772</v>
      </c>
    </row>
    <row r="21518" spans="2:2" x14ac:dyDescent="0.25">
      <c r="B21518" t="s">
        <v>3772</v>
      </c>
    </row>
    <row r="21519" spans="2:2" x14ac:dyDescent="0.25">
      <c r="B21519" t="s">
        <v>3772</v>
      </c>
    </row>
    <row r="21520" spans="2:2" x14ac:dyDescent="0.25">
      <c r="B21520" t="s">
        <v>3772</v>
      </c>
    </row>
    <row r="21521" spans="2:2" x14ac:dyDescent="0.25">
      <c r="B21521" t="s">
        <v>3772</v>
      </c>
    </row>
    <row r="21522" spans="2:2" x14ac:dyDescent="0.25">
      <c r="B21522" t="s">
        <v>3772</v>
      </c>
    </row>
    <row r="21523" spans="2:2" x14ac:dyDescent="0.25">
      <c r="B21523" t="s">
        <v>3772</v>
      </c>
    </row>
    <row r="21524" spans="2:2" x14ac:dyDescent="0.25">
      <c r="B21524" t="s">
        <v>3772</v>
      </c>
    </row>
    <row r="21525" spans="2:2" x14ac:dyDescent="0.25">
      <c r="B21525" t="s">
        <v>3772</v>
      </c>
    </row>
    <row r="21526" spans="2:2" x14ac:dyDescent="0.25">
      <c r="B21526" t="s">
        <v>3772</v>
      </c>
    </row>
    <row r="21527" spans="2:2" x14ac:dyDescent="0.25">
      <c r="B21527" t="s">
        <v>3772</v>
      </c>
    </row>
    <row r="21528" spans="2:2" x14ac:dyDescent="0.25">
      <c r="B21528" t="s">
        <v>3772</v>
      </c>
    </row>
    <row r="21529" spans="2:2" x14ac:dyDescent="0.25">
      <c r="B21529" t="s">
        <v>3772</v>
      </c>
    </row>
    <row r="21530" spans="2:2" x14ac:dyDescent="0.25">
      <c r="B21530" t="s">
        <v>3772</v>
      </c>
    </row>
    <row r="21531" spans="2:2" x14ac:dyDescent="0.25">
      <c r="B21531" t="s">
        <v>3772</v>
      </c>
    </row>
    <row r="21532" spans="2:2" x14ac:dyDescent="0.25">
      <c r="B21532" t="s">
        <v>3772</v>
      </c>
    </row>
    <row r="21533" spans="2:2" x14ac:dyDescent="0.25">
      <c r="B21533" t="s">
        <v>3772</v>
      </c>
    </row>
    <row r="21534" spans="2:2" x14ac:dyDescent="0.25">
      <c r="B21534" t="s">
        <v>3772</v>
      </c>
    </row>
    <row r="21535" spans="2:2" x14ac:dyDescent="0.25">
      <c r="B21535" t="s">
        <v>3772</v>
      </c>
    </row>
    <row r="21536" spans="2:2" x14ac:dyDescent="0.25">
      <c r="B21536" t="s">
        <v>3772</v>
      </c>
    </row>
    <row r="21537" spans="2:2" x14ac:dyDescent="0.25">
      <c r="B21537" t="s">
        <v>3772</v>
      </c>
    </row>
    <row r="21538" spans="2:2" x14ac:dyDescent="0.25">
      <c r="B21538" t="s">
        <v>3772</v>
      </c>
    </row>
    <row r="21539" spans="2:2" x14ac:dyDescent="0.25">
      <c r="B21539" t="s">
        <v>3772</v>
      </c>
    </row>
    <row r="21540" spans="2:2" x14ac:dyDescent="0.25">
      <c r="B21540" t="s">
        <v>3772</v>
      </c>
    </row>
    <row r="21541" spans="2:2" x14ac:dyDescent="0.25">
      <c r="B21541" t="s">
        <v>3772</v>
      </c>
    </row>
    <row r="21542" spans="2:2" x14ac:dyDescent="0.25">
      <c r="B21542" t="s">
        <v>3772</v>
      </c>
    </row>
    <row r="21543" spans="2:2" x14ac:dyDescent="0.25">
      <c r="B21543" t="s">
        <v>3772</v>
      </c>
    </row>
    <row r="21544" spans="2:2" x14ac:dyDescent="0.25">
      <c r="B21544" t="s">
        <v>3772</v>
      </c>
    </row>
    <row r="21545" spans="2:2" x14ac:dyDescent="0.25">
      <c r="B21545" t="s">
        <v>3772</v>
      </c>
    </row>
    <row r="21546" spans="2:2" x14ac:dyDescent="0.25">
      <c r="B21546" t="s">
        <v>3772</v>
      </c>
    </row>
    <row r="21547" spans="2:2" x14ac:dyDescent="0.25">
      <c r="B21547" t="s">
        <v>3772</v>
      </c>
    </row>
    <row r="21548" spans="2:2" x14ac:dyDescent="0.25">
      <c r="B21548" t="s">
        <v>3772</v>
      </c>
    </row>
    <row r="21549" spans="2:2" x14ac:dyDescent="0.25">
      <c r="B21549" t="s">
        <v>3772</v>
      </c>
    </row>
    <row r="21550" spans="2:2" x14ac:dyDescent="0.25">
      <c r="B21550" t="s">
        <v>3772</v>
      </c>
    </row>
    <row r="21551" spans="2:2" x14ac:dyDescent="0.25">
      <c r="B21551" t="s">
        <v>3772</v>
      </c>
    </row>
    <row r="21552" spans="2:2" x14ac:dyDescent="0.25">
      <c r="B21552" t="s">
        <v>3772</v>
      </c>
    </row>
    <row r="21553" spans="2:2" x14ac:dyDescent="0.25">
      <c r="B21553" t="s">
        <v>3772</v>
      </c>
    </row>
    <row r="21554" spans="2:2" x14ac:dyDescent="0.25">
      <c r="B21554" t="s">
        <v>3772</v>
      </c>
    </row>
    <row r="21555" spans="2:2" x14ac:dyDescent="0.25">
      <c r="B21555" t="s">
        <v>3772</v>
      </c>
    </row>
    <row r="21556" spans="2:2" x14ac:dyDescent="0.25">
      <c r="B21556" t="s">
        <v>3772</v>
      </c>
    </row>
    <row r="21557" spans="2:2" x14ac:dyDescent="0.25">
      <c r="B21557" t="s">
        <v>3772</v>
      </c>
    </row>
    <row r="21558" spans="2:2" x14ac:dyDescent="0.25">
      <c r="B21558" t="s">
        <v>3772</v>
      </c>
    </row>
    <row r="21559" spans="2:2" x14ac:dyDescent="0.25">
      <c r="B21559" t="s">
        <v>3772</v>
      </c>
    </row>
    <row r="21560" spans="2:2" x14ac:dyDescent="0.25">
      <c r="B21560" t="s">
        <v>3772</v>
      </c>
    </row>
    <row r="21561" spans="2:2" x14ac:dyDescent="0.25">
      <c r="B21561" t="s">
        <v>3772</v>
      </c>
    </row>
    <row r="21562" spans="2:2" x14ac:dyDescent="0.25">
      <c r="B21562" t="s">
        <v>3772</v>
      </c>
    </row>
    <row r="21563" spans="2:2" x14ac:dyDescent="0.25">
      <c r="B21563" t="s">
        <v>3772</v>
      </c>
    </row>
    <row r="21564" spans="2:2" x14ac:dyDescent="0.25">
      <c r="B21564" t="s">
        <v>3772</v>
      </c>
    </row>
  </sheetData>
  <mergeCells count="1">
    <mergeCell ref="C2:G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nsform">
                <anchor moveWithCells="1" sizeWithCells="1">
                  <from>
                    <xdr:col>0</xdr:col>
                    <xdr:colOff>2752725</xdr:colOff>
                    <xdr:row>0</xdr:row>
                    <xdr:rowOff>76200</xdr:rowOff>
                  </from>
                  <to>
                    <xdr:col>0</xdr:col>
                    <xdr:colOff>4619625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TypesTable">
                <anchor moveWithCells="1" sizeWithCells="1">
                  <from>
                    <xdr:col>0</xdr:col>
                    <xdr:colOff>857250</xdr:colOff>
                    <xdr:row>0</xdr:row>
                    <xdr:rowOff>47625</xdr:rowOff>
                  </from>
                  <to>
                    <xdr:col>0</xdr:col>
                    <xdr:colOff>2381250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R1364"/>
  <sheetViews>
    <sheetView tabSelected="1" topLeftCell="I1" workbookViewId="0">
      <pane ySplit="2" topLeftCell="A3" activePane="bottomLeft" state="frozen"/>
      <selection pane="bottomLeft" activeCell="C9" sqref="C9"/>
    </sheetView>
  </sheetViews>
  <sheetFormatPr defaultRowHeight="15" outlineLevelCol="1" x14ac:dyDescent="0.25"/>
  <cols>
    <col min="1" max="1" width="43.85546875" style="1" hidden="1" customWidth="1" outlineLevel="1"/>
    <col min="2" max="2" width="20" style="1" hidden="1" customWidth="1" outlineLevel="1"/>
    <col min="3" max="3" width="22.7109375" style="1" customWidth="1" collapsed="1"/>
    <col min="4" max="4" width="24.28515625" style="1" bestFit="1" customWidth="1"/>
    <col min="5" max="5" width="19" style="1" customWidth="1"/>
    <col min="6" max="6" width="20.7109375" style="1" bestFit="1" customWidth="1"/>
    <col min="7" max="7" width="10.7109375" style="1" bestFit="1" customWidth="1"/>
    <col min="8" max="8" width="39.42578125" style="1" bestFit="1" customWidth="1"/>
    <col min="9" max="9" width="11.7109375" style="1" customWidth="1"/>
    <col min="10" max="12" width="15.140625" style="1" customWidth="1"/>
    <col min="13" max="14" width="9.140625" style="1"/>
    <col min="15" max="15" width="41.28515625" style="1" bestFit="1" customWidth="1"/>
    <col min="16" max="16" width="42.42578125" style="1" bestFit="1" customWidth="1"/>
    <col min="17" max="17" width="47.5703125" style="1" bestFit="1" customWidth="1"/>
    <col min="18" max="18" width="42.42578125" style="1" bestFit="1" customWidth="1"/>
    <col min="19" max="16384" width="9.140625" style="1"/>
  </cols>
  <sheetData>
    <row r="1" spans="1:18" ht="18.75" x14ac:dyDescent="0.3">
      <c r="E1" s="5" t="s">
        <v>3287</v>
      </c>
      <c r="G1" s="5" t="s">
        <v>3287</v>
      </c>
      <c r="H1" s="9" t="s">
        <v>3288</v>
      </c>
      <c r="I1" s="9"/>
      <c r="J1" s="10" t="s">
        <v>3287</v>
      </c>
      <c r="K1" s="10"/>
      <c r="L1" s="10"/>
      <c r="M1" s="10"/>
      <c r="N1" s="10"/>
      <c r="O1" s="11" t="s">
        <v>3289</v>
      </c>
      <c r="P1" s="11"/>
      <c r="Q1" s="11"/>
      <c r="R1" s="11"/>
    </row>
    <row r="2" spans="1:18" x14ac:dyDescent="0.25">
      <c r="A2" s="1" t="s">
        <v>3234</v>
      </c>
      <c r="B2" s="1" t="s">
        <v>3235</v>
      </c>
      <c r="C2" s="1" t="s">
        <v>3236</v>
      </c>
      <c r="D2" s="1" t="s">
        <v>3280</v>
      </c>
      <c r="E2" s="1" t="s">
        <v>3237</v>
      </c>
      <c r="F2" s="1" t="s">
        <v>3281</v>
      </c>
      <c r="G2" s="1" t="s">
        <v>3229</v>
      </c>
      <c r="H2" s="1" t="s">
        <v>3286</v>
      </c>
      <c r="I2" s="1" t="s">
        <v>4</v>
      </c>
      <c r="J2" s="1" t="s">
        <v>2727</v>
      </c>
      <c r="K2" s="1" t="s">
        <v>2726</v>
      </c>
      <c r="L2" s="1" t="s">
        <v>2725</v>
      </c>
      <c r="M2" s="1" t="s">
        <v>3230</v>
      </c>
      <c r="N2" s="1" t="s">
        <v>2757</v>
      </c>
      <c r="O2" s="1" t="s">
        <v>3282</v>
      </c>
      <c r="P2" s="1" t="s">
        <v>3283</v>
      </c>
      <c r="Q2" s="1" t="s">
        <v>3284</v>
      </c>
      <c r="R2" s="1" t="s">
        <v>3285</v>
      </c>
    </row>
    <row r="3" spans="1:18" x14ac:dyDescent="0.25">
      <c r="A3" s="1" t="str">
        <f t="shared" ref="A3:A19" si="0">CONCATENATE(J3,K3,L3)</f>
        <v>#tc_military#tc_attachments#tc_optic</v>
      </c>
      <c r="B3" s="1">
        <f>VLOOKUP(A3,TraderCategory!$A$63:$E$556,2,FALSE)</f>
        <v>50</v>
      </c>
      <c r="C3" s="1">
        <f>VLOOKUP(A3,TraderCategory!$A$63:$F$556,6,FALSE)</f>
        <v>10</v>
      </c>
      <c r="D3" s="1" t="str">
        <f>VLOOKUP(C3,Tabulka5[],3,FALSE)</f>
        <v>Second Lieutenant</v>
      </c>
      <c r="E3" s="1">
        <v>13</v>
      </c>
      <c r="F3" s="1" t="str">
        <f>VLOOKUP(E3,Tabulka5[],3,FALSE)</f>
        <v>Major</v>
      </c>
      <c r="G3" s="1" t="s">
        <v>3115</v>
      </c>
      <c r="H3" s="1" t="s">
        <v>7</v>
      </c>
      <c r="I3" s="1" t="s">
        <v>8</v>
      </c>
      <c r="J3" s="1" t="s">
        <v>2729</v>
      </c>
      <c r="K3" s="1" t="s">
        <v>2736</v>
      </c>
      <c r="L3" s="1" t="s">
        <v>3163</v>
      </c>
      <c r="M3" s="1">
        <v>10000</v>
      </c>
      <c r="N3" s="1">
        <v>1</v>
      </c>
      <c r="O3" s="1" t="str">
        <f t="shared" ref="O3:O66" si="1">"""" &amp;H3 &amp; """: " &amp; N3 &amp; ","</f>
        <v>"ACOGOptic": 1,</v>
      </c>
      <c r="P3" s="1" t="str">
        <f t="shared" ref="P3:P66" si="2">"""" &amp;H3 &amp; """: " &amp; B3 &amp; ","</f>
        <v>"ACOGOptic": 50,</v>
      </c>
      <c r="Q3" s="1" t="str">
        <f t="shared" ref="Q3:Q66" si="3">"""" &amp;H3 &amp; """: " &amp; M3 &amp; ","</f>
        <v>"ACOGOptic": 10000,</v>
      </c>
      <c r="R3" s="1" t="str">
        <f t="shared" ref="R3:R66" si="4">"""" &amp;H3 &amp; """: " &amp; E3 &amp; ","</f>
        <v>"ACOGOptic": 13,</v>
      </c>
    </row>
    <row r="4" spans="1:18" x14ac:dyDescent="0.25">
      <c r="A4" s="1" t="str">
        <f t="shared" si="0"/>
        <v>#tc_military#tc_weapons#tc_assaultrifles</v>
      </c>
      <c r="B4" s="1">
        <f>VLOOKUP(A4,TraderCategory!$A$63:$E$556,2,FALSE)</f>
        <v>65</v>
      </c>
      <c r="C4" s="1">
        <f>VLOOKUP(A4,TraderCategory!$A$63:$F$556,6,FALSE)</f>
        <v>10</v>
      </c>
      <c r="D4" s="1" t="str">
        <f>VLOOKUP(C4,Tabulka5[],3,FALSE)</f>
        <v>Second Lieutenant</v>
      </c>
      <c r="E4" s="1">
        <v>10</v>
      </c>
      <c r="F4" s="1" t="str">
        <f>VLOOKUP(E4,Tabulka5[],3,FALSE)</f>
        <v>Second Lieutenant</v>
      </c>
      <c r="G4" s="1" t="s">
        <v>3115</v>
      </c>
      <c r="H4" s="1" t="s">
        <v>347</v>
      </c>
      <c r="I4" s="1" t="s">
        <v>8</v>
      </c>
      <c r="J4" s="1" t="s">
        <v>2729</v>
      </c>
      <c r="K4" s="1" t="s">
        <v>3129</v>
      </c>
      <c r="L4" s="1" t="s">
        <v>3158</v>
      </c>
      <c r="M4" s="1">
        <v>40000</v>
      </c>
      <c r="N4" s="1">
        <v>1</v>
      </c>
      <c r="O4" s="1" t="str">
        <f t="shared" si="1"/>
        <v>"AK101": 1,</v>
      </c>
      <c r="P4" s="1" t="str">
        <f t="shared" si="2"/>
        <v>"AK101": 65,</v>
      </c>
      <c r="Q4" s="1" t="str">
        <f t="shared" si="3"/>
        <v>"AK101": 40000,</v>
      </c>
      <c r="R4" s="1" t="str">
        <f t="shared" si="4"/>
        <v>"AK101": 10,</v>
      </c>
    </row>
    <row r="5" spans="1:18" x14ac:dyDescent="0.25">
      <c r="A5" s="1" t="str">
        <f t="shared" si="0"/>
        <v>#tc_military#tc_weapons#tc_assaultrifles</v>
      </c>
      <c r="B5" s="1">
        <f>VLOOKUP(A5,TraderCategory!$A$63:$E$556,2,FALSE)</f>
        <v>65</v>
      </c>
      <c r="C5" s="1">
        <f>VLOOKUP(A5,TraderCategory!$A$63:$F$556,6,FALSE)</f>
        <v>10</v>
      </c>
      <c r="D5" s="1" t="str">
        <f>VLOOKUP(C5,Tabulka5[],3,FALSE)</f>
        <v>Second Lieutenant</v>
      </c>
      <c r="E5" s="1">
        <v>10</v>
      </c>
      <c r="F5" s="1" t="str">
        <f>VLOOKUP(E5,Tabulka5[],3,FALSE)</f>
        <v>Second Lieutenant</v>
      </c>
      <c r="G5" s="1" t="s">
        <v>3115</v>
      </c>
      <c r="H5" s="1" t="s">
        <v>348</v>
      </c>
      <c r="I5" s="1" t="s">
        <v>8</v>
      </c>
      <c r="J5" s="1" t="s">
        <v>2729</v>
      </c>
      <c r="K5" s="1" t="s">
        <v>3129</v>
      </c>
      <c r="L5" s="1" t="s">
        <v>3158</v>
      </c>
      <c r="M5" s="1">
        <v>25000</v>
      </c>
      <c r="N5" s="1">
        <v>1</v>
      </c>
      <c r="O5" s="1" t="str">
        <f t="shared" si="1"/>
        <v>"AK74": 1,</v>
      </c>
      <c r="P5" s="1" t="str">
        <f t="shared" si="2"/>
        <v>"AK74": 65,</v>
      </c>
      <c r="Q5" s="1" t="str">
        <f t="shared" si="3"/>
        <v>"AK74": 25000,</v>
      </c>
      <c r="R5" s="1" t="str">
        <f t="shared" si="4"/>
        <v>"AK74": 10,</v>
      </c>
    </row>
    <row r="6" spans="1:18" x14ac:dyDescent="0.25">
      <c r="A6" s="1" t="str">
        <f t="shared" si="0"/>
        <v>#tc_military#tc_weapons#tc_assaultrifles</v>
      </c>
      <c r="B6" s="1">
        <f>VLOOKUP(A6,TraderCategory!$A$63:$E$556,2,FALSE)</f>
        <v>65</v>
      </c>
      <c r="C6" s="1">
        <f>VLOOKUP(A6,TraderCategory!$A$63:$F$556,6,FALSE)</f>
        <v>10</v>
      </c>
      <c r="D6" s="1" t="str">
        <f>VLOOKUP(C6,Tabulka5[],3,FALSE)</f>
        <v>Second Lieutenant</v>
      </c>
      <c r="E6" s="1">
        <v>12</v>
      </c>
      <c r="F6" s="1" t="str">
        <f>VLOOKUP(E6,Tabulka5[],3,FALSE)</f>
        <v>Captain</v>
      </c>
      <c r="G6" s="1" t="s">
        <v>3116</v>
      </c>
      <c r="H6" s="1" t="s">
        <v>2811</v>
      </c>
      <c r="I6" s="1" t="s">
        <v>8</v>
      </c>
      <c r="J6" s="1" t="s">
        <v>2729</v>
      </c>
      <c r="K6" s="1" t="s">
        <v>3129</v>
      </c>
      <c r="L6" s="1" t="s">
        <v>3158</v>
      </c>
      <c r="M6" s="1">
        <v>30000</v>
      </c>
      <c r="N6" s="1">
        <v>1</v>
      </c>
      <c r="O6" s="1" t="str">
        <f t="shared" si="1"/>
        <v>"WE_AK12": 1,</v>
      </c>
      <c r="P6" s="1" t="str">
        <f t="shared" si="2"/>
        <v>"WE_AK12": 65,</v>
      </c>
      <c r="Q6" s="1" t="str">
        <f t="shared" si="3"/>
        <v>"WE_AK12": 30000,</v>
      </c>
      <c r="R6" s="1" t="str">
        <f t="shared" si="4"/>
        <v>"WE_AK12": 12,</v>
      </c>
    </row>
    <row r="7" spans="1:18" x14ac:dyDescent="0.25">
      <c r="A7" s="1" t="str">
        <f t="shared" si="0"/>
        <v>#tc_military#tc_attachments#tc_attachments</v>
      </c>
      <c r="B7" s="1">
        <f>VLOOKUP(A7,TraderCategory!$A$63:$E$556,2,FALSE)</f>
        <v>48</v>
      </c>
      <c r="C7" s="1">
        <f>VLOOKUP(A7,TraderCategory!$A$63:$F$556,6,FALSE)</f>
        <v>0</v>
      </c>
      <c r="D7" s="1" t="str">
        <f>VLOOKUP(C7,Tabulka5[],3,FALSE)</f>
        <v>Private</v>
      </c>
      <c r="E7" s="1">
        <v>10</v>
      </c>
      <c r="F7" s="1" t="str">
        <f>VLOOKUP(E7,Tabulka5[],3,FALSE)</f>
        <v>Second Lieutenant</v>
      </c>
      <c r="G7" s="1" t="s">
        <v>3115</v>
      </c>
      <c r="H7" s="1" t="s">
        <v>349</v>
      </c>
      <c r="I7" s="1" t="s">
        <v>8</v>
      </c>
      <c r="J7" s="1" t="s">
        <v>2729</v>
      </c>
      <c r="K7" s="1" t="s">
        <v>2736</v>
      </c>
      <c r="L7" s="1" t="s">
        <v>2736</v>
      </c>
      <c r="M7" s="1">
        <v>500</v>
      </c>
      <c r="N7" s="1">
        <v>1</v>
      </c>
      <c r="O7" s="1" t="str">
        <f t="shared" si="1"/>
        <v>"AK74_Hndgrd": 1,</v>
      </c>
      <c r="P7" s="1" t="str">
        <f t="shared" si="2"/>
        <v>"AK74_Hndgrd": 48,</v>
      </c>
      <c r="Q7" s="1" t="str">
        <f t="shared" si="3"/>
        <v>"AK74_Hndgrd": 500,</v>
      </c>
      <c r="R7" s="1" t="str">
        <f t="shared" si="4"/>
        <v>"AK74_Hndgrd": 10,</v>
      </c>
    </row>
    <row r="8" spans="1:18" x14ac:dyDescent="0.25">
      <c r="A8" s="1" t="str">
        <f t="shared" si="0"/>
        <v>#tc_military#tc_attachments#tc_attachments</v>
      </c>
      <c r="B8" s="1">
        <f>VLOOKUP(A8,TraderCategory!$A$63:$E$556,2,FALSE)</f>
        <v>48</v>
      </c>
      <c r="C8" s="1">
        <f>VLOOKUP(A8,TraderCategory!$A$63:$F$556,6,FALSE)</f>
        <v>0</v>
      </c>
      <c r="D8" s="1" t="str">
        <f>VLOOKUP(C8,Tabulka5[],3,FALSE)</f>
        <v>Private</v>
      </c>
      <c r="E8" s="1">
        <v>10</v>
      </c>
      <c r="F8" s="1" t="str">
        <f>VLOOKUP(E8,Tabulka5[],3,FALSE)</f>
        <v>Second Lieutenant</v>
      </c>
      <c r="G8" s="1" t="s">
        <v>3115</v>
      </c>
      <c r="H8" s="1" t="s">
        <v>350</v>
      </c>
      <c r="I8" s="1" t="s">
        <v>8</v>
      </c>
      <c r="J8" s="1" t="s">
        <v>2729</v>
      </c>
      <c r="K8" s="1" t="s">
        <v>2736</v>
      </c>
      <c r="L8" s="1" t="s">
        <v>2736</v>
      </c>
      <c r="M8" s="1">
        <v>500</v>
      </c>
      <c r="N8" s="1">
        <v>1</v>
      </c>
      <c r="O8" s="1" t="str">
        <f t="shared" si="1"/>
        <v>"AK74_WoodBttstck": 1,</v>
      </c>
      <c r="P8" s="1" t="str">
        <f t="shared" si="2"/>
        <v>"AK74_WoodBttstck": 48,</v>
      </c>
      <c r="Q8" s="1" t="str">
        <f t="shared" si="3"/>
        <v>"AK74_WoodBttstck": 500,</v>
      </c>
      <c r="R8" s="1" t="str">
        <f t="shared" si="4"/>
        <v>"AK74_WoodBttstck": 10,</v>
      </c>
    </row>
    <row r="9" spans="1:18" x14ac:dyDescent="0.25">
      <c r="A9" s="1" t="str">
        <f t="shared" si="0"/>
        <v>#tc_military#tc_weapons#tc_assaultrifles</v>
      </c>
      <c r="B9" s="1">
        <f>VLOOKUP(A9,TraderCategory!$A$63:$E$556,2,FALSE)</f>
        <v>65</v>
      </c>
      <c r="C9" s="1">
        <f>VLOOKUP(A9,TraderCategory!$A$63:$F$556,6,FALSE)</f>
        <v>10</v>
      </c>
      <c r="D9" s="1" t="str">
        <f>VLOOKUP(C9,Tabulka5[],3,FALSE)</f>
        <v>Second Lieutenant</v>
      </c>
      <c r="E9" s="1">
        <v>11</v>
      </c>
      <c r="F9" s="1" t="str">
        <f>VLOOKUP(E9,Tabulka5[],3,FALSE)</f>
        <v>First Lieutenant</v>
      </c>
      <c r="G9" s="1" t="s">
        <v>3115</v>
      </c>
      <c r="H9" s="1" t="s">
        <v>351</v>
      </c>
      <c r="I9" s="1" t="s">
        <v>8</v>
      </c>
      <c r="J9" s="1" t="s">
        <v>2729</v>
      </c>
      <c r="K9" s="1" t="s">
        <v>3129</v>
      </c>
      <c r="L9" s="1" t="s">
        <v>3158</v>
      </c>
      <c r="M9" s="1">
        <v>50000</v>
      </c>
      <c r="N9" s="1">
        <v>1</v>
      </c>
      <c r="O9" s="1" t="str">
        <f t="shared" si="1"/>
        <v>"AKM": 1,</v>
      </c>
      <c r="P9" s="1" t="str">
        <f t="shared" si="2"/>
        <v>"AKM": 65,</v>
      </c>
      <c r="Q9" s="1" t="str">
        <f t="shared" si="3"/>
        <v>"AKM": 50000,</v>
      </c>
      <c r="R9" s="1" t="str">
        <f t="shared" si="4"/>
        <v>"AKM": 11,</v>
      </c>
    </row>
    <row r="10" spans="1:18" x14ac:dyDescent="0.25">
      <c r="A10" s="1" t="str">
        <f t="shared" si="0"/>
        <v>#tc_military#tc_weapons#tc_assaultrifles</v>
      </c>
      <c r="B10" s="1">
        <f>VLOOKUP(A10,TraderCategory!$A$63:$E$556,2,FALSE)</f>
        <v>65</v>
      </c>
      <c r="C10" s="1">
        <f>VLOOKUP(A10,TraderCategory!$A$63:$F$556,6,FALSE)</f>
        <v>10</v>
      </c>
      <c r="D10" s="1" t="str">
        <f>VLOOKUP(C10,Tabulka5[],3,FALSE)</f>
        <v>Second Lieutenant</v>
      </c>
      <c r="E10" s="1">
        <v>10</v>
      </c>
      <c r="F10" s="1" t="str">
        <f>VLOOKUP(E10,Tabulka5[],3,FALSE)</f>
        <v>Second Lieutenant</v>
      </c>
      <c r="G10" s="1" t="s">
        <v>3115</v>
      </c>
      <c r="H10" s="1" t="s">
        <v>352</v>
      </c>
      <c r="I10" s="1" t="s">
        <v>8</v>
      </c>
      <c r="J10" s="1" t="s">
        <v>2729</v>
      </c>
      <c r="K10" s="1" t="s">
        <v>3129</v>
      </c>
      <c r="L10" s="1" t="s">
        <v>3158</v>
      </c>
      <c r="M10" s="1">
        <v>25000</v>
      </c>
      <c r="N10" s="1">
        <v>1</v>
      </c>
      <c r="O10" s="1" t="str">
        <f t="shared" si="1"/>
        <v>"AKS74U": 1,</v>
      </c>
      <c r="P10" s="1" t="str">
        <f t="shared" si="2"/>
        <v>"AKS74U": 65,</v>
      </c>
      <c r="Q10" s="1" t="str">
        <f t="shared" si="3"/>
        <v>"AKS74U": 25000,</v>
      </c>
      <c r="R10" s="1" t="str">
        <f t="shared" si="4"/>
        <v>"AKS74U": 10,</v>
      </c>
    </row>
    <row r="11" spans="1:18" x14ac:dyDescent="0.25">
      <c r="A11" s="1" t="str">
        <f t="shared" si="0"/>
        <v>#tc_military#tc_attachments#tc_attachments</v>
      </c>
      <c r="B11" s="1">
        <f>VLOOKUP(A11,TraderCategory!$A$63:$E$556,2,FALSE)</f>
        <v>48</v>
      </c>
      <c r="C11" s="1">
        <f>VLOOKUP(A11,TraderCategory!$A$63:$F$556,6,FALSE)</f>
        <v>0</v>
      </c>
      <c r="D11" s="1" t="str">
        <f>VLOOKUP(C11,Tabulka5[],3,FALSE)</f>
        <v>Private</v>
      </c>
      <c r="E11" s="1">
        <v>10</v>
      </c>
      <c r="F11" s="1" t="str">
        <f>VLOOKUP(E11,Tabulka5[],3,FALSE)</f>
        <v>Second Lieutenant</v>
      </c>
      <c r="G11" s="1" t="s">
        <v>3115</v>
      </c>
      <c r="H11" s="1" t="s">
        <v>353</v>
      </c>
      <c r="I11" s="1" t="s">
        <v>8</v>
      </c>
      <c r="J11" s="1" t="s">
        <v>2729</v>
      </c>
      <c r="K11" s="1" t="s">
        <v>2736</v>
      </c>
      <c r="L11" s="1" t="s">
        <v>2736</v>
      </c>
      <c r="M11" s="1">
        <v>500</v>
      </c>
      <c r="N11" s="1">
        <v>1</v>
      </c>
      <c r="O11" s="1" t="str">
        <f t="shared" si="1"/>
        <v>"AKS74U_Bttstck": 1,</v>
      </c>
      <c r="P11" s="1" t="str">
        <f t="shared" si="2"/>
        <v>"AKS74U_Bttstck": 48,</v>
      </c>
      <c r="Q11" s="1" t="str">
        <f t="shared" si="3"/>
        <v>"AKS74U_Bttstck": 500,</v>
      </c>
      <c r="R11" s="1" t="str">
        <f t="shared" si="4"/>
        <v>"AKS74U_Bttstck": 10,</v>
      </c>
    </row>
    <row r="12" spans="1:18" x14ac:dyDescent="0.25">
      <c r="A12" s="1" t="str">
        <f t="shared" si="0"/>
        <v>#tc_military#tc_attachments#tc_bayonets</v>
      </c>
      <c r="B12" s="1">
        <f>VLOOKUP(A12,TraderCategory!$A$63:$E$556,2,FALSE)</f>
        <v>49</v>
      </c>
      <c r="C12" s="1">
        <f>VLOOKUP(A12,TraderCategory!$A$63:$F$556,6,FALSE)</f>
        <v>1</v>
      </c>
      <c r="D12" s="1" t="str">
        <f>VLOOKUP(C12,Tabulka5[],3,FALSE)</f>
        <v>Private First Class</v>
      </c>
      <c r="E12" s="1">
        <v>10</v>
      </c>
      <c r="F12" s="1" t="str">
        <f>VLOOKUP(E12,Tabulka5[],3,FALSE)</f>
        <v>Second Lieutenant</v>
      </c>
      <c r="G12" s="1" t="s">
        <v>3115</v>
      </c>
      <c r="H12" s="1" t="s">
        <v>354</v>
      </c>
      <c r="I12" s="1" t="s">
        <v>8</v>
      </c>
      <c r="J12" s="1" t="s">
        <v>2729</v>
      </c>
      <c r="K12" s="1" t="s">
        <v>2736</v>
      </c>
      <c r="L12" s="1" t="s">
        <v>3164</v>
      </c>
      <c r="M12" s="1">
        <v>2500</v>
      </c>
      <c r="N12" s="1">
        <v>1</v>
      </c>
      <c r="O12" s="1" t="str">
        <f t="shared" si="1"/>
        <v>"AK_Bayonet": 1,</v>
      </c>
      <c r="P12" s="1" t="str">
        <f t="shared" si="2"/>
        <v>"AK_Bayonet": 49,</v>
      </c>
      <c r="Q12" s="1" t="str">
        <f t="shared" si="3"/>
        <v>"AK_Bayonet": 2500,</v>
      </c>
      <c r="R12" s="1" t="str">
        <f t="shared" si="4"/>
        <v>"AK_Bayonet": 10,</v>
      </c>
    </row>
    <row r="13" spans="1:18" x14ac:dyDescent="0.25">
      <c r="A13" s="1" t="str">
        <f t="shared" si="0"/>
        <v>#tc_military#tc_attachments#tc_attachments</v>
      </c>
      <c r="B13" s="1">
        <f>VLOOKUP(A13,TraderCategory!$A$63:$E$556,2,FALSE)</f>
        <v>48</v>
      </c>
      <c r="C13" s="1">
        <f>VLOOKUP(A13,TraderCategory!$A$63:$F$556,6,FALSE)</f>
        <v>0</v>
      </c>
      <c r="D13" s="1" t="str">
        <f>VLOOKUP(C13,Tabulka5[],3,FALSE)</f>
        <v>Private</v>
      </c>
      <c r="E13" s="1">
        <v>10</v>
      </c>
      <c r="F13" s="1" t="str">
        <f>VLOOKUP(E13,Tabulka5[],3,FALSE)</f>
        <v>Second Lieutenant</v>
      </c>
      <c r="G13" s="1" t="s">
        <v>3115</v>
      </c>
      <c r="H13" s="1" t="s">
        <v>355</v>
      </c>
      <c r="I13" s="1" t="s">
        <v>8</v>
      </c>
      <c r="J13" s="1" t="s">
        <v>2729</v>
      </c>
      <c r="K13" s="1" t="s">
        <v>2736</v>
      </c>
      <c r="L13" s="1" t="s">
        <v>2736</v>
      </c>
      <c r="M13" s="1">
        <v>500</v>
      </c>
      <c r="N13" s="1">
        <v>1</v>
      </c>
      <c r="O13" s="1" t="str">
        <f t="shared" si="1"/>
        <v>"AK_FoldingBttstck": 1,</v>
      </c>
      <c r="P13" s="1" t="str">
        <f t="shared" si="2"/>
        <v>"AK_FoldingBttstck": 48,</v>
      </c>
      <c r="Q13" s="1" t="str">
        <f t="shared" si="3"/>
        <v>"AK_FoldingBttstck": 500,</v>
      </c>
      <c r="R13" s="1" t="str">
        <f t="shared" si="4"/>
        <v>"AK_FoldingBttstck": 10,</v>
      </c>
    </row>
    <row r="14" spans="1:18" x14ac:dyDescent="0.25">
      <c r="A14" s="1" t="str">
        <f t="shared" si="0"/>
        <v>#tc_military#tc_attachments#tc_attachments</v>
      </c>
      <c r="B14" s="1">
        <f>VLOOKUP(A14,TraderCategory!$A$63:$E$556,2,FALSE)</f>
        <v>48</v>
      </c>
      <c r="C14" s="1">
        <f>VLOOKUP(A14,TraderCategory!$A$63:$F$556,6,FALSE)</f>
        <v>0</v>
      </c>
      <c r="D14" s="1" t="str">
        <f>VLOOKUP(C14,Tabulka5[],3,FALSE)</f>
        <v>Private</v>
      </c>
      <c r="E14" s="1">
        <v>10</v>
      </c>
      <c r="F14" s="1" t="str">
        <f>VLOOKUP(E14,Tabulka5[],3,FALSE)</f>
        <v>Second Lieutenant</v>
      </c>
      <c r="G14" s="1" t="s">
        <v>3115</v>
      </c>
      <c r="H14" s="1" t="s">
        <v>356</v>
      </c>
      <c r="I14" s="1" t="s">
        <v>8</v>
      </c>
      <c r="J14" s="1" t="s">
        <v>2729</v>
      </c>
      <c r="K14" s="1" t="s">
        <v>2736</v>
      </c>
      <c r="L14" s="1" t="s">
        <v>2736</v>
      </c>
      <c r="M14" s="1">
        <v>500</v>
      </c>
      <c r="N14" s="1">
        <v>1</v>
      </c>
      <c r="O14" s="1" t="str">
        <f t="shared" si="1"/>
        <v>"AK_PlasticBttstck": 1,</v>
      </c>
      <c r="P14" s="1" t="str">
        <f t="shared" si="2"/>
        <v>"AK_PlasticBttstck": 48,</v>
      </c>
      <c r="Q14" s="1" t="str">
        <f t="shared" si="3"/>
        <v>"AK_PlasticBttstck": 500,</v>
      </c>
      <c r="R14" s="1" t="str">
        <f t="shared" si="4"/>
        <v>"AK_PlasticBttstck": 10,</v>
      </c>
    </row>
    <row r="15" spans="1:18" x14ac:dyDescent="0.25">
      <c r="A15" s="1" t="str">
        <f t="shared" si="0"/>
        <v>#tc_military#tc_attachments#tc_attachments</v>
      </c>
      <c r="B15" s="1">
        <f>VLOOKUP(A15,TraderCategory!$A$63:$E$556,2,FALSE)</f>
        <v>48</v>
      </c>
      <c r="C15" s="1">
        <f>VLOOKUP(A15,TraderCategory!$A$63:$F$556,6,FALSE)</f>
        <v>0</v>
      </c>
      <c r="D15" s="1" t="str">
        <f>VLOOKUP(C15,Tabulka5[],3,FALSE)</f>
        <v>Private</v>
      </c>
      <c r="E15" s="1">
        <v>10</v>
      </c>
      <c r="F15" s="1" t="str">
        <f>VLOOKUP(E15,Tabulka5[],3,FALSE)</f>
        <v>Second Lieutenant</v>
      </c>
      <c r="G15" s="1" t="s">
        <v>3115</v>
      </c>
      <c r="H15" s="1" t="s">
        <v>357</v>
      </c>
      <c r="I15" s="1" t="s">
        <v>8</v>
      </c>
      <c r="J15" s="1" t="s">
        <v>2729</v>
      </c>
      <c r="K15" s="1" t="s">
        <v>2736</v>
      </c>
      <c r="L15" s="1" t="s">
        <v>2736</v>
      </c>
      <c r="M15" s="1">
        <v>500</v>
      </c>
      <c r="N15" s="1">
        <v>1</v>
      </c>
      <c r="O15" s="1" t="str">
        <f t="shared" si="1"/>
        <v>"AK_PlasticHndgrd": 1,</v>
      </c>
      <c r="P15" s="1" t="str">
        <f t="shared" si="2"/>
        <v>"AK_PlasticHndgrd": 48,</v>
      </c>
      <c r="Q15" s="1" t="str">
        <f t="shared" si="3"/>
        <v>"AK_PlasticHndgrd": 500,</v>
      </c>
      <c r="R15" s="1" t="str">
        <f t="shared" si="4"/>
        <v>"AK_PlasticHndgrd": 10,</v>
      </c>
    </row>
    <row r="16" spans="1:18" x14ac:dyDescent="0.25">
      <c r="A16" s="1" t="str">
        <f t="shared" si="0"/>
        <v>#tc_military#tc_attachments#tc_attachments</v>
      </c>
      <c r="B16" s="1">
        <f>VLOOKUP(A16,TraderCategory!$A$63:$E$556,2,FALSE)</f>
        <v>48</v>
      </c>
      <c r="C16" s="1">
        <f>VLOOKUP(A16,TraderCategory!$A$63:$F$556,6,FALSE)</f>
        <v>0</v>
      </c>
      <c r="D16" s="1" t="str">
        <f>VLOOKUP(C16,Tabulka5[],3,FALSE)</f>
        <v>Private</v>
      </c>
      <c r="E16" s="1">
        <v>10</v>
      </c>
      <c r="F16" s="1" t="str">
        <f>VLOOKUP(E16,Tabulka5[],3,FALSE)</f>
        <v>Second Lieutenant</v>
      </c>
      <c r="G16" s="1" t="s">
        <v>3115</v>
      </c>
      <c r="H16" s="1" t="s">
        <v>358</v>
      </c>
      <c r="I16" s="1" t="s">
        <v>8</v>
      </c>
      <c r="J16" s="1" t="s">
        <v>2729</v>
      </c>
      <c r="K16" s="1" t="s">
        <v>2736</v>
      </c>
      <c r="L16" s="1" t="s">
        <v>2736</v>
      </c>
      <c r="M16" s="1">
        <v>1000</v>
      </c>
      <c r="N16" s="1">
        <v>1</v>
      </c>
      <c r="O16" s="1" t="str">
        <f t="shared" si="1"/>
        <v>"AK_RailHndgrd": 1,</v>
      </c>
      <c r="P16" s="1" t="str">
        <f t="shared" si="2"/>
        <v>"AK_RailHndgrd": 48,</v>
      </c>
      <c r="Q16" s="1" t="str">
        <f t="shared" si="3"/>
        <v>"AK_RailHndgrd": 1000,</v>
      </c>
      <c r="R16" s="1" t="str">
        <f t="shared" si="4"/>
        <v>"AK_RailHndgrd": 10,</v>
      </c>
    </row>
    <row r="17" spans="1:18" x14ac:dyDescent="0.25">
      <c r="A17" s="1" t="str">
        <f t="shared" si="0"/>
        <v>#tc_military#tc_attachments#tc_suppressors</v>
      </c>
      <c r="B17" s="1">
        <f>VLOOKUP(A17,TraderCategory!$A$63:$E$556,2,FALSE)</f>
        <v>52</v>
      </c>
      <c r="C17" s="1">
        <f>VLOOKUP(A17,TraderCategory!$A$63:$F$556,6,FALSE)</f>
        <v>10</v>
      </c>
      <c r="D17" s="1" t="str">
        <f>VLOOKUP(C17,Tabulka5[],3,FALSE)</f>
        <v>Second Lieutenant</v>
      </c>
      <c r="E17" s="1">
        <v>13</v>
      </c>
      <c r="F17" s="1" t="str">
        <f>VLOOKUP(E17,Tabulka5[],3,FALSE)</f>
        <v>Major</v>
      </c>
      <c r="G17" s="1" t="s">
        <v>3115</v>
      </c>
      <c r="H17" s="1" t="s">
        <v>359</v>
      </c>
      <c r="I17" s="1" t="s">
        <v>8</v>
      </c>
      <c r="J17" s="1" t="s">
        <v>2729</v>
      </c>
      <c r="K17" s="1" t="s">
        <v>2736</v>
      </c>
      <c r="L17" s="1" t="s">
        <v>3165</v>
      </c>
      <c r="M17" s="1">
        <v>20000</v>
      </c>
      <c r="N17" s="1">
        <v>1</v>
      </c>
      <c r="O17" s="1" t="str">
        <f t="shared" si="1"/>
        <v>"AK_Suppressor": 1,</v>
      </c>
      <c r="P17" s="1" t="str">
        <f t="shared" si="2"/>
        <v>"AK_Suppressor": 52,</v>
      </c>
      <c r="Q17" s="1" t="str">
        <f t="shared" si="3"/>
        <v>"AK_Suppressor": 20000,</v>
      </c>
      <c r="R17" s="1" t="str">
        <f t="shared" si="4"/>
        <v>"AK_Suppressor": 13,</v>
      </c>
    </row>
    <row r="18" spans="1:18" x14ac:dyDescent="0.25">
      <c r="A18" s="1" t="str">
        <f t="shared" si="0"/>
        <v>#tc_military#tc_attachments#tc_attachments</v>
      </c>
      <c r="B18" s="1">
        <f>VLOOKUP(A18,TraderCategory!$A$63:$E$556,2,FALSE)</f>
        <v>48</v>
      </c>
      <c r="C18" s="1">
        <f>VLOOKUP(A18,TraderCategory!$A$63:$F$556,6,FALSE)</f>
        <v>0</v>
      </c>
      <c r="D18" s="1" t="str">
        <f>VLOOKUP(C18,Tabulka5[],3,FALSE)</f>
        <v>Private</v>
      </c>
      <c r="E18" s="1">
        <v>10</v>
      </c>
      <c r="F18" s="1" t="str">
        <f>VLOOKUP(E18,Tabulka5[],3,FALSE)</f>
        <v>Second Lieutenant</v>
      </c>
      <c r="G18" s="1" t="s">
        <v>3115</v>
      </c>
      <c r="H18" s="1" t="s">
        <v>360</v>
      </c>
      <c r="I18" s="1" t="s">
        <v>8</v>
      </c>
      <c r="J18" s="1" t="s">
        <v>2729</v>
      </c>
      <c r="K18" s="1" t="s">
        <v>2736</v>
      </c>
      <c r="L18" s="1" t="s">
        <v>2736</v>
      </c>
      <c r="M18" s="1">
        <v>500</v>
      </c>
      <c r="N18" s="1">
        <v>1</v>
      </c>
      <c r="O18" s="1" t="str">
        <f t="shared" si="1"/>
        <v>"AK_WoodBttstck": 1,</v>
      </c>
      <c r="P18" s="1" t="str">
        <f t="shared" si="2"/>
        <v>"AK_WoodBttstck": 48,</v>
      </c>
      <c r="Q18" s="1" t="str">
        <f t="shared" si="3"/>
        <v>"AK_WoodBttstck": 500,</v>
      </c>
      <c r="R18" s="1" t="str">
        <f t="shared" si="4"/>
        <v>"AK_WoodBttstck": 10,</v>
      </c>
    </row>
    <row r="19" spans="1:18" x14ac:dyDescent="0.25">
      <c r="A19" s="1" t="str">
        <f t="shared" si="0"/>
        <v>#tc_military#tc_attachments#tc_attachments</v>
      </c>
      <c r="B19" s="1">
        <f>VLOOKUP(A19,TraderCategory!$A$63:$E$556,2,FALSE)</f>
        <v>48</v>
      </c>
      <c r="C19" s="1">
        <f>VLOOKUP(A19,TraderCategory!$A$63:$F$556,6,FALSE)</f>
        <v>0</v>
      </c>
      <c r="D19" s="1" t="str">
        <f>VLOOKUP(C19,Tabulka5[],3,FALSE)</f>
        <v>Private</v>
      </c>
      <c r="E19" s="1">
        <v>10</v>
      </c>
      <c r="F19" s="1" t="str">
        <f>VLOOKUP(E19,Tabulka5[],3,FALSE)</f>
        <v>Second Lieutenant</v>
      </c>
      <c r="G19" s="1" t="s">
        <v>3115</v>
      </c>
      <c r="H19" s="1" t="s">
        <v>361</v>
      </c>
      <c r="I19" s="1" t="s">
        <v>8</v>
      </c>
      <c r="J19" s="1" t="s">
        <v>2729</v>
      </c>
      <c r="K19" s="1" t="s">
        <v>2736</v>
      </c>
      <c r="L19" s="1" t="s">
        <v>2736</v>
      </c>
      <c r="M19" s="1">
        <v>500</v>
      </c>
      <c r="N19" s="1">
        <v>1</v>
      </c>
      <c r="O19" s="1" t="str">
        <f t="shared" si="1"/>
        <v>"AK_WoodHndgrd": 1,</v>
      </c>
      <c r="P19" s="1" t="str">
        <f t="shared" si="2"/>
        <v>"AK_WoodHndgrd": 48,</v>
      </c>
      <c r="Q19" s="1" t="str">
        <f t="shared" si="3"/>
        <v>"AK_WoodHndgrd": 500,</v>
      </c>
      <c r="R19" s="1" t="str">
        <f t="shared" si="4"/>
        <v>"AK_WoodHndgrd": 10,</v>
      </c>
    </row>
    <row r="20" spans="1:18" ht="15" customHeight="1" x14ac:dyDescent="0.25">
      <c r="A20" s="1" t="str">
        <f t="shared" ref="A20:A23" si="5">CONCATENATE(J20,K20,L20)</f>
        <v>#tc_clothes#tc_military#tc_bags</v>
      </c>
      <c r="B20" s="1">
        <f>VLOOKUP(A20,TraderCategory!$A$63:$E$556,2,FALSE)</f>
        <v>15</v>
      </c>
      <c r="C20" s="1">
        <f>VLOOKUP(A20,TraderCategory!$A$63:$F$556,6,FALSE)</f>
        <v>1</v>
      </c>
      <c r="D20" s="1" t="str">
        <f>VLOOKUP(C20,Tabulka5[],3,FALSE)</f>
        <v>Private First Class</v>
      </c>
      <c r="E20" s="1">
        <v>5</v>
      </c>
      <c r="F20" s="1" t="str">
        <f>VLOOKUP(E20,Tabulka5[],3,FALSE)</f>
        <v>Sergeant First Class</v>
      </c>
      <c r="G20" s="1" t="s">
        <v>3115</v>
      </c>
      <c r="H20" s="1" t="s">
        <v>362</v>
      </c>
      <c r="I20" s="1" t="s">
        <v>363</v>
      </c>
      <c r="J20" s="1" t="s">
        <v>2728</v>
      </c>
      <c r="K20" s="1" t="s">
        <v>2729</v>
      </c>
      <c r="L20" s="1" t="s">
        <v>3138</v>
      </c>
      <c r="M20" s="1">
        <v>18000</v>
      </c>
      <c r="N20" s="1">
        <v>1</v>
      </c>
      <c r="O20" s="1" t="str">
        <f t="shared" si="1"/>
        <v>"AliceBag_Black": 1,</v>
      </c>
      <c r="P20" s="1" t="str">
        <f t="shared" si="2"/>
        <v>"AliceBag_Black": 15,</v>
      </c>
      <c r="Q20" s="1" t="str">
        <f t="shared" si="3"/>
        <v>"AliceBag_Black": 18000,</v>
      </c>
      <c r="R20" s="1" t="str">
        <f t="shared" si="4"/>
        <v>"AliceBag_Black": 5,</v>
      </c>
    </row>
    <row r="21" spans="1:18" ht="15" customHeight="1" x14ac:dyDescent="0.25">
      <c r="A21" s="1" t="str">
        <f t="shared" si="5"/>
        <v>#tc_clothes#tc_military#tc_bags</v>
      </c>
      <c r="B21" s="1">
        <f>VLOOKUP(A21,TraderCategory!$A$63:$E$556,2,FALSE)</f>
        <v>15</v>
      </c>
      <c r="C21" s="1">
        <f>VLOOKUP(A21,TraderCategory!$A$63:$F$556,6,FALSE)</f>
        <v>1</v>
      </c>
      <c r="D21" s="1" t="str">
        <f>VLOOKUP(C21,Tabulka5[],3,FALSE)</f>
        <v>Private First Class</v>
      </c>
      <c r="E21" s="1">
        <v>5</v>
      </c>
      <c r="F21" s="1" t="str">
        <f>VLOOKUP(E21,Tabulka5[],3,FALSE)</f>
        <v>Sergeant First Class</v>
      </c>
      <c r="G21" s="1" t="s">
        <v>3115</v>
      </c>
      <c r="H21" s="1" t="s">
        <v>364</v>
      </c>
      <c r="I21" s="1" t="s">
        <v>363</v>
      </c>
      <c r="J21" s="1" t="s">
        <v>2728</v>
      </c>
      <c r="K21" s="1" t="s">
        <v>2729</v>
      </c>
      <c r="L21" s="1" t="s">
        <v>3138</v>
      </c>
      <c r="M21" s="1">
        <v>18000</v>
      </c>
      <c r="N21" s="1">
        <v>1</v>
      </c>
      <c r="O21" s="1" t="str">
        <f t="shared" si="1"/>
        <v>"AliceBag_Camo": 1,</v>
      </c>
      <c r="P21" s="1" t="str">
        <f t="shared" si="2"/>
        <v>"AliceBag_Camo": 15,</v>
      </c>
      <c r="Q21" s="1" t="str">
        <f t="shared" si="3"/>
        <v>"AliceBag_Camo": 18000,</v>
      </c>
      <c r="R21" s="1" t="str">
        <f t="shared" si="4"/>
        <v>"AliceBag_Camo": 5,</v>
      </c>
    </row>
    <row r="22" spans="1:18" ht="15" customHeight="1" x14ac:dyDescent="0.25">
      <c r="A22" s="1" t="str">
        <f t="shared" si="5"/>
        <v>#tc_clothes#tc_military#tc_bags</v>
      </c>
      <c r="B22" s="1">
        <f>VLOOKUP(A22,TraderCategory!$A$63:$E$556,2,FALSE)</f>
        <v>15</v>
      </c>
      <c r="C22" s="1">
        <f>VLOOKUP(A22,TraderCategory!$A$63:$F$556,6,FALSE)</f>
        <v>1</v>
      </c>
      <c r="D22" s="1" t="str">
        <f>VLOOKUP(C22,Tabulka5[],3,FALSE)</f>
        <v>Private First Class</v>
      </c>
      <c r="E22" s="1">
        <v>5</v>
      </c>
      <c r="F22" s="1" t="str">
        <f>VLOOKUP(E22,Tabulka5[],3,FALSE)</f>
        <v>Sergeant First Class</v>
      </c>
      <c r="G22" s="1" t="s">
        <v>3115</v>
      </c>
      <c r="H22" s="1" t="s">
        <v>365</v>
      </c>
      <c r="I22" s="1" t="s">
        <v>363</v>
      </c>
      <c r="J22" s="1" t="s">
        <v>2728</v>
      </c>
      <c r="K22" s="1" t="s">
        <v>2729</v>
      </c>
      <c r="L22" s="1" t="s">
        <v>3138</v>
      </c>
      <c r="M22" s="1">
        <v>18000</v>
      </c>
      <c r="N22" s="1">
        <v>1</v>
      </c>
      <c r="O22" s="1" t="str">
        <f t="shared" si="1"/>
        <v>"AliceBag_Green": 1,</v>
      </c>
      <c r="P22" s="1" t="str">
        <f t="shared" si="2"/>
        <v>"AliceBag_Green": 15,</v>
      </c>
      <c r="Q22" s="1" t="str">
        <f t="shared" si="3"/>
        <v>"AliceBag_Green": 18000,</v>
      </c>
      <c r="R22" s="1" t="str">
        <f t="shared" si="4"/>
        <v>"AliceBag_Green": 5,</v>
      </c>
    </row>
    <row r="23" spans="1:18" ht="15" customHeight="1" x14ac:dyDescent="0.25">
      <c r="A23" s="1" t="str">
        <f t="shared" si="5"/>
        <v>#tc_groceries#tc_tools#tc_storages</v>
      </c>
      <c r="B23" s="1">
        <f>VLOOKUP(A23,TraderCategory!$A$63:$E$556,2,FALSE)</f>
        <v>41</v>
      </c>
      <c r="C23" s="1">
        <f>VLOOKUP(A23,TraderCategory!$A$63:$F$556,6,FALSE)</f>
        <v>3</v>
      </c>
      <c r="D23" s="1" t="str">
        <f>VLOOKUP(C23,Tabulka5[],3,FALSE)</f>
        <v>Sergeant</v>
      </c>
      <c r="E23" s="1">
        <v>3</v>
      </c>
      <c r="F23" s="1" t="str">
        <f>VLOOKUP(E23,Tabulka5[],3,FALSE)</f>
        <v>Sergeant</v>
      </c>
      <c r="G23" s="1" t="s">
        <v>3115</v>
      </c>
      <c r="H23" s="1" t="s">
        <v>366</v>
      </c>
      <c r="I23" s="1" t="s">
        <v>363</v>
      </c>
      <c r="J23" s="1" t="s">
        <v>3127</v>
      </c>
      <c r="K23" s="1" t="s">
        <v>2740</v>
      </c>
      <c r="L23" s="1" t="s">
        <v>3227</v>
      </c>
      <c r="M23" s="1">
        <v>10000</v>
      </c>
      <c r="N23" s="1">
        <v>1</v>
      </c>
      <c r="O23" s="1" t="str">
        <f t="shared" si="1"/>
        <v>"AmmoBox": 1,</v>
      </c>
      <c r="P23" s="1" t="str">
        <f t="shared" si="2"/>
        <v>"AmmoBox": 41,</v>
      </c>
      <c r="Q23" s="1" t="str">
        <f t="shared" si="3"/>
        <v>"AmmoBox": 10000,</v>
      </c>
      <c r="R23" s="1" t="str">
        <f t="shared" si="4"/>
        <v>"AmmoBox": 3,</v>
      </c>
    </row>
    <row r="24" spans="1:18" x14ac:dyDescent="0.25">
      <c r="A24" s="1" t="str">
        <f t="shared" ref="A24:A87" si="6">CONCATENATE(J24,K24,L24)</f>
        <v>#tc_military#tc_ammo#tc_shotguns</v>
      </c>
      <c r="B24" s="1">
        <f>VLOOKUP(A24,TraderCategory!$A$63:$E$556,2,FALSE)</f>
        <v>43</v>
      </c>
      <c r="C24" s="1">
        <f>VLOOKUP(A24,TraderCategory!$A$63:$F$556,6,FALSE)</f>
        <v>3</v>
      </c>
      <c r="D24" s="1" t="str">
        <f>VLOOKUP(C24,Tabulka5[],3,FALSE)</f>
        <v>Sergeant</v>
      </c>
      <c r="E24" s="1">
        <v>3</v>
      </c>
      <c r="F24" s="1" t="str">
        <f>VLOOKUP(E24,Tabulka5[],3,FALSE)</f>
        <v>Sergeant</v>
      </c>
      <c r="G24" s="1" t="s">
        <v>3115</v>
      </c>
      <c r="H24" s="1" t="s">
        <v>3318</v>
      </c>
      <c r="I24" s="1" t="s">
        <v>8</v>
      </c>
      <c r="J24" s="1" t="s">
        <v>2729</v>
      </c>
      <c r="K24" s="1" t="s">
        <v>2738</v>
      </c>
      <c r="L24" s="1" t="s">
        <v>3155</v>
      </c>
      <c r="M24" s="1">
        <v>1200</v>
      </c>
      <c r="N24" s="1">
        <v>1</v>
      </c>
      <c r="O24" s="1" t="str">
        <f t="shared" si="1"/>
        <v>"AmmoBox_00buck_10Rnd": 1,</v>
      </c>
      <c r="P24" s="1" t="str">
        <f t="shared" si="2"/>
        <v>"AmmoBox_00buck_10Rnd": 43,</v>
      </c>
      <c r="Q24" s="1" t="str">
        <f t="shared" si="3"/>
        <v>"AmmoBox_00buck_10Rnd": 1200,</v>
      </c>
      <c r="R24" s="1" t="str">
        <f t="shared" si="4"/>
        <v>"AmmoBox_00buck_10Rnd": 3,</v>
      </c>
    </row>
    <row r="25" spans="1:18" x14ac:dyDescent="0.25">
      <c r="A25" s="1" t="str">
        <f t="shared" si="6"/>
        <v>#tc_military#tc_ammo#tc_shotguns</v>
      </c>
      <c r="B25" s="1">
        <f>VLOOKUP(A25,TraderCategory!$A$63:$E$556,2,FALSE)</f>
        <v>43</v>
      </c>
      <c r="C25" s="1">
        <f>VLOOKUP(A25,TraderCategory!$A$63:$F$556,6,FALSE)</f>
        <v>3</v>
      </c>
      <c r="D25" s="1" t="str">
        <f>VLOOKUP(C25,Tabulka5[],3,FALSE)</f>
        <v>Sergeant</v>
      </c>
      <c r="E25" s="1">
        <v>4</v>
      </c>
      <c r="F25" s="1" t="str">
        <f>VLOOKUP(E25,Tabulka5[],3,FALSE)</f>
        <v>Staff Sergeant</v>
      </c>
      <c r="G25" s="1" t="s">
        <v>3115</v>
      </c>
      <c r="H25" s="1" t="s">
        <v>367</v>
      </c>
      <c r="I25" s="1" t="s">
        <v>8</v>
      </c>
      <c r="J25" s="1" t="s">
        <v>2729</v>
      </c>
      <c r="K25" s="1" t="s">
        <v>2738</v>
      </c>
      <c r="L25" s="1" t="s">
        <v>3155</v>
      </c>
      <c r="M25" s="1">
        <v>1200</v>
      </c>
      <c r="N25" s="1">
        <v>1</v>
      </c>
      <c r="O25" s="1" t="str">
        <f t="shared" si="1"/>
        <v>"AmmoBox_12gaSlug_10Rnd": 1,</v>
      </c>
      <c r="P25" s="1" t="str">
        <f t="shared" si="2"/>
        <v>"AmmoBox_12gaSlug_10Rnd": 43,</v>
      </c>
      <c r="Q25" s="1" t="str">
        <f t="shared" si="3"/>
        <v>"AmmoBox_12gaSlug_10Rnd": 1200,</v>
      </c>
      <c r="R25" s="1" t="str">
        <f t="shared" si="4"/>
        <v>"AmmoBox_12gaSlug_10Rnd": 4,</v>
      </c>
    </row>
    <row r="26" spans="1:18" x14ac:dyDescent="0.25">
      <c r="A26" s="1" t="str">
        <f t="shared" si="6"/>
        <v>#tc_military#tc_ammo#tc_pistols</v>
      </c>
      <c r="B26" s="1">
        <f>VLOOKUP(A26,TraderCategory!$A$63:$E$556,2,FALSE)</f>
        <v>42</v>
      </c>
      <c r="C26" s="1">
        <f>VLOOKUP(A26,TraderCategory!$A$63:$F$556,6,FALSE)</f>
        <v>0</v>
      </c>
      <c r="D26" s="1" t="str">
        <f>VLOOKUP(C26,Tabulka5[],3,FALSE)</f>
        <v>Private</v>
      </c>
      <c r="E26" s="1">
        <v>0</v>
      </c>
      <c r="F26" s="1" t="str">
        <f>VLOOKUP(E26,Tabulka5[],3,FALSE)</f>
        <v>Private</v>
      </c>
      <c r="G26" s="1" t="s">
        <v>3115</v>
      </c>
      <c r="H26" s="1" t="s">
        <v>368</v>
      </c>
      <c r="I26" s="1" t="s">
        <v>8</v>
      </c>
      <c r="J26" s="1" t="s">
        <v>2729</v>
      </c>
      <c r="K26" s="1" t="s">
        <v>2738</v>
      </c>
      <c r="L26" s="1" t="s">
        <v>3154</v>
      </c>
      <c r="M26" s="1">
        <v>1000</v>
      </c>
      <c r="N26" s="1">
        <v>1</v>
      </c>
      <c r="O26" s="1" t="str">
        <f t="shared" si="1"/>
        <v>"AmmoBox_22_50Rnd": 1,</v>
      </c>
      <c r="P26" s="1" t="str">
        <f t="shared" si="2"/>
        <v>"AmmoBox_22_50Rnd": 42,</v>
      </c>
      <c r="Q26" s="1" t="str">
        <f t="shared" si="3"/>
        <v>"AmmoBox_22_50Rnd": 1000,</v>
      </c>
      <c r="R26" s="1" t="str">
        <f t="shared" si="4"/>
        <v>"AmmoBox_22_50Rnd": 0,</v>
      </c>
    </row>
    <row r="27" spans="1:18" x14ac:dyDescent="0.25">
      <c r="A27" s="1" t="str">
        <f t="shared" si="6"/>
        <v>#tc_military#tc_ammo#tc_snipers</v>
      </c>
      <c r="B27" s="1">
        <f>VLOOKUP(A27,TraderCategory!$A$63:$E$556,2,FALSE)</f>
        <v>45</v>
      </c>
      <c r="C27" s="1">
        <f>VLOOKUP(A27,TraderCategory!$A$63:$F$556,6,FALSE)</f>
        <v>12</v>
      </c>
      <c r="D27" s="1" t="str">
        <f>VLOOKUP(C27,Tabulka5[],3,FALSE)</f>
        <v>Captain</v>
      </c>
      <c r="E27" s="1">
        <v>13</v>
      </c>
      <c r="F27" s="1" t="str">
        <f>VLOOKUP(E27,Tabulka5[],3,FALSE)</f>
        <v>Major</v>
      </c>
      <c r="G27" s="1" t="s">
        <v>3115</v>
      </c>
      <c r="H27" s="1" t="s">
        <v>369</v>
      </c>
      <c r="I27" s="1" t="s">
        <v>8</v>
      </c>
      <c r="J27" s="1" t="s">
        <v>2729</v>
      </c>
      <c r="K27" s="1" t="s">
        <v>2738</v>
      </c>
      <c r="L27" s="1" t="s">
        <v>3160</v>
      </c>
      <c r="M27" s="1">
        <v>4800</v>
      </c>
      <c r="N27" s="1">
        <v>1</v>
      </c>
      <c r="O27" s="1" t="str">
        <f t="shared" si="1"/>
        <v>"AmmoBox_308WinTracer_20Rnd": 1,</v>
      </c>
      <c r="P27" s="1" t="str">
        <f t="shared" si="2"/>
        <v>"AmmoBox_308WinTracer_20Rnd": 45,</v>
      </c>
      <c r="Q27" s="1" t="str">
        <f t="shared" si="3"/>
        <v>"AmmoBox_308WinTracer_20Rnd": 4800,</v>
      </c>
      <c r="R27" s="1" t="str">
        <f t="shared" si="4"/>
        <v>"AmmoBox_308WinTracer_20Rnd": 13,</v>
      </c>
    </row>
    <row r="28" spans="1:18" x14ac:dyDescent="0.25">
      <c r="A28" s="1" t="str">
        <f t="shared" si="6"/>
        <v>#tc_military#tc_ammo#tc_snipers</v>
      </c>
      <c r="B28" s="1">
        <f>VLOOKUP(A28,TraderCategory!$A$63:$E$556,2,FALSE)</f>
        <v>45</v>
      </c>
      <c r="C28" s="1">
        <f>VLOOKUP(A28,TraderCategory!$A$63:$F$556,6,FALSE)</f>
        <v>12</v>
      </c>
      <c r="D28" s="1" t="str">
        <f>VLOOKUP(C28,Tabulka5[],3,FALSE)</f>
        <v>Captain</v>
      </c>
      <c r="E28" s="1">
        <v>12</v>
      </c>
      <c r="F28" s="1" t="str">
        <f>VLOOKUP(E28,Tabulka5[],3,FALSE)</f>
        <v>Captain</v>
      </c>
      <c r="G28" s="1" t="s">
        <v>3115</v>
      </c>
      <c r="H28" s="1" t="s">
        <v>370</v>
      </c>
      <c r="I28" s="1" t="s">
        <v>8</v>
      </c>
      <c r="J28" s="1" t="s">
        <v>2729</v>
      </c>
      <c r="K28" s="1" t="s">
        <v>2738</v>
      </c>
      <c r="L28" s="1" t="s">
        <v>3160</v>
      </c>
      <c r="M28" s="1">
        <v>4000</v>
      </c>
      <c r="N28" s="1">
        <v>1</v>
      </c>
      <c r="O28" s="1" t="str">
        <f t="shared" si="1"/>
        <v>"AmmoBox_308Win_20Rnd": 1,</v>
      </c>
      <c r="P28" s="1" t="str">
        <f t="shared" si="2"/>
        <v>"AmmoBox_308Win_20Rnd": 45,</v>
      </c>
      <c r="Q28" s="1" t="str">
        <f t="shared" si="3"/>
        <v>"AmmoBox_308Win_20Rnd": 4000,</v>
      </c>
      <c r="R28" s="1" t="str">
        <f t="shared" si="4"/>
        <v>"AmmoBox_308Win_20Rnd": 12,</v>
      </c>
    </row>
    <row r="29" spans="1:18" x14ac:dyDescent="0.25">
      <c r="A29" s="1" t="str">
        <f t="shared" si="6"/>
        <v>#tc_military#tc_ammo#tc_pistols</v>
      </c>
      <c r="B29" s="1">
        <f>VLOOKUP(A29,TraderCategory!$A$63:$E$556,2,FALSE)</f>
        <v>42</v>
      </c>
      <c r="C29" s="1">
        <f>VLOOKUP(A29,TraderCategory!$A$63:$F$556,6,FALSE)</f>
        <v>0</v>
      </c>
      <c r="D29" s="1" t="str">
        <f>VLOOKUP(C29,Tabulka5[],3,FALSE)</f>
        <v>Private</v>
      </c>
      <c r="E29" s="1">
        <v>0</v>
      </c>
      <c r="F29" s="1" t="str">
        <f>VLOOKUP(E29,Tabulka5[],3,FALSE)</f>
        <v>Private</v>
      </c>
      <c r="G29" s="1" t="s">
        <v>3115</v>
      </c>
      <c r="H29" s="1" t="s">
        <v>3319</v>
      </c>
      <c r="I29" s="1" t="s">
        <v>8</v>
      </c>
      <c r="J29" s="1" t="s">
        <v>2729</v>
      </c>
      <c r="K29" s="1" t="s">
        <v>2738</v>
      </c>
      <c r="L29" s="1" t="s">
        <v>3154</v>
      </c>
      <c r="M29" s="1">
        <v>2450</v>
      </c>
      <c r="N29" s="1">
        <v>1</v>
      </c>
      <c r="O29" s="1" t="str">
        <f t="shared" si="1"/>
        <v>"AmmoBox_380_35Rnd": 1,</v>
      </c>
      <c r="P29" s="1" t="str">
        <f t="shared" si="2"/>
        <v>"AmmoBox_380_35Rnd": 42,</v>
      </c>
      <c r="Q29" s="1" t="str">
        <f t="shared" si="3"/>
        <v>"AmmoBox_380_35Rnd": 2450,</v>
      </c>
      <c r="R29" s="1" t="str">
        <f t="shared" si="4"/>
        <v>"AmmoBox_380_35Rnd": 0,</v>
      </c>
    </row>
    <row r="30" spans="1:18" x14ac:dyDescent="0.25">
      <c r="A30" s="1" t="str">
        <f t="shared" si="6"/>
        <v>#tc_military#tc_ammo#tc_pistols</v>
      </c>
      <c r="B30" s="1">
        <f>VLOOKUP(A30,TraderCategory!$A$63:$E$556,2,FALSE)</f>
        <v>42</v>
      </c>
      <c r="C30" s="1">
        <f>VLOOKUP(A30,TraderCategory!$A$63:$F$556,6,FALSE)</f>
        <v>0</v>
      </c>
      <c r="D30" s="1" t="str">
        <f>VLOOKUP(C30,Tabulka5[],3,FALSE)</f>
        <v>Private</v>
      </c>
      <c r="E30" s="1">
        <v>3</v>
      </c>
      <c r="F30" s="1" t="str">
        <f>VLOOKUP(E30,Tabulka5[],3,FALSE)</f>
        <v>Sergeant</v>
      </c>
      <c r="G30" s="1" t="s">
        <v>3115</v>
      </c>
      <c r="H30" s="1" t="s">
        <v>3320</v>
      </c>
      <c r="I30" s="1" t="s">
        <v>8</v>
      </c>
      <c r="J30" s="1" t="s">
        <v>2729</v>
      </c>
      <c r="K30" s="1" t="s">
        <v>2738</v>
      </c>
      <c r="L30" s="1" t="s">
        <v>3154</v>
      </c>
      <c r="M30" s="1">
        <v>2500</v>
      </c>
      <c r="N30" s="1">
        <v>1</v>
      </c>
      <c r="O30" s="1" t="str">
        <f t="shared" si="1"/>
        <v>"AmmoBox_45ACP_25Rnd": 1,</v>
      </c>
      <c r="P30" s="1" t="str">
        <f t="shared" si="2"/>
        <v>"AmmoBox_45ACP_25Rnd": 42,</v>
      </c>
      <c r="Q30" s="1" t="str">
        <f t="shared" si="3"/>
        <v>"AmmoBox_45ACP_25Rnd": 2500,</v>
      </c>
      <c r="R30" s="1" t="str">
        <f t="shared" si="4"/>
        <v>"AmmoBox_45ACP_25Rnd": 3,</v>
      </c>
    </row>
    <row r="31" spans="1:18" x14ac:dyDescent="0.25">
      <c r="A31" s="1" t="str">
        <f t="shared" si="6"/>
        <v>#tc_military#tc_ammo#tc_rifles</v>
      </c>
      <c r="B31" s="1">
        <f>VLOOKUP(A31,TraderCategory!$A$63:$E$556,2,FALSE)</f>
        <v>44</v>
      </c>
      <c r="C31" s="1">
        <f>VLOOKUP(A31,TraderCategory!$A$63:$F$556,6,FALSE)</f>
        <v>9</v>
      </c>
      <c r="D31" s="1" t="str">
        <f>VLOOKUP(C31,Tabulka5[],3,FALSE)</f>
        <v>Sergeant Major of the Army</v>
      </c>
      <c r="E31" s="1">
        <v>10</v>
      </c>
      <c r="F31" s="1" t="str">
        <f>VLOOKUP(E31,Tabulka5[],3,FALSE)</f>
        <v>Second Lieutenant</v>
      </c>
      <c r="G31" s="1" t="s">
        <v>3115</v>
      </c>
      <c r="H31" s="1" t="s">
        <v>371</v>
      </c>
      <c r="I31" s="1" t="s">
        <v>8</v>
      </c>
      <c r="J31" s="1" t="s">
        <v>2729</v>
      </c>
      <c r="K31" s="1" t="s">
        <v>2738</v>
      </c>
      <c r="L31" s="1" t="s">
        <v>3157</v>
      </c>
      <c r="M31" s="1">
        <v>2800</v>
      </c>
      <c r="N31" s="1">
        <v>1</v>
      </c>
      <c r="O31" s="1" t="str">
        <f t="shared" si="1"/>
        <v>"AmmoBox_545x39Tracer_20Rnd": 1,</v>
      </c>
      <c r="P31" s="1" t="str">
        <f t="shared" si="2"/>
        <v>"AmmoBox_545x39Tracer_20Rnd": 44,</v>
      </c>
      <c r="Q31" s="1" t="str">
        <f t="shared" si="3"/>
        <v>"AmmoBox_545x39Tracer_20Rnd": 2800,</v>
      </c>
      <c r="R31" s="1" t="str">
        <f t="shared" si="4"/>
        <v>"AmmoBox_545x39Tracer_20Rnd": 10,</v>
      </c>
    </row>
    <row r="32" spans="1:18" x14ac:dyDescent="0.25">
      <c r="A32" s="1" t="str">
        <f t="shared" si="6"/>
        <v>#tc_military#tc_ammo#tc_rifles</v>
      </c>
      <c r="B32" s="1">
        <f>VLOOKUP(A32,TraderCategory!$A$63:$E$556,2,FALSE)</f>
        <v>44</v>
      </c>
      <c r="C32" s="1">
        <f>VLOOKUP(A32,TraderCategory!$A$63:$F$556,6,FALSE)</f>
        <v>9</v>
      </c>
      <c r="D32" s="1" t="str">
        <f>VLOOKUP(C32,Tabulka5[],3,FALSE)</f>
        <v>Sergeant Major of the Army</v>
      </c>
      <c r="E32" s="1">
        <v>9</v>
      </c>
      <c r="F32" s="1" t="str">
        <f>VLOOKUP(E32,Tabulka5[],3,FALSE)</f>
        <v>Sergeant Major of the Army</v>
      </c>
      <c r="G32" s="1" t="s">
        <v>3115</v>
      </c>
      <c r="H32" s="1" t="s">
        <v>372</v>
      </c>
      <c r="I32" s="1" t="s">
        <v>8</v>
      </c>
      <c r="J32" s="1" t="s">
        <v>2729</v>
      </c>
      <c r="K32" s="1" t="s">
        <v>2738</v>
      </c>
      <c r="L32" s="1" t="s">
        <v>3157</v>
      </c>
      <c r="M32" s="1">
        <v>2400</v>
      </c>
      <c r="N32" s="1">
        <v>1</v>
      </c>
      <c r="O32" s="1" t="str">
        <f t="shared" si="1"/>
        <v>"AmmoBox_545x39_20Rnd": 1,</v>
      </c>
      <c r="P32" s="1" t="str">
        <f t="shared" si="2"/>
        <v>"AmmoBox_545x39_20Rnd": 44,</v>
      </c>
      <c r="Q32" s="1" t="str">
        <f t="shared" si="3"/>
        <v>"AmmoBox_545x39_20Rnd": 2400,</v>
      </c>
      <c r="R32" s="1" t="str">
        <f t="shared" si="4"/>
        <v>"AmmoBox_545x39_20Rnd": 9,</v>
      </c>
    </row>
    <row r="33" spans="1:18" x14ac:dyDescent="0.25">
      <c r="A33" s="1" t="str">
        <f t="shared" si="6"/>
        <v>#tc_military#tc_ammo#tc_rifles</v>
      </c>
      <c r="B33" s="1">
        <f>VLOOKUP(A33,TraderCategory!$A$63:$E$556,2,FALSE)</f>
        <v>44</v>
      </c>
      <c r="C33" s="1">
        <f>VLOOKUP(A33,TraderCategory!$A$63:$F$556,6,FALSE)</f>
        <v>9</v>
      </c>
      <c r="D33" s="1" t="str">
        <f>VLOOKUP(C33,Tabulka5[],3,FALSE)</f>
        <v>Sergeant Major of the Army</v>
      </c>
      <c r="E33" s="1">
        <v>10</v>
      </c>
      <c r="F33" s="1" t="str">
        <f>VLOOKUP(E33,Tabulka5[],3,FALSE)</f>
        <v>Second Lieutenant</v>
      </c>
      <c r="G33" s="1" t="s">
        <v>3115</v>
      </c>
      <c r="H33" s="1" t="s">
        <v>373</v>
      </c>
      <c r="I33" s="1" t="s">
        <v>8</v>
      </c>
      <c r="J33" s="1" t="s">
        <v>2729</v>
      </c>
      <c r="K33" s="1" t="s">
        <v>2738</v>
      </c>
      <c r="L33" s="1" t="s">
        <v>3157</v>
      </c>
      <c r="M33" s="1">
        <v>3200</v>
      </c>
      <c r="N33" s="1">
        <v>1</v>
      </c>
      <c r="O33" s="1" t="str">
        <f t="shared" si="1"/>
        <v>"AmmoBox_556x45Tracer_20Rnd": 1,</v>
      </c>
      <c r="P33" s="1" t="str">
        <f t="shared" si="2"/>
        <v>"AmmoBox_556x45Tracer_20Rnd": 44,</v>
      </c>
      <c r="Q33" s="1" t="str">
        <f t="shared" si="3"/>
        <v>"AmmoBox_556x45Tracer_20Rnd": 3200,</v>
      </c>
      <c r="R33" s="1" t="str">
        <f t="shared" si="4"/>
        <v>"AmmoBox_556x45Tracer_20Rnd": 10,</v>
      </c>
    </row>
    <row r="34" spans="1:18" x14ac:dyDescent="0.25">
      <c r="A34" s="1" t="str">
        <f t="shared" si="6"/>
        <v>#tc_military#tc_ammo#tc_rifles</v>
      </c>
      <c r="B34" s="1">
        <f>VLOOKUP(A34,TraderCategory!$A$63:$E$556,2,FALSE)</f>
        <v>44</v>
      </c>
      <c r="C34" s="1">
        <f>VLOOKUP(A34,TraderCategory!$A$63:$F$556,6,FALSE)</f>
        <v>9</v>
      </c>
      <c r="D34" s="1" t="str">
        <f>VLOOKUP(C34,Tabulka5[],3,FALSE)</f>
        <v>Sergeant Major of the Army</v>
      </c>
      <c r="E34" s="1">
        <v>9</v>
      </c>
      <c r="F34" s="1" t="str">
        <f>VLOOKUP(E34,Tabulka5[],3,FALSE)</f>
        <v>Sergeant Major of the Army</v>
      </c>
      <c r="G34" s="1" t="s">
        <v>3115</v>
      </c>
      <c r="H34" s="1" t="s">
        <v>374</v>
      </c>
      <c r="I34" s="1" t="s">
        <v>8</v>
      </c>
      <c r="J34" s="1" t="s">
        <v>2729</v>
      </c>
      <c r="K34" s="1" t="s">
        <v>2738</v>
      </c>
      <c r="L34" s="1" t="s">
        <v>3157</v>
      </c>
      <c r="M34" s="1">
        <v>2800</v>
      </c>
      <c r="N34" s="1">
        <v>1</v>
      </c>
      <c r="O34" s="1" t="str">
        <f t="shared" si="1"/>
        <v>"AmmoBox_556x45_20Rnd": 1,</v>
      </c>
      <c r="P34" s="1" t="str">
        <f t="shared" si="2"/>
        <v>"AmmoBox_556x45_20Rnd": 44,</v>
      </c>
      <c r="Q34" s="1" t="str">
        <f t="shared" si="3"/>
        <v>"AmmoBox_556x45_20Rnd": 2800,</v>
      </c>
      <c r="R34" s="1" t="str">
        <f t="shared" si="4"/>
        <v>"AmmoBox_556x45_20Rnd": 9,</v>
      </c>
    </row>
    <row r="35" spans="1:18" x14ac:dyDescent="0.25">
      <c r="A35" s="1" t="str">
        <f t="shared" si="6"/>
        <v>#tc_military#tc_ammo#tc_rifles</v>
      </c>
      <c r="B35" s="1">
        <f>VLOOKUP(A35,TraderCategory!$A$63:$E$556,2,FALSE)</f>
        <v>44</v>
      </c>
      <c r="C35" s="1">
        <f>VLOOKUP(A35,TraderCategory!$A$63:$F$556,6,FALSE)</f>
        <v>9</v>
      </c>
      <c r="D35" s="1" t="str">
        <f>VLOOKUP(C35,Tabulka5[],3,FALSE)</f>
        <v>Sergeant Major of the Army</v>
      </c>
      <c r="E35" s="1">
        <v>10</v>
      </c>
      <c r="F35" s="1" t="str">
        <f>VLOOKUP(E35,Tabulka5[],3,FALSE)</f>
        <v>Second Lieutenant</v>
      </c>
      <c r="G35" s="1" t="s">
        <v>3115</v>
      </c>
      <c r="H35" s="1" t="s">
        <v>375</v>
      </c>
      <c r="I35" s="1" t="s">
        <v>8</v>
      </c>
      <c r="J35" s="1" t="s">
        <v>2729</v>
      </c>
      <c r="K35" s="1" t="s">
        <v>2738</v>
      </c>
      <c r="L35" s="1" t="s">
        <v>3157</v>
      </c>
      <c r="M35" s="1">
        <v>3200</v>
      </c>
      <c r="N35" s="1">
        <v>1</v>
      </c>
      <c r="O35" s="1" t="str">
        <f t="shared" si="1"/>
        <v>"AmmoBox_762x39Tracer_20Rnd": 1,</v>
      </c>
      <c r="P35" s="1" t="str">
        <f t="shared" si="2"/>
        <v>"AmmoBox_762x39Tracer_20Rnd": 44,</v>
      </c>
      <c r="Q35" s="1" t="str">
        <f t="shared" si="3"/>
        <v>"AmmoBox_762x39Tracer_20Rnd": 3200,</v>
      </c>
      <c r="R35" s="1" t="str">
        <f t="shared" si="4"/>
        <v>"AmmoBox_762x39Tracer_20Rnd": 10,</v>
      </c>
    </row>
    <row r="36" spans="1:18" x14ac:dyDescent="0.25">
      <c r="A36" s="1" t="str">
        <f t="shared" si="6"/>
        <v>#tc_military#tc_ammo#tc_rifles</v>
      </c>
      <c r="B36" s="1">
        <f>VLOOKUP(A36,TraderCategory!$A$63:$E$556,2,FALSE)</f>
        <v>44</v>
      </c>
      <c r="C36" s="1">
        <f>VLOOKUP(A36,TraderCategory!$A$63:$F$556,6,FALSE)</f>
        <v>9</v>
      </c>
      <c r="D36" s="1" t="str">
        <f>VLOOKUP(C36,Tabulka5[],3,FALSE)</f>
        <v>Sergeant Major of the Army</v>
      </c>
      <c r="E36" s="1">
        <v>9</v>
      </c>
      <c r="F36" s="1" t="str">
        <f>VLOOKUP(E36,Tabulka5[],3,FALSE)</f>
        <v>Sergeant Major of the Army</v>
      </c>
      <c r="G36" s="1" t="s">
        <v>3115</v>
      </c>
      <c r="H36" s="1" t="s">
        <v>376</v>
      </c>
      <c r="I36" s="1" t="s">
        <v>8</v>
      </c>
      <c r="J36" s="1" t="s">
        <v>2729</v>
      </c>
      <c r="K36" s="1" t="s">
        <v>2738</v>
      </c>
      <c r="L36" s="1" t="s">
        <v>3157</v>
      </c>
      <c r="M36" s="1">
        <v>2800</v>
      </c>
      <c r="N36" s="1">
        <v>1</v>
      </c>
      <c r="O36" s="1" t="str">
        <f t="shared" si="1"/>
        <v>"AmmoBox_762x39_20Rnd": 1,</v>
      </c>
      <c r="P36" s="1" t="str">
        <f t="shared" si="2"/>
        <v>"AmmoBox_762x39_20Rnd": 44,</v>
      </c>
      <c r="Q36" s="1" t="str">
        <f t="shared" si="3"/>
        <v>"AmmoBox_762x39_20Rnd": 2800,</v>
      </c>
      <c r="R36" s="1" t="str">
        <f t="shared" si="4"/>
        <v>"AmmoBox_762x39_20Rnd": 9,</v>
      </c>
    </row>
    <row r="37" spans="1:18" x14ac:dyDescent="0.25">
      <c r="A37" s="1" t="str">
        <f t="shared" si="6"/>
        <v>#tc_military#tc_ammo#tc_snipers</v>
      </c>
      <c r="B37" s="1">
        <f>VLOOKUP(A37,TraderCategory!$A$63:$E$556,2,FALSE)</f>
        <v>45</v>
      </c>
      <c r="C37" s="1">
        <f>VLOOKUP(A37,TraderCategory!$A$63:$F$556,6,FALSE)</f>
        <v>12</v>
      </c>
      <c r="D37" s="1" t="str">
        <f>VLOOKUP(C37,Tabulka5[],3,FALSE)</f>
        <v>Captain</v>
      </c>
      <c r="E37" s="1">
        <v>13</v>
      </c>
      <c r="F37" s="1" t="str">
        <f>VLOOKUP(E37,Tabulka5[],3,FALSE)</f>
        <v>Major</v>
      </c>
      <c r="G37" s="1" t="s">
        <v>3115</v>
      </c>
      <c r="H37" s="1" t="s">
        <v>377</v>
      </c>
      <c r="I37" s="1" t="s">
        <v>8</v>
      </c>
      <c r="J37" s="1" t="s">
        <v>2729</v>
      </c>
      <c r="K37" s="1" t="s">
        <v>2738</v>
      </c>
      <c r="L37" s="1" t="s">
        <v>3160</v>
      </c>
      <c r="M37" s="1">
        <v>4800</v>
      </c>
      <c r="N37" s="1">
        <v>1</v>
      </c>
      <c r="O37" s="1" t="str">
        <f t="shared" si="1"/>
        <v>"AmmoBox_762x54Tracer_20Rnd": 1,</v>
      </c>
      <c r="P37" s="1" t="str">
        <f t="shared" si="2"/>
        <v>"AmmoBox_762x54Tracer_20Rnd": 45,</v>
      </c>
      <c r="Q37" s="1" t="str">
        <f t="shared" si="3"/>
        <v>"AmmoBox_762x54Tracer_20Rnd": 4800,</v>
      </c>
      <c r="R37" s="1" t="str">
        <f t="shared" si="4"/>
        <v>"AmmoBox_762x54Tracer_20Rnd": 13,</v>
      </c>
    </row>
    <row r="38" spans="1:18" x14ac:dyDescent="0.25">
      <c r="A38" s="1" t="str">
        <f t="shared" si="6"/>
        <v>#tc_military#tc_ammo#tc_snipers</v>
      </c>
      <c r="B38" s="1">
        <f>VLOOKUP(A38,TraderCategory!$A$63:$E$556,2,FALSE)</f>
        <v>45</v>
      </c>
      <c r="C38" s="1">
        <f>VLOOKUP(A38,TraderCategory!$A$63:$F$556,6,FALSE)</f>
        <v>12</v>
      </c>
      <c r="D38" s="1" t="str">
        <f>VLOOKUP(C38,Tabulka5[],3,FALSE)</f>
        <v>Captain</v>
      </c>
      <c r="E38" s="1">
        <v>12</v>
      </c>
      <c r="F38" s="1" t="str">
        <f>VLOOKUP(E38,Tabulka5[],3,FALSE)</f>
        <v>Captain</v>
      </c>
      <c r="G38" s="1" t="s">
        <v>3115</v>
      </c>
      <c r="H38" s="1" t="s">
        <v>378</v>
      </c>
      <c r="I38" s="1" t="s">
        <v>8</v>
      </c>
      <c r="J38" s="1" t="s">
        <v>2729</v>
      </c>
      <c r="K38" s="1" t="s">
        <v>2738</v>
      </c>
      <c r="L38" s="1" t="s">
        <v>3160</v>
      </c>
      <c r="M38" s="1">
        <v>4000</v>
      </c>
      <c r="N38" s="1">
        <v>1</v>
      </c>
      <c r="O38" s="1" t="str">
        <f t="shared" si="1"/>
        <v>"AmmoBox_762x54_20Rnd": 1,</v>
      </c>
      <c r="P38" s="1" t="str">
        <f t="shared" si="2"/>
        <v>"AmmoBox_762x54_20Rnd": 45,</v>
      </c>
      <c r="Q38" s="1" t="str">
        <f t="shared" si="3"/>
        <v>"AmmoBox_762x54_20Rnd": 4000,</v>
      </c>
      <c r="R38" s="1" t="str">
        <f t="shared" si="4"/>
        <v>"AmmoBox_762x54_20Rnd": 12,</v>
      </c>
    </row>
    <row r="39" spans="1:18" x14ac:dyDescent="0.25">
      <c r="A39" s="1" t="str">
        <f t="shared" si="6"/>
        <v>#tc_military#tc_ammo#tc_pistols</v>
      </c>
      <c r="B39" s="1">
        <f>VLOOKUP(A39,TraderCategory!$A$63:$E$556,2,FALSE)</f>
        <v>42</v>
      </c>
      <c r="C39" s="1">
        <f>VLOOKUP(A39,TraderCategory!$A$63:$F$556,6,FALSE)</f>
        <v>0</v>
      </c>
      <c r="D39" s="1" t="str">
        <f>VLOOKUP(C39,Tabulka5[],3,FALSE)</f>
        <v>Private</v>
      </c>
      <c r="E39" s="1">
        <v>1</v>
      </c>
      <c r="F39" s="1" t="str">
        <f>VLOOKUP(E39,Tabulka5[],3,FALSE)</f>
        <v>Private First Class</v>
      </c>
      <c r="G39" s="1" t="s">
        <v>3115</v>
      </c>
      <c r="H39" s="1" t="s">
        <v>3321</v>
      </c>
      <c r="I39" s="1" t="s">
        <v>8</v>
      </c>
      <c r="J39" s="1" t="s">
        <v>2729</v>
      </c>
      <c r="K39" s="1" t="s">
        <v>2738</v>
      </c>
      <c r="L39" s="1" t="s">
        <v>3154</v>
      </c>
      <c r="M39" s="1">
        <v>2000</v>
      </c>
      <c r="N39" s="1">
        <v>1</v>
      </c>
      <c r="O39" s="1" t="str">
        <f t="shared" si="1"/>
        <v>"AmmoBox_9x19_25Rnd": 1,</v>
      </c>
      <c r="P39" s="1" t="str">
        <f t="shared" si="2"/>
        <v>"AmmoBox_9x19_25Rnd": 42,</v>
      </c>
      <c r="Q39" s="1" t="str">
        <f t="shared" si="3"/>
        <v>"AmmoBox_9x19_25Rnd": 2000,</v>
      </c>
      <c r="R39" s="1" t="str">
        <f t="shared" si="4"/>
        <v>"AmmoBox_9x19_25Rnd": 1,</v>
      </c>
    </row>
    <row r="40" spans="1:18" x14ac:dyDescent="0.25">
      <c r="A40" s="1" t="str">
        <f t="shared" si="6"/>
        <v>#tc_military#tc_ammo#tc_snipers</v>
      </c>
      <c r="B40" s="1">
        <f>VLOOKUP(A40,TraderCategory!$A$63:$E$556,2,FALSE)</f>
        <v>45</v>
      </c>
      <c r="C40" s="1">
        <f>VLOOKUP(A40,TraderCategory!$A$63:$F$556,6,FALSE)</f>
        <v>12</v>
      </c>
      <c r="D40" s="1" t="str">
        <f>VLOOKUP(C40,Tabulka5[],3,FALSE)</f>
        <v>Captain</v>
      </c>
      <c r="E40" s="1">
        <v>13</v>
      </c>
      <c r="F40" s="1" t="str">
        <f>VLOOKUP(E40,Tabulka5[],3,FALSE)</f>
        <v>Major</v>
      </c>
      <c r="G40" s="1" t="s">
        <v>3115</v>
      </c>
      <c r="H40" s="1" t="s">
        <v>379</v>
      </c>
      <c r="I40" s="1" t="s">
        <v>8</v>
      </c>
      <c r="J40" s="1" t="s">
        <v>2729</v>
      </c>
      <c r="K40" s="1" t="s">
        <v>2738</v>
      </c>
      <c r="L40" s="1" t="s">
        <v>3160</v>
      </c>
      <c r="M40" s="1">
        <v>6800</v>
      </c>
      <c r="N40" s="1">
        <v>1</v>
      </c>
      <c r="O40" s="1" t="str">
        <f t="shared" si="1"/>
        <v>"AmmoBox_9x39AP_20Rnd": 1,</v>
      </c>
      <c r="P40" s="1" t="str">
        <f t="shared" si="2"/>
        <v>"AmmoBox_9x39AP_20Rnd": 45,</v>
      </c>
      <c r="Q40" s="1" t="str">
        <f t="shared" si="3"/>
        <v>"AmmoBox_9x39AP_20Rnd": 6800,</v>
      </c>
      <c r="R40" s="1" t="str">
        <f t="shared" si="4"/>
        <v>"AmmoBox_9x39AP_20Rnd": 13,</v>
      </c>
    </row>
    <row r="41" spans="1:18" x14ac:dyDescent="0.25">
      <c r="A41" s="1" t="str">
        <f t="shared" si="6"/>
        <v>#tc_military#tc_ammo#tc_snipers</v>
      </c>
      <c r="B41" s="1">
        <f>VLOOKUP(A41,TraderCategory!$A$63:$E$556,2,FALSE)</f>
        <v>45</v>
      </c>
      <c r="C41" s="1">
        <f>VLOOKUP(A41,TraderCategory!$A$63:$F$556,6,FALSE)</f>
        <v>12</v>
      </c>
      <c r="D41" s="1" t="str">
        <f>VLOOKUP(C41,Tabulka5[],3,FALSE)</f>
        <v>Captain</v>
      </c>
      <c r="E41" s="1">
        <v>12</v>
      </c>
      <c r="F41" s="1" t="str">
        <f>VLOOKUP(E41,Tabulka5[],3,FALSE)</f>
        <v>Captain</v>
      </c>
      <c r="G41" s="1" t="s">
        <v>3115</v>
      </c>
      <c r="H41" s="1" t="s">
        <v>380</v>
      </c>
      <c r="I41" s="1" t="s">
        <v>8</v>
      </c>
      <c r="J41" s="1" t="s">
        <v>2729</v>
      </c>
      <c r="K41" s="1" t="s">
        <v>2738</v>
      </c>
      <c r="L41" s="1" t="s">
        <v>3160</v>
      </c>
      <c r="M41" s="1">
        <v>6000</v>
      </c>
      <c r="N41" s="1">
        <v>1</v>
      </c>
      <c r="O41" s="1" t="str">
        <f t="shared" si="1"/>
        <v>"AmmoBox_9x39_20Rnd": 1,</v>
      </c>
      <c r="P41" s="1" t="str">
        <f t="shared" si="2"/>
        <v>"AmmoBox_9x39_20Rnd": 45,</v>
      </c>
      <c r="Q41" s="1" t="str">
        <f t="shared" si="3"/>
        <v>"AmmoBox_9x39_20Rnd": 6000,</v>
      </c>
      <c r="R41" s="1" t="str">
        <f t="shared" si="4"/>
        <v>"AmmoBox_9x39_20Rnd": 12,</v>
      </c>
    </row>
    <row r="42" spans="1:18" x14ac:dyDescent="0.25">
      <c r="A42" s="1" t="str">
        <f t="shared" si="6"/>
        <v>#tc_military#tc_ammo#tc_shotguns</v>
      </c>
      <c r="B42" s="1">
        <f>VLOOKUP(A42,TraderCategory!$A$63:$E$556,2,FALSE)</f>
        <v>43</v>
      </c>
      <c r="C42" s="1">
        <f>VLOOKUP(A42,TraderCategory!$A$63:$F$556,6,FALSE)</f>
        <v>3</v>
      </c>
      <c r="D42" s="1" t="str">
        <f>VLOOKUP(C42,Tabulka5[],3,FALSE)</f>
        <v>Sergeant</v>
      </c>
      <c r="E42" s="1">
        <v>3</v>
      </c>
      <c r="F42" s="1" t="str">
        <f>VLOOKUP(E42,Tabulka5[],3,FALSE)</f>
        <v>Sergeant</v>
      </c>
      <c r="G42" s="1" t="s">
        <v>3115</v>
      </c>
      <c r="H42" s="1" t="s">
        <v>381</v>
      </c>
      <c r="I42" s="1" t="s">
        <v>8</v>
      </c>
      <c r="J42" s="1" t="s">
        <v>2729</v>
      </c>
      <c r="K42" s="1" t="s">
        <v>2738</v>
      </c>
      <c r="L42" s="1" t="s">
        <v>3155</v>
      </c>
      <c r="M42" s="1">
        <v>1200</v>
      </c>
      <c r="N42" s="1">
        <v>1</v>
      </c>
      <c r="O42" s="1" t="str">
        <f t="shared" si="1"/>
        <v>"Ammo_12gaPellets": 1,</v>
      </c>
      <c r="P42" s="1" t="str">
        <f t="shared" si="2"/>
        <v>"Ammo_12gaPellets": 43,</v>
      </c>
      <c r="Q42" s="1" t="str">
        <f t="shared" si="3"/>
        <v>"Ammo_12gaPellets": 1200,</v>
      </c>
      <c r="R42" s="1" t="str">
        <f t="shared" si="4"/>
        <v>"Ammo_12gaPellets": 3,</v>
      </c>
    </row>
    <row r="43" spans="1:18" x14ac:dyDescent="0.25">
      <c r="A43" s="1" t="str">
        <f t="shared" si="6"/>
        <v>#tc_military#tc_ammo#tc_shotguns</v>
      </c>
      <c r="B43" s="1">
        <f>VLOOKUP(A43,TraderCategory!$A$63:$E$556,2,FALSE)</f>
        <v>43</v>
      </c>
      <c r="C43" s="1">
        <f>VLOOKUP(A43,TraderCategory!$A$63:$F$556,6,FALSE)</f>
        <v>3</v>
      </c>
      <c r="D43" s="1" t="str">
        <f>VLOOKUP(C43,Tabulka5[],3,FALSE)</f>
        <v>Sergeant</v>
      </c>
      <c r="E43" s="1">
        <v>4</v>
      </c>
      <c r="F43" s="1" t="str">
        <f>VLOOKUP(E43,Tabulka5[],3,FALSE)</f>
        <v>Staff Sergeant</v>
      </c>
      <c r="G43" s="1" t="s">
        <v>3115</v>
      </c>
      <c r="H43" s="1" t="s">
        <v>382</v>
      </c>
      <c r="I43" s="1" t="s">
        <v>8</v>
      </c>
      <c r="J43" s="1" t="s">
        <v>2729</v>
      </c>
      <c r="K43" s="1" t="s">
        <v>2738</v>
      </c>
      <c r="L43" s="1" t="s">
        <v>3155</v>
      </c>
      <c r="M43" s="1">
        <v>1200</v>
      </c>
      <c r="N43" s="1">
        <v>1</v>
      </c>
      <c r="O43" s="1" t="str">
        <f t="shared" si="1"/>
        <v>"Ammo_12gaSlug": 1,</v>
      </c>
      <c r="P43" s="1" t="str">
        <f t="shared" si="2"/>
        <v>"Ammo_12gaSlug": 43,</v>
      </c>
      <c r="Q43" s="1" t="str">
        <f t="shared" si="3"/>
        <v>"Ammo_12gaSlug": 1200,</v>
      </c>
      <c r="R43" s="1" t="str">
        <f t="shared" si="4"/>
        <v>"Ammo_12gaSlug": 4,</v>
      </c>
    </row>
    <row r="44" spans="1:18" x14ac:dyDescent="0.25">
      <c r="A44" s="1" t="str">
        <f t="shared" si="6"/>
        <v>#tc_military#tc_ammo#tc_pistols</v>
      </c>
      <c r="B44" s="1">
        <f>VLOOKUP(A44,TraderCategory!$A$63:$E$556,2,FALSE)</f>
        <v>42</v>
      </c>
      <c r="C44" s="1">
        <f>VLOOKUP(A44,TraderCategory!$A$63:$F$556,6,FALSE)</f>
        <v>0</v>
      </c>
      <c r="D44" s="1" t="str">
        <f>VLOOKUP(C44,Tabulka5[],3,FALSE)</f>
        <v>Private</v>
      </c>
      <c r="E44" s="1">
        <v>0</v>
      </c>
      <c r="F44" s="1" t="str">
        <f>VLOOKUP(E44,Tabulka5[],3,FALSE)</f>
        <v>Private</v>
      </c>
      <c r="G44" s="1" t="s">
        <v>3115</v>
      </c>
      <c r="H44" s="1" t="s">
        <v>383</v>
      </c>
      <c r="I44" s="1" t="s">
        <v>8</v>
      </c>
      <c r="J44" s="1" t="s">
        <v>2729</v>
      </c>
      <c r="K44" s="1" t="s">
        <v>2738</v>
      </c>
      <c r="L44" s="1" t="s">
        <v>3154</v>
      </c>
      <c r="M44" s="1">
        <v>1000</v>
      </c>
      <c r="N44" s="1">
        <v>1</v>
      </c>
      <c r="O44" s="1" t="str">
        <f t="shared" si="1"/>
        <v>"Ammo_22": 1,</v>
      </c>
      <c r="P44" s="1" t="str">
        <f t="shared" si="2"/>
        <v>"Ammo_22": 42,</v>
      </c>
      <c r="Q44" s="1" t="str">
        <f t="shared" si="3"/>
        <v>"Ammo_22": 1000,</v>
      </c>
      <c r="R44" s="1" t="str">
        <f t="shared" si="4"/>
        <v>"Ammo_22": 0,</v>
      </c>
    </row>
    <row r="45" spans="1:18" x14ac:dyDescent="0.25">
      <c r="A45" s="1" t="str">
        <f t="shared" si="6"/>
        <v>#tc_military#tc_ammo#tc_snipers</v>
      </c>
      <c r="B45" s="1">
        <f>VLOOKUP(A45,TraderCategory!$A$63:$E$556,2,FALSE)</f>
        <v>45</v>
      </c>
      <c r="C45" s="1">
        <f>VLOOKUP(A45,TraderCategory!$A$63:$F$556,6,FALSE)</f>
        <v>12</v>
      </c>
      <c r="D45" s="1" t="str">
        <f>VLOOKUP(C45,Tabulka5[],3,FALSE)</f>
        <v>Captain</v>
      </c>
      <c r="E45" s="1">
        <v>12</v>
      </c>
      <c r="F45" s="1" t="str">
        <f>VLOOKUP(E45,Tabulka5[],3,FALSE)</f>
        <v>Captain</v>
      </c>
      <c r="G45" s="1" t="s">
        <v>3115</v>
      </c>
      <c r="H45" s="1" t="s">
        <v>384</v>
      </c>
      <c r="I45" s="1" t="s">
        <v>8</v>
      </c>
      <c r="J45" s="1" t="s">
        <v>2729</v>
      </c>
      <c r="K45" s="1" t="s">
        <v>2738</v>
      </c>
      <c r="L45" s="1" t="s">
        <v>3160</v>
      </c>
      <c r="M45" s="1">
        <v>4000</v>
      </c>
      <c r="N45" s="1">
        <v>1</v>
      </c>
      <c r="O45" s="1" t="str">
        <f t="shared" si="1"/>
        <v>"Ammo_308Win": 1,</v>
      </c>
      <c r="P45" s="1" t="str">
        <f t="shared" si="2"/>
        <v>"Ammo_308Win": 45,</v>
      </c>
      <c r="Q45" s="1" t="str">
        <f t="shared" si="3"/>
        <v>"Ammo_308Win": 4000,</v>
      </c>
      <c r="R45" s="1" t="str">
        <f t="shared" si="4"/>
        <v>"Ammo_308Win": 12,</v>
      </c>
    </row>
    <row r="46" spans="1:18" x14ac:dyDescent="0.25">
      <c r="A46" s="1" t="str">
        <f t="shared" si="6"/>
        <v>#tc_military#tc_ammo#tc_snipers</v>
      </c>
      <c r="B46" s="1">
        <f>VLOOKUP(A46,TraderCategory!$A$63:$E$556,2,FALSE)</f>
        <v>45</v>
      </c>
      <c r="C46" s="1">
        <f>VLOOKUP(A46,TraderCategory!$A$63:$F$556,6,FALSE)</f>
        <v>12</v>
      </c>
      <c r="D46" s="1" t="str">
        <f>VLOOKUP(C46,Tabulka5[],3,FALSE)</f>
        <v>Captain</v>
      </c>
      <c r="E46" s="1">
        <v>13</v>
      </c>
      <c r="F46" s="1" t="str">
        <f>VLOOKUP(E46,Tabulka5[],3,FALSE)</f>
        <v>Major</v>
      </c>
      <c r="G46" s="1" t="s">
        <v>3115</v>
      </c>
      <c r="H46" s="1" t="s">
        <v>385</v>
      </c>
      <c r="I46" s="1" t="s">
        <v>8</v>
      </c>
      <c r="J46" s="1" t="s">
        <v>2729</v>
      </c>
      <c r="K46" s="1" t="s">
        <v>2738</v>
      </c>
      <c r="L46" s="1" t="s">
        <v>3160</v>
      </c>
      <c r="M46" s="1">
        <v>4800</v>
      </c>
      <c r="N46" s="1">
        <v>1</v>
      </c>
      <c r="O46" s="1" t="str">
        <f t="shared" si="1"/>
        <v>"Ammo_308WinTracer": 1,</v>
      </c>
      <c r="P46" s="1" t="str">
        <f t="shared" si="2"/>
        <v>"Ammo_308WinTracer": 45,</v>
      </c>
      <c r="Q46" s="1" t="str">
        <f t="shared" si="3"/>
        <v>"Ammo_308WinTracer": 4800,</v>
      </c>
      <c r="R46" s="1" t="str">
        <f t="shared" si="4"/>
        <v>"Ammo_308WinTracer": 13,</v>
      </c>
    </row>
    <row r="47" spans="1:18" x14ac:dyDescent="0.25">
      <c r="A47" s="1" t="str">
        <f t="shared" si="6"/>
        <v>#tc_military#tc_ammo#tc_pistols</v>
      </c>
      <c r="B47" s="1">
        <f>VLOOKUP(A47,TraderCategory!$A$63:$E$556,2,FALSE)</f>
        <v>42</v>
      </c>
      <c r="C47" s="1">
        <f>VLOOKUP(A47,TraderCategory!$A$63:$F$556,6,FALSE)</f>
        <v>0</v>
      </c>
      <c r="D47" s="1" t="str">
        <f>VLOOKUP(C47,Tabulka5[],3,FALSE)</f>
        <v>Private</v>
      </c>
      <c r="E47" s="1">
        <v>0</v>
      </c>
      <c r="F47" s="1" t="str">
        <f>VLOOKUP(E47,Tabulka5[],3,FALSE)</f>
        <v>Private</v>
      </c>
      <c r="G47" s="1" t="s">
        <v>3115</v>
      </c>
      <c r="H47" s="1" t="s">
        <v>386</v>
      </c>
      <c r="I47" s="1" t="s">
        <v>8</v>
      </c>
      <c r="J47" s="1" t="s">
        <v>2729</v>
      </c>
      <c r="K47" s="1" t="s">
        <v>2738</v>
      </c>
      <c r="L47" s="1" t="s">
        <v>3154</v>
      </c>
      <c r="M47" s="1">
        <v>2450</v>
      </c>
      <c r="N47" s="1">
        <v>1</v>
      </c>
      <c r="O47" s="1" t="str">
        <f t="shared" si="1"/>
        <v>"Ammo_380": 1,</v>
      </c>
      <c r="P47" s="1" t="str">
        <f t="shared" si="2"/>
        <v>"Ammo_380": 42,</v>
      </c>
      <c r="Q47" s="1" t="str">
        <f t="shared" si="3"/>
        <v>"Ammo_380": 2450,</v>
      </c>
      <c r="R47" s="1" t="str">
        <f t="shared" si="4"/>
        <v>"Ammo_380": 0,</v>
      </c>
    </row>
    <row r="48" spans="1:18" x14ac:dyDescent="0.25">
      <c r="A48" s="1" t="str">
        <f t="shared" si="6"/>
        <v>#tc_military#tc_ammo#tc_pistols</v>
      </c>
      <c r="B48" s="1">
        <f>VLOOKUP(A48,TraderCategory!$A$63:$E$556,2,FALSE)</f>
        <v>42</v>
      </c>
      <c r="C48" s="1">
        <f>VLOOKUP(A48,TraderCategory!$A$63:$F$556,6,FALSE)</f>
        <v>0</v>
      </c>
      <c r="D48" s="1" t="str">
        <f>VLOOKUP(C48,Tabulka5[],3,FALSE)</f>
        <v>Private</v>
      </c>
      <c r="E48" s="1">
        <v>3</v>
      </c>
      <c r="F48" s="1" t="str">
        <f>VLOOKUP(E48,Tabulka5[],3,FALSE)</f>
        <v>Sergeant</v>
      </c>
      <c r="G48" s="1" t="s">
        <v>3115</v>
      </c>
      <c r="H48" s="1" t="s">
        <v>387</v>
      </c>
      <c r="I48" s="1" t="s">
        <v>8</v>
      </c>
      <c r="J48" s="1" t="s">
        <v>2729</v>
      </c>
      <c r="K48" s="1" t="s">
        <v>2738</v>
      </c>
      <c r="L48" s="1" t="s">
        <v>3154</v>
      </c>
      <c r="M48" s="1">
        <v>2500</v>
      </c>
      <c r="N48" s="1">
        <v>1</v>
      </c>
      <c r="O48" s="1" t="str">
        <f t="shared" si="1"/>
        <v>"Ammo_45ACP": 1,</v>
      </c>
      <c r="P48" s="1" t="str">
        <f t="shared" si="2"/>
        <v>"Ammo_45ACP": 42,</v>
      </c>
      <c r="Q48" s="1" t="str">
        <f t="shared" si="3"/>
        <v>"Ammo_45ACP": 2500,</v>
      </c>
      <c r="R48" s="1" t="str">
        <f t="shared" si="4"/>
        <v>"Ammo_45ACP": 3,</v>
      </c>
    </row>
    <row r="49" spans="1:18" x14ac:dyDescent="0.25">
      <c r="A49" s="1" t="str">
        <f t="shared" si="6"/>
        <v>#tc_military#tc_ammo#tc_rifles</v>
      </c>
      <c r="B49" s="1">
        <f>VLOOKUP(A49,TraderCategory!$A$63:$E$556,2,FALSE)</f>
        <v>44</v>
      </c>
      <c r="C49" s="1">
        <f>VLOOKUP(A49,TraderCategory!$A$63:$F$556,6,FALSE)</f>
        <v>9</v>
      </c>
      <c r="D49" s="1" t="str">
        <f>VLOOKUP(C49,Tabulka5[],3,FALSE)</f>
        <v>Sergeant Major of the Army</v>
      </c>
      <c r="E49" s="1">
        <v>9</v>
      </c>
      <c r="F49" s="1" t="str">
        <f>VLOOKUP(E49,Tabulka5[],3,FALSE)</f>
        <v>Sergeant Major of the Army</v>
      </c>
      <c r="G49" s="1" t="s">
        <v>3115</v>
      </c>
      <c r="H49" s="1" t="s">
        <v>388</v>
      </c>
      <c r="I49" s="1" t="s">
        <v>8</v>
      </c>
      <c r="J49" s="1" t="s">
        <v>2729</v>
      </c>
      <c r="K49" s="1" t="s">
        <v>2738</v>
      </c>
      <c r="L49" s="1" t="s">
        <v>3157</v>
      </c>
      <c r="M49" s="1">
        <v>2400</v>
      </c>
      <c r="N49" s="1">
        <v>1</v>
      </c>
      <c r="O49" s="1" t="str">
        <f t="shared" si="1"/>
        <v>"Ammo_545x39": 1,</v>
      </c>
      <c r="P49" s="1" t="str">
        <f t="shared" si="2"/>
        <v>"Ammo_545x39": 44,</v>
      </c>
      <c r="Q49" s="1" t="str">
        <f t="shared" si="3"/>
        <v>"Ammo_545x39": 2400,</v>
      </c>
      <c r="R49" s="1" t="str">
        <f t="shared" si="4"/>
        <v>"Ammo_545x39": 9,</v>
      </c>
    </row>
    <row r="50" spans="1:18" x14ac:dyDescent="0.25">
      <c r="A50" s="1" t="str">
        <f t="shared" si="6"/>
        <v>#tc_military#tc_ammo#tc_rifles</v>
      </c>
      <c r="B50" s="1">
        <f>VLOOKUP(A50,TraderCategory!$A$63:$E$556,2,FALSE)</f>
        <v>44</v>
      </c>
      <c r="C50" s="1">
        <f>VLOOKUP(A50,TraderCategory!$A$63:$F$556,6,FALSE)</f>
        <v>9</v>
      </c>
      <c r="D50" s="1" t="str">
        <f>VLOOKUP(C50,Tabulka5[],3,FALSE)</f>
        <v>Sergeant Major of the Army</v>
      </c>
      <c r="E50" s="1">
        <v>10</v>
      </c>
      <c r="F50" s="1" t="str">
        <f>VLOOKUP(E50,Tabulka5[],3,FALSE)</f>
        <v>Second Lieutenant</v>
      </c>
      <c r="G50" s="1" t="s">
        <v>3115</v>
      </c>
      <c r="H50" s="1" t="s">
        <v>389</v>
      </c>
      <c r="I50" s="1" t="s">
        <v>8</v>
      </c>
      <c r="J50" s="1" t="s">
        <v>2729</v>
      </c>
      <c r="K50" s="1" t="s">
        <v>2738</v>
      </c>
      <c r="L50" s="1" t="s">
        <v>3157</v>
      </c>
      <c r="M50" s="1">
        <v>2800</v>
      </c>
      <c r="N50" s="1">
        <v>1</v>
      </c>
      <c r="O50" s="1" t="str">
        <f t="shared" si="1"/>
        <v>"Ammo_545x39Tracer": 1,</v>
      </c>
      <c r="P50" s="1" t="str">
        <f t="shared" si="2"/>
        <v>"Ammo_545x39Tracer": 44,</v>
      </c>
      <c r="Q50" s="1" t="str">
        <f t="shared" si="3"/>
        <v>"Ammo_545x39Tracer": 2800,</v>
      </c>
      <c r="R50" s="1" t="str">
        <f t="shared" si="4"/>
        <v>"Ammo_545x39Tracer": 10,</v>
      </c>
    </row>
    <row r="51" spans="1:18" x14ac:dyDescent="0.25">
      <c r="A51" s="1" t="str">
        <f t="shared" si="6"/>
        <v>#tc_military#tc_ammo#tc_rifles</v>
      </c>
      <c r="B51" s="1">
        <f>VLOOKUP(A51,TraderCategory!$A$63:$E$556,2,FALSE)</f>
        <v>44</v>
      </c>
      <c r="C51" s="1">
        <f>VLOOKUP(A51,TraderCategory!$A$63:$F$556,6,FALSE)</f>
        <v>9</v>
      </c>
      <c r="D51" s="1" t="str">
        <f>VLOOKUP(C51,Tabulka5[],3,FALSE)</f>
        <v>Sergeant Major of the Army</v>
      </c>
      <c r="E51" s="1">
        <v>9</v>
      </c>
      <c r="F51" s="1" t="str">
        <f>VLOOKUP(E51,Tabulka5[],3,FALSE)</f>
        <v>Sergeant Major of the Army</v>
      </c>
      <c r="G51" s="1" t="s">
        <v>3115</v>
      </c>
      <c r="H51" s="1" t="s">
        <v>390</v>
      </c>
      <c r="I51" s="1" t="s">
        <v>8</v>
      </c>
      <c r="J51" s="1" t="s">
        <v>2729</v>
      </c>
      <c r="K51" s="1" t="s">
        <v>2738</v>
      </c>
      <c r="L51" s="1" t="s">
        <v>3157</v>
      </c>
      <c r="M51" s="1">
        <v>2800</v>
      </c>
      <c r="N51" s="1">
        <v>1</v>
      </c>
      <c r="O51" s="1" t="str">
        <f t="shared" si="1"/>
        <v>"Ammo_556x45": 1,</v>
      </c>
      <c r="P51" s="1" t="str">
        <f t="shared" si="2"/>
        <v>"Ammo_556x45": 44,</v>
      </c>
      <c r="Q51" s="1" t="str">
        <f t="shared" si="3"/>
        <v>"Ammo_556x45": 2800,</v>
      </c>
      <c r="R51" s="1" t="str">
        <f t="shared" si="4"/>
        <v>"Ammo_556x45": 9,</v>
      </c>
    </row>
    <row r="52" spans="1:18" x14ac:dyDescent="0.25">
      <c r="A52" s="1" t="str">
        <f t="shared" si="6"/>
        <v>#tc_military#tc_ammo#tc_rifles</v>
      </c>
      <c r="B52" s="1">
        <f>VLOOKUP(A52,TraderCategory!$A$63:$E$556,2,FALSE)</f>
        <v>44</v>
      </c>
      <c r="C52" s="1">
        <f>VLOOKUP(A52,TraderCategory!$A$63:$F$556,6,FALSE)</f>
        <v>9</v>
      </c>
      <c r="D52" s="1" t="str">
        <f>VLOOKUP(C52,Tabulka5[],3,FALSE)</f>
        <v>Sergeant Major of the Army</v>
      </c>
      <c r="E52" s="1">
        <v>10</v>
      </c>
      <c r="F52" s="1" t="str">
        <f>VLOOKUP(E52,Tabulka5[],3,FALSE)</f>
        <v>Second Lieutenant</v>
      </c>
      <c r="G52" s="1" t="s">
        <v>3115</v>
      </c>
      <c r="H52" s="1" t="s">
        <v>391</v>
      </c>
      <c r="I52" s="1" t="s">
        <v>8</v>
      </c>
      <c r="J52" s="1" t="s">
        <v>2729</v>
      </c>
      <c r="K52" s="1" t="s">
        <v>2738</v>
      </c>
      <c r="L52" s="1" t="s">
        <v>3157</v>
      </c>
      <c r="M52" s="1">
        <v>3200</v>
      </c>
      <c r="N52" s="1">
        <v>1</v>
      </c>
      <c r="O52" s="1" t="str">
        <f t="shared" si="1"/>
        <v>"Ammo_556x45Tracer": 1,</v>
      </c>
      <c r="P52" s="1" t="str">
        <f t="shared" si="2"/>
        <v>"Ammo_556x45Tracer": 44,</v>
      </c>
      <c r="Q52" s="1" t="str">
        <f t="shared" si="3"/>
        <v>"Ammo_556x45Tracer": 3200,</v>
      </c>
      <c r="R52" s="1" t="str">
        <f t="shared" si="4"/>
        <v>"Ammo_556x45Tracer": 10,</v>
      </c>
    </row>
    <row r="53" spans="1:18" x14ac:dyDescent="0.25">
      <c r="A53" s="1" t="str">
        <f t="shared" si="6"/>
        <v>#tc_military#tc_ammo#tc_rifles</v>
      </c>
      <c r="B53" s="1">
        <f>VLOOKUP(A53,TraderCategory!$A$63:$E$556,2,FALSE)</f>
        <v>44</v>
      </c>
      <c r="C53" s="1">
        <f>VLOOKUP(A53,TraderCategory!$A$63:$F$556,6,FALSE)</f>
        <v>9</v>
      </c>
      <c r="D53" s="1" t="str">
        <f>VLOOKUP(C53,Tabulka5[],3,FALSE)</f>
        <v>Sergeant Major of the Army</v>
      </c>
      <c r="E53" s="1">
        <v>9</v>
      </c>
      <c r="F53" s="1" t="str">
        <f>VLOOKUP(E53,Tabulka5[],3,FALSE)</f>
        <v>Sergeant Major of the Army</v>
      </c>
      <c r="G53" s="1" t="s">
        <v>3115</v>
      </c>
      <c r="H53" s="1" t="s">
        <v>392</v>
      </c>
      <c r="I53" s="1" t="s">
        <v>8</v>
      </c>
      <c r="J53" s="1" t="s">
        <v>2729</v>
      </c>
      <c r="K53" s="1" t="s">
        <v>2738</v>
      </c>
      <c r="L53" s="1" t="s">
        <v>3157</v>
      </c>
      <c r="M53" s="1">
        <v>2800</v>
      </c>
      <c r="N53" s="1">
        <v>1</v>
      </c>
      <c r="O53" s="1" t="str">
        <f t="shared" si="1"/>
        <v>"Ammo_762x39": 1,</v>
      </c>
      <c r="P53" s="1" t="str">
        <f t="shared" si="2"/>
        <v>"Ammo_762x39": 44,</v>
      </c>
      <c r="Q53" s="1" t="str">
        <f t="shared" si="3"/>
        <v>"Ammo_762x39": 2800,</v>
      </c>
      <c r="R53" s="1" t="str">
        <f t="shared" si="4"/>
        <v>"Ammo_762x39": 9,</v>
      </c>
    </row>
    <row r="54" spans="1:18" x14ac:dyDescent="0.25">
      <c r="A54" s="1" t="str">
        <f t="shared" si="6"/>
        <v>#tc_military#tc_ammo#tc_rifles</v>
      </c>
      <c r="B54" s="1">
        <f>VLOOKUP(A54,TraderCategory!$A$63:$E$556,2,FALSE)</f>
        <v>44</v>
      </c>
      <c r="C54" s="1">
        <f>VLOOKUP(A54,TraderCategory!$A$63:$F$556,6,FALSE)</f>
        <v>9</v>
      </c>
      <c r="D54" s="1" t="str">
        <f>VLOOKUP(C54,Tabulka5[],3,FALSE)</f>
        <v>Sergeant Major of the Army</v>
      </c>
      <c r="E54" s="1">
        <v>10</v>
      </c>
      <c r="F54" s="1" t="str">
        <f>VLOOKUP(E54,Tabulka5[],3,FALSE)</f>
        <v>Second Lieutenant</v>
      </c>
      <c r="G54" s="1" t="s">
        <v>3115</v>
      </c>
      <c r="H54" s="1" t="s">
        <v>393</v>
      </c>
      <c r="I54" s="1" t="s">
        <v>8</v>
      </c>
      <c r="J54" s="1" t="s">
        <v>2729</v>
      </c>
      <c r="K54" s="1" t="s">
        <v>2738</v>
      </c>
      <c r="L54" s="1" t="s">
        <v>3157</v>
      </c>
      <c r="M54" s="1">
        <v>3200</v>
      </c>
      <c r="N54" s="1">
        <v>1</v>
      </c>
      <c r="O54" s="1" t="str">
        <f t="shared" si="1"/>
        <v>"Ammo_762x39Tracer": 1,</v>
      </c>
      <c r="P54" s="1" t="str">
        <f t="shared" si="2"/>
        <v>"Ammo_762x39Tracer": 44,</v>
      </c>
      <c r="Q54" s="1" t="str">
        <f t="shared" si="3"/>
        <v>"Ammo_762x39Tracer": 3200,</v>
      </c>
      <c r="R54" s="1" t="str">
        <f t="shared" si="4"/>
        <v>"Ammo_762x39Tracer": 10,</v>
      </c>
    </row>
    <row r="55" spans="1:18" x14ac:dyDescent="0.25">
      <c r="A55" s="1" t="str">
        <f t="shared" si="6"/>
        <v>#tc_military#tc_ammo#tc_snipers</v>
      </c>
      <c r="B55" s="1">
        <f>VLOOKUP(A55,TraderCategory!$A$63:$E$556,2,FALSE)</f>
        <v>45</v>
      </c>
      <c r="C55" s="1">
        <f>VLOOKUP(A55,TraderCategory!$A$63:$F$556,6,FALSE)</f>
        <v>12</v>
      </c>
      <c r="D55" s="1" t="str">
        <f>VLOOKUP(C55,Tabulka5[],3,FALSE)</f>
        <v>Captain</v>
      </c>
      <c r="E55" s="1">
        <v>12</v>
      </c>
      <c r="F55" s="1" t="str">
        <f>VLOOKUP(E55,Tabulka5[],3,FALSE)</f>
        <v>Captain</v>
      </c>
      <c r="G55" s="1" t="s">
        <v>3115</v>
      </c>
      <c r="H55" s="1" t="s">
        <v>394</v>
      </c>
      <c r="I55" s="1" t="s">
        <v>8</v>
      </c>
      <c r="J55" s="1" t="s">
        <v>2729</v>
      </c>
      <c r="K55" s="1" t="s">
        <v>2738</v>
      </c>
      <c r="L55" s="1" t="s">
        <v>3160</v>
      </c>
      <c r="M55" s="1">
        <v>4000</v>
      </c>
      <c r="N55" s="1">
        <v>1</v>
      </c>
      <c r="O55" s="1" t="str">
        <f t="shared" si="1"/>
        <v>"Ammo_762x54": 1,</v>
      </c>
      <c r="P55" s="1" t="str">
        <f t="shared" si="2"/>
        <v>"Ammo_762x54": 45,</v>
      </c>
      <c r="Q55" s="1" t="str">
        <f t="shared" si="3"/>
        <v>"Ammo_762x54": 4000,</v>
      </c>
      <c r="R55" s="1" t="str">
        <f t="shared" si="4"/>
        <v>"Ammo_762x54": 12,</v>
      </c>
    </row>
    <row r="56" spans="1:18" x14ac:dyDescent="0.25">
      <c r="A56" s="1" t="str">
        <f t="shared" si="6"/>
        <v>#tc_military#tc_ammo#tc_snipers</v>
      </c>
      <c r="B56" s="1">
        <f>VLOOKUP(A56,TraderCategory!$A$63:$E$556,2,FALSE)</f>
        <v>45</v>
      </c>
      <c r="C56" s="1">
        <f>VLOOKUP(A56,TraderCategory!$A$63:$F$556,6,FALSE)</f>
        <v>12</v>
      </c>
      <c r="D56" s="1" t="str">
        <f>VLOOKUP(C56,Tabulka5[],3,FALSE)</f>
        <v>Captain</v>
      </c>
      <c r="E56" s="1">
        <v>13</v>
      </c>
      <c r="F56" s="1" t="str">
        <f>VLOOKUP(E56,Tabulka5[],3,FALSE)</f>
        <v>Major</v>
      </c>
      <c r="G56" s="1" t="s">
        <v>3115</v>
      </c>
      <c r="H56" s="1" t="s">
        <v>395</v>
      </c>
      <c r="I56" s="1" t="s">
        <v>8</v>
      </c>
      <c r="J56" s="1" t="s">
        <v>2729</v>
      </c>
      <c r="K56" s="1" t="s">
        <v>2738</v>
      </c>
      <c r="L56" s="1" t="s">
        <v>3160</v>
      </c>
      <c r="M56" s="1">
        <v>4800</v>
      </c>
      <c r="N56" s="1">
        <v>1</v>
      </c>
      <c r="O56" s="1" t="str">
        <f t="shared" si="1"/>
        <v>"Ammo_762x54Tracer": 1,</v>
      </c>
      <c r="P56" s="1" t="str">
        <f t="shared" si="2"/>
        <v>"Ammo_762x54Tracer": 45,</v>
      </c>
      <c r="Q56" s="1" t="str">
        <f t="shared" si="3"/>
        <v>"Ammo_762x54Tracer": 4800,</v>
      </c>
      <c r="R56" s="1" t="str">
        <f t="shared" si="4"/>
        <v>"Ammo_762x54Tracer": 13,</v>
      </c>
    </row>
    <row r="57" spans="1:18" x14ac:dyDescent="0.25">
      <c r="A57" s="1" t="str">
        <f t="shared" si="6"/>
        <v>#tc_military#tc_ammo#tc_pistols</v>
      </c>
      <c r="B57" s="1">
        <f>VLOOKUP(A57,TraderCategory!$A$63:$E$556,2,FALSE)</f>
        <v>42</v>
      </c>
      <c r="C57" s="1">
        <f>VLOOKUP(A57,TraderCategory!$A$63:$F$556,6,FALSE)</f>
        <v>0</v>
      </c>
      <c r="D57" s="1" t="str">
        <f>VLOOKUP(C57,Tabulka5[],3,FALSE)</f>
        <v>Private</v>
      </c>
      <c r="E57" s="1">
        <v>1</v>
      </c>
      <c r="F57" s="1" t="str">
        <f>VLOOKUP(E57,Tabulka5[],3,FALSE)</f>
        <v>Private First Class</v>
      </c>
      <c r="G57" s="1" t="s">
        <v>3115</v>
      </c>
      <c r="H57" s="1" t="s">
        <v>396</v>
      </c>
      <c r="I57" s="1" t="s">
        <v>8</v>
      </c>
      <c r="J57" s="1" t="s">
        <v>2729</v>
      </c>
      <c r="K57" s="1" t="s">
        <v>2738</v>
      </c>
      <c r="L57" s="1" t="s">
        <v>3154</v>
      </c>
      <c r="M57" s="1">
        <v>2000</v>
      </c>
      <c r="N57" s="1">
        <v>1</v>
      </c>
      <c r="O57" s="1" t="str">
        <f t="shared" si="1"/>
        <v>"Ammo_9x19": 1,</v>
      </c>
      <c r="P57" s="1" t="str">
        <f t="shared" si="2"/>
        <v>"Ammo_9x19": 42,</v>
      </c>
      <c r="Q57" s="1" t="str">
        <f t="shared" si="3"/>
        <v>"Ammo_9x19": 2000,</v>
      </c>
      <c r="R57" s="1" t="str">
        <f t="shared" si="4"/>
        <v>"Ammo_9x19": 1,</v>
      </c>
    </row>
    <row r="58" spans="1:18" x14ac:dyDescent="0.25">
      <c r="A58" s="1" t="str">
        <f t="shared" si="6"/>
        <v>#tc_military#tc_ammo#tc_snipers</v>
      </c>
      <c r="B58" s="1">
        <f>VLOOKUP(A58,TraderCategory!$A$63:$E$556,2,FALSE)</f>
        <v>45</v>
      </c>
      <c r="C58" s="1">
        <f>VLOOKUP(A58,TraderCategory!$A$63:$F$556,6,FALSE)</f>
        <v>12</v>
      </c>
      <c r="D58" s="1" t="str">
        <f>VLOOKUP(C58,Tabulka5[],3,FALSE)</f>
        <v>Captain</v>
      </c>
      <c r="E58" s="1">
        <v>12</v>
      </c>
      <c r="F58" s="1" t="str">
        <f>VLOOKUP(E58,Tabulka5[],3,FALSE)</f>
        <v>Captain</v>
      </c>
      <c r="G58" s="1" t="s">
        <v>3115</v>
      </c>
      <c r="H58" s="1" t="s">
        <v>397</v>
      </c>
      <c r="I58" s="1" t="s">
        <v>8</v>
      </c>
      <c r="J58" s="1" t="s">
        <v>2729</v>
      </c>
      <c r="K58" s="1" t="s">
        <v>2738</v>
      </c>
      <c r="L58" s="1" t="s">
        <v>3160</v>
      </c>
      <c r="M58" s="1">
        <v>6000</v>
      </c>
      <c r="N58" s="1">
        <v>1</v>
      </c>
      <c r="O58" s="1" t="str">
        <f t="shared" si="1"/>
        <v>"Ammo_9x39": 1,</v>
      </c>
      <c r="P58" s="1" t="str">
        <f t="shared" si="2"/>
        <v>"Ammo_9x39": 45,</v>
      </c>
      <c r="Q58" s="1" t="str">
        <f t="shared" si="3"/>
        <v>"Ammo_9x39": 6000,</v>
      </c>
      <c r="R58" s="1" t="str">
        <f t="shared" si="4"/>
        <v>"Ammo_9x39": 12,</v>
      </c>
    </row>
    <row r="59" spans="1:18" x14ac:dyDescent="0.25">
      <c r="A59" s="1" t="str">
        <f t="shared" si="6"/>
        <v>#tc_military#tc_ammo#tc_snipers</v>
      </c>
      <c r="B59" s="1">
        <f>VLOOKUP(A59,TraderCategory!$A$63:$E$556,2,FALSE)</f>
        <v>45</v>
      </c>
      <c r="C59" s="1">
        <f>VLOOKUP(A59,TraderCategory!$A$63:$F$556,6,FALSE)</f>
        <v>12</v>
      </c>
      <c r="D59" s="1" t="str">
        <f>VLOOKUP(C59,Tabulka5[],3,FALSE)</f>
        <v>Captain</v>
      </c>
      <c r="E59" s="1">
        <v>13</v>
      </c>
      <c r="F59" s="1" t="str">
        <f>VLOOKUP(E59,Tabulka5[],3,FALSE)</f>
        <v>Major</v>
      </c>
      <c r="G59" s="1" t="s">
        <v>3115</v>
      </c>
      <c r="H59" s="1" t="s">
        <v>398</v>
      </c>
      <c r="I59" s="1" t="s">
        <v>8</v>
      </c>
      <c r="J59" s="1" t="s">
        <v>2729</v>
      </c>
      <c r="K59" s="1" t="s">
        <v>2738</v>
      </c>
      <c r="L59" s="1" t="s">
        <v>3160</v>
      </c>
      <c r="M59" s="1">
        <v>6800</v>
      </c>
      <c r="N59" s="1">
        <v>1</v>
      </c>
      <c r="O59" s="1" t="str">
        <f t="shared" si="1"/>
        <v>"Ammo_9x39AP": 1,</v>
      </c>
      <c r="P59" s="1" t="str">
        <f t="shared" si="2"/>
        <v>"Ammo_9x39AP": 45,</v>
      </c>
      <c r="Q59" s="1" t="str">
        <f t="shared" si="3"/>
        <v>"Ammo_9x39AP": 6800,</v>
      </c>
      <c r="R59" s="1" t="str">
        <f t="shared" si="4"/>
        <v>"Ammo_9x39AP": 13,</v>
      </c>
    </row>
    <row r="60" spans="1:18" ht="15" customHeight="1" x14ac:dyDescent="0.25">
      <c r="A60" s="1" t="str">
        <f t="shared" si="6"/>
        <v>#tc_clothes#tc_military#tc_bags</v>
      </c>
      <c r="B60" s="1">
        <f>VLOOKUP(A60,TraderCategory!$A$63:$E$556,2,FALSE)</f>
        <v>15</v>
      </c>
      <c r="C60" s="1">
        <f>VLOOKUP(A60,TraderCategory!$A$63:$F$556,6,FALSE)</f>
        <v>1</v>
      </c>
      <c r="D60" s="1" t="str">
        <f>VLOOKUP(C60,Tabulka5[],3,FALSE)</f>
        <v>Private First Class</v>
      </c>
      <c r="E60" s="1">
        <v>3</v>
      </c>
      <c r="F60" s="1" t="str">
        <f>VLOOKUP(E60,Tabulka5[],3,FALSE)</f>
        <v>Sergeant</v>
      </c>
      <c r="G60" s="1" t="s">
        <v>3115</v>
      </c>
      <c r="H60" s="1" t="s">
        <v>400</v>
      </c>
      <c r="I60" s="1" t="s">
        <v>363</v>
      </c>
      <c r="J60" s="1" t="s">
        <v>2728</v>
      </c>
      <c r="K60" s="1" t="s">
        <v>2729</v>
      </c>
      <c r="L60" s="1" t="s">
        <v>3138</v>
      </c>
      <c r="M60" s="1">
        <v>12000</v>
      </c>
      <c r="N60" s="1">
        <v>1</v>
      </c>
      <c r="O60" s="1" t="str">
        <f t="shared" si="1"/>
        <v>"AssaultBag_Black": 1,</v>
      </c>
      <c r="P60" s="1" t="str">
        <f t="shared" si="2"/>
        <v>"AssaultBag_Black": 15,</v>
      </c>
      <c r="Q60" s="1" t="str">
        <f t="shared" si="3"/>
        <v>"AssaultBag_Black": 12000,</v>
      </c>
      <c r="R60" s="1" t="str">
        <f t="shared" si="4"/>
        <v>"AssaultBag_Black": 3,</v>
      </c>
    </row>
    <row r="61" spans="1:18" ht="15" customHeight="1" x14ac:dyDescent="0.25">
      <c r="A61" s="1" t="str">
        <f t="shared" si="6"/>
        <v>#tc_clothes#tc_military#tc_bags</v>
      </c>
      <c r="B61" s="1">
        <f>VLOOKUP(A61,TraderCategory!$A$63:$E$556,2,FALSE)</f>
        <v>15</v>
      </c>
      <c r="C61" s="1">
        <f>VLOOKUP(A61,TraderCategory!$A$63:$F$556,6,FALSE)</f>
        <v>1</v>
      </c>
      <c r="D61" s="1" t="str">
        <f>VLOOKUP(C61,Tabulka5[],3,FALSE)</f>
        <v>Private First Class</v>
      </c>
      <c r="E61" s="1">
        <v>3</v>
      </c>
      <c r="F61" s="1" t="str">
        <f>VLOOKUP(E61,Tabulka5[],3,FALSE)</f>
        <v>Sergeant</v>
      </c>
      <c r="G61" s="1" t="s">
        <v>3115</v>
      </c>
      <c r="H61" s="1" t="s">
        <v>401</v>
      </c>
      <c r="I61" s="1" t="s">
        <v>363</v>
      </c>
      <c r="J61" s="1" t="s">
        <v>2728</v>
      </c>
      <c r="K61" s="1" t="s">
        <v>2729</v>
      </c>
      <c r="L61" s="1" t="s">
        <v>3138</v>
      </c>
      <c r="M61" s="1">
        <v>12000</v>
      </c>
      <c r="N61" s="1">
        <v>1</v>
      </c>
      <c r="O61" s="1" t="str">
        <f t="shared" si="1"/>
        <v>"AssaultBag_Green": 1,</v>
      </c>
      <c r="P61" s="1" t="str">
        <f t="shared" si="2"/>
        <v>"AssaultBag_Green": 15,</v>
      </c>
      <c r="Q61" s="1" t="str">
        <f t="shared" si="3"/>
        <v>"AssaultBag_Green": 12000,</v>
      </c>
      <c r="R61" s="1" t="str">
        <f t="shared" si="4"/>
        <v>"AssaultBag_Green": 3,</v>
      </c>
    </row>
    <row r="62" spans="1:18" ht="15" customHeight="1" x14ac:dyDescent="0.25">
      <c r="A62" s="1" t="str">
        <f t="shared" si="6"/>
        <v>#tc_clothes#tc_military#tc_bags</v>
      </c>
      <c r="B62" s="1">
        <f>VLOOKUP(A62,TraderCategory!$A$63:$E$556,2,FALSE)</f>
        <v>15</v>
      </c>
      <c r="C62" s="1">
        <f>VLOOKUP(A62,TraderCategory!$A$63:$F$556,6,FALSE)</f>
        <v>1</v>
      </c>
      <c r="D62" s="1" t="str">
        <f>VLOOKUP(C62,Tabulka5[],3,FALSE)</f>
        <v>Private First Class</v>
      </c>
      <c r="E62" s="1">
        <v>3</v>
      </c>
      <c r="F62" s="1" t="str">
        <f>VLOOKUP(E62,Tabulka5[],3,FALSE)</f>
        <v>Sergeant</v>
      </c>
      <c r="G62" s="1" t="s">
        <v>3115</v>
      </c>
      <c r="H62" s="1" t="s">
        <v>402</v>
      </c>
      <c r="I62" s="1" t="s">
        <v>363</v>
      </c>
      <c r="J62" s="1" t="s">
        <v>2728</v>
      </c>
      <c r="K62" s="1" t="s">
        <v>2729</v>
      </c>
      <c r="L62" s="1" t="s">
        <v>3138</v>
      </c>
      <c r="M62" s="1">
        <v>12000</v>
      </c>
      <c r="N62" s="1">
        <v>1</v>
      </c>
      <c r="O62" s="1" t="str">
        <f t="shared" si="1"/>
        <v>"AssaultBag_Ttsko": 1,</v>
      </c>
      <c r="P62" s="1" t="str">
        <f t="shared" si="2"/>
        <v>"AssaultBag_Ttsko": 15,</v>
      </c>
      <c r="Q62" s="1" t="str">
        <f t="shared" si="3"/>
        <v>"AssaultBag_Ttsko": 12000,</v>
      </c>
      <c r="R62" s="1" t="str">
        <f t="shared" si="4"/>
        <v>"AssaultBag_Ttsko": 3,</v>
      </c>
    </row>
    <row r="63" spans="1:18" ht="15" customHeight="1" x14ac:dyDescent="0.25">
      <c r="A63" s="1" t="str">
        <f t="shared" si="6"/>
        <v>#tc_clothes#tc_civil#tc_boots</v>
      </c>
      <c r="B63" s="1">
        <f>VLOOKUP(A63,TraderCategory!$A$63:$E$556,2,FALSE)</f>
        <v>5</v>
      </c>
      <c r="C63" s="1">
        <f>VLOOKUP(A63,TraderCategory!$A$63:$F$556,6,FALSE)</f>
        <v>0</v>
      </c>
      <c r="D63" s="1" t="str">
        <f>VLOOKUP(C63,Tabulka5[],3,FALSE)</f>
        <v>Private</v>
      </c>
      <c r="E63" s="1">
        <v>0</v>
      </c>
      <c r="F63" s="1" t="str">
        <f>VLOOKUP(E63,Tabulka5[],3,FALSE)</f>
        <v>Private</v>
      </c>
      <c r="G63" s="1" t="s">
        <v>3115</v>
      </c>
      <c r="H63" s="1" t="s">
        <v>404</v>
      </c>
      <c r="I63" s="1" t="s">
        <v>403</v>
      </c>
      <c r="J63" s="1" t="s">
        <v>2728</v>
      </c>
      <c r="K63" s="1" t="s">
        <v>3126</v>
      </c>
      <c r="L63" s="1" t="s">
        <v>3134</v>
      </c>
      <c r="M63" s="1">
        <v>600</v>
      </c>
      <c r="N63" s="1">
        <v>1</v>
      </c>
      <c r="O63" s="1" t="str">
        <f t="shared" si="1"/>
        <v>"AthleticShoes_Blue": 1,</v>
      </c>
      <c r="P63" s="1" t="str">
        <f t="shared" si="2"/>
        <v>"AthleticShoes_Blue": 5,</v>
      </c>
      <c r="Q63" s="1" t="str">
        <f t="shared" si="3"/>
        <v>"AthleticShoes_Blue": 600,</v>
      </c>
      <c r="R63" s="1" t="str">
        <f t="shared" si="4"/>
        <v>"AthleticShoes_Blue": 0,</v>
      </c>
    </row>
    <row r="64" spans="1:18" ht="15" customHeight="1" x14ac:dyDescent="0.25">
      <c r="A64" s="1" t="str">
        <f t="shared" si="6"/>
        <v>#tc_clothes#tc_civil#tc_boots</v>
      </c>
      <c r="B64" s="1">
        <f>VLOOKUP(A64,TraderCategory!$A$63:$E$556,2,FALSE)</f>
        <v>5</v>
      </c>
      <c r="C64" s="1">
        <f>VLOOKUP(A64,TraderCategory!$A$63:$F$556,6,FALSE)</f>
        <v>0</v>
      </c>
      <c r="D64" s="1" t="str">
        <f>VLOOKUP(C64,Tabulka5[],3,FALSE)</f>
        <v>Private</v>
      </c>
      <c r="E64" s="1">
        <v>0</v>
      </c>
      <c r="F64" s="1" t="str">
        <f>VLOOKUP(E64,Tabulka5[],3,FALSE)</f>
        <v>Private</v>
      </c>
      <c r="G64" s="1" t="s">
        <v>3115</v>
      </c>
      <c r="H64" s="1" t="s">
        <v>405</v>
      </c>
      <c r="I64" s="1" t="s">
        <v>403</v>
      </c>
      <c r="J64" s="1" t="s">
        <v>2728</v>
      </c>
      <c r="K64" s="1" t="s">
        <v>3126</v>
      </c>
      <c r="L64" s="1" t="s">
        <v>3134</v>
      </c>
      <c r="M64" s="1">
        <v>600</v>
      </c>
      <c r="N64" s="1">
        <v>1</v>
      </c>
      <c r="O64" s="1" t="str">
        <f t="shared" si="1"/>
        <v>"AthleticShoes_Brown": 1,</v>
      </c>
      <c r="P64" s="1" t="str">
        <f t="shared" si="2"/>
        <v>"AthleticShoes_Brown": 5,</v>
      </c>
      <c r="Q64" s="1" t="str">
        <f t="shared" si="3"/>
        <v>"AthleticShoes_Brown": 600,</v>
      </c>
      <c r="R64" s="1" t="str">
        <f t="shared" si="4"/>
        <v>"AthleticShoes_Brown": 0,</v>
      </c>
    </row>
    <row r="65" spans="1:18" ht="15" customHeight="1" x14ac:dyDescent="0.25">
      <c r="A65" s="1" t="str">
        <f t="shared" si="6"/>
        <v>#tc_clothes#tc_civil#tc_boots</v>
      </c>
      <c r="B65" s="1">
        <f>VLOOKUP(A65,TraderCategory!$A$63:$E$556,2,FALSE)</f>
        <v>5</v>
      </c>
      <c r="C65" s="1">
        <f>VLOOKUP(A65,TraderCategory!$A$63:$F$556,6,FALSE)</f>
        <v>0</v>
      </c>
      <c r="D65" s="1" t="str">
        <f>VLOOKUP(C65,Tabulka5[],3,FALSE)</f>
        <v>Private</v>
      </c>
      <c r="E65" s="1">
        <v>0</v>
      </c>
      <c r="F65" s="1" t="str">
        <f>VLOOKUP(E65,Tabulka5[],3,FALSE)</f>
        <v>Private</v>
      </c>
      <c r="G65" s="1" t="s">
        <v>3115</v>
      </c>
      <c r="H65" s="1" t="s">
        <v>406</v>
      </c>
      <c r="I65" s="1" t="s">
        <v>403</v>
      </c>
      <c r="J65" s="1" t="s">
        <v>2728</v>
      </c>
      <c r="K65" s="1" t="s">
        <v>3126</v>
      </c>
      <c r="L65" s="1" t="s">
        <v>3134</v>
      </c>
      <c r="M65" s="1">
        <v>600</v>
      </c>
      <c r="N65" s="1">
        <v>1</v>
      </c>
      <c r="O65" s="1" t="str">
        <f t="shared" si="1"/>
        <v>"AthleticShoes_Green": 1,</v>
      </c>
      <c r="P65" s="1" t="str">
        <f t="shared" si="2"/>
        <v>"AthleticShoes_Green": 5,</v>
      </c>
      <c r="Q65" s="1" t="str">
        <f t="shared" si="3"/>
        <v>"AthleticShoes_Green": 600,</v>
      </c>
      <c r="R65" s="1" t="str">
        <f t="shared" si="4"/>
        <v>"AthleticShoes_Green": 0,</v>
      </c>
    </row>
    <row r="66" spans="1:18" ht="15" customHeight="1" x14ac:dyDescent="0.25">
      <c r="A66" s="1" t="str">
        <f t="shared" si="6"/>
        <v>#tc_clothes#tc_civil#tc_boots</v>
      </c>
      <c r="B66" s="1">
        <f>VLOOKUP(A66,TraderCategory!$A$63:$E$556,2,FALSE)</f>
        <v>5</v>
      </c>
      <c r="C66" s="1">
        <f>VLOOKUP(A66,TraderCategory!$A$63:$F$556,6,FALSE)</f>
        <v>0</v>
      </c>
      <c r="D66" s="1" t="str">
        <f>VLOOKUP(C66,Tabulka5[],3,FALSE)</f>
        <v>Private</v>
      </c>
      <c r="E66" s="1">
        <v>0</v>
      </c>
      <c r="F66" s="1" t="str">
        <f>VLOOKUP(E66,Tabulka5[],3,FALSE)</f>
        <v>Private</v>
      </c>
      <c r="G66" s="1" t="s">
        <v>3115</v>
      </c>
      <c r="H66" s="1" t="s">
        <v>407</v>
      </c>
      <c r="I66" s="1" t="s">
        <v>403</v>
      </c>
      <c r="J66" s="1" t="s">
        <v>2728</v>
      </c>
      <c r="K66" s="1" t="s">
        <v>3126</v>
      </c>
      <c r="L66" s="1" t="s">
        <v>3134</v>
      </c>
      <c r="M66" s="1">
        <v>600</v>
      </c>
      <c r="N66" s="1">
        <v>1</v>
      </c>
      <c r="O66" s="1" t="str">
        <f t="shared" si="1"/>
        <v>"AthleticShoes_Grey": 1,</v>
      </c>
      <c r="P66" s="1" t="str">
        <f t="shared" si="2"/>
        <v>"AthleticShoes_Grey": 5,</v>
      </c>
      <c r="Q66" s="1" t="str">
        <f t="shared" si="3"/>
        <v>"AthleticShoes_Grey": 600,</v>
      </c>
      <c r="R66" s="1" t="str">
        <f t="shared" si="4"/>
        <v>"AthleticShoes_Grey": 0,</v>
      </c>
    </row>
    <row r="67" spans="1:18" ht="15" customHeight="1" x14ac:dyDescent="0.25">
      <c r="A67" s="1" t="str">
        <f t="shared" si="6"/>
        <v>#tc_clothes#tc_civil#tc_head</v>
      </c>
      <c r="B67" s="1">
        <f>VLOOKUP(A67,TraderCategory!$A$63:$E$556,2,FALSE)</f>
        <v>0</v>
      </c>
      <c r="C67" s="1">
        <f>VLOOKUP(A67,TraderCategory!$A$63:$F$556,6,FALSE)</f>
        <v>0</v>
      </c>
      <c r="D67" s="1" t="str">
        <f>VLOOKUP(C67,Tabulka5[],3,FALSE)</f>
        <v>Private</v>
      </c>
      <c r="E67" s="1">
        <v>0</v>
      </c>
      <c r="F67" s="1" t="str">
        <f>VLOOKUP(E67,Tabulka5[],3,FALSE)</f>
        <v>Private</v>
      </c>
      <c r="G67" s="1" t="s">
        <v>3115</v>
      </c>
      <c r="H67" s="1" t="s">
        <v>408</v>
      </c>
      <c r="I67" s="1" t="s">
        <v>403</v>
      </c>
      <c r="J67" s="1" t="s">
        <v>2728</v>
      </c>
      <c r="K67" s="1" t="s">
        <v>3126</v>
      </c>
      <c r="L67" s="1" t="s">
        <v>3130</v>
      </c>
      <c r="M67" s="1">
        <v>200</v>
      </c>
      <c r="N67" s="1">
        <v>1</v>
      </c>
      <c r="O67" s="1" t="str">
        <f t="shared" ref="O67:O130" si="7">"""" &amp;H67 &amp; """: " &amp; N67 &amp; ","</f>
        <v>"AviatorGlasses": 1,</v>
      </c>
      <c r="P67" s="1" t="str">
        <f t="shared" ref="P67:P130" si="8">"""" &amp;H67 &amp; """: " &amp; B67 &amp; ","</f>
        <v>"AviatorGlasses": 0,</v>
      </c>
      <c r="Q67" s="1" t="str">
        <f t="shared" ref="Q67:Q130" si="9">"""" &amp;H67 &amp; """: " &amp; M67 &amp; ","</f>
        <v>"AviatorGlasses": 200,</v>
      </c>
      <c r="R67" s="1" t="str">
        <f t="shared" ref="R67:R130" si="10">"""" &amp;H67 &amp; """: " &amp; E67 &amp; ","</f>
        <v>"AviatorGlasses": 0,</v>
      </c>
    </row>
    <row r="68" spans="1:18" x14ac:dyDescent="0.25">
      <c r="A68" s="1" t="str">
        <f t="shared" si="6"/>
        <v>#tc_military#tc_weapons#tc_assaultrifles</v>
      </c>
      <c r="B68" s="1">
        <f>VLOOKUP(A68,TraderCategory!$A$63:$E$556,2,FALSE)</f>
        <v>65</v>
      </c>
      <c r="C68" s="1">
        <f>VLOOKUP(A68,TraderCategory!$A$63:$F$556,6,FALSE)</f>
        <v>10</v>
      </c>
      <c r="D68" s="1" t="str">
        <f>VLOOKUP(C68,Tabulka5[],3,FALSE)</f>
        <v>Second Lieutenant</v>
      </c>
      <c r="E68" s="1">
        <v>14</v>
      </c>
      <c r="F68" s="1" t="str">
        <f>VLOOKUP(E68,Tabulka5[],3,FALSE)</f>
        <v>Lieutenant Colonel</v>
      </c>
      <c r="G68" s="1" t="s">
        <v>3115</v>
      </c>
      <c r="H68" s="1" t="s">
        <v>628</v>
      </c>
      <c r="I68" s="1" t="s">
        <v>8</v>
      </c>
      <c r="J68" s="1" t="s">
        <v>2729</v>
      </c>
      <c r="K68" s="1" t="s">
        <v>3129</v>
      </c>
      <c r="L68" s="1" t="s">
        <v>3158</v>
      </c>
      <c r="M68" s="1">
        <v>55000</v>
      </c>
      <c r="N68" s="1">
        <v>1</v>
      </c>
      <c r="O68" s="1" t="str">
        <f t="shared" si="7"/>
        <v>"FAL": 1,</v>
      </c>
      <c r="P68" s="1" t="str">
        <f t="shared" si="8"/>
        <v>"FAL": 65,</v>
      </c>
      <c r="Q68" s="1" t="str">
        <f t="shared" si="9"/>
        <v>"FAL": 55000,</v>
      </c>
      <c r="R68" s="1" t="str">
        <f t="shared" si="10"/>
        <v>"FAL": 14,</v>
      </c>
    </row>
    <row r="69" spans="1:18" ht="15" customHeight="1" x14ac:dyDescent="0.25">
      <c r="A69" s="1" t="str">
        <f t="shared" si="6"/>
        <v>#tc_clothes#tc_military#tc_tops</v>
      </c>
      <c r="B69" s="1">
        <f>VLOOKUP(A69,TraderCategory!$A$63:$E$556,2,FALSE)</f>
        <v>9</v>
      </c>
      <c r="C69" s="1">
        <f>VLOOKUP(A69,TraderCategory!$A$63:$F$556,6,FALSE)</f>
        <v>1</v>
      </c>
      <c r="D69" s="1" t="str">
        <f>VLOOKUP(C69,Tabulka5[],3,FALSE)</f>
        <v>Private First Class</v>
      </c>
      <c r="E69" s="1">
        <v>1</v>
      </c>
      <c r="F69" s="1" t="str">
        <f>VLOOKUP(E69,Tabulka5[],3,FALSE)</f>
        <v>Private First Class</v>
      </c>
      <c r="G69" s="1" t="s">
        <v>3115</v>
      </c>
      <c r="H69" s="1" t="s">
        <v>410</v>
      </c>
      <c r="I69" s="1" t="s">
        <v>403</v>
      </c>
      <c r="J69" s="1" t="s">
        <v>2728</v>
      </c>
      <c r="K69" s="1" t="s">
        <v>2729</v>
      </c>
      <c r="L69" s="1" t="s">
        <v>3131</v>
      </c>
      <c r="M69" s="1">
        <v>10000</v>
      </c>
      <c r="N69" s="1">
        <v>1</v>
      </c>
      <c r="O69" s="1" t="str">
        <f t="shared" si="7"/>
        <v>"BDUJacket": 1,</v>
      </c>
      <c r="P69" s="1" t="str">
        <f t="shared" si="8"/>
        <v>"BDUJacket": 9,</v>
      </c>
      <c r="Q69" s="1" t="str">
        <f t="shared" si="9"/>
        <v>"BDUJacket": 10000,</v>
      </c>
      <c r="R69" s="1" t="str">
        <f t="shared" si="10"/>
        <v>"BDUJacket": 1,</v>
      </c>
    </row>
    <row r="70" spans="1:18" ht="15" customHeight="1" x14ac:dyDescent="0.25">
      <c r="A70" s="1" t="str">
        <f t="shared" si="6"/>
        <v>#tc_clothes#tc_military#tc_pants</v>
      </c>
      <c r="B70" s="1">
        <f>VLOOKUP(A70,TraderCategory!$A$63:$E$556,2,FALSE)</f>
        <v>12</v>
      </c>
      <c r="C70" s="1">
        <f>VLOOKUP(A70,TraderCategory!$A$63:$F$556,6,FALSE)</f>
        <v>1</v>
      </c>
      <c r="D70" s="1" t="str">
        <f>VLOOKUP(C70,Tabulka5[],3,FALSE)</f>
        <v>Private First Class</v>
      </c>
      <c r="E70" s="1">
        <v>1</v>
      </c>
      <c r="F70" s="1" t="str">
        <f>VLOOKUP(E70,Tabulka5[],3,FALSE)</f>
        <v>Private First Class</v>
      </c>
      <c r="G70" s="1" t="s">
        <v>3115</v>
      </c>
      <c r="H70" s="1" t="s">
        <v>411</v>
      </c>
      <c r="I70" s="1" t="s">
        <v>403</v>
      </c>
      <c r="J70" s="1" t="s">
        <v>2728</v>
      </c>
      <c r="K70" s="1" t="s">
        <v>2729</v>
      </c>
      <c r="L70" s="1" t="s">
        <v>3133</v>
      </c>
      <c r="M70" s="1">
        <v>5000</v>
      </c>
      <c r="N70" s="1">
        <v>1</v>
      </c>
      <c r="O70" s="1" t="str">
        <f t="shared" si="7"/>
        <v>"BDUPants": 1,</v>
      </c>
      <c r="P70" s="1" t="str">
        <f t="shared" si="8"/>
        <v>"BDUPants": 12,</v>
      </c>
      <c r="Q70" s="1" t="str">
        <f t="shared" si="9"/>
        <v>"BDUPants": 5000,</v>
      </c>
      <c r="R70" s="1" t="str">
        <f t="shared" si="10"/>
        <v>"BDUPants": 1,</v>
      </c>
    </row>
    <row r="71" spans="1:18" x14ac:dyDescent="0.25">
      <c r="A71" s="1" t="str">
        <f t="shared" si="6"/>
        <v>#tc_military#tc_attachments#tc_optic</v>
      </c>
      <c r="B71" s="1">
        <f>VLOOKUP(A71,TraderCategory!$A$63:$E$556,2,FALSE)</f>
        <v>50</v>
      </c>
      <c r="C71" s="1">
        <f>VLOOKUP(A71,TraderCategory!$A$63:$F$556,6,FALSE)</f>
        <v>10</v>
      </c>
      <c r="D71" s="1" t="str">
        <f>VLOOKUP(C71,Tabulka5[],3,FALSE)</f>
        <v>Second Lieutenant</v>
      </c>
      <c r="E71" s="1">
        <v>10</v>
      </c>
      <c r="F71" s="1" t="str">
        <f>VLOOKUP(E71,Tabulka5[],3,FALSE)</f>
        <v>Second Lieutenant</v>
      </c>
      <c r="G71" s="1" t="s">
        <v>3115</v>
      </c>
      <c r="H71" s="1" t="s">
        <v>412</v>
      </c>
      <c r="I71" s="1" t="s">
        <v>8</v>
      </c>
      <c r="J71" s="1" t="s">
        <v>2729</v>
      </c>
      <c r="K71" s="1" t="s">
        <v>2736</v>
      </c>
      <c r="L71" s="1" t="s">
        <v>3163</v>
      </c>
      <c r="M71" s="1">
        <v>500</v>
      </c>
      <c r="N71" s="1">
        <v>1</v>
      </c>
      <c r="O71" s="1" t="str">
        <f t="shared" si="7"/>
        <v>"BUISOptic": 1,</v>
      </c>
      <c r="P71" s="1" t="str">
        <f t="shared" si="8"/>
        <v>"BUISOptic": 50,</v>
      </c>
      <c r="Q71" s="1" t="str">
        <f t="shared" si="9"/>
        <v>"BUISOptic": 500,</v>
      </c>
      <c r="R71" s="1" t="str">
        <f t="shared" si="10"/>
        <v>"BUISOptic": 10,</v>
      </c>
    </row>
    <row r="72" spans="1:18" x14ac:dyDescent="0.25">
      <c r="A72" s="1" t="str">
        <f t="shared" si="6"/>
        <v>#tc_military#tc_attachments#tc_optic</v>
      </c>
      <c r="B72" s="1">
        <f>VLOOKUP(A72,TraderCategory!$A$63:$E$556,2,FALSE)</f>
        <v>50</v>
      </c>
      <c r="C72" s="1">
        <f>VLOOKUP(A72,TraderCategory!$A$63:$F$556,6,FALSE)</f>
        <v>10</v>
      </c>
      <c r="D72" s="1" t="str">
        <f>VLOOKUP(C72,Tabulka5[],3,FALSE)</f>
        <v>Second Lieutenant</v>
      </c>
      <c r="E72" s="1">
        <v>10</v>
      </c>
      <c r="F72" s="1" t="str">
        <f>VLOOKUP(E72,Tabulka5[],3,FALSE)</f>
        <v>Second Lieutenant</v>
      </c>
      <c r="G72" s="1" t="s">
        <v>3116</v>
      </c>
      <c r="H72" s="1" t="s">
        <v>2809</v>
      </c>
      <c r="I72" s="1" t="s">
        <v>8</v>
      </c>
      <c r="J72" s="1" t="s">
        <v>2729</v>
      </c>
      <c r="K72" s="1" t="s">
        <v>2736</v>
      </c>
      <c r="L72" s="1" t="s">
        <v>3163</v>
      </c>
      <c r="M72" s="1">
        <v>2000</v>
      </c>
      <c r="N72" s="1">
        <v>1</v>
      </c>
      <c r="O72" s="1" t="str">
        <f t="shared" si="7"/>
        <v>"WE_HoloOptic": 1,</v>
      </c>
      <c r="P72" s="1" t="str">
        <f t="shared" si="8"/>
        <v>"WE_HoloOptic": 50,</v>
      </c>
      <c r="Q72" s="1" t="str">
        <f t="shared" si="9"/>
        <v>"WE_HoloOptic": 2000,</v>
      </c>
      <c r="R72" s="1" t="str">
        <f t="shared" si="10"/>
        <v>"WE_HoloOptic": 10,</v>
      </c>
    </row>
    <row r="73" spans="1:18" ht="15" customHeight="1" x14ac:dyDescent="0.25">
      <c r="A73" s="1" t="str">
        <f t="shared" si="6"/>
        <v>#tc_groceries#tc_food#tc_canned</v>
      </c>
      <c r="B73" s="1">
        <f>VLOOKUP(A73,TraderCategory!$A$63:$E$556,2,FALSE)</f>
        <v>18</v>
      </c>
      <c r="C73" s="1">
        <f>VLOOKUP(A73,TraderCategory!$A$63:$F$556,6,FALSE)</f>
        <v>3</v>
      </c>
      <c r="D73" s="1" t="str">
        <f>VLOOKUP(C73,Tabulka5[],3,FALSE)</f>
        <v>Sergeant</v>
      </c>
      <c r="E73" s="1">
        <v>3</v>
      </c>
      <c r="F73" s="1" t="str">
        <f>VLOOKUP(E73,Tabulka5[],3,FALSE)</f>
        <v>Sergeant</v>
      </c>
      <c r="G73" s="1" t="s">
        <v>3115</v>
      </c>
      <c r="H73" s="1" t="s">
        <v>413</v>
      </c>
      <c r="I73" s="1" t="s">
        <v>399</v>
      </c>
      <c r="J73" s="1" t="s">
        <v>3127</v>
      </c>
      <c r="K73" s="1" t="s">
        <v>2730</v>
      </c>
      <c r="L73" s="1" t="s">
        <v>2732</v>
      </c>
      <c r="M73" s="1">
        <v>4000</v>
      </c>
      <c r="N73" s="1">
        <v>1</v>
      </c>
      <c r="O73" s="1" t="str">
        <f t="shared" si="7"/>
        <v>"BakedBeansCan": 1,</v>
      </c>
      <c r="P73" s="1" t="str">
        <f t="shared" si="8"/>
        <v>"BakedBeansCan": 18,</v>
      </c>
      <c r="Q73" s="1" t="str">
        <f t="shared" si="9"/>
        <v>"BakedBeansCan": 4000,</v>
      </c>
      <c r="R73" s="1" t="str">
        <f t="shared" si="10"/>
        <v>"BakedBeansCan": 3,</v>
      </c>
    </row>
    <row r="74" spans="1:18" ht="15" customHeight="1" x14ac:dyDescent="0.25">
      <c r="A74" s="1" t="str">
        <f t="shared" si="6"/>
        <v>#tc_clothes#tc_civil#tc_head</v>
      </c>
      <c r="B74" s="1">
        <f>VLOOKUP(A74,TraderCategory!$A$63:$E$556,2,FALSE)</f>
        <v>0</v>
      </c>
      <c r="C74" s="1">
        <f>VLOOKUP(A74,TraderCategory!$A$63:$F$556,6,FALSE)</f>
        <v>0</v>
      </c>
      <c r="D74" s="1" t="str">
        <f>VLOOKUP(C74,Tabulka5[],3,FALSE)</f>
        <v>Private</v>
      </c>
      <c r="E74" s="1">
        <v>0</v>
      </c>
      <c r="F74" s="1" t="str">
        <f>VLOOKUP(E74,Tabulka5[],3,FALSE)</f>
        <v>Private</v>
      </c>
      <c r="G74" s="1" t="s">
        <v>3115</v>
      </c>
      <c r="H74" s="1" t="s">
        <v>414</v>
      </c>
      <c r="I74" s="1" t="s">
        <v>403</v>
      </c>
      <c r="J74" s="1" t="s">
        <v>2728</v>
      </c>
      <c r="K74" s="1" t="s">
        <v>3126</v>
      </c>
      <c r="L74" s="1" t="s">
        <v>3130</v>
      </c>
      <c r="M74" s="1">
        <v>200</v>
      </c>
      <c r="N74" s="1">
        <v>1</v>
      </c>
      <c r="O74" s="1" t="str">
        <f t="shared" si="7"/>
        <v>"Balaclava3Holes_Beige": 1,</v>
      </c>
      <c r="P74" s="1" t="str">
        <f t="shared" si="8"/>
        <v>"Balaclava3Holes_Beige": 0,</v>
      </c>
      <c r="Q74" s="1" t="str">
        <f t="shared" si="9"/>
        <v>"Balaclava3Holes_Beige": 200,</v>
      </c>
      <c r="R74" s="1" t="str">
        <f t="shared" si="10"/>
        <v>"Balaclava3Holes_Beige": 0,</v>
      </c>
    </row>
    <row r="75" spans="1:18" ht="15" customHeight="1" x14ac:dyDescent="0.25">
      <c r="A75" s="1" t="str">
        <f t="shared" si="6"/>
        <v>#tc_clothes#tc_civil#tc_head</v>
      </c>
      <c r="B75" s="1">
        <f>VLOOKUP(A75,TraderCategory!$A$63:$E$556,2,FALSE)</f>
        <v>0</v>
      </c>
      <c r="C75" s="1">
        <f>VLOOKUP(A75,TraderCategory!$A$63:$F$556,6,FALSE)</f>
        <v>0</v>
      </c>
      <c r="D75" s="1" t="str">
        <f>VLOOKUP(C75,Tabulka5[],3,FALSE)</f>
        <v>Private</v>
      </c>
      <c r="E75" s="1">
        <v>3</v>
      </c>
      <c r="F75" s="1" t="str">
        <f>VLOOKUP(E75,Tabulka5[],3,FALSE)</f>
        <v>Sergeant</v>
      </c>
      <c r="G75" s="1" t="s">
        <v>3115</v>
      </c>
      <c r="H75" s="1" t="s">
        <v>415</v>
      </c>
      <c r="I75" s="1" t="s">
        <v>403</v>
      </c>
      <c r="J75" s="1" t="s">
        <v>2728</v>
      </c>
      <c r="K75" s="1" t="s">
        <v>3126</v>
      </c>
      <c r="L75" s="1" t="s">
        <v>3130</v>
      </c>
      <c r="M75" s="1">
        <v>200</v>
      </c>
      <c r="N75" s="1">
        <v>1</v>
      </c>
      <c r="O75" s="1" t="str">
        <f t="shared" si="7"/>
        <v>"Balaclava3Holes_Black": 1,</v>
      </c>
      <c r="P75" s="1" t="str">
        <f t="shared" si="8"/>
        <v>"Balaclava3Holes_Black": 0,</v>
      </c>
      <c r="Q75" s="1" t="str">
        <f t="shared" si="9"/>
        <v>"Balaclava3Holes_Black": 200,</v>
      </c>
      <c r="R75" s="1" t="str">
        <f t="shared" si="10"/>
        <v>"Balaclava3Holes_Black": 3,</v>
      </c>
    </row>
    <row r="76" spans="1:18" ht="15" customHeight="1" x14ac:dyDescent="0.25">
      <c r="A76" s="1" t="str">
        <f t="shared" si="6"/>
        <v>#tc_clothes#tc_civil#tc_head</v>
      </c>
      <c r="B76" s="1">
        <f>VLOOKUP(A76,TraderCategory!$A$63:$E$556,2,FALSE)</f>
        <v>0</v>
      </c>
      <c r="C76" s="1">
        <f>VLOOKUP(A76,TraderCategory!$A$63:$F$556,6,FALSE)</f>
        <v>0</v>
      </c>
      <c r="D76" s="1" t="str">
        <f>VLOOKUP(C76,Tabulka5[],3,FALSE)</f>
        <v>Private</v>
      </c>
      <c r="E76" s="1">
        <v>0</v>
      </c>
      <c r="F76" s="1" t="str">
        <f>VLOOKUP(E76,Tabulka5[],3,FALSE)</f>
        <v>Private</v>
      </c>
      <c r="G76" s="1" t="s">
        <v>3115</v>
      </c>
      <c r="H76" s="1" t="s">
        <v>416</v>
      </c>
      <c r="I76" s="1" t="s">
        <v>403</v>
      </c>
      <c r="J76" s="1" t="s">
        <v>2728</v>
      </c>
      <c r="K76" s="1" t="s">
        <v>3126</v>
      </c>
      <c r="L76" s="1" t="s">
        <v>3130</v>
      </c>
      <c r="M76" s="1">
        <v>200</v>
      </c>
      <c r="N76" s="1">
        <v>1</v>
      </c>
      <c r="O76" s="1" t="str">
        <f t="shared" si="7"/>
        <v>"Balaclava3Holes_Blue": 1,</v>
      </c>
      <c r="P76" s="1" t="str">
        <f t="shared" si="8"/>
        <v>"Balaclava3Holes_Blue": 0,</v>
      </c>
      <c r="Q76" s="1" t="str">
        <f t="shared" si="9"/>
        <v>"Balaclava3Holes_Blue": 200,</v>
      </c>
      <c r="R76" s="1" t="str">
        <f t="shared" si="10"/>
        <v>"Balaclava3Holes_Blue": 0,</v>
      </c>
    </row>
    <row r="77" spans="1:18" ht="15" customHeight="1" x14ac:dyDescent="0.25">
      <c r="A77" s="1" t="str">
        <f t="shared" si="6"/>
        <v>#tc_clothes#tc_civil#tc_head</v>
      </c>
      <c r="B77" s="1">
        <f>VLOOKUP(A77,TraderCategory!$A$63:$E$556,2,FALSE)</f>
        <v>0</v>
      </c>
      <c r="C77" s="1">
        <f>VLOOKUP(A77,TraderCategory!$A$63:$F$556,6,FALSE)</f>
        <v>0</v>
      </c>
      <c r="D77" s="1" t="str">
        <f>VLOOKUP(C77,Tabulka5[],3,FALSE)</f>
        <v>Private</v>
      </c>
      <c r="E77" s="1">
        <v>3</v>
      </c>
      <c r="F77" s="1" t="str">
        <f>VLOOKUP(E77,Tabulka5[],3,FALSE)</f>
        <v>Sergeant</v>
      </c>
      <c r="G77" s="1" t="s">
        <v>3115</v>
      </c>
      <c r="H77" s="1" t="s">
        <v>417</v>
      </c>
      <c r="I77" s="1" t="s">
        <v>403</v>
      </c>
      <c r="J77" s="1" t="s">
        <v>2728</v>
      </c>
      <c r="K77" s="1" t="s">
        <v>3126</v>
      </c>
      <c r="L77" s="1" t="s">
        <v>3130</v>
      </c>
      <c r="M77" s="1">
        <v>200</v>
      </c>
      <c r="N77" s="1">
        <v>1</v>
      </c>
      <c r="O77" s="1" t="str">
        <f t="shared" si="7"/>
        <v>"Balaclava3Holes_Green": 1,</v>
      </c>
      <c r="P77" s="1" t="str">
        <f t="shared" si="8"/>
        <v>"Balaclava3Holes_Green": 0,</v>
      </c>
      <c r="Q77" s="1" t="str">
        <f t="shared" si="9"/>
        <v>"Balaclava3Holes_Green": 200,</v>
      </c>
      <c r="R77" s="1" t="str">
        <f t="shared" si="10"/>
        <v>"Balaclava3Holes_Green": 3,</v>
      </c>
    </row>
    <row r="78" spans="1:18" ht="15" customHeight="1" x14ac:dyDescent="0.25">
      <c r="A78" s="1" t="str">
        <f t="shared" si="6"/>
        <v>#tc_clothes#tc_civil#tc_head</v>
      </c>
      <c r="B78" s="1">
        <f>VLOOKUP(A78,TraderCategory!$A$63:$E$556,2,FALSE)</f>
        <v>0</v>
      </c>
      <c r="C78" s="1">
        <f>VLOOKUP(A78,TraderCategory!$A$63:$F$556,6,FALSE)</f>
        <v>0</v>
      </c>
      <c r="D78" s="1" t="str">
        <f>VLOOKUP(C78,Tabulka5[],3,FALSE)</f>
        <v>Private</v>
      </c>
      <c r="E78" s="1">
        <v>0</v>
      </c>
      <c r="F78" s="1" t="str">
        <f>VLOOKUP(E78,Tabulka5[],3,FALSE)</f>
        <v>Private</v>
      </c>
      <c r="G78" s="1" t="s">
        <v>3115</v>
      </c>
      <c r="H78" s="1" t="s">
        <v>418</v>
      </c>
      <c r="I78" s="1" t="s">
        <v>403</v>
      </c>
      <c r="J78" s="1" t="s">
        <v>2728</v>
      </c>
      <c r="K78" s="1" t="s">
        <v>3126</v>
      </c>
      <c r="L78" s="1" t="s">
        <v>3130</v>
      </c>
      <c r="M78" s="1">
        <v>200</v>
      </c>
      <c r="N78" s="1">
        <v>1</v>
      </c>
      <c r="O78" s="1" t="str">
        <f t="shared" si="7"/>
        <v>"BalaclavaMask_Beige": 1,</v>
      </c>
      <c r="P78" s="1" t="str">
        <f t="shared" si="8"/>
        <v>"BalaclavaMask_Beige": 0,</v>
      </c>
      <c r="Q78" s="1" t="str">
        <f t="shared" si="9"/>
        <v>"BalaclavaMask_Beige": 200,</v>
      </c>
      <c r="R78" s="1" t="str">
        <f t="shared" si="10"/>
        <v>"BalaclavaMask_Beige": 0,</v>
      </c>
    </row>
    <row r="79" spans="1:18" ht="15" customHeight="1" x14ac:dyDescent="0.25">
      <c r="A79" s="1" t="str">
        <f t="shared" si="6"/>
        <v>#tc_clothes#tc_civil#tc_head</v>
      </c>
      <c r="B79" s="1">
        <f>VLOOKUP(A79,TraderCategory!$A$63:$E$556,2,FALSE)</f>
        <v>0</v>
      </c>
      <c r="C79" s="1">
        <f>VLOOKUP(A79,TraderCategory!$A$63:$F$556,6,FALSE)</f>
        <v>0</v>
      </c>
      <c r="D79" s="1" t="str">
        <f>VLOOKUP(C79,Tabulka5[],3,FALSE)</f>
        <v>Private</v>
      </c>
      <c r="E79" s="1">
        <v>3</v>
      </c>
      <c r="F79" s="1" t="str">
        <f>VLOOKUP(E79,Tabulka5[],3,FALSE)</f>
        <v>Sergeant</v>
      </c>
      <c r="G79" s="1" t="s">
        <v>3115</v>
      </c>
      <c r="H79" s="1" t="s">
        <v>419</v>
      </c>
      <c r="I79" s="1" t="s">
        <v>403</v>
      </c>
      <c r="J79" s="1" t="s">
        <v>2728</v>
      </c>
      <c r="K79" s="1" t="s">
        <v>3126</v>
      </c>
      <c r="L79" s="1" t="s">
        <v>3130</v>
      </c>
      <c r="M79" s="1">
        <v>200</v>
      </c>
      <c r="N79" s="1">
        <v>1</v>
      </c>
      <c r="O79" s="1" t="str">
        <f t="shared" si="7"/>
        <v>"BalaclavaMask_Black": 1,</v>
      </c>
      <c r="P79" s="1" t="str">
        <f t="shared" si="8"/>
        <v>"BalaclavaMask_Black": 0,</v>
      </c>
      <c r="Q79" s="1" t="str">
        <f t="shared" si="9"/>
        <v>"BalaclavaMask_Black": 200,</v>
      </c>
      <c r="R79" s="1" t="str">
        <f t="shared" si="10"/>
        <v>"BalaclavaMask_Black": 3,</v>
      </c>
    </row>
    <row r="80" spans="1:18" ht="15" customHeight="1" x14ac:dyDescent="0.25">
      <c r="A80" s="1" t="str">
        <f t="shared" si="6"/>
        <v>#tc_clothes#tc_civil#tc_head</v>
      </c>
      <c r="B80" s="1">
        <f>VLOOKUP(A80,TraderCategory!$A$63:$E$556,2,FALSE)</f>
        <v>0</v>
      </c>
      <c r="C80" s="1">
        <f>VLOOKUP(A80,TraderCategory!$A$63:$F$556,6,FALSE)</f>
        <v>0</v>
      </c>
      <c r="D80" s="1" t="str">
        <f>VLOOKUP(C80,Tabulka5[],3,FALSE)</f>
        <v>Private</v>
      </c>
      <c r="E80" s="1">
        <v>0</v>
      </c>
      <c r="F80" s="1" t="str">
        <f>VLOOKUP(E80,Tabulka5[],3,FALSE)</f>
        <v>Private</v>
      </c>
      <c r="G80" s="1" t="s">
        <v>3115</v>
      </c>
      <c r="H80" s="1" t="s">
        <v>420</v>
      </c>
      <c r="I80" s="1" t="s">
        <v>403</v>
      </c>
      <c r="J80" s="1" t="s">
        <v>2728</v>
      </c>
      <c r="K80" s="1" t="s">
        <v>3126</v>
      </c>
      <c r="L80" s="1" t="s">
        <v>3130</v>
      </c>
      <c r="M80" s="1">
        <v>200</v>
      </c>
      <c r="N80" s="1">
        <v>1</v>
      </c>
      <c r="O80" s="1" t="str">
        <f t="shared" si="7"/>
        <v>"BalaclavaMask_Blackskull": 1,</v>
      </c>
      <c r="P80" s="1" t="str">
        <f t="shared" si="8"/>
        <v>"BalaclavaMask_Blackskull": 0,</v>
      </c>
      <c r="Q80" s="1" t="str">
        <f t="shared" si="9"/>
        <v>"BalaclavaMask_Blackskull": 200,</v>
      </c>
      <c r="R80" s="1" t="str">
        <f t="shared" si="10"/>
        <v>"BalaclavaMask_Blackskull": 0,</v>
      </c>
    </row>
    <row r="81" spans="1:18" ht="15" customHeight="1" x14ac:dyDescent="0.25">
      <c r="A81" s="1" t="str">
        <f t="shared" si="6"/>
        <v>#tc_clothes#tc_civil#tc_head</v>
      </c>
      <c r="B81" s="1">
        <f>VLOOKUP(A81,TraderCategory!$A$63:$E$556,2,FALSE)</f>
        <v>0</v>
      </c>
      <c r="C81" s="1">
        <f>VLOOKUP(A81,TraderCategory!$A$63:$F$556,6,FALSE)</f>
        <v>0</v>
      </c>
      <c r="D81" s="1" t="str">
        <f>VLOOKUP(C81,Tabulka5[],3,FALSE)</f>
        <v>Private</v>
      </c>
      <c r="E81" s="1">
        <v>0</v>
      </c>
      <c r="F81" s="1" t="str">
        <f>VLOOKUP(E81,Tabulka5[],3,FALSE)</f>
        <v>Private</v>
      </c>
      <c r="G81" s="1" t="s">
        <v>3115</v>
      </c>
      <c r="H81" s="1" t="s">
        <v>421</v>
      </c>
      <c r="I81" s="1" t="s">
        <v>403</v>
      </c>
      <c r="J81" s="1" t="s">
        <v>2728</v>
      </c>
      <c r="K81" s="1" t="s">
        <v>3126</v>
      </c>
      <c r="L81" s="1" t="s">
        <v>3130</v>
      </c>
      <c r="M81" s="1">
        <v>200</v>
      </c>
      <c r="N81" s="1">
        <v>1</v>
      </c>
      <c r="O81" s="1" t="str">
        <f t="shared" si="7"/>
        <v>"BalaclavaMask_Blue": 1,</v>
      </c>
      <c r="P81" s="1" t="str">
        <f t="shared" si="8"/>
        <v>"BalaclavaMask_Blue": 0,</v>
      </c>
      <c r="Q81" s="1" t="str">
        <f t="shared" si="9"/>
        <v>"BalaclavaMask_Blue": 200,</v>
      </c>
      <c r="R81" s="1" t="str">
        <f t="shared" si="10"/>
        <v>"BalaclavaMask_Blue": 0,</v>
      </c>
    </row>
    <row r="82" spans="1:18" ht="15" customHeight="1" x14ac:dyDescent="0.25">
      <c r="A82" s="1" t="str">
        <f t="shared" si="6"/>
        <v>#tc_clothes#tc_civil#tc_head</v>
      </c>
      <c r="B82" s="1">
        <f>VLOOKUP(A82,TraderCategory!$A$63:$E$556,2,FALSE)</f>
        <v>0</v>
      </c>
      <c r="C82" s="1">
        <f>VLOOKUP(A82,TraderCategory!$A$63:$F$556,6,FALSE)</f>
        <v>0</v>
      </c>
      <c r="D82" s="1" t="str">
        <f>VLOOKUP(C82,Tabulka5[],3,FALSE)</f>
        <v>Private</v>
      </c>
      <c r="E82" s="1">
        <v>3</v>
      </c>
      <c r="F82" s="1" t="str">
        <f>VLOOKUP(E82,Tabulka5[],3,FALSE)</f>
        <v>Sergeant</v>
      </c>
      <c r="G82" s="1" t="s">
        <v>3115</v>
      </c>
      <c r="H82" s="1" t="s">
        <v>422</v>
      </c>
      <c r="I82" s="1" t="s">
        <v>403</v>
      </c>
      <c r="J82" s="1" t="s">
        <v>2728</v>
      </c>
      <c r="K82" s="1" t="s">
        <v>3126</v>
      </c>
      <c r="L82" s="1" t="s">
        <v>3130</v>
      </c>
      <c r="M82" s="1">
        <v>200</v>
      </c>
      <c r="N82" s="1">
        <v>1</v>
      </c>
      <c r="O82" s="1" t="str">
        <f t="shared" si="7"/>
        <v>"BalaclavaMask_Green": 1,</v>
      </c>
      <c r="P82" s="1" t="str">
        <f t="shared" si="8"/>
        <v>"BalaclavaMask_Green": 0,</v>
      </c>
      <c r="Q82" s="1" t="str">
        <f t="shared" si="9"/>
        <v>"BalaclavaMask_Green": 200,</v>
      </c>
      <c r="R82" s="1" t="str">
        <f t="shared" si="10"/>
        <v>"BalaclavaMask_Green": 3,</v>
      </c>
    </row>
    <row r="83" spans="1:18" ht="15" customHeight="1" x14ac:dyDescent="0.25">
      <c r="A83" s="1" t="str">
        <f t="shared" si="6"/>
        <v>#tc_clothes#tc_civil#tc_head</v>
      </c>
      <c r="B83" s="1">
        <f>VLOOKUP(A83,TraderCategory!$A$63:$E$556,2,FALSE)</f>
        <v>0</v>
      </c>
      <c r="C83" s="1">
        <f>VLOOKUP(A83,TraderCategory!$A$63:$F$556,6,FALSE)</f>
        <v>0</v>
      </c>
      <c r="D83" s="1" t="str">
        <f>VLOOKUP(C83,Tabulka5[],3,FALSE)</f>
        <v>Private</v>
      </c>
      <c r="E83" s="1">
        <v>0</v>
      </c>
      <c r="F83" s="1" t="str">
        <f>VLOOKUP(E83,Tabulka5[],3,FALSE)</f>
        <v>Private</v>
      </c>
      <c r="G83" s="1" t="s">
        <v>3115</v>
      </c>
      <c r="H83" s="1" t="s">
        <v>423</v>
      </c>
      <c r="I83" s="1" t="s">
        <v>403</v>
      </c>
      <c r="J83" s="1" t="s">
        <v>2728</v>
      </c>
      <c r="K83" s="1" t="s">
        <v>3126</v>
      </c>
      <c r="L83" s="1" t="s">
        <v>3130</v>
      </c>
      <c r="M83" s="1">
        <v>200</v>
      </c>
      <c r="N83" s="1">
        <v>1</v>
      </c>
      <c r="O83" s="1" t="str">
        <f t="shared" si="7"/>
        <v>"BalaclavaMask_Pink": 1,</v>
      </c>
      <c r="P83" s="1" t="str">
        <f t="shared" si="8"/>
        <v>"BalaclavaMask_Pink": 0,</v>
      </c>
      <c r="Q83" s="1" t="str">
        <f t="shared" si="9"/>
        <v>"BalaclavaMask_Pink": 200,</v>
      </c>
      <c r="R83" s="1" t="str">
        <f t="shared" si="10"/>
        <v>"BalaclavaMask_Pink": 0,</v>
      </c>
    </row>
    <row r="84" spans="1:18" ht="15" customHeight="1" x14ac:dyDescent="0.25">
      <c r="A84" s="1" t="str">
        <f t="shared" si="6"/>
        <v>#tc_clothes#tc_civil#tc_head</v>
      </c>
      <c r="B84" s="1">
        <f>VLOOKUP(A84,TraderCategory!$A$63:$E$556,2,FALSE)</f>
        <v>0</v>
      </c>
      <c r="C84" s="1">
        <f>VLOOKUP(A84,TraderCategory!$A$63:$F$556,6,FALSE)</f>
        <v>0</v>
      </c>
      <c r="D84" s="1" t="str">
        <f>VLOOKUP(C84,Tabulka5[],3,FALSE)</f>
        <v>Private</v>
      </c>
      <c r="E84" s="1">
        <v>3</v>
      </c>
      <c r="F84" s="1" t="str">
        <f>VLOOKUP(E84,Tabulka5[],3,FALSE)</f>
        <v>Sergeant</v>
      </c>
      <c r="G84" s="1" t="s">
        <v>3115</v>
      </c>
      <c r="H84" s="1" t="s">
        <v>424</v>
      </c>
      <c r="I84" s="1" t="s">
        <v>403</v>
      </c>
      <c r="J84" s="1" t="s">
        <v>2728</v>
      </c>
      <c r="K84" s="1" t="s">
        <v>3126</v>
      </c>
      <c r="L84" s="1" t="s">
        <v>3130</v>
      </c>
      <c r="M84" s="1">
        <v>200</v>
      </c>
      <c r="N84" s="1">
        <v>1</v>
      </c>
      <c r="O84" s="1" t="str">
        <f t="shared" si="7"/>
        <v>"BalaclavaMask_White": 1,</v>
      </c>
      <c r="P84" s="1" t="str">
        <f t="shared" si="8"/>
        <v>"BalaclavaMask_White": 0,</v>
      </c>
      <c r="Q84" s="1" t="str">
        <f t="shared" si="9"/>
        <v>"BalaclavaMask_White": 200,</v>
      </c>
      <c r="R84" s="1" t="str">
        <f t="shared" si="10"/>
        <v>"BalaclavaMask_White": 3,</v>
      </c>
    </row>
    <row r="85" spans="1:18" ht="15" customHeight="1" x14ac:dyDescent="0.25">
      <c r="A85" s="1" t="str">
        <f t="shared" si="6"/>
        <v>#tc_clothes#tc_military#tc_head</v>
      </c>
      <c r="B85" s="1">
        <f>VLOOKUP(A85,TraderCategory!$A$63:$E$556,2,FALSE)</f>
        <v>8</v>
      </c>
      <c r="C85" s="1">
        <f>VLOOKUP(A85,TraderCategory!$A$63:$F$556,6,FALSE)</f>
        <v>1</v>
      </c>
      <c r="D85" s="1" t="str">
        <f>VLOOKUP(C85,Tabulka5[],3,FALSE)</f>
        <v>Private First Class</v>
      </c>
      <c r="E85" s="1">
        <v>1</v>
      </c>
      <c r="F85" s="1" t="str">
        <f>VLOOKUP(E85,Tabulka5[],3,FALSE)</f>
        <v>Private First Class</v>
      </c>
      <c r="G85" s="1" t="s">
        <v>3115</v>
      </c>
      <c r="H85" s="1" t="s">
        <v>425</v>
      </c>
      <c r="I85" s="1" t="s">
        <v>403</v>
      </c>
      <c r="J85" s="1" t="s">
        <v>2728</v>
      </c>
      <c r="K85" s="1" t="s">
        <v>2729</v>
      </c>
      <c r="L85" s="1" t="s">
        <v>3130</v>
      </c>
      <c r="M85" s="1">
        <v>5000</v>
      </c>
      <c r="N85" s="1">
        <v>1</v>
      </c>
      <c r="O85" s="1" t="str">
        <f t="shared" si="7"/>
        <v>"BallisticHelmet_UN": 1,</v>
      </c>
      <c r="P85" s="1" t="str">
        <f t="shared" si="8"/>
        <v>"BallisticHelmet_UN": 8,</v>
      </c>
      <c r="Q85" s="1" t="str">
        <f t="shared" si="9"/>
        <v>"BallisticHelmet_UN": 5000,</v>
      </c>
      <c r="R85" s="1" t="str">
        <f t="shared" si="10"/>
        <v>"BallisticHelmet_UN": 1,</v>
      </c>
    </row>
    <row r="86" spans="1:18" ht="15" customHeight="1" x14ac:dyDescent="0.25">
      <c r="A86" s="1" t="str">
        <f t="shared" si="6"/>
        <v>#tc_groceries#tc_medic#tc_equipments</v>
      </c>
      <c r="B86" s="1">
        <f>VLOOKUP(A86,TraderCategory!$A$63:$E$556,2,FALSE)</f>
        <v>25</v>
      </c>
      <c r="C86" s="1">
        <f>VLOOKUP(A86,TraderCategory!$A$63:$F$556,6,FALSE)</f>
        <v>6</v>
      </c>
      <c r="D86" s="1" t="str">
        <f>VLOOKUP(C86,Tabulka5[],3,FALSE)</f>
        <v>Master Sergeant</v>
      </c>
      <c r="E86" s="1">
        <v>6</v>
      </c>
      <c r="F86" s="1" t="str">
        <f>VLOOKUP(E86,Tabulka5[],3,FALSE)</f>
        <v>Master Sergeant</v>
      </c>
      <c r="G86" s="1" t="s">
        <v>3115</v>
      </c>
      <c r="H86" s="1" t="s">
        <v>427</v>
      </c>
      <c r="I86" s="1" t="s">
        <v>426</v>
      </c>
      <c r="J86" s="1" t="s">
        <v>3127</v>
      </c>
      <c r="K86" s="1" t="s">
        <v>2739</v>
      </c>
      <c r="L86" s="1" t="s">
        <v>3152</v>
      </c>
      <c r="M86" s="1">
        <v>100</v>
      </c>
      <c r="N86" s="1">
        <v>1</v>
      </c>
      <c r="O86" s="1" t="str">
        <f t="shared" si="7"/>
        <v>"BandageDressing": 1,</v>
      </c>
      <c r="P86" s="1" t="str">
        <f t="shared" si="8"/>
        <v>"BandageDressing": 25,</v>
      </c>
      <c r="Q86" s="1" t="str">
        <f t="shared" si="9"/>
        <v>"BandageDressing": 100,</v>
      </c>
      <c r="R86" s="1" t="str">
        <f t="shared" si="10"/>
        <v>"BandageDressing": 6,</v>
      </c>
    </row>
    <row r="87" spans="1:18" ht="15" customHeight="1" x14ac:dyDescent="0.25">
      <c r="A87" s="1" t="str">
        <f t="shared" si="6"/>
        <v>#tc_clothes#tc_civil#tc_head</v>
      </c>
      <c r="B87" s="1">
        <f>VLOOKUP(A87,TraderCategory!$A$63:$E$556,2,FALSE)</f>
        <v>0</v>
      </c>
      <c r="C87" s="1">
        <f>VLOOKUP(A87,TraderCategory!$A$63:$F$556,6,FALSE)</f>
        <v>0</v>
      </c>
      <c r="D87" s="1" t="str">
        <f>VLOOKUP(C87,Tabulka5[],3,FALSE)</f>
        <v>Private</v>
      </c>
      <c r="E87" s="1">
        <v>0</v>
      </c>
      <c r="F87" s="1" t="str">
        <f>VLOOKUP(E87,Tabulka5[],3,FALSE)</f>
        <v>Private</v>
      </c>
      <c r="G87" s="1" t="s">
        <v>3115</v>
      </c>
      <c r="H87" s="1" t="s">
        <v>428</v>
      </c>
      <c r="I87" s="1" t="s">
        <v>403</v>
      </c>
      <c r="J87" s="1" t="s">
        <v>2728</v>
      </c>
      <c r="K87" s="1" t="s">
        <v>3126</v>
      </c>
      <c r="L87" s="1" t="s">
        <v>3130</v>
      </c>
      <c r="M87" s="1">
        <v>200</v>
      </c>
      <c r="N87" s="1">
        <v>1</v>
      </c>
      <c r="O87" s="1" t="str">
        <f t="shared" si="7"/>
        <v>"Bandana_Blackpattern": 1,</v>
      </c>
      <c r="P87" s="1" t="str">
        <f t="shared" si="8"/>
        <v>"Bandana_Blackpattern": 0,</v>
      </c>
      <c r="Q87" s="1" t="str">
        <f t="shared" si="9"/>
        <v>"Bandana_Blackpattern": 200,</v>
      </c>
      <c r="R87" s="1" t="str">
        <f t="shared" si="10"/>
        <v>"Bandana_Blackpattern": 0,</v>
      </c>
    </row>
    <row r="88" spans="1:18" ht="15" customHeight="1" x14ac:dyDescent="0.25">
      <c r="A88" s="1" t="str">
        <f t="shared" ref="A88:A151" si="11">CONCATENATE(J88,K88,L88)</f>
        <v>#tc_clothes#tc_civil#tc_head</v>
      </c>
      <c r="B88" s="1">
        <f>VLOOKUP(A88,TraderCategory!$A$63:$E$556,2,FALSE)</f>
        <v>0</v>
      </c>
      <c r="C88" s="1">
        <f>VLOOKUP(A88,TraderCategory!$A$63:$F$556,6,FALSE)</f>
        <v>0</v>
      </c>
      <c r="D88" s="1" t="str">
        <f>VLOOKUP(C88,Tabulka5[],3,FALSE)</f>
        <v>Private</v>
      </c>
      <c r="E88" s="1">
        <v>3</v>
      </c>
      <c r="F88" s="1" t="str">
        <f>VLOOKUP(E88,Tabulka5[],3,FALSE)</f>
        <v>Sergeant</v>
      </c>
      <c r="G88" s="1" t="s">
        <v>3115</v>
      </c>
      <c r="H88" s="1" t="s">
        <v>429</v>
      </c>
      <c r="I88" s="1" t="s">
        <v>403</v>
      </c>
      <c r="J88" s="1" t="s">
        <v>2728</v>
      </c>
      <c r="K88" s="1" t="s">
        <v>3126</v>
      </c>
      <c r="L88" s="1" t="s">
        <v>3130</v>
      </c>
      <c r="M88" s="1">
        <v>200</v>
      </c>
      <c r="N88" s="1">
        <v>1</v>
      </c>
      <c r="O88" s="1" t="str">
        <f t="shared" si="7"/>
        <v>"Bandana_Camopattern": 1,</v>
      </c>
      <c r="P88" s="1" t="str">
        <f t="shared" si="8"/>
        <v>"Bandana_Camopattern": 0,</v>
      </c>
      <c r="Q88" s="1" t="str">
        <f t="shared" si="9"/>
        <v>"Bandana_Camopattern": 200,</v>
      </c>
      <c r="R88" s="1" t="str">
        <f t="shared" si="10"/>
        <v>"Bandana_Camopattern": 3,</v>
      </c>
    </row>
    <row r="89" spans="1:18" ht="15" customHeight="1" x14ac:dyDescent="0.25">
      <c r="A89" s="1" t="str">
        <f t="shared" si="11"/>
        <v>#tc_clothes#tc_civil#tc_head</v>
      </c>
      <c r="B89" s="1">
        <f>VLOOKUP(A89,TraderCategory!$A$63:$E$556,2,FALSE)</f>
        <v>0</v>
      </c>
      <c r="C89" s="1">
        <f>VLOOKUP(A89,TraderCategory!$A$63:$F$556,6,FALSE)</f>
        <v>0</v>
      </c>
      <c r="D89" s="1" t="str">
        <f>VLOOKUP(C89,Tabulka5[],3,FALSE)</f>
        <v>Private</v>
      </c>
      <c r="E89" s="1">
        <v>3</v>
      </c>
      <c r="F89" s="1" t="str">
        <f>VLOOKUP(E89,Tabulka5[],3,FALSE)</f>
        <v>Sergeant</v>
      </c>
      <c r="G89" s="1" t="s">
        <v>3115</v>
      </c>
      <c r="H89" s="1" t="s">
        <v>430</v>
      </c>
      <c r="I89" s="1" t="s">
        <v>403</v>
      </c>
      <c r="J89" s="1" t="s">
        <v>2728</v>
      </c>
      <c r="K89" s="1" t="s">
        <v>3126</v>
      </c>
      <c r="L89" s="1" t="s">
        <v>3130</v>
      </c>
      <c r="M89" s="1">
        <v>200</v>
      </c>
      <c r="N89" s="1">
        <v>1</v>
      </c>
      <c r="O89" s="1" t="str">
        <f t="shared" si="7"/>
        <v>"Bandana_Greenpattern": 1,</v>
      </c>
      <c r="P89" s="1" t="str">
        <f t="shared" si="8"/>
        <v>"Bandana_Greenpattern": 0,</v>
      </c>
      <c r="Q89" s="1" t="str">
        <f t="shared" si="9"/>
        <v>"Bandana_Greenpattern": 200,</v>
      </c>
      <c r="R89" s="1" t="str">
        <f t="shared" si="10"/>
        <v>"Bandana_Greenpattern": 3,</v>
      </c>
    </row>
    <row r="90" spans="1:18" ht="15" customHeight="1" x14ac:dyDescent="0.25">
      <c r="A90" s="1" t="str">
        <f t="shared" si="11"/>
        <v>#tc_clothes#tc_civil#tc_head</v>
      </c>
      <c r="B90" s="1">
        <f>VLOOKUP(A90,TraderCategory!$A$63:$E$556,2,FALSE)</f>
        <v>0</v>
      </c>
      <c r="C90" s="1">
        <f>VLOOKUP(A90,TraderCategory!$A$63:$F$556,6,FALSE)</f>
        <v>0</v>
      </c>
      <c r="D90" s="1" t="str">
        <f>VLOOKUP(C90,Tabulka5[],3,FALSE)</f>
        <v>Private</v>
      </c>
      <c r="E90" s="1">
        <v>0</v>
      </c>
      <c r="F90" s="1" t="str">
        <f>VLOOKUP(E90,Tabulka5[],3,FALSE)</f>
        <v>Private</v>
      </c>
      <c r="G90" s="1" t="s">
        <v>3115</v>
      </c>
      <c r="H90" s="1" t="s">
        <v>431</v>
      </c>
      <c r="I90" s="1" t="s">
        <v>403</v>
      </c>
      <c r="J90" s="1" t="s">
        <v>2728</v>
      </c>
      <c r="K90" s="1" t="s">
        <v>3126</v>
      </c>
      <c r="L90" s="1" t="s">
        <v>3130</v>
      </c>
      <c r="M90" s="1">
        <v>200</v>
      </c>
      <c r="N90" s="1">
        <v>1</v>
      </c>
      <c r="O90" s="1" t="str">
        <f t="shared" si="7"/>
        <v>"Bandana_Polkapattern": 1,</v>
      </c>
      <c r="P90" s="1" t="str">
        <f t="shared" si="8"/>
        <v>"Bandana_Polkapattern": 0,</v>
      </c>
      <c r="Q90" s="1" t="str">
        <f t="shared" si="9"/>
        <v>"Bandana_Polkapattern": 200,</v>
      </c>
      <c r="R90" s="1" t="str">
        <f t="shared" si="10"/>
        <v>"Bandana_Polkapattern": 0,</v>
      </c>
    </row>
    <row r="91" spans="1:18" ht="15" customHeight="1" x14ac:dyDescent="0.25">
      <c r="A91" s="1" t="str">
        <f t="shared" si="11"/>
        <v>#tc_clothes#tc_civil#tc_head</v>
      </c>
      <c r="B91" s="1">
        <f>VLOOKUP(A91,TraderCategory!$A$63:$E$556,2,FALSE)</f>
        <v>0</v>
      </c>
      <c r="C91" s="1">
        <f>VLOOKUP(A91,TraderCategory!$A$63:$F$556,6,FALSE)</f>
        <v>0</v>
      </c>
      <c r="D91" s="1" t="str">
        <f>VLOOKUP(C91,Tabulka5[],3,FALSE)</f>
        <v>Private</v>
      </c>
      <c r="E91" s="1">
        <v>0</v>
      </c>
      <c r="F91" s="1" t="str">
        <f>VLOOKUP(E91,Tabulka5[],3,FALSE)</f>
        <v>Private</v>
      </c>
      <c r="G91" s="1" t="s">
        <v>3115</v>
      </c>
      <c r="H91" s="1" t="s">
        <v>432</v>
      </c>
      <c r="I91" s="1" t="s">
        <v>403</v>
      </c>
      <c r="J91" s="1" t="s">
        <v>2728</v>
      </c>
      <c r="K91" s="1" t="s">
        <v>3126</v>
      </c>
      <c r="L91" s="1" t="s">
        <v>3130</v>
      </c>
      <c r="M91" s="1">
        <v>200</v>
      </c>
      <c r="N91" s="1">
        <v>1</v>
      </c>
      <c r="O91" s="1" t="str">
        <f t="shared" si="7"/>
        <v>"Bandana_Redpattern": 1,</v>
      </c>
      <c r="P91" s="1" t="str">
        <f t="shared" si="8"/>
        <v>"Bandana_Redpattern": 0,</v>
      </c>
      <c r="Q91" s="1" t="str">
        <f t="shared" si="9"/>
        <v>"Bandana_Redpattern": 200,</v>
      </c>
      <c r="R91" s="1" t="str">
        <f t="shared" si="10"/>
        <v>"Bandana_Redpattern": 0,</v>
      </c>
    </row>
    <row r="92" spans="1:18" ht="15" customHeight="1" x14ac:dyDescent="0.25">
      <c r="A92" s="1" t="str">
        <f t="shared" si="11"/>
        <v>#tc_groceries#tc_tools#tc_materials</v>
      </c>
      <c r="B92" s="1">
        <f>VLOOKUP(A92,TraderCategory!$A$63:$E$556,2,FALSE)</f>
        <v>39</v>
      </c>
      <c r="C92" s="1">
        <f>VLOOKUP(A92,TraderCategory!$A$63:$F$556,6,FALSE)</f>
        <v>3</v>
      </c>
      <c r="D92" s="1" t="str">
        <f>VLOOKUP(C92,Tabulka5[],3,FALSE)</f>
        <v>Sergeant</v>
      </c>
      <c r="E92" s="1">
        <v>3</v>
      </c>
      <c r="F92" s="1" t="str">
        <f>VLOOKUP(E92,Tabulka5[],3,FALSE)</f>
        <v>Sergeant</v>
      </c>
      <c r="G92" s="1" t="s">
        <v>3115</v>
      </c>
      <c r="H92" s="1" t="s">
        <v>433</v>
      </c>
      <c r="I92" s="1" t="s">
        <v>426</v>
      </c>
      <c r="J92" s="1" t="s">
        <v>3127</v>
      </c>
      <c r="K92" s="1" t="s">
        <v>2740</v>
      </c>
      <c r="L92" s="1" t="s">
        <v>2741</v>
      </c>
      <c r="M92" s="1">
        <v>800</v>
      </c>
      <c r="N92" s="1">
        <v>1</v>
      </c>
      <c r="O92" s="1" t="str">
        <f t="shared" si="7"/>
        <v>"BarbedWire": 1,</v>
      </c>
      <c r="P92" s="1" t="str">
        <f t="shared" si="8"/>
        <v>"BarbedWire": 39,</v>
      </c>
      <c r="Q92" s="1" t="str">
        <f t="shared" si="9"/>
        <v>"BarbedWire": 800,</v>
      </c>
      <c r="R92" s="1" t="str">
        <f t="shared" si="10"/>
        <v>"BarbedWire": 3,</v>
      </c>
    </row>
    <row r="93" spans="1:18" ht="15" customHeight="1" x14ac:dyDescent="0.25">
      <c r="A93" s="1" t="str">
        <f t="shared" si="11"/>
        <v>#tc_groceries#tc_tools#tc_storages</v>
      </c>
      <c r="B93" s="1">
        <f>VLOOKUP(A93,TraderCategory!$A$63:$E$556,2,FALSE)</f>
        <v>41</v>
      </c>
      <c r="C93" s="1">
        <f>VLOOKUP(A93,TraderCategory!$A$63:$F$556,6,FALSE)</f>
        <v>3</v>
      </c>
      <c r="D93" s="1" t="str">
        <f>VLOOKUP(C93,Tabulka5[],3,FALSE)</f>
        <v>Sergeant</v>
      </c>
      <c r="E93" s="1">
        <v>3</v>
      </c>
      <c r="F93" s="1" t="str">
        <f>VLOOKUP(E93,Tabulka5[],3,FALSE)</f>
        <v>Sergeant</v>
      </c>
      <c r="G93" s="1" t="s">
        <v>3115</v>
      </c>
      <c r="H93" s="1" t="s">
        <v>434</v>
      </c>
      <c r="I93" s="1" t="s">
        <v>426</v>
      </c>
      <c r="J93" s="1" t="s">
        <v>3127</v>
      </c>
      <c r="K93" s="1" t="s">
        <v>2740</v>
      </c>
      <c r="L93" s="1" t="s">
        <v>3227</v>
      </c>
      <c r="M93" s="1">
        <v>20000</v>
      </c>
      <c r="N93" s="1">
        <v>1</v>
      </c>
      <c r="O93" s="1" t="str">
        <f t="shared" si="7"/>
        <v>"Barrel_Blue": 1,</v>
      </c>
      <c r="P93" s="1" t="str">
        <f t="shared" si="8"/>
        <v>"Barrel_Blue": 41,</v>
      </c>
      <c r="Q93" s="1" t="str">
        <f t="shared" si="9"/>
        <v>"Barrel_Blue": 20000,</v>
      </c>
      <c r="R93" s="1" t="str">
        <f t="shared" si="10"/>
        <v>"Barrel_Blue": 3,</v>
      </c>
    </row>
    <row r="94" spans="1:18" ht="15" customHeight="1" x14ac:dyDescent="0.25">
      <c r="A94" s="1" t="str">
        <f t="shared" si="11"/>
        <v>#tc_groceries#tc_tools#tc_storages</v>
      </c>
      <c r="B94" s="1">
        <f>VLOOKUP(A94,TraderCategory!$A$63:$E$556,2,FALSE)</f>
        <v>41</v>
      </c>
      <c r="C94" s="1">
        <f>VLOOKUP(A94,TraderCategory!$A$63:$F$556,6,FALSE)</f>
        <v>3</v>
      </c>
      <c r="D94" s="1" t="str">
        <f>VLOOKUP(C94,Tabulka5[],3,FALSE)</f>
        <v>Sergeant</v>
      </c>
      <c r="E94" s="1">
        <v>3</v>
      </c>
      <c r="F94" s="1" t="str">
        <f>VLOOKUP(E94,Tabulka5[],3,FALSE)</f>
        <v>Sergeant</v>
      </c>
      <c r="G94" s="1" t="s">
        <v>3115</v>
      </c>
      <c r="H94" s="1" t="s">
        <v>435</v>
      </c>
      <c r="I94" s="1" t="s">
        <v>426</v>
      </c>
      <c r="J94" s="1" t="s">
        <v>3127</v>
      </c>
      <c r="K94" s="1" t="s">
        <v>2740</v>
      </c>
      <c r="L94" s="1" t="s">
        <v>3227</v>
      </c>
      <c r="M94" s="1">
        <v>20000</v>
      </c>
      <c r="N94" s="1">
        <v>1</v>
      </c>
      <c r="O94" s="1" t="str">
        <f t="shared" si="7"/>
        <v>"Barrel_Green": 1,</v>
      </c>
      <c r="P94" s="1" t="str">
        <f t="shared" si="8"/>
        <v>"Barrel_Green": 41,</v>
      </c>
      <c r="Q94" s="1" t="str">
        <f t="shared" si="9"/>
        <v>"Barrel_Green": 20000,</v>
      </c>
      <c r="R94" s="1" t="str">
        <f t="shared" si="10"/>
        <v>"Barrel_Green": 3,</v>
      </c>
    </row>
    <row r="95" spans="1:18" ht="15" customHeight="1" x14ac:dyDescent="0.25">
      <c r="A95" s="1" t="str">
        <f t="shared" si="11"/>
        <v>#tc_groceries#tc_tools#tc_storages</v>
      </c>
      <c r="B95" s="1">
        <f>VLOOKUP(A95,TraderCategory!$A$63:$E$556,2,FALSE)</f>
        <v>41</v>
      </c>
      <c r="C95" s="1">
        <f>VLOOKUP(A95,TraderCategory!$A$63:$F$556,6,FALSE)</f>
        <v>3</v>
      </c>
      <c r="D95" s="1" t="str">
        <f>VLOOKUP(C95,Tabulka5[],3,FALSE)</f>
        <v>Sergeant</v>
      </c>
      <c r="E95" s="1">
        <v>3</v>
      </c>
      <c r="F95" s="1" t="str">
        <f>VLOOKUP(E95,Tabulka5[],3,FALSE)</f>
        <v>Sergeant</v>
      </c>
      <c r="G95" s="1" t="s">
        <v>3115</v>
      </c>
      <c r="H95" s="1" t="s">
        <v>436</v>
      </c>
      <c r="I95" s="1" t="s">
        <v>426</v>
      </c>
      <c r="J95" s="1" t="s">
        <v>3127</v>
      </c>
      <c r="K95" s="1" t="s">
        <v>2740</v>
      </c>
      <c r="L95" s="1" t="s">
        <v>3227</v>
      </c>
      <c r="M95" s="1">
        <v>20000</v>
      </c>
      <c r="N95" s="1">
        <v>1</v>
      </c>
      <c r="O95" s="1" t="str">
        <f t="shared" si="7"/>
        <v>"Barrel_Red": 1,</v>
      </c>
      <c r="P95" s="1" t="str">
        <f t="shared" si="8"/>
        <v>"Barrel_Red": 41,</v>
      </c>
      <c r="Q95" s="1" t="str">
        <f t="shared" si="9"/>
        <v>"Barrel_Red": 20000,</v>
      </c>
      <c r="R95" s="1" t="str">
        <f t="shared" si="10"/>
        <v>"Barrel_Red": 3,</v>
      </c>
    </row>
    <row r="96" spans="1:18" ht="15" customHeight="1" x14ac:dyDescent="0.25">
      <c r="A96" s="1" t="str">
        <f t="shared" si="11"/>
        <v>#tc_groceries#tc_tools#tc_storages</v>
      </c>
      <c r="B96" s="1">
        <f>VLOOKUP(A96,TraderCategory!$A$63:$E$556,2,FALSE)</f>
        <v>41</v>
      </c>
      <c r="C96" s="1">
        <f>VLOOKUP(A96,TraderCategory!$A$63:$F$556,6,FALSE)</f>
        <v>3</v>
      </c>
      <c r="D96" s="1" t="str">
        <f>VLOOKUP(C96,Tabulka5[],3,FALSE)</f>
        <v>Sergeant</v>
      </c>
      <c r="E96" s="1">
        <v>3</v>
      </c>
      <c r="F96" s="1" t="str">
        <f>VLOOKUP(E96,Tabulka5[],3,FALSE)</f>
        <v>Sergeant</v>
      </c>
      <c r="G96" s="1" t="s">
        <v>3115</v>
      </c>
      <c r="H96" s="1" t="s">
        <v>437</v>
      </c>
      <c r="I96" s="1" t="s">
        <v>426</v>
      </c>
      <c r="J96" s="1" t="s">
        <v>3127</v>
      </c>
      <c r="K96" s="1" t="s">
        <v>2740</v>
      </c>
      <c r="L96" s="1" t="s">
        <v>3227</v>
      </c>
      <c r="M96" s="1">
        <v>20000</v>
      </c>
      <c r="N96" s="1">
        <v>1</v>
      </c>
      <c r="O96" s="1" t="str">
        <f t="shared" si="7"/>
        <v>"Barrel_Yellow": 1,</v>
      </c>
      <c r="P96" s="1" t="str">
        <f t="shared" si="8"/>
        <v>"Barrel_Yellow": 41,</v>
      </c>
      <c r="Q96" s="1" t="str">
        <f t="shared" si="9"/>
        <v>"Barrel_Yellow": 20000,</v>
      </c>
      <c r="R96" s="1" t="str">
        <f t="shared" si="10"/>
        <v>"Barrel_Yellow": 3,</v>
      </c>
    </row>
    <row r="97" spans="1:18" ht="15" customHeight="1" x14ac:dyDescent="0.25">
      <c r="A97" s="1" t="str">
        <f t="shared" si="11"/>
        <v>#tc_groceries#tc_tools#tc_eletronics</v>
      </c>
      <c r="B97" s="1">
        <f>VLOOKUP(A97,TraderCategory!$A$63:$E$556,2,FALSE)</f>
        <v>36</v>
      </c>
      <c r="C97" s="1">
        <f>VLOOKUP(A97,TraderCategory!$A$63:$F$556,6,FALSE)</f>
        <v>0</v>
      </c>
      <c r="D97" s="1" t="str">
        <f>VLOOKUP(C97,Tabulka5[],3,FALSE)</f>
        <v>Private</v>
      </c>
      <c r="E97" s="1">
        <v>6</v>
      </c>
      <c r="F97" s="1" t="str">
        <f>VLOOKUP(E97,Tabulka5[],3,FALSE)</f>
        <v>Master Sergeant</v>
      </c>
      <c r="G97" s="1" t="s">
        <v>3115</v>
      </c>
      <c r="H97" s="1" t="s">
        <v>438</v>
      </c>
      <c r="I97" s="1" t="s">
        <v>426</v>
      </c>
      <c r="J97" s="1" t="s">
        <v>3127</v>
      </c>
      <c r="K97" s="1" t="s">
        <v>2740</v>
      </c>
      <c r="L97" s="1" t="s">
        <v>3148</v>
      </c>
      <c r="M97" s="1">
        <v>10000</v>
      </c>
      <c r="N97" s="1">
        <v>1</v>
      </c>
      <c r="O97" s="1" t="str">
        <f t="shared" si="7"/>
        <v>"BaseRadio": 1,</v>
      </c>
      <c r="P97" s="1" t="str">
        <f t="shared" si="8"/>
        <v>"BaseRadio": 36,</v>
      </c>
      <c r="Q97" s="1" t="str">
        <f t="shared" si="9"/>
        <v>"BaseRadio": 10000,</v>
      </c>
      <c r="R97" s="1" t="str">
        <f t="shared" si="10"/>
        <v>"BaseRadio": 6,</v>
      </c>
    </row>
    <row r="98" spans="1:18" ht="15" customHeight="1" x14ac:dyDescent="0.25">
      <c r="A98" s="1" t="str">
        <f t="shared" si="11"/>
        <v>#tc_military#tc_weapons#tc_handtohand</v>
      </c>
      <c r="B98" s="1">
        <f>VLOOKUP(A98,TraderCategory!$A$63:$E$556,2,FALSE)</f>
        <v>60</v>
      </c>
      <c r="C98" s="1">
        <f>VLOOKUP(A98,TraderCategory!$A$63:$F$556,6,FALSE)</f>
        <v>0</v>
      </c>
      <c r="D98" s="1" t="str">
        <f>VLOOKUP(C98,Tabulka5[],3,FALSE)</f>
        <v>Private</v>
      </c>
      <c r="E98" s="1">
        <v>0</v>
      </c>
      <c r="F98" s="1" t="str">
        <f>VLOOKUP(E98,Tabulka5[],3,FALSE)</f>
        <v>Private</v>
      </c>
      <c r="G98" s="1" t="s">
        <v>3115</v>
      </c>
      <c r="H98" s="1" t="s">
        <v>439</v>
      </c>
      <c r="I98" s="1" t="s">
        <v>426</v>
      </c>
      <c r="J98" s="1" t="s">
        <v>2729</v>
      </c>
      <c r="K98" s="1" t="s">
        <v>3129</v>
      </c>
      <c r="L98" s="1" t="s">
        <v>3176</v>
      </c>
      <c r="M98" s="1">
        <v>500</v>
      </c>
      <c r="N98" s="1">
        <v>1</v>
      </c>
      <c r="O98" s="1" t="str">
        <f t="shared" si="7"/>
        <v>"BaseballBat": 1,</v>
      </c>
      <c r="P98" s="1" t="str">
        <f t="shared" si="8"/>
        <v>"BaseballBat": 60,</v>
      </c>
      <c r="Q98" s="1" t="str">
        <f t="shared" si="9"/>
        <v>"BaseballBat": 500,</v>
      </c>
      <c r="R98" s="1" t="str">
        <f t="shared" si="10"/>
        <v>"BaseballBat": 0,</v>
      </c>
    </row>
    <row r="99" spans="1:18" ht="15" customHeight="1" x14ac:dyDescent="0.25">
      <c r="A99" s="1" t="str">
        <f t="shared" si="11"/>
        <v>#tc_clothes#tc_civil#tc_head</v>
      </c>
      <c r="B99" s="1">
        <f>VLOOKUP(A99,TraderCategory!$A$63:$E$556,2,FALSE)</f>
        <v>0</v>
      </c>
      <c r="C99" s="1">
        <f>VLOOKUP(A99,TraderCategory!$A$63:$F$556,6,FALSE)</f>
        <v>0</v>
      </c>
      <c r="D99" s="1" t="str">
        <f>VLOOKUP(C99,Tabulka5[],3,FALSE)</f>
        <v>Private</v>
      </c>
      <c r="E99" s="1">
        <v>0</v>
      </c>
      <c r="F99" s="1" t="str">
        <f>VLOOKUP(E99,Tabulka5[],3,FALSE)</f>
        <v>Private</v>
      </c>
      <c r="G99" s="1" t="s">
        <v>3115</v>
      </c>
      <c r="H99" s="1" t="s">
        <v>440</v>
      </c>
      <c r="I99" s="1" t="s">
        <v>403</v>
      </c>
      <c r="J99" s="1" t="s">
        <v>2728</v>
      </c>
      <c r="K99" s="1" t="s">
        <v>3126</v>
      </c>
      <c r="L99" s="1" t="s">
        <v>3130</v>
      </c>
      <c r="M99" s="1">
        <v>200</v>
      </c>
      <c r="N99" s="1">
        <v>1</v>
      </c>
      <c r="O99" s="1" t="str">
        <f t="shared" si="7"/>
        <v>"BaseballCap_Beige": 1,</v>
      </c>
      <c r="P99" s="1" t="str">
        <f t="shared" si="8"/>
        <v>"BaseballCap_Beige": 0,</v>
      </c>
      <c r="Q99" s="1" t="str">
        <f t="shared" si="9"/>
        <v>"BaseballCap_Beige": 200,</v>
      </c>
      <c r="R99" s="1" t="str">
        <f t="shared" si="10"/>
        <v>"BaseballCap_Beige": 0,</v>
      </c>
    </row>
    <row r="100" spans="1:18" ht="15" customHeight="1" x14ac:dyDescent="0.25">
      <c r="A100" s="1" t="str">
        <f t="shared" si="11"/>
        <v>#tc_clothes#tc_civil#tc_head</v>
      </c>
      <c r="B100" s="1">
        <f>VLOOKUP(A100,TraderCategory!$A$63:$E$556,2,FALSE)</f>
        <v>0</v>
      </c>
      <c r="C100" s="1">
        <f>VLOOKUP(A100,TraderCategory!$A$63:$F$556,6,FALSE)</f>
        <v>0</v>
      </c>
      <c r="D100" s="1" t="str">
        <f>VLOOKUP(C100,Tabulka5[],3,FALSE)</f>
        <v>Private</v>
      </c>
      <c r="E100" s="1">
        <v>0</v>
      </c>
      <c r="F100" s="1" t="str">
        <f>VLOOKUP(E100,Tabulka5[],3,FALSE)</f>
        <v>Private</v>
      </c>
      <c r="G100" s="1" t="s">
        <v>3115</v>
      </c>
      <c r="H100" s="1" t="s">
        <v>441</v>
      </c>
      <c r="I100" s="1" t="s">
        <v>403</v>
      </c>
      <c r="J100" s="1" t="s">
        <v>2728</v>
      </c>
      <c r="K100" s="1" t="s">
        <v>3126</v>
      </c>
      <c r="L100" s="1" t="s">
        <v>3130</v>
      </c>
      <c r="M100" s="1">
        <v>200</v>
      </c>
      <c r="N100" s="1">
        <v>1</v>
      </c>
      <c r="O100" s="1" t="str">
        <f t="shared" si="7"/>
        <v>"BaseballCap_Black": 1,</v>
      </c>
      <c r="P100" s="1" t="str">
        <f t="shared" si="8"/>
        <v>"BaseballCap_Black": 0,</v>
      </c>
      <c r="Q100" s="1" t="str">
        <f t="shared" si="9"/>
        <v>"BaseballCap_Black": 200,</v>
      </c>
      <c r="R100" s="1" t="str">
        <f t="shared" si="10"/>
        <v>"BaseballCap_Black": 0,</v>
      </c>
    </row>
    <row r="101" spans="1:18" ht="15" customHeight="1" x14ac:dyDescent="0.25">
      <c r="A101" s="1" t="str">
        <f t="shared" si="11"/>
        <v>#tc_clothes#tc_civil#tc_head</v>
      </c>
      <c r="B101" s="1">
        <f>VLOOKUP(A101,TraderCategory!$A$63:$E$556,2,FALSE)</f>
        <v>0</v>
      </c>
      <c r="C101" s="1">
        <f>VLOOKUP(A101,TraderCategory!$A$63:$F$556,6,FALSE)</f>
        <v>0</v>
      </c>
      <c r="D101" s="1" t="str">
        <f>VLOOKUP(C101,Tabulka5[],3,FALSE)</f>
        <v>Private</v>
      </c>
      <c r="E101" s="1">
        <v>0</v>
      </c>
      <c r="F101" s="1" t="str">
        <f>VLOOKUP(E101,Tabulka5[],3,FALSE)</f>
        <v>Private</v>
      </c>
      <c r="G101" s="1" t="s">
        <v>3115</v>
      </c>
      <c r="H101" s="1" t="s">
        <v>442</v>
      </c>
      <c r="I101" s="1" t="s">
        <v>403</v>
      </c>
      <c r="J101" s="1" t="s">
        <v>2728</v>
      </c>
      <c r="K101" s="1" t="s">
        <v>3126</v>
      </c>
      <c r="L101" s="1" t="s">
        <v>3130</v>
      </c>
      <c r="M101" s="1">
        <v>200</v>
      </c>
      <c r="N101" s="1">
        <v>1</v>
      </c>
      <c r="O101" s="1" t="str">
        <f t="shared" si="7"/>
        <v>"BaseballCap_Blue": 1,</v>
      </c>
      <c r="P101" s="1" t="str">
        <f t="shared" si="8"/>
        <v>"BaseballCap_Blue": 0,</v>
      </c>
      <c r="Q101" s="1" t="str">
        <f t="shared" si="9"/>
        <v>"BaseballCap_Blue": 200,</v>
      </c>
      <c r="R101" s="1" t="str">
        <f t="shared" si="10"/>
        <v>"BaseballCap_Blue": 0,</v>
      </c>
    </row>
    <row r="102" spans="1:18" ht="15" customHeight="1" x14ac:dyDescent="0.25">
      <c r="A102" s="1" t="str">
        <f t="shared" si="11"/>
        <v>#tc_clothes#tc_civil#tc_head</v>
      </c>
      <c r="B102" s="1">
        <f>VLOOKUP(A102,TraderCategory!$A$63:$E$556,2,FALSE)</f>
        <v>0</v>
      </c>
      <c r="C102" s="1">
        <f>VLOOKUP(A102,TraderCategory!$A$63:$F$556,6,FALSE)</f>
        <v>0</v>
      </c>
      <c r="D102" s="1" t="str">
        <f>VLOOKUP(C102,Tabulka5[],3,FALSE)</f>
        <v>Private</v>
      </c>
      <c r="E102" s="1">
        <v>0</v>
      </c>
      <c r="F102" s="1" t="str">
        <f>VLOOKUP(E102,Tabulka5[],3,FALSE)</f>
        <v>Private</v>
      </c>
      <c r="G102" s="1" t="s">
        <v>3115</v>
      </c>
      <c r="H102" s="1" t="s">
        <v>443</v>
      </c>
      <c r="I102" s="1" t="s">
        <v>403</v>
      </c>
      <c r="J102" s="1" t="s">
        <v>2728</v>
      </c>
      <c r="K102" s="1" t="s">
        <v>3126</v>
      </c>
      <c r="L102" s="1" t="s">
        <v>3130</v>
      </c>
      <c r="M102" s="1">
        <v>200</v>
      </c>
      <c r="N102" s="1">
        <v>1</v>
      </c>
      <c r="O102" s="1" t="str">
        <f t="shared" si="7"/>
        <v>"BaseballCap_CMMG_Black": 1,</v>
      </c>
      <c r="P102" s="1" t="str">
        <f t="shared" si="8"/>
        <v>"BaseballCap_CMMG_Black": 0,</v>
      </c>
      <c r="Q102" s="1" t="str">
        <f t="shared" si="9"/>
        <v>"BaseballCap_CMMG_Black": 200,</v>
      </c>
      <c r="R102" s="1" t="str">
        <f t="shared" si="10"/>
        <v>"BaseballCap_CMMG_Black": 0,</v>
      </c>
    </row>
    <row r="103" spans="1:18" ht="15" customHeight="1" x14ac:dyDescent="0.25">
      <c r="A103" s="1" t="str">
        <f t="shared" si="11"/>
        <v>#tc_clothes#tc_civil#tc_head</v>
      </c>
      <c r="B103" s="1">
        <f>VLOOKUP(A103,TraderCategory!$A$63:$E$556,2,FALSE)</f>
        <v>0</v>
      </c>
      <c r="C103" s="1">
        <f>VLOOKUP(A103,TraderCategory!$A$63:$F$556,6,FALSE)</f>
        <v>0</v>
      </c>
      <c r="D103" s="1" t="str">
        <f>VLOOKUP(C103,Tabulka5[],3,FALSE)</f>
        <v>Private</v>
      </c>
      <c r="E103" s="1">
        <v>0</v>
      </c>
      <c r="F103" s="1" t="str">
        <f>VLOOKUP(E103,Tabulka5[],3,FALSE)</f>
        <v>Private</v>
      </c>
      <c r="G103" s="1" t="s">
        <v>3115</v>
      </c>
      <c r="H103" s="1" t="s">
        <v>444</v>
      </c>
      <c r="I103" s="1" t="s">
        <v>403</v>
      </c>
      <c r="J103" s="1" t="s">
        <v>2728</v>
      </c>
      <c r="K103" s="1" t="s">
        <v>3126</v>
      </c>
      <c r="L103" s="1" t="s">
        <v>3130</v>
      </c>
      <c r="M103" s="1">
        <v>200</v>
      </c>
      <c r="N103" s="1">
        <v>1</v>
      </c>
      <c r="O103" s="1" t="str">
        <f t="shared" si="7"/>
        <v>"BaseballCap_CMMG_Pink": 1,</v>
      </c>
      <c r="P103" s="1" t="str">
        <f t="shared" si="8"/>
        <v>"BaseballCap_CMMG_Pink": 0,</v>
      </c>
      <c r="Q103" s="1" t="str">
        <f t="shared" si="9"/>
        <v>"BaseballCap_CMMG_Pink": 200,</v>
      </c>
      <c r="R103" s="1" t="str">
        <f t="shared" si="10"/>
        <v>"BaseballCap_CMMG_Pink": 0,</v>
      </c>
    </row>
    <row r="104" spans="1:18" ht="15" customHeight="1" x14ac:dyDescent="0.25">
      <c r="A104" s="1" t="str">
        <f t="shared" si="11"/>
        <v>#tc_clothes#tc_civil#tc_head</v>
      </c>
      <c r="B104" s="1">
        <f>VLOOKUP(A104,TraderCategory!$A$63:$E$556,2,FALSE)</f>
        <v>0</v>
      </c>
      <c r="C104" s="1">
        <f>VLOOKUP(A104,TraderCategory!$A$63:$F$556,6,FALSE)</f>
        <v>0</v>
      </c>
      <c r="D104" s="1" t="str">
        <f>VLOOKUP(C104,Tabulka5[],3,FALSE)</f>
        <v>Private</v>
      </c>
      <c r="E104" s="1">
        <v>0</v>
      </c>
      <c r="F104" s="1" t="str">
        <f>VLOOKUP(E104,Tabulka5[],3,FALSE)</f>
        <v>Private</v>
      </c>
      <c r="G104" s="1" t="s">
        <v>3115</v>
      </c>
      <c r="H104" s="1" t="s">
        <v>445</v>
      </c>
      <c r="I104" s="1" t="s">
        <v>403</v>
      </c>
      <c r="J104" s="1" t="s">
        <v>2728</v>
      </c>
      <c r="K104" s="1" t="s">
        <v>3126</v>
      </c>
      <c r="L104" s="1" t="s">
        <v>3130</v>
      </c>
      <c r="M104" s="1">
        <v>200</v>
      </c>
      <c r="N104" s="1">
        <v>1</v>
      </c>
      <c r="O104" s="1" t="str">
        <f t="shared" si="7"/>
        <v>"BaseballCap_Camo": 1,</v>
      </c>
      <c r="P104" s="1" t="str">
        <f t="shared" si="8"/>
        <v>"BaseballCap_Camo": 0,</v>
      </c>
      <c r="Q104" s="1" t="str">
        <f t="shared" si="9"/>
        <v>"BaseballCap_Camo": 200,</v>
      </c>
      <c r="R104" s="1" t="str">
        <f t="shared" si="10"/>
        <v>"BaseballCap_Camo": 0,</v>
      </c>
    </row>
    <row r="105" spans="1:18" ht="15" customHeight="1" x14ac:dyDescent="0.25">
      <c r="A105" s="1" t="str">
        <f t="shared" si="11"/>
        <v>#tc_clothes#tc_civil#tc_head</v>
      </c>
      <c r="B105" s="1">
        <f>VLOOKUP(A105,TraderCategory!$A$63:$E$556,2,FALSE)</f>
        <v>0</v>
      </c>
      <c r="C105" s="1">
        <f>VLOOKUP(A105,TraderCategory!$A$63:$F$556,6,FALSE)</f>
        <v>0</v>
      </c>
      <c r="D105" s="1" t="str">
        <f>VLOOKUP(C105,Tabulka5[],3,FALSE)</f>
        <v>Private</v>
      </c>
      <c r="E105" s="1">
        <v>0</v>
      </c>
      <c r="F105" s="1" t="str">
        <f>VLOOKUP(E105,Tabulka5[],3,FALSE)</f>
        <v>Private</v>
      </c>
      <c r="G105" s="1" t="s">
        <v>3115</v>
      </c>
      <c r="H105" s="1" t="s">
        <v>446</v>
      </c>
      <c r="I105" s="1" t="s">
        <v>403</v>
      </c>
      <c r="J105" s="1" t="s">
        <v>2728</v>
      </c>
      <c r="K105" s="1" t="s">
        <v>3126</v>
      </c>
      <c r="L105" s="1" t="s">
        <v>3130</v>
      </c>
      <c r="M105" s="1">
        <v>200</v>
      </c>
      <c r="N105" s="1">
        <v>1</v>
      </c>
      <c r="O105" s="1" t="str">
        <f t="shared" si="7"/>
        <v>"BaseballCap_Olive": 1,</v>
      </c>
      <c r="P105" s="1" t="str">
        <f t="shared" si="8"/>
        <v>"BaseballCap_Olive": 0,</v>
      </c>
      <c r="Q105" s="1" t="str">
        <f t="shared" si="9"/>
        <v>"BaseballCap_Olive": 200,</v>
      </c>
      <c r="R105" s="1" t="str">
        <f t="shared" si="10"/>
        <v>"BaseballCap_Olive": 0,</v>
      </c>
    </row>
    <row r="106" spans="1:18" ht="15" customHeight="1" x14ac:dyDescent="0.25">
      <c r="A106" s="1" t="str">
        <f t="shared" si="11"/>
        <v>#tc_clothes#tc_civil#tc_head</v>
      </c>
      <c r="B106" s="1">
        <f>VLOOKUP(A106,TraderCategory!$A$63:$E$556,2,FALSE)</f>
        <v>0</v>
      </c>
      <c r="C106" s="1">
        <f>VLOOKUP(A106,TraderCategory!$A$63:$F$556,6,FALSE)</f>
        <v>0</v>
      </c>
      <c r="D106" s="1" t="str">
        <f>VLOOKUP(C106,Tabulka5[],3,FALSE)</f>
        <v>Private</v>
      </c>
      <c r="E106" s="1">
        <v>0</v>
      </c>
      <c r="F106" s="1" t="str">
        <f>VLOOKUP(E106,Tabulka5[],3,FALSE)</f>
        <v>Private</v>
      </c>
      <c r="G106" s="1" t="s">
        <v>3115</v>
      </c>
      <c r="H106" s="1" t="s">
        <v>447</v>
      </c>
      <c r="I106" s="1" t="s">
        <v>403</v>
      </c>
      <c r="J106" s="1" t="s">
        <v>2728</v>
      </c>
      <c r="K106" s="1" t="s">
        <v>3126</v>
      </c>
      <c r="L106" s="1" t="s">
        <v>3130</v>
      </c>
      <c r="M106" s="1">
        <v>200</v>
      </c>
      <c r="N106" s="1">
        <v>1</v>
      </c>
      <c r="O106" s="1" t="str">
        <f t="shared" si="7"/>
        <v>"BaseballCap_Pink": 1,</v>
      </c>
      <c r="P106" s="1" t="str">
        <f t="shared" si="8"/>
        <v>"BaseballCap_Pink": 0,</v>
      </c>
      <c r="Q106" s="1" t="str">
        <f t="shared" si="9"/>
        <v>"BaseballCap_Pink": 200,</v>
      </c>
      <c r="R106" s="1" t="str">
        <f t="shared" si="10"/>
        <v>"BaseballCap_Pink": 0,</v>
      </c>
    </row>
    <row r="107" spans="1:18" ht="15" customHeight="1" x14ac:dyDescent="0.25">
      <c r="A107" s="1" t="str">
        <f t="shared" si="11"/>
        <v>#tc_clothes#tc_civil#tc_head</v>
      </c>
      <c r="B107" s="1">
        <f>VLOOKUP(A107,TraderCategory!$A$63:$E$556,2,FALSE)</f>
        <v>0</v>
      </c>
      <c r="C107" s="1">
        <f>VLOOKUP(A107,TraderCategory!$A$63:$F$556,6,FALSE)</f>
        <v>0</v>
      </c>
      <c r="D107" s="1" t="str">
        <f>VLOOKUP(C107,Tabulka5[],3,FALSE)</f>
        <v>Private</v>
      </c>
      <c r="E107" s="1">
        <v>0</v>
      </c>
      <c r="F107" s="1" t="str">
        <f>VLOOKUP(E107,Tabulka5[],3,FALSE)</f>
        <v>Private</v>
      </c>
      <c r="G107" s="1" t="s">
        <v>3115</v>
      </c>
      <c r="H107" s="1" t="s">
        <v>448</v>
      </c>
      <c r="I107" s="1" t="s">
        <v>403</v>
      </c>
      <c r="J107" s="1" t="s">
        <v>2728</v>
      </c>
      <c r="K107" s="1" t="s">
        <v>3126</v>
      </c>
      <c r="L107" s="1" t="s">
        <v>3130</v>
      </c>
      <c r="M107" s="1">
        <v>200</v>
      </c>
      <c r="N107" s="1">
        <v>1</v>
      </c>
      <c r="O107" s="1" t="str">
        <f t="shared" si="7"/>
        <v>"BaseballCap_Red": 1,</v>
      </c>
      <c r="P107" s="1" t="str">
        <f t="shared" si="8"/>
        <v>"BaseballCap_Red": 0,</v>
      </c>
      <c r="Q107" s="1" t="str">
        <f t="shared" si="9"/>
        <v>"BaseballCap_Red": 200,</v>
      </c>
      <c r="R107" s="1" t="str">
        <f t="shared" si="10"/>
        <v>"BaseballCap_Red": 0,</v>
      </c>
    </row>
    <row r="108" spans="1:18" ht="15" customHeight="1" x14ac:dyDescent="0.25">
      <c r="A108" s="1" t="str">
        <f t="shared" si="11"/>
        <v>#tc_groceries#tc_tools#tc_eletronics</v>
      </c>
      <c r="B108" s="1">
        <f>VLOOKUP(A108,TraderCategory!$A$63:$E$556,2,FALSE)</f>
        <v>36</v>
      </c>
      <c r="C108" s="1">
        <f>VLOOKUP(A108,TraderCategory!$A$63:$F$556,6,FALSE)</f>
        <v>0</v>
      </c>
      <c r="D108" s="1" t="str">
        <f>VLOOKUP(C108,Tabulka5[],3,FALSE)</f>
        <v>Private</v>
      </c>
      <c r="E108" s="1">
        <v>3</v>
      </c>
      <c r="F108" s="1" t="str">
        <f>VLOOKUP(E108,Tabulka5[],3,FALSE)</f>
        <v>Sergeant</v>
      </c>
      <c r="G108" s="1" t="s">
        <v>3115</v>
      </c>
      <c r="H108" s="1" t="s">
        <v>449</v>
      </c>
      <c r="I108" s="1" t="s">
        <v>426</v>
      </c>
      <c r="J108" s="1" t="s">
        <v>3127</v>
      </c>
      <c r="K108" s="1" t="s">
        <v>2740</v>
      </c>
      <c r="L108" s="1" t="s">
        <v>3148</v>
      </c>
      <c r="M108" s="1">
        <v>150</v>
      </c>
      <c r="N108" s="1">
        <v>1</v>
      </c>
      <c r="O108" s="1" t="str">
        <f t="shared" si="7"/>
        <v>"Battery9V": 1,</v>
      </c>
      <c r="P108" s="1" t="str">
        <f t="shared" si="8"/>
        <v>"Battery9V": 36,</v>
      </c>
      <c r="Q108" s="1" t="str">
        <f t="shared" si="9"/>
        <v>"Battery9V": 150,</v>
      </c>
      <c r="R108" s="1" t="str">
        <f t="shared" si="10"/>
        <v>"Battery9V": 3,</v>
      </c>
    </row>
    <row r="109" spans="1:18" ht="15" customHeight="1" x14ac:dyDescent="0.25">
      <c r="A109" s="1" t="str">
        <f t="shared" si="11"/>
        <v>#tc_groceries#tc_tools#tc_eletronics</v>
      </c>
      <c r="B109" s="1">
        <f>VLOOKUP(A109,TraderCategory!$A$63:$E$556,2,FALSE)</f>
        <v>36</v>
      </c>
      <c r="C109" s="1">
        <f>VLOOKUP(A109,TraderCategory!$A$63:$F$556,6,FALSE)</f>
        <v>0</v>
      </c>
      <c r="D109" s="1" t="str">
        <f>VLOOKUP(C109,Tabulka5[],3,FALSE)</f>
        <v>Private</v>
      </c>
      <c r="E109" s="1">
        <v>3</v>
      </c>
      <c r="F109" s="1" t="str">
        <f>VLOOKUP(E109,Tabulka5[],3,FALSE)</f>
        <v>Sergeant</v>
      </c>
      <c r="G109" s="1" t="s">
        <v>3115</v>
      </c>
      <c r="H109" s="1" t="s">
        <v>450</v>
      </c>
      <c r="I109" s="1" t="s">
        <v>426</v>
      </c>
      <c r="J109" s="1" t="s">
        <v>3127</v>
      </c>
      <c r="K109" s="1" t="s">
        <v>2740</v>
      </c>
      <c r="L109" s="1" t="s">
        <v>3148</v>
      </c>
      <c r="M109" s="1">
        <v>3000</v>
      </c>
      <c r="N109" s="1">
        <v>1</v>
      </c>
      <c r="O109" s="1" t="str">
        <f t="shared" si="7"/>
        <v>"BatteryCharger": 1,</v>
      </c>
      <c r="P109" s="1" t="str">
        <f t="shared" si="8"/>
        <v>"BatteryCharger": 36,</v>
      </c>
      <c r="Q109" s="1" t="str">
        <f t="shared" si="9"/>
        <v>"BatteryCharger": 3000,</v>
      </c>
      <c r="R109" s="1" t="str">
        <f t="shared" si="10"/>
        <v>"BatteryCharger": 3,</v>
      </c>
    </row>
    <row r="110" spans="1:18" ht="15" customHeight="1" x14ac:dyDescent="0.25">
      <c r="A110" s="1" t="str">
        <f t="shared" si="11"/>
        <v>#tc_clothes#tc_civil#tc_head</v>
      </c>
      <c r="B110" s="1">
        <f>VLOOKUP(A110,TraderCategory!$A$63:$E$556,2,FALSE)</f>
        <v>0</v>
      </c>
      <c r="C110" s="1">
        <f>VLOOKUP(A110,TraderCategory!$A$63:$F$556,6,FALSE)</f>
        <v>0</v>
      </c>
      <c r="D110" s="1" t="str">
        <f>VLOOKUP(C110,Tabulka5[],3,FALSE)</f>
        <v>Private</v>
      </c>
      <c r="E110" s="1">
        <v>0</v>
      </c>
      <c r="F110" s="1" t="str">
        <f>VLOOKUP(E110,Tabulka5[],3,FALSE)</f>
        <v>Private</v>
      </c>
      <c r="G110" s="1" t="s">
        <v>3115</v>
      </c>
      <c r="H110" s="1" t="s">
        <v>451</v>
      </c>
      <c r="I110" s="1" t="s">
        <v>403</v>
      </c>
      <c r="J110" s="1" t="s">
        <v>2728</v>
      </c>
      <c r="K110" s="1" t="s">
        <v>3126</v>
      </c>
      <c r="L110" s="1" t="s">
        <v>3130</v>
      </c>
      <c r="M110" s="1">
        <v>200</v>
      </c>
      <c r="N110" s="1">
        <v>1</v>
      </c>
      <c r="O110" s="1" t="str">
        <f t="shared" si="7"/>
        <v>"BeanieHat_Beige": 1,</v>
      </c>
      <c r="P110" s="1" t="str">
        <f t="shared" si="8"/>
        <v>"BeanieHat_Beige": 0,</v>
      </c>
      <c r="Q110" s="1" t="str">
        <f t="shared" si="9"/>
        <v>"BeanieHat_Beige": 200,</v>
      </c>
      <c r="R110" s="1" t="str">
        <f t="shared" si="10"/>
        <v>"BeanieHat_Beige": 0,</v>
      </c>
    </row>
    <row r="111" spans="1:18" ht="15" customHeight="1" x14ac:dyDescent="0.25">
      <c r="A111" s="1" t="str">
        <f t="shared" si="11"/>
        <v>#tc_clothes#tc_civil#tc_head</v>
      </c>
      <c r="B111" s="1">
        <f>VLOOKUP(A111,TraderCategory!$A$63:$E$556,2,FALSE)</f>
        <v>0</v>
      </c>
      <c r="C111" s="1">
        <f>VLOOKUP(A111,TraderCategory!$A$63:$F$556,6,FALSE)</f>
        <v>0</v>
      </c>
      <c r="D111" s="1" t="str">
        <f>VLOOKUP(C111,Tabulka5[],3,FALSE)</f>
        <v>Private</v>
      </c>
      <c r="E111" s="1">
        <v>0</v>
      </c>
      <c r="F111" s="1" t="str">
        <f>VLOOKUP(E111,Tabulka5[],3,FALSE)</f>
        <v>Private</v>
      </c>
      <c r="G111" s="1" t="s">
        <v>3115</v>
      </c>
      <c r="H111" s="1" t="s">
        <v>452</v>
      </c>
      <c r="I111" s="1" t="s">
        <v>403</v>
      </c>
      <c r="J111" s="1" t="s">
        <v>2728</v>
      </c>
      <c r="K111" s="1" t="s">
        <v>3126</v>
      </c>
      <c r="L111" s="1" t="s">
        <v>3130</v>
      </c>
      <c r="M111" s="1">
        <v>200</v>
      </c>
      <c r="N111" s="1">
        <v>1</v>
      </c>
      <c r="O111" s="1" t="str">
        <f t="shared" si="7"/>
        <v>"BeanieHat_Black": 1,</v>
      </c>
      <c r="P111" s="1" t="str">
        <f t="shared" si="8"/>
        <v>"BeanieHat_Black": 0,</v>
      </c>
      <c r="Q111" s="1" t="str">
        <f t="shared" si="9"/>
        <v>"BeanieHat_Black": 200,</v>
      </c>
      <c r="R111" s="1" t="str">
        <f t="shared" si="10"/>
        <v>"BeanieHat_Black": 0,</v>
      </c>
    </row>
    <row r="112" spans="1:18" ht="15" customHeight="1" x14ac:dyDescent="0.25">
      <c r="A112" s="1" t="str">
        <f t="shared" si="11"/>
        <v>#tc_clothes#tc_civil#tc_head</v>
      </c>
      <c r="B112" s="1">
        <f>VLOOKUP(A112,TraderCategory!$A$63:$E$556,2,FALSE)</f>
        <v>0</v>
      </c>
      <c r="C112" s="1">
        <f>VLOOKUP(A112,TraderCategory!$A$63:$F$556,6,FALSE)</f>
        <v>0</v>
      </c>
      <c r="D112" s="1" t="str">
        <f>VLOOKUP(C112,Tabulka5[],3,FALSE)</f>
        <v>Private</v>
      </c>
      <c r="E112" s="1">
        <v>0</v>
      </c>
      <c r="F112" s="1" t="str">
        <f>VLOOKUP(E112,Tabulka5[],3,FALSE)</f>
        <v>Private</v>
      </c>
      <c r="G112" s="1" t="s">
        <v>3115</v>
      </c>
      <c r="H112" s="1" t="s">
        <v>453</v>
      </c>
      <c r="I112" s="1" t="s">
        <v>403</v>
      </c>
      <c r="J112" s="1" t="s">
        <v>2728</v>
      </c>
      <c r="K112" s="1" t="s">
        <v>3126</v>
      </c>
      <c r="L112" s="1" t="s">
        <v>3130</v>
      </c>
      <c r="M112" s="1">
        <v>200</v>
      </c>
      <c r="N112" s="1">
        <v>1</v>
      </c>
      <c r="O112" s="1" t="str">
        <f t="shared" si="7"/>
        <v>"BeanieHat_Blue": 1,</v>
      </c>
      <c r="P112" s="1" t="str">
        <f t="shared" si="8"/>
        <v>"BeanieHat_Blue": 0,</v>
      </c>
      <c r="Q112" s="1" t="str">
        <f t="shared" si="9"/>
        <v>"BeanieHat_Blue": 200,</v>
      </c>
      <c r="R112" s="1" t="str">
        <f t="shared" si="10"/>
        <v>"BeanieHat_Blue": 0,</v>
      </c>
    </row>
    <row r="113" spans="1:18" ht="15" customHeight="1" x14ac:dyDescent="0.25">
      <c r="A113" s="1" t="str">
        <f t="shared" si="11"/>
        <v>#tc_clothes#tc_civil#tc_head</v>
      </c>
      <c r="B113" s="1">
        <f>VLOOKUP(A113,TraderCategory!$A$63:$E$556,2,FALSE)</f>
        <v>0</v>
      </c>
      <c r="C113" s="1">
        <f>VLOOKUP(A113,TraderCategory!$A$63:$F$556,6,FALSE)</f>
        <v>0</v>
      </c>
      <c r="D113" s="1" t="str">
        <f>VLOOKUP(C113,Tabulka5[],3,FALSE)</f>
        <v>Private</v>
      </c>
      <c r="E113" s="1">
        <v>0</v>
      </c>
      <c r="F113" s="1" t="str">
        <f>VLOOKUP(E113,Tabulka5[],3,FALSE)</f>
        <v>Private</v>
      </c>
      <c r="G113" s="1" t="s">
        <v>3115</v>
      </c>
      <c r="H113" s="1" t="s">
        <v>454</v>
      </c>
      <c r="I113" s="1" t="s">
        <v>403</v>
      </c>
      <c r="J113" s="1" t="s">
        <v>2728</v>
      </c>
      <c r="K113" s="1" t="s">
        <v>3126</v>
      </c>
      <c r="L113" s="1" t="s">
        <v>3130</v>
      </c>
      <c r="M113" s="1">
        <v>200</v>
      </c>
      <c r="N113" s="1">
        <v>1</v>
      </c>
      <c r="O113" s="1" t="str">
        <f t="shared" si="7"/>
        <v>"BeanieHat_Brown": 1,</v>
      </c>
      <c r="P113" s="1" t="str">
        <f t="shared" si="8"/>
        <v>"BeanieHat_Brown": 0,</v>
      </c>
      <c r="Q113" s="1" t="str">
        <f t="shared" si="9"/>
        <v>"BeanieHat_Brown": 200,</v>
      </c>
      <c r="R113" s="1" t="str">
        <f t="shared" si="10"/>
        <v>"BeanieHat_Brown": 0,</v>
      </c>
    </row>
    <row r="114" spans="1:18" ht="15" customHeight="1" x14ac:dyDescent="0.25">
      <c r="A114" s="1" t="str">
        <f t="shared" si="11"/>
        <v>#tc_clothes#tc_civil#tc_head</v>
      </c>
      <c r="B114" s="1">
        <f>VLOOKUP(A114,TraderCategory!$A$63:$E$556,2,FALSE)</f>
        <v>0</v>
      </c>
      <c r="C114" s="1">
        <f>VLOOKUP(A114,TraderCategory!$A$63:$F$556,6,FALSE)</f>
        <v>0</v>
      </c>
      <c r="D114" s="1" t="str">
        <f>VLOOKUP(C114,Tabulka5[],3,FALSE)</f>
        <v>Private</v>
      </c>
      <c r="E114" s="1">
        <v>0</v>
      </c>
      <c r="F114" s="1" t="str">
        <f>VLOOKUP(E114,Tabulka5[],3,FALSE)</f>
        <v>Private</v>
      </c>
      <c r="G114" s="1" t="s">
        <v>3115</v>
      </c>
      <c r="H114" s="1" t="s">
        <v>455</v>
      </c>
      <c r="I114" s="1" t="s">
        <v>403</v>
      </c>
      <c r="J114" s="1" t="s">
        <v>2728</v>
      </c>
      <c r="K114" s="1" t="s">
        <v>3126</v>
      </c>
      <c r="L114" s="1" t="s">
        <v>3130</v>
      </c>
      <c r="M114" s="1">
        <v>200</v>
      </c>
      <c r="N114" s="1">
        <v>1</v>
      </c>
      <c r="O114" s="1" t="str">
        <f t="shared" si="7"/>
        <v>"BeanieHat_Green": 1,</v>
      </c>
      <c r="P114" s="1" t="str">
        <f t="shared" si="8"/>
        <v>"BeanieHat_Green": 0,</v>
      </c>
      <c r="Q114" s="1" t="str">
        <f t="shared" si="9"/>
        <v>"BeanieHat_Green": 200,</v>
      </c>
      <c r="R114" s="1" t="str">
        <f t="shared" si="10"/>
        <v>"BeanieHat_Green": 0,</v>
      </c>
    </row>
    <row r="115" spans="1:18" ht="15" customHeight="1" x14ac:dyDescent="0.25">
      <c r="A115" s="1" t="str">
        <f t="shared" si="11"/>
        <v>#tc_clothes#tc_civil#tc_head</v>
      </c>
      <c r="B115" s="1">
        <f>VLOOKUP(A115,TraderCategory!$A$63:$E$556,2,FALSE)</f>
        <v>0</v>
      </c>
      <c r="C115" s="1">
        <f>VLOOKUP(A115,TraderCategory!$A$63:$F$556,6,FALSE)</f>
        <v>0</v>
      </c>
      <c r="D115" s="1" t="str">
        <f>VLOOKUP(C115,Tabulka5[],3,FALSE)</f>
        <v>Private</v>
      </c>
      <c r="E115" s="1">
        <v>0</v>
      </c>
      <c r="F115" s="1" t="str">
        <f>VLOOKUP(E115,Tabulka5[],3,FALSE)</f>
        <v>Private</v>
      </c>
      <c r="G115" s="1" t="s">
        <v>3115</v>
      </c>
      <c r="H115" s="1" t="s">
        <v>456</v>
      </c>
      <c r="I115" s="1" t="s">
        <v>403</v>
      </c>
      <c r="J115" s="1" t="s">
        <v>2728</v>
      </c>
      <c r="K115" s="1" t="s">
        <v>3126</v>
      </c>
      <c r="L115" s="1" t="s">
        <v>3130</v>
      </c>
      <c r="M115" s="1">
        <v>200</v>
      </c>
      <c r="N115" s="1">
        <v>1</v>
      </c>
      <c r="O115" s="1" t="str">
        <f t="shared" si="7"/>
        <v>"BeanieHat_Grey": 1,</v>
      </c>
      <c r="P115" s="1" t="str">
        <f t="shared" si="8"/>
        <v>"BeanieHat_Grey": 0,</v>
      </c>
      <c r="Q115" s="1" t="str">
        <f t="shared" si="9"/>
        <v>"BeanieHat_Grey": 200,</v>
      </c>
      <c r="R115" s="1" t="str">
        <f t="shared" si="10"/>
        <v>"BeanieHat_Grey": 0,</v>
      </c>
    </row>
    <row r="116" spans="1:18" ht="15" customHeight="1" x14ac:dyDescent="0.25">
      <c r="A116" s="1" t="str">
        <f t="shared" si="11"/>
        <v>#tc_clothes#tc_civil#tc_head</v>
      </c>
      <c r="B116" s="1">
        <f>VLOOKUP(A116,TraderCategory!$A$63:$E$556,2,FALSE)</f>
        <v>0</v>
      </c>
      <c r="C116" s="1">
        <f>VLOOKUP(A116,TraderCategory!$A$63:$F$556,6,FALSE)</f>
        <v>0</v>
      </c>
      <c r="D116" s="1" t="str">
        <f>VLOOKUP(C116,Tabulka5[],3,FALSE)</f>
        <v>Private</v>
      </c>
      <c r="E116" s="1">
        <v>0</v>
      </c>
      <c r="F116" s="1" t="str">
        <f>VLOOKUP(E116,Tabulka5[],3,FALSE)</f>
        <v>Private</v>
      </c>
      <c r="G116" s="1" t="s">
        <v>3115</v>
      </c>
      <c r="H116" s="1" t="s">
        <v>457</v>
      </c>
      <c r="I116" s="1" t="s">
        <v>403</v>
      </c>
      <c r="J116" s="1" t="s">
        <v>2728</v>
      </c>
      <c r="K116" s="1" t="s">
        <v>3126</v>
      </c>
      <c r="L116" s="1" t="s">
        <v>3130</v>
      </c>
      <c r="M116" s="1">
        <v>200</v>
      </c>
      <c r="N116" s="1">
        <v>1</v>
      </c>
      <c r="O116" s="1" t="str">
        <f t="shared" si="7"/>
        <v>"BeanieHat_Pink": 1,</v>
      </c>
      <c r="P116" s="1" t="str">
        <f t="shared" si="8"/>
        <v>"BeanieHat_Pink": 0,</v>
      </c>
      <c r="Q116" s="1" t="str">
        <f t="shared" si="9"/>
        <v>"BeanieHat_Pink": 200,</v>
      </c>
      <c r="R116" s="1" t="str">
        <f t="shared" si="10"/>
        <v>"BeanieHat_Pink": 0,</v>
      </c>
    </row>
    <row r="117" spans="1:18" ht="15" customHeight="1" x14ac:dyDescent="0.25">
      <c r="A117" s="1" t="str">
        <f t="shared" si="11"/>
        <v>#tc_clothes#tc_civil#tc_head</v>
      </c>
      <c r="B117" s="1">
        <f>VLOOKUP(A117,TraderCategory!$A$63:$E$556,2,FALSE)</f>
        <v>0</v>
      </c>
      <c r="C117" s="1">
        <f>VLOOKUP(A117,TraderCategory!$A$63:$F$556,6,FALSE)</f>
        <v>0</v>
      </c>
      <c r="D117" s="1" t="str">
        <f>VLOOKUP(C117,Tabulka5[],3,FALSE)</f>
        <v>Private</v>
      </c>
      <c r="E117" s="1">
        <v>0</v>
      </c>
      <c r="F117" s="1" t="str">
        <f>VLOOKUP(E117,Tabulka5[],3,FALSE)</f>
        <v>Private</v>
      </c>
      <c r="G117" s="1" t="s">
        <v>3115</v>
      </c>
      <c r="H117" s="1" t="s">
        <v>458</v>
      </c>
      <c r="I117" s="1" t="s">
        <v>403</v>
      </c>
      <c r="J117" s="1" t="s">
        <v>2728</v>
      </c>
      <c r="K117" s="1" t="s">
        <v>3126</v>
      </c>
      <c r="L117" s="1" t="s">
        <v>3130</v>
      </c>
      <c r="M117" s="1">
        <v>200</v>
      </c>
      <c r="N117" s="1">
        <v>1</v>
      </c>
      <c r="O117" s="1" t="str">
        <f t="shared" si="7"/>
        <v>"BeanieHat_Red": 1,</v>
      </c>
      <c r="P117" s="1" t="str">
        <f t="shared" si="8"/>
        <v>"BeanieHat_Red": 0,</v>
      </c>
      <c r="Q117" s="1" t="str">
        <f t="shared" si="9"/>
        <v>"BeanieHat_Red": 200,</v>
      </c>
      <c r="R117" s="1" t="str">
        <f t="shared" si="10"/>
        <v>"BeanieHat_Red": 0,</v>
      </c>
    </row>
    <row r="118" spans="1:18" ht="15" customHeight="1" x14ac:dyDescent="0.25">
      <c r="A118" s="1" t="str">
        <f t="shared" si="11"/>
        <v>#tc_groceries#tc_tools#tc_camping</v>
      </c>
      <c r="B118" s="1">
        <f>VLOOKUP(A118,TraderCategory!$A$63:$E$556,2,FALSE)</f>
        <v>33</v>
      </c>
      <c r="C118" s="1">
        <f>VLOOKUP(A118,TraderCategory!$A$63:$F$556,6,FALSE)</f>
        <v>3</v>
      </c>
      <c r="D118" s="1" t="str">
        <f>VLOOKUP(C118,Tabulka5[],3,FALSE)</f>
        <v>Sergeant</v>
      </c>
      <c r="E118" s="1">
        <v>3</v>
      </c>
      <c r="F118" s="1" t="str">
        <f>VLOOKUP(E118,Tabulka5[],3,FALSE)</f>
        <v>Sergeant</v>
      </c>
      <c r="G118" s="1" t="s">
        <v>3115</v>
      </c>
      <c r="H118" s="1" t="s">
        <v>459</v>
      </c>
      <c r="I118" s="1" t="s">
        <v>426</v>
      </c>
      <c r="J118" s="1" t="s">
        <v>3127</v>
      </c>
      <c r="K118" s="1" t="s">
        <v>2740</v>
      </c>
      <c r="L118" s="1" t="s">
        <v>3150</v>
      </c>
      <c r="M118" s="1">
        <v>2500</v>
      </c>
      <c r="N118" s="1">
        <v>1</v>
      </c>
      <c r="O118" s="1" t="str">
        <f t="shared" si="7"/>
        <v>"BearTrap": 1,</v>
      </c>
      <c r="P118" s="1" t="str">
        <f t="shared" si="8"/>
        <v>"BearTrap": 33,</v>
      </c>
      <c r="Q118" s="1" t="str">
        <f t="shared" si="9"/>
        <v>"BearTrap": 2500,</v>
      </c>
      <c r="R118" s="1" t="str">
        <f t="shared" si="10"/>
        <v>"BearTrap": 3,</v>
      </c>
    </row>
    <row r="119" spans="1:18" ht="15" customHeight="1" x14ac:dyDescent="0.25">
      <c r="A119" s="1" t="str">
        <f t="shared" si="11"/>
        <v>#tc_groceries#tc_tools#tc_toys</v>
      </c>
      <c r="B119" s="1">
        <f>VLOOKUP(A119,TraderCategory!$A$63:$E$556,2,FALSE)</f>
        <v>35</v>
      </c>
      <c r="C119" s="1">
        <f>VLOOKUP(A119,TraderCategory!$A$63:$F$556,6,FALSE)</f>
        <v>0</v>
      </c>
      <c r="D119" s="1" t="str">
        <f>VLOOKUP(C119,Tabulka5[],3,FALSE)</f>
        <v>Private</v>
      </c>
      <c r="E119" s="1">
        <v>0</v>
      </c>
      <c r="F119" s="1" t="str">
        <f>VLOOKUP(E119,Tabulka5[],3,FALSE)</f>
        <v>Private</v>
      </c>
      <c r="G119" s="1" t="s">
        <v>3115</v>
      </c>
      <c r="H119" s="1" t="s">
        <v>460</v>
      </c>
      <c r="I119" s="1" t="s">
        <v>363</v>
      </c>
      <c r="J119" s="1" t="s">
        <v>3127</v>
      </c>
      <c r="K119" s="1" t="s">
        <v>2740</v>
      </c>
      <c r="L119" s="1" t="s">
        <v>3128</v>
      </c>
      <c r="M119" s="1">
        <v>250</v>
      </c>
      <c r="N119" s="1">
        <v>1</v>
      </c>
      <c r="O119" s="1" t="str">
        <f t="shared" si="7"/>
        <v>"Bear_Beige": 1,</v>
      </c>
      <c r="P119" s="1" t="str">
        <f t="shared" si="8"/>
        <v>"Bear_Beige": 35,</v>
      </c>
      <c r="Q119" s="1" t="str">
        <f t="shared" si="9"/>
        <v>"Bear_Beige": 250,</v>
      </c>
      <c r="R119" s="1" t="str">
        <f t="shared" si="10"/>
        <v>"Bear_Beige": 0,</v>
      </c>
    </row>
    <row r="120" spans="1:18" ht="15" customHeight="1" x14ac:dyDescent="0.25">
      <c r="A120" s="1" t="str">
        <f t="shared" si="11"/>
        <v>#tc_groceries#tc_tools#tc_toys</v>
      </c>
      <c r="B120" s="1">
        <f>VLOOKUP(A120,TraderCategory!$A$63:$E$556,2,FALSE)</f>
        <v>35</v>
      </c>
      <c r="C120" s="1">
        <f>VLOOKUP(A120,TraderCategory!$A$63:$F$556,6,FALSE)</f>
        <v>0</v>
      </c>
      <c r="D120" s="1" t="str">
        <f>VLOOKUP(C120,Tabulka5[],3,FALSE)</f>
        <v>Private</v>
      </c>
      <c r="E120" s="1">
        <v>0</v>
      </c>
      <c r="F120" s="1" t="str">
        <f>VLOOKUP(E120,Tabulka5[],3,FALSE)</f>
        <v>Private</v>
      </c>
      <c r="G120" s="1" t="s">
        <v>3115</v>
      </c>
      <c r="H120" s="1" t="s">
        <v>461</v>
      </c>
      <c r="I120" s="1" t="s">
        <v>363</v>
      </c>
      <c r="J120" s="1" t="s">
        <v>3127</v>
      </c>
      <c r="K120" s="1" t="s">
        <v>2740</v>
      </c>
      <c r="L120" s="1" t="s">
        <v>3128</v>
      </c>
      <c r="M120" s="1">
        <v>250</v>
      </c>
      <c r="N120" s="1">
        <v>1</v>
      </c>
      <c r="O120" s="1" t="str">
        <f t="shared" si="7"/>
        <v>"Bear_Dark": 1,</v>
      </c>
      <c r="P120" s="1" t="str">
        <f t="shared" si="8"/>
        <v>"Bear_Dark": 35,</v>
      </c>
      <c r="Q120" s="1" t="str">
        <f t="shared" si="9"/>
        <v>"Bear_Dark": 250,</v>
      </c>
      <c r="R120" s="1" t="str">
        <f t="shared" si="10"/>
        <v>"Bear_Dark": 0,</v>
      </c>
    </row>
    <row r="121" spans="1:18" ht="15" customHeight="1" x14ac:dyDescent="0.25">
      <c r="A121" s="1" t="str">
        <f t="shared" si="11"/>
        <v>#tc_groceries#tc_tools#tc_toys</v>
      </c>
      <c r="B121" s="1">
        <f>VLOOKUP(A121,TraderCategory!$A$63:$E$556,2,FALSE)</f>
        <v>35</v>
      </c>
      <c r="C121" s="1">
        <f>VLOOKUP(A121,TraderCategory!$A$63:$F$556,6,FALSE)</f>
        <v>0</v>
      </c>
      <c r="D121" s="1" t="str">
        <f>VLOOKUP(C121,Tabulka5[],3,FALSE)</f>
        <v>Private</v>
      </c>
      <c r="E121" s="1">
        <v>0</v>
      </c>
      <c r="F121" s="1" t="str">
        <f>VLOOKUP(E121,Tabulka5[],3,FALSE)</f>
        <v>Private</v>
      </c>
      <c r="G121" s="1" t="s">
        <v>3115</v>
      </c>
      <c r="H121" s="1" t="s">
        <v>462</v>
      </c>
      <c r="I121" s="1" t="s">
        <v>363</v>
      </c>
      <c r="J121" s="1" t="s">
        <v>3127</v>
      </c>
      <c r="K121" s="1" t="s">
        <v>2740</v>
      </c>
      <c r="L121" s="1" t="s">
        <v>3128</v>
      </c>
      <c r="M121" s="1">
        <v>250</v>
      </c>
      <c r="N121" s="1">
        <v>1</v>
      </c>
      <c r="O121" s="1" t="str">
        <f t="shared" si="7"/>
        <v>"Bear_Pink": 1,</v>
      </c>
      <c r="P121" s="1" t="str">
        <f t="shared" si="8"/>
        <v>"Bear_Pink": 35,</v>
      </c>
      <c r="Q121" s="1" t="str">
        <f t="shared" si="9"/>
        <v>"Bear_Pink": 250,</v>
      </c>
      <c r="R121" s="1" t="str">
        <f t="shared" si="10"/>
        <v>"Bear_Pink": 0,</v>
      </c>
    </row>
    <row r="122" spans="1:18" ht="15" customHeight="1" x14ac:dyDescent="0.25">
      <c r="A122" s="1" t="str">
        <f t="shared" si="11"/>
        <v>#tc_groceries#tc_tools#tc_toys</v>
      </c>
      <c r="B122" s="1">
        <f>VLOOKUP(A122,TraderCategory!$A$63:$E$556,2,FALSE)</f>
        <v>35</v>
      </c>
      <c r="C122" s="1">
        <f>VLOOKUP(A122,TraderCategory!$A$63:$F$556,6,FALSE)</f>
        <v>0</v>
      </c>
      <c r="D122" s="1" t="str">
        <f>VLOOKUP(C122,Tabulka5[],3,FALSE)</f>
        <v>Private</v>
      </c>
      <c r="E122" s="1">
        <v>0</v>
      </c>
      <c r="F122" s="1" t="str">
        <f>VLOOKUP(E122,Tabulka5[],3,FALSE)</f>
        <v>Private</v>
      </c>
      <c r="G122" s="1" t="s">
        <v>3115</v>
      </c>
      <c r="H122" s="1" t="s">
        <v>463</v>
      </c>
      <c r="I122" s="1" t="s">
        <v>363</v>
      </c>
      <c r="J122" s="1" t="s">
        <v>3127</v>
      </c>
      <c r="K122" s="1" t="s">
        <v>2740</v>
      </c>
      <c r="L122" s="1" t="s">
        <v>3128</v>
      </c>
      <c r="M122" s="1">
        <v>250</v>
      </c>
      <c r="N122" s="1">
        <v>1</v>
      </c>
      <c r="O122" s="1" t="str">
        <f t="shared" si="7"/>
        <v>"Bear_White": 1,</v>
      </c>
      <c r="P122" s="1" t="str">
        <f t="shared" si="8"/>
        <v>"Bear_White": 35,</v>
      </c>
      <c r="Q122" s="1" t="str">
        <f t="shared" si="9"/>
        <v>"Bear_White": 250,</v>
      </c>
      <c r="R122" s="1" t="str">
        <f t="shared" si="10"/>
        <v>"Bear_White": 0,</v>
      </c>
    </row>
    <row r="123" spans="1:18" ht="15" customHeight="1" x14ac:dyDescent="0.25">
      <c r="A123" s="1" t="str">
        <f t="shared" si="11"/>
        <v>#tc_groceries#tc_tools#tc_camping</v>
      </c>
      <c r="B123" s="1">
        <f>VLOOKUP(A123,TraderCategory!$A$63:$E$556,2,FALSE)</f>
        <v>33</v>
      </c>
      <c r="C123" s="1">
        <f>VLOOKUP(A123,TraderCategory!$A$63:$F$556,6,FALSE)</f>
        <v>3</v>
      </c>
      <c r="D123" s="1" t="str">
        <f>VLOOKUP(C123,Tabulka5[],3,FALSE)</f>
        <v>Sergeant</v>
      </c>
      <c r="E123" s="1">
        <v>3</v>
      </c>
      <c r="F123" s="1" t="str">
        <f>VLOOKUP(E123,Tabulka5[],3,FALSE)</f>
        <v>Sergeant</v>
      </c>
      <c r="G123" s="1" t="s">
        <v>3115</v>
      </c>
      <c r="H123" s="1" t="s">
        <v>464</v>
      </c>
      <c r="I123" s="1" t="s">
        <v>426</v>
      </c>
      <c r="J123" s="1" t="s">
        <v>3127</v>
      </c>
      <c r="K123" s="1" t="s">
        <v>2740</v>
      </c>
      <c r="L123" s="1" t="s">
        <v>3150</v>
      </c>
      <c r="M123" s="1">
        <v>3000</v>
      </c>
      <c r="N123" s="1">
        <v>1</v>
      </c>
      <c r="O123" s="1" t="str">
        <f t="shared" si="7"/>
        <v>"Binoculars": 1,</v>
      </c>
      <c r="P123" s="1" t="str">
        <f t="shared" si="8"/>
        <v>"Binoculars": 33,</v>
      </c>
      <c r="Q123" s="1" t="str">
        <f t="shared" si="9"/>
        <v>"Binoculars": 3000,</v>
      </c>
      <c r="R123" s="1" t="str">
        <f t="shared" si="10"/>
        <v>"Binoculars": 3,</v>
      </c>
    </row>
    <row r="124" spans="1:18" ht="15" customHeight="1" x14ac:dyDescent="0.25">
      <c r="A124" s="1" t="str">
        <f t="shared" si="11"/>
        <v>#tc_groceries#tc_medic#tc_equipments</v>
      </c>
      <c r="B124" s="1">
        <f>VLOOKUP(A124,TraderCategory!$A$63:$E$556,2,FALSE)</f>
        <v>25</v>
      </c>
      <c r="C124" s="1">
        <f>VLOOKUP(A124,TraderCategory!$A$63:$F$556,6,FALSE)</f>
        <v>6</v>
      </c>
      <c r="D124" s="1" t="str">
        <f>VLOOKUP(C124,Tabulka5[],3,FALSE)</f>
        <v>Master Sergeant</v>
      </c>
      <c r="E124" s="1">
        <v>6</v>
      </c>
      <c r="F124" s="1" t="str">
        <f>VLOOKUP(E124,Tabulka5[],3,FALSE)</f>
        <v>Master Sergeant</v>
      </c>
      <c r="G124" s="1" t="s">
        <v>3115</v>
      </c>
      <c r="H124" s="1" t="s">
        <v>465</v>
      </c>
      <c r="I124" s="1" t="s">
        <v>426</v>
      </c>
      <c r="J124" s="1" t="s">
        <v>3127</v>
      </c>
      <c r="K124" s="1" t="s">
        <v>2739</v>
      </c>
      <c r="L124" s="1" t="s">
        <v>3152</v>
      </c>
      <c r="M124" s="1">
        <v>50</v>
      </c>
      <c r="N124" s="1">
        <v>1</v>
      </c>
      <c r="O124" s="1" t="str">
        <f t="shared" si="7"/>
        <v>"BloodBagEmpty": 1,</v>
      </c>
      <c r="P124" s="1" t="str">
        <f t="shared" si="8"/>
        <v>"BloodBagEmpty": 25,</v>
      </c>
      <c r="Q124" s="1" t="str">
        <f t="shared" si="9"/>
        <v>"BloodBagEmpty": 50,</v>
      </c>
      <c r="R124" s="1" t="str">
        <f t="shared" si="10"/>
        <v>"BloodBagEmpty": 6,</v>
      </c>
    </row>
    <row r="125" spans="1:18" ht="15" customHeight="1" x14ac:dyDescent="0.25">
      <c r="A125" s="1" t="str">
        <f t="shared" si="11"/>
        <v>#tc_groceries#tc_medic#tc_equipments</v>
      </c>
      <c r="B125" s="1">
        <f>VLOOKUP(A125,TraderCategory!$A$63:$E$556,2,FALSE)</f>
        <v>25</v>
      </c>
      <c r="C125" s="1">
        <f>VLOOKUP(A125,TraderCategory!$A$63:$F$556,6,FALSE)</f>
        <v>6</v>
      </c>
      <c r="D125" s="1" t="str">
        <f>VLOOKUP(C125,Tabulka5[],3,FALSE)</f>
        <v>Master Sergeant</v>
      </c>
      <c r="E125" s="1">
        <v>6</v>
      </c>
      <c r="F125" s="1" t="str">
        <f>VLOOKUP(E125,Tabulka5[],3,FALSE)</f>
        <v>Master Sergeant</v>
      </c>
      <c r="G125" s="1" t="s">
        <v>3115</v>
      </c>
      <c r="H125" s="1" t="s">
        <v>466</v>
      </c>
      <c r="I125" s="1" t="s">
        <v>426</v>
      </c>
      <c r="J125" s="1" t="s">
        <v>3127</v>
      </c>
      <c r="K125" s="1" t="s">
        <v>2739</v>
      </c>
      <c r="L125" s="1" t="s">
        <v>3152</v>
      </c>
      <c r="M125" s="1">
        <v>500</v>
      </c>
      <c r="N125" s="1">
        <v>1</v>
      </c>
      <c r="O125" s="1" t="str">
        <f t="shared" si="7"/>
        <v>"BloodTestKit": 1,</v>
      </c>
      <c r="P125" s="1" t="str">
        <f t="shared" si="8"/>
        <v>"BloodTestKit": 25,</v>
      </c>
      <c r="Q125" s="1" t="str">
        <f t="shared" si="9"/>
        <v>"BloodTestKit": 500,</v>
      </c>
      <c r="R125" s="1" t="str">
        <f t="shared" si="10"/>
        <v>"BloodTestKit": 6,</v>
      </c>
    </row>
    <row r="126" spans="1:18" ht="15" customHeight="1" x14ac:dyDescent="0.25">
      <c r="A126" s="1" t="str">
        <f t="shared" si="11"/>
        <v>#tc_clothes#tc_civil#tc_tops</v>
      </c>
      <c r="B126" s="1">
        <f>VLOOKUP(A126,TraderCategory!$A$63:$E$556,2,FALSE)</f>
        <v>1</v>
      </c>
      <c r="C126" s="1">
        <f>VLOOKUP(A126,TraderCategory!$A$63:$F$556,6,FALSE)</f>
        <v>0</v>
      </c>
      <c r="D126" s="1" t="str">
        <f>VLOOKUP(C126,Tabulka5[],3,FALSE)</f>
        <v>Private</v>
      </c>
      <c r="E126" s="1">
        <v>0</v>
      </c>
      <c r="F126" s="1" t="str">
        <f>VLOOKUP(E126,Tabulka5[],3,FALSE)</f>
        <v>Private</v>
      </c>
      <c r="G126" s="1" t="s">
        <v>3115</v>
      </c>
      <c r="H126" s="1" t="s">
        <v>467</v>
      </c>
      <c r="I126" s="1" t="s">
        <v>403</v>
      </c>
      <c r="J126" s="1" t="s">
        <v>2728</v>
      </c>
      <c r="K126" s="1" t="s">
        <v>3126</v>
      </c>
      <c r="L126" s="1" t="s">
        <v>3131</v>
      </c>
      <c r="M126" s="1">
        <v>2000</v>
      </c>
      <c r="N126" s="1">
        <v>1</v>
      </c>
      <c r="O126" s="1" t="str">
        <f t="shared" si="7"/>
        <v>"Blouse_Blue": 1,</v>
      </c>
      <c r="P126" s="1" t="str">
        <f t="shared" si="8"/>
        <v>"Blouse_Blue": 1,</v>
      </c>
      <c r="Q126" s="1" t="str">
        <f t="shared" si="9"/>
        <v>"Blouse_Blue": 2000,</v>
      </c>
      <c r="R126" s="1" t="str">
        <f t="shared" si="10"/>
        <v>"Blouse_Blue": 0,</v>
      </c>
    </row>
    <row r="127" spans="1:18" ht="15" customHeight="1" x14ac:dyDescent="0.25">
      <c r="A127" s="1" t="str">
        <f t="shared" si="11"/>
        <v>#tc_clothes#tc_civil#tc_tops</v>
      </c>
      <c r="B127" s="1">
        <f>VLOOKUP(A127,TraderCategory!$A$63:$E$556,2,FALSE)</f>
        <v>1</v>
      </c>
      <c r="C127" s="1">
        <f>VLOOKUP(A127,TraderCategory!$A$63:$F$556,6,FALSE)</f>
        <v>0</v>
      </c>
      <c r="D127" s="1" t="str">
        <f>VLOOKUP(C127,Tabulka5[],3,FALSE)</f>
        <v>Private</v>
      </c>
      <c r="E127" s="1">
        <v>0</v>
      </c>
      <c r="F127" s="1" t="str">
        <f>VLOOKUP(E127,Tabulka5[],3,FALSE)</f>
        <v>Private</v>
      </c>
      <c r="G127" s="1" t="s">
        <v>3115</v>
      </c>
      <c r="H127" s="1" t="s">
        <v>468</v>
      </c>
      <c r="I127" s="1" t="s">
        <v>403</v>
      </c>
      <c r="J127" s="1" t="s">
        <v>2728</v>
      </c>
      <c r="K127" s="1" t="s">
        <v>3126</v>
      </c>
      <c r="L127" s="1" t="s">
        <v>3131</v>
      </c>
      <c r="M127" s="1">
        <v>2000</v>
      </c>
      <c r="N127" s="1">
        <v>1</v>
      </c>
      <c r="O127" s="1" t="str">
        <f t="shared" si="7"/>
        <v>"Blouse_Green": 1,</v>
      </c>
      <c r="P127" s="1" t="str">
        <f t="shared" si="8"/>
        <v>"Blouse_Green": 1,</v>
      </c>
      <c r="Q127" s="1" t="str">
        <f t="shared" si="9"/>
        <v>"Blouse_Green": 2000,</v>
      </c>
      <c r="R127" s="1" t="str">
        <f t="shared" si="10"/>
        <v>"Blouse_Green": 0,</v>
      </c>
    </row>
    <row r="128" spans="1:18" ht="15" customHeight="1" x14ac:dyDescent="0.25">
      <c r="A128" s="1" t="str">
        <f t="shared" si="11"/>
        <v>#tc_clothes#tc_civil#tc_tops</v>
      </c>
      <c r="B128" s="1">
        <f>VLOOKUP(A128,TraderCategory!$A$63:$E$556,2,FALSE)</f>
        <v>1</v>
      </c>
      <c r="C128" s="1">
        <f>VLOOKUP(A128,TraderCategory!$A$63:$F$556,6,FALSE)</f>
        <v>0</v>
      </c>
      <c r="D128" s="1" t="str">
        <f>VLOOKUP(C128,Tabulka5[],3,FALSE)</f>
        <v>Private</v>
      </c>
      <c r="E128" s="1">
        <v>0</v>
      </c>
      <c r="F128" s="1" t="str">
        <f>VLOOKUP(E128,Tabulka5[],3,FALSE)</f>
        <v>Private</v>
      </c>
      <c r="G128" s="1" t="s">
        <v>3115</v>
      </c>
      <c r="H128" s="1" t="s">
        <v>469</v>
      </c>
      <c r="I128" s="1" t="s">
        <v>403</v>
      </c>
      <c r="J128" s="1" t="s">
        <v>2728</v>
      </c>
      <c r="K128" s="1" t="s">
        <v>3126</v>
      </c>
      <c r="L128" s="1" t="s">
        <v>3131</v>
      </c>
      <c r="M128" s="1">
        <v>2000</v>
      </c>
      <c r="N128" s="1">
        <v>1</v>
      </c>
      <c r="O128" s="1" t="str">
        <f t="shared" si="7"/>
        <v>"Blouse_Violet": 1,</v>
      </c>
      <c r="P128" s="1" t="str">
        <f t="shared" si="8"/>
        <v>"Blouse_Violet": 1,</v>
      </c>
      <c r="Q128" s="1" t="str">
        <f t="shared" si="9"/>
        <v>"Blouse_Violet": 2000,</v>
      </c>
      <c r="R128" s="1" t="str">
        <f t="shared" si="10"/>
        <v>"Blouse_Violet": 0,</v>
      </c>
    </row>
    <row r="129" spans="1:18" ht="15" customHeight="1" x14ac:dyDescent="0.25">
      <c r="A129" s="1" t="str">
        <f t="shared" si="11"/>
        <v>#tc_clothes#tc_civil#tc_tops</v>
      </c>
      <c r="B129" s="1">
        <f>VLOOKUP(A129,TraderCategory!$A$63:$E$556,2,FALSE)</f>
        <v>1</v>
      </c>
      <c r="C129" s="1">
        <f>VLOOKUP(A129,TraderCategory!$A$63:$F$556,6,FALSE)</f>
        <v>0</v>
      </c>
      <c r="D129" s="1" t="str">
        <f>VLOOKUP(C129,Tabulka5[],3,FALSE)</f>
        <v>Private</v>
      </c>
      <c r="E129" s="1">
        <v>0</v>
      </c>
      <c r="F129" s="1" t="str">
        <f>VLOOKUP(E129,Tabulka5[],3,FALSE)</f>
        <v>Private</v>
      </c>
      <c r="G129" s="1" t="s">
        <v>3115</v>
      </c>
      <c r="H129" s="1" t="s">
        <v>470</v>
      </c>
      <c r="I129" s="1" t="s">
        <v>403</v>
      </c>
      <c r="J129" s="1" t="s">
        <v>2728</v>
      </c>
      <c r="K129" s="1" t="s">
        <v>3126</v>
      </c>
      <c r="L129" s="1" t="s">
        <v>3131</v>
      </c>
      <c r="M129" s="1">
        <v>2000</v>
      </c>
      <c r="N129" s="1">
        <v>1</v>
      </c>
      <c r="O129" s="1" t="str">
        <f t="shared" si="7"/>
        <v>"Blouse_White": 1,</v>
      </c>
      <c r="P129" s="1" t="str">
        <f t="shared" si="8"/>
        <v>"Blouse_White": 1,</v>
      </c>
      <c r="Q129" s="1" t="str">
        <f t="shared" si="9"/>
        <v>"Blouse_White": 2000,</v>
      </c>
      <c r="R129" s="1" t="str">
        <f t="shared" si="10"/>
        <v>"Blouse_White": 0,</v>
      </c>
    </row>
    <row r="130" spans="1:18" ht="15" customHeight="1" x14ac:dyDescent="0.25">
      <c r="A130" s="1" t="str">
        <f t="shared" si="11"/>
        <v>#tc_clothes#tc_civil#tc_tops</v>
      </c>
      <c r="B130" s="1">
        <f>VLOOKUP(A130,TraderCategory!$A$63:$E$556,2,FALSE)</f>
        <v>1</v>
      </c>
      <c r="C130" s="1">
        <f>VLOOKUP(A130,TraderCategory!$A$63:$F$556,6,FALSE)</f>
        <v>0</v>
      </c>
      <c r="D130" s="1" t="str">
        <f>VLOOKUP(C130,Tabulka5[],3,FALSE)</f>
        <v>Private</v>
      </c>
      <c r="E130" s="1">
        <v>0</v>
      </c>
      <c r="F130" s="1" t="str">
        <f>VLOOKUP(E130,Tabulka5[],3,FALSE)</f>
        <v>Private</v>
      </c>
      <c r="G130" s="1" t="s">
        <v>3115</v>
      </c>
      <c r="H130" s="1" t="s">
        <v>472</v>
      </c>
      <c r="I130" s="1" t="s">
        <v>403</v>
      </c>
      <c r="J130" s="1" t="s">
        <v>2728</v>
      </c>
      <c r="K130" s="1" t="s">
        <v>3126</v>
      </c>
      <c r="L130" s="1" t="s">
        <v>3131</v>
      </c>
      <c r="M130" s="1">
        <v>2000</v>
      </c>
      <c r="N130" s="1">
        <v>1</v>
      </c>
      <c r="O130" s="1" t="str">
        <f t="shared" si="7"/>
        <v>"BomberJacket_Black": 1,</v>
      </c>
      <c r="P130" s="1" t="str">
        <f t="shared" si="8"/>
        <v>"BomberJacket_Black": 1,</v>
      </c>
      <c r="Q130" s="1" t="str">
        <f t="shared" si="9"/>
        <v>"BomberJacket_Black": 2000,</v>
      </c>
      <c r="R130" s="1" t="str">
        <f t="shared" si="10"/>
        <v>"BomberJacket_Black": 0,</v>
      </c>
    </row>
    <row r="131" spans="1:18" ht="15" customHeight="1" x14ac:dyDescent="0.25">
      <c r="A131" s="1" t="str">
        <f t="shared" si="11"/>
        <v>#tc_clothes#tc_civil#tc_tops</v>
      </c>
      <c r="B131" s="1">
        <f>VLOOKUP(A131,TraderCategory!$A$63:$E$556,2,FALSE)</f>
        <v>1</v>
      </c>
      <c r="C131" s="1">
        <f>VLOOKUP(A131,TraderCategory!$A$63:$F$556,6,FALSE)</f>
        <v>0</v>
      </c>
      <c r="D131" s="1" t="str">
        <f>VLOOKUP(C131,Tabulka5[],3,FALSE)</f>
        <v>Private</v>
      </c>
      <c r="E131" s="1">
        <v>0</v>
      </c>
      <c r="F131" s="1" t="str">
        <f>VLOOKUP(E131,Tabulka5[],3,FALSE)</f>
        <v>Private</v>
      </c>
      <c r="G131" s="1" t="s">
        <v>3115</v>
      </c>
      <c r="H131" s="1" t="s">
        <v>473</v>
      </c>
      <c r="I131" s="1" t="s">
        <v>403</v>
      </c>
      <c r="J131" s="1" t="s">
        <v>2728</v>
      </c>
      <c r="K131" s="1" t="s">
        <v>3126</v>
      </c>
      <c r="L131" s="1" t="s">
        <v>3131</v>
      </c>
      <c r="M131" s="1">
        <v>2000</v>
      </c>
      <c r="N131" s="1">
        <v>1</v>
      </c>
      <c r="O131" s="1" t="str">
        <f t="shared" ref="O131:O194" si="12">"""" &amp;H131 &amp; """: " &amp; N131 &amp; ","</f>
        <v>"BomberJacket_Blue": 1,</v>
      </c>
      <c r="P131" s="1" t="str">
        <f t="shared" ref="P131:P194" si="13">"""" &amp;H131 &amp; """: " &amp; B131 &amp; ","</f>
        <v>"BomberJacket_Blue": 1,</v>
      </c>
      <c r="Q131" s="1" t="str">
        <f t="shared" ref="Q131:Q194" si="14">"""" &amp;H131 &amp; """: " &amp; M131 &amp; ","</f>
        <v>"BomberJacket_Blue": 2000,</v>
      </c>
      <c r="R131" s="1" t="str">
        <f t="shared" ref="R131:R194" si="15">"""" &amp;H131 &amp; """: " &amp; E131 &amp; ","</f>
        <v>"BomberJacket_Blue": 0,</v>
      </c>
    </row>
    <row r="132" spans="1:18" ht="15" customHeight="1" x14ac:dyDescent="0.25">
      <c r="A132" s="1" t="str">
        <f t="shared" si="11"/>
        <v>#tc_clothes#tc_civil#tc_tops</v>
      </c>
      <c r="B132" s="1">
        <f>VLOOKUP(A132,TraderCategory!$A$63:$E$556,2,FALSE)</f>
        <v>1</v>
      </c>
      <c r="C132" s="1">
        <f>VLOOKUP(A132,TraderCategory!$A$63:$F$556,6,FALSE)</f>
        <v>0</v>
      </c>
      <c r="D132" s="1" t="str">
        <f>VLOOKUP(C132,Tabulka5[],3,FALSE)</f>
        <v>Private</v>
      </c>
      <c r="E132" s="1">
        <v>0</v>
      </c>
      <c r="F132" s="1" t="str">
        <f>VLOOKUP(E132,Tabulka5[],3,FALSE)</f>
        <v>Private</v>
      </c>
      <c r="G132" s="1" t="s">
        <v>3115</v>
      </c>
      <c r="H132" s="1" t="s">
        <v>474</v>
      </c>
      <c r="I132" s="1" t="s">
        <v>403</v>
      </c>
      <c r="J132" s="1" t="s">
        <v>2728</v>
      </c>
      <c r="K132" s="1" t="s">
        <v>3126</v>
      </c>
      <c r="L132" s="1" t="s">
        <v>3131</v>
      </c>
      <c r="M132" s="1">
        <v>2000</v>
      </c>
      <c r="N132" s="1">
        <v>1</v>
      </c>
      <c r="O132" s="1" t="str">
        <f t="shared" si="12"/>
        <v>"BomberJacket_Brown": 1,</v>
      </c>
      <c r="P132" s="1" t="str">
        <f t="shared" si="13"/>
        <v>"BomberJacket_Brown": 1,</v>
      </c>
      <c r="Q132" s="1" t="str">
        <f t="shared" si="14"/>
        <v>"BomberJacket_Brown": 2000,</v>
      </c>
      <c r="R132" s="1" t="str">
        <f t="shared" si="15"/>
        <v>"BomberJacket_Brown": 0,</v>
      </c>
    </row>
    <row r="133" spans="1:18" ht="15" customHeight="1" x14ac:dyDescent="0.25">
      <c r="A133" s="1" t="str">
        <f t="shared" si="11"/>
        <v>#tc_clothes#tc_civil#tc_tops</v>
      </c>
      <c r="B133" s="1">
        <f>VLOOKUP(A133,TraderCategory!$A$63:$E$556,2,FALSE)</f>
        <v>1</v>
      </c>
      <c r="C133" s="1">
        <f>VLOOKUP(A133,TraderCategory!$A$63:$F$556,6,FALSE)</f>
        <v>0</v>
      </c>
      <c r="D133" s="1" t="str">
        <f>VLOOKUP(C133,Tabulka5[],3,FALSE)</f>
        <v>Private</v>
      </c>
      <c r="E133" s="1">
        <v>0</v>
      </c>
      <c r="F133" s="1" t="str">
        <f>VLOOKUP(E133,Tabulka5[],3,FALSE)</f>
        <v>Private</v>
      </c>
      <c r="G133" s="1" t="s">
        <v>3115</v>
      </c>
      <c r="H133" s="1" t="s">
        <v>475</v>
      </c>
      <c r="I133" s="1" t="s">
        <v>403</v>
      </c>
      <c r="J133" s="1" t="s">
        <v>2728</v>
      </c>
      <c r="K133" s="1" t="s">
        <v>3126</v>
      </c>
      <c r="L133" s="1" t="s">
        <v>3131</v>
      </c>
      <c r="M133" s="1">
        <v>2000</v>
      </c>
      <c r="N133" s="1">
        <v>1</v>
      </c>
      <c r="O133" s="1" t="str">
        <f t="shared" si="12"/>
        <v>"BomberJacket_Grey": 1,</v>
      </c>
      <c r="P133" s="1" t="str">
        <f t="shared" si="13"/>
        <v>"BomberJacket_Grey": 1,</v>
      </c>
      <c r="Q133" s="1" t="str">
        <f t="shared" si="14"/>
        <v>"BomberJacket_Grey": 2000,</v>
      </c>
      <c r="R133" s="1" t="str">
        <f t="shared" si="15"/>
        <v>"BomberJacket_Grey": 0,</v>
      </c>
    </row>
    <row r="134" spans="1:18" ht="15" customHeight="1" x14ac:dyDescent="0.25">
      <c r="A134" s="1" t="str">
        <f t="shared" si="11"/>
        <v>#tc_clothes#tc_civil#tc_tops</v>
      </c>
      <c r="B134" s="1">
        <f>VLOOKUP(A134,TraderCategory!$A$63:$E$556,2,FALSE)</f>
        <v>1</v>
      </c>
      <c r="C134" s="1">
        <f>VLOOKUP(A134,TraderCategory!$A$63:$F$556,6,FALSE)</f>
        <v>0</v>
      </c>
      <c r="D134" s="1" t="str">
        <f>VLOOKUP(C134,Tabulka5[],3,FALSE)</f>
        <v>Private</v>
      </c>
      <c r="E134" s="1">
        <v>0</v>
      </c>
      <c r="F134" s="1" t="str">
        <f>VLOOKUP(E134,Tabulka5[],3,FALSE)</f>
        <v>Private</v>
      </c>
      <c r="G134" s="1" t="s">
        <v>3115</v>
      </c>
      <c r="H134" s="1" t="s">
        <v>476</v>
      </c>
      <c r="I134" s="1" t="s">
        <v>403</v>
      </c>
      <c r="J134" s="1" t="s">
        <v>2728</v>
      </c>
      <c r="K134" s="1" t="s">
        <v>3126</v>
      </c>
      <c r="L134" s="1" t="s">
        <v>3131</v>
      </c>
      <c r="M134" s="1">
        <v>2000</v>
      </c>
      <c r="N134" s="1">
        <v>1</v>
      </c>
      <c r="O134" s="1" t="str">
        <f t="shared" si="12"/>
        <v>"BomberJacket_Maroon": 1,</v>
      </c>
      <c r="P134" s="1" t="str">
        <f t="shared" si="13"/>
        <v>"BomberJacket_Maroon": 1,</v>
      </c>
      <c r="Q134" s="1" t="str">
        <f t="shared" si="14"/>
        <v>"BomberJacket_Maroon": 2000,</v>
      </c>
      <c r="R134" s="1" t="str">
        <f t="shared" si="15"/>
        <v>"BomberJacket_Maroon": 0,</v>
      </c>
    </row>
    <row r="135" spans="1:18" ht="15" customHeight="1" x14ac:dyDescent="0.25">
      <c r="A135" s="1" t="str">
        <f t="shared" si="11"/>
        <v>#tc_clothes#tc_civil#tc_tops</v>
      </c>
      <c r="B135" s="1">
        <f>VLOOKUP(A135,TraderCategory!$A$63:$E$556,2,FALSE)</f>
        <v>1</v>
      </c>
      <c r="C135" s="1">
        <f>VLOOKUP(A135,TraderCategory!$A$63:$F$556,6,FALSE)</f>
        <v>0</v>
      </c>
      <c r="D135" s="1" t="str">
        <f>VLOOKUP(C135,Tabulka5[],3,FALSE)</f>
        <v>Private</v>
      </c>
      <c r="E135" s="1">
        <v>0</v>
      </c>
      <c r="F135" s="1" t="str">
        <f>VLOOKUP(E135,Tabulka5[],3,FALSE)</f>
        <v>Private</v>
      </c>
      <c r="G135" s="1" t="s">
        <v>3115</v>
      </c>
      <c r="H135" s="1" t="s">
        <v>477</v>
      </c>
      <c r="I135" s="1" t="s">
        <v>403</v>
      </c>
      <c r="J135" s="1" t="s">
        <v>2728</v>
      </c>
      <c r="K135" s="1" t="s">
        <v>3126</v>
      </c>
      <c r="L135" s="1" t="s">
        <v>3131</v>
      </c>
      <c r="M135" s="1">
        <v>2000</v>
      </c>
      <c r="N135" s="1">
        <v>1</v>
      </c>
      <c r="O135" s="1" t="str">
        <f t="shared" si="12"/>
        <v>"BomberJacket_Olive": 1,</v>
      </c>
      <c r="P135" s="1" t="str">
        <f t="shared" si="13"/>
        <v>"BomberJacket_Olive": 1,</v>
      </c>
      <c r="Q135" s="1" t="str">
        <f t="shared" si="14"/>
        <v>"BomberJacket_Olive": 2000,</v>
      </c>
      <c r="R135" s="1" t="str">
        <f t="shared" si="15"/>
        <v>"BomberJacket_Olive": 0,</v>
      </c>
    </row>
    <row r="136" spans="1:18" ht="15" customHeight="1" x14ac:dyDescent="0.25">
      <c r="A136" s="1" t="str">
        <f t="shared" si="11"/>
        <v>#tc_clothes#tc_civil#tc_tops</v>
      </c>
      <c r="B136" s="1">
        <f>VLOOKUP(A136,TraderCategory!$A$63:$E$556,2,FALSE)</f>
        <v>1</v>
      </c>
      <c r="C136" s="1">
        <f>VLOOKUP(A136,TraderCategory!$A$63:$F$556,6,FALSE)</f>
        <v>0</v>
      </c>
      <c r="D136" s="1" t="str">
        <f>VLOOKUP(C136,Tabulka5[],3,FALSE)</f>
        <v>Private</v>
      </c>
      <c r="E136" s="1">
        <v>0</v>
      </c>
      <c r="F136" s="1" t="str">
        <f>VLOOKUP(E136,Tabulka5[],3,FALSE)</f>
        <v>Private</v>
      </c>
      <c r="G136" s="1" t="s">
        <v>3115</v>
      </c>
      <c r="H136" s="1" t="s">
        <v>478</v>
      </c>
      <c r="I136" s="1" t="s">
        <v>403</v>
      </c>
      <c r="J136" s="1" t="s">
        <v>2728</v>
      </c>
      <c r="K136" s="1" t="s">
        <v>3126</v>
      </c>
      <c r="L136" s="1" t="s">
        <v>3131</v>
      </c>
      <c r="M136" s="1">
        <v>2000</v>
      </c>
      <c r="N136" s="1">
        <v>1</v>
      </c>
      <c r="O136" s="1" t="str">
        <f t="shared" si="12"/>
        <v>"BomberJacket_SkyBlue": 1,</v>
      </c>
      <c r="P136" s="1" t="str">
        <f t="shared" si="13"/>
        <v>"BomberJacket_SkyBlue": 1,</v>
      </c>
      <c r="Q136" s="1" t="str">
        <f t="shared" si="14"/>
        <v>"BomberJacket_SkyBlue": 2000,</v>
      </c>
      <c r="R136" s="1" t="str">
        <f t="shared" si="15"/>
        <v>"BomberJacket_SkyBlue": 0,</v>
      </c>
    </row>
    <row r="137" spans="1:18" ht="15" customHeight="1" x14ac:dyDescent="0.25">
      <c r="A137" s="1" t="str">
        <f t="shared" si="11"/>
        <v>#tc_clothes#tc_civil#tc_head</v>
      </c>
      <c r="B137" s="1">
        <f>VLOOKUP(A137,TraderCategory!$A$63:$E$556,2,FALSE)</f>
        <v>0</v>
      </c>
      <c r="C137" s="1">
        <f>VLOOKUP(A137,TraderCategory!$A$63:$F$556,6,FALSE)</f>
        <v>0</v>
      </c>
      <c r="D137" s="1" t="str">
        <f>VLOOKUP(C137,Tabulka5[],3,FALSE)</f>
        <v>Private</v>
      </c>
      <c r="E137" s="1">
        <v>0</v>
      </c>
      <c r="F137" s="1" t="str">
        <f>VLOOKUP(E137,Tabulka5[],3,FALSE)</f>
        <v>Private</v>
      </c>
      <c r="G137" s="1" t="s">
        <v>3115</v>
      </c>
      <c r="H137" s="1" t="s">
        <v>479</v>
      </c>
      <c r="I137" s="1" t="s">
        <v>403</v>
      </c>
      <c r="J137" s="1" t="s">
        <v>2728</v>
      </c>
      <c r="K137" s="1" t="s">
        <v>3126</v>
      </c>
      <c r="L137" s="1" t="s">
        <v>3130</v>
      </c>
      <c r="M137" s="1">
        <v>200</v>
      </c>
      <c r="N137" s="1">
        <v>1</v>
      </c>
      <c r="O137" s="1" t="str">
        <f t="shared" si="12"/>
        <v>"BoonieHat_Black": 1,</v>
      </c>
      <c r="P137" s="1" t="str">
        <f t="shared" si="13"/>
        <v>"BoonieHat_Black": 0,</v>
      </c>
      <c r="Q137" s="1" t="str">
        <f t="shared" si="14"/>
        <v>"BoonieHat_Black": 200,</v>
      </c>
      <c r="R137" s="1" t="str">
        <f t="shared" si="15"/>
        <v>"BoonieHat_Black": 0,</v>
      </c>
    </row>
    <row r="138" spans="1:18" ht="15" customHeight="1" x14ac:dyDescent="0.25">
      <c r="A138" s="1" t="str">
        <f t="shared" si="11"/>
        <v>#tc_clothes#tc_civil#tc_head</v>
      </c>
      <c r="B138" s="1">
        <f>VLOOKUP(A138,TraderCategory!$A$63:$E$556,2,FALSE)</f>
        <v>0</v>
      </c>
      <c r="C138" s="1">
        <f>VLOOKUP(A138,TraderCategory!$A$63:$F$556,6,FALSE)</f>
        <v>0</v>
      </c>
      <c r="D138" s="1" t="str">
        <f>VLOOKUP(C138,Tabulka5[],3,FALSE)</f>
        <v>Private</v>
      </c>
      <c r="E138" s="1">
        <v>0</v>
      </c>
      <c r="F138" s="1" t="str">
        <f>VLOOKUP(E138,Tabulka5[],3,FALSE)</f>
        <v>Private</v>
      </c>
      <c r="G138" s="1" t="s">
        <v>3115</v>
      </c>
      <c r="H138" s="1" t="s">
        <v>480</v>
      </c>
      <c r="I138" s="1" t="s">
        <v>403</v>
      </c>
      <c r="J138" s="1" t="s">
        <v>2728</v>
      </c>
      <c r="K138" s="1" t="s">
        <v>3126</v>
      </c>
      <c r="L138" s="1" t="s">
        <v>3130</v>
      </c>
      <c r="M138" s="1">
        <v>200</v>
      </c>
      <c r="N138" s="1">
        <v>1</v>
      </c>
      <c r="O138" s="1" t="str">
        <f t="shared" si="12"/>
        <v>"BoonieHat_Blue": 1,</v>
      </c>
      <c r="P138" s="1" t="str">
        <f t="shared" si="13"/>
        <v>"BoonieHat_Blue": 0,</v>
      </c>
      <c r="Q138" s="1" t="str">
        <f t="shared" si="14"/>
        <v>"BoonieHat_Blue": 200,</v>
      </c>
      <c r="R138" s="1" t="str">
        <f t="shared" si="15"/>
        <v>"BoonieHat_Blue": 0,</v>
      </c>
    </row>
    <row r="139" spans="1:18" ht="15" customHeight="1" x14ac:dyDescent="0.25">
      <c r="A139" s="1" t="str">
        <f t="shared" si="11"/>
        <v>#tc_clothes#tc_civil#tc_head</v>
      </c>
      <c r="B139" s="1">
        <f>VLOOKUP(A139,TraderCategory!$A$63:$E$556,2,FALSE)</f>
        <v>0</v>
      </c>
      <c r="C139" s="1">
        <f>VLOOKUP(A139,TraderCategory!$A$63:$F$556,6,FALSE)</f>
        <v>0</v>
      </c>
      <c r="D139" s="1" t="str">
        <f>VLOOKUP(C139,Tabulka5[],3,FALSE)</f>
        <v>Private</v>
      </c>
      <c r="E139" s="1">
        <v>0</v>
      </c>
      <c r="F139" s="1" t="str">
        <f>VLOOKUP(E139,Tabulka5[],3,FALSE)</f>
        <v>Private</v>
      </c>
      <c r="G139" s="1" t="s">
        <v>3115</v>
      </c>
      <c r="H139" s="1" t="s">
        <v>481</v>
      </c>
      <c r="I139" s="1" t="s">
        <v>403</v>
      </c>
      <c r="J139" s="1" t="s">
        <v>2728</v>
      </c>
      <c r="K139" s="1" t="s">
        <v>3126</v>
      </c>
      <c r="L139" s="1" t="s">
        <v>3130</v>
      </c>
      <c r="M139" s="1">
        <v>200</v>
      </c>
      <c r="N139" s="1">
        <v>1</v>
      </c>
      <c r="O139" s="1" t="str">
        <f t="shared" si="12"/>
        <v>"BoonieHat_DPM": 1,</v>
      </c>
      <c r="P139" s="1" t="str">
        <f t="shared" si="13"/>
        <v>"BoonieHat_DPM": 0,</v>
      </c>
      <c r="Q139" s="1" t="str">
        <f t="shared" si="14"/>
        <v>"BoonieHat_DPM": 200,</v>
      </c>
      <c r="R139" s="1" t="str">
        <f t="shared" si="15"/>
        <v>"BoonieHat_DPM": 0,</v>
      </c>
    </row>
    <row r="140" spans="1:18" ht="15" customHeight="1" x14ac:dyDescent="0.25">
      <c r="A140" s="1" t="str">
        <f t="shared" si="11"/>
        <v>#tc_clothes#tc_civil#tc_head</v>
      </c>
      <c r="B140" s="1">
        <f>VLOOKUP(A140,TraderCategory!$A$63:$E$556,2,FALSE)</f>
        <v>0</v>
      </c>
      <c r="C140" s="1">
        <f>VLOOKUP(A140,TraderCategory!$A$63:$F$556,6,FALSE)</f>
        <v>0</v>
      </c>
      <c r="D140" s="1" t="str">
        <f>VLOOKUP(C140,Tabulka5[],3,FALSE)</f>
        <v>Private</v>
      </c>
      <c r="E140" s="1">
        <v>0</v>
      </c>
      <c r="F140" s="1" t="str">
        <f>VLOOKUP(E140,Tabulka5[],3,FALSE)</f>
        <v>Private</v>
      </c>
      <c r="G140" s="1" t="s">
        <v>3115</v>
      </c>
      <c r="H140" s="1" t="s">
        <v>482</v>
      </c>
      <c r="I140" s="1" t="s">
        <v>403</v>
      </c>
      <c r="J140" s="1" t="s">
        <v>2728</v>
      </c>
      <c r="K140" s="1" t="s">
        <v>3126</v>
      </c>
      <c r="L140" s="1" t="s">
        <v>3130</v>
      </c>
      <c r="M140" s="1">
        <v>200</v>
      </c>
      <c r="N140" s="1">
        <v>1</v>
      </c>
      <c r="O140" s="1" t="str">
        <f t="shared" si="12"/>
        <v>"BoonieHat_Dubok": 1,</v>
      </c>
      <c r="P140" s="1" t="str">
        <f t="shared" si="13"/>
        <v>"BoonieHat_Dubok": 0,</v>
      </c>
      <c r="Q140" s="1" t="str">
        <f t="shared" si="14"/>
        <v>"BoonieHat_Dubok": 200,</v>
      </c>
      <c r="R140" s="1" t="str">
        <f t="shared" si="15"/>
        <v>"BoonieHat_Dubok": 0,</v>
      </c>
    </row>
    <row r="141" spans="1:18" ht="15" customHeight="1" x14ac:dyDescent="0.25">
      <c r="A141" s="1" t="str">
        <f t="shared" si="11"/>
        <v>#tc_clothes#tc_civil#tc_head</v>
      </c>
      <c r="B141" s="1">
        <f>VLOOKUP(A141,TraderCategory!$A$63:$E$556,2,FALSE)</f>
        <v>0</v>
      </c>
      <c r="C141" s="1">
        <f>VLOOKUP(A141,TraderCategory!$A$63:$F$556,6,FALSE)</f>
        <v>0</v>
      </c>
      <c r="D141" s="1" t="str">
        <f>VLOOKUP(C141,Tabulka5[],3,FALSE)</f>
        <v>Private</v>
      </c>
      <c r="E141" s="1">
        <v>0</v>
      </c>
      <c r="F141" s="1" t="str">
        <f>VLOOKUP(E141,Tabulka5[],3,FALSE)</f>
        <v>Private</v>
      </c>
      <c r="G141" s="1" t="s">
        <v>3115</v>
      </c>
      <c r="H141" s="1" t="s">
        <v>483</v>
      </c>
      <c r="I141" s="1" t="s">
        <v>403</v>
      </c>
      <c r="J141" s="1" t="s">
        <v>2728</v>
      </c>
      <c r="K141" s="1" t="s">
        <v>3126</v>
      </c>
      <c r="L141" s="1" t="s">
        <v>3130</v>
      </c>
      <c r="M141" s="1">
        <v>200</v>
      </c>
      <c r="N141" s="1">
        <v>1</v>
      </c>
      <c r="O141" s="1" t="str">
        <f t="shared" si="12"/>
        <v>"BoonieHat_Flecktran": 1,</v>
      </c>
      <c r="P141" s="1" t="str">
        <f t="shared" si="13"/>
        <v>"BoonieHat_Flecktran": 0,</v>
      </c>
      <c r="Q141" s="1" t="str">
        <f t="shared" si="14"/>
        <v>"BoonieHat_Flecktran": 200,</v>
      </c>
      <c r="R141" s="1" t="str">
        <f t="shared" si="15"/>
        <v>"BoonieHat_Flecktran": 0,</v>
      </c>
    </row>
    <row r="142" spans="1:18" ht="15" customHeight="1" x14ac:dyDescent="0.25">
      <c r="A142" s="1" t="str">
        <f t="shared" si="11"/>
        <v>#tc_clothes#tc_civil#tc_head</v>
      </c>
      <c r="B142" s="1">
        <f>VLOOKUP(A142,TraderCategory!$A$63:$E$556,2,FALSE)</f>
        <v>0</v>
      </c>
      <c r="C142" s="1">
        <f>VLOOKUP(A142,TraderCategory!$A$63:$F$556,6,FALSE)</f>
        <v>0</v>
      </c>
      <c r="D142" s="1" t="str">
        <f>VLOOKUP(C142,Tabulka5[],3,FALSE)</f>
        <v>Private</v>
      </c>
      <c r="E142" s="1">
        <v>0</v>
      </c>
      <c r="F142" s="1" t="str">
        <f>VLOOKUP(E142,Tabulka5[],3,FALSE)</f>
        <v>Private</v>
      </c>
      <c r="G142" s="1" t="s">
        <v>3115</v>
      </c>
      <c r="H142" s="1" t="s">
        <v>484</v>
      </c>
      <c r="I142" s="1" t="s">
        <v>403</v>
      </c>
      <c r="J142" s="1" t="s">
        <v>2728</v>
      </c>
      <c r="K142" s="1" t="s">
        <v>3126</v>
      </c>
      <c r="L142" s="1" t="s">
        <v>3130</v>
      </c>
      <c r="M142" s="1">
        <v>200</v>
      </c>
      <c r="N142" s="1">
        <v>1</v>
      </c>
      <c r="O142" s="1" t="str">
        <f t="shared" si="12"/>
        <v>"BoonieHat_NavyBlue": 1,</v>
      </c>
      <c r="P142" s="1" t="str">
        <f t="shared" si="13"/>
        <v>"BoonieHat_NavyBlue": 0,</v>
      </c>
      <c r="Q142" s="1" t="str">
        <f t="shared" si="14"/>
        <v>"BoonieHat_NavyBlue": 200,</v>
      </c>
      <c r="R142" s="1" t="str">
        <f t="shared" si="15"/>
        <v>"BoonieHat_NavyBlue": 0,</v>
      </c>
    </row>
    <row r="143" spans="1:18" ht="15" customHeight="1" x14ac:dyDescent="0.25">
      <c r="A143" s="1" t="str">
        <f t="shared" si="11"/>
        <v>#tc_clothes#tc_civil#tc_head</v>
      </c>
      <c r="B143" s="1">
        <f>VLOOKUP(A143,TraderCategory!$A$63:$E$556,2,FALSE)</f>
        <v>0</v>
      </c>
      <c r="C143" s="1">
        <f>VLOOKUP(A143,TraderCategory!$A$63:$F$556,6,FALSE)</f>
        <v>0</v>
      </c>
      <c r="D143" s="1" t="str">
        <f>VLOOKUP(C143,Tabulka5[],3,FALSE)</f>
        <v>Private</v>
      </c>
      <c r="E143" s="1">
        <v>0</v>
      </c>
      <c r="F143" s="1" t="str">
        <f>VLOOKUP(E143,Tabulka5[],3,FALSE)</f>
        <v>Private</v>
      </c>
      <c r="G143" s="1" t="s">
        <v>3115</v>
      </c>
      <c r="H143" s="1" t="s">
        <v>485</v>
      </c>
      <c r="I143" s="1" t="s">
        <v>403</v>
      </c>
      <c r="J143" s="1" t="s">
        <v>2728</v>
      </c>
      <c r="K143" s="1" t="s">
        <v>3126</v>
      </c>
      <c r="L143" s="1" t="s">
        <v>3130</v>
      </c>
      <c r="M143" s="1">
        <v>200</v>
      </c>
      <c r="N143" s="1">
        <v>1</v>
      </c>
      <c r="O143" s="1" t="str">
        <f t="shared" si="12"/>
        <v>"BoonieHat_Olive": 1,</v>
      </c>
      <c r="P143" s="1" t="str">
        <f t="shared" si="13"/>
        <v>"BoonieHat_Olive": 0,</v>
      </c>
      <c r="Q143" s="1" t="str">
        <f t="shared" si="14"/>
        <v>"BoonieHat_Olive": 200,</v>
      </c>
      <c r="R143" s="1" t="str">
        <f t="shared" si="15"/>
        <v>"BoonieHat_Olive": 0,</v>
      </c>
    </row>
    <row r="144" spans="1:18" ht="15" customHeight="1" x14ac:dyDescent="0.25">
      <c r="A144" s="1" t="str">
        <f t="shared" si="11"/>
        <v>#tc_clothes#tc_civil#tc_head</v>
      </c>
      <c r="B144" s="1">
        <f>VLOOKUP(A144,TraderCategory!$A$63:$E$556,2,FALSE)</f>
        <v>0</v>
      </c>
      <c r="C144" s="1">
        <f>VLOOKUP(A144,TraderCategory!$A$63:$F$556,6,FALSE)</f>
        <v>0</v>
      </c>
      <c r="D144" s="1" t="str">
        <f>VLOOKUP(C144,Tabulka5[],3,FALSE)</f>
        <v>Private</v>
      </c>
      <c r="E144" s="1">
        <v>0</v>
      </c>
      <c r="F144" s="1" t="str">
        <f>VLOOKUP(E144,Tabulka5[],3,FALSE)</f>
        <v>Private</v>
      </c>
      <c r="G144" s="1" t="s">
        <v>3115</v>
      </c>
      <c r="H144" s="1" t="s">
        <v>486</v>
      </c>
      <c r="I144" s="1" t="s">
        <v>403</v>
      </c>
      <c r="J144" s="1" t="s">
        <v>2728</v>
      </c>
      <c r="K144" s="1" t="s">
        <v>3126</v>
      </c>
      <c r="L144" s="1" t="s">
        <v>3130</v>
      </c>
      <c r="M144" s="1">
        <v>200</v>
      </c>
      <c r="N144" s="1">
        <v>1</v>
      </c>
      <c r="O144" s="1" t="str">
        <f t="shared" si="12"/>
        <v>"BoonieHat_Orange": 1,</v>
      </c>
      <c r="P144" s="1" t="str">
        <f t="shared" si="13"/>
        <v>"BoonieHat_Orange": 0,</v>
      </c>
      <c r="Q144" s="1" t="str">
        <f t="shared" si="14"/>
        <v>"BoonieHat_Orange": 200,</v>
      </c>
      <c r="R144" s="1" t="str">
        <f t="shared" si="15"/>
        <v>"BoonieHat_Orange": 0,</v>
      </c>
    </row>
    <row r="145" spans="1:18" ht="15" customHeight="1" x14ac:dyDescent="0.25">
      <c r="A145" s="1" t="str">
        <f t="shared" si="11"/>
        <v>#tc_clothes#tc_civil#tc_head</v>
      </c>
      <c r="B145" s="1">
        <f>VLOOKUP(A145,TraderCategory!$A$63:$E$556,2,FALSE)</f>
        <v>0</v>
      </c>
      <c r="C145" s="1">
        <f>VLOOKUP(A145,TraderCategory!$A$63:$F$556,6,FALSE)</f>
        <v>0</v>
      </c>
      <c r="D145" s="1" t="str">
        <f>VLOOKUP(C145,Tabulka5[],3,FALSE)</f>
        <v>Private</v>
      </c>
      <c r="E145" s="1">
        <v>0</v>
      </c>
      <c r="F145" s="1" t="str">
        <f>VLOOKUP(E145,Tabulka5[],3,FALSE)</f>
        <v>Private</v>
      </c>
      <c r="G145" s="1" t="s">
        <v>3115</v>
      </c>
      <c r="H145" s="1" t="s">
        <v>487</v>
      </c>
      <c r="I145" s="1" t="s">
        <v>403</v>
      </c>
      <c r="J145" s="1" t="s">
        <v>2728</v>
      </c>
      <c r="K145" s="1" t="s">
        <v>3126</v>
      </c>
      <c r="L145" s="1" t="s">
        <v>3130</v>
      </c>
      <c r="M145" s="1">
        <v>200</v>
      </c>
      <c r="N145" s="1">
        <v>1</v>
      </c>
      <c r="O145" s="1" t="str">
        <f t="shared" si="12"/>
        <v>"BoonieHat_Red": 1,</v>
      </c>
      <c r="P145" s="1" t="str">
        <f t="shared" si="13"/>
        <v>"BoonieHat_Red": 0,</v>
      </c>
      <c r="Q145" s="1" t="str">
        <f t="shared" si="14"/>
        <v>"BoonieHat_Red": 200,</v>
      </c>
      <c r="R145" s="1" t="str">
        <f t="shared" si="15"/>
        <v>"BoonieHat_Red": 0,</v>
      </c>
    </row>
    <row r="146" spans="1:18" ht="15" customHeight="1" x14ac:dyDescent="0.25">
      <c r="A146" s="1" t="str">
        <f t="shared" si="11"/>
        <v>#tc_clothes#tc_civil#tc_head</v>
      </c>
      <c r="B146" s="1">
        <f>VLOOKUP(A146,TraderCategory!$A$63:$E$556,2,FALSE)</f>
        <v>0</v>
      </c>
      <c r="C146" s="1">
        <f>VLOOKUP(A146,TraderCategory!$A$63:$F$556,6,FALSE)</f>
        <v>0</v>
      </c>
      <c r="D146" s="1" t="str">
        <f>VLOOKUP(C146,Tabulka5[],3,FALSE)</f>
        <v>Private</v>
      </c>
      <c r="E146" s="1">
        <v>0</v>
      </c>
      <c r="F146" s="1" t="str">
        <f>VLOOKUP(E146,Tabulka5[],3,FALSE)</f>
        <v>Private</v>
      </c>
      <c r="G146" s="1" t="s">
        <v>3115</v>
      </c>
      <c r="H146" s="1" t="s">
        <v>488</v>
      </c>
      <c r="I146" s="1" t="s">
        <v>403</v>
      </c>
      <c r="J146" s="1" t="s">
        <v>2728</v>
      </c>
      <c r="K146" s="1" t="s">
        <v>3126</v>
      </c>
      <c r="L146" s="1" t="s">
        <v>3130</v>
      </c>
      <c r="M146" s="1">
        <v>200</v>
      </c>
      <c r="N146" s="1">
        <v>1</v>
      </c>
      <c r="O146" s="1" t="str">
        <f t="shared" si="12"/>
        <v>"BoonieHat_Tan": 1,</v>
      </c>
      <c r="P146" s="1" t="str">
        <f t="shared" si="13"/>
        <v>"BoonieHat_Tan": 0,</v>
      </c>
      <c r="Q146" s="1" t="str">
        <f t="shared" si="14"/>
        <v>"BoonieHat_Tan": 200,</v>
      </c>
      <c r="R146" s="1" t="str">
        <f t="shared" si="15"/>
        <v>"BoonieHat_Tan": 0,</v>
      </c>
    </row>
    <row r="147" spans="1:18" ht="15" customHeight="1" x14ac:dyDescent="0.25">
      <c r="A147" s="1" t="str">
        <f t="shared" si="11"/>
        <v>#tc_groceries#tc_food#tc_packaged</v>
      </c>
      <c r="B147" s="1">
        <f>VLOOKUP(A147,TraderCategory!$A$63:$E$556,2,FALSE)</f>
        <v>19</v>
      </c>
      <c r="C147" s="1">
        <f>VLOOKUP(A147,TraderCategory!$A$63:$F$556,6,FALSE)</f>
        <v>3</v>
      </c>
      <c r="D147" s="1" t="str">
        <f>VLOOKUP(C147,Tabulka5[],3,FALSE)</f>
        <v>Sergeant</v>
      </c>
      <c r="E147" s="1">
        <v>3</v>
      </c>
      <c r="F147" s="1" t="str">
        <f>VLOOKUP(E147,Tabulka5[],3,FALSE)</f>
        <v>Sergeant</v>
      </c>
      <c r="G147" s="1" t="s">
        <v>3115</v>
      </c>
      <c r="H147" s="1" t="s">
        <v>489</v>
      </c>
      <c r="I147" s="1" t="s">
        <v>399</v>
      </c>
      <c r="J147" s="1" t="s">
        <v>3127</v>
      </c>
      <c r="K147" s="1" t="s">
        <v>2730</v>
      </c>
      <c r="L147" s="1" t="s">
        <v>3140</v>
      </c>
      <c r="M147" s="1">
        <v>3500</v>
      </c>
      <c r="N147" s="1">
        <v>1</v>
      </c>
      <c r="O147" s="1" t="str">
        <f t="shared" si="12"/>
        <v>"BoxCerealCrunchin": 1,</v>
      </c>
      <c r="P147" s="1" t="str">
        <f t="shared" si="13"/>
        <v>"BoxCerealCrunchin": 19,</v>
      </c>
      <c r="Q147" s="1" t="str">
        <f t="shared" si="14"/>
        <v>"BoxCerealCrunchin": 3500,</v>
      </c>
      <c r="R147" s="1" t="str">
        <f t="shared" si="15"/>
        <v>"BoxCerealCrunchin": 3,</v>
      </c>
    </row>
    <row r="148" spans="1:18" ht="15" customHeight="1" x14ac:dyDescent="0.25">
      <c r="A148" s="1" t="str">
        <f t="shared" si="11"/>
        <v>#tc_military#tc_weapons#tc_handtohand</v>
      </c>
      <c r="B148" s="1">
        <f>VLOOKUP(A148,TraderCategory!$A$63:$E$556,2,FALSE)</f>
        <v>60</v>
      </c>
      <c r="C148" s="1">
        <f>VLOOKUP(A148,TraderCategory!$A$63:$F$556,6,FALSE)</f>
        <v>0</v>
      </c>
      <c r="D148" s="1" t="str">
        <f>VLOOKUP(C148,Tabulka5[],3,FALSE)</f>
        <v>Private</v>
      </c>
      <c r="E148" s="1">
        <v>0</v>
      </c>
      <c r="F148" s="1" t="str">
        <f>VLOOKUP(E148,Tabulka5[],3,FALSE)</f>
        <v>Private</v>
      </c>
      <c r="G148" s="1" t="s">
        <v>3115</v>
      </c>
      <c r="H148" s="1" t="s">
        <v>490</v>
      </c>
      <c r="I148" s="1" t="s">
        <v>426</v>
      </c>
      <c r="J148" s="1" t="s">
        <v>2729</v>
      </c>
      <c r="K148" s="1" t="s">
        <v>3129</v>
      </c>
      <c r="L148" s="1" t="s">
        <v>3176</v>
      </c>
      <c r="M148" s="1">
        <v>300</v>
      </c>
      <c r="N148" s="1">
        <v>1</v>
      </c>
      <c r="O148" s="1" t="str">
        <f t="shared" si="12"/>
        <v>"BrassKnuckles_Dull": 1,</v>
      </c>
      <c r="P148" s="1" t="str">
        <f t="shared" si="13"/>
        <v>"BrassKnuckles_Dull": 60,</v>
      </c>
      <c r="Q148" s="1" t="str">
        <f t="shared" si="14"/>
        <v>"BrassKnuckles_Dull": 300,</v>
      </c>
      <c r="R148" s="1" t="str">
        <f t="shared" si="15"/>
        <v>"BrassKnuckles_Dull": 0,</v>
      </c>
    </row>
    <row r="149" spans="1:18" ht="15" customHeight="1" x14ac:dyDescent="0.25">
      <c r="A149" s="1" t="str">
        <f t="shared" si="11"/>
        <v>#tc_military#tc_weapons#tc_handtohand</v>
      </c>
      <c r="B149" s="1">
        <f>VLOOKUP(A149,TraderCategory!$A$63:$E$556,2,FALSE)</f>
        <v>60</v>
      </c>
      <c r="C149" s="1">
        <f>VLOOKUP(A149,TraderCategory!$A$63:$F$556,6,FALSE)</f>
        <v>0</v>
      </c>
      <c r="D149" s="1" t="str">
        <f>VLOOKUP(C149,Tabulka5[],3,FALSE)</f>
        <v>Private</v>
      </c>
      <c r="E149" s="1">
        <v>0</v>
      </c>
      <c r="F149" s="1" t="str">
        <f>VLOOKUP(E149,Tabulka5[],3,FALSE)</f>
        <v>Private</v>
      </c>
      <c r="G149" s="1" t="s">
        <v>3115</v>
      </c>
      <c r="H149" s="1" t="s">
        <v>491</v>
      </c>
      <c r="I149" s="1" t="s">
        <v>426</v>
      </c>
      <c r="J149" s="1" t="s">
        <v>2729</v>
      </c>
      <c r="K149" s="1" t="s">
        <v>3129</v>
      </c>
      <c r="L149" s="1" t="s">
        <v>3176</v>
      </c>
      <c r="M149" s="1">
        <v>300</v>
      </c>
      <c r="N149" s="1">
        <v>1</v>
      </c>
      <c r="O149" s="1" t="str">
        <f t="shared" si="12"/>
        <v>"BrassKnuckles_Shiny": 1,</v>
      </c>
      <c r="P149" s="1" t="str">
        <f t="shared" si="13"/>
        <v>"BrassKnuckles_Shiny": 60,</v>
      </c>
      <c r="Q149" s="1" t="str">
        <f t="shared" si="14"/>
        <v>"BrassKnuckles_Shiny": 300,</v>
      </c>
      <c r="R149" s="1" t="str">
        <f t="shared" si="15"/>
        <v>"BrassKnuckles_Shiny": 0,</v>
      </c>
    </row>
    <row r="150" spans="1:18" ht="15" customHeight="1" x14ac:dyDescent="0.25">
      <c r="A150" s="1" t="str">
        <f t="shared" si="11"/>
        <v>#tc_clothes#tc_civil#tc_pants</v>
      </c>
      <c r="B150" s="1">
        <f>VLOOKUP(A150,TraderCategory!$A$63:$E$556,2,FALSE)</f>
        <v>4</v>
      </c>
      <c r="C150" s="1">
        <f>VLOOKUP(A150,TraderCategory!$A$63:$F$556,6,FALSE)</f>
        <v>0</v>
      </c>
      <c r="D150" s="1" t="str">
        <f>VLOOKUP(C150,Tabulka5[],3,FALSE)</f>
        <v>Private</v>
      </c>
      <c r="E150" s="1">
        <v>0</v>
      </c>
      <c r="F150" s="1" t="str">
        <f>VLOOKUP(E150,Tabulka5[],3,FALSE)</f>
        <v>Private</v>
      </c>
      <c r="G150" s="1" t="s">
        <v>3115</v>
      </c>
      <c r="H150" s="1" t="s">
        <v>492</v>
      </c>
      <c r="I150" s="1" t="s">
        <v>403</v>
      </c>
      <c r="J150" s="1" t="s">
        <v>2728</v>
      </c>
      <c r="K150" s="1" t="s">
        <v>3126</v>
      </c>
      <c r="L150" s="1" t="s">
        <v>3133</v>
      </c>
      <c r="M150" s="1">
        <v>1200</v>
      </c>
      <c r="N150" s="1">
        <v>1</v>
      </c>
      <c r="O150" s="1" t="str">
        <f t="shared" si="12"/>
        <v>"Breeches_Beetcheck": 1,</v>
      </c>
      <c r="P150" s="1" t="str">
        <f t="shared" si="13"/>
        <v>"Breeches_Beetcheck": 4,</v>
      </c>
      <c r="Q150" s="1" t="str">
        <f t="shared" si="14"/>
        <v>"Breeches_Beetcheck": 1200,</v>
      </c>
      <c r="R150" s="1" t="str">
        <f t="shared" si="15"/>
        <v>"Breeches_Beetcheck": 0,</v>
      </c>
    </row>
    <row r="151" spans="1:18" ht="15" customHeight="1" x14ac:dyDescent="0.25">
      <c r="A151" s="1" t="str">
        <f t="shared" si="11"/>
        <v>#tc_clothes#tc_civil#tc_pants</v>
      </c>
      <c r="B151" s="1">
        <f>VLOOKUP(A151,TraderCategory!$A$63:$E$556,2,FALSE)</f>
        <v>4</v>
      </c>
      <c r="C151" s="1">
        <f>VLOOKUP(A151,TraderCategory!$A$63:$F$556,6,FALSE)</f>
        <v>0</v>
      </c>
      <c r="D151" s="1" t="str">
        <f>VLOOKUP(C151,Tabulka5[],3,FALSE)</f>
        <v>Private</v>
      </c>
      <c r="E151" s="1">
        <v>0</v>
      </c>
      <c r="F151" s="1" t="str">
        <f>VLOOKUP(E151,Tabulka5[],3,FALSE)</f>
        <v>Private</v>
      </c>
      <c r="G151" s="1" t="s">
        <v>3115</v>
      </c>
      <c r="H151" s="1" t="s">
        <v>493</v>
      </c>
      <c r="I151" s="1" t="s">
        <v>403</v>
      </c>
      <c r="J151" s="1" t="s">
        <v>2728</v>
      </c>
      <c r="K151" s="1" t="s">
        <v>3126</v>
      </c>
      <c r="L151" s="1" t="s">
        <v>3133</v>
      </c>
      <c r="M151" s="1">
        <v>1200</v>
      </c>
      <c r="N151" s="1">
        <v>1</v>
      </c>
      <c r="O151" s="1" t="str">
        <f t="shared" si="12"/>
        <v>"Breeches_Beige": 1,</v>
      </c>
      <c r="P151" s="1" t="str">
        <f t="shared" si="13"/>
        <v>"Breeches_Beige": 4,</v>
      </c>
      <c r="Q151" s="1" t="str">
        <f t="shared" si="14"/>
        <v>"Breeches_Beige": 1200,</v>
      </c>
      <c r="R151" s="1" t="str">
        <f t="shared" si="15"/>
        <v>"Breeches_Beige": 0,</v>
      </c>
    </row>
    <row r="152" spans="1:18" ht="15" customHeight="1" x14ac:dyDescent="0.25">
      <c r="A152" s="1" t="str">
        <f t="shared" ref="A152:A215" si="16">CONCATENATE(J152,K152,L152)</f>
        <v>#tc_clothes#tc_civil#tc_pants</v>
      </c>
      <c r="B152" s="1">
        <f>VLOOKUP(A152,TraderCategory!$A$63:$E$556,2,FALSE)</f>
        <v>4</v>
      </c>
      <c r="C152" s="1">
        <f>VLOOKUP(A152,TraderCategory!$A$63:$F$556,6,FALSE)</f>
        <v>0</v>
      </c>
      <c r="D152" s="1" t="str">
        <f>VLOOKUP(C152,Tabulka5[],3,FALSE)</f>
        <v>Private</v>
      </c>
      <c r="E152" s="1">
        <v>0</v>
      </c>
      <c r="F152" s="1" t="str">
        <f>VLOOKUP(E152,Tabulka5[],3,FALSE)</f>
        <v>Private</v>
      </c>
      <c r="G152" s="1" t="s">
        <v>3115</v>
      </c>
      <c r="H152" s="1" t="s">
        <v>494</v>
      </c>
      <c r="I152" s="1" t="s">
        <v>403</v>
      </c>
      <c r="J152" s="1" t="s">
        <v>2728</v>
      </c>
      <c r="K152" s="1" t="s">
        <v>3126</v>
      </c>
      <c r="L152" s="1" t="s">
        <v>3133</v>
      </c>
      <c r="M152" s="1">
        <v>1200</v>
      </c>
      <c r="N152" s="1">
        <v>1</v>
      </c>
      <c r="O152" s="1" t="str">
        <f t="shared" si="12"/>
        <v>"Breeches_Black": 1,</v>
      </c>
      <c r="P152" s="1" t="str">
        <f t="shared" si="13"/>
        <v>"Breeches_Black": 4,</v>
      </c>
      <c r="Q152" s="1" t="str">
        <f t="shared" si="14"/>
        <v>"Breeches_Black": 1200,</v>
      </c>
      <c r="R152" s="1" t="str">
        <f t="shared" si="15"/>
        <v>"Breeches_Black": 0,</v>
      </c>
    </row>
    <row r="153" spans="1:18" ht="15" customHeight="1" x14ac:dyDescent="0.25">
      <c r="A153" s="1" t="str">
        <f t="shared" si="16"/>
        <v>#tc_clothes#tc_civil#tc_pants</v>
      </c>
      <c r="B153" s="1">
        <f>VLOOKUP(A153,TraderCategory!$A$63:$E$556,2,FALSE)</f>
        <v>4</v>
      </c>
      <c r="C153" s="1">
        <f>VLOOKUP(A153,TraderCategory!$A$63:$F$556,6,FALSE)</f>
        <v>0</v>
      </c>
      <c r="D153" s="1" t="str">
        <f>VLOOKUP(C153,Tabulka5[],3,FALSE)</f>
        <v>Private</v>
      </c>
      <c r="E153" s="1">
        <v>0</v>
      </c>
      <c r="F153" s="1" t="str">
        <f>VLOOKUP(E153,Tabulka5[],3,FALSE)</f>
        <v>Private</v>
      </c>
      <c r="G153" s="1" t="s">
        <v>3115</v>
      </c>
      <c r="H153" s="1" t="s">
        <v>495</v>
      </c>
      <c r="I153" s="1" t="s">
        <v>403</v>
      </c>
      <c r="J153" s="1" t="s">
        <v>2728</v>
      </c>
      <c r="K153" s="1" t="s">
        <v>3126</v>
      </c>
      <c r="L153" s="1" t="s">
        <v>3133</v>
      </c>
      <c r="M153" s="1">
        <v>1200</v>
      </c>
      <c r="N153" s="1">
        <v>1</v>
      </c>
      <c r="O153" s="1" t="str">
        <f t="shared" si="12"/>
        <v>"Breeches_Blackcheck": 1,</v>
      </c>
      <c r="P153" s="1" t="str">
        <f t="shared" si="13"/>
        <v>"Breeches_Blackcheck": 4,</v>
      </c>
      <c r="Q153" s="1" t="str">
        <f t="shared" si="14"/>
        <v>"Breeches_Blackcheck": 1200,</v>
      </c>
      <c r="R153" s="1" t="str">
        <f t="shared" si="15"/>
        <v>"Breeches_Blackcheck": 0,</v>
      </c>
    </row>
    <row r="154" spans="1:18" ht="15" customHeight="1" x14ac:dyDescent="0.25">
      <c r="A154" s="1" t="str">
        <f t="shared" si="16"/>
        <v>#tc_clothes#tc_civil#tc_pants</v>
      </c>
      <c r="B154" s="1">
        <f>VLOOKUP(A154,TraderCategory!$A$63:$E$556,2,FALSE)</f>
        <v>4</v>
      </c>
      <c r="C154" s="1">
        <f>VLOOKUP(A154,TraderCategory!$A$63:$F$556,6,FALSE)</f>
        <v>0</v>
      </c>
      <c r="D154" s="1" t="str">
        <f>VLOOKUP(C154,Tabulka5[],3,FALSE)</f>
        <v>Private</v>
      </c>
      <c r="E154" s="1">
        <v>0</v>
      </c>
      <c r="F154" s="1" t="str">
        <f>VLOOKUP(E154,Tabulka5[],3,FALSE)</f>
        <v>Private</v>
      </c>
      <c r="G154" s="1" t="s">
        <v>3115</v>
      </c>
      <c r="H154" s="1" t="s">
        <v>496</v>
      </c>
      <c r="I154" s="1" t="s">
        <v>403</v>
      </c>
      <c r="J154" s="1" t="s">
        <v>2728</v>
      </c>
      <c r="K154" s="1" t="s">
        <v>3126</v>
      </c>
      <c r="L154" s="1" t="s">
        <v>3133</v>
      </c>
      <c r="M154" s="1">
        <v>1200</v>
      </c>
      <c r="N154" s="1">
        <v>1</v>
      </c>
      <c r="O154" s="1" t="str">
        <f t="shared" si="12"/>
        <v>"Breeches_Blue": 1,</v>
      </c>
      <c r="P154" s="1" t="str">
        <f t="shared" si="13"/>
        <v>"Breeches_Blue": 4,</v>
      </c>
      <c r="Q154" s="1" t="str">
        <f t="shared" si="14"/>
        <v>"Breeches_Blue": 1200,</v>
      </c>
      <c r="R154" s="1" t="str">
        <f t="shared" si="15"/>
        <v>"Breeches_Blue": 0,</v>
      </c>
    </row>
    <row r="155" spans="1:18" ht="15" customHeight="1" x14ac:dyDescent="0.25">
      <c r="A155" s="1" t="str">
        <f t="shared" si="16"/>
        <v>#tc_clothes#tc_civil#tc_pants</v>
      </c>
      <c r="B155" s="1">
        <f>VLOOKUP(A155,TraderCategory!$A$63:$E$556,2,FALSE)</f>
        <v>4</v>
      </c>
      <c r="C155" s="1">
        <f>VLOOKUP(A155,TraderCategory!$A$63:$F$556,6,FALSE)</f>
        <v>0</v>
      </c>
      <c r="D155" s="1" t="str">
        <f>VLOOKUP(C155,Tabulka5[],3,FALSE)</f>
        <v>Private</v>
      </c>
      <c r="E155" s="1">
        <v>0</v>
      </c>
      <c r="F155" s="1" t="str">
        <f>VLOOKUP(E155,Tabulka5[],3,FALSE)</f>
        <v>Private</v>
      </c>
      <c r="G155" s="1" t="s">
        <v>3115</v>
      </c>
      <c r="H155" s="1" t="s">
        <v>497</v>
      </c>
      <c r="I155" s="1" t="s">
        <v>403</v>
      </c>
      <c r="J155" s="1" t="s">
        <v>2728</v>
      </c>
      <c r="K155" s="1" t="s">
        <v>3126</v>
      </c>
      <c r="L155" s="1" t="s">
        <v>3133</v>
      </c>
      <c r="M155" s="1">
        <v>1200</v>
      </c>
      <c r="N155" s="1">
        <v>1</v>
      </c>
      <c r="O155" s="1" t="str">
        <f t="shared" si="12"/>
        <v>"Breeches_Browncheck": 1,</v>
      </c>
      <c r="P155" s="1" t="str">
        <f t="shared" si="13"/>
        <v>"Breeches_Browncheck": 4,</v>
      </c>
      <c r="Q155" s="1" t="str">
        <f t="shared" si="14"/>
        <v>"Breeches_Browncheck": 1200,</v>
      </c>
      <c r="R155" s="1" t="str">
        <f t="shared" si="15"/>
        <v>"Breeches_Browncheck": 0,</v>
      </c>
    </row>
    <row r="156" spans="1:18" ht="15" customHeight="1" x14ac:dyDescent="0.25">
      <c r="A156" s="1" t="str">
        <f t="shared" si="16"/>
        <v>#tc_clothes#tc_civil#tc_pants</v>
      </c>
      <c r="B156" s="1">
        <f>VLOOKUP(A156,TraderCategory!$A$63:$E$556,2,FALSE)</f>
        <v>4</v>
      </c>
      <c r="C156" s="1">
        <f>VLOOKUP(A156,TraderCategory!$A$63:$F$556,6,FALSE)</f>
        <v>0</v>
      </c>
      <c r="D156" s="1" t="str">
        <f>VLOOKUP(C156,Tabulka5[],3,FALSE)</f>
        <v>Private</v>
      </c>
      <c r="E156" s="1">
        <v>0</v>
      </c>
      <c r="F156" s="1" t="str">
        <f>VLOOKUP(E156,Tabulka5[],3,FALSE)</f>
        <v>Private</v>
      </c>
      <c r="G156" s="1" t="s">
        <v>3115</v>
      </c>
      <c r="H156" s="1" t="s">
        <v>498</v>
      </c>
      <c r="I156" s="1" t="s">
        <v>403</v>
      </c>
      <c r="J156" s="1" t="s">
        <v>2728</v>
      </c>
      <c r="K156" s="1" t="s">
        <v>3126</v>
      </c>
      <c r="L156" s="1" t="s">
        <v>3133</v>
      </c>
      <c r="M156" s="1">
        <v>1200</v>
      </c>
      <c r="N156" s="1">
        <v>1</v>
      </c>
      <c r="O156" s="1" t="str">
        <f t="shared" si="12"/>
        <v>"Breeches_Green": 1,</v>
      </c>
      <c r="P156" s="1" t="str">
        <f t="shared" si="13"/>
        <v>"Breeches_Green": 4,</v>
      </c>
      <c r="Q156" s="1" t="str">
        <f t="shared" si="14"/>
        <v>"Breeches_Green": 1200,</v>
      </c>
      <c r="R156" s="1" t="str">
        <f t="shared" si="15"/>
        <v>"Breeches_Green": 0,</v>
      </c>
    </row>
    <row r="157" spans="1:18" ht="15" customHeight="1" x14ac:dyDescent="0.25">
      <c r="A157" s="1" t="str">
        <f t="shared" si="16"/>
        <v>#tc_clothes#tc_civil#tc_pants</v>
      </c>
      <c r="B157" s="1">
        <f>VLOOKUP(A157,TraderCategory!$A$63:$E$556,2,FALSE)</f>
        <v>4</v>
      </c>
      <c r="C157" s="1">
        <f>VLOOKUP(A157,TraderCategory!$A$63:$F$556,6,FALSE)</f>
        <v>0</v>
      </c>
      <c r="D157" s="1" t="str">
        <f>VLOOKUP(C157,Tabulka5[],3,FALSE)</f>
        <v>Private</v>
      </c>
      <c r="E157" s="1">
        <v>0</v>
      </c>
      <c r="F157" s="1" t="str">
        <f>VLOOKUP(E157,Tabulka5[],3,FALSE)</f>
        <v>Private</v>
      </c>
      <c r="G157" s="1" t="s">
        <v>3115</v>
      </c>
      <c r="H157" s="1" t="s">
        <v>499</v>
      </c>
      <c r="I157" s="1" t="s">
        <v>403</v>
      </c>
      <c r="J157" s="1" t="s">
        <v>2728</v>
      </c>
      <c r="K157" s="1" t="s">
        <v>3126</v>
      </c>
      <c r="L157" s="1" t="s">
        <v>3133</v>
      </c>
      <c r="M157" s="1">
        <v>1200</v>
      </c>
      <c r="N157" s="1">
        <v>1</v>
      </c>
      <c r="O157" s="1" t="str">
        <f t="shared" si="12"/>
        <v>"Breeches_Pink": 1,</v>
      </c>
      <c r="P157" s="1" t="str">
        <f t="shared" si="13"/>
        <v>"Breeches_Pink": 4,</v>
      </c>
      <c r="Q157" s="1" t="str">
        <f t="shared" si="14"/>
        <v>"Breeches_Pink": 1200,</v>
      </c>
      <c r="R157" s="1" t="str">
        <f t="shared" si="15"/>
        <v>"Breeches_Pink": 0,</v>
      </c>
    </row>
    <row r="158" spans="1:18" ht="15" customHeight="1" x14ac:dyDescent="0.25">
      <c r="A158" s="1" t="str">
        <f t="shared" si="16"/>
        <v>#tc_clothes#tc_civil#tc_pants</v>
      </c>
      <c r="B158" s="1">
        <f>VLOOKUP(A158,TraderCategory!$A$63:$E$556,2,FALSE)</f>
        <v>4</v>
      </c>
      <c r="C158" s="1">
        <f>VLOOKUP(A158,TraderCategory!$A$63:$F$556,6,FALSE)</f>
        <v>0</v>
      </c>
      <c r="D158" s="1" t="str">
        <f>VLOOKUP(C158,Tabulka5[],3,FALSE)</f>
        <v>Private</v>
      </c>
      <c r="E158" s="1">
        <v>0</v>
      </c>
      <c r="F158" s="1" t="str">
        <f>VLOOKUP(E158,Tabulka5[],3,FALSE)</f>
        <v>Private</v>
      </c>
      <c r="G158" s="1" t="s">
        <v>3115</v>
      </c>
      <c r="H158" s="1" t="s">
        <v>500</v>
      </c>
      <c r="I158" s="1" t="s">
        <v>403</v>
      </c>
      <c r="J158" s="1" t="s">
        <v>2728</v>
      </c>
      <c r="K158" s="1" t="s">
        <v>3126</v>
      </c>
      <c r="L158" s="1" t="s">
        <v>3133</v>
      </c>
      <c r="M158" s="1">
        <v>1200</v>
      </c>
      <c r="N158" s="1">
        <v>1</v>
      </c>
      <c r="O158" s="1" t="str">
        <f t="shared" si="12"/>
        <v>"Breeches_Red": 1,</v>
      </c>
      <c r="P158" s="1" t="str">
        <f t="shared" si="13"/>
        <v>"Breeches_Red": 4,</v>
      </c>
      <c r="Q158" s="1" t="str">
        <f t="shared" si="14"/>
        <v>"Breeches_Red": 1200,</v>
      </c>
      <c r="R158" s="1" t="str">
        <f t="shared" si="15"/>
        <v>"Breeches_Red": 0,</v>
      </c>
    </row>
    <row r="159" spans="1:18" ht="15" customHeight="1" x14ac:dyDescent="0.25">
      <c r="A159" s="1" t="str">
        <f t="shared" si="16"/>
        <v>#tc_clothes#tc_civil#tc_pants</v>
      </c>
      <c r="B159" s="1">
        <f>VLOOKUP(A159,TraderCategory!$A$63:$E$556,2,FALSE)</f>
        <v>4</v>
      </c>
      <c r="C159" s="1">
        <f>VLOOKUP(A159,TraderCategory!$A$63:$F$556,6,FALSE)</f>
        <v>0</v>
      </c>
      <c r="D159" s="1" t="str">
        <f>VLOOKUP(C159,Tabulka5[],3,FALSE)</f>
        <v>Private</v>
      </c>
      <c r="E159" s="1">
        <v>0</v>
      </c>
      <c r="F159" s="1" t="str">
        <f>VLOOKUP(E159,Tabulka5[],3,FALSE)</f>
        <v>Private</v>
      </c>
      <c r="G159" s="1" t="s">
        <v>3115</v>
      </c>
      <c r="H159" s="1" t="s">
        <v>501</v>
      </c>
      <c r="I159" s="1" t="s">
        <v>403</v>
      </c>
      <c r="J159" s="1" t="s">
        <v>2728</v>
      </c>
      <c r="K159" s="1" t="s">
        <v>3126</v>
      </c>
      <c r="L159" s="1" t="s">
        <v>3133</v>
      </c>
      <c r="M159" s="1">
        <v>1200</v>
      </c>
      <c r="N159" s="1">
        <v>1</v>
      </c>
      <c r="O159" s="1" t="str">
        <f t="shared" si="12"/>
        <v>"Breeches_White": 1,</v>
      </c>
      <c r="P159" s="1" t="str">
        <f t="shared" si="13"/>
        <v>"Breeches_White": 4,</v>
      </c>
      <c r="Q159" s="1" t="str">
        <f t="shared" si="14"/>
        <v>"Breeches_White": 1200,</v>
      </c>
      <c r="R159" s="1" t="str">
        <f t="shared" si="15"/>
        <v>"Breeches_White": 0,</v>
      </c>
    </row>
    <row r="160" spans="1:18" ht="15" customHeight="1" x14ac:dyDescent="0.25">
      <c r="A160" s="1" t="str">
        <f t="shared" si="16"/>
        <v>#tc_groceries#tc_tools#tc_crafting</v>
      </c>
      <c r="B160" s="1">
        <f>VLOOKUP(A160,TraderCategory!$A$63:$E$556,2,FALSE)</f>
        <v>32</v>
      </c>
      <c r="C160" s="1">
        <f>VLOOKUP(A160,TraderCategory!$A$63:$F$556,6,FALSE)</f>
        <v>3</v>
      </c>
      <c r="D160" s="1" t="str">
        <f>VLOOKUP(C160,Tabulka5[],3,FALSE)</f>
        <v>Sergeant</v>
      </c>
      <c r="E160" s="1">
        <v>3</v>
      </c>
      <c r="F160" s="1" t="str">
        <f>VLOOKUP(E160,Tabulka5[],3,FALSE)</f>
        <v>Sergeant</v>
      </c>
      <c r="G160" s="1" t="s">
        <v>3115</v>
      </c>
      <c r="H160" s="1" t="s">
        <v>502</v>
      </c>
      <c r="I160" s="1" t="s">
        <v>426</v>
      </c>
      <c r="J160" s="1" t="s">
        <v>3127</v>
      </c>
      <c r="K160" s="1" t="s">
        <v>2740</v>
      </c>
      <c r="L160" s="1" t="s">
        <v>3151</v>
      </c>
      <c r="M160" s="1">
        <v>2000</v>
      </c>
      <c r="N160" s="1">
        <v>1</v>
      </c>
      <c r="O160" s="1" t="str">
        <f t="shared" si="12"/>
        <v>"BurlapSack": 1,</v>
      </c>
      <c r="P160" s="1" t="str">
        <f t="shared" si="13"/>
        <v>"BurlapSack": 32,</v>
      </c>
      <c r="Q160" s="1" t="str">
        <f t="shared" si="14"/>
        <v>"BurlapSack": 2000,</v>
      </c>
      <c r="R160" s="1" t="str">
        <f t="shared" si="15"/>
        <v>"BurlapSack": 3,</v>
      </c>
    </row>
    <row r="161" spans="1:18" x14ac:dyDescent="0.25">
      <c r="A161" s="1" t="str">
        <f t="shared" si="16"/>
        <v>#tc_military#tc_weapons#tc_assaultrifles</v>
      </c>
      <c r="B161" s="1">
        <f>VLOOKUP(A161,TraderCategory!$A$63:$E$556,2,FALSE)</f>
        <v>65</v>
      </c>
      <c r="C161" s="1">
        <f>VLOOKUP(A161,TraderCategory!$A$63:$F$556,6,FALSE)</f>
        <v>10</v>
      </c>
      <c r="D161" s="1" t="str">
        <f>VLOOKUP(C161,Tabulka5[],3,FALSE)</f>
        <v>Second Lieutenant</v>
      </c>
      <c r="E161" s="1">
        <v>14</v>
      </c>
      <c r="F161" s="1" t="str">
        <f>VLOOKUP(E161,Tabulka5[],3,FALSE)</f>
        <v>Lieutenant Colonel</v>
      </c>
      <c r="G161" s="1" t="s">
        <v>3116</v>
      </c>
      <c r="H161" s="1" t="s">
        <v>2812</v>
      </c>
      <c r="I161" s="1" t="s">
        <v>8</v>
      </c>
      <c r="J161" s="1" t="s">
        <v>2729</v>
      </c>
      <c r="K161" s="1" t="s">
        <v>3129</v>
      </c>
      <c r="L161" s="1" t="s">
        <v>3158</v>
      </c>
      <c r="M161" s="1">
        <v>70000</v>
      </c>
      <c r="N161" s="1">
        <v>1</v>
      </c>
      <c r="O161" s="1" t="str">
        <f t="shared" si="12"/>
        <v>"WE_SCARH": 1,</v>
      </c>
      <c r="P161" s="1" t="str">
        <f t="shared" si="13"/>
        <v>"WE_SCARH": 65,</v>
      </c>
      <c r="Q161" s="1" t="str">
        <f t="shared" si="14"/>
        <v>"WE_SCARH": 70000,</v>
      </c>
      <c r="R161" s="1" t="str">
        <f t="shared" si="15"/>
        <v>"WE_SCARH": 14,</v>
      </c>
    </row>
    <row r="162" spans="1:18" x14ac:dyDescent="0.25">
      <c r="A162" s="1" t="str">
        <f t="shared" si="16"/>
        <v>#tc_military#tc_weapons#tc_assaultrifles</v>
      </c>
      <c r="B162" s="1">
        <f>VLOOKUP(A162,TraderCategory!$A$63:$E$556,2,FALSE)</f>
        <v>65</v>
      </c>
      <c r="C162" s="1">
        <f>VLOOKUP(A162,TraderCategory!$A$63:$F$556,6,FALSE)</f>
        <v>10</v>
      </c>
      <c r="D162" s="1" t="str">
        <f>VLOOKUP(C162,Tabulka5[],3,FALSE)</f>
        <v>Second Lieutenant</v>
      </c>
      <c r="E162" s="1">
        <v>10</v>
      </c>
      <c r="F162" s="1" t="str">
        <f>VLOOKUP(E162,Tabulka5[],3,FALSE)</f>
        <v>Second Lieutenant</v>
      </c>
      <c r="G162" s="1" t="s">
        <v>3115</v>
      </c>
      <c r="H162" s="1" t="s">
        <v>797</v>
      </c>
      <c r="I162" s="1" t="s">
        <v>8</v>
      </c>
      <c r="J162" s="1" t="s">
        <v>2729</v>
      </c>
      <c r="K162" s="1" t="s">
        <v>3129</v>
      </c>
      <c r="L162" s="1" t="s">
        <v>3158</v>
      </c>
      <c r="M162" s="1">
        <v>40000</v>
      </c>
      <c r="N162" s="1">
        <v>1</v>
      </c>
      <c r="O162" s="1" t="str">
        <f t="shared" si="12"/>
        <v>"M4A1": 1,</v>
      </c>
      <c r="P162" s="1" t="str">
        <f t="shared" si="13"/>
        <v>"M4A1": 65,</v>
      </c>
      <c r="Q162" s="1" t="str">
        <f t="shared" si="14"/>
        <v>"M4A1": 40000,</v>
      </c>
      <c r="R162" s="1" t="str">
        <f t="shared" si="15"/>
        <v>"M4A1": 10,</v>
      </c>
    </row>
    <row r="163" spans="1:18" x14ac:dyDescent="0.25">
      <c r="A163" s="1" t="str">
        <f t="shared" si="16"/>
        <v>#tc_military#tc_weapons#tc_assaultrifles</v>
      </c>
      <c r="B163" s="1">
        <f>VLOOKUP(A163,TraderCategory!$A$63:$E$556,2,FALSE)</f>
        <v>65</v>
      </c>
      <c r="C163" s="1">
        <f>VLOOKUP(A163,TraderCategory!$A$63:$F$556,6,FALSE)</f>
        <v>10</v>
      </c>
      <c r="D163" s="1" t="str">
        <f>VLOOKUP(C163,Tabulka5[],3,FALSE)</f>
        <v>Second Lieutenant</v>
      </c>
      <c r="E163" s="1">
        <v>12</v>
      </c>
      <c r="F163" s="1" t="str">
        <f>VLOOKUP(E163,Tabulka5[],3,FALSE)</f>
        <v>Captain</v>
      </c>
      <c r="G163" s="1" t="s">
        <v>3116</v>
      </c>
      <c r="H163" s="1" t="s">
        <v>2810</v>
      </c>
      <c r="I163" s="1" t="s">
        <v>8</v>
      </c>
      <c r="J163" s="1" t="s">
        <v>2729</v>
      </c>
      <c r="K163" s="1" t="s">
        <v>3129</v>
      </c>
      <c r="L163" s="1" t="s">
        <v>3158</v>
      </c>
      <c r="M163" s="1">
        <v>40000</v>
      </c>
      <c r="N163" s="1">
        <v>1</v>
      </c>
      <c r="O163" s="1" t="str">
        <f t="shared" si="12"/>
        <v>"WE_HK416": 1,</v>
      </c>
      <c r="P163" s="1" t="str">
        <f t="shared" si="13"/>
        <v>"WE_HK416": 65,</v>
      </c>
      <c r="Q163" s="1" t="str">
        <f t="shared" si="14"/>
        <v>"WE_HK416": 40000,</v>
      </c>
      <c r="R163" s="1" t="str">
        <f t="shared" si="15"/>
        <v>"WE_HK416": 12,</v>
      </c>
    </row>
    <row r="164" spans="1:18" ht="15" customHeight="1" x14ac:dyDescent="0.25">
      <c r="A164" s="1" t="str">
        <f t="shared" si="16"/>
        <v>#tc_groceries#tc_tools#tc_eletronics</v>
      </c>
      <c r="B164" s="1">
        <f>VLOOKUP(A164,TraderCategory!$A$63:$E$556,2,FALSE)</f>
        <v>36</v>
      </c>
      <c r="C164" s="1">
        <f>VLOOKUP(A164,TraderCategory!$A$63:$F$556,6,FALSE)</f>
        <v>0</v>
      </c>
      <c r="D164" s="1" t="str">
        <f>VLOOKUP(C164,Tabulka5[],3,FALSE)</f>
        <v>Private</v>
      </c>
      <c r="E164" s="1">
        <v>0</v>
      </c>
      <c r="F164" s="1" t="str">
        <f>VLOOKUP(E164,Tabulka5[],3,FALSE)</f>
        <v>Private</v>
      </c>
      <c r="G164" s="1" t="s">
        <v>3115</v>
      </c>
      <c r="H164" s="1" t="s">
        <v>506</v>
      </c>
      <c r="I164" s="1" t="s">
        <v>426</v>
      </c>
      <c r="J164" s="1" t="s">
        <v>3127</v>
      </c>
      <c r="K164" s="1" t="s">
        <v>2740</v>
      </c>
      <c r="L164" s="1" t="s">
        <v>3148</v>
      </c>
      <c r="M164" s="1">
        <v>600</v>
      </c>
      <c r="N164" s="1">
        <v>1</v>
      </c>
      <c r="O164" s="1" t="str">
        <f t="shared" si="12"/>
        <v>"CableReel": 1,</v>
      </c>
      <c r="P164" s="1" t="str">
        <f t="shared" si="13"/>
        <v>"CableReel": 36,</v>
      </c>
      <c r="Q164" s="1" t="str">
        <f t="shared" si="14"/>
        <v>"CableReel": 600,</v>
      </c>
      <c r="R164" s="1" t="str">
        <f t="shared" si="15"/>
        <v>"CableReel": 0,</v>
      </c>
    </row>
    <row r="165" spans="1:18" ht="15" customHeight="1" x14ac:dyDescent="0.25">
      <c r="A165" s="1" t="str">
        <f t="shared" si="16"/>
        <v>#tc_groceries#tc_tools#tc_materials</v>
      </c>
      <c r="B165" s="1">
        <f>VLOOKUP(A165,TraderCategory!$A$63:$E$556,2,FALSE)</f>
        <v>39</v>
      </c>
      <c r="C165" s="1">
        <f>VLOOKUP(A165,TraderCategory!$A$63:$F$556,6,FALSE)</f>
        <v>3</v>
      </c>
      <c r="D165" s="1" t="str">
        <f>VLOOKUP(C165,Tabulka5[],3,FALSE)</f>
        <v>Sergeant</v>
      </c>
      <c r="E165" s="1">
        <v>6</v>
      </c>
      <c r="F165" s="1" t="str">
        <f>VLOOKUP(E165,Tabulka5[],3,FALSE)</f>
        <v>Master Sergeant</v>
      </c>
      <c r="G165" s="1" t="s">
        <v>3115</v>
      </c>
      <c r="H165" s="1" t="s">
        <v>507</v>
      </c>
      <c r="I165" s="1" t="s">
        <v>426</v>
      </c>
      <c r="J165" s="1" t="s">
        <v>3127</v>
      </c>
      <c r="K165" s="1" t="s">
        <v>2740</v>
      </c>
      <c r="L165" s="1" t="s">
        <v>2741</v>
      </c>
      <c r="M165" s="1">
        <v>4000</v>
      </c>
      <c r="N165" s="1">
        <v>1</v>
      </c>
      <c r="O165" s="1" t="str">
        <f t="shared" si="12"/>
        <v>"Camonet": 1,</v>
      </c>
      <c r="P165" s="1" t="str">
        <f t="shared" si="13"/>
        <v>"Camonet": 39,</v>
      </c>
      <c r="Q165" s="1" t="str">
        <f t="shared" si="14"/>
        <v>"Camonet": 4000,</v>
      </c>
      <c r="R165" s="1" t="str">
        <f t="shared" si="15"/>
        <v>"Camonet": 6,</v>
      </c>
    </row>
    <row r="166" spans="1:18" ht="15" customHeight="1" x14ac:dyDescent="0.25">
      <c r="A166" s="1" t="str">
        <f t="shared" si="16"/>
        <v>#tc_groceries#tc_tools#tc_camping</v>
      </c>
      <c r="B166" s="1">
        <f>VLOOKUP(A166,TraderCategory!$A$63:$E$556,2,FALSE)</f>
        <v>33</v>
      </c>
      <c r="C166" s="1">
        <f>VLOOKUP(A166,TraderCategory!$A$63:$F$556,6,FALSE)</f>
        <v>3</v>
      </c>
      <c r="D166" s="1" t="str">
        <f>VLOOKUP(C166,Tabulka5[],3,FALSE)</f>
        <v>Sergeant</v>
      </c>
      <c r="E166" s="1">
        <v>3</v>
      </c>
      <c r="F166" s="1" t="str">
        <f>VLOOKUP(E166,Tabulka5[],3,FALSE)</f>
        <v>Sergeant</v>
      </c>
      <c r="G166" s="1" t="s">
        <v>3115</v>
      </c>
      <c r="H166" s="1" t="s">
        <v>508</v>
      </c>
      <c r="I166" s="1" t="s">
        <v>426</v>
      </c>
      <c r="J166" s="1" t="s">
        <v>3127</v>
      </c>
      <c r="K166" s="1" t="s">
        <v>2740</v>
      </c>
      <c r="L166" s="1" t="s">
        <v>3150</v>
      </c>
      <c r="M166" s="1">
        <v>100</v>
      </c>
      <c r="N166" s="1">
        <v>1</v>
      </c>
      <c r="O166" s="1" t="str">
        <f t="shared" si="12"/>
        <v>"CanOpener": 1,</v>
      </c>
      <c r="P166" s="1" t="str">
        <f t="shared" si="13"/>
        <v>"CanOpener": 33,</v>
      </c>
      <c r="Q166" s="1" t="str">
        <f t="shared" si="14"/>
        <v>"CanOpener": 100,</v>
      </c>
      <c r="R166" s="1" t="str">
        <f t="shared" si="15"/>
        <v>"CanOpener": 3,</v>
      </c>
    </row>
    <row r="167" spans="1:18" ht="15" customHeight="1" x14ac:dyDescent="0.25">
      <c r="A167" s="1" t="str">
        <f t="shared" si="16"/>
        <v>#tc_vehicles#tc_parts#tc_parts</v>
      </c>
      <c r="B167" s="1">
        <f>VLOOKUP(A167,TraderCategory!$A$63:$E$556,2,FALSE)</f>
        <v>68</v>
      </c>
      <c r="C167" s="1">
        <f>VLOOKUP(A167,TraderCategory!$A$63:$F$556,6,FALSE)</f>
        <v>3</v>
      </c>
      <c r="D167" s="1" t="str">
        <f>VLOOKUP(C167,Tabulka5[],3,FALSE)</f>
        <v>Sergeant</v>
      </c>
      <c r="E167" s="1">
        <v>3</v>
      </c>
      <c r="F167" s="1" t="str">
        <f>VLOOKUP(E167,Tabulka5[],3,FALSE)</f>
        <v>Sergeant</v>
      </c>
      <c r="G167" s="1" t="s">
        <v>3115</v>
      </c>
      <c r="H167" s="1" t="s">
        <v>509</v>
      </c>
      <c r="I167" s="1" t="s">
        <v>426</v>
      </c>
      <c r="J167" s="1" t="s">
        <v>2743</v>
      </c>
      <c r="K167" s="1" t="s">
        <v>2742</v>
      </c>
      <c r="L167" s="1" t="s">
        <v>2742</v>
      </c>
      <c r="M167" s="1">
        <v>6000</v>
      </c>
      <c r="N167" s="1">
        <v>1</v>
      </c>
      <c r="O167" s="1" t="str">
        <f t="shared" si="12"/>
        <v>"CanisterGasoline": 1,</v>
      </c>
      <c r="P167" s="1" t="str">
        <f t="shared" si="13"/>
        <v>"CanisterGasoline": 68,</v>
      </c>
      <c r="Q167" s="1" t="str">
        <f t="shared" si="14"/>
        <v>"CanisterGasoline": 6000,</v>
      </c>
      <c r="R167" s="1" t="str">
        <f t="shared" si="15"/>
        <v>"CanisterGasoline": 3,</v>
      </c>
    </row>
    <row r="168" spans="1:18" ht="15" customHeight="1" x14ac:dyDescent="0.25">
      <c r="A168" s="1" t="str">
        <f t="shared" si="16"/>
        <v>#tc_groceries#tc_food#tc_drinks</v>
      </c>
      <c r="B168" s="1">
        <f>VLOOKUP(A168,TraderCategory!$A$63:$E$556,2,FALSE)</f>
        <v>17</v>
      </c>
      <c r="C168" s="1">
        <f>VLOOKUP(A168,TraderCategory!$A$63:$F$556,6,FALSE)</f>
        <v>3</v>
      </c>
      <c r="D168" s="1" t="str">
        <f>VLOOKUP(C168,Tabulka5[],3,FALSE)</f>
        <v>Sergeant</v>
      </c>
      <c r="E168" s="1">
        <v>3</v>
      </c>
      <c r="F168" s="1" t="str">
        <f>VLOOKUP(E168,Tabulka5[],3,FALSE)</f>
        <v>Sergeant</v>
      </c>
      <c r="G168" s="1" t="s">
        <v>3115</v>
      </c>
      <c r="H168" s="1" t="s">
        <v>510</v>
      </c>
      <c r="I168" s="1" t="s">
        <v>399</v>
      </c>
      <c r="J168" s="1" t="s">
        <v>3127</v>
      </c>
      <c r="K168" s="1" t="s">
        <v>2730</v>
      </c>
      <c r="L168" s="1" t="s">
        <v>2733</v>
      </c>
      <c r="M168" s="1">
        <v>1500</v>
      </c>
      <c r="N168" s="1">
        <v>1</v>
      </c>
      <c r="O168" s="1" t="str">
        <f t="shared" si="12"/>
        <v>"Canteen": 1,</v>
      </c>
      <c r="P168" s="1" t="str">
        <f t="shared" si="13"/>
        <v>"Canteen": 17,</v>
      </c>
      <c r="Q168" s="1" t="str">
        <f t="shared" si="14"/>
        <v>"Canteen": 1500,</v>
      </c>
      <c r="R168" s="1" t="str">
        <f t="shared" si="15"/>
        <v>"Canteen": 3,</v>
      </c>
    </row>
    <row r="169" spans="1:18" ht="15" customHeight="1" x14ac:dyDescent="0.25">
      <c r="A169" s="1" t="str">
        <f t="shared" si="16"/>
        <v>#tc_clothes#tc_civil#tc_pants</v>
      </c>
      <c r="B169" s="1">
        <f>VLOOKUP(A169,TraderCategory!$A$63:$E$556,2,FALSE)</f>
        <v>4</v>
      </c>
      <c r="C169" s="1">
        <f>VLOOKUP(A169,TraderCategory!$A$63:$F$556,6,FALSE)</f>
        <v>0</v>
      </c>
      <c r="D169" s="1" t="str">
        <f>VLOOKUP(C169,Tabulka5[],3,FALSE)</f>
        <v>Private</v>
      </c>
      <c r="E169" s="1">
        <v>0</v>
      </c>
      <c r="F169" s="1" t="str">
        <f>VLOOKUP(E169,Tabulka5[],3,FALSE)</f>
        <v>Private</v>
      </c>
      <c r="G169" s="1" t="s">
        <v>3115</v>
      </c>
      <c r="H169" s="1" t="s">
        <v>511</v>
      </c>
      <c r="I169" s="1" t="s">
        <v>403</v>
      </c>
      <c r="J169" s="1" t="s">
        <v>2728</v>
      </c>
      <c r="K169" s="1" t="s">
        <v>3126</v>
      </c>
      <c r="L169" s="1" t="s">
        <v>3133</v>
      </c>
      <c r="M169" s="1">
        <v>1200</v>
      </c>
      <c r="N169" s="1">
        <v>1</v>
      </c>
      <c r="O169" s="1" t="str">
        <f t="shared" si="12"/>
        <v>"CanvasPantsMidi_Beige": 1,</v>
      </c>
      <c r="P169" s="1" t="str">
        <f t="shared" si="13"/>
        <v>"CanvasPantsMidi_Beige": 4,</v>
      </c>
      <c r="Q169" s="1" t="str">
        <f t="shared" si="14"/>
        <v>"CanvasPantsMidi_Beige": 1200,</v>
      </c>
      <c r="R169" s="1" t="str">
        <f t="shared" si="15"/>
        <v>"CanvasPantsMidi_Beige": 0,</v>
      </c>
    </row>
    <row r="170" spans="1:18" ht="15" customHeight="1" x14ac:dyDescent="0.25">
      <c r="A170" s="1" t="str">
        <f t="shared" si="16"/>
        <v>#tc_clothes#tc_civil#tc_pants</v>
      </c>
      <c r="B170" s="1">
        <f>VLOOKUP(A170,TraderCategory!$A$63:$E$556,2,FALSE)</f>
        <v>4</v>
      </c>
      <c r="C170" s="1">
        <f>VLOOKUP(A170,TraderCategory!$A$63:$F$556,6,FALSE)</f>
        <v>0</v>
      </c>
      <c r="D170" s="1" t="str">
        <f>VLOOKUP(C170,Tabulka5[],3,FALSE)</f>
        <v>Private</v>
      </c>
      <c r="E170" s="1">
        <v>0</v>
      </c>
      <c r="F170" s="1" t="str">
        <f>VLOOKUP(E170,Tabulka5[],3,FALSE)</f>
        <v>Private</v>
      </c>
      <c r="G170" s="1" t="s">
        <v>3115</v>
      </c>
      <c r="H170" s="1" t="s">
        <v>512</v>
      </c>
      <c r="I170" s="1" t="s">
        <v>403</v>
      </c>
      <c r="J170" s="1" t="s">
        <v>2728</v>
      </c>
      <c r="K170" s="1" t="s">
        <v>3126</v>
      </c>
      <c r="L170" s="1" t="s">
        <v>3133</v>
      </c>
      <c r="M170" s="1">
        <v>1200</v>
      </c>
      <c r="N170" s="1">
        <v>1</v>
      </c>
      <c r="O170" s="1" t="str">
        <f t="shared" si="12"/>
        <v>"CanvasPantsMidi_Blue": 1,</v>
      </c>
      <c r="P170" s="1" t="str">
        <f t="shared" si="13"/>
        <v>"CanvasPantsMidi_Blue": 4,</v>
      </c>
      <c r="Q170" s="1" t="str">
        <f t="shared" si="14"/>
        <v>"CanvasPantsMidi_Blue": 1200,</v>
      </c>
      <c r="R170" s="1" t="str">
        <f t="shared" si="15"/>
        <v>"CanvasPantsMidi_Blue": 0,</v>
      </c>
    </row>
    <row r="171" spans="1:18" ht="15" customHeight="1" x14ac:dyDescent="0.25">
      <c r="A171" s="1" t="str">
        <f t="shared" si="16"/>
        <v>#tc_clothes#tc_civil#tc_pants</v>
      </c>
      <c r="B171" s="1">
        <f>VLOOKUP(A171,TraderCategory!$A$63:$E$556,2,FALSE)</f>
        <v>4</v>
      </c>
      <c r="C171" s="1">
        <f>VLOOKUP(A171,TraderCategory!$A$63:$F$556,6,FALSE)</f>
        <v>0</v>
      </c>
      <c r="D171" s="1" t="str">
        <f>VLOOKUP(C171,Tabulka5[],3,FALSE)</f>
        <v>Private</v>
      </c>
      <c r="E171" s="1">
        <v>0</v>
      </c>
      <c r="F171" s="1" t="str">
        <f>VLOOKUP(E171,Tabulka5[],3,FALSE)</f>
        <v>Private</v>
      </c>
      <c r="G171" s="1" t="s">
        <v>3115</v>
      </c>
      <c r="H171" s="1" t="s">
        <v>513</v>
      </c>
      <c r="I171" s="1" t="s">
        <v>403</v>
      </c>
      <c r="J171" s="1" t="s">
        <v>2728</v>
      </c>
      <c r="K171" s="1" t="s">
        <v>3126</v>
      </c>
      <c r="L171" s="1" t="s">
        <v>3133</v>
      </c>
      <c r="M171" s="1">
        <v>1200</v>
      </c>
      <c r="N171" s="1">
        <v>1</v>
      </c>
      <c r="O171" s="1" t="str">
        <f t="shared" si="12"/>
        <v>"CanvasPantsMidi_Grey": 1,</v>
      </c>
      <c r="P171" s="1" t="str">
        <f t="shared" si="13"/>
        <v>"CanvasPantsMidi_Grey": 4,</v>
      </c>
      <c r="Q171" s="1" t="str">
        <f t="shared" si="14"/>
        <v>"CanvasPantsMidi_Grey": 1200,</v>
      </c>
      <c r="R171" s="1" t="str">
        <f t="shared" si="15"/>
        <v>"CanvasPantsMidi_Grey": 0,</v>
      </c>
    </row>
    <row r="172" spans="1:18" ht="15" customHeight="1" x14ac:dyDescent="0.25">
      <c r="A172" s="1" t="str">
        <f t="shared" si="16"/>
        <v>#tc_clothes#tc_civil#tc_pants</v>
      </c>
      <c r="B172" s="1">
        <f>VLOOKUP(A172,TraderCategory!$A$63:$E$556,2,FALSE)</f>
        <v>4</v>
      </c>
      <c r="C172" s="1">
        <f>VLOOKUP(A172,TraderCategory!$A$63:$F$556,6,FALSE)</f>
        <v>0</v>
      </c>
      <c r="D172" s="1" t="str">
        <f>VLOOKUP(C172,Tabulka5[],3,FALSE)</f>
        <v>Private</v>
      </c>
      <c r="E172" s="1">
        <v>0</v>
      </c>
      <c r="F172" s="1" t="str">
        <f>VLOOKUP(E172,Tabulka5[],3,FALSE)</f>
        <v>Private</v>
      </c>
      <c r="G172" s="1" t="s">
        <v>3115</v>
      </c>
      <c r="H172" s="1" t="s">
        <v>514</v>
      </c>
      <c r="I172" s="1" t="s">
        <v>403</v>
      </c>
      <c r="J172" s="1" t="s">
        <v>2728</v>
      </c>
      <c r="K172" s="1" t="s">
        <v>3126</v>
      </c>
      <c r="L172" s="1" t="s">
        <v>3133</v>
      </c>
      <c r="M172" s="1">
        <v>1200</v>
      </c>
      <c r="N172" s="1">
        <v>1</v>
      </c>
      <c r="O172" s="1" t="str">
        <f t="shared" si="12"/>
        <v>"CanvasPantsMidi_Red": 1,</v>
      </c>
      <c r="P172" s="1" t="str">
        <f t="shared" si="13"/>
        <v>"CanvasPantsMidi_Red": 4,</v>
      </c>
      <c r="Q172" s="1" t="str">
        <f t="shared" si="14"/>
        <v>"CanvasPantsMidi_Red": 1200,</v>
      </c>
      <c r="R172" s="1" t="str">
        <f t="shared" si="15"/>
        <v>"CanvasPantsMidi_Red": 0,</v>
      </c>
    </row>
    <row r="173" spans="1:18" ht="15" customHeight="1" x14ac:dyDescent="0.25">
      <c r="A173" s="1" t="str">
        <f t="shared" si="16"/>
        <v>#tc_clothes#tc_civil#tc_pants</v>
      </c>
      <c r="B173" s="1">
        <f>VLOOKUP(A173,TraderCategory!$A$63:$E$556,2,FALSE)</f>
        <v>4</v>
      </c>
      <c r="C173" s="1">
        <f>VLOOKUP(A173,TraderCategory!$A$63:$F$556,6,FALSE)</f>
        <v>0</v>
      </c>
      <c r="D173" s="1" t="str">
        <f>VLOOKUP(C173,Tabulka5[],3,FALSE)</f>
        <v>Private</v>
      </c>
      <c r="E173" s="1">
        <v>0</v>
      </c>
      <c r="F173" s="1" t="str">
        <f>VLOOKUP(E173,Tabulka5[],3,FALSE)</f>
        <v>Private</v>
      </c>
      <c r="G173" s="1" t="s">
        <v>3115</v>
      </c>
      <c r="H173" s="1" t="s">
        <v>515</v>
      </c>
      <c r="I173" s="1" t="s">
        <v>403</v>
      </c>
      <c r="J173" s="1" t="s">
        <v>2728</v>
      </c>
      <c r="K173" s="1" t="s">
        <v>3126</v>
      </c>
      <c r="L173" s="1" t="s">
        <v>3133</v>
      </c>
      <c r="M173" s="1">
        <v>1200</v>
      </c>
      <c r="N173" s="1">
        <v>1</v>
      </c>
      <c r="O173" s="1" t="str">
        <f t="shared" si="12"/>
        <v>"CanvasPantsMidi_Violet": 1,</v>
      </c>
      <c r="P173" s="1" t="str">
        <f t="shared" si="13"/>
        <v>"CanvasPantsMidi_Violet": 4,</v>
      </c>
      <c r="Q173" s="1" t="str">
        <f t="shared" si="14"/>
        <v>"CanvasPantsMidi_Violet": 1200,</v>
      </c>
      <c r="R173" s="1" t="str">
        <f t="shared" si="15"/>
        <v>"CanvasPantsMidi_Violet": 0,</v>
      </c>
    </row>
    <row r="174" spans="1:18" ht="15" customHeight="1" x14ac:dyDescent="0.25">
      <c r="A174" s="1" t="str">
        <f t="shared" si="16"/>
        <v>#tc_clothes#tc_civil#tc_pants</v>
      </c>
      <c r="B174" s="1">
        <f>VLOOKUP(A174,TraderCategory!$A$63:$E$556,2,FALSE)</f>
        <v>4</v>
      </c>
      <c r="C174" s="1">
        <f>VLOOKUP(A174,TraderCategory!$A$63:$F$556,6,FALSE)</f>
        <v>0</v>
      </c>
      <c r="D174" s="1" t="str">
        <f>VLOOKUP(C174,Tabulka5[],3,FALSE)</f>
        <v>Private</v>
      </c>
      <c r="E174" s="1">
        <v>0</v>
      </c>
      <c r="F174" s="1" t="str">
        <f>VLOOKUP(E174,Tabulka5[],3,FALSE)</f>
        <v>Private</v>
      </c>
      <c r="G174" s="1" t="s">
        <v>3115</v>
      </c>
      <c r="H174" s="1" t="s">
        <v>516</v>
      </c>
      <c r="I174" s="1" t="s">
        <v>403</v>
      </c>
      <c r="J174" s="1" t="s">
        <v>2728</v>
      </c>
      <c r="K174" s="1" t="s">
        <v>3126</v>
      </c>
      <c r="L174" s="1" t="s">
        <v>3133</v>
      </c>
      <c r="M174" s="1">
        <v>1200</v>
      </c>
      <c r="N174" s="1">
        <v>1</v>
      </c>
      <c r="O174" s="1" t="str">
        <f t="shared" si="12"/>
        <v>"CanvasPants_Beige": 1,</v>
      </c>
      <c r="P174" s="1" t="str">
        <f t="shared" si="13"/>
        <v>"CanvasPants_Beige": 4,</v>
      </c>
      <c r="Q174" s="1" t="str">
        <f t="shared" si="14"/>
        <v>"CanvasPants_Beige": 1200,</v>
      </c>
      <c r="R174" s="1" t="str">
        <f t="shared" si="15"/>
        <v>"CanvasPants_Beige": 0,</v>
      </c>
    </row>
    <row r="175" spans="1:18" ht="15" customHeight="1" x14ac:dyDescent="0.25">
      <c r="A175" s="1" t="str">
        <f t="shared" si="16"/>
        <v>#tc_clothes#tc_civil#tc_pants</v>
      </c>
      <c r="B175" s="1">
        <f>VLOOKUP(A175,TraderCategory!$A$63:$E$556,2,FALSE)</f>
        <v>4</v>
      </c>
      <c r="C175" s="1">
        <f>VLOOKUP(A175,TraderCategory!$A$63:$F$556,6,FALSE)</f>
        <v>0</v>
      </c>
      <c r="D175" s="1" t="str">
        <f>VLOOKUP(C175,Tabulka5[],3,FALSE)</f>
        <v>Private</v>
      </c>
      <c r="E175" s="1">
        <v>0</v>
      </c>
      <c r="F175" s="1" t="str">
        <f>VLOOKUP(E175,Tabulka5[],3,FALSE)</f>
        <v>Private</v>
      </c>
      <c r="G175" s="1" t="s">
        <v>3115</v>
      </c>
      <c r="H175" s="1" t="s">
        <v>517</v>
      </c>
      <c r="I175" s="1" t="s">
        <v>403</v>
      </c>
      <c r="J175" s="1" t="s">
        <v>2728</v>
      </c>
      <c r="K175" s="1" t="s">
        <v>3126</v>
      </c>
      <c r="L175" s="1" t="s">
        <v>3133</v>
      </c>
      <c r="M175" s="1">
        <v>1200</v>
      </c>
      <c r="N175" s="1">
        <v>1</v>
      </c>
      <c r="O175" s="1" t="str">
        <f t="shared" si="12"/>
        <v>"CanvasPants_Blue": 1,</v>
      </c>
      <c r="P175" s="1" t="str">
        <f t="shared" si="13"/>
        <v>"CanvasPants_Blue": 4,</v>
      </c>
      <c r="Q175" s="1" t="str">
        <f t="shared" si="14"/>
        <v>"CanvasPants_Blue": 1200,</v>
      </c>
      <c r="R175" s="1" t="str">
        <f t="shared" si="15"/>
        <v>"CanvasPants_Blue": 0,</v>
      </c>
    </row>
    <row r="176" spans="1:18" ht="15" customHeight="1" x14ac:dyDescent="0.25">
      <c r="A176" s="1" t="str">
        <f t="shared" si="16"/>
        <v>#tc_clothes#tc_civil#tc_pants</v>
      </c>
      <c r="B176" s="1">
        <f>VLOOKUP(A176,TraderCategory!$A$63:$E$556,2,FALSE)</f>
        <v>4</v>
      </c>
      <c r="C176" s="1">
        <f>VLOOKUP(A176,TraderCategory!$A$63:$F$556,6,FALSE)</f>
        <v>0</v>
      </c>
      <c r="D176" s="1" t="str">
        <f>VLOOKUP(C176,Tabulka5[],3,FALSE)</f>
        <v>Private</v>
      </c>
      <c r="E176" s="1">
        <v>0</v>
      </c>
      <c r="F176" s="1" t="str">
        <f>VLOOKUP(E176,Tabulka5[],3,FALSE)</f>
        <v>Private</v>
      </c>
      <c r="G176" s="1" t="s">
        <v>3115</v>
      </c>
      <c r="H176" s="1" t="s">
        <v>518</v>
      </c>
      <c r="I176" s="1" t="s">
        <v>403</v>
      </c>
      <c r="J176" s="1" t="s">
        <v>2728</v>
      </c>
      <c r="K176" s="1" t="s">
        <v>3126</v>
      </c>
      <c r="L176" s="1" t="s">
        <v>3133</v>
      </c>
      <c r="M176" s="1">
        <v>1200</v>
      </c>
      <c r="N176" s="1">
        <v>1</v>
      </c>
      <c r="O176" s="1" t="str">
        <f t="shared" si="12"/>
        <v>"CanvasPants_Grey": 1,</v>
      </c>
      <c r="P176" s="1" t="str">
        <f t="shared" si="13"/>
        <v>"CanvasPants_Grey": 4,</v>
      </c>
      <c r="Q176" s="1" t="str">
        <f t="shared" si="14"/>
        <v>"CanvasPants_Grey": 1200,</v>
      </c>
      <c r="R176" s="1" t="str">
        <f t="shared" si="15"/>
        <v>"CanvasPants_Grey": 0,</v>
      </c>
    </row>
    <row r="177" spans="1:18" ht="15" customHeight="1" x14ac:dyDescent="0.25">
      <c r="A177" s="1" t="str">
        <f t="shared" si="16"/>
        <v>#tc_clothes#tc_civil#tc_pants</v>
      </c>
      <c r="B177" s="1">
        <f>VLOOKUP(A177,TraderCategory!$A$63:$E$556,2,FALSE)</f>
        <v>4</v>
      </c>
      <c r="C177" s="1">
        <f>VLOOKUP(A177,TraderCategory!$A$63:$F$556,6,FALSE)</f>
        <v>0</v>
      </c>
      <c r="D177" s="1" t="str">
        <f>VLOOKUP(C177,Tabulka5[],3,FALSE)</f>
        <v>Private</v>
      </c>
      <c r="E177" s="1">
        <v>0</v>
      </c>
      <c r="F177" s="1" t="str">
        <f>VLOOKUP(E177,Tabulka5[],3,FALSE)</f>
        <v>Private</v>
      </c>
      <c r="G177" s="1" t="s">
        <v>3115</v>
      </c>
      <c r="H177" s="1" t="s">
        <v>519</v>
      </c>
      <c r="I177" s="1" t="s">
        <v>403</v>
      </c>
      <c r="J177" s="1" t="s">
        <v>2728</v>
      </c>
      <c r="K177" s="1" t="s">
        <v>3126</v>
      </c>
      <c r="L177" s="1" t="s">
        <v>3133</v>
      </c>
      <c r="M177" s="1">
        <v>1200</v>
      </c>
      <c r="N177" s="1">
        <v>1</v>
      </c>
      <c r="O177" s="1" t="str">
        <f t="shared" si="12"/>
        <v>"CanvasPants_Red": 1,</v>
      </c>
      <c r="P177" s="1" t="str">
        <f t="shared" si="13"/>
        <v>"CanvasPants_Red": 4,</v>
      </c>
      <c r="Q177" s="1" t="str">
        <f t="shared" si="14"/>
        <v>"CanvasPants_Red": 1200,</v>
      </c>
      <c r="R177" s="1" t="str">
        <f t="shared" si="15"/>
        <v>"CanvasPants_Red": 0,</v>
      </c>
    </row>
    <row r="178" spans="1:18" ht="15" customHeight="1" x14ac:dyDescent="0.25">
      <c r="A178" s="1" t="str">
        <f t="shared" si="16"/>
        <v>#tc_clothes#tc_civil#tc_pants</v>
      </c>
      <c r="B178" s="1">
        <f>VLOOKUP(A178,TraderCategory!$A$63:$E$556,2,FALSE)</f>
        <v>4</v>
      </c>
      <c r="C178" s="1">
        <f>VLOOKUP(A178,TraderCategory!$A$63:$F$556,6,FALSE)</f>
        <v>0</v>
      </c>
      <c r="D178" s="1" t="str">
        <f>VLOOKUP(C178,Tabulka5[],3,FALSE)</f>
        <v>Private</v>
      </c>
      <c r="E178" s="1">
        <v>0</v>
      </c>
      <c r="F178" s="1" t="str">
        <f>VLOOKUP(E178,Tabulka5[],3,FALSE)</f>
        <v>Private</v>
      </c>
      <c r="G178" s="1" t="s">
        <v>3115</v>
      </c>
      <c r="H178" s="1" t="s">
        <v>520</v>
      </c>
      <c r="I178" s="1" t="s">
        <v>403</v>
      </c>
      <c r="J178" s="1" t="s">
        <v>2728</v>
      </c>
      <c r="K178" s="1" t="s">
        <v>3126</v>
      </c>
      <c r="L178" s="1" t="s">
        <v>3133</v>
      </c>
      <c r="M178" s="1">
        <v>1200</v>
      </c>
      <c r="N178" s="1">
        <v>1</v>
      </c>
      <c r="O178" s="1" t="str">
        <f t="shared" si="12"/>
        <v>"CanvasPants_Violet": 1,</v>
      </c>
      <c r="P178" s="1" t="str">
        <f t="shared" si="13"/>
        <v>"CanvasPants_Violet": 4,</v>
      </c>
      <c r="Q178" s="1" t="str">
        <f t="shared" si="14"/>
        <v>"CanvasPants_Violet": 1200,</v>
      </c>
      <c r="R178" s="1" t="str">
        <f t="shared" si="15"/>
        <v>"CanvasPants_Violet": 0,</v>
      </c>
    </row>
    <row r="179" spans="1:18" ht="15" customHeight="1" x14ac:dyDescent="0.25">
      <c r="A179" s="1" t="str">
        <f t="shared" si="16"/>
        <v>#tc_vehicles#tc_parts#tc_parts</v>
      </c>
      <c r="B179" s="1">
        <f>VLOOKUP(A179,TraderCategory!$A$63:$E$556,2,FALSE)</f>
        <v>68</v>
      </c>
      <c r="C179" s="1">
        <f>VLOOKUP(A179,TraderCategory!$A$63:$F$556,6,FALSE)</f>
        <v>3</v>
      </c>
      <c r="D179" s="1" t="str">
        <f>VLOOKUP(C179,Tabulka5[],3,FALSE)</f>
        <v>Sergeant</v>
      </c>
      <c r="E179" s="1">
        <v>3</v>
      </c>
      <c r="F179" s="1" t="str">
        <f>VLOOKUP(E179,Tabulka5[],3,FALSE)</f>
        <v>Sergeant</v>
      </c>
      <c r="G179" s="1" t="s">
        <v>3115</v>
      </c>
      <c r="H179" s="1" t="s">
        <v>521</v>
      </c>
      <c r="I179" s="1" t="s">
        <v>426</v>
      </c>
      <c r="J179" s="1" t="s">
        <v>2743</v>
      </c>
      <c r="K179" s="1" t="s">
        <v>2742</v>
      </c>
      <c r="L179" s="1" t="s">
        <v>2742</v>
      </c>
      <c r="M179" s="1">
        <v>3500</v>
      </c>
      <c r="N179" s="1">
        <v>1</v>
      </c>
      <c r="O179" s="1" t="str">
        <f t="shared" si="12"/>
        <v>"CarBattery": 1,</v>
      </c>
      <c r="P179" s="1" t="str">
        <f t="shared" si="13"/>
        <v>"CarBattery": 68,</v>
      </c>
      <c r="Q179" s="1" t="str">
        <f t="shared" si="14"/>
        <v>"CarBattery": 3500,</v>
      </c>
      <c r="R179" s="1" t="str">
        <f t="shared" si="15"/>
        <v>"CarBattery": 3,</v>
      </c>
    </row>
    <row r="180" spans="1:18" ht="15" customHeight="1" x14ac:dyDescent="0.25">
      <c r="A180" s="1" t="str">
        <f t="shared" si="16"/>
        <v>#tc_vehicles#tc_parts#tc_parts</v>
      </c>
      <c r="B180" s="1">
        <f>VLOOKUP(A180,TraderCategory!$A$63:$E$556,2,FALSE)</f>
        <v>68</v>
      </c>
      <c r="C180" s="1">
        <f>VLOOKUP(A180,TraderCategory!$A$63:$F$556,6,FALSE)</f>
        <v>3</v>
      </c>
      <c r="D180" s="1" t="str">
        <f>VLOOKUP(C180,Tabulka5[],3,FALSE)</f>
        <v>Sergeant</v>
      </c>
      <c r="E180" s="1">
        <v>3</v>
      </c>
      <c r="F180" s="1" t="str">
        <f>VLOOKUP(E180,Tabulka5[],3,FALSE)</f>
        <v>Sergeant</v>
      </c>
      <c r="G180" s="1" t="s">
        <v>3115</v>
      </c>
      <c r="H180" s="1" t="s">
        <v>522</v>
      </c>
      <c r="I180" s="1" t="s">
        <v>426</v>
      </c>
      <c r="J180" s="1" t="s">
        <v>2743</v>
      </c>
      <c r="K180" s="1" t="s">
        <v>2742</v>
      </c>
      <c r="L180" s="1" t="s">
        <v>2742</v>
      </c>
      <c r="M180" s="1">
        <v>8000</v>
      </c>
      <c r="N180" s="1">
        <v>1</v>
      </c>
      <c r="O180" s="1" t="str">
        <f t="shared" si="12"/>
        <v>"CarRadiator": 1,</v>
      </c>
      <c r="P180" s="1" t="str">
        <f t="shared" si="13"/>
        <v>"CarRadiator": 68,</v>
      </c>
      <c r="Q180" s="1" t="str">
        <f t="shared" si="14"/>
        <v>"CarRadiator": 8000,</v>
      </c>
      <c r="R180" s="1" t="str">
        <f t="shared" si="15"/>
        <v>"CarRadiator": 3,</v>
      </c>
    </row>
    <row r="181" spans="1:18" ht="15" customHeight="1" x14ac:dyDescent="0.25">
      <c r="A181" s="1" t="str">
        <f t="shared" si="16"/>
        <v>#tc_groceries#tc_tools#tc_camping</v>
      </c>
      <c r="B181" s="1">
        <f>VLOOKUP(A181,TraderCategory!$A$63:$E$556,2,FALSE)</f>
        <v>33</v>
      </c>
      <c r="C181" s="1">
        <f>VLOOKUP(A181,TraderCategory!$A$63:$F$556,6,FALSE)</f>
        <v>3</v>
      </c>
      <c r="D181" s="1" t="str">
        <f>VLOOKUP(C181,Tabulka5[],3,FALSE)</f>
        <v>Sergeant</v>
      </c>
      <c r="E181" s="1">
        <v>9</v>
      </c>
      <c r="F181" s="1" t="str">
        <f>VLOOKUP(E181,Tabulka5[],3,FALSE)</f>
        <v>Sergeant Major of the Army</v>
      </c>
      <c r="G181" s="1" t="s">
        <v>3115</v>
      </c>
      <c r="H181" s="1" t="s">
        <v>523</v>
      </c>
      <c r="I181" s="1" t="s">
        <v>426</v>
      </c>
      <c r="J181" s="1" t="s">
        <v>3127</v>
      </c>
      <c r="K181" s="1" t="s">
        <v>2740</v>
      </c>
      <c r="L181" s="1" t="s">
        <v>3150</v>
      </c>
      <c r="M181" s="1">
        <v>20000</v>
      </c>
      <c r="N181" s="1">
        <v>1</v>
      </c>
      <c r="O181" s="1" t="str">
        <f t="shared" si="12"/>
        <v>"CarTent": 1,</v>
      </c>
      <c r="P181" s="1" t="str">
        <f t="shared" si="13"/>
        <v>"CarTent": 33,</v>
      </c>
      <c r="Q181" s="1" t="str">
        <f t="shared" si="14"/>
        <v>"CarTent": 20000,</v>
      </c>
      <c r="R181" s="1" t="str">
        <f t="shared" si="15"/>
        <v>"CarTent": 9,</v>
      </c>
    </row>
    <row r="182" spans="1:18" ht="15" customHeight="1" x14ac:dyDescent="0.25">
      <c r="A182" s="1" t="str">
        <f t="shared" si="16"/>
        <v>#tc_clothes#tc_civil#tc_pants</v>
      </c>
      <c r="B182" s="1">
        <f>VLOOKUP(A182,TraderCategory!$A$63:$E$556,2,FALSE)</f>
        <v>4</v>
      </c>
      <c r="C182" s="1">
        <f>VLOOKUP(A182,TraderCategory!$A$63:$F$556,6,FALSE)</f>
        <v>0</v>
      </c>
      <c r="D182" s="1" t="str">
        <f>VLOOKUP(C182,Tabulka5[],3,FALSE)</f>
        <v>Private</v>
      </c>
      <c r="E182" s="1">
        <v>0</v>
      </c>
      <c r="F182" s="1" t="str">
        <f>VLOOKUP(E182,Tabulka5[],3,FALSE)</f>
        <v>Private</v>
      </c>
      <c r="G182" s="1" t="s">
        <v>3115</v>
      </c>
      <c r="H182" s="1" t="s">
        <v>524</v>
      </c>
      <c r="I182" s="1" t="s">
        <v>403</v>
      </c>
      <c r="J182" s="1" t="s">
        <v>2728</v>
      </c>
      <c r="K182" s="1" t="s">
        <v>3126</v>
      </c>
      <c r="L182" s="1" t="s">
        <v>3133</v>
      </c>
      <c r="M182" s="1">
        <v>1200</v>
      </c>
      <c r="N182" s="1">
        <v>1</v>
      </c>
      <c r="O182" s="1" t="str">
        <f t="shared" si="12"/>
        <v>"CargoPants_Beige": 1,</v>
      </c>
      <c r="P182" s="1" t="str">
        <f t="shared" si="13"/>
        <v>"CargoPants_Beige": 4,</v>
      </c>
      <c r="Q182" s="1" t="str">
        <f t="shared" si="14"/>
        <v>"CargoPants_Beige": 1200,</v>
      </c>
      <c r="R182" s="1" t="str">
        <f t="shared" si="15"/>
        <v>"CargoPants_Beige": 0,</v>
      </c>
    </row>
    <row r="183" spans="1:18" ht="15" customHeight="1" x14ac:dyDescent="0.25">
      <c r="A183" s="1" t="str">
        <f t="shared" si="16"/>
        <v>#tc_clothes#tc_civil#tc_pants</v>
      </c>
      <c r="B183" s="1">
        <f>VLOOKUP(A183,TraderCategory!$A$63:$E$556,2,FALSE)</f>
        <v>4</v>
      </c>
      <c r="C183" s="1">
        <f>VLOOKUP(A183,TraderCategory!$A$63:$F$556,6,FALSE)</f>
        <v>0</v>
      </c>
      <c r="D183" s="1" t="str">
        <f>VLOOKUP(C183,Tabulka5[],3,FALSE)</f>
        <v>Private</v>
      </c>
      <c r="E183" s="1">
        <v>0</v>
      </c>
      <c r="F183" s="1" t="str">
        <f>VLOOKUP(E183,Tabulka5[],3,FALSE)</f>
        <v>Private</v>
      </c>
      <c r="G183" s="1" t="s">
        <v>3115</v>
      </c>
      <c r="H183" s="1" t="s">
        <v>525</v>
      </c>
      <c r="I183" s="1" t="s">
        <v>403</v>
      </c>
      <c r="J183" s="1" t="s">
        <v>2728</v>
      </c>
      <c r="K183" s="1" t="s">
        <v>3126</v>
      </c>
      <c r="L183" s="1" t="s">
        <v>3133</v>
      </c>
      <c r="M183" s="1">
        <v>1200</v>
      </c>
      <c r="N183" s="1">
        <v>1</v>
      </c>
      <c r="O183" s="1" t="str">
        <f t="shared" si="12"/>
        <v>"CargoPants_Black": 1,</v>
      </c>
      <c r="P183" s="1" t="str">
        <f t="shared" si="13"/>
        <v>"CargoPants_Black": 4,</v>
      </c>
      <c r="Q183" s="1" t="str">
        <f t="shared" si="14"/>
        <v>"CargoPants_Black": 1200,</v>
      </c>
      <c r="R183" s="1" t="str">
        <f t="shared" si="15"/>
        <v>"CargoPants_Black": 0,</v>
      </c>
    </row>
    <row r="184" spans="1:18" ht="15" customHeight="1" x14ac:dyDescent="0.25">
      <c r="A184" s="1" t="str">
        <f t="shared" si="16"/>
        <v>#tc_clothes#tc_civil#tc_pants</v>
      </c>
      <c r="B184" s="1">
        <f>VLOOKUP(A184,TraderCategory!$A$63:$E$556,2,FALSE)</f>
        <v>4</v>
      </c>
      <c r="C184" s="1">
        <f>VLOOKUP(A184,TraderCategory!$A$63:$F$556,6,FALSE)</f>
        <v>0</v>
      </c>
      <c r="D184" s="1" t="str">
        <f>VLOOKUP(C184,Tabulka5[],3,FALSE)</f>
        <v>Private</v>
      </c>
      <c r="E184" s="1">
        <v>0</v>
      </c>
      <c r="F184" s="1" t="str">
        <f>VLOOKUP(E184,Tabulka5[],3,FALSE)</f>
        <v>Private</v>
      </c>
      <c r="G184" s="1" t="s">
        <v>3115</v>
      </c>
      <c r="H184" s="1" t="s">
        <v>526</v>
      </c>
      <c r="I184" s="1" t="s">
        <v>403</v>
      </c>
      <c r="J184" s="1" t="s">
        <v>2728</v>
      </c>
      <c r="K184" s="1" t="s">
        <v>3126</v>
      </c>
      <c r="L184" s="1" t="s">
        <v>3133</v>
      </c>
      <c r="M184" s="1">
        <v>1200</v>
      </c>
      <c r="N184" s="1">
        <v>1</v>
      </c>
      <c r="O184" s="1" t="str">
        <f t="shared" si="12"/>
        <v>"CargoPants_Blue": 1,</v>
      </c>
      <c r="P184" s="1" t="str">
        <f t="shared" si="13"/>
        <v>"CargoPants_Blue": 4,</v>
      </c>
      <c r="Q184" s="1" t="str">
        <f t="shared" si="14"/>
        <v>"CargoPants_Blue": 1200,</v>
      </c>
      <c r="R184" s="1" t="str">
        <f t="shared" si="15"/>
        <v>"CargoPants_Blue": 0,</v>
      </c>
    </row>
    <row r="185" spans="1:18" ht="15" customHeight="1" x14ac:dyDescent="0.25">
      <c r="A185" s="1" t="str">
        <f t="shared" si="16"/>
        <v>#tc_clothes#tc_civil#tc_pants</v>
      </c>
      <c r="B185" s="1">
        <f>VLOOKUP(A185,TraderCategory!$A$63:$E$556,2,FALSE)</f>
        <v>4</v>
      </c>
      <c r="C185" s="1">
        <f>VLOOKUP(A185,TraderCategory!$A$63:$F$556,6,FALSE)</f>
        <v>0</v>
      </c>
      <c r="D185" s="1" t="str">
        <f>VLOOKUP(C185,Tabulka5[],3,FALSE)</f>
        <v>Private</v>
      </c>
      <c r="E185" s="1">
        <v>0</v>
      </c>
      <c r="F185" s="1" t="str">
        <f>VLOOKUP(E185,Tabulka5[],3,FALSE)</f>
        <v>Private</v>
      </c>
      <c r="G185" s="1" t="s">
        <v>3115</v>
      </c>
      <c r="H185" s="1" t="s">
        <v>527</v>
      </c>
      <c r="I185" s="1" t="s">
        <v>403</v>
      </c>
      <c r="J185" s="1" t="s">
        <v>2728</v>
      </c>
      <c r="K185" s="1" t="s">
        <v>3126</v>
      </c>
      <c r="L185" s="1" t="s">
        <v>3133</v>
      </c>
      <c r="M185" s="1">
        <v>1200</v>
      </c>
      <c r="N185" s="1">
        <v>1</v>
      </c>
      <c r="O185" s="1" t="str">
        <f t="shared" si="12"/>
        <v>"CargoPants_Green": 1,</v>
      </c>
      <c r="P185" s="1" t="str">
        <f t="shared" si="13"/>
        <v>"CargoPants_Green": 4,</v>
      </c>
      <c r="Q185" s="1" t="str">
        <f t="shared" si="14"/>
        <v>"CargoPants_Green": 1200,</v>
      </c>
      <c r="R185" s="1" t="str">
        <f t="shared" si="15"/>
        <v>"CargoPants_Green": 0,</v>
      </c>
    </row>
    <row r="186" spans="1:18" ht="15" customHeight="1" x14ac:dyDescent="0.25">
      <c r="A186" s="1" t="str">
        <f t="shared" si="16"/>
        <v>#tc_clothes#tc_civil#tc_pants</v>
      </c>
      <c r="B186" s="1">
        <f>VLOOKUP(A186,TraderCategory!$A$63:$E$556,2,FALSE)</f>
        <v>4</v>
      </c>
      <c r="C186" s="1">
        <f>VLOOKUP(A186,TraderCategory!$A$63:$F$556,6,FALSE)</f>
        <v>0</v>
      </c>
      <c r="D186" s="1" t="str">
        <f>VLOOKUP(C186,Tabulka5[],3,FALSE)</f>
        <v>Private</v>
      </c>
      <c r="E186" s="1">
        <v>0</v>
      </c>
      <c r="F186" s="1" t="str">
        <f>VLOOKUP(E186,Tabulka5[],3,FALSE)</f>
        <v>Private</v>
      </c>
      <c r="G186" s="1" t="s">
        <v>3115</v>
      </c>
      <c r="H186" s="1" t="s">
        <v>528</v>
      </c>
      <c r="I186" s="1" t="s">
        <v>403</v>
      </c>
      <c r="J186" s="1" t="s">
        <v>2728</v>
      </c>
      <c r="K186" s="1" t="s">
        <v>3126</v>
      </c>
      <c r="L186" s="1" t="s">
        <v>3133</v>
      </c>
      <c r="M186" s="1">
        <v>1200</v>
      </c>
      <c r="N186" s="1">
        <v>1</v>
      </c>
      <c r="O186" s="1" t="str">
        <f t="shared" si="12"/>
        <v>"CargoPants_Grey": 1,</v>
      </c>
      <c r="P186" s="1" t="str">
        <f t="shared" si="13"/>
        <v>"CargoPants_Grey": 4,</v>
      </c>
      <c r="Q186" s="1" t="str">
        <f t="shared" si="14"/>
        <v>"CargoPants_Grey": 1200,</v>
      </c>
      <c r="R186" s="1" t="str">
        <f t="shared" si="15"/>
        <v>"CargoPants_Grey": 0,</v>
      </c>
    </row>
    <row r="187" spans="1:18" ht="15" customHeight="1" x14ac:dyDescent="0.25">
      <c r="A187" s="1" t="str">
        <f t="shared" si="16"/>
        <v>#tc_groceries#tc_medic#tc_medicaments</v>
      </c>
      <c r="B187" s="1">
        <f>VLOOKUP(A187,TraderCategory!$A$63:$E$556,2,FALSE)</f>
        <v>24</v>
      </c>
      <c r="C187" s="1">
        <f>VLOOKUP(A187,TraderCategory!$A$63:$F$556,6,FALSE)</f>
        <v>6</v>
      </c>
      <c r="D187" s="1" t="str">
        <f>VLOOKUP(C187,Tabulka5[],3,FALSE)</f>
        <v>Master Sergeant</v>
      </c>
      <c r="E187" s="1">
        <v>6</v>
      </c>
      <c r="F187" s="1" t="str">
        <f>VLOOKUP(E187,Tabulka5[],3,FALSE)</f>
        <v>Master Sergeant</v>
      </c>
      <c r="G187" s="1" t="s">
        <v>3115</v>
      </c>
      <c r="H187" s="1" t="s">
        <v>529</v>
      </c>
      <c r="I187" s="1" t="s">
        <v>426</v>
      </c>
      <c r="J187" s="1" t="s">
        <v>3127</v>
      </c>
      <c r="K187" s="1" t="s">
        <v>2739</v>
      </c>
      <c r="L187" s="1" t="s">
        <v>3153</v>
      </c>
      <c r="M187" s="1">
        <v>500</v>
      </c>
      <c r="N187" s="1">
        <v>1</v>
      </c>
      <c r="O187" s="1" t="str">
        <f t="shared" si="12"/>
        <v>"CharcoalTablets": 1,</v>
      </c>
      <c r="P187" s="1" t="str">
        <f t="shared" si="13"/>
        <v>"CharcoalTablets": 24,</v>
      </c>
      <c r="Q187" s="1" t="str">
        <f t="shared" si="14"/>
        <v>"CharcoalTablets": 500,</v>
      </c>
      <c r="R187" s="1" t="str">
        <f t="shared" si="15"/>
        <v>"CharcoalTablets": 6,</v>
      </c>
    </row>
    <row r="188" spans="1:18" ht="15" customHeight="1" x14ac:dyDescent="0.25">
      <c r="A188" s="1" t="str">
        <f t="shared" si="16"/>
        <v>#tc_groceries#tc_tools#tc_lights</v>
      </c>
      <c r="B188" s="1">
        <f>VLOOKUP(A188,TraderCategory!$A$63:$E$556,2,FALSE)</f>
        <v>37</v>
      </c>
      <c r="C188" s="1">
        <f>VLOOKUP(A188,TraderCategory!$A$63:$F$556,6,FALSE)</f>
        <v>0</v>
      </c>
      <c r="D188" s="1" t="str">
        <f>VLOOKUP(C188,Tabulka5[],3,FALSE)</f>
        <v>Private</v>
      </c>
      <c r="E188" s="1">
        <v>0</v>
      </c>
      <c r="F188" s="1" t="str">
        <f>VLOOKUP(E188,Tabulka5[],3,FALSE)</f>
        <v>Private</v>
      </c>
      <c r="G188" s="1" t="s">
        <v>3115</v>
      </c>
      <c r="H188" s="1" t="s">
        <v>530</v>
      </c>
      <c r="I188" s="1" t="s">
        <v>426</v>
      </c>
      <c r="J188" s="1" t="s">
        <v>3127</v>
      </c>
      <c r="K188" s="1" t="s">
        <v>2740</v>
      </c>
      <c r="L188" s="1" t="s">
        <v>3147</v>
      </c>
      <c r="M188" s="1">
        <v>300</v>
      </c>
      <c r="N188" s="1">
        <v>1</v>
      </c>
      <c r="O188" s="1" t="str">
        <f t="shared" si="12"/>
        <v>"Chemlight_Blue": 1,</v>
      </c>
      <c r="P188" s="1" t="str">
        <f t="shared" si="13"/>
        <v>"Chemlight_Blue": 37,</v>
      </c>
      <c r="Q188" s="1" t="str">
        <f t="shared" si="14"/>
        <v>"Chemlight_Blue": 300,</v>
      </c>
      <c r="R188" s="1" t="str">
        <f t="shared" si="15"/>
        <v>"Chemlight_Blue": 0,</v>
      </c>
    </row>
    <row r="189" spans="1:18" ht="15" customHeight="1" x14ac:dyDescent="0.25">
      <c r="A189" s="1" t="str">
        <f t="shared" si="16"/>
        <v>#tc_groceries#tc_tools#tc_lights</v>
      </c>
      <c r="B189" s="1">
        <f>VLOOKUP(A189,TraderCategory!$A$63:$E$556,2,FALSE)</f>
        <v>37</v>
      </c>
      <c r="C189" s="1">
        <f>VLOOKUP(A189,TraderCategory!$A$63:$F$556,6,FALSE)</f>
        <v>0</v>
      </c>
      <c r="D189" s="1" t="str">
        <f>VLOOKUP(C189,Tabulka5[],3,FALSE)</f>
        <v>Private</v>
      </c>
      <c r="E189" s="1">
        <v>0</v>
      </c>
      <c r="F189" s="1" t="str">
        <f>VLOOKUP(E189,Tabulka5[],3,FALSE)</f>
        <v>Private</v>
      </c>
      <c r="G189" s="1" t="s">
        <v>3115</v>
      </c>
      <c r="H189" s="1" t="s">
        <v>531</v>
      </c>
      <c r="I189" s="1" t="s">
        <v>426</v>
      </c>
      <c r="J189" s="1" t="s">
        <v>3127</v>
      </c>
      <c r="K189" s="1" t="s">
        <v>2740</v>
      </c>
      <c r="L189" s="1" t="s">
        <v>3147</v>
      </c>
      <c r="M189" s="1">
        <v>300</v>
      </c>
      <c r="N189" s="1">
        <v>1</v>
      </c>
      <c r="O189" s="1" t="str">
        <f t="shared" si="12"/>
        <v>"Chemlight_Green": 1,</v>
      </c>
      <c r="P189" s="1" t="str">
        <f t="shared" si="13"/>
        <v>"Chemlight_Green": 37,</v>
      </c>
      <c r="Q189" s="1" t="str">
        <f t="shared" si="14"/>
        <v>"Chemlight_Green": 300,</v>
      </c>
      <c r="R189" s="1" t="str">
        <f t="shared" si="15"/>
        <v>"Chemlight_Green": 0,</v>
      </c>
    </row>
    <row r="190" spans="1:18" ht="15" customHeight="1" x14ac:dyDescent="0.25">
      <c r="A190" s="1" t="str">
        <f t="shared" si="16"/>
        <v>#tc_groceries#tc_tools#tc_lights</v>
      </c>
      <c r="B190" s="1">
        <f>VLOOKUP(A190,TraderCategory!$A$63:$E$556,2,FALSE)</f>
        <v>37</v>
      </c>
      <c r="C190" s="1">
        <f>VLOOKUP(A190,TraderCategory!$A$63:$F$556,6,FALSE)</f>
        <v>0</v>
      </c>
      <c r="D190" s="1" t="str">
        <f>VLOOKUP(C190,Tabulka5[],3,FALSE)</f>
        <v>Private</v>
      </c>
      <c r="E190" s="1">
        <v>0</v>
      </c>
      <c r="F190" s="1" t="str">
        <f>VLOOKUP(E190,Tabulka5[],3,FALSE)</f>
        <v>Private</v>
      </c>
      <c r="G190" s="1" t="s">
        <v>3115</v>
      </c>
      <c r="H190" s="1" t="s">
        <v>532</v>
      </c>
      <c r="I190" s="1" t="s">
        <v>426</v>
      </c>
      <c r="J190" s="1" t="s">
        <v>3127</v>
      </c>
      <c r="K190" s="1" t="s">
        <v>2740</v>
      </c>
      <c r="L190" s="1" t="s">
        <v>3147</v>
      </c>
      <c r="M190" s="1">
        <v>300</v>
      </c>
      <c r="N190" s="1">
        <v>1</v>
      </c>
      <c r="O190" s="1" t="str">
        <f t="shared" si="12"/>
        <v>"Chemlight_Red": 1,</v>
      </c>
      <c r="P190" s="1" t="str">
        <f t="shared" si="13"/>
        <v>"Chemlight_Red": 37,</v>
      </c>
      <c r="Q190" s="1" t="str">
        <f t="shared" si="14"/>
        <v>"Chemlight_Red": 300,</v>
      </c>
      <c r="R190" s="1" t="str">
        <f t="shared" si="15"/>
        <v>"Chemlight_Red": 0,</v>
      </c>
    </row>
    <row r="191" spans="1:18" ht="15" customHeight="1" x14ac:dyDescent="0.25">
      <c r="A191" s="1" t="str">
        <f t="shared" si="16"/>
        <v>#tc_groceries#tc_tools#tc_lights</v>
      </c>
      <c r="B191" s="1">
        <f>VLOOKUP(A191,TraderCategory!$A$63:$E$556,2,FALSE)</f>
        <v>37</v>
      </c>
      <c r="C191" s="1">
        <f>VLOOKUP(A191,TraderCategory!$A$63:$F$556,6,FALSE)</f>
        <v>0</v>
      </c>
      <c r="D191" s="1" t="str">
        <f>VLOOKUP(C191,Tabulka5[],3,FALSE)</f>
        <v>Private</v>
      </c>
      <c r="E191" s="1">
        <v>0</v>
      </c>
      <c r="F191" s="1" t="str">
        <f>VLOOKUP(E191,Tabulka5[],3,FALSE)</f>
        <v>Private</v>
      </c>
      <c r="G191" s="1" t="s">
        <v>3115</v>
      </c>
      <c r="H191" s="1" t="s">
        <v>533</v>
      </c>
      <c r="I191" s="1" t="s">
        <v>426</v>
      </c>
      <c r="J191" s="1" t="s">
        <v>3127</v>
      </c>
      <c r="K191" s="1" t="s">
        <v>2740</v>
      </c>
      <c r="L191" s="1" t="s">
        <v>3147</v>
      </c>
      <c r="M191" s="1">
        <v>300</v>
      </c>
      <c r="N191" s="1">
        <v>1</v>
      </c>
      <c r="O191" s="1" t="str">
        <f t="shared" si="12"/>
        <v>"Chemlight_White": 1,</v>
      </c>
      <c r="P191" s="1" t="str">
        <f t="shared" si="13"/>
        <v>"Chemlight_White": 37,</v>
      </c>
      <c r="Q191" s="1" t="str">
        <f t="shared" si="14"/>
        <v>"Chemlight_White": 300,</v>
      </c>
      <c r="R191" s="1" t="str">
        <f t="shared" si="15"/>
        <v>"Chemlight_White": 0,</v>
      </c>
    </row>
    <row r="192" spans="1:18" ht="15" customHeight="1" x14ac:dyDescent="0.25">
      <c r="A192" s="1" t="str">
        <f t="shared" si="16"/>
        <v>#tc_groceries#tc_tools#tc_lights</v>
      </c>
      <c r="B192" s="1">
        <f>VLOOKUP(A192,TraderCategory!$A$63:$E$556,2,FALSE)</f>
        <v>37</v>
      </c>
      <c r="C192" s="1">
        <f>VLOOKUP(A192,TraderCategory!$A$63:$F$556,6,FALSE)</f>
        <v>0</v>
      </c>
      <c r="D192" s="1" t="str">
        <f>VLOOKUP(C192,Tabulka5[],3,FALSE)</f>
        <v>Private</v>
      </c>
      <c r="E192" s="1">
        <v>0</v>
      </c>
      <c r="F192" s="1" t="str">
        <f>VLOOKUP(E192,Tabulka5[],3,FALSE)</f>
        <v>Private</v>
      </c>
      <c r="G192" s="1" t="s">
        <v>3115</v>
      </c>
      <c r="H192" s="1" t="s">
        <v>534</v>
      </c>
      <c r="I192" s="1" t="s">
        <v>426</v>
      </c>
      <c r="J192" s="1" t="s">
        <v>3127</v>
      </c>
      <c r="K192" s="1" t="s">
        <v>2740</v>
      </c>
      <c r="L192" s="1" t="s">
        <v>3147</v>
      </c>
      <c r="M192" s="1">
        <v>300</v>
      </c>
      <c r="N192" s="1">
        <v>1</v>
      </c>
      <c r="O192" s="1" t="str">
        <f t="shared" si="12"/>
        <v>"Chemlight_Yellow": 1,</v>
      </c>
      <c r="P192" s="1" t="str">
        <f t="shared" si="13"/>
        <v>"Chemlight_Yellow": 37,</v>
      </c>
      <c r="Q192" s="1" t="str">
        <f t="shared" si="14"/>
        <v>"Chemlight_Yellow": 300,</v>
      </c>
      <c r="R192" s="1" t="str">
        <f t="shared" si="15"/>
        <v>"Chemlight_Yellow": 0,</v>
      </c>
    </row>
    <row r="193" spans="1:18" ht="15" customHeight="1" x14ac:dyDescent="0.25">
      <c r="A193" s="1" t="str">
        <f t="shared" si="16"/>
        <v>#tc_groceries#tc_tools#tc_camping</v>
      </c>
      <c r="B193" s="1">
        <f>VLOOKUP(A193,TraderCategory!$A$63:$E$556,2,FALSE)</f>
        <v>33</v>
      </c>
      <c r="C193" s="1">
        <f>VLOOKUP(A193,TraderCategory!$A$63:$F$556,6,FALSE)</f>
        <v>3</v>
      </c>
      <c r="D193" s="1" t="str">
        <f>VLOOKUP(C193,Tabulka5[],3,FALSE)</f>
        <v>Sergeant</v>
      </c>
      <c r="E193" s="1">
        <v>3</v>
      </c>
      <c r="F193" s="1" t="str">
        <f>VLOOKUP(E193,Tabulka5[],3,FALSE)</f>
        <v>Sergeant</v>
      </c>
      <c r="G193" s="1" t="s">
        <v>3115</v>
      </c>
      <c r="H193" s="1" t="s">
        <v>535</v>
      </c>
      <c r="I193" s="1" t="s">
        <v>426</v>
      </c>
      <c r="J193" s="1" t="s">
        <v>3127</v>
      </c>
      <c r="K193" s="1" t="s">
        <v>2740</v>
      </c>
      <c r="L193" s="1" t="s">
        <v>3150</v>
      </c>
      <c r="M193" s="1">
        <v>500</v>
      </c>
      <c r="N193" s="1">
        <v>1</v>
      </c>
      <c r="O193" s="1" t="str">
        <f t="shared" si="12"/>
        <v>"ChernarusMap": 1,</v>
      </c>
      <c r="P193" s="1" t="str">
        <f t="shared" si="13"/>
        <v>"ChernarusMap": 33,</v>
      </c>
      <c r="Q193" s="1" t="str">
        <f t="shared" si="14"/>
        <v>"ChernarusMap": 500,</v>
      </c>
      <c r="R193" s="1" t="str">
        <f t="shared" si="15"/>
        <v>"ChernarusMap": 3,</v>
      </c>
    </row>
    <row r="194" spans="1:18" ht="15" customHeight="1" x14ac:dyDescent="0.25">
      <c r="A194" s="1" t="str">
        <f t="shared" si="16"/>
        <v>#tc_clothes#tc_civil#tc_tops</v>
      </c>
      <c r="B194" s="1">
        <f>VLOOKUP(A194,TraderCategory!$A$63:$E$556,2,FALSE)</f>
        <v>1</v>
      </c>
      <c r="C194" s="1">
        <f>VLOOKUP(A194,TraderCategory!$A$63:$F$556,6,FALSE)</f>
        <v>0</v>
      </c>
      <c r="D194" s="1" t="str">
        <f>VLOOKUP(C194,Tabulka5[],3,FALSE)</f>
        <v>Private</v>
      </c>
      <c r="E194" s="1">
        <v>0</v>
      </c>
      <c r="F194" s="1" t="str">
        <f>VLOOKUP(E194,Tabulka5[],3,FALSE)</f>
        <v>Private</v>
      </c>
      <c r="G194" s="1" t="s">
        <v>3115</v>
      </c>
      <c r="H194" s="1" t="s">
        <v>536</v>
      </c>
      <c r="I194" s="1" t="s">
        <v>403</v>
      </c>
      <c r="J194" s="1" t="s">
        <v>2728</v>
      </c>
      <c r="K194" s="1" t="s">
        <v>3126</v>
      </c>
      <c r="L194" s="1" t="s">
        <v>3131</v>
      </c>
      <c r="M194" s="1">
        <v>2000</v>
      </c>
      <c r="N194" s="1">
        <v>1</v>
      </c>
      <c r="O194" s="1" t="str">
        <f t="shared" si="12"/>
        <v>"ChernarusSportShirt": 1,</v>
      </c>
      <c r="P194" s="1" t="str">
        <f t="shared" si="13"/>
        <v>"ChernarusSportShirt": 1,</v>
      </c>
      <c r="Q194" s="1" t="str">
        <f t="shared" si="14"/>
        <v>"ChernarusSportShirt": 2000,</v>
      </c>
      <c r="R194" s="1" t="str">
        <f t="shared" si="15"/>
        <v>"ChernarusSportShirt": 0,</v>
      </c>
    </row>
    <row r="195" spans="1:18" ht="15" customHeight="1" x14ac:dyDescent="0.25">
      <c r="A195" s="1" t="str">
        <f t="shared" si="16"/>
        <v>#tc_clothes#tc_civil#tc_vests</v>
      </c>
      <c r="B195" s="1">
        <f>VLOOKUP(A195,TraderCategory!$A$63:$E$556,2,FALSE)</f>
        <v>6</v>
      </c>
      <c r="C195" s="1">
        <f>VLOOKUP(A195,TraderCategory!$A$63:$F$556,6,FALSE)</f>
        <v>0</v>
      </c>
      <c r="D195" s="1" t="str">
        <f>VLOOKUP(C195,Tabulka5[],3,FALSE)</f>
        <v>Private</v>
      </c>
      <c r="E195" s="1">
        <v>1</v>
      </c>
      <c r="F195" s="1" t="str">
        <f>VLOOKUP(E195,Tabulka5[],3,FALSE)</f>
        <v>Private First Class</v>
      </c>
      <c r="G195" s="1" t="s">
        <v>3115</v>
      </c>
      <c r="H195" s="1" t="s">
        <v>537</v>
      </c>
      <c r="I195" s="1" t="s">
        <v>403</v>
      </c>
      <c r="J195" s="1" t="s">
        <v>2728</v>
      </c>
      <c r="K195" s="1" t="s">
        <v>3126</v>
      </c>
      <c r="L195" s="1" t="s">
        <v>3136</v>
      </c>
      <c r="M195" s="1">
        <v>1500</v>
      </c>
      <c r="N195" s="1">
        <v>1</v>
      </c>
      <c r="O195" s="1" t="str">
        <f t="shared" ref="O195:O258" si="17">"""" &amp;H195 &amp; """: " &amp; N195 &amp; ","</f>
        <v>"ChestHolster": 1,</v>
      </c>
      <c r="P195" s="1" t="str">
        <f t="shared" ref="P195:P258" si="18">"""" &amp;H195 &amp; """: " &amp; B195 &amp; ","</f>
        <v>"ChestHolster": 6,</v>
      </c>
      <c r="Q195" s="1" t="str">
        <f t="shared" ref="Q195:Q258" si="19">"""" &amp;H195 &amp; """: " &amp; M195 &amp; ","</f>
        <v>"ChestHolster": 1500,</v>
      </c>
      <c r="R195" s="1" t="str">
        <f t="shared" ref="R195:R258" si="20">"""" &amp;H195 &amp; """: " &amp; E195 &amp; ","</f>
        <v>"ChestHolster": 1,</v>
      </c>
    </row>
    <row r="196" spans="1:18" ht="15" customHeight="1" x14ac:dyDescent="0.25">
      <c r="A196" s="1" t="str">
        <f t="shared" si="16"/>
        <v>#tc_clothes#tc_civil#tc_bags</v>
      </c>
      <c r="B196" s="1">
        <f>VLOOKUP(A196,TraderCategory!$A$63:$E$556,2,FALSE)</f>
        <v>7</v>
      </c>
      <c r="C196" s="1">
        <f>VLOOKUP(A196,TraderCategory!$A$63:$F$556,6,FALSE)</f>
        <v>0</v>
      </c>
      <c r="D196" s="1" t="str">
        <f>VLOOKUP(C196,Tabulka5[],3,FALSE)</f>
        <v>Private</v>
      </c>
      <c r="E196" s="1">
        <v>0</v>
      </c>
      <c r="F196" s="1" t="str">
        <f>VLOOKUP(E196,Tabulka5[],3,FALSE)</f>
        <v>Private</v>
      </c>
      <c r="G196" s="1" t="s">
        <v>3115</v>
      </c>
      <c r="H196" s="1" t="s">
        <v>539</v>
      </c>
      <c r="I196" s="1" t="s">
        <v>363</v>
      </c>
      <c r="J196" s="1" t="s">
        <v>2728</v>
      </c>
      <c r="K196" s="1" t="s">
        <v>3126</v>
      </c>
      <c r="L196" s="1" t="s">
        <v>3138</v>
      </c>
      <c r="M196" s="1">
        <v>1500</v>
      </c>
      <c r="N196" s="1">
        <v>1</v>
      </c>
      <c r="O196" s="1" t="str">
        <f t="shared" si="17"/>
        <v>"ChildBag_Blue": 1,</v>
      </c>
      <c r="P196" s="1" t="str">
        <f t="shared" si="18"/>
        <v>"ChildBag_Blue": 7,</v>
      </c>
      <c r="Q196" s="1" t="str">
        <f t="shared" si="19"/>
        <v>"ChildBag_Blue": 1500,</v>
      </c>
      <c r="R196" s="1" t="str">
        <f t="shared" si="20"/>
        <v>"ChildBag_Blue": 0,</v>
      </c>
    </row>
    <row r="197" spans="1:18" ht="15" customHeight="1" x14ac:dyDescent="0.25">
      <c r="A197" s="1" t="str">
        <f t="shared" si="16"/>
        <v>#tc_clothes#tc_civil#tc_bags</v>
      </c>
      <c r="B197" s="1">
        <f>VLOOKUP(A197,TraderCategory!$A$63:$E$556,2,FALSE)</f>
        <v>7</v>
      </c>
      <c r="C197" s="1">
        <f>VLOOKUP(A197,TraderCategory!$A$63:$F$556,6,FALSE)</f>
        <v>0</v>
      </c>
      <c r="D197" s="1" t="str">
        <f>VLOOKUP(C197,Tabulka5[],3,FALSE)</f>
        <v>Private</v>
      </c>
      <c r="E197" s="1">
        <v>0</v>
      </c>
      <c r="F197" s="1" t="str">
        <f>VLOOKUP(E197,Tabulka5[],3,FALSE)</f>
        <v>Private</v>
      </c>
      <c r="G197" s="1" t="s">
        <v>3115</v>
      </c>
      <c r="H197" s="1" t="s">
        <v>540</v>
      </c>
      <c r="I197" s="1" t="s">
        <v>363</v>
      </c>
      <c r="J197" s="1" t="s">
        <v>2728</v>
      </c>
      <c r="K197" s="1" t="s">
        <v>3126</v>
      </c>
      <c r="L197" s="1" t="s">
        <v>3138</v>
      </c>
      <c r="M197" s="1">
        <v>1500</v>
      </c>
      <c r="N197" s="1">
        <v>1</v>
      </c>
      <c r="O197" s="1" t="str">
        <f t="shared" si="17"/>
        <v>"ChildBag_Green": 1,</v>
      </c>
      <c r="P197" s="1" t="str">
        <f t="shared" si="18"/>
        <v>"ChildBag_Green": 7,</v>
      </c>
      <c r="Q197" s="1" t="str">
        <f t="shared" si="19"/>
        <v>"ChildBag_Green": 1500,</v>
      </c>
      <c r="R197" s="1" t="str">
        <f t="shared" si="20"/>
        <v>"ChildBag_Green": 0,</v>
      </c>
    </row>
    <row r="198" spans="1:18" ht="15" customHeight="1" x14ac:dyDescent="0.25">
      <c r="A198" s="1" t="str">
        <f t="shared" si="16"/>
        <v>#tc_clothes#tc_civil#tc_bags</v>
      </c>
      <c r="B198" s="1">
        <f>VLOOKUP(A198,TraderCategory!$A$63:$E$556,2,FALSE)</f>
        <v>7</v>
      </c>
      <c r="C198" s="1">
        <f>VLOOKUP(A198,TraderCategory!$A$63:$F$556,6,FALSE)</f>
        <v>0</v>
      </c>
      <c r="D198" s="1" t="str">
        <f>VLOOKUP(C198,Tabulka5[],3,FALSE)</f>
        <v>Private</v>
      </c>
      <c r="E198" s="1">
        <v>0</v>
      </c>
      <c r="F198" s="1" t="str">
        <f>VLOOKUP(E198,Tabulka5[],3,FALSE)</f>
        <v>Private</v>
      </c>
      <c r="G198" s="1" t="s">
        <v>3115</v>
      </c>
      <c r="H198" s="1" t="s">
        <v>541</v>
      </c>
      <c r="I198" s="1" t="s">
        <v>363</v>
      </c>
      <c r="J198" s="1" t="s">
        <v>2728</v>
      </c>
      <c r="K198" s="1" t="s">
        <v>3126</v>
      </c>
      <c r="L198" s="1" t="s">
        <v>3138</v>
      </c>
      <c r="M198" s="1">
        <v>1500</v>
      </c>
      <c r="N198" s="1">
        <v>1</v>
      </c>
      <c r="O198" s="1" t="str">
        <f t="shared" si="17"/>
        <v>"ChildBag_Red": 1,</v>
      </c>
      <c r="P198" s="1" t="str">
        <f t="shared" si="18"/>
        <v>"ChildBag_Red": 7,</v>
      </c>
      <c r="Q198" s="1" t="str">
        <f t="shared" si="19"/>
        <v>"ChildBag_Red": 1500,</v>
      </c>
      <c r="R198" s="1" t="str">
        <f t="shared" si="20"/>
        <v>"ChildBag_Red": 0,</v>
      </c>
    </row>
    <row r="199" spans="1:18" ht="15" customHeight="1" x14ac:dyDescent="0.25">
      <c r="A199" s="1" t="str">
        <f t="shared" si="16"/>
        <v>#tc_vehicles#tc_parts#tc_doors</v>
      </c>
      <c r="B199" s="1">
        <f>VLOOKUP(A199,TraderCategory!$A$63:$E$556,2,FALSE)</f>
        <v>70</v>
      </c>
      <c r="C199" s="1">
        <f>VLOOKUP(A199,TraderCategory!$A$63:$F$556,6,FALSE)</f>
        <v>3</v>
      </c>
      <c r="D199" s="1" t="str">
        <f>VLOOKUP(C199,Tabulka5[],3,FALSE)</f>
        <v>Sergeant</v>
      </c>
      <c r="E199" s="1">
        <v>3</v>
      </c>
      <c r="F199" s="1" t="str">
        <f>VLOOKUP(E199,Tabulka5[],3,FALSE)</f>
        <v>Sergeant</v>
      </c>
      <c r="G199" s="1" t="s">
        <v>3115</v>
      </c>
      <c r="H199" s="1" t="s">
        <v>542</v>
      </c>
      <c r="I199" s="1" t="s">
        <v>426</v>
      </c>
      <c r="J199" s="1" t="s">
        <v>2743</v>
      </c>
      <c r="K199" s="1" t="s">
        <v>2742</v>
      </c>
      <c r="L199" s="1" t="s">
        <v>3170</v>
      </c>
      <c r="M199" s="1">
        <v>4000</v>
      </c>
      <c r="N199" s="1">
        <v>1</v>
      </c>
      <c r="O199" s="1" t="str">
        <f t="shared" si="17"/>
        <v>"CivSedanDoors_BackLeft": 1,</v>
      </c>
      <c r="P199" s="1" t="str">
        <f t="shared" si="18"/>
        <v>"CivSedanDoors_BackLeft": 70,</v>
      </c>
      <c r="Q199" s="1" t="str">
        <f t="shared" si="19"/>
        <v>"CivSedanDoors_BackLeft": 4000,</v>
      </c>
      <c r="R199" s="1" t="str">
        <f t="shared" si="20"/>
        <v>"CivSedanDoors_BackLeft": 3,</v>
      </c>
    </row>
    <row r="200" spans="1:18" ht="15" customHeight="1" x14ac:dyDescent="0.25">
      <c r="A200" s="1" t="str">
        <f t="shared" si="16"/>
        <v>#tc_vehicles#tc_parts#tc_doors</v>
      </c>
      <c r="B200" s="1">
        <f>VLOOKUP(A200,TraderCategory!$A$63:$E$556,2,FALSE)</f>
        <v>70</v>
      </c>
      <c r="C200" s="1">
        <f>VLOOKUP(A200,TraderCategory!$A$63:$F$556,6,FALSE)</f>
        <v>3</v>
      </c>
      <c r="D200" s="1" t="str">
        <f>VLOOKUP(C200,Tabulka5[],3,FALSE)</f>
        <v>Sergeant</v>
      </c>
      <c r="E200" s="1">
        <v>3</v>
      </c>
      <c r="F200" s="1" t="str">
        <f>VLOOKUP(E200,Tabulka5[],3,FALSE)</f>
        <v>Sergeant</v>
      </c>
      <c r="G200" s="1" t="s">
        <v>3115</v>
      </c>
      <c r="H200" s="1" t="s">
        <v>543</v>
      </c>
      <c r="I200" s="1" t="s">
        <v>426</v>
      </c>
      <c r="J200" s="1" t="s">
        <v>2743</v>
      </c>
      <c r="K200" s="1" t="s">
        <v>2742</v>
      </c>
      <c r="L200" s="1" t="s">
        <v>3170</v>
      </c>
      <c r="M200" s="1">
        <v>4000</v>
      </c>
      <c r="N200" s="1">
        <v>1</v>
      </c>
      <c r="O200" s="1" t="str">
        <f t="shared" si="17"/>
        <v>"CivSedanDoors_BackLeft_Black": 1,</v>
      </c>
      <c r="P200" s="1" t="str">
        <f t="shared" si="18"/>
        <v>"CivSedanDoors_BackLeft_Black": 70,</v>
      </c>
      <c r="Q200" s="1" t="str">
        <f t="shared" si="19"/>
        <v>"CivSedanDoors_BackLeft_Black": 4000,</v>
      </c>
      <c r="R200" s="1" t="str">
        <f t="shared" si="20"/>
        <v>"CivSedanDoors_BackLeft_Black": 3,</v>
      </c>
    </row>
    <row r="201" spans="1:18" ht="15" customHeight="1" x14ac:dyDescent="0.25">
      <c r="A201" s="1" t="str">
        <f t="shared" si="16"/>
        <v>#tc_vehicles#tc_parts#tc_doors</v>
      </c>
      <c r="B201" s="1">
        <f>VLOOKUP(A201,TraderCategory!$A$63:$E$556,2,FALSE)</f>
        <v>70</v>
      </c>
      <c r="C201" s="1">
        <f>VLOOKUP(A201,TraderCategory!$A$63:$F$556,6,FALSE)</f>
        <v>3</v>
      </c>
      <c r="D201" s="1" t="str">
        <f>VLOOKUP(C201,Tabulka5[],3,FALSE)</f>
        <v>Sergeant</v>
      </c>
      <c r="E201" s="1">
        <v>3</v>
      </c>
      <c r="F201" s="1" t="str">
        <f>VLOOKUP(E201,Tabulka5[],3,FALSE)</f>
        <v>Sergeant</v>
      </c>
      <c r="G201" s="1" t="s">
        <v>3115</v>
      </c>
      <c r="H201" s="1" t="s">
        <v>544</v>
      </c>
      <c r="I201" s="1" t="s">
        <v>426</v>
      </c>
      <c r="J201" s="1" t="s">
        <v>2743</v>
      </c>
      <c r="K201" s="1" t="s">
        <v>2742</v>
      </c>
      <c r="L201" s="1" t="s">
        <v>3170</v>
      </c>
      <c r="M201" s="1">
        <v>4000</v>
      </c>
      <c r="N201" s="1">
        <v>1</v>
      </c>
      <c r="O201" s="1" t="str">
        <f t="shared" si="17"/>
        <v>"CivSedanDoors_BackLeft_Wine": 1,</v>
      </c>
      <c r="P201" s="1" t="str">
        <f t="shared" si="18"/>
        <v>"CivSedanDoors_BackLeft_Wine": 70,</v>
      </c>
      <c r="Q201" s="1" t="str">
        <f t="shared" si="19"/>
        <v>"CivSedanDoors_BackLeft_Wine": 4000,</v>
      </c>
      <c r="R201" s="1" t="str">
        <f t="shared" si="20"/>
        <v>"CivSedanDoors_BackLeft_Wine": 3,</v>
      </c>
    </row>
    <row r="202" spans="1:18" ht="15" customHeight="1" x14ac:dyDescent="0.25">
      <c r="A202" s="1" t="str">
        <f t="shared" si="16"/>
        <v>#tc_vehicles#tc_parts#tc_doors</v>
      </c>
      <c r="B202" s="1">
        <f>VLOOKUP(A202,TraderCategory!$A$63:$E$556,2,FALSE)</f>
        <v>70</v>
      </c>
      <c r="C202" s="1">
        <f>VLOOKUP(A202,TraderCategory!$A$63:$F$556,6,FALSE)</f>
        <v>3</v>
      </c>
      <c r="D202" s="1" t="str">
        <f>VLOOKUP(C202,Tabulka5[],3,FALSE)</f>
        <v>Sergeant</v>
      </c>
      <c r="E202" s="1">
        <v>3</v>
      </c>
      <c r="F202" s="1" t="str">
        <f>VLOOKUP(E202,Tabulka5[],3,FALSE)</f>
        <v>Sergeant</v>
      </c>
      <c r="G202" s="1" t="s">
        <v>3115</v>
      </c>
      <c r="H202" s="1" t="s">
        <v>545</v>
      </c>
      <c r="I202" s="1" t="s">
        <v>426</v>
      </c>
      <c r="J202" s="1" t="s">
        <v>2743</v>
      </c>
      <c r="K202" s="1" t="s">
        <v>2742</v>
      </c>
      <c r="L202" s="1" t="s">
        <v>3170</v>
      </c>
      <c r="M202" s="1">
        <v>4000</v>
      </c>
      <c r="N202" s="1">
        <v>1</v>
      </c>
      <c r="O202" s="1" t="str">
        <f t="shared" si="17"/>
        <v>"CivSedanDoors_BackRight": 1,</v>
      </c>
      <c r="P202" s="1" t="str">
        <f t="shared" si="18"/>
        <v>"CivSedanDoors_BackRight": 70,</v>
      </c>
      <c r="Q202" s="1" t="str">
        <f t="shared" si="19"/>
        <v>"CivSedanDoors_BackRight": 4000,</v>
      </c>
      <c r="R202" s="1" t="str">
        <f t="shared" si="20"/>
        <v>"CivSedanDoors_BackRight": 3,</v>
      </c>
    </row>
    <row r="203" spans="1:18" ht="15" customHeight="1" x14ac:dyDescent="0.25">
      <c r="A203" s="1" t="str">
        <f t="shared" si="16"/>
        <v>#tc_vehicles#tc_parts#tc_doors</v>
      </c>
      <c r="B203" s="1">
        <f>VLOOKUP(A203,TraderCategory!$A$63:$E$556,2,FALSE)</f>
        <v>70</v>
      </c>
      <c r="C203" s="1">
        <f>VLOOKUP(A203,TraderCategory!$A$63:$F$556,6,FALSE)</f>
        <v>3</v>
      </c>
      <c r="D203" s="1" t="str">
        <f>VLOOKUP(C203,Tabulka5[],3,FALSE)</f>
        <v>Sergeant</v>
      </c>
      <c r="E203" s="1">
        <v>3</v>
      </c>
      <c r="F203" s="1" t="str">
        <f>VLOOKUP(E203,Tabulka5[],3,FALSE)</f>
        <v>Sergeant</v>
      </c>
      <c r="G203" s="1" t="s">
        <v>3115</v>
      </c>
      <c r="H203" s="1" t="s">
        <v>546</v>
      </c>
      <c r="I203" s="1" t="s">
        <v>426</v>
      </c>
      <c r="J203" s="1" t="s">
        <v>2743</v>
      </c>
      <c r="K203" s="1" t="s">
        <v>2742</v>
      </c>
      <c r="L203" s="1" t="s">
        <v>3170</v>
      </c>
      <c r="M203" s="1">
        <v>4000</v>
      </c>
      <c r="N203" s="1">
        <v>1</v>
      </c>
      <c r="O203" s="1" t="str">
        <f t="shared" si="17"/>
        <v>"CivSedanDoors_BackRight_Black": 1,</v>
      </c>
      <c r="P203" s="1" t="str">
        <f t="shared" si="18"/>
        <v>"CivSedanDoors_BackRight_Black": 70,</v>
      </c>
      <c r="Q203" s="1" t="str">
        <f t="shared" si="19"/>
        <v>"CivSedanDoors_BackRight_Black": 4000,</v>
      </c>
      <c r="R203" s="1" t="str">
        <f t="shared" si="20"/>
        <v>"CivSedanDoors_BackRight_Black": 3,</v>
      </c>
    </row>
    <row r="204" spans="1:18" ht="15" customHeight="1" x14ac:dyDescent="0.25">
      <c r="A204" s="1" t="str">
        <f t="shared" si="16"/>
        <v>#tc_vehicles#tc_parts#tc_doors</v>
      </c>
      <c r="B204" s="1">
        <f>VLOOKUP(A204,TraderCategory!$A$63:$E$556,2,FALSE)</f>
        <v>70</v>
      </c>
      <c r="C204" s="1">
        <f>VLOOKUP(A204,TraderCategory!$A$63:$F$556,6,FALSE)</f>
        <v>3</v>
      </c>
      <c r="D204" s="1" t="str">
        <f>VLOOKUP(C204,Tabulka5[],3,FALSE)</f>
        <v>Sergeant</v>
      </c>
      <c r="E204" s="1">
        <v>3</v>
      </c>
      <c r="F204" s="1" t="str">
        <f>VLOOKUP(E204,Tabulka5[],3,FALSE)</f>
        <v>Sergeant</v>
      </c>
      <c r="G204" s="1" t="s">
        <v>3115</v>
      </c>
      <c r="H204" s="1" t="s">
        <v>547</v>
      </c>
      <c r="I204" s="1" t="s">
        <v>426</v>
      </c>
      <c r="J204" s="1" t="s">
        <v>2743</v>
      </c>
      <c r="K204" s="1" t="s">
        <v>2742</v>
      </c>
      <c r="L204" s="1" t="s">
        <v>3170</v>
      </c>
      <c r="M204" s="1">
        <v>4000</v>
      </c>
      <c r="N204" s="1">
        <v>1</v>
      </c>
      <c r="O204" s="1" t="str">
        <f t="shared" si="17"/>
        <v>"CivSedanDoors_BackRight_Wine": 1,</v>
      </c>
      <c r="P204" s="1" t="str">
        <f t="shared" si="18"/>
        <v>"CivSedanDoors_BackRight_Wine": 70,</v>
      </c>
      <c r="Q204" s="1" t="str">
        <f t="shared" si="19"/>
        <v>"CivSedanDoors_BackRight_Wine": 4000,</v>
      </c>
      <c r="R204" s="1" t="str">
        <f t="shared" si="20"/>
        <v>"CivSedanDoors_BackRight_Wine": 3,</v>
      </c>
    </row>
    <row r="205" spans="1:18" ht="15" customHeight="1" x14ac:dyDescent="0.25">
      <c r="A205" s="1" t="str">
        <f t="shared" si="16"/>
        <v>#tc_vehicles#tc_parts#tc_doors</v>
      </c>
      <c r="B205" s="1">
        <f>VLOOKUP(A205,TraderCategory!$A$63:$E$556,2,FALSE)</f>
        <v>70</v>
      </c>
      <c r="C205" s="1">
        <f>VLOOKUP(A205,TraderCategory!$A$63:$F$556,6,FALSE)</f>
        <v>3</v>
      </c>
      <c r="D205" s="1" t="str">
        <f>VLOOKUP(C205,Tabulka5[],3,FALSE)</f>
        <v>Sergeant</v>
      </c>
      <c r="E205" s="1">
        <v>3</v>
      </c>
      <c r="F205" s="1" t="str">
        <f>VLOOKUP(E205,Tabulka5[],3,FALSE)</f>
        <v>Sergeant</v>
      </c>
      <c r="G205" s="1" t="s">
        <v>3115</v>
      </c>
      <c r="H205" s="1" t="s">
        <v>548</v>
      </c>
      <c r="I205" s="1" t="s">
        <v>426</v>
      </c>
      <c r="J205" s="1" t="s">
        <v>2743</v>
      </c>
      <c r="K205" s="1" t="s">
        <v>2742</v>
      </c>
      <c r="L205" s="1" t="s">
        <v>3170</v>
      </c>
      <c r="M205" s="1">
        <v>4000</v>
      </c>
      <c r="N205" s="1">
        <v>1</v>
      </c>
      <c r="O205" s="1" t="str">
        <f t="shared" si="17"/>
        <v>"CivSedanDoors_CoDriver": 1,</v>
      </c>
      <c r="P205" s="1" t="str">
        <f t="shared" si="18"/>
        <v>"CivSedanDoors_CoDriver": 70,</v>
      </c>
      <c r="Q205" s="1" t="str">
        <f t="shared" si="19"/>
        <v>"CivSedanDoors_CoDriver": 4000,</v>
      </c>
      <c r="R205" s="1" t="str">
        <f t="shared" si="20"/>
        <v>"CivSedanDoors_CoDriver": 3,</v>
      </c>
    </row>
    <row r="206" spans="1:18" ht="15" customHeight="1" x14ac:dyDescent="0.25">
      <c r="A206" s="1" t="str">
        <f t="shared" si="16"/>
        <v>#tc_vehicles#tc_parts#tc_doors</v>
      </c>
      <c r="B206" s="1">
        <f>VLOOKUP(A206,TraderCategory!$A$63:$E$556,2,FALSE)</f>
        <v>70</v>
      </c>
      <c r="C206" s="1">
        <f>VLOOKUP(A206,TraderCategory!$A$63:$F$556,6,FALSE)</f>
        <v>3</v>
      </c>
      <c r="D206" s="1" t="str">
        <f>VLOOKUP(C206,Tabulka5[],3,FALSE)</f>
        <v>Sergeant</v>
      </c>
      <c r="E206" s="1">
        <v>3</v>
      </c>
      <c r="F206" s="1" t="str">
        <f>VLOOKUP(E206,Tabulka5[],3,FALSE)</f>
        <v>Sergeant</v>
      </c>
      <c r="G206" s="1" t="s">
        <v>3115</v>
      </c>
      <c r="H206" s="1" t="s">
        <v>549</v>
      </c>
      <c r="I206" s="1" t="s">
        <v>426</v>
      </c>
      <c r="J206" s="1" t="s">
        <v>2743</v>
      </c>
      <c r="K206" s="1" t="s">
        <v>2742</v>
      </c>
      <c r="L206" s="1" t="s">
        <v>3170</v>
      </c>
      <c r="M206" s="1">
        <v>4000</v>
      </c>
      <c r="N206" s="1">
        <v>1</v>
      </c>
      <c r="O206" s="1" t="str">
        <f t="shared" si="17"/>
        <v>"CivSedanDoors_CoDriver_Black": 1,</v>
      </c>
      <c r="P206" s="1" t="str">
        <f t="shared" si="18"/>
        <v>"CivSedanDoors_CoDriver_Black": 70,</v>
      </c>
      <c r="Q206" s="1" t="str">
        <f t="shared" si="19"/>
        <v>"CivSedanDoors_CoDriver_Black": 4000,</v>
      </c>
      <c r="R206" s="1" t="str">
        <f t="shared" si="20"/>
        <v>"CivSedanDoors_CoDriver_Black": 3,</v>
      </c>
    </row>
    <row r="207" spans="1:18" ht="15" customHeight="1" x14ac:dyDescent="0.25">
      <c r="A207" s="1" t="str">
        <f t="shared" si="16"/>
        <v>#tc_vehicles#tc_parts#tc_doors</v>
      </c>
      <c r="B207" s="1">
        <f>VLOOKUP(A207,TraderCategory!$A$63:$E$556,2,FALSE)</f>
        <v>70</v>
      </c>
      <c r="C207" s="1">
        <f>VLOOKUP(A207,TraderCategory!$A$63:$F$556,6,FALSE)</f>
        <v>3</v>
      </c>
      <c r="D207" s="1" t="str">
        <f>VLOOKUP(C207,Tabulka5[],3,FALSE)</f>
        <v>Sergeant</v>
      </c>
      <c r="E207" s="1">
        <v>3</v>
      </c>
      <c r="F207" s="1" t="str">
        <f>VLOOKUP(E207,Tabulka5[],3,FALSE)</f>
        <v>Sergeant</v>
      </c>
      <c r="G207" s="1" t="s">
        <v>3115</v>
      </c>
      <c r="H207" s="1" t="s">
        <v>550</v>
      </c>
      <c r="I207" s="1" t="s">
        <v>426</v>
      </c>
      <c r="J207" s="1" t="s">
        <v>2743</v>
      </c>
      <c r="K207" s="1" t="s">
        <v>2742</v>
      </c>
      <c r="L207" s="1" t="s">
        <v>3170</v>
      </c>
      <c r="M207" s="1">
        <v>4000</v>
      </c>
      <c r="N207" s="1">
        <v>1</v>
      </c>
      <c r="O207" s="1" t="str">
        <f t="shared" si="17"/>
        <v>"CivSedanDoors_CoDriver_Wine": 1,</v>
      </c>
      <c r="P207" s="1" t="str">
        <f t="shared" si="18"/>
        <v>"CivSedanDoors_CoDriver_Wine": 70,</v>
      </c>
      <c r="Q207" s="1" t="str">
        <f t="shared" si="19"/>
        <v>"CivSedanDoors_CoDriver_Wine": 4000,</v>
      </c>
      <c r="R207" s="1" t="str">
        <f t="shared" si="20"/>
        <v>"CivSedanDoors_CoDriver_Wine": 3,</v>
      </c>
    </row>
    <row r="208" spans="1:18" ht="15" customHeight="1" x14ac:dyDescent="0.25">
      <c r="A208" s="1" t="str">
        <f t="shared" si="16"/>
        <v>#tc_vehicles#tc_parts#tc_doors</v>
      </c>
      <c r="B208" s="1">
        <f>VLOOKUP(A208,TraderCategory!$A$63:$E$556,2,FALSE)</f>
        <v>70</v>
      </c>
      <c r="C208" s="1">
        <f>VLOOKUP(A208,TraderCategory!$A$63:$F$556,6,FALSE)</f>
        <v>3</v>
      </c>
      <c r="D208" s="1" t="str">
        <f>VLOOKUP(C208,Tabulka5[],3,FALSE)</f>
        <v>Sergeant</v>
      </c>
      <c r="E208" s="1">
        <v>3</v>
      </c>
      <c r="F208" s="1" t="str">
        <f>VLOOKUP(E208,Tabulka5[],3,FALSE)</f>
        <v>Sergeant</v>
      </c>
      <c r="G208" s="1" t="s">
        <v>3115</v>
      </c>
      <c r="H208" s="1" t="s">
        <v>551</v>
      </c>
      <c r="I208" s="1" t="s">
        <v>426</v>
      </c>
      <c r="J208" s="1" t="s">
        <v>2743</v>
      </c>
      <c r="K208" s="1" t="s">
        <v>2742</v>
      </c>
      <c r="L208" s="1" t="s">
        <v>3170</v>
      </c>
      <c r="M208" s="1">
        <v>4000</v>
      </c>
      <c r="N208" s="1">
        <v>1</v>
      </c>
      <c r="O208" s="1" t="str">
        <f t="shared" si="17"/>
        <v>"CivSedanDoors_Driver": 1,</v>
      </c>
      <c r="P208" s="1" t="str">
        <f t="shared" si="18"/>
        <v>"CivSedanDoors_Driver": 70,</v>
      </c>
      <c r="Q208" s="1" t="str">
        <f t="shared" si="19"/>
        <v>"CivSedanDoors_Driver": 4000,</v>
      </c>
      <c r="R208" s="1" t="str">
        <f t="shared" si="20"/>
        <v>"CivSedanDoors_Driver": 3,</v>
      </c>
    </row>
    <row r="209" spans="1:18" ht="15" customHeight="1" x14ac:dyDescent="0.25">
      <c r="A209" s="1" t="str">
        <f t="shared" si="16"/>
        <v>#tc_vehicles#tc_parts#tc_doors</v>
      </c>
      <c r="B209" s="1">
        <f>VLOOKUP(A209,TraderCategory!$A$63:$E$556,2,FALSE)</f>
        <v>70</v>
      </c>
      <c r="C209" s="1">
        <f>VLOOKUP(A209,TraderCategory!$A$63:$F$556,6,FALSE)</f>
        <v>3</v>
      </c>
      <c r="D209" s="1" t="str">
        <f>VLOOKUP(C209,Tabulka5[],3,FALSE)</f>
        <v>Sergeant</v>
      </c>
      <c r="E209" s="1">
        <v>3</v>
      </c>
      <c r="F209" s="1" t="str">
        <f>VLOOKUP(E209,Tabulka5[],3,FALSE)</f>
        <v>Sergeant</v>
      </c>
      <c r="G209" s="1" t="s">
        <v>3115</v>
      </c>
      <c r="H209" s="1" t="s">
        <v>552</v>
      </c>
      <c r="I209" s="1" t="s">
        <v>426</v>
      </c>
      <c r="J209" s="1" t="s">
        <v>2743</v>
      </c>
      <c r="K209" s="1" t="s">
        <v>2742</v>
      </c>
      <c r="L209" s="1" t="s">
        <v>3170</v>
      </c>
      <c r="M209" s="1">
        <v>4000</v>
      </c>
      <c r="N209" s="1">
        <v>1</v>
      </c>
      <c r="O209" s="1" t="str">
        <f t="shared" si="17"/>
        <v>"CivSedanDoors_Driver_Black": 1,</v>
      </c>
      <c r="P209" s="1" t="str">
        <f t="shared" si="18"/>
        <v>"CivSedanDoors_Driver_Black": 70,</v>
      </c>
      <c r="Q209" s="1" t="str">
        <f t="shared" si="19"/>
        <v>"CivSedanDoors_Driver_Black": 4000,</v>
      </c>
      <c r="R209" s="1" t="str">
        <f t="shared" si="20"/>
        <v>"CivSedanDoors_Driver_Black": 3,</v>
      </c>
    </row>
    <row r="210" spans="1:18" ht="15" customHeight="1" x14ac:dyDescent="0.25">
      <c r="A210" s="1" t="str">
        <f t="shared" si="16"/>
        <v>#tc_vehicles#tc_parts#tc_doors</v>
      </c>
      <c r="B210" s="1">
        <f>VLOOKUP(A210,TraderCategory!$A$63:$E$556,2,FALSE)</f>
        <v>70</v>
      </c>
      <c r="C210" s="1">
        <f>VLOOKUP(A210,TraderCategory!$A$63:$F$556,6,FALSE)</f>
        <v>3</v>
      </c>
      <c r="D210" s="1" t="str">
        <f>VLOOKUP(C210,Tabulka5[],3,FALSE)</f>
        <v>Sergeant</v>
      </c>
      <c r="E210" s="1">
        <v>3</v>
      </c>
      <c r="F210" s="1" t="str">
        <f>VLOOKUP(E210,Tabulka5[],3,FALSE)</f>
        <v>Sergeant</v>
      </c>
      <c r="G210" s="1" t="s">
        <v>3115</v>
      </c>
      <c r="H210" s="1" t="s">
        <v>553</v>
      </c>
      <c r="I210" s="1" t="s">
        <v>426</v>
      </c>
      <c r="J210" s="1" t="s">
        <v>2743</v>
      </c>
      <c r="K210" s="1" t="s">
        <v>2742</v>
      </c>
      <c r="L210" s="1" t="s">
        <v>3170</v>
      </c>
      <c r="M210" s="1">
        <v>4000</v>
      </c>
      <c r="N210" s="1">
        <v>1</v>
      </c>
      <c r="O210" s="1" t="str">
        <f t="shared" si="17"/>
        <v>"CivSedanDoors_Driver_Wine": 1,</v>
      </c>
      <c r="P210" s="1" t="str">
        <f t="shared" si="18"/>
        <v>"CivSedanDoors_Driver_Wine": 70,</v>
      </c>
      <c r="Q210" s="1" t="str">
        <f t="shared" si="19"/>
        <v>"CivSedanDoors_Driver_Wine": 4000,</v>
      </c>
      <c r="R210" s="1" t="str">
        <f t="shared" si="20"/>
        <v>"CivSedanDoors_Driver_Wine": 3,</v>
      </c>
    </row>
    <row r="211" spans="1:18" ht="15" customHeight="1" x14ac:dyDescent="0.25">
      <c r="A211" s="1" t="str">
        <f t="shared" si="16"/>
        <v>#tc_vehicles#tc_parts#tc_hood</v>
      </c>
      <c r="B211" s="1">
        <f>VLOOKUP(A211,TraderCategory!$A$63:$E$556,2,FALSE)</f>
        <v>71</v>
      </c>
      <c r="C211" s="1">
        <f>VLOOKUP(A211,TraderCategory!$A$63:$F$556,6,FALSE)</f>
        <v>3</v>
      </c>
      <c r="D211" s="1" t="str">
        <f>VLOOKUP(C211,Tabulka5[],3,FALSE)</f>
        <v>Sergeant</v>
      </c>
      <c r="E211" s="1">
        <v>3</v>
      </c>
      <c r="F211" s="1" t="str">
        <f>VLOOKUP(E211,Tabulka5[],3,FALSE)</f>
        <v>Sergeant</v>
      </c>
      <c r="G211" s="1" t="s">
        <v>3115</v>
      </c>
      <c r="H211" s="1" t="s">
        <v>554</v>
      </c>
      <c r="I211" s="1" t="s">
        <v>426</v>
      </c>
      <c r="J211" s="1" t="s">
        <v>2743</v>
      </c>
      <c r="K211" s="1" t="s">
        <v>2742</v>
      </c>
      <c r="L211" s="1" t="s">
        <v>3168</v>
      </c>
      <c r="M211" s="1">
        <v>4000</v>
      </c>
      <c r="N211" s="1">
        <v>1</v>
      </c>
      <c r="O211" s="1" t="str">
        <f t="shared" si="17"/>
        <v>"CivSedanHood": 1,</v>
      </c>
      <c r="P211" s="1" t="str">
        <f t="shared" si="18"/>
        <v>"CivSedanHood": 71,</v>
      </c>
      <c r="Q211" s="1" t="str">
        <f t="shared" si="19"/>
        <v>"CivSedanHood": 4000,</v>
      </c>
      <c r="R211" s="1" t="str">
        <f t="shared" si="20"/>
        <v>"CivSedanHood": 3,</v>
      </c>
    </row>
    <row r="212" spans="1:18" ht="15" customHeight="1" x14ac:dyDescent="0.25">
      <c r="A212" s="1" t="str">
        <f t="shared" si="16"/>
        <v>#tc_vehicles#tc_parts#tc_hood</v>
      </c>
      <c r="B212" s="1">
        <f>VLOOKUP(A212,TraderCategory!$A$63:$E$556,2,FALSE)</f>
        <v>71</v>
      </c>
      <c r="C212" s="1">
        <f>VLOOKUP(A212,TraderCategory!$A$63:$F$556,6,FALSE)</f>
        <v>3</v>
      </c>
      <c r="D212" s="1" t="str">
        <f>VLOOKUP(C212,Tabulka5[],3,FALSE)</f>
        <v>Sergeant</v>
      </c>
      <c r="E212" s="1">
        <v>3</v>
      </c>
      <c r="F212" s="1" t="str">
        <f>VLOOKUP(E212,Tabulka5[],3,FALSE)</f>
        <v>Sergeant</v>
      </c>
      <c r="G212" s="1" t="s">
        <v>3115</v>
      </c>
      <c r="H212" s="1" t="s">
        <v>555</v>
      </c>
      <c r="I212" s="1" t="s">
        <v>426</v>
      </c>
      <c r="J212" s="1" t="s">
        <v>2743</v>
      </c>
      <c r="K212" s="1" t="s">
        <v>2742</v>
      </c>
      <c r="L212" s="1" t="s">
        <v>3168</v>
      </c>
      <c r="M212" s="1">
        <v>4000</v>
      </c>
      <c r="N212" s="1">
        <v>1</v>
      </c>
      <c r="O212" s="1" t="str">
        <f t="shared" si="17"/>
        <v>"CivSedanHood_Black": 1,</v>
      </c>
      <c r="P212" s="1" t="str">
        <f t="shared" si="18"/>
        <v>"CivSedanHood_Black": 71,</v>
      </c>
      <c r="Q212" s="1" t="str">
        <f t="shared" si="19"/>
        <v>"CivSedanHood_Black": 4000,</v>
      </c>
      <c r="R212" s="1" t="str">
        <f t="shared" si="20"/>
        <v>"CivSedanHood_Black": 3,</v>
      </c>
    </row>
    <row r="213" spans="1:18" ht="15" customHeight="1" x14ac:dyDescent="0.25">
      <c r="A213" s="1" t="str">
        <f t="shared" si="16"/>
        <v>#tc_vehicles#tc_parts#tc_hood</v>
      </c>
      <c r="B213" s="1">
        <f>VLOOKUP(A213,TraderCategory!$A$63:$E$556,2,FALSE)</f>
        <v>71</v>
      </c>
      <c r="C213" s="1">
        <f>VLOOKUP(A213,TraderCategory!$A$63:$F$556,6,FALSE)</f>
        <v>3</v>
      </c>
      <c r="D213" s="1" t="str">
        <f>VLOOKUP(C213,Tabulka5[],3,FALSE)</f>
        <v>Sergeant</v>
      </c>
      <c r="E213" s="1">
        <v>3</v>
      </c>
      <c r="F213" s="1" t="str">
        <f>VLOOKUP(E213,Tabulka5[],3,FALSE)</f>
        <v>Sergeant</v>
      </c>
      <c r="G213" s="1" t="s">
        <v>3115</v>
      </c>
      <c r="H213" s="1" t="s">
        <v>556</v>
      </c>
      <c r="I213" s="1" t="s">
        <v>426</v>
      </c>
      <c r="J213" s="1" t="s">
        <v>2743</v>
      </c>
      <c r="K213" s="1" t="s">
        <v>2742</v>
      </c>
      <c r="L213" s="1" t="s">
        <v>3168</v>
      </c>
      <c r="M213" s="1">
        <v>4000</v>
      </c>
      <c r="N213" s="1">
        <v>1</v>
      </c>
      <c r="O213" s="1" t="str">
        <f t="shared" si="17"/>
        <v>"CivSedanHood_Wine": 1,</v>
      </c>
      <c r="P213" s="1" t="str">
        <f t="shared" si="18"/>
        <v>"CivSedanHood_Wine": 71,</v>
      </c>
      <c r="Q213" s="1" t="str">
        <f t="shared" si="19"/>
        <v>"CivSedanHood_Wine": 4000,</v>
      </c>
      <c r="R213" s="1" t="str">
        <f t="shared" si="20"/>
        <v>"CivSedanHood_Wine": 3,</v>
      </c>
    </row>
    <row r="214" spans="1:18" ht="15" customHeight="1" x14ac:dyDescent="0.25">
      <c r="A214" s="1" t="str">
        <f t="shared" si="16"/>
        <v>#tc_vehicles#tc_parts#tc_trunk</v>
      </c>
      <c r="B214" s="1">
        <f>VLOOKUP(A214,TraderCategory!$A$63:$E$556,2,FALSE)</f>
        <v>72</v>
      </c>
      <c r="C214" s="1">
        <f>VLOOKUP(A214,TraderCategory!$A$63:$F$556,6,FALSE)</f>
        <v>3</v>
      </c>
      <c r="D214" s="1" t="str">
        <f>VLOOKUP(C214,Tabulka5[],3,FALSE)</f>
        <v>Sergeant</v>
      </c>
      <c r="E214" s="1">
        <v>3</v>
      </c>
      <c r="F214" s="1" t="str">
        <f>VLOOKUP(E214,Tabulka5[],3,FALSE)</f>
        <v>Sergeant</v>
      </c>
      <c r="G214" s="1" t="s">
        <v>3115</v>
      </c>
      <c r="H214" s="1" t="s">
        <v>557</v>
      </c>
      <c r="I214" s="1" t="s">
        <v>426</v>
      </c>
      <c r="J214" s="1" t="s">
        <v>2743</v>
      </c>
      <c r="K214" s="1" t="s">
        <v>2742</v>
      </c>
      <c r="L214" s="1" t="s">
        <v>3169</v>
      </c>
      <c r="M214" s="1">
        <v>4000</v>
      </c>
      <c r="N214" s="1">
        <v>1</v>
      </c>
      <c r="O214" s="1" t="str">
        <f t="shared" si="17"/>
        <v>"CivSedanTrunk": 1,</v>
      </c>
      <c r="P214" s="1" t="str">
        <f t="shared" si="18"/>
        <v>"CivSedanTrunk": 72,</v>
      </c>
      <c r="Q214" s="1" t="str">
        <f t="shared" si="19"/>
        <v>"CivSedanTrunk": 4000,</v>
      </c>
      <c r="R214" s="1" t="str">
        <f t="shared" si="20"/>
        <v>"CivSedanTrunk": 3,</v>
      </c>
    </row>
    <row r="215" spans="1:18" ht="15" customHeight="1" x14ac:dyDescent="0.25">
      <c r="A215" s="1" t="str">
        <f t="shared" si="16"/>
        <v>#tc_vehicles#tc_parts#tc_trunk</v>
      </c>
      <c r="B215" s="1">
        <f>VLOOKUP(A215,TraderCategory!$A$63:$E$556,2,FALSE)</f>
        <v>72</v>
      </c>
      <c r="C215" s="1">
        <f>VLOOKUP(A215,TraderCategory!$A$63:$F$556,6,FALSE)</f>
        <v>3</v>
      </c>
      <c r="D215" s="1" t="str">
        <f>VLOOKUP(C215,Tabulka5[],3,FALSE)</f>
        <v>Sergeant</v>
      </c>
      <c r="E215" s="1">
        <v>3</v>
      </c>
      <c r="F215" s="1" t="str">
        <f>VLOOKUP(E215,Tabulka5[],3,FALSE)</f>
        <v>Sergeant</v>
      </c>
      <c r="G215" s="1" t="s">
        <v>3115</v>
      </c>
      <c r="H215" s="1" t="s">
        <v>558</v>
      </c>
      <c r="I215" s="1" t="s">
        <v>426</v>
      </c>
      <c r="J215" s="1" t="s">
        <v>2743</v>
      </c>
      <c r="K215" s="1" t="s">
        <v>2742</v>
      </c>
      <c r="L215" s="1" t="s">
        <v>3169</v>
      </c>
      <c r="M215" s="1">
        <v>4000</v>
      </c>
      <c r="N215" s="1">
        <v>1</v>
      </c>
      <c r="O215" s="1" t="str">
        <f t="shared" si="17"/>
        <v>"CivSedanTrunk_Black": 1,</v>
      </c>
      <c r="P215" s="1" t="str">
        <f t="shared" si="18"/>
        <v>"CivSedanTrunk_Black": 72,</v>
      </c>
      <c r="Q215" s="1" t="str">
        <f t="shared" si="19"/>
        <v>"CivSedanTrunk_Black": 4000,</v>
      </c>
      <c r="R215" s="1" t="str">
        <f t="shared" si="20"/>
        <v>"CivSedanTrunk_Black": 3,</v>
      </c>
    </row>
    <row r="216" spans="1:18" ht="15" customHeight="1" x14ac:dyDescent="0.25">
      <c r="A216" s="1" t="str">
        <f t="shared" ref="A216:A279" si="21">CONCATENATE(J216,K216,L216)</f>
        <v>#tc_vehicles#tc_parts#tc_trunk</v>
      </c>
      <c r="B216" s="1">
        <f>VLOOKUP(A216,TraderCategory!$A$63:$E$556,2,FALSE)</f>
        <v>72</v>
      </c>
      <c r="C216" s="1">
        <f>VLOOKUP(A216,TraderCategory!$A$63:$F$556,6,FALSE)</f>
        <v>3</v>
      </c>
      <c r="D216" s="1" t="str">
        <f>VLOOKUP(C216,Tabulka5[],3,FALSE)</f>
        <v>Sergeant</v>
      </c>
      <c r="E216" s="1">
        <v>3</v>
      </c>
      <c r="F216" s="1" t="str">
        <f>VLOOKUP(E216,Tabulka5[],3,FALSE)</f>
        <v>Sergeant</v>
      </c>
      <c r="G216" s="1" t="s">
        <v>3115</v>
      </c>
      <c r="H216" s="1" t="s">
        <v>559</v>
      </c>
      <c r="I216" s="1" t="s">
        <v>426</v>
      </c>
      <c r="J216" s="1" t="s">
        <v>2743</v>
      </c>
      <c r="K216" s="1" t="s">
        <v>2742</v>
      </c>
      <c r="L216" s="1" t="s">
        <v>3169</v>
      </c>
      <c r="M216" s="1">
        <v>4000</v>
      </c>
      <c r="N216" s="1">
        <v>1</v>
      </c>
      <c r="O216" s="1" t="str">
        <f t="shared" si="17"/>
        <v>"CivSedanTrunk_Wine": 1,</v>
      </c>
      <c r="P216" s="1" t="str">
        <f t="shared" si="18"/>
        <v>"CivSedanTrunk_Wine": 72,</v>
      </c>
      <c r="Q216" s="1" t="str">
        <f t="shared" si="19"/>
        <v>"CivSedanTrunk_Wine": 4000,</v>
      </c>
      <c r="R216" s="1" t="str">
        <f t="shared" si="20"/>
        <v>"CivSedanTrunk_Wine": 3,</v>
      </c>
    </row>
    <row r="217" spans="1:18" ht="15" customHeight="1" x14ac:dyDescent="0.25">
      <c r="A217" s="1" t="str">
        <f t="shared" si="21"/>
        <v>#tc_vehicles#tc_parts#tc_wheels</v>
      </c>
      <c r="B217" s="1">
        <f>VLOOKUP(A217,TraderCategory!$A$63:$E$556,2,FALSE)</f>
        <v>69</v>
      </c>
      <c r="C217" s="1">
        <f>VLOOKUP(A217,TraderCategory!$A$63:$F$556,6,FALSE)</f>
        <v>3</v>
      </c>
      <c r="D217" s="1" t="str">
        <f>VLOOKUP(C217,Tabulka5[],3,FALSE)</f>
        <v>Sergeant</v>
      </c>
      <c r="E217" s="1">
        <v>3</v>
      </c>
      <c r="F217" s="1" t="str">
        <f>VLOOKUP(E217,Tabulka5[],3,FALSE)</f>
        <v>Sergeant</v>
      </c>
      <c r="G217" s="1" t="s">
        <v>3115</v>
      </c>
      <c r="H217" s="1" t="s">
        <v>560</v>
      </c>
      <c r="I217" s="1" t="s">
        <v>426</v>
      </c>
      <c r="J217" s="1" t="s">
        <v>2743</v>
      </c>
      <c r="K217" s="1" t="s">
        <v>2742</v>
      </c>
      <c r="L217" s="1" t="s">
        <v>3167</v>
      </c>
      <c r="M217" s="1">
        <v>4000</v>
      </c>
      <c r="N217" s="1">
        <v>1</v>
      </c>
      <c r="O217" s="1" t="str">
        <f t="shared" si="17"/>
        <v>"CivSedanWheel": 1,</v>
      </c>
      <c r="P217" s="1" t="str">
        <f t="shared" si="18"/>
        <v>"CivSedanWheel": 69,</v>
      </c>
      <c r="Q217" s="1" t="str">
        <f t="shared" si="19"/>
        <v>"CivSedanWheel": 4000,</v>
      </c>
      <c r="R217" s="1" t="str">
        <f t="shared" si="20"/>
        <v>"CivSedanWheel": 3,</v>
      </c>
    </row>
    <row r="218" spans="1:18" ht="15" customHeight="1" x14ac:dyDescent="0.25">
      <c r="A218" s="1" t="str">
        <f t="shared" si="21"/>
        <v>#tc_clothes#tc_civil#tc_belts</v>
      </c>
      <c r="B218" s="1">
        <f>VLOOKUP(A218,TraderCategory!$A$63:$E$556,2,FALSE)</f>
        <v>3</v>
      </c>
      <c r="C218" s="1">
        <f>VLOOKUP(A218,TraderCategory!$A$63:$F$556,6,FALSE)</f>
        <v>0</v>
      </c>
      <c r="D218" s="1" t="str">
        <f>VLOOKUP(C218,Tabulka5[],3,FALSE)</f>
        <v>Private</v>
      </c>
      <c r="E218" s="1">
        <v>0</v>
      </c>
      <c r="F218" s="1" t="str">
        <f>VLOOKUP(E218,Tabulka5[],3,FALSE)</f>
        <v>Private</v>
      </c>
      <c r="G218" s="1" t="s">
        <v>3115</v>
      </c>
      <c r="H218" s="1" t="s">
        <v>561</v>
      </c>
      <c r="I218" s="1" t="s">
        <v>403</v>
      </c>
      <c r="J218" s="1" t="s">
        <v>2728</v>
      </c>
      <c r="K218" s="1" t="s">
        <v>3126</v>
      </c>
      <c r="L218" s="1" t="s">
        <v>3135</v>
      </c>
      <c r="M218" s="1">
        <v>1000</v>
      </c>
      <c r="N218" s="1">
        <v>1</v>
      </c>
      <c r="O218" s="1" t="str">
        <f t="shared" si="17"/>
        <v>"CivilianBelt": 1,</v>
      </c>
      <c r="P218" s="1" t="str">
        <f t="shared" si="18"/>
        <v>"CivilianBelt": 3,</v>
      </c>
      <c r="Q218" s="1" t="str">
        <f t="shared" si="19"/>
        <v>"CivilianBelt": 1000,</v>
      </c>
      <c r="R218" s="1" t="str">
        <f t="shared" si="20"/>
        <v>"CivilianBelt": 0,</v>
      </c>
    </row>
    <row r="219" spans="1:18" x14ac:dyDescent="0.25">
      <c r="A219" s="1" t="str">
        <f t="shared" si="21"/>
        <v>#tc_military#tc_weapons#tc_assaultrifles</v>
      </c>
      <c r="B219" s="1">
        <f>VLOOKUP(A219,TraderCategory!$A$63:$E$556,2,FALSE)</f>
        <v>65</v>
      </c>
      <c r="C219" s="1">
        <f>VLOOKUP(A219,TraderCategory!$A$63:$F$556,6,FALSE)</f>
        <v>10</v>
      </c>
      <c r="D219" s="1" t="str">
        <f>VLOOKUP(C219,Tabulka5[],3,FALSE)</f>
        <v>Second Lieutenant</v>
      </c>
      <c r="E219" s="1">
        <v>12</v>
      </c>
      <c r="F219" s="1" t="str">
        <f>VLOOKUP(E219,Tabulka5[],3,FALSE)</f>
        <v>Captain</v>
      </c>
      <c r="G219" s="1" t="s">
        <v>3116</v>
      </c>
      <c r="H219" s="1" t="s">
        <v>10</v>
      </c>
      <c r="I219" s="1" t="s">
        <v>8</v>
      </c>
      <c r="J219" s="1" t="s">
        <v>2729</v>
      </c>
      <c r="K219" s="1" t="s">
        <v>3129</v>
      </c>
      <c r="L219" s="1" t="s">
        <v>3158</v>
      </c>
      <c r="M219" s="1">
        <v>40000</v>
      </c>
      <c r="N219" s="1">
        <v>1</v>
      </c>
      <c r="O219" s="1" t="str">
        <f t="shared" si="17"/>
        <v>"WE_ACR": 1,</v>
      </c>
      <c r="P219" s="1" t="str">
        <f t="shared" si="18"/>
        <v>"WE_ACR": 65,</v>
      </c>
      <c r="Q219" s="1" t="str">
        <f t="shared" si="19"/>
        <v>"WE_ACR": 40000,</v>
      </c>
      <c r="R219" s="1" t="str">
        <f t="shared" si="20"/>
        <v>"WE_ACR": 12,</v>
      </c>
    </row>
    <row r="220" spans="1:18" ht="15" customHeight="1" x14ac:dyDescent="0.25">
      <c r="A220" s="1" t="str">
        <f t="shared" si="21"/>
        <v>#tc_clothes#tc_military#tc_boots</v>
      </c>
      <c r="B220" s="1">
        <f>VLOOKUP(A220,TraderCategory!$A$63:$E$556,2,FALSE)</f>
        <v>13</v>
      </c>
      <c r="C220" s="1">
        <f>VLOOKUP(A220,TraderCategory!$A$63:$F$556,6,FALSE)</f>
        <v>1</v>
      </c>
      <c r="D220" s="1" t="str">
        <f>VLOOKUP(C220,Tabulka5[],3,FALSE)</f>
        <v>Private First Class</v>
      </c>
      <c r="E220" s="1">
        <v>1</v>
      </c>
      <c r="F220" s="1" t="str">
        <f>VLOOKUP(E220,Tabulka5[],3,FALSE)</f>
        <v>Private First Class</v>
      </c>
      <c r="G220" s="1" t="s">
        <v>3115</v>
      </c>
      <c r="H220" s="1" t="s">
        <v>566</v>
      </c>
      <c r="I220" s="1" t="s">
        <v>403</v>
      </c>
      <c r="J220" s="1" t="s">
        <v>2728</v>
      </c>
      <c r="K220" s="1" t="s">
        <v>2729</v>
      </c>
      <c r="L220" s="1" t="s">
        <v>3134</v>
      </c>
      <c r="M220" s="1">
        <v>2000</v>
      </c>
      <c r="N220" s="1">
        <v>1</v>
      </c>
      <c r="O220" s="1" t="str">
        <f t="shared" si="17"/>
        <v>"CombatBoots_Beige": 1,</v>
      </c>
      <c r="P220" s="1" t="str">
        <f t="shared" si="18"/>
        <v>"CombatBoots_Beige": 13,</v>
      </c>
      <c r="Q220" s="1" t="str">
        <f t="shared" si="19"/>
        <v>"CombatBoots_Beige": 2000,</v>
      </c>
      <c r="R220" s="1" t="str">
        <f t="shared" si="20"/>
        <v>"CombatBoots_Beige": 1,</v>
      </c>
    </row>
    <row r="221" spans="1:18" ht="15" customHeight="1" x14ac:dyDescent="0.25">
      <c r="A221" s="1" t="str">
        <f t="shared" si="21"/>
        <v>#tc_clothes#tc_military#tc_boots</v>
      </c>
      <c r="B221" s="1">
        <f>VLOOKUP(A221,TraderCategory!$A$63:$E$556,2,FALSE)</f>
        <v>13</v>
      </c>
      <c r="C221" s="1">
        <f>VLOOKUP(A221,TraderCategory!$A$63:$F$556,6,FALSE)</f>
        <v>1</v>
      </c>
      <c r="D221" s="1" t="str">
        <f>VLOOKUP(C221,Tabulka5[],3,FALSE)</f>
        <v>Private First Class</v>
      </c>
      <c r="E221" s="1">
        <v>1</v>
      </c>
      <c r="F221" s="1" t="str">
        <f>VLOOKUP(E221,Tabulka5[],3,FALSE)</f>
        <v>Private First Class</v>
      </c>
      <c r="G221" s="1" t="s">
        <v>3115</v>
      </c>
      <c r="H221" s="1" t="s">
        <v>567</v>
      </c>
      <c r="I221" s="1" t="s">
        <v>403</v>
      </c>
      <c r="J221" s="1" t="s">
        <v>2728</v>
      </c>
      <c r="K221" s="1" t="s">
        <v>2729</v>
      </c>
      <c r="L221" s="1" t="s">
        <v>3134</v>
      </c>
      <c r="M221" s="1">
        <v>2000</v>
      </c>
      <c r="N221" s="1">
        <v>1</v>
      </c>
      <c r="O221" s="1" t="str">
        <f t="shared" si="17"/>
        <v>"CombatBoots_Black": 1,</v>
      </c>
      <c r="P221" s="1" t="str">
        <f t="shared" si="18"/>
        <v>"CombatBoots_Black": 13,</v>
      </c>
      <c r="Q221" s="1" t="str">
        <f t="shared" si="19"/>
        <v>"CombatBoots_Black": 2000,</v>
      </c>
      <c r="R221" s="1" t="str">
        <f t="shared" si="20"/>
        <v>"CombatBoots_Black": 1,</v>
      </c>
    </row>
    <row r="222" spans="1:18" ht="15" customHeight="1" x14ac:dyDescent="0.25">
      <c r="A222" s="1" t="str">
        <f t="shared" si="21"/>
        <v>#tc_clothes#tc_military#tc_boots</v>
      </c>
      <c r="B222" s="1">
        <f>VLOOKUP(A222,TraderCategory!$A$63:$E$556,2,FALSE)</f>
        <v>13</v>
      </c>
      <c r="C222" s="1">
        <f>VLOOKUP(A222,TraderCategory!$A$63:$F$556,6,FALSE)</f>
        <v>1</v>
      </c>
      <c r="D222" s="1" t="str">
        <f>VLOOKUP(C222,Tabulka5[],3,FALSE)</f>
        <v>Private First Class</v>
      </c>
      <c r="E222" s="1">
        <v>1</v>
      </c>
      <c r="F222" s="1" t="str">
        <f>VLOOKUP(E222,Tabulka5[],3,FALSE)</f>
        <v>Private First Class</v>
      </c>
      <c r="G222" s="1" t="s">
        <v>3115</v>
      </c>
      <c r="H222" s="1" t="s">
        <v>568</v>
      </c>
      <c r="I222" s="1" t="s">
        <v>403</v>
      </c>
      <c r="J222" s="1" t="s">
        <v>2728</v>
      </c>
      <c r="K222" s="1" t="s">
        <v>2729</v>
      </c>
      <c r="L222" s="1" t="s">
        <v>3134</v>
      </c>
      <c r="M222" s="1">
        <v>2000</v>
      </c>
      <c r="N222" s="1">
        <v>1</v>
      </c>
      <c r="O222" s="1" t="str">
        <f t="shared" si="17"/>
        <v>"CombatBoots_Brown": 1,</v>
      </c>
      <c r="P222" s="1" t="str">
        <f t="shared" si="18"/>
        <v>"CombatBoots_Brown": 13,</v>
      </c>
      <c r="Q222" s="1" t="str">
        <f t="shared" si="19"/>
        <v>"CombatBoots_Brown": 2000,</v>
      </c>
      <c r="R222" s="1" t="str">
        <f t="shared" si="20"/>
        <v>"CombatBoots_Brown": 1,</v>
      </c>
    </row>
    <row r="223" spans="1:18" ht="15" customHeight="1" x14ac:dyDescent="0.25">
      <c r="A223" s="1" t="str">
        <f t="shared" si="21"/>
        <v>#tc_clothes#tc_military#tc_boots</v>
      </c>
      <c r="B223" s="1">
        <f>VLOOKUP(A223,TraderCategory!$A$63:$E$556,2,FALSE)</f>
        <v>13</v>
      </c>
      <c r="C223" s="1">
        <f>VLOOKUP(A223,TraderCategory!$A$63:$F$556,6,FALSE)</f>
        <v>1</v>
      </c>
      <c r="D223" s="1" t="str">
        <f>VLOOKUP(C223,Tabulka5[],3,FALSE)</f>
        <v>Private First Class</v>
      </c>
      <c r="E223" s="1">
        <v>1</v>
      </c>
      <c r="F223" s="1" t="str">
        <f>VLOOKUP(E223,Tabulka5[],3,FALSE)</f>
        <v>Private First Class</v>
      </c>
      <c r="G223" s="1" t="s">
        <v>3115</v>
      </c>
      <c r="H223" s="1" t="s">
        <v>569</v>
      </c>
      <c r="I223" s="1" t="s">
        <v>403</v>
      </c>
      <c r="J223" s="1" t="s">
        <v>2728</v>
      </c>
      <c r="K223" s="1" t="s">
        <v>2729</v>
      </c>
      <c r="L223" s="1" t="s">
        <v>3134</v>
      </c>
      <c r="M223" s="1">
        <v>2000</v>
      </c>
      <c r="N223" s="1">
        <v>1</v>
      </c>
      <c r="O223" s="1" t="str">
        <f t="shared" si="17"/>
        <v>"CombatBoots_Green": 1,</v>
      </c>
      <c r="P223" s="1" t="str">
        <f t="shared" si="18"/>
        <v>"CombatBoots_Green": 13,</v>
      </c>
      <c r="Q223" s="1" t="str">
        <f t="shared" si="19"/>
        <v>"CombatBoots_Green": 2000,</v>
      </c>
      <c r="R223" s="1" t="str">
        <f t="shared" si="20"/>
        <v>"CombatBoots_Green": 1,</v>
      </c>
    </row>
    <row r="224" spans="1:18" ht="15" customHeight="1" x14ac:dyDescent="0.25">
      <c r="A224" s="1" t="str">
        <f t="shared" si="21"/>
        <v>#tc_clothes#tc_military#tc_boots</v>
      </c>
      <c r="B224" s="1">
        <f>VLOOKUP(A224,TraderCategory!$A$63:$E$556,2,FALSE)</f>
        <v>13</v>
      </c>
      <c r="C224" s="1">
        <f>VLOOKUP(A224,TraderCategory!$A$63:$F$556,6,FALSE)</f>
        <v>1</v>
      </c>
      <c r="D224" s="1" t="str">
        <f>VLOOKUP(C224,Tabulka5[],3,FALSE)</f>
        <v>Private First Class</v>
      </c>
      <c r="E224" s="1">
        <v>1</v>
      </c>
      <c r="F224" s="1" t="str">
        <f>VLOOKUP(E224,Tabulka5[],3,FALSE)</f>
        <v>Private First Class</v>
      </c>
      <c r="G224" s="1" t="s">
        <v>3115</v>
      </c>
      <c r="H224" s="1" t="s">
        <v>570</v>
      </c>
      <c r="I224" s="1" t="s">
        <v>403</v>
      </c>
      <c r="J224" s="1" t="s">
        <v>2728</v>
      </c>
      <c r="K224" s="1" t="s">
        <v>2729</v>
      </c>
      <c r="L224" s="1" t="s">
        <v>3134</v>
      </c>
      <c r="M224" s="1">
        <v>2000</v>
      </c>
      <c r="N224" s="1">
        <v>1</v>
      </c>
      <c r="O224" s="1" t="str">
        <f t="shared" si="17"/>
        <v>"CombatBoots_Grey": 1,</v>
      </c>
      <c r="P224" s="1" t="str">
        <f t="shared" si="18"/>
        <v>"CombatBoots_Grey": 13,</v>
      </c>
      <c r="Q224" s="1" t="str">
        <f t="shared" si="19"/>
        <v>"CombatBoots_Grey": 2000,</v>
      </c>
      <c r="R224" s="1" t="str">
        <f t="shared" si="20"/>
        <v>"CombatBoots_Grey": 1,</v>
      </c>
    </row>
    <row r="225" spans="1:18" ht="15" customHeight="1" x14ac:dyDescent="0.25">
      <c r="A225" s="1" t="str">
        <f t="shared" si="21"/>
        <v>#tc_military#tc_weapons#tc_handtohand</v>
      </c>
      <c r="B225" s="1">
        <f>VLOOKUP(A225,TraderCategory!$A$63:$E$556,2,FALSE)</f>
        <v>60</v>
      </c>
      <c r="C225" s="1">
        <f>VLOOKUP(A225,TraderCategory!$A$63:$F$556,6,FALSE)</f>
        <v>0</v>
      </c>
      <c r="D225" s="1" t="str">
        <f>VLOOKUP(C225,Tabulka5[],3,FALSE)</f>
        <v>Private</v>
      </c>
      <c r="E225" s="1">
        <v>2</v>
      </c>
      <c r="F225" s="1" t="str">
        <f>VLOOKUP(E225,Tabulka5[],3,FALSE)</f>
        <v>Corporal</v>
      </c>
      <c r="G225" s="1" t="s">
        <v>3115</v>
      </c>
      <c r="H225" s="1" t="s">
        <v>571</v>
      </c>
      <c r="I225" s="1" t="s">
        <v>426</v>
      </c>
      <c r="J225" s="1" t="s">
        <v>2729</v>
      </c>
      <c r="K225" s="1" t="s">
        <v>3129</v>
      </c>
      <c r="L225" s="1" t="s">
        <v>3176</v>
      </c>
      <c r="M225" s="1">
        <v>1500</v>
      </c>
      <c r="N225" s="1">
        <v>1</v>
      </c>
      <c r="O225" s="1" t="str">
        <f t="shared" si="17"/>
        <v>"CombatKnife": 1,</v>
      </c>
      <c r="P225" s="1" t="str">
        <f t="shared" si="18"/>
        <v>"CombatKnife": 60,</v>
      </c>
      <c r="Q225" s="1" t="str">
        <f t="shared" si="19"/>
        <v>"CombatKnife": 1500,</v>
      </c>
      <c r="R225" s="1" t="str">
        <f t="shared" si="20"/>
        <v>"CombatKnife": 2,</v>
      </c>
    </row>
    <row r="226" spans="1:18" ht="15" customHeight="1" x14ac:dyDescent="0.25">
      <c r="A226" s="1" t="str">
        <f t="shared" si="21"/>
        <v>#tc_groceries#tc_tools#tc_locks</v>
      </c>
      <c r="B226" s="1">
        <f>VLOOKUP(A226,TraderCategory!$A$63:$E$556,2,FALSE)</f>
        <v>38</v>
      </c>
      <c r="C226" s="1">
        <f>VLOOKUP(A226,TraderCategory!$A$63:$F$556,6,FALSE)</f>
        <v>3</v>
      </c>
      <c r="D226" s="1" t="str">
        <f>VLOOKUP(C226,Tabulka5[],3,FALSE)</f>
        <v>Sergeant</v>
      </c>
      <c r="E226" s="1">
        <v>3</v>
      </c>
      <c r="F226" s="1" t="str">
        <f>VLOOKUP(E226,Tabulka5[],3,FALSE)</f>
        <v>Sergeant</v>
      </c>
      <c r="G226" s="1" t="s">
        <v>3115</v>
      </c>
      <c r="H226" s="1" t="s">
        <v>572</v>
      </c>
      <c r="I226" s="1" t="s">
        <v>426</v>
      </c>
      <c r="J226" s="1" t="s">
        <v>3127</v>
      </c>
      <c r="K226" s="1" t="s">
        <v>2740</v>
      </c>
      <c r="L226" s="1" t="s">
        <v>3139</v>
      </c>
      <c r="M226" s="1">
        <v>4000</v>
      </c>
      <c r="N226" s="1">
        <v>1</v>
      </c>
      <c r="O226" s="1" t="str">
        <f t="shared" si="17"/>
        <v>"CombinationLock": 1,</v>
      </c>
      <c r="P226" s="1" t="str">
        <f t="shared" si="18"/>
        <v>"CombinationLock": 38,</v>
      </c>
      <c r="Q226" s="1" t="str">
        <f t="shared" si="19"/>
        <v>"CombinationLock": 4000,</v>
      </c>
      <c r="R226" s="1" t="str">
        <f t="shared" si="20"/>
        <v>"CombinationLock": 3,</v>
      </c>
    </row>
    <row r="227" spans="1:18" ht="15" customHeight="1" x14ac:dyDescent="0.25">
      <c r="A227" s="1" t="str">
        <f t="shared" si="21"/>
        <v>#tc_groceries#tc_tools#tc_locks</v>
      </c>
      <c r="B227" s="1">
        <f>VLOOKUP(A227,TraderCategory!$A$63:$E$556,2,FALSE)</f>
        <v>38</v>
      </c>
      <c r="C227" s="1">
        <f>VLOOKUP(A227,TraderCategory!$A$63:$F$556,6,FALSE)</f>
        <v>3</v>
      </c>
      <c r="D227" s="1" t="str">
        <f>VLOOKUP(C227,Tabulka5[],3,FALSE)</f>
        <v>Sergeant</v>
      </c>
      <c r="E227" s="1">
        <v>6</v>
      </c>
      <c r="F227" s="1" t="str">
        <f>VLOOKUP(E227,Tabulka5[],3,FALSE)</f>
        <v>Master Sergeant</v>
      </c>
      <c r="G227" s="1" t="s">
        <v>3115</v>
      </c>
      <c r="H227" s="1" t="s">
        <v>573</v>
      </c>
      <c r="I227" s="1" t="s">
        <v>426</v>
      </c>
      <c r="J227" s="1" t="s">
        <v>3127</v>
      </c>
      <c r="K227" s="1" t="s">
        <v>2740</v>
      </c>
      <c r="L227" s="1" t="s">
        <v>3139</v>
      </c>
      <c r="M227" s="1">
        <v>8000</v>
      </c>
      <c r="N227" s="1">
        <v>1</v>
      </c>
      <c r="O227" s="1" t="str">
        <f t="shared" si="17"/>
        <v>"CombinationLock4": 1,</v>
      </c>
      <c r="P227" s="1" t="str">
        <f t="shared" si="18"/>
        <v>"CombinationLock4": 38,</v>
      </c>
      <c r="Q227" s="1" t="str">
        <f t="shared" si="19"/>
        <v>"CombinationLock4": 8000,</v>
      </c>
      <c r="R227" s="1" t="str">
        <f t="shared" si="20"/>
        <v>"CombinationLock4": 6,</v>
      </c>
    </row>
    <row r="228" spans="1:18" ht="15" customHeight="1" x14ac:dyDescent="0.25">
      <c r="A228" s="1" t="str">
        <f t="shared" si="21"/>
        <v>#tc_groceries#tc_tools#tc_camping</v>
      </c>
      <c r="B228" s="1">
        <f>VLOOKUP(A228,TraderCategory!$A$63:$E$556,2,FALSE)</f>
        <v>33</v>
      </c>
      <c r="C228" s="1">
        <f>VLOOKUP(A228,TraderCategory!$A$63:$F$556,6,FALSE)</f>
        <v>3</v>
      </c>
      <c r="D228" s="1" t="str">
        <f>VLOOKUP(C228,Tabulka5[],3,FALSE)</f>
        <v>Sergeant</v>
      </c>
      <c r="E228" s="1">
        <v>3</v>
      </c>
      <c r="F228" s="1" t="str">
        <f>VLOOKUP(E228,Tabulka5[],3,FALSE)</f>
        <v>Sergeant</v>
      </c>
      <c r="G228" s="1" t="s">
        <v>3115</v>
      </c>
      <c r="H228" s="1" t="s">
        <v>574</v>
      </c>
      <c r="I228" s="1" t="s">
        <v>426</v>
      </c>
      <c r="J228" s="1" t="s">
        <v>3127</v>
      </c>
      <c r="K228" s="1" t="s">
        <v>2740</v>
      </c>
      <c r="L228" s="1" t="s">
        <v>3150</v>
      </c>
      <c r="M228" s="1">
        <v>1500</v>
      </c>
      <c r="N228" s="1">
        <v>1</v>
      </c>
      <c r="O228" s="1" t="str">
        <f t="shared" si="17"/>
        <v>"Compass": 1,</v>
      </c>
      <c r="P228" s="1" t="str">
        <f t="shared" si="18"/>
        <v>"Compass": 33,</v>
      </c>
      <c r="Q228" s="1" t="str">
        <f t="shared" si="19"/>
        <v>"Compass": 1500,</v>
      </c>
      <c r="R228" s="1" t="str">
        <f t="shared" si="20"/>
        <v>"Compass": 3,</v>
      </c>
    </row>
    <row r="229" spans="1:18" ht="15" customHeight="1" x14ac:dyDescent="0.25">
      <c r="A229" s="1" t="str">
        <f t="shared" si="21"/>
        <v>#tc_clothes#tc_civil#tc_head</v>
      </c>
      <c r="B229" s="1">
        <f>VLOOKUP(A229,TraderCategory!$A$63:$E$556,2,FALSE)</f>
        <v>0</v>
      </c>
      <c r="C229" s="1">
        <f>VLOOKUP(A229,TraderCategory!$A$63:$F$556,6,FALSE)</f>
        <v>0</v>
      </c>
      <c r="D229" s="1" t="str">
        <f>VLOOKUP(C229,Tabulka5[],3,FALSE)</f>
        <v>Private</v>
      </c>
      <c r="E229" s="1">
        <v>0</v>
      </c>
      <c r="F229" s="1" t="str">
        <f>VLOOKUP(E229,Tabulka5[],3,FALSE)</f>
        <v>Private</v>
      </c>
      <c r="G229" s="1" t="s">
        <v>3115</v>
      </c>
      <c r="H229" s="1" t="s">
        <v>575</v>
      </c>
      <c r="I229" s="1" t="s">
        <v>403</v>
      </c>
      <c r="J229" s="1" t="s">
        <v>2728</v>
      </c>
      <c r="K229" s="1" t="s">
        <v>3126</v>
      </c>
      <c r="L229" s="1" t="s">
        <v>3130</v>
      </c>
      <c r="M229" s="1">
        <v>300</v>
      </c>
      <c r="N229" s="1">
        <v>1</v>
      </c>
      <c r="O229" s="1" t="str">
        <f t="shared" si="17"/>
        <v>"ConstructionHelmet_Blue": 1,</v>
      </c>
      <c r="P229" s="1" t="str">
        <f t="shared" si="18"/>
        <v>"ConstructionHelmet_Blue": 0,</v>
      </c>
      <c r="Q229" s="1" t="str">
        <f t="shared" si="19"/>
        <v>"ConstructionHelmet_Blue": 300,</v>
      </c>
      <c r="R229" s="1" t="str">
        <f t="shared" si="20"/>
        <v>"ConstructionHelmet_Blue": 0,</v>
      </c>
    </row>
    <row r="230" spans="1:18" ht="15" customHeight="1" x14ac:dyDescent="0.25">
      <c r="A230" s="1" t="str">
        <f t="shared" si="21"/>
        <v>#tc_clothes#tc_civil#tc_head</v>
      </c>
      <c r="B230" s="1">
        <f>VLOOKUP(A230,TraderCategory!$A$63:$E$556,2,FALSE)</f>
        <v>0</v>
      </c>
      <c r="C230" s="1">
        <f>VLOOKUP(A230,TraderCategory!$A$63:$F$556,6,FALSE)</f>
        <v>0</v>
      </c>
      <c r="D230" s="1" t="str">
        <f>VLOOKUP(C230,Tabulka5[],3,FALSE)</f>
        <v>Private</v>
      </c>
      <c r="E230" s="1">
        <v>0</v>
      </c>
      <c r="F230" s="1" t="str">
        <f>VLOOKUP(E230,Tabulka5[],3,FALSE)</f>
        <v>Private</v>
      </c>
      <c r="G230" s="1" t="s">
        <v>3115</v>
      </c>
      <c r="H230" s="1" t="s">
        <v>576</v>
      </c>
      <c r="I230" s="1" t="s">
        <v>403</v>
      </c>
      <c r="J230" s="1" t="s">
        <v>2728</v>
      </c>
      <c r="K230" s="1" t="s">
        <v>3126</v>
      </c>
      <c r="L230" s="1" t="s">
        <v>3130</v>
      </c>
      <c r="M230" s="1">
        <v>300</v>
      </c>
      <c r="N230" s="1">
        <v>1</v>
      </c>
      <c r="O230" s="1" t="str">
        <f t="shared" si="17"/>
        <v>"ConstructionHelmet_Lime": 1,</v>
      </c>
      <c r="P230" s="1" t="str">
        <f t="shared" si="18"/>
        <v>"ConstructionHelmet_Lime": 0,</v>
      </c>
      <c r="Q230" s="1" t="str">
        <f t="shared" si="19"/>
        <v>"ConstructionHelmet_Lime": 300,</v>
      </c>
      <c r="R230" s="1" t="str">
        <f t="shared" si="20"/>
        <v>"ConstructionHelmet_Lime": 0,</v>
      </c>
    </row>
    <row r="231" spans="1:18" ht="15" customHeight="1" x14ac:dyDescent="0.25">
      <c r="A231" s="1" t="str">
        <f t="shared" si="21"/>
        <v>#tc_clothes#tc_civil#tc_head</v>
      </c>
      <c r="B231" s="1">
        <f>VLOOKUP(A231,TraderCategory!$A$63:$E$556,2,FALSE)</f>
        <v>0</v>
      </c>
      <c r="C231" s="1">
        <f>VLOOKUP(A231,TraderCategory!$A$63:$F$556,6,FALSE)</f>
        <v>0</v>
      </c>
      <c r="D231" s="1" t="str">
        <f>VLOOKUP(C231,Tabulka5[],3,FALSE)</f>
        <v>Private</v>
      </c>
      <c r="E231" s="1">
        <v>0</v>
      </c>
      <c r="F231" s="1" t="str">
        <f>VLOOKUP(E231,Tabulka5[],3,FALSE)</f>
        <v>Private</v>
      </c>
      <c r="G231" s="1" t="s">
        <v>3115</v>
      </c>
      <c r="H231" s="1" t="s">
        <v>577</v>
      </c>
      <c r="I231" s="1" t="s">
        <v>403</v>
      </c>
      <c r="J231" s="1" t="s">
        <v>2728</v>
      </c>
      <c r="K231" s="1" t="s">
        <v>3126</v>
      </c>
      <c r="L231" s="1" t="s">
        <v>3130</v>
      </c>
      <c r="M231" s="1">
        <v>300</v>
      </c>
      <c r="N231" s="1">
        <v>1</v>
      </c>
      <c r="O231" s="1" t="str">
        <f t="shared" si="17"/>
        <v>"ConstructionHelmet_Orange": 1,</v>
      </c>
      <c r="P231" s="1" t="str">
        <f t="shared" si="18"/>
        <v>"ConstructionHelmet_Orange": 0,</v>
      </c>
      <c r="Q231" s="1" t="str">
        <f t="shared" si="19"/>
        <v>"ConstructionHelmet_Orange": 300,</v>
      </c>
      <c r="R231" s="1" t="str">
        <f t="shared" si="20"/>
        <v>"ConstructionHelmet_Orange": 0,</v>
      </c>
    </row>
    <row r="232" spans="1:18" ht="15" customHeight="1" x14ac:dyDescent="0.25">
      <c r="A232" s="1" t="str">
        <f t="shared" si="21"/>
        <v>#tc_clothes#tc_civil#tc_head</v>
      </c>
      <c r="B232" s="1">
        <f>VLOOKUP(A232,TraderCategory!$A$63:$E$556,2,FALSE)</f>
        <v>0</v>
      </c>
      <c r="C232" s="1">
        <f>VLOOKUP(A232,TraderCategory!$A$63:$F$556,6,FALSE)</f>
        <v>0</v>
      </c>
      <c r="D232" s="1" t="str">
        <f>VLOOKUP(C232,Tabulka5[],3,FALSE)</f>
        <v>Private</v>
      </c>
      <c r="E232" s="1">
        <v>0</v>
      </c>
      <c r="F232" s="1" t="str">
        <f>VLOOKUP(E232,Tabulka5[],3,FALSE)</f>
        <v>Private</v>
      </c>
      <c r="G232" s="1" t="s">
        <v>3115</v>
      </c>
      <c r="H232" s="1" t="s">
        <v>578</v>
      </c>
      <c r="I232" s="1" t="s">
        <v>403</v>
      </c>
      <c r="J232" s="1" t="s">
        <v>2728</v>
      </c>
      <c r="K232" s="1" t="s">
        <v>3126</v>
      </c>
      <c r="L232" s="1" t="s">
        <v>3130</v>
      </c>
      <c r="M232" s="1">
        <v>300</v>
      </c>
      <c r="N232" s="1">
        <v>1</v>
      </c>
      <c r="O232" s="1" t="str">
        <f t="shared" si="17"/>
        <v>"ConstructionHelmet_Red": 1,</v>
      </c>
      <c r="P232" s="1" t="str">
        <f t="shared" si="18"/>
        <v>"ConstructionHelmet_Red": 0,</v>
      </c>
      <c r="Q232" s="1" t="str">
        <f t="shared" si="19"/>
        <v>"ConstructionHelmet_Red": 300,</v>
      </c>
      <c r="R232" s="1" t="str">
        <f t="shared" si="20"/>
        <v>"ConstructionHelmet_Red": 0,</v>
      </c>
    </row>
    <row r="233" spans="1:18" ht="15" customHeight="1" x14ac:dyDescent="0.25">
      <c r="A233" s="1" t="str">
        <f t="shared" si="21"/>
        <v>#tc_clothes#tc_civil#tc_head</v>
      </c>
      <c r="B233" s="1">
        <f>VLOOKUP(A233,TraderCategory!$A$63:$E$556,2,FALSE)</f>
        <v>0</v>
      </c>
      <c r="C233" s="1">
        <f>VLOOKUP(A233,TraderCategory!$A$63:$F$556,6,FALSE)</f>
        <v>0</v>
      </c>
      <c r="D233" s="1" t="str">
        <f>VLOOKUP(C233,Tabulka5[],3,FALSE)</f>
        <v>Private</v>
      </c>
      <c r="E233" s="1">
        <v>0</v>
      </c>
      <c r="F233" s="1" t="str">
        <f>VLOOKUP(E233,Tabulka5[],3,FALSE)</f>
        <v>Private</v>
      </c>
      <c r="G233" s="1" t="s">
        <v>3115</v>
      </c>
      <c r="H233" s="1" t="s">
        <v>579</v>
      </c>
      <c r="I233" s="1" t="s">
        <v>403</v>
      </c>
      <c r="J233" s="1" t="s">
        <v>2728</v>
      </c>
      <c r="K233" s="1" t="s">
        <v>3126</v>
      </c>
      <c r="L233" s="1" t="s">
        <v>3130</v>
      </c>
      <c r="M233" s="1">
        <v>300</v>
      </c>
      <c r="N233" s="1">
        <v>1</v>
      </c>
      <c r="O233" s="1" t="str">
        <f t="shared" si="17"/>
        <v>"ConstructionHelmet_White": 1,</v>
      </c>
      <c r="P233" s="1" t="str">
        <f t="shared" si="18"/>
        <v>"ConstructionHelmet_White": 0,</v>
      </c>
      <c r="Q233" s="1" t="str">
        <f t="shared" si="19"/>
        <v>"ConstructionHelmet_White": 300,</v>
      </c>
      <c r="R233" s="1" t="str">
        <f t="shared" si="20"/>
        <v>"ConstructionHelmet_White": 0,</v>
      </c>
    </row>
    <row r="234" spans="1:18" ht="15" customHeight="1" x14ac:dyDescent="0.25">
      <c r="A234" s="1" t="str">
        <f t="shared" si="21"/>
        <v>#tc_clothes#tc_civil#tc_head</v>
      </c>
      <c r="B234" s="1">
        <f>VLOOKUP(A234,TraderCategory!$A$63:$E$556,2,FALSE)</f>
        <v>0</v>
      </c>
      <c r="C234" s="1">
        <f>VLOOKUP(A234,TraderCategory!$A$63:$F$556,6,FALSE)</f>
        <v>0</v>
      </c>
      <c r="D234" s="1" t="str">
        <f>VLOOKUP(C234,Tabulka5[],3,FALSE)</f>
        <v>Private</v>
      </c>
      <c r="E234" s="1">
        <v>0</v>
      </c>
      <c r="F234" s="1" t="str">
        <f>VLOOKUP(E234,Tabulka5[],3,FALSE)</f>
        <v>Private</v>
      </c>
      <c r="G234" s="1" t="s">
        <v>3115</v>
      </c>
      <c r="H234" s="1" t="s">
        <v>580</v>
      </c>
      <c r="I234" s="1" t="s">
        <v>403</v>
      </c>
      <c r="J234" s="1" t="s">
        <v>2728</v>
      </c>
      <c r="K234" s="1" t="s">
        <v>3126</v>
      </c>
      <c r="L234" s="1" t="s">
        <v>3130</v>
      </c>
      <c r="M234" s="1">
        <v>300</v>
      </c>
      <c r="N234" s="1">
        <v>1</v>
      </c>
      <c r="O234" s="1" t="str">
        <f t="shared" si="17"/>
        <v>"ConstructionHelmet_Yellow": 1,</v>
      </c>
      <c r="P234" s="1" t="str">
        <f t="shared" si="18"/>
        <v>"ConstructionHelmet_Yellow": 0,</v>
      </c>
      <c r="Q234" s="1" t="str">
        <f t="shared" si="19"/>
        <v>"ConstructionHelmet_Yellow": 300,</v>
      </c>
      <c r="R234" s="1" t="str">
        <f t="shared" si="20"/>
        <v>"ConstructionHelmet_Yellow": 0,</v>
      </c>
    </row>
    <row r="235" spans="1:18" ht="15" customHeight="1" x14ac:dyDescent="0.25">
      <c r="A235" s="1" t="str">
        <f t="shared" si="21"/>
        <v>#tc_clothes#tc_civil#tc_head</v>
      </c>
      <c r="B235" s="1">
        <f>VLOOKUP(A235,TraderCategory!$A$63:$E$556,2,FALSE)</f>
        <v>0</v>
      </c>
      <c r="C235" s="1">
        <f>VLOOKUP(A235,TraderCategory!$A$63:$F$556,6,FALSE)</f>
        <v>0</v>
      </c>
      <c r="D235" s="1" t="str">
        <f>VLOOKUP(C235,Tabulka5[],3,FALSE)</f>
        <v>Private</v>
      </c>
      <c r="E235" s="1">
        <v>0</v>
      </c>
      <c r="F235" s="1" t="str">
        <f>VLOOKUP(E235,Tabulka5[],3,FALSE)</f>
        <v>Private</v>
      </c>
      <c r="G235" s="1" t="s">
        <v>3115</v>
      </c>
      <c r="H235" s="1" t="s">
        <v>583</v>
      </c>
      <c r="I235" s="1" t="s">
        <v>403</v>
      </c>
      <c r="J235" s="1" t="s">
        <v>2728</v>
      </c>
      <c r="K235" s="1" t="s">
        <v>3126</v>
      </c>
      <c r="L235" s="1" t="s">
        <v>3130</v>
      </c>
      <c r="M235" s="1">
        <v>600</v>
      </c>
      <c r="N235" s="1">
        <v>1</v>
      </c>
      <c r="O235" s="1" t="str">
        <f t="shared" si="17"/>
        <v>"CowboyHat_Brown": 1,</v>
      </c>
      <c r="P235" s="1" t="str">
        <f t="shared" si="18"/>
        <v>"CowboyHat_Brown": 0,</v>
      </c>
      <c r="Q235" s="1" t="str">
        <f t="shared" si="19"/>
        <v>"CowboyHat_Brown": 600,</v>
      </c>
      <c r="R235" s="1" t="str">
        <f t="shared" si="20"/>
        <v>"CowboyHat_Brown": 0,</v>
      </c>
    </row>
    <row r="236" spans="1:18" ht="15" customHeight="1" x14ac:dyDescent="0.25">
      <c r="A236" s="1" t="str">
        <f t="shared" si="21"/>
        <v>#tc_clothes#tc_civil#tc_head</v>
      </c>
      <c r="B236" s="1">
        <f>VLOOKUP(A236,TraderCategory!$A$63:$E$556,2,FALSE)</f>
        <v>0</v>
      </c>
      <c r="C236" s="1">
        <f>VLOOKUP(A236,TraderCategory!$A$63:$F$556,6,FALSE)</f>
        <v>0</v>
      </c>
      <c r="D236" s="1" t="str">
        <f>VLOOKUP(C236,Tabulka5[],3,FALSE)</f>
        <v>Private</v>
      </c>
      <c r="E236" s="1">
        <v>0</v>
      </c>
      <c r="F236" s="1" t="str">
        <f>VLOOKUP(E236,Tabulka5[],3,FALSE)</f>
        <v>Private</v>
      </c>
      <c r="G236" s="1" t="s">
        <v>3115</v>
      </c>
      <c r="H236" s="1" t="s">
        <v>584</v>
      </c>
      <c r="I236" s="1" t="s">
        <v>403</v>
      </c>
      <c r="J236" s="1" t="s">
        <v>2728</v>
      </c>
      <c r="K236" s="1" t="s">
        <v>3126</v>
      </c>
      <c r="L236" s="1" t="s">
        <v>3130</v>
      </c>
      <c r="M236" s="1">
        <v>600</v>
      </c>
      <c r="N236" s="1">
        <v>1</v>
      </c>
      <c r="O236" s="1" t="str">
        <f t="shared" si="17"/>
        <v>"CowboyHat_black": 1,</v>
      </c>
      <c r="P236" s="1" t="str">
        <f t="shared" si="18"/>
        <v>"CowboyHat_black": 0,</v>
      </c>
      <c r="Q236" s="1" t="str">
        <f t="shared" si="19"/>
        <v>"CowboyHat_black": 600,</v>
      </c>
      <c r="R236" s="1" t="str">
        <f t="shared" si="20"/>
        <v>"CowboyHat_black": 0,</v>
      </c>
    </row>
    <row r="237" spans="1:18" ht="15" customHeight="1" x14ac:dyDescent="0.25">
      <c r="A237" s="1" t="str">
        <f t="shared" si="21"/>
        <v>#tc_clothes#tc_civil#tc_head</v>
      </c>
      <c r="B237" s="1">
        <f>VLOOKUP(A237,TraderCategory!$A$63:$E$556,2,FALSE)</f>
        <v>0</v>
      </c>
      <c r="C237" s="1">
        <f>VLOOKUP(A237,TraderCategory!$A$63:$F$556,6,FALSE)</f>
        <v>0</v>
      </c>
      <c r="D237" s="1" t="str">
        <f>VLOOKUP(C237,Tabulka5[],3,FALSE)</f>
        <v>Private</v>
      </c>
      <c r="E237" s="1">
        <v>0</v>
      </c>
      <c r="F237" s="1" t="str">
        <f>VLOOKUP(E237,Tabulka5[],3,FALSE)</f>
        <v>Private</v>
      </c>
      <c r="G237" s="1" t="s">
        <v>3115</v>
      </c>
      <c r="H237" s="1" t="s">
        <v>585</v>
      </c>
      <c r="I237" s="1" t="s">
        <v>403</v>
      </c>
      <c r="J237" s="1" t="s">
        <v>2728</v>
      </c>
      <c r="K237" s="1" t="s">
        <v>3126</v>
      </c>
      <c r="L237" s="1" t="s">
        <v>3130</v>
      </c>
      <c r="M237" s="1">
        <v>600</v>
      </c>
      <c r="N237" s="1">
        <v>1</v>
      </c>
      <c r="O237" s="1" t="str">
        <f t="shared" si="17"/>
        <v>"CowboyHat_darkBrown": 1,</v>
      </c>
      <c r="P237" s="1" t="str">
        <f t="shared" si="18"/>
        <v>"CowboyHat_darkBrown": 0,</v>
      </c>
      <c r="Q237" s="1" t="str">
        <f t="shared" si="19"/>
        <v>"CowboyHat_darkBrown": 600,</v>
      </c>
      <c r="R237" s="1" t="str">
        <f t="shared" si="20"/>
        <v>"CowboyHat_darkBrown": 0,</v>
      </c>
    </row>
    <row r="238" spans="1:18" ht="15" customHeight="1" x14ac:dyDescent="0.25">
      <c r="A238" s="1" t="str">
        <f t="shared" si="21"/>
        <v>#tc_clothes#tc_civil#tc_head</v>
      </c>
      <c r="B238" s="1">
        <f>VLOOKUP(A238,TraderCategory!$A$63:$E$556,2,FALSE)</f>
        <v>0</v>
      </c>
      <c r="C238" s="1">
        <f>VLOOKUP(A238,TraderCategory!$A$63:$F$556,6,FALSE)</f>
        <v>0</v>
      </c>
      <c r="D238" s="1" t="str">
        <f>VLOOKUP(C238,Tabulka5[],3,FALSE)</f>
        <v>Private</v>
      </c>
      <c r="E238" s="1">
        <v>0</v>
      </c>
      <c r="F238" s="1" t="str">
        <f>VLOOKUP(E238,Tabulka5[],3,FALSE)</f>
        <v>Private</v>
      </c>
      <c r="G238" s="1" t="s">
        <v>3115</v>
      </c>
      <c r="H238" s="1" t="s">
        <v>586</v>
      </c>
      <c r="I238" s="1" t="s">
        <v>403</v>
      </c>
      <c r="J238" s="1" t="s">
        <v>2728</v>
      </c>
      <c r="K238" s="1" t="s">
        <v>3126</v>
      </c>
      <c r="L238" s="1" t="s">
        <v>3130</v>
      </c>
      <c r="M238" s="1">
        <v>600</v>
      </c>
      <c r="N238" s="1">
        <v>1</v>
      </c>
      <c r="O238" s="1" t="str">
        <f t="shared" si="17"/>
        <v>"CowboyHat_green": 1,</v>
      </c>
      <c r="P238" s="1" t="str">
        <f t="shared" si="18"/>
        <v>"CowboyHat_green": 0,</v>
      </c>
      <c r="Q238" s="1" t="str">
        <f t="shared" si="19"/>
        <v>"CowboyHat_green": 600,</v>
      </c>
      <c r="R238" s="1" t="str">
        <f t="shared" si="20"/>
        <v>"CowboyHat_green": 0,</v>
      </c>
    </row>
    <row r="239" spans="1:18" ht="15" customHeight="1" x14ac:dyDescent="0.25">
      <c r="A239" s="1" t="str">
        <f t="shared" si="21"/>
        <v>#tc_clothes#tc_military#tc_bags</v>
      </c>
      <c r="B239" s="1">
        <f>VLOOKUP(A239,TraderCategory!$A$63:$E$556,2,FALSE)</f>
        <v>15</v>
      </c>
      <c r="C239" s="1">
        <f>VLOOKUP(A239,TraderCategory!$A$63:$F$556,6,FALSE)</f>
        <v>1</v>
      </c>
      <c r="D239" s="1" t="str">
        <f>VLOOKUP(C239,Tabulka5[],3,FALSE)</f>
        <v>Private First Class</v>
      </c>
      <c r="E239" s="1">
        <v>4</v>
      </c>
      <c r="F239" s="1" t="str">
        <f>VLOOKUP(E239,Tabulka5[],3,FALSE)</f>
        <v>Staff Sergeant</v>
      </c>
      <c r="G239" s="1" t="s">
        <v>3115</v>
      </c>
      <c r="H239" s="1" t="s">
        <v>587</v>
      </c>
      <c r="I239" s="1" t="s">
        <v>363</v>
      </c>
      <c r="J239" s="1" t="s">
        <v>2728</v>
      </c>
      <c r="K239" s="1" t="s">
        <v>2729</v>
      </c>
      <c r="L239" s="1" t="s">
        <v>3138</v>
      </c>
      <c r="M239" s="1">
        <v>14000</v>
      </c>
      <c r="N239" s="1">
        <v>1</v>
      </c>
      <c r="O239" s="1" t="str">
        <f t="shared" si="17"/>
        <v>"CoyoteBag_Brown": 1,</v>
      </c>
      <c r="P239" s="1" t="str">
        <f t="shared" si="18"/>
        <v>"CoyoteBag_Brown": 15,</v>
      </c>
      <c r="Q239" s="1" t="str">
        <f t="shared" si="19"/>
        <v>"CoyoteBag_Brown": 14000,</v>
      </c>
      <c r="R239" s="1" t="str">
        <f t="shared" si="20"/>
        <v>"CoyoteBag_Brown": 4,</v>
      </c>
    </row>
    <row r="240" spans="1:18" ht="15" customHeight="1" x14ac:dyDescent="0.25">
      <c r="A240" s="1" t="str">
        <f t="shared" si="21"/>
        <v>#tc_clothes#tc_military#tc_bags</v>
      </c>
      <c r="B240" s="1">
        <f>VLOOKUP(A240,TraderCategory!$A$63:$E$556,2,FALSE)</f>
        <v>15</v>
      </c>
      <c r="C240" s="1">
        <f>VLOOKUP(A240,TraderCategory!$A$63:$F$556,6,FALSE)</f>
        <v>1</v>
      </c>
      <c r="D240" s="1" t="str">
        <f>VLOOKUP(C240,Tabulka5[],3,FALSE)</f>
        <v>Private First Class</v>
      </c>
      <c r="E240" s="1">
        <v>4</v>
      </c>
      <c r="F240" s="1" t="str">
        <f>VLOOKUP(E240,Tabulka5[],3,FALSE)</f>
        <v>Staff Sergeant</v>
      </c>
      <c r="G240" s="1" t="s">
        <v>3115</v>
      </c>
      <c r="H240" s="1" t="s">
        <v>588</v>
      </c>
      <c r="I240" s="1" t="s">
        <v>363</v>
      </c>
      <c r="J240" s="1" t="s">
        <v>2728</v>
      </c>
      <c r="K240" s="1" t="s">
        <v>2729</v>
      </c>
      <c r="L240" s="1" t="s">
        <v>3138</v>
      </c>
      <c r="M240" s="1">
        <v>14000</v>
      </c>
      <c r="N240" s="1">
        <v>1</v>
      </c>
      <c r="O240" s="1" t="str">
        <f t="shared" si="17"/>
        <v>"CoyoteBag_Green": 1,</v>
      </c>
      <c r="P240" s="1" t="str">
        <f t="shared" si="18"/>
        <v>"CoyoteBag_Green": 15,</v>
      </c>
      <c r="Q240" s="1" t="str">
        <f t="shared" si="19"/>
        <v>"CoyoteBag_Green": 14000,</v>
      </c>
      <c r="R240" s="1" t="str">
        <f t="shared" si="20"/>
        <v>"CoyoteBag_Green": 4,</v>
      </c>
    </row>
    <row r="241" spans="1:18" ht="15" customHeight="1" x14ac:dyDescent="0.25">
      <c r="A241" s="1" t="str">
        <f t="shared" si="21"/>
        <v>#tc_groceries#tc_tools#tc_tools</v>
      </c>
      <c r="B241" s="1">
        <f>VLOOKUP(A241,TraderCategory!$A$63:$E$556,2,FALSE)</f>
        <v>30</v>
      </c>
      <c r="C241" s="1">
        <f>VLOOKUP(A241,TraderCategory!$A$63:$F$556,6,FALSE)</f>
        <v>0</v>
      </c>
      <c r="D241" s="1" t="str">
        <f>VLOOKUP(C241,Tabulka5[],3,FALSE)</f>
        <v>Private</v>
      </c>
      <c r="E241" s="1">
        <v>0</v>
      </c>
      <c r="F241" s="1" t="str">
        <f>VLOOKUP(E241,Tabulka5[],3,FALSE)</f>
        <v>Private</v>
      </c>
      <c r="G241" s="1" t="s">
        <v>3115</v>
      </c>
      <c r="H241" s="1" t="s">
        <v>589</v>
      </c>
      <c r="I241" s="1" t="s">
        <v>426</v>
      </c>
      <c r="J241" s="1" t="s">
        <v>3127</v>
      </c>
      <c r="K241" s="1" t="s">
        <v>2740</v>
      </c>
      <c r="L241" s="1" t="s">
        <v>2740</v>
      </c>
      <c r="M241" s="1">
        <v>400</v>
      </c>
      <c r="N241" s="1">
        <v>1</v>
      </c>
      <c r="O241" s="1" t="str">
        <f t="shared" si="17"/>
        <v>"Crowbar": 1,</v>
      </c>
      <c r="P241" s="1" t="str">
        <f t="shared" si="18"/>
        <v>"Crowbar": 30,</v>
      </c>
      <c r="Q241" s="1" t="str">
        <f t="shared" si="19"/>
        <v>"Crowbar": 400,</v>
      </c>
      <c r="R241" s="1" t="str">
        <f t="shared" si="20"/>
        <v>"Crowbar": 0,</v>
      </c>
    </row>
    <row r="242" spans="1:18" ht="15" customHeight="1" x14ac:dyDescent="0.25">
      <c r="A242" s="1" t="str">
        <f t="shared" si="21"/>
        <v>#tc_clothes#tc_civil#tc_head</v>
      </c>
      <c r="B242" s="1">
        <f>VLOOKUP(A242,TraderCategory!$A$63:$E$556,2,FALSE)</f>
        <v>0</v>
      </c>
      <c r="C242" s="1">
        <f>VLOOKUP(A242,TraderCategory!$A$63:$F$556,6,FALSE)</f>
        <v>0</v>
      </c>
      <c r="D242" s="1" t="str">
        <f>VLOOKUP(C242,Tabulka5[],3,FALSE)</f>
        <v>Private</v>
      </c>
      <c r="E242" s="1">
        <v>0</v>
      </c>
      <c r="F242" s="1" t="str">
        <f>VLOOKUP(E242,Tabulka5[],3,FALSE)</f>
        <v>Private</v>
      </c>
      <c r="G242" s="1" t="s">
        <v>3115</v>
      </c>
      <c r="H242" s="1" t="s">
        <v>590</v>
      </c>
      <c r="I242" s="1" t="s">
        <v>403</v>
      </c>
      <c r="J242" s="1" t="s">
        <v>2728</v>
      </c>
      <c r="K242" s="1" t="s">
        <v>3126</v>
      </c>
      <c r="L242" s="1" t="s">
        <v>3130</v>
      </c>
      <c r="M242" s="1">
        <v>2500</v>
      </c>
      <c r="N242" s="1">
        <v>1</v>
      </c>
      <c r="O242" s="1" t="str">
        <f t="shared" si="17"/>
        <v>"DarkMotoHelmet_Black": 1,</v>
      </c>
      <c r="P242" s="1" t="str">
        <f t="shared" si="18"/>
        <v>"DarkMotoHelmet_Black": 0,</v>
      </c>
      <c r="Q242" s="1" t="str">
        <f t="shared" si="19"/>
        <v>"DarkMotoHelmet_Black": 2500,</v>
      </c>
      <c r="R242" s="1" t="str">
        <f t="shared" si="20"/>
        <v>"DarkMotoHelmet_Black": 0,</v>
      </c>
    </row>
    <row r="243" spans="1:18" ht="15" customHeight="1" x14ac:dyDescent="0.25">
      <c r="A243" s="1" t="str">
        <f t="shared" si="21"/>
        <v>#tc_clothes#tc_civil#tc_head</v>
      </c>
      <c r="B243" s="1">
        <f>VLOOKUP(A243,TraderCategory!$A$63:$E$556,2,FALSE)</f>
        <v>0</v>
      </c>
      <c r="C243" s="1">
        <f>VLOOKUP(A243,TraderCategory!$A$63:$F$556,6,FALSE)</f>
        <v>0</v>
      </c>
      <c r="D243" s="1" t="str">
        <f>VLOOKUP(C243,Tabulka5[],3,FALSE)</f>
        <v>Private</v>
      </c>
      <c r="E243" s="1">
        <v>0</v>
      </c>
      <c r="F243" s="1" t="str">
        <f>VLOOKUP(E243,Tabulka5[],3,FALSE)</f>
        <v>Private</v>
      </c>
      <c r="G243" s="1" t="s">
        <v>3115</v>
      </c>
      <c r="H243" s="1" t="s">
        <v>591</v>
      </c>
      <c r="I243" s="1" t="s">
        <v>403</v>
      </c>
      <c r="J243" s="1" t="s">
        <v>2728</v>
      </c>
      <c r="K243" s="1" t="s">
        <v>3126</v>
      </c>
      <c r="L243" s="1" t="s">
        <v>3130</v>
      </c>
      <c r="M243" s="1">
        <v>2500</v>
      </c>
      <c r="N243" s="1">
        <v>1</v>
      </c>
      <c r="O243" s="1" t="str">
        <f t="shared" si="17"/>
        <v>"DarkMotoHelmet_Blue": 1,</v>
      </c>
      <c r="P243" s="1" t="str">
        <f t="shared" si="18"/>
        <v>"DarkMotoHelmet_Blue": 0,</v>
      </c>
      <c r="Q243" s="1" t="str">
        <f t="shared" si="19"/>
        <v>"DarkMotoHelmet_Blue": 2500,</v>
      </c>
      <c r="R243" s="1" t="str">
        <f t="shared" si="20"/>
        <v>"DarkMotoHelmet_Blue": 0,</v>
      </c>
    </row>
    <row r="244" spans="1:18" ht="15" customHeight="1" x14ac:dyDescent="0.25">
      <c r="A244" s="1" t="str">
        <f t="shared" si="21"/>
        <v>#tc_clothes#tc_civil#tc_head</v>
      </c>
      <c r="B244" s="1">
        <f>VLOOKUP(A244,TraderCategory!$A$63:$E$556,2,FALSE)</f>
        <v>0</v>
      </c>
      <c r="C244" s="1">
        <f>VLOOKUP(A244,TraderCategory!$A$63:$F$556,6,FALSE)</f>
        <v>0</v>
      </c>
      <c r="D244" s="1" t="str">
        <f>VLOOKUP(C244,Tabulka5[],3,FALSE)</f>
        <v>Private</v>
      </c>
      <c r="E244" s="1">
        <v>0</v>
      </c>
      <c r="F244" s="1" t="str">
        <f>VLOOKUP(E244,Tabulka5[],3,FALSE)</f>
        <v>Private</v>
      </c>
      <c r="G244" s="1" t="s">
        <v>3115</v>
      </c>
      <c r="H244" s="1" t="s">
        <v>592</v>
      </c>
      <c r="I244" s="1" t="s">
        <v>403</v>
      </c>
      <c r="J244" s="1" t="s">
        <v>2728</v>
      </c>
      <c r="K244" s="1" t="s">
        <v>3126</v>
      </c>
      <c r="L244" s="1" t="s">
        <v>3130</v>
      </c>
      <c r="M244" s="1">
        <v>2500</v>
      </c>
      <c r="N244" s="1">
        <v>1</v>
      </c>
      <c r="O244" s="1" t="str">
        <f t="shared" si="17"/>
        <v>"DarkMotoHelmet_Green": 1,</v>
      </c>
      <c r="P244" s="1" t="str">
        <f t="shared" si="18"/>
        <v>"DarkMotoHelmet_Green": 0,</v>
      </c>
      <c r="Q244" s="1" t="str">
        <f t="shared" si="19"/>
        <v>"DarkMotoHelmet_Green": 2500,</v>
      </c>
      <c r="R244" s="1" t="str">
        <f t="shared" si="20"/>
        <v>"DarkMotoHelmet_Green": 0,</v>
      </c>
    </row>
    <row r="245" spans="1:18" ht="15" customHeight="1" x14ac:dyDescent="0.25">
      <c r="A245" s="1" t="str">
        <f t="shared" si="21"/>
        <v>#tc_clothes#tc_civil#tc_head</v>
      </c>
      <c r="B245" s="1">
        <f>VLOOKUP(A245,TraderCategory!$A$63:$E$556,2,FALSE)</f>
        <v>0</v>
      </c>
      <c r="C245" s="1">
        <f>VLOOKUP(A245,TraderCategory!$A$63:$F$556,6,FALSE)</f>
        <v>0</v>
      </c>
      <c r="D245" s="1" t="str">
        <f>VLOOKUP(C245,Tabulka5[],3,FALSE)</f>
        <v>Private</v>
      </c>
      <c r="E245" s="1">
        <v>0</v>
      </c>
      <c r="F245" s="1" t="str">
        <f>VLOOKUP(E245,Tabulka5[],3,FALSE)</f>
        <v>Private</v>
      </c>
      <c r="G245" s="1" t="s">
        <v>3115</v>
      </c>
      <c r="H245" s="1" t="s">
        <v>593</v>
      </c>
      <c r="I245" s="1" t="s">
        <v>403</v>
      </c>
      <c r="J245" s="1" t="s">
        <v>2728</v>
      </c>
      <c r="K245" s="1" t="s">
        <v>3126</v>
      </c>
      <c r="L245" s="1" t="s">
        <v>3130</v>
      </c>
      <c r="M245" s="1">
        <v>2500</v>
      </c>
      <c r="N245" s="1">
        <v>1</v>
      </c>
      <c r="O245" s="1" t="str">
        <f t="shared" si="17"/>
        <v>"DarkMotoHelmet_Grey": 1,</v>
      </c>
      <c r="P245" s="1" t="str">
        <f t="shared" si="18"/>
        <v>"DarkMotoHelmet_Grey": 0,</v>
      </c>
      <c r="Q245" s="1" t="str">
        <f t="shared" si="19"/>
        <v>"DarkMotoHelmet_Grey": 2500,</v>
      </c>
      <c r="R245" s="1" t="str">
        <f t="shared" si="20"/>
        <v>"DarkMotoHelmet_Grey": 0,</v>
      </c>
    </row>
    <row r="246" spans="1:18" ht="15" customHeight="1" x14ac:dyDescent="0.25">
      <c r="A246" s="1" t="str">
        <f t="shared" si="21"/>
        <v>#tc_clothes#tc_civil#tc_head</v>
      </c>
      <c r="B246" s="1">
        <f>VLOOKUP(A246,TraderCategory!$A$63:$E$556,2,FALSE)</f>
        <v>0</v>
      </c>
      <c r="C246" s="1">
        <f>VLOOKUP(A246,TraderCategory!$A$63:$F$556,6,FALSE)</f>
        <v>0</v>
      </c>
      <c r="D246" s="1" t="str">
        <f>VLOOKUP(C246,Tabulka5[],3,FALSE)</f>
        <v>Private</v>
      </c>
      <c r="E246" s="1">
        <v>0</v>
      </c>
      <c r="F246" s="1" t="str">
        <f>VLOOKUP(E246,Tabulka5[],3,FALSE)</f>
        <v>Private</v>
      </c>
      <c r="G246" s="1" t="s">
        <v>3115</v>
      </c>
      <c r="H246" s="1" t="s">
        <v>594</v>
      </c>
      <c r="I246" s="1" t="s">
        <v>403</v>
      </c>
      <c r="J246" s="1" t="s">
        <v>2728</v>
      </c>
      <c r="K246" s="1" t="s">
        <v>3126</v>
      </c>
      <c r="L246" s="1" t="s">
        <v>3130</v>
      </c>
      <c r="M246" s="1">
        <v>2500</v>
      </c>
      <c r="N246" s="1">
        <v>1</v>
      </c>
      <c r="O246" s="1" t="str">
        <f t="shared" si="17"/>
        <v>"DarkMotoHelmet_Lime": 1,</v>
      </c>
      <c r="P246" s="1" t="str">
        <f t="shared" si="18"/>
        <v>"DarkMotoHelmet_Lime": 0,</v>
      </c>
      <c r="Q246" s="1" t="str">
        <f t="shared" si="19"/>
        <v>"DarkMotoHelmet_Lime": 2500,</v>
      </c>
      <c r="R246" s="1" t="str">
        <f t="shared" si="20"/>
        <v>"DarkMotoHelmet_Lime": 0,</v>
      </c>
    </row>
    <row r="247" spans="1:18" ht="15" customHeight="1" x14ac:dyDescent="0.25">
      <c r="A247" s="1" t="str">
        <f t="shared" si="21"/>
        <v>#tc_clothes#tc_civil#tc_head</v>
      </c>
      <c r="B247" s="1">
        <f>VLOOKUP(A247,TraderCategory!$A$63:$E$556,2,FALSE)</f>
        <v>0</v>
      </c>
      <c r="C247" s="1">
        <f>VLOOKUP(A247,TraderCategory!$A$63:$F$556,6,FALSE)</f>
        <v>0</v>
      </c>
      <c r="D247" s="1" t="str">
        <f>VLOOKUP(C247,Tabulka5[],3,FALSE)</f>
        <v>Private</v>
      </c>
      <c r="E247" s="1">
        <v>0</v>
      </c>
      <c r="F247" s="1" t="str">
        <f>VLOOKUP(E247,Tabulka5[],3,FALSE)</f>
        <v>Private</v>
      </c>
      <c r="G247" s="1" t="s">
        <v>3115</v>
      </c>
      <c r="H247" s="1" t="s">
        <v>595</v>
      </c>
      <c r="I247" s="1" t="s">
        <v>403</v>
      </c>
      <c r="J247" s="1" t="s">
        <v>2728</v>
      </c>
      <c r="K247" s="1" t="s">
        <v>3126</v>
      </c>
      <c r="L247" s="1" t="s">
        <v>3130</v>
      </c>
      <c r="M247" s="1">
        <v>2500</v>
      </c>
      <c r="N247" s="1">
        <v>1</v>
      </c>
      <c r="O247" s="1" t="str">
        <f t="shared" si="17"/>
        <v>"DarkMotoHelmet_Red": 1,</v>
      </c>
      <c r="P247" s="1" t="str">
        <f t="shared" si="18"/>
        <v>"DarkMotoHelmet_Red": 0,</v>
      </c>
      <c r="Q247" s="1" t="str">
        <f t="shared" si="19"/>
        <v>"DarkMotoHelmet_Red": 2500,</v>
      </c>
      <c r="R247" s="1" t="str">
        <f t="shared" si="20"/>
        <v>"DarkMotoHelmet_Red": 0,</v>
      </c>
    </row>
    <row r="248" spans="1:18" ht="15" customHeight="1" x14ac:dyDescent="0.25">
      <c r="A248" s="1" t="str">
        <f t="shared" si="21"/>
        <v>#tc_clothes#tc_civil#tc_head</v>
      </c>
      <c r="B248" s="1">
        <f>VLOOKUP(A248,TraderCategory!$A$63:$E$556,2,FALSE)</f>
        <v>0</v>
      </c>
      <c r="C248" s="1">
        <f>VLOOKUP(A248,TraderCategory!$A$63:$F$556,6,FALSE)</f>
        <v>0</v>
      </c>
      <c r="D248" s="1" t="str">
        <f>VLOOKUP(C248,Tabulka5[],3,FALSE)</f>
        <v>Private</v>
      </c>
      <c r="E248" s="1">
        <v>0</v>
      </c>
      <c r="F248" s="1" t="str">
        <f>VLOOKUP(E248,Tabulka5[],3,FALSE)</f>
        <v>Private</v>
      </c>
      <c r="G248" s="1" t="s">
        <v>3115</v>
      </c>
      <c r="H248" s="1" t="s">
        <v>596</v>
      </c>
      <c r="I248" s="1" t="s">
        <v>403</v>
      </c>
      <c r="J248" s="1" t="s">
        <v>2728</v>
      </c>
      <c r="K248" s="1" t="s">
        <v>3126</v>
      </c>
      <c r="L248" s="1" t="s">
        <v>3130</v>
      </c>
      <c r="M248" s="1">
        <v>2500</v>
      </c>
      <c r="N248" s="1">
        <v>1</v>
      </c>
      <c r="O248" s="1" t="str">
        <f t="shared" si="17"/>
        <v>"DarkMotoHelmet_White": 1,</v>
      </c>
      <c r="P248" s="1" t="str">
        <f t="shared" si="18"/>
        <v>"DarkMotoHelmet_White": 0,</v>
      </c>
      <c r="Q248" s="1" t="str">
        <f t="shared" si="19"/>
        <v>"DarkMotoHelmet_White": 2500,</v>
      </c>
      <c r="R248" s="1" t="str">
        <f t="shared" si="20"/>
        <v>"DarkMotoHelmet_White": 0,</v>
      </c>
    </row>
    <row r="249" spans="1:18" ht="15" customHeight="1" x14ac:dyDescent="0.25">
      <c r="A249" s="1" t="str">
        <f t="shared" si="21"/>
        <v>#tc_clothes#tc_civil#tc_tops</v>
      </c>
      <c r="B249" s="1">
        <f>VLOOKUP(A249,TraderCategory!$A$63:$E$556,2,FALSE)</f>
        <v>1</v>
      </c>
      <c r="C249" s="1">
        <f>VLOOKUP(A249,TraderCategory!$A$63:$F$556,6,FALSE)</f>
        <v>0</v>
      </c>
      <c r="D249" s="1" t="str">
        <f>VLOOKUP(C249,Tabulka5[],3,FALSE)</f>
        <v>Private</v>
      </c>
      <c r="E249" s="1">
        <v>0</v>
      </c>
      <c r="F249" s="1" t="str">
        <f>VLOOKUP(E249,Tabulka5[],3,FALSE)</f>
        <v>Private</v>
      </c>
      <c r="G249" s="1" t="s">
        <v>3115</v>
      </c>
      <c r="H249" s="1" t="s">
        <v>599</v>
      </c>
      <c r="I249" s="1" t="s">
        <v>403</v>
      </c>
      <c r="J249" s="1" t="s">
        <v>2728</v>
      </c>
      <c r="K249" s="1" t="s">
        <v>3126</v>
      </c>
      <c r="L249" s="1" t="s">
        <v>3131</v>
      </c>
      <c r="M249" s="1">
        <v>2000</v>
      </c>
      <c r="N249" s="1">
        <v>1</v>
      </c>
      <c r="O249" s="1" t="str">
        <f t="shared" si="17"/>
        <v>"DenimJacket": 1,</v>
      </c>
      <c r="P249" s="1" t="str">
        <f t="shared" si="18"/>
        <v>"DenimJacket": 1,</v>
      </c>
      <c r="Q249" s="1" t="str">
        <f t="shared" si="19"/>
        <v>"DenimJacket": 2000,</v>
      </c>
      <c r="R249" s="1" t="str">
        <f t="shared" si="20"/>
        <v>"DenimJacket": 0,</v>
      </c>
    </row>
    <row r="250" spans="1:18" ht="15" customHeight="1" x14ac:dyDescent="0.25">
      <c r="A250" s="1" t="str">
        <f t="shared" si="21"/>
        <v>#tc_clothes#tc_civil#tc_head</v>
      </c>
      <c r="B250" s="1">
        <f>VLOOKUP(A250,TraderCategory!$A$63:$E$556,2,FALSE)</f>
        <v>0</v>
      </c>
      <c r="C250" s="1">
        <f>VLOOKUP(A250,TraderCategory!$A$63:$F$556,6,FALSE)</f>
        <v>0</v>
      </c>
      <c r="D250" s="1" t="str">
        <f>VLOOKUP(C250,Tabulka5[],3,FALSE)</f>
        <v>Private</v>
      </c>
      <c r="E250" s="1">
        <v>0</v>
      </c>
      <c r="F250" s="1" t="str">
        <f>VLOOKUP(E250,Tabulka5[],3,FALSE)</f>
        <v>Private</v>
      </c>
      <c r="G250" s="1" t="s">
        <v>3115</v>
      </c>
      <c r="H250" s="1" t="s">
        <v>600</v>
      </c>
      <c r="I250" s="1" t="s">
        <v>403</v>
      </c>
      <c r="J250" s="1" t="s">
        <v>2728</v>
      </c>
      <c r="K250" s="1" t="s">
        <v>3126</v>
      </c>
      <c r="L250" s="1" t="s">
        <v>3130</v>
      </c>
      <c r="M250" s="1">
        <v>1200</v>
      </c>
      <c r="N250" s="1">
        <v>1</v>
      </c>
      <c r="O250" s="1" t="str">
        <f t="shared" si="17"/>
        <v>"DesignerGlasses": 1,</v>
      </c>
      <c r="P250" s="1" t="str">
        <f t="shared" si="18"/>
        <v>"DesignerGlasses": 0,</v>
      </c>
      <c r="Q250" s="1" t="str">
        <f t="shared" si="19"/>
        <v>"DesignerGlasses": 1200,</v>
      </c>
      <c r="R250" s="1" t="str">
        <f t="shared" si="20"/>
        <v>"DesignerGlasses": 0,</v>
      </c>
    </row>
    <row r="251" spans="1:18" ht="15" customHeight="1" x14ac:dyDescent="0.25">
      <c r="A251" s="1" t="str">
        <f t="shared" si="21"/>
        <v>#tc_clothes#tc_civil#tc_head</v>
      </c>
      <c r="B251" s="1">
        <f>VLOOKUP(A251,TraderCategory!$A$63:$E$556,2,FALSE)</f>
        <v>0</v>
      </c>
      <c r="C251" s="1">
        <f>VLOOKUP(A251,TraderCategory!$A$63:$F$556,6,FALSE)</f>
        <v>0</v>
      </c>
      <c r="D251" s="1" t="str">
        <f>VLOOKUP(C251,Tabulka5[],3,FALSE)</f>
        <v>Private</v>
      </c>
      <c r="E251" s="1">
        <v>0</v>
      </c>
      <c r="F251" s="1" t="str">
        <f>VLOOKUP(E251,Tabulka5[],3,FALSE)</f>
        <v>Private</v>
      </c>
      <c r="G251" s="1" t="s">
        <v>3115</v>
      </c>
      <c r="H251" s="1" t="s">
        <v>601</v>
      </c>
      <c r="I251" s="1" t="s">
        <v>403</v>
      </c>
      <c r="J251" s="1" t="s">
        <v>2728</v>
      </c>
      <c r="K251" s="1" t="s">
        <v>3126</v>
      </c>
      <c r="L251" s="1" t="s">
        <v>3130</v>
      </c>
      <c r="M251" s="1">
        <v>2000</v>
      </c>
      <c r="N251" s="1">
        <v>1</v>
      </c>
      <c r="O251" s="1" t="str">
        <f t="shared" si="17"/>
        <v>"DirtBikeHelmet_Black": 1,</v>
      </c>
      <c r="P251" s="1" t="str">
        <f t="shared" si="18"/>
        <v>"DirtBikeHelmet_Black": 0,</v>
      </c>
      <c r="Q251" s="1" t="str">
        <f t="shared" si="19"/>
        <v>"DirtBikeHelmet_Black": 2000,</v>
      </c>
      <c r="R251" s="1" t="str">
        <f t="shared" si="20"/>
        <v>"DirtBikeHelmet_Black": 0,</v>
      </c>
    </row>
    <row r="252" spans="1:18" ht="15" customHeight="1" x14ac:dyDescent="0.25">
      <c r="A252" s="1" t="str">
        <f t="shared" si="21"/>
        <v>#tc_clothes#tc_civil#tc_head</v>
      </c>
      <c r="B252" s="1">
        <f>VLOOKUP(A252,TraderCategory!$A$63:$E$556,2,FALSE)</f>
        <v>0</v>
      </c>
      <c r="C252" s="1">
        <f>VLOOKUP(A252,TraderCategory!$A$63:$F$556,6,FALSE)</f>
        <v>0</v>
      </c>
      <c r="D252" s="1" t="str">
        <f>VLOOKUP(C252,Tabulka5[],3,FALSE)</f>
        <v>Private</v>
      </c>
      <c r="E252" s="1">
        <v>0</v>
      </c>
      <c r="F252" s="1" t="str">
        <f>VLOOKUP(E252,Tabulka5[],3,FALSE)</f>
        <v>Private</v>
      </c>
      <c r="G252" s="1" t="s">
        <v>3115</v>
      </c>
      <c r="H252" s="1" t="s">
        <v>602</v>
      </c>
      <c r="I252" s="1" t="s">
        <v>403</v>
      </c>
      <c r="J252" s="1" t="s">
        <v>2728</v>
      </c>
      <c r="K252" s="1" t="s">
        <v>3126</v>
      </c>
      <c r="L252" s="1" t="s">
        <v>3130</v>
      </c>
      <c r="M252" s="1">
        <v>2000</v>
      </c>
      <c r="N252" s="1">
        <v>1</v>
      </c>
      <c r="O252" s="1" t="str">
        <f t="shared" si="17"/>
        <v>"DirtBikeHelmet_Blue": 1,</v>
      </c>
      <c r="P252" s="1" t="str">
        <f t="shared" si="18"/>
        <v>"DirtBikeHelmet_Blue": 0,</v>
      </c>
      <c r="Q252" s="1" t="str">
        <f t="shared" si="19"/>
        <v>"DirtBikeHelmet_Blue": 2000,</v>
      </c>
      <c r="R252" s="1" t="str">
        <f t="shared" si="20"/>
        <v>"DirtBikeHelmet_Blue": 0,</v>
      </c>
    </row>
    <row r="253" spans="1:18" ht="15" customHeight="1" x14ac:dyDescent="0.25">
      <c r="A253" s="1" t="str">
        <f t="shared" si="21"/>
        <v>#tc_clothes#tc_civil#tc_head</v>
      </c>
      <c r="B253" s="1">
        <f>VLOOKUP(A253,TraderCategory!$A$63:$E$556,2,FALSE)</f>
        <v>0</v>
      </c>
      <c r="C253" s="1">
        <f>VLOOKUP(A253,TraderCategory!$A$63:$F$556,6,FALSE)</f>
        <v>0</v>
      </c>
      <c r="D253" s="1" t="str">
        <f>VLOOKUP(C253,Tabulka5[],3,FALSE)</f>
        <v>Private</v>
      </c>
      <c r="E253" s="1">
        <v>0</v>
      </c>
      <c r="F253" s="1" t="str">
        <f>VLOOKUP(E253,Tabulka5[],3,FALSE)</f>
        <v>Private</v>
      </c>
      <c r="G253" s="1" t="s">
        <v>3115</v>
      </c>
      <c r="H253" s="1" t="s">
        <v>603</v>
      </c>
      <c r="I253" s="1" t="s">
        <v>403</v>
      </c>
      <c r="J253" s="1" t="s">
        <v>2728</v>
      </c>
      <c r="K253" s="1" t="s">
        <v>3126</v>
      </c>
      <c r="L253" s="1" t="s">
        <v>3130</v>
      </c>
      <c r="M253" s="1">
        <v>2000</v>
      </c>
      <c r="N253" s="1">
        <v>1</v>
      </c>
      <c r="O253" s="1" t="str">
        <f t="shared" si="17"/>
        <v>"DirtBikeHelmet_Chernarus": 1,</v>
      </c>
      <c r="P253" s="1" t="str">
        <f t="shared" si="18"/>
        <v>"DirtBikeHelmet_Chernarus": 0,</v>
      </c>
      <c r="Q253" s="1" t="str">
        <f t="shared" si="19"/>
        <v>"DirtBikeHelmet_Chernarus": 2000,</v>
      </c>
      <c r="R253" s="1" t="str">
        <f t="shared" si="20"/>
        <v>"DirtBikeHelmet_Chernarus": 0,</v>
      </c>
    </row>
    <row r="254" spans="1:18" ht="15" customHeight="1" x14ac:dyDescent="0.25">
      <c r="A254" s="1" t="str">
        <f t="shared" si="21"/>
        <v>#tc_clothes#tc_civil#tc_head</v>
      </c>
      <c r="B254" s="1">
        <f>VLOOKUP(A254,TraderCategory!$A$63:$E$556,2,FALSE)</f>
        <v>0</v>
      </c>
      <c r="C254" s="1">
        <f>VLOOKUP(A254,TraderCategory!$A$63:$F$556,6,FALSE)</f>
        <v>0</v>
      </c>
      <c r="D254" s="1" t="str">
        <f>VLOOKUP(C254,Tabulka5[],3,FALSE)</f>
        <v>Private</v>
      </c>
      <c r="E254" s="1">
        <v>0</v>
      </c>
      <c r="F254" s="1" t="str">
        <f>VLOOKUP(E254,Tabulka5[],3,FALSE)</f>
        <v>Private</v>
      </c>
      <c r="G254" s="1" t="s">
        <v>3115</v>
      </c>
      <c r="H254" s="1" t="s">
        <v>604</v>
      </c>
      <c r="I254" s="1" t="s">
        <v>403</v>
      </c>
      <c r="J254" s="1" t="s">
        <v>2728</v>
      </c>
      <c r="K254" s="1" t="s">
        <v>3126</v>
      </c>
      <c r="L254" s="1" t="s">
        <v>3130</v>
      </c>
      <c r="M254" s="1">
        <v>2000</v>
      </c>
      <c r="N254" s="1">
        <v>1</v>
      </c>
      <c r="O254" s="1" t="str">
        <f t="shared" si="17"/>
        <v>"DirtBikeHelmet_Green": 1,</v>
      </c>
      <c r="P254" s="1" t="str">
        <f t="shared" si="18"/>
        <v>"DirtBikeHelmet_Green": 0,</v>
      </c>
      <c r="Q254" s="1" t="str">
        <f t="shared" si="19"/>
        <v>"DirtBikeHelmet_Green": 2000,</v>
      </c>
      <c r="R254" s="1" t="str">
        <f t="shared" si="20"/>
        <v>"DirtBikeHelmet_Green": 0,</v>
      </c>
    </row>
    <row r="255" spans="1:18" ht="15" customHeight="1" x14ac:dyDescent="0.25">
      <c r="A255" s="1" t="str">
        <f t="shared" si="21"/>
        <v>#tc_clothes#tc_civil#tc_head</v>
      </c>
      <c r="B255" s="1">
        <f>VLOOKUP(A255,TraderCategory!$A$63:$E$556,2,FALSE)</f>
        <v>0</v>
      </c>
      <c r="C255" s="1">
        <f>VLOOKUP(A255,TraderCategory!$A$63:$F$556,6,FALSE)</f>
        <v>0</v>
      </c>
      <c r="D255" s="1" t="str">
        <f>VLOOKUP(C255,Tabulka5[],3,FALSE)</f>
        <v>Private</v>
      </c>
      <c r="E255" s="1">
        <v>0</v>
      </c>
      <c r="F255" s="1" t="str">
        <f>VLOOKUP(E255,Tabulka5[],3,FALSE)</f>
        <v>Private</v>
      </c>
      <c r="G255" s="1" t="s">
        <v>3115</v>
      </c>
      <c r="H255" s="1" t="s">
        <v>605</v>
      </c>
      <c r="I255" s="1" t="s">
        <v>403</v>
      </c>
      <c r="J255" s="1" t="s">
        <v>2728</v>
      </c>
      <c r="K255" s="1" t="s">
        <v>3126</v>
      </c>
      <c r="L255" s="1" t="s">
        <v>3130</v>
      </c>
      <c r="M255" s="1">
        <v>2000</v>
      </c>
      <c r="N255" s="1">
        <v>1</v>
      </c>
      <c r="O255" s="1" t="str">
        <f t="shared" si="17"/>
        <v>"DirtBikeHelmet_Khaki": 1,</v>
      </c>
      <c r="P255" s="1" t="str">
        <f t="shared" si="18"/>
        <v>"DirtBikeHelmet_Khaki": 0,</v>
      </c>
      <c r="Q255" s="1" t="str">
        <f t="shared" si="19"/>
        <v>"DirtBikeHelmet_Khaki": 2000,</v>
      </c>
      <c r="R255" s="1" t="str">
        <f t="shared" si="20"/>
        <v>"DirtBikeHelmet_Khaki": 0,</v>
      </c>
    </row>
    <row r="256" spans="1:18" ht="15" customHeight="1" x14ac:dyDescent="0.25">
      <c r="A256" s="1" t="str">
        <f t="shared" si="21"/>
        <v>#tc_clothes#tc_civil#tc_head</v>
      </c>
      <c r="B256" s="1">
        <f>VLOOKUP(A256,TraderCategory!$A$63:$E$556,2,FALSE)</f>
        <v>0</v>
      </c>
      <c r="C256" s="1">
        <f>VLOOKUP(A256,TraderCategory!$A$63:$F$556,6,FALSE)</f>
        <v>0</v>
      </c>
      <c r="D256" s="1" t="str">
        <f>VLOOKUP(C256,Tabulka5[],3,FALSE)</f>
        <v>Private</v>
      </c>
      <c r="E256" s="1">
        <v>0</v>
      </c>
      <c r="F256" s="1" t="str">
        <f>VLOOKUP(E256,Tabulka5[],3,FALSE)</f>
        <v>Private</v>
      </c>
      <c r="G256" s="1" t="s">
        <v>3115</v>
      </c>
      <c r="H256" s="1" t="s">
        <v>606</v>
      </c>
      <c r="I256" s="1" t="s">
        <v>403</v>
      </c>
      <c r="J256" s="1" t="s">
        <v>2728</v>
      </c>
      <c r="K256" s="1" t="s">
        <v>3126</v>
      </c>
      <c r="L256" s="1" t="s">
        <v>3130</v>
      </c>
      <c r="M256" s="1">
        <v>2000</v>
      </c>
      <c r="N256" s="1">
        <v>1</v>
      </c>
      <c r="O256" s="1" t="str">
        <f t="shared" si="17"/>
        <v>"DirtBikeHelmet_Mouthguard": 1,</v>
      </c>
      <c r="P256" s="1" t="str">
        <f t="shared" si="18"/>
        <v>"DirtBikeHelmet_Mouthguard": 0,</v>
      </c>
      <c r="Q256" s="1" t="str">
        <f t="shared" si="19"/>
        <v>"DirtBikeHelmet_Mouthguard": 2000,</v>
      </c>
      <c r="R256" s="1" t="str">
        <f t="shared" si="20"/>
        <v>"DirtBikeHelmet_Mouthguard": 0,</v>
      </c>
    </row>
    <row r="257" spans="1:18" ht="15" customHeight="1" x14ac:dyDescent="0.25">
      <c r="A257" s="1" t="str">
        <f t="shared" si="21"/>
        <v>#tc_clothes#tc_civil#tc_head</v>
      </c>
      <c r="B257" s="1">
        <f>VLOOKUP(A257,TraderCategory!$A$63:$E$556,2,FALSE)</f>
        <v>0</v>
      </c>
      <c r="C257" s="1">
        <f>VLOOKUP(A257,TraderCategory!$A$63:$F$556,6,FALSE)</f>
        <v>0</v>
      </c>
      <c r="D257" s="1" t="str">
        <f>VLOOKUP(C257,Tabulka5[],3,FALSE)</f>
        <v>Private</v>
      </c>
      <c r="E257" s="1">
        <v>0</v>
      </c>
      <c r="F257" s="1" t="str">
        <f>VLOOKUP(E257,Tabulka5[],3,FALSE)</f>
        <v>Private</v>
      </c>
      <c r="G257" s="1" t="s">
        <v>3115</v>
      </c>
      <c r="H257" s="1" t="s">
        <v>607</v>
      </c>
      <c r="I257" s="1" t="s">
        <v>403</v>
      </c>
      <c r="J257" s="1" t="s">
        <v>2728</v>
      </c>
      <c r="K257" s="1" t="s">
        <v>3126</v>
      </c>
      <c r="L257" s="1" t="s">
        <v>3130</v>
      </c>
      <c r="M257" s="1">
        <v>2000</v>
      </c>
      <c r="N257" s="1">
        <v>1</v>
      </c>
      <c r="O257" s="1" t="str">
        <f t="shared" si="17"/>
        <v>"DirtBikeHelmet_Police": 1,</v>
      </c>
      <c r="P257" s="1" t="str">
        <f t="shared" si="18"/>
        <v>"DirtBikeHelmet_Police": 0,</v>
      </c>
      <c r="Q257" s="1" t="str">
        <f t="shared" si="19"/>
        <v>"DirtBikeHelmet_Police": 2000,</v>
      </c>
      <c r="R257" s="1" t="str">
        <f t="shared" si="20"/>
        <v>"DirtBikeHelmet_Police": 0,</v>
      </c>
    </row>
    <row r="258" spans="1:18" ht="15" customHeight="1" x14ac:dyDescent="0.25">
      <c r="A258" s="1" t="str">
        <f t="shared" si="21"/>
        <v>#tc_clothes#tc_civil#tc_head</v>
      </c>
      <c r="B258" s="1">
        <f>VLOOKUP(A258,TraderCategory!$A$63:$E$556,2,FALSE)</f>
        <v>0</v>
      </c>
      <c r="C258" s="1">
        <f>VLOOKUP(A258,TraderCategory!$A$63:$F$556,6,FALSE)</f>
        <v>0</v>
      </c>
      <c r="D258" s="1" t="str">
        <f>VLOOKUP(C258,Tabulka5[],3,FALSE)</f>
        <v>Private</v>
      </c>
      <c r="E258" s="1">
        <v>0</v>
      </c>
      <c r="F258" s="1" t="str">
        <f>VLOOKUP(E258,Tabulka5[],3,FALSE)</f>
        <v>Private</v>
      </c>
      <c r="G258" s="1" t="s">
        <v>3115</v>
      </c>
      <c r="H258" s="1" t="s">
        <v>608</v>
      </c>
      <c r="I258" s="1" t="s">
        <v>403</v>
      </c>
      <c r="J258" s="1" t="s">
        <v>2728</v>
      </c>
      <c r="K258" s="1" t="s">
        <v>3126</v>
      </c>
      <c r="L258" s="1" t="s">
        <v>3130</v>
      </c>
      <c r="M258" s="1">
        <v>2000</v>
      </c>
      <c r="N258" s="1">
        <v>1</v>
      </c>
      <c r="O258" s="1" t="str">
        <f t="shared" si="17"/>
        <v>"DirtBikeHelmet_Red": 1,</v>
      </c>
      <c r="P258" s="1" t="str">
        <f t="shared" si="18"/>
        <v>"DirtBikeHelmet_Red": 0,</v>
      </c>
      <c r="Q258" s="1" t="str">
        <f t="shared" si="19"/>
        <v>"DirtBikeHelmet_Red": 2000,</v>
      </c>
      <c r="R258" s="1" t="str">
        <f t="shared" si="20"/>
        <v>"DirtBikeHelmet_Red": 0,</v>
      </c>
    </row>
    <row r="259" spans="1:18" ht="15" customHeight="1" x14ac:dyDescent="0.25">
      <c r="A259" s="1" t="str">
        <f t="shared" si="21"/>
        <v>#tc_clothes#tc_civil#tc_head</v>
      </c>
      <c r="B259" s="1">
        <f>VLOOKUP(A259,TraderCategory!$A$63:$E$556,2,FALSE)</f>
        <v>0</v>
      </c>
      <c r="C259" s="1">
        <f>VLOOKUP(A259,TraderCategory!$A$63:$F$556,6,FALSE)</f>
        <v>0</v>
      </c>
      <c r="D259" s="1" t="str">
        <f>VLOOKUP(C259,Tabulka5[],3,FALSE)</f>
        <v>Private</v>
      </c>
      <c r="E259" s="1">
        <v>0</v>
      </c>
      <c r="F259" s="1" t="str">
        <f>VLOOKUP(E259,Tabulka5[],3,FALSE)</f>
        <v>Private</v>
      </c>
      <c r="G259" s="1" t="s">
        <v>3115</v>
      </c>
      <c r="H259" s="1" t="s">
        <v>609</v>
      </c>
      <c r="I259" s="1" t="s">
        <v>403</v>
      </c>
      <c r="J259" s="1" t="s">
        <v>2728</v>
      </c>
      <c r="K259" s="1" t="s">
        <v>3126</v>
      </c>
      <c r="L259" s="1" t="s">
        <v>3130</v>
      </c>
      <c r="M259" s="1">
        <v>400</v>
      </c>
      <c r="N259" s="1">
        <v>1</v>
      </c>
      <c r="O259" s="1" t="str">
        <f t="shared" ref="O259:O322" si="22">"""" &amp;H259 &amp; """: " &amp; N259 &amp; ","</f>
        <v>"DirtBikeHelmet_Visor": 1,</v>
      </c>
      <c r="P259" s="1" t="str">
        <f t="shared" ref="P259:P322" si="23">"""" &amp;H259 &amp; """: " &amp; B259 &amp; ","</f>
        <v>"DirtBikeHelmet_Visor": 0,</v>
      </c>
      <c r="Q259" s="1" t="str">
        <f t="shared" ref="Q259:Q322" si="24">"""" &amp;H259 &amp; """: " &amp; M259 &amp; ","</f>
        <v>"DirtBikeHelmet_Visor": 400,</v>
      </c>
      <c r="R259" s="1" t="str">
        <f t="shared" ref="R259:R322" si="25">"""" &amp;H259 &amp; """: " &amp; E259 &amp; ","</f>
        <v>"DirtBikeHelmet_Visor": 0,</v>
      </c>
    </row>
    <row r="260" spans="1:18" ht="15" customHeight="1" x14ac:dyDescent="0.25">
      <c r="A260" s="1" t="str">
        <f t="shared" si="21"/>
        <v>#tc_groceries#tc_tools#tc_camping</v>
      </c>
      <c r="B260" s="1">
        <f>VLOOKUP(A260,TraderCategory!$A$63:$E$556,2,FALSE)</f>
        <v>33</v>
      </c>
      <c r="C260" s="1">
        <f>VLOOKUP(A260,TraderCategory!$A$63:$F$556,6,FALSE)</f>
        <v>3</v>
      </c>
      <c r="D260" s="1" t="str">
        <f>VLOOKUP(C260,Tabulka5[],3,FALSE)</f>
        <v>Sergeant</v>
      </c>
      <c r="E260" s="1">
        <v>3</v>
      </c>
      <c r="F260" s="1" t="str">
        <f>VLOOKUP(E260,Tabulka5[],3,FALSE)</f>
        <v>Sergeant</v>
      </c>
      <c r="G260" s="1" t="s">
        <v>3115</v>
      </c>
      <c r="H260" s="1" t="s">
        <v>610</v>
      </c>
      <c r="I260" s="1" t="s">
        <v>426</v>
      </c>
      <c r="J260" s="1" t="s">
        <v>3127</v>
      </c>
      <c r="K260" s="1" t="s">
        <v>2740</v>
      </c>
      <c r="L260" s="1" t="s">
        <v>3150</v>
      </c>
      <c r="M260" s="1">
        <v>200</v>
      </c>
      <c r="N260" s="1">
        <v>1</v>
      </c>
      <c r="O260" s="1" t="str">
        <f t="shared" si="22"/>
        <v>"DisinfectantAlcohol": 1,</v>
      </c>
      <c r="P260" s="1" t="str">
        <f t="shared" si="23"/>
        <v>"DisinfectantAlcohol": 33,</v>
      </c>
      <c r="Q260" s="1" t="str">
        <f t="shared" si="24"/>
        <v>"DisinfectantAlcohol": 200,</v>
      </c>
      <c r="R260" s="1" t="str">
        <f t="shared" si="25"/>
        <v>"DisinfectantAlcohol": 3,</v>
      </c>
    </row>
    <row r="261" spans="1:18" ht="15" customHeight="1" x14ac:dyDescent="0.25">
      <c r="A261" s="1" t="str">
        <f t="shared" si="21"/>
        <v>#tc_groceries#tc_tools#tc_camping</v>
      </c>
      <c r="B261" s="1">
        <f>VLOOKUP(A261,TraderCategory!$A$63:$E$556,2,FALSE)</f>
        <v>33</v>
      </c>
      <c r="C261" s="1">
        <f>VLOOKUP(A261,TraderCategory!$A$63:$F$556,6,FALSE)</f>
        <v>3</v>
      </c>
      <c r="D261" s="1" t="str">
        <f>VLOOKUP(C261,Tabulka5[],3,FALSE)</f>
        <v>Sergeant</v>
      </c>
      <c r="E261" s="1">
        <v>3</v>
      </c>
      <c r="F261" s="1" t="str">
        <f>VLOOKUP(E261,Tabulka5[],3,FALSE)</f>
        <v>Sergeant</v>
      </c>
      <c r="G261" s="1" t="s">
        <v>3115</v>
      </c>
      <c r="H261" s="1" t="s">
        <v>611</v>
      </c>
      <c r="I261" s="1" t="s">
        <v>426</v>
      </c>
      <c r="J261" s="1" t="s">
        <v>3127</v>
      </c>
      <c r="K261" s="1" t="s">
        <v>2740</v>
      </c>
      <c r="L261" s="1" t="s">
        <v>3150</v>
      </c>
      <c r="M261" s="1">
        <v>200</v>
      </c>
      <c r="N261" s="1">
        <v>1</v>
      </c>
      <c r="O261" s="1" t="str">
        <f t="shared" si="22"/>
        <v>"DisinfectantSpray": 1,</v>
      </c>
      <c r="P261" s="1" t="str">
        <f t="shared" si="23"/>
        <v>"DisinfectantSpray": 33,</v>
      </c>
      <c r="Q261" s="1" t="str">
        <f t="shared" si="24"/>
        <v>"DisinfectantSpray": 200,</v>
      </c>
      <c r="R261" s="1" t="str">
        <f t="shared" si="25"/>
        <v>"DisinfectantSpray": 3,</v>
      </c>
    </row>
    <row r="262" spans="1:18" ht="15" customHeight="1" x14ac:dyDescent="0.25">
      <c r="A262" s="1" t="str">
        <f t="shared" si="21"/>
        <v>#tc_clothes#tc_civil#tc_boots</v>
      </c>
      <c r="B262" s="1">
        <f>VLOOKUP(A262,TraderCategory!$A$63:$E$556,2,FALSE)</f>
        <v>5</v>
      </c>
      <c r="C262" s="1">
        <f>VLOOKUP(A262,TraderCategory!$A$63:$F$556,6,FALSE)</f>
        <v>0</v>
      </c>
      <c r="D262" s="1" t="str">
        <f>VLOOKUP(C262,Tabulka5[],3,FALSE)</f>
        <v>Private</v>
      </c>
      <c r="E262" s="1">
        <v>0</v>
      </c>
      <c r="F262" s="1" t="str">
        <f>VLOOKUP(E262,Tabulka5[],3,FALSE)</f>
        <v>Private</v>
      </c>
      <c r="G262" s="1" t="s">
        <v>3115</v>
      </c>
      <c r="H262" s="1" t="s">
        <v>612</v>
      </c>
      <c r="I262" s="1" t="s">
        <v>403</v>
      </c>
      <c r="J262" s="1" t="s">
        <v>2728</v>
      </c>
      <c r="K262" s="1" t="s">
        <v>3126</v>
      </c>
      <c r="L262" s="1" t="s">
        <v>3134</v>
      </c>
      <c r="M262" s="1">
        <v>1200</v>
      </c>
      <c r="N262" s="1">
        <v>1</v>
      </c>
      <c r="O262" s="1" t="str">
        <f t="shared" si="22"/>
        <v>"DressShoes_Beige": 1,</v>
      </c>
      <c r="P262" s="1" t="str">
        <f t="shared" si="23"/>
        <v>"DressShoes_Beige": 5,</v>
      </c>
      <c r="Q262" s="1" t="str">
        <f t="shared" si="24"/>
        <v>"DressShoes_Beige": 1200,</v>
      </c>
      <c r="R262" s="1" t="str">
        <f t="shared" si="25"/>
        <v>"DressShoes_Beige": 0,</v>
      </c>
    </row>
    <row r="263" spans="1:18" ht="15" customHeight="1" x14ac:dyDescent="0.25">
      <c r="A263" s="1" t="str">
        <f t="shared" si="21"/>
        <v>#tc_clothes#tc_civil#tc_boots</v>
      </c>
      <c r="B263" s="1">
        <f>VLOOKUP(A263,TraderCategory!$A$63:$E$556,2,FALSE)</f>
        <v>5</v>
      </c>
      <c r="C263" s="1">
        <f>VLOOKUP(A263,TraderCategory!$A$63:$F$556,6,FALSE)</f>
        <v>0</v>
      </c>
      <c r="D263" s="1" t="str">
        <f>VLOOKUP(C263,Tabulka5[],3,FALSE)</f>
        <v>Private</v>
      </c>
      <c r="E263" s="1">
        <v>0</v>
      </c>
      <c r="F263" s="1" t="str">
        <f>VLOOKUP(E263,Tabulka5[],3,FALSE)</f>
        <v>Private</v>
      </c>
      <c r="G263" s="1" t="s">
        <v>3115</v>
      </c>
      <c r="H263" s="1" t="s">
        <v>613</v>
      </c>
      <c r="I263" s="1" t="s">
        <v>403</v>
      </c>
      <c r="J263" s="1" t="s">
        <v>2728</v>
      </c>
      <c r="K263" s="1" t="s">
        <v>3126</v>
      </c>
      <c r="L263" s="1" t="s">
        <v>3134</v>
      </c>
      <c r="M263" s="1">
        <v>1200</v>
      </c>
      <c r="N263" s="1">
        <v>1</v>
      </c>
      <c r="O263" s="1" t="str">
        <f t="shared" si="22"/>
        <v>"DressShoes_Black": 1,</v>
      </c>
      <c r="P263" s="1" t="str">
        <f t="shared" si="23"/>
        <v>"DressShoes_Black": 5,</v>
      </c>
      <c r="Q263" s="1" t="str">
        <f t="shared" si="24"/>
        <v>"DressShoes_Black": 1200,</v>
      </c>
      <c r="R263" s="1" t="str">
        <f t="shared" si="25"/>
        <v>"DressShoes_Black": 0,</v>
      </c>
    </row>
    <row r="264" spans="1:18" ht="15" customHeight="1" x14ac:dyDescent="0.25">
      <c r="A264" s="1" t="str">
        <f t="shared" si="21"/>
        <v>#tc_clothes#tc_civil#tc_boots</v>
      </c>
      <c r="B264" s="1">
        <f>VLOOKUP(A264,TraderCategory!$A$63:$E$556,2,FALSE)</f>
        <v>5</v>
      </c>
      <c r="C264" s="1">
        <f>VLOOKUP(A264,TraderCategory!$A$63:$F$556,6,FALSE)</f>
        <v>0</v>
      </c>
      <c r="D264" s="1" t="str">
        <f>VLOOKUP(C264,Tabulka5[],3,FALSE)</f>
        <v>Private</v>
      </c>
      <c r="E264" s="1">
        <v>0</v>
      </c>
      <c r="F264" s="1" t="str">
        <f>VLOOKUP(E264,Tabulka5[],3,FALSE)</f>
        <v>Private</v>
      </c>
      <c r="G264" s="1" t="s">
        <v>3115</v>
      </c>
      <c r="H264" s="1" t="s">
        <v>614</v>
      </c>
      <c r="I264" s="1" t="s">
        <v>403</v>
      </c>
      <c r="J264" s="1" t="s">
        <v>2728</v>
      </c>
      <c r="K264" s="1" t="s">
        <v>3126</v>
      </c>
      <c r="L264" s="1" t="s">
        <v>3134</v>
      </c>
      <c r="M264" s="1">
        <v>1200</v>
      </c>
      <c r="N264" s="1">
        <v>1</v>
      </c>
      <c r="O264" s="1" t="str">
        <f t="shared" si="22"/>
        <v>"DressShoes_Brown": 1,</v>
      </c>
      <c r="P264" s="1" t="str">
        <f t="shared" si="23"/>
        <v>"DressShoes_Brown": 5,</v>
      </c>
      <c r="Q264" s="1" t="str">
        <f t="shared" si="24"/>
        <v>"DressShoes_Brown": 1200,</v>
      </c>
      <c r="R264" s="1" t="str">
        <f t="shared" si="25"/>
        <v>"DressShoes_Brown": 0,</v>
      </c>
    </row>
    <row r="265" spans="1:18" ht="15" customHeight="1" x14ac:dyDescent="0.25">
      <c r="A265" s="1" t="str">
        <f t="shared" si="21"/>
        <v>#tc_clothes#tc_civil#tc_boots</v>
      </c>
      <c r="B265" s="1">
        <f>VLOOKUP(A265,TraderCategory!$A$63:$E$556,2,FALSE)</f>
        <v>5</v>
      </c>
      <c r="C265" s="1">
        <f>VLOOKUP(A265,TraderCategory!$A$63:$F$556,6,FALSE)</f>
        <v>0</v>
      </c>
      <c r="D265" s="1" t="str">
        <f>VLOOKUP(C265,Tabulka5[],3,FALSE)</f>
        <v>Private</v>
      </c>
      <c r="E265" s="1">
        <v>0</v>
      </c>
      <c r="F265" s="1" t="str">
        <f>VLOOKUP(E265,Tabulka5[],3,FALSE)</f>
        <v>Private</v>
      </c>
      <c r="G265" s="1" t="s">
        <v>3115</v>
      </c>
      <c r="H265" s="1" t="s">
        <v>615</v>
      </c>
      <c r="I265" s="1" t="s">
        <v>403</v>
      </c>
      <c r="J265" s="1" t="s">
        <v>2728</v>
      </c>
      <c r="K265" s="1" t="s">
        <v>3126</v>
      </c>
      <c r="L265" s="1" t="s">
        <v>3134</v>
      </c>
      <c r="M265" s="1">
        <v>1200</v>
      </c>
      <c r="N265" s="1">
        <v>1</v>
      </c>
      <c r="O265" s="1" t="str">
        <f t="shared" si="22"/>
        <v>"DressShoes_Sunburst": 1,</v>
      </c>
      <c r="P265" s="1" t="str">
        <f t="shared" si="23"/>
        <v>"DressShoes_Sunburst": 5,</v>
      </c>
      <c r="Q265" s="1" t="str">
        <f t="shared" si="24"/>
        <v>"DressShoes_Sunburst": 1200,</v>
      </c>
      <c r="R265" s="1" t="str">
        <f t="shared" si="25"/>
        <v>"DressShoes_Sunburst": 0,</v>
      </c>
    </row>
    <row r="266" spans="1:18" ht="15" customHeight="1" x14ac:dyDescent="0.25">
      <c r="A266" s="1" t="str">
        <f t="shared" si="21"/>
        <v>#tc_clothes#tc_civil#tc_boots</v>
      </c>
      <c r="B266" s="1">
        <f>VLOOKUP(A266,TraderCategory!$A$63:$E$556,2,FALSE)</f>
        <v>5</v>
      </c>
      <c r="C266" s="1">
        <f>VLOOKUP(A266,TraderCategory!$A$63:$F$556,6,FALSE)</f>
        <v>0</v>
      </c>
      <c r="D266" s="1" t="str">
        <f>VLOOKUP(C266,Tabulka5[],3,FALSE)</f>
        <v>Private</v>
      </c>
      <c r="E266" s="1">
        <v>0</v>
      </c>
      <c r="F266" s="1" t="str">
        <f>VLOOKUP(E266,Tabulka5[],3,FALSE)</f>
        <v>Private</v>
      </c>
      <c r="G266" s="1" t="s">
        <v>3115</v>
      </c>
      <c r="H266" s="1" t="s">
        <v>616</v>
      </c>
      <c r="I266" s="1" t="s">
        <v>403</v>
      </c>
      <c r="J266" s="1" t="s">
        <v>2728</v>
      </c>
      <c r="K266" s="1" t="s">
        <v>3126</v>
      </c>
      <c r="L266" s="1" t="s">
        <v>3134</v>
      </c>
      <c r="M266" s="1">
        <v>1200</v>
      </c>
      <c r="N266" s="1">
        <v>1</v>
      </c>
      <c r="O266" s="1" t="str">
        <f t="shared" si="22"/>
        <v>"DressShoes_White": 1,</v>
      </c>
      <c r="P266" s="1" t="str">
        <f t="shared" si="23"/>
        <v>"DressShoes_White": 5,</v>
      </c>
      <c r="Q266" s="1" t="str">
        <f t="shared" si="24"/>
        <v>"DressShoes_White": 1200,</v>
      </c>
      <c r="R266" s="1" t="str">
        <f t="shared" si="25"/>
        <v>"DressShoes_White": 0,</v>
      </c>
    </row>
    <row r="267" spans="1:18" ht="15" customHeight="1" x14ac:dyDescent="0.25">
      <c r="A267" s="1" t="str">
        <f t="shared" si="21"/>
        <v>#tc_clothes#tc_civil#tc_bags</v>
      </c>
      <c r="B267" s="1">
        <f>VLOOKUP(A267,TraderCategory!$A$63:$E$556,2,FALSE)</f>
        <v>7</v>
      </c>
      <c r="C267" s="1">
        <f>VLOOKUP(A267,TraderCategory!$A$63:$F$556,6,FALSE)</f>
        <v>0</v>
      </c>
      <c r="D267" s="1" t="str">
        <f>VLOOKUP(C267,Tabulka5[],3,FALSE)</f>
        <v>Private</v>
      </c>
      <c r="E267" s="1">
        <v>0</v>
      </c>
      <c r="F267" s="1" t="str">
        <f>VLOOKUP(E267,Tabulka5[],3,FALSE)</f>
        <v>Private</v>
      </c>
      <c r="G267" s="1" t="s">
        <v>3115</v>
      </c>
      <c r="H267" s="1" t="s">
        <v>617</v>
      </c>
      <c r="I267" s="1" t="s">
        <v>363</v>
      </c>
      <c r="J267" s="1" t="s">
        <v>2728</v>
      </c>
      <c r="K267" s="1" t="s">
        <v>3126</v>
      </c>
      <c r="L267" s="1" t="s">
        <v>3138</v>
      </c>
      <c r="M267" s="1">
        <v>6000</v>
      </c>
      <c r="N267" s="1">
        <v>1</v>
      </c>
      <c r="O267" s="1" t="str">
        <f t="shared" si="22"/>
        <v>"DryBag_Black": 1,</v>
      </c>
      <c r="P267" s="1" t="str">
        <f t="shared" si="23"/>
        <v>"DryBag_Black": 7,</v>
      </c>
      <c r="Q267" s="1" t="str">
        <f t="shared" si="24"/>
        <v>"DryBag_Black": 6000,</v>
      </c>
      <c r="R267" s="1" t="str">
        <f t="shared" si="25"/>
        <v>"DryBag_Black": 0,</v>
      </c>
    </row>
    <row r="268" spans="1:18" ht="15" customHeight="1" x14ac:dyDescent="0.25">
      <c r="A268" s="1" t="str">
        <f t="shared" si="21"/>
        <v>#tc_clothes#tc_civil#tc_bags</v>
      </c>
      <c r="B268" s="1">
        <f>VLOOKUP(A268,TraderCategory!$A$63:$E$556,2,FALSE)</f>
        <v>7</v>
      </c>
      <c r="C268" s="1">
        <f>VLOOKUP(A268,TraderCategory!$A$63:$F$556,6,FALSE)</f>
        <v>0</v>
      </c>
      <c r="D268" s="1" t="str">
        <f>VLOOKUP(C268,Tabulka5[],3,FALSE)</f>
        <v>Private</v>
      </c>
      <c r="E268" s="1">
        <v>0</v>
      </c>
      <c r="F268" s="1" t="str">
        <f>VLOOKUP(E268,Tabulka5[],3,FALSE)</f>
        <v>Private</v>
      </c>
      <c r="G268" s="1" t="s">
        <v>3115</v>
      </c>
      <c r="H268" s="1" t="s">
        <v>618</v>
      </c>
      <c r="I268" s="1" t="s">
        <v>363</v>
      </c>
      <c r="J268" s="1" t="s">
        <v>2728</v>
      </c>
      <c r="K268" s="1" t="s">
        <v>3126</v>
      </c>
      <c r="L268" s="1" t="s">
        <v>3138</v>
      </c>
      <c r="M268" s="1">
        <v>6000</v>
      </c>
      <c r="N268" s="1">
        <v>1</v>
      </c>
      <c r="O268" s="1" t="str">
        <f t="shared" si="22"/>
        <v>"DryBag_Blue": 1,</v>
      </c>
      <c r="P268" s="1" t="str">
        <f t="shared" si="23"/>
        <v>"DryBag_Blue": 7,</v>
      </c>
      <c r="Q268" s="1" t="str">
        <f t="shared" si="24"/>
        <v>"DryBag_Blue": 6000,</v>
      </c>
      <c r="R268" s="1" t="str">
        <f t="shared" si="25"/>
        <v>"DryBag_Blue": 0,</v>
      </c>
    </row>
    <row r="269" spans="1:18" ht="15" customHeight="1" x14ac:dyDescent="0.25">
      <c r="A269" s="1" t="str">
        <f t="shared" si="21"/>
        <v>#tc_clothes#tc_civil#tc_bags</v>
      </c>
      <c r="B269" s="1">
        <f>VLOOKUP(A269,TraderCategory!$A$63:$E$556,2,FALSE)</f>
        <v>7</v>
      </c>
      <c r="C269" s="1">
        <f>VLOOKUP(A269,TraderCategory!$A$63:$F$556,6,FALSE)</f>
        <v>0</v>
      </c>
      <c r="D269" s="1" t="str">
        <f>VLOOKUP(C269,Tabulka5[],3,FALSE)</f>
        <v>Private</v>
      </c>
      <c r="E269" s="1">
        <v>0</v>
      </c>
      <c r="F269" s="1" t="str">
        <f>VLOOKUP(E269,Tabulka5[],3,FALSE)</f>
        <v>Private</v>
      </c>
      <c r="G269" s="1" t="s">
        <v>3115</v>
      </c>
      <c r="H269" s="1" t="s">
        <v>619</v>
      </c>
      <c r="I269" s="1" t="s">
        <v>363</v>
      </c>
      <c r="J269" s="1" t="s">
        <v>2728</v>
      </c>
      <c r="K269" s="1" t="s">
        <v>3126</v>
      </c>
      <c r="L269" s="1" t="s">
        <v>3138</v>
      </c>
      <c r="M269" s="1">
        <v>6000</v>
      </c>
      <c r="N269" s="1">
        <v>1</v>
      </c>
      <c r="O269" s="1" t="str">
        <f t="shared" si="22"/>
        <v>"DryBag_Green": 1,</v>
      </c>
      <c r="P269" s="1" t="str">
        <f t="shared" si="23"/>
        <v>"DryBag_Green": 7,</v>
      </c>
      <c r="Q269" s="1" t="str">
        <f t="shared" si="24"/>
        <v>"DryBag_Green": 6000,</v>
      </c>
      <c r="R269" s="1" t="str">
        <f t="shared" si="25"/>
        <v>"DryBag_Green": 0,</v>
      </c>
    </row>
    <row r="270" spans="1:18" ht="15" customHeight="1" x14ac:dyDescent="0.25">
      <c r="A270" s="1" t="str">
        <f t="shared" si="21"/>
        <v>#tc_clothes#tc_civil#tc_bags</v>
      </c>
      <c r="B270" s="1">
        <f>VLOOKUP(A270,TraderCategory!$A$63:$E$556,2,FALSE)</f>
        <v>7</v>
      </c>
      <c r="C270" s="1">
        <f>VLOOKUP(A270,TraderCategory!$A$63:$F$556,6,FALSE)</f>
        <v>0</v>
      </c>
      <c r="D270" s="1" t="str">
        <f>VLOOKUP(C270,Tabulka5[],3,FALSE)</f>
        <v>Private</v>
      </c>
      <c r="E270" s="1">
        <v>0</v>
      </c>
      <c r="F270" s="1" t="str">
        <f>VLOOKUP(E270,Tabulka5[],3,FALSE)</f>
        <v>Private</v>
      </c>
      <c r="G270" s="1" t="s">
        <v>3115</v>
      </c>
      <c r="H270" s="1" t="s">
        <v>620</v>
      </c>
      <c r="I270" s="1" t="s">
        <v>363</v>
      </c>
      <c r="J270" s="1" t="s">
        <v>2728</v>
      </c>
      <c r="K270" s="1" t="s">
        <v>3126</v>
      </c>
      <c r="L270" s="1" t="s">
        <v>3138</v>
      </c>
      <c r="M270" s="1">
        <v>6000</v>
      </c>
      <c r="N270" s="1">
        <v>1</v>
      </c>
      <c r="O270" s="1" t="str">
        <f t="shared" si="22"/>
        <v>"DryBag_Orange": 1,</v>
      </c>
      <c r="P270" s="1" t="str">
        <f t="shared" si="23"/>
        <v>"DryBag_Orange": 7,</v>
      </c>
      <c r="Q270" s="1" t="str">
        <f t="shared" si="24"/>
        <v>"DryBag_Orange": 6000,</v>
      </c>
      <c r="R270" s="1" t="str">
        <f t="shared" si="25"/>
        <v>"DryBag_Orange": 0,</v>
      </c>
    </row>
    <row r="271" spans="1:18" ht="15" customHeight="1" x14ac:dyDescent="0.25">
      <c r="A271" s="1" t="str">
        <f t="shared" si="21"/>
        <v>#tc_clothes#tc_civil#tc_bags</v>
      </c>
      <c r="B271" s="1">
        <f>VLOOKUP(A271,TraderCategory!$A$63:$E$556,2,FALSE)</f>
        <v>7</v>
      </c>
      <c r="C271" s="1">
        <f>VLOOKUP(A271,TraderCategory!$A$63:$F$556,6,FALSE)</f>
        <v>0</v>
      </c>
      <c r="D271" s="1" t="str">
        <f>VLOOKUP(C271,Tabulka5[],3,FALSE)</f>
        <v>Private</v>
      </c>
      <c r="E271" s="1">
        <v>0</v>
      </c>
      <c r="F271" s="1" t="str">
        <f>VLOOKUP(E271,Tabulka5[],3,FALSE)</f>
        <v>Private</v>
      </c>
      <c r="G271" s="1" t="s">
        <v>3115</v>
      </c>
      <c r="H271" s="1" t="s">
        <v>621</v>
      </c>
      <c r="I271" s="1" t="s">
        <v>363</v>
      </c>
      <c r="J271" s="1" t="s">
        <v>2728</v>
      </c>
      <c r="K271" s="1" t="s">
        <v>3126</v>
      </c>
      <c r="L271" s="1" t="s">
        <v>3138</v>
      </c>
      <c r="M271" s="1">
        <v>6000</v>
      </c>
      <c r="N271" s="1">
        <v>1</v>
      </c>
      <c r="O271" s="1" t="str">
        <f t="shared" si="22"/>
        <v>"DryBag_Red": 1,</v>
      </c>
      <c r="P271" s="1" t="str">
        <f t="shared" si="23"/>
        <v>"DryBag_Red": 7,</v>
      </c>
      <c r="Q271" s="1" t="str">
        <f t="shared" si="24"/>
        <v>"DryBag_Red": 6000,</v>
      </c>
      <c r="R271" s="1" t="str">
        <f t="shared" si="25"/>
        <v>"DryBag_Red": 0,</v>
      </c>
    </row>
    <row r="272" spans="1:18" ht="15" customHeight="1" x14ac:dyDescent="0.25">
      <c r="A272" s="1" t="str">
        <f t="shared" si="21"/>
        <v>#tc_clothes#tc_civil#tc_bags</v>
      </c>
      <c r="B272" s="1">
        <f>VLOOKUP(A272,TraderCategory!$A$63:$E$556,2,FALSE)</f>
        <v>7</v>
      </c>
      <c r="C272" s="1">
        <f>VLOOKUP(A272,TraderCategory!$A$63:$F$556,6,FALSE)</f>
        <v>0</v>
      </c>
      <c r="D272" s="1" t="str">
        <f>VLOOKUP(C272,Tabulka5[],3,FALSE)</f>
        <v>Private</v>
      </c>
      <c r="E272" s="1">
        <v>0</v>
      </c>
      <c r="F272" s="1" t="str">
        <f>VLOOKUP(E272,Tabulka5[],3,FALSE)</f>
        <v>Private</v>
      </c>
      <c r="G272" s="1" t="s">
        <v>3115</v>
      </c>
      <c r="H272" s="1" t="s">
        <v>622</v>
      </c>
      <c r="I272" s="1" t="s">
        <v>363</v>
      </c>
      <c r="J272" s="1" t="s">
        <v>2728</v>
      </c>
      <c r="K272" s="1" t="s">
        <v>3126</v>
      </c>
      <c r="L272" s="1" t="s">
        <v>3138</v>
      </c>
      <c r="M272" s="1">
        <v>6000</v>
      </c>
      <c r="N272" s="1">
        <v>1</v>
      </c>
      <c r="O272" s="1" t="str">
        <f t="shared" si="22"/>
        <v>"DryBag_Yellow": 1,</v>
      </c>
      <c r="P272" s="1" t="str">
        <f t="shared" si="23"/>
        <v>"DryBag_Yellow": 7,</v>
      </c>
      <c r="Q272" s="1" t="str">
        <f t="shared" si="24"/>
        <v>"DryBag_Yellow": 6000,</v>
      </c>
      <c r="R272" s="1" t="str">
        <f t="shared" si="25"/>
        <v>"DryBag_Yellow": 0,</v>
      </c>
    </row>
    <row r="273" spans="1:18" ht="15" customHeight="1" x14ac:dyDescent="0.25">
      <c r="A273" s="1" t="str">
        <f t="shared" si="21"/>
        <v>#tc_groceries#tc_tools#tc_repairs</v>
      </c>
      <c r="B273" s="1">
        <f>VLOOKUP(A273,TraderCategory!$A$63:$E$556,2,FALSE)</f>
        <v>31</v>
      </c>
      <c r="C273" s="1">
        <f>VLOOKUP(A273,TraderCategory!$A$63:$F$556,6,FALSE)</f>
        <v>3</v>
      </c>
      <c r="D273" s="1" t="str">
        <f>VLOOKUP(C273,Tabulka5[],3,FALSE)</f>
        <v>Sergeant</v>
      </c>
      <c r="E273" s="1">
        <v>3</v>
      </c>
      <c r="F273" s="1" t="str">
        <f>VLOOKUP(E273,Tabulka5[],3,FALSE)</f>
        <v>Sergeant</v>
      </c>
      <c r="G273" s="1" t="s">
        <v>3115</v>
      </c>
      <c r="H273" s="1" t="s">
        <v>623</v>
      </c>
      <c r="I273" s="1" t="s">
        <v>426</v>
      </c>
      <c r="J273" s="1" t="s">
        <v>3127</v>
      </c>
      <c r="K273" s="1" t="s">
        <v>2740</v>
      </c>
      <c r="L273" s="1" t="s">
        <v>3146</v>
      </c>
      <c r="M273" s="1">
        <v>500</v>
      </c>
      <c r="N273" s="1">
        <v>1</v>
      </c>
      <c r="O273" s="1" t="str">
        <f t="shared" si="22"/>
        <v>"DuctTape": 1,</v>
      </c>
      <c r="P273" s="1" t="str">
        <f t="shared" si="23"/>
        <v>"DuctTape": 31,</v>
      </c>
      <c r="Q273" s="1" t="str">
        <f t="shared" si="24"/>
        <v>"DuctTape": 500,</v>
      </c>
      <c r="R273" s="1" t="str">
        <f t="shared" si="25"/>
        <v>"DuctTape": 3,</v>
      </c>
    </row>
    <row r="274" spans="1:18" ht="15" customHeight="1" x14ac:dyDescent="0.25">
      <c r="A274" s="1" t="str">
        <f t="shared" si="21"/>
        <v>#tc_groceries#tc_tools#tc_repairs</v>
      </c>
      <c r="B274" s="1">
        <f>VLOOKUP(A274,TraderCategory!$A$63:$E$556,2,FALSE)</f>
        <v>31</v>
      </c>
      <c r="C274" s="1">
        <f>VLOOKUP(A274,TraderCategory!$A$63:$F$556,6,FALSE)</f>
        <v>3</v>
      </c>
      <c r="D274" s="1" t="str">
        <f>VLOOKUP(C274,Tabulka5[],3,FALSE)</f>
        <v>Sergeant</v>
      </c>
      <c r="E274" s="1">
        <v>3</v>
      </c>
      <c r="F274" s="1" t="str">
        <f>VLOOKUP(E274,Tabulka5[],3,FALSE)</f>
        <v>Sergeant</v>
      </c>
      <c r="G274" s="1" t="s">
        <v>3115</v>
      </c>
      <c r="H274" s="1" t="s">
        <v>624</v>
      </c>
      <c r="I274" s="1" t="s">
        <v>426</v>
      </c>
      <c r="J274" s="1" t="s">
        <v>3127</v>
      </c>
      <c r="K274" s="1" t="s">
        <v>2740</v>
      </c>
      <c r="L274" s="1" t="s">
        <v>3146</v>
      </c>
      <c r="M274" s="1">
        <v>1000</v>
      </c>
      <c r="N274" s="1">
        <v>1</v>
      </c>
      <c r="O274" s="1" t="str">
        <f t="shared" si="22"/>
        <v>"ElectronicRepairKit": 1,</v>
      </c>
      <c r="P274" s="1" t="str">
        <f t="shared" si="23"/>
        <v>"ElectronicRepairKit": 31,</v>
      </c>
      <c r="Q274" s="1" t="str">
        <f t="shared" si="24"/>
        <v>"ElectronicRepairKit": 1000,</v>
      </c>
      <c r="R274" s="1" t="str">
        <f t="shared" si="25"/>
        <v>"ElectronicRepairKit": 3,</v>
      </c>
    </row>
    <row r="275" spans="1:18" x14ac:dyDescent="0.25">
      <c r="A275" s="1" t="str">
        <f t="shared" si="21"/>
        <v>#tc_military#tc_weapons#tc_assaultrifles</v>
      </c>
      <c r="B275" s="1">
        <f>VLOOKUP(A275,TraderCategory!$A$63:$E$556,2,FALSE)</f>
        <v>65</v>
      </c>
      <c r="C275" s="1">
        <f>VLOOKUP(A275,TraderCategory!$A$63:$F$556,6,FALSE)</f>
        <v>10</v>
      </c>
      <c r="D275" s="1" t="str">
        <f>VLOOKUP(C275,Tabulka5[],3,FALSE)</f>
        <v>Second Lieutenant</v>
      </c>
      <c r="E275" s="1">
        <v>12</v>
      </c>
      <c r="F275" s="1" t="str">
        <f>VLOOKUP(E275,Tabulka5[],3,FALSE)</f>
        <v>Captain</v>
      </c>
      <c r="G275" s="1" t="s">
        <v>3116</v>
      </c>
      <c r="H275" s="1" t="s">
        <v>1394</v>
      </c>
      <c r="I275" s="1" t="s">
        <v>8</v>
      </c>
      <c r="J275" s="1" t="s">
        <v>2729</v>
      </c>
      <c r="K275" s="1" t="s">
        <v>3129</v>
      </c>
      <c r="L275" s="1" t="s">
        <v>3158</v>
      </c>
      <c r="M275" s="1">
        <v>40000</v>
      </c>
      <c r="N275" s="1">
        <v>1</v>
      </c>
      <c r="O275" s="1" t="str">
        <f t="shared" si="22"/>
        <v>"WE_HoneyBadger": 1,</v>
      </c>
      <c r="P275" s="1" t="str">
        <f t="shared" si="23"/>
        <v>"WE_HoneyBadger": 65,</v>
      </c>
      <c r="Q275" s="1" t="str">
        <f t="shared" si="24"/>
        <v>"WE_HoneyBadger": 40000,</v>
      </c>
      <c r="R275" s="1" t="str">
        <f t="shared" si="25"/>
        <v>"WE_HoneyBadger": 12,</v>
      </c>
    </row>
    <row r="276" spans="1:18" ht="15" customHeight="1" x14ac:dyDescent="0.25">
      <c r="A276" s="1" t="str">
        <f t="shared" si="21"/>
        <v>#tc_groceries#tc_medic#tc_medicaments</v>
      </c>
      <c r="B276" s="1">
        <f>VLOOKUP(A276,TraderCategory!$A$63:$E$556,2,FALSE)</f>
        <v>24</v>
      </c>
      <c r="C276" s="1">
        <f>VLOOKUP(A276,TraderCategory!$A$63:$F$556,6,FALSE)</f>
        <v>6</v>
      </c>
      <c r="D276" s="1" t="str">
        <f>VLOOKUP(C276,Tabulka5[],3,FALSE)</f>
        <v>Master Sergeant</v>
      </c>
      <c r="E276" s="1">
        <v>6</v>
      </c>
      <c r="F276" s="1" t="str">
        <f>VLOOKUP(E276,Tabulka5[],3,FALSE)</f>
        <v>Master Sergeant</v>
      </c>
      <c r="G276" s="1" t="s">
        <v>3115</v>
      </c>
      <c r="H276" s="1" t="s">
        <v>626</v>
      </c>
      <c r="I276" s="1" t="s">
        <v>426</v>
      </c>
      <c r="J276" s="1" t="s">
        <v>3127</v>
      </c>
      <c r="K276" s="1" t="s">
        <v>2739</v>
      </c>
      <c r="L276" s="1" t="s">
        <v>3153</v>
      </c>
      <c r="M276" s="1">
        <v>1000</v>
      </c>
      <c r="N276" s="1">
        <v>1</v>
      </c>
      <c r="O276" s="1" t="str">
        <f t="shared" si="22"/>
        <v>"Epinephrine": 1,</v>
      </c>
      <c r="P276" s="1" t="str">
        <f t="shared" si="23"/>
        <v>"Epinephrine": 24,</v>
      </c>
      <c r="Q276" s="1" t="str">
        <f t="shared" si="24"/>
        <v>"Epinephrine": 1000,</v>
      </c>
      <c r="R276" s="1" t="str">
        <f t="shared" si="25"/>
        <v>"Epinephrine": 6,</v>
      </c>
    </row>
    <row r="277" spans="1:18" ht="15" customHeight="1" x14ac:dyDescent="0.25">
      <c r="A277" s="1" t="str">
        <f t="shared" si="21"/>
        <v>#tc_groceries#tc_tools#tc_repairs</v>
      </c>
      <c r="B277" s="1">
        <f>VLOOKUP(A277,TraderCategory!$A$63:$E$556,2,FALSE)</f>
        <v>31</v>
      </c>
      <c r="C277" s="1">
        <f>VLOOKUP(A277,TraderCategory!$A$63:$F$556,6,FALSE)</f>
        <v>3</v>
      </c>
      <c r="D277" s="1" t="str">
        <f>VLOOKUP(C277,Tabulka5[],3,FALSE)</f>
        <v>Sergeant</v>
      </c>
      <c r="E277" s="1">
        <v>3</v>
      </c>
      <c r="F277" s="1" t="str">
        <f>VLOOKUP(E277,Tabulka5[],3,FALSE)</f>
        <v>Sergeant</v>
      </c>
      <c r="G277" s="1" t="s">
        <v>3115</v>
      </c>
      <c r="H277" s="1" t="s">
        <v>627</v>
      </c>
      <c r="I277" s="1" t="s">
        <v>426</v>
      </c>
      <c r="J277" s="1" t="s">
        <v>3127</v>
      </c>
      <c r="K277" s="1" t="s">
        <v>2740</v>
      </c>
      <c r="L277" s="1" t="s">
        <v>3146</v>
      </c>
      <c r="M277" s="1">
        <v>200</v>
      </c>
      <c r="N277" s="1">
        <v>1</v>
      </c>
      <c r="O277" s="1" t="str">
        <f t="shared" si="22"/>
        <v>"EpoxyPutty": 1,</v>
      </c>
      <c r="P277" s="1" t="str">
        <f t="shared" si="23"/>
        <v>"EpoxyPutty": 31,</v>
      </c>
      <c r="Q277" s="1" t="str">
        <f t="shared" si="24"/>
        <v>"EpoxyPutty": 200,</v>
      </c>
      <c r="R277" s="1" t="str">
        <f t="shared" si="25"/>
        <v>"EpoxyPutty": 3,</v>
      </c>
    </row>
    <row r="278" spans="1:18" x14ac:dyDescent="0.25">
      <c r="A278" s="1" t="str">
        <f t="shared" si="21"/>
        <v>#tc_military#tc_weapons#tc_assaultrifles</v>
      </c>
      <c r="B278" s="1">
        <f>VLOOKUP(A278,TraderCategory!$A$63:$E$556,2,FALSE)</f>
        <v>65</v>
      </c>
      <c r="C278" s="1">
        <f>VLOOKUP(A278,TraderCategory!$A$63:$F$556,6,FALSE)</f>
        <v>10</v>
      </c>
      <c r="D278" s="1" t="str">
        <f>VLOOKUP(C278,Tabulka5[],3,FALSE)</f>
        <v>Second Lieutenant</v>
      </c>
      <c r="E278" s="1">
        <v>10</v>
      </c>
      <c r="F278" s="1" t="str">
        <f>VLOOKUP(E278,Tabulka5[],3,FALSE)</f>
        <v>Second Lieutenant</v>
      </c>
      <c r="G278" s="1" t="s">
        <v>3116</v>
      </c>
      <c r="H278" s="1" t="s">
        <v>11</v>
      </c>
      <c r="I278" s="1" t="s">
        <v>8</v>
      </c>
      <c r="J278" s="1" t="s">
        <v>2729</v>
      </c>
      <c r="K278" s="1" t="s">
        <v>3129</v>
      </c>
      <c r="L278" s="1" t="s">
        <v>3158</v>
      </c>
      <c r="M278" s="1">
        <v>40000</v>
      </c>
      <c r="N278" s="1">
        <v>1</v>
      </c>
      <c r="O278" s="1" t="str">
        <f t="shared" si="22"/>
        <v>"WE_M16A3": 1,</v>
      </c>
      <c r="P278" s="1" t="str">
        <f t="shared" si="23"/>
        <v>"WE_M16A3": 65,</v>
      </c>
      <c r="Q278" s="1" t="str">
        <f t="shared" si="24"/>
        <v>"WE_M16A3": 40000,</v>
      </c>
      <c r="R278" s="1" t="str">
        <f t="shared" si="25"/>
        <v>"WE_M16A3": 10,</v>
      </c>
    </row>
    <row r="279" spans="1:18" x14ac:dyDescent="0.25">
      <c r="A279" s="1" t="str">
        <f t="shared" si="21"/>
        <v>#tc_military#tc_weapons#tc_assaultrifles</v>
      </c>
      <c r="B279" s="1">
        <f>VLOOKUP(A279,TraderCategory!$A$63:$E$556,2,FALSE)</f>
        <v>65</v>
      </c>
      <c r="C279" s="1">
        <f>VLOOKUP(A279,TraderCategory!$A$63:$F$556,6,FALSE)</f>
        <v>10</v>
      </c>
      <c r="D279" s="1" t="str">
        <f>VLOOKUP(C279,Tabulka5[],3,FALSE)</f>
        <v>Second Lieutenant</v>
      </c>
      <c r="E279" s="1">
        <v>11</v>
      </c>
      <c r="F279" s="1" t="str">
        <f>VLOOKUP(E279,Tabulka5[],3,FALSE)</f>
        <v>First Lieutenant</v>
      </c>
      <c r="G279" s="1" t="s">
        <v>3116</v>
      </c>
      <c r="H279" s="1" t="s">
        <v>1395</v>
      </c>
      <c r="I279" s="1" t="s">
        <v>8</v>
      </c>
      <c r="J279" s="1" t="s">
        <v>2729</v>
      </c>
      <c r="K279" s="1" t="s">
        <v>3129</v>
      </c>
      <c r="L279" s="1" t="s">
        <v>3158</v>
      </c>
      <c r="M279" s="1">
        <v>40000</v>
      </c>
      <c r="N279" s="1">
        <v>1</v>
      </c>
      <c r="O279" s="1" t="str">
        <f t="shared" si="22"/>
        <v>"WE_RK92": 1,</v>
      </c>
      <c r="P279" s="1" t="str">
        <f t="shared" si="23"/>
        <v>"WE_RK92": 65,</v>
      </c>
      <c r="Q279" s="1" t="str">
        <f t="shared" si="24"/>
        <v>"WE_RK92": 40000,</v>
      </c>
      <c r="R279" s="1" t="str">
        <f t="shared" si="25"/>
        <v>"WE_RK92": 11,</v>
      </c>
    </row>
    <row r="280" spans="1:18" x14ac:dyDescent="0.25">
      <c r="A280" s="1" t="str">
        <f t="shared" ref="A280:A329" si="26">CONCATENATE(J280,K280,L280)</f>
        <v>#tc_military#tc_attachments#tc_optic</v>
      </c>
      <c r="B280" s="1">
        <f>VLOOKUP(A280,TraderCategory!$A$63:$E$556,2,FALSE)</f>
        <v>50</v>
      </c>
      <c r="C280" s="1">
        <f>VLOOKUP(A280,TraderCategory!$A$63:$F$556,6,FALSE)</f>
        <v>10</v>
      </c>
      <c r="D280" s="1" t="str">
        <f>VLOOKUP(C280,Tabulka5[],3,FALSE)</f>
        <v>Second Lieutenant</v>
      </c>
      <c r="E280" s="1">
        <v>10</v>
      </c>
      <c r="F280" s="1" t="str">
        <f>VLOOKUP(E280,Tabulka5[],3,FALSE)</f>
        <v>Second Lieutenant</v>
      </c>
      <c r="G280" s="1" t="s">
        <v>3115</v>
      </c>
      <c r="H280" s="1" t="s">
        <v>629</v>
      </c>
      <c r="I280" s="1" t="s">
        <v>8</v>
      </c>
      <c r="J280" s="1" t="s">
        <v>2729</v>
      </c>
      <c r="K280" s="1" t="s">
        <v>2736</v>
      </c>
      <c r="L280" s="1" t="s">
        <v>3163</v>
      </c>
      <c r="M280" s="1">
        <v>2000</v>
      </c>
      <c r="N280" s="1">
        <v>1</v>
      </c>
      <c r="O280" s="1" t="str">
        <f t="shared" si="22"/>
        <v>"FNP45_MRDSOptic": 1,</v>
      </c>
      <c r="P280" s="1" t="str">
        <f t="shared" si="23"/>
        <v>"FNP45_MRDSOptic": 50,</v>
      </c>
      <c r="Q280" s="1" t="str">
        <f t="shared" si="24"/>
        <v>"FNP45_MRDSOptic": 2000,</v>
      </c>
      <c r="R280" s="1" t="str">
        <f t="shared" si="25"/>
        <v>"FNP45_MRDSOptic": 10,</v>
      </c>
    </row>
    <row r="281" spans="1:18" x14ac:dyDescent="0.25">
      <c r="A281" s="1" t="str">
        <f t="shared" si="26"/>
        <v>#tc_military#tc_weapons#tc_assaultrifles</v>
      </c>
      <c r="B281" s="1">
        <f>VLOOKUP(A281,TraderCategory!$A$63:$E$556,2,FALSE)</f>
        <v>65</v>
      </c>
      <c r="C281" s="1">
        <f>VLOOKUP(A281,TraderCategory!$A$63:$F$556,6,FALSE)</f>
        <v>10</v>
      </c>
      <c r="D281" s="1" t="str">
        <f>VLOOKUP(C281,Tabulka5[],3,FALSE)</f>
        <v>Second Lieutenant</v>
      </c>
      <c r="E281" s="1">
        <v>14</v>
      </c>
      <c r="F281" s="1" t="str">
        <f>VLOOKUP(E281,Tabulka5[],3,FALSE)</f>
        <v>Lieutenant Colonel</v>
      </c>
      <c r="G281" s="1" t="s">
        <v>3116</v>
      </c>
      <c r="H281" s="1" t="s">
        <v>1396</v>
      </c>
      <c r="I281" s="1" t="s">
        <v>8</v>
      </c>
      <c r="J281" s="1" t="s">
        <v>2729</v>
      </c>
      <c r="K281" s="1" t="s">
        <v>3129</v>
      </c>
      <c r="L281" s="1" t="s">
        <v>3158</v>
      </c>
      <c r="M281" s="1">
        <v>60000</v>
      </c>
      <c r="N281" s="1">
        <v>1</v>
      </c>
      <c r="O281" s="1" t="str">
        <f t="shared" si="22"/>
        <v>"WE_STG44": 1,</v>
      </c>
      <c r="P281" s="1" t="str">
        <f t="shared" si="23"/>
        <v>"WE_STG44": 65,</v>
      </c>
      <c r="Q281" s="1" t="str">
        <f t="shared" si="24"/>
        <v>"WE_STG44": 60000,</v>
      </c>
      <c r="R281" s="1" t="str">
        <f t="shared" si="25"/>
        <v>"WE_STG44": 14,</v>
      </c>
    </row>
    <row r="282" spans="1:18" x14ac:dyDescent="0.25">
      <c r="A282" s="1" t="str">
        <f t="shared" si="26"/>
        <v>#tc_military#tc_attachments#tc_attachments</v>
      </c>
      <c r="B282" s="1">
        <f>VLOOKUP(A282,TraderCategory!$A$63:$E$556,2,FALSE)</f>
        <v>48</v>
      </c>
      <c r="C282" s="1">
        <f>VLOOKUP(A282,TraderCategory!$A$63:$F$556,6,FALSE)</f>
        <v>0</v>
      </c>
      <c r="D282" s="1" t="str">
        <f>VLOOKUP(C282,Tabulka5[],3,FALSE)</f>
        <v>Private</v>
      </c>
      <c r="E282" s="1">
        <v>14</v>
      </c>
      <c r="F282" s="1" t="str">
        <f>VLOOKUP(E282,Tabulka5[],3,FALSE)</f>
        <v>Lieutenant Colonel</v>
      </c>
      <c r="G282" s="1" t="s">
        <v>3115</v>
      </c>
      <c r="H282" s="1" t="s">
        <v>631</v>
      </c>
      <c r="I282" s="1" t="s">
        <v>8</v>
      </c>
      <c r="J282" s="1" t="s">
        <v>2729</v>
      </c>
      <c r="K282" s="1" t="s">
        <v>2736</v>
      </c>
      <c r="L282" s="1" t="s">
        <v>2736</v>
      </c>
      <c r="M282" s="1">
        <v>1200</v>
      </c>
      <c r="N282" s="1">
        <v>1</v>
      </c>
      <c r="O282" s="1" t="str">
        <f t="shared" si="22"/>
        <v>"Fal_FoldingBttstck": 1,</v>
      </c>
      <c r="P282" s="1" t="str">
        <f t="shared" si="23"/>
        <v>"Fal_FoldingBttstck": 48,</v>
      </c>
      <c r="Q282" s="1" t="str">
        <f t="shared" si="24"/>
        <v>"Fal_FoldingBttstck": 1200,</v>
      </c>
      <c r="R282" s="1" t="str">
        <f t="shared" si="25"/>
        <v>"Fal_FoldingBttstck": 14,</v>
      </c>
    </row>
    <row r="283" spans="1:18" x14ac:dyDescent="0.25">
      <c r="A283" s="1" t="str">
        <f t="shared" si="26"/>
        <v>#tc_military#tc_attachments#tc_attachments</v>
      </c>
      <c r="B283" s="1">
        <f>VLOOKUP(A283,TraderCategory!$A$63:$E$556,2,FALSE)</f>
        <v>48</v>
      </c>
      <c r="C283" s="1">
        <f>VLOOKUP(A283,TraderCategory!$A$63:$F$556,6,FALSE)</f>
        <v>0</v>
      </c>
      <c r="D283" s="1" t="str">
        <f>VLOOKUP(C283,Tabulka5[],3,FALSE)</f>
        <v>Private</v>
      </c>
      <c r="E283" s="1">
        <v>14</v>
      </c>
      <c r="F283" s="1" t="str">
        <f>VLOOKUP(E283,Tabulka5[],3,FALSE)</f>
        <v>Lieutenant Colonel</v>
      </c>
      <c r="G283" s="1" t="s">
        <v>3115</v>
      </c>
      <c r="H283" s="1" t="s">
        <v>632</v>
      </c>
      <c r="I283" s="1" t="s">
        <v>8</v>
      </c>
      <c r="J283" s="1" t="s">
        <v>2729</v>
      </c>
      <c r="K283" s="1" t="s">
        <v>2736</v>
      </c>
      <c r="L283" s="1" t="s">
        <v>2736</v>
      </c>
      <c r="M283" s="1">
        <v>1200</v>
      </c>
      <c r="N283" s="1">
        <v>1</v>
      </c>
      <c r="O283" s="1" t="str">
        <f t="shared" si="22"/>
        <v>"Fal_OeBttstck": 1,</v>
      </c>
      <c r="P283" s="1" t="str">
        <f t="shared" si="23"/>
        <v>"Fal_OeBttstck": 48,</v>
      </c>
      <c r="Q283" s="1" t="str">
        <f t="shared" si="24"/>
        <v>"Fal_OeBttstck": 1200,</v>
      </c>
      <c r="R283" s="1" t="str">
        <f t="shared" si="25"/>
        <v>"Fal_OeBttstck": 14,</v>
      </c>
    </row>
    <row r="284" spans="1:18" ht="15" customHeight="1" x14ac:dyDescent="0.25">
      <c r="A284" s="1" t="str">
        <f t="shared" si="26"/>
        <v>#tc_groceries#tc_tools#tc_axes</v>
      </c>
      <c r="B284" s="1">
        <f>VLOOKUP(A284,TraderCategory!$A$63:$E$556,2,FALSE)</f>
        <v>29</v>
      </c>
      <c r="C284" s="1">
        <f>VLOOKUP(A284,TraderCategory!$A$63:$F$556,6,FALSE)</f>
        <v>0</v>
      </c>
      <c r="D284" s="1" t="str">
        <f>VLOOKUP(C284,Tabulka5[],3,FALSE)</f>
        <v>Private</v>
      </c>
      <c r="E284" s="1">
        <v>1</v>
      </c>
      <c r="F284" s="1" t="str">
        <f>VLOOKUP(E284,Tabulka5[],3,FALSE)</f>
        <v>Private First Class</v>
      </c>
      <c r="G284" s="1" t="s">
        <v>3115</v>
      </c>
      <c r="H284" s="1" t="s">
        <v>633</v>
      </c>
      <c r="I284" s="1" t="s">
        <v>426</v>
      </c>
      <c r="J284" s="1" t="s">
        <v>3127</v>
      </c>
      <c r="K284" s="1" t="s">
        <v>2740</v>
      </c>
      <c r="L284" s="1" t="s">
        <v>3145</v>
      </c>
      <c r="M284" s="1">
        <v>2000</v>
      </c>
      <c r="N284" s="1">
        <v>1</v>
      </c>
      <c r="O284" s="1" t="str">
        <f t="shared" si="22"/>
        <v>"FirefighterAxe": 1,</v>
      </c>
      <c r="P284" s="1" t="str">
        <f t="shared" si="23"/>
        <v>"FirefighterAxe": 29,</v>
      </c>
      <c r="Q284" s="1" t="str">
        <f t="shared" si="24"/>
        <v>"FirefighterAxe": 2000,</v>
      </c>
      <c r="R284" s="1" t="str">
        <f t="shared" si="25"/>
        <v>"FirefighterAxe": 1,</v>
      </c>
    </row>
    <row r="285" spans="1:18" ht="15" customHeight="1" x14ac:dyDescent="0.25">
      <c r="A285" s="1" t="str">
        <f t="shared" si="26"/>
        <v>#tc_clothes#tc_civil#tc_tops</v>
      </c>
      <c r="B285" s="1">
        <f>VLOOKUP(A285,TraderCategory!$A$63:$E$556,2,FALSE)</f>
        <v>1</v>
      </c>
      <c r="C285" s="1">
        <f>VLOOKUP(A285,TraderCategory!$A$63:$F$556,6,FALSE)</f>
        <v>0</v>
      </c>
      <c r="D285" s="1" t="str">
        <f>VLOOKUP(C285,Tabulka5[],3,FALSE)</f>
        <v>Private</v>
      </c>
      <c r="E285" s="1">
        <v>0</v>
      </c>
      <c r="F285" s="1" t="str">
        <f>VLOOKUP(E285,Tabulka5[],3,FALSE)</f>
        <v>Private</v>
      </c>
      <c r="G285" s="1" t="s">
        <v>3115</v>
      </c>
      <c r="H285" s="1" t="s">
        <v>634</v>
      </c>
      <c r="I285" s="1" t="s">
        <v>403</v>
      </c>
      <c r="J285" s="1" t="s">
        <v>2728</v>
      </c>
      <c r="K285" s="1" t="s">
        <v>3126</v>
      </c>
      <c r="L285" s="1" t="s">
        <v>3131</v>
      </c>
      <c r="M285" s="1">
        <v>2000</v>
      </c>
      <c r="N285" s="1">
        <v>1</v>
      </c>
      <c r="O285" s="1" t="str">
        <f t="shared" si="22"/>
        <v>"FirefighterJacket_Beige": 1,</v>
      </c>
      <c r="P285" s="1" t="str">
        <f t="shared" si="23"/>
        <v>"FirefighterJacket_Beige": 1,</v>
      </c>
      <c r="Q285" s="1" t="str">
        <f t="shared" si="24"/>
        <v>"FirefighterJacket_Beige": 2000,</v>
      </c>
      <c r="R285" s="1" t="str">
        <f t="shared" si="25"/>
        <v>"FirefighterJacket_Beige": 0,</v>
      </c>
    </row>
    <row r="286" spans="1:18" ht="15" customHeight="1" x14ac:dyDescent="0.25">
      <c r="A286" s="1" t="str">
        <f t="shared" si="26"/>
        <v>#tc_clothes#tc_civil#tc_tops</v>
      </c>
      <c r="B286" s="1">
        <f>VLOOKUP(A286,TraderCategory!$A$63:$E$556,2,FALSE)</f>
        <v>1</v>
      </c>
      <c r="C286" s="1">
        <f>VLOOKUP(A286,TraderCategory!$A$63:$F$556,6,FALSE)</f>
        <v>0</v>
      </c>
      <c r="D286" s="1" t="str">
        <f>VLOOKUP(C286,Tabulka5[],3,FALSE)</f>
        <v>Private</v>
      </c>
      <c r="E286" s="1">
        <v>0</v>
      </c>
      <c r="F286" s="1" t="str">
        <f>VLOOKUP(E286,Tabulka5[],3,FALSE)</f>
        <v>Private</v>
      </c>
      <c r="G286" s="1" t="s">
        <v>3115</v>
      </c>
      <c r="H286" s="1" t="s">
        <v>635</v>
      </c>
      <c r="I286" s="1" t="s">
        <v>403</v>
      </c>
      <c r="J286" s="1" t="s">
        <v>2728</v>
      </c>
      <c r="K286" s="1" t="s">
        <v>3126</v>
      </c>
      <c r="L286" s="1" t="s">
        <v>3131</v>
      </c>
      <c r="M286" s="1">
        <v>2000</v>
      </c>
      <c r="N286" s="1">
        <v>1</v>
      </c>
      <c r="O286" s="1" t="str">
        <f t="shared" si="22"/>
        <v>"FirefighterJacket_Black": 1,</v>
      </c>
      <c r="P286" s="1" t="str">
        <f t="shared" si="23"/>
        <v>"FirefighterJacket_Black": 1,</v>
      </c>
      <c r="Q286" s="1" t="str">
        <f t="shared" si="24"/>
        <v>"FirefighterJacket_Black": 2000,</v>
      </c>
      <c r="R286" s="1" t="str">
        <f t="shared" si="25"/>
        <v>"FirefighterJacket_Black": 0,</v>
      </c>
    </row>
    <row r="287" spans="1:18" ht="15" customHeight="1" x14ac:dyDescent="0.25">
      <c r="A287" s="1" t="str">
        <f t="shared" si="26"/>
        <v>#tc_clothes#tc_civil#tc_head</v>
      </c>
      <c r="B287" s="1">
        <f>VLOOKUP(A287,TraderCategory!$A$63:$E$556,2,FALSE)</f>
        <v>0</v>
      </c>
      <c r="C287" s="1">
        <f>VLOOKUP(A287,TraderCategory!$A$63:$F$556,6,FALSE)</f>
        <v>0</v>
      </c>
      <c r="D287" s="1" t="str">
        <f>VLOOKUP(C287,Tabulka5[],3,FALSE)</f>
        <v>Private</v>
      </c>
      <c r="E287" s="1">
        <v>0</v>
      </c>
      <c r="F287" s="1" t="str">
        <f>VLOOKUP(E287,Tabulka5[],3,FALSE)</f>
        <v>Private</v>
      </c>
      <c r="G287" s="1" t="s">
        <v>3115</v>
      </c>
      <c r="H287" s="1" t="s">
        <v>636</v>
      </c>
      <c r="I287" s="1" t="s">
        <v>403</v>
      </c>
      <c r="J287" s="1" t="s">
        <v>2728</v>
      </c>
      <c r="K287" s="1" t="s">
        <v>3126</v>
      </c>
      <c r="L287" s="1" t="s">
        <v>3130</v>
      </c>
      <c r="M287" s="1">
        <v>1500</v>
      </c>
      <c r="N287" s="1">
        <v>1</v>
      </c>
      <c r="O287" s="1" t="str">
        <f t="shared" si="22"/>
        <v>"FirefightersHelmet_Red": 1,</v>
      </c>
      <c r="P287" s="1" t="str">
        <f t="shared" si="23"/>
        <v>"FirefightersHelmet_Red": 0,</v>
      </c>
      <c r="Q287" s="1" t="str">
        <f t="shared" si="24"/>
        <v>"FirefightersHelmet_Red": 1500,</v>
      </c>
      <c r="R287" s="1" t="str">
        <f t="shared" si="25"/>
        <v>"FirefightersHelmet_Red": 0,</v>
      </c>
    </row>
    <row r="288" spans="1:18" ht="15" customHeight="1" x14ac:dyDescent="0.25">
      <c r="A288" s="1" t="str">
        <f t="shared" si="26"/>
        <v>#tc_clothes#tc_civil#tc_head</v>
      </c>
      <c r="B288" s="1">
        <f>VLOOKUP(A288,TraderCategory!$A$63:$E$556,2,FALSE)</f>
        <v>0</v>
      </c>
      <c r="C288" s="1">
        <f>VLOOKUP(A288,TraderCategory!$A$63:$F$556,6,FALSE)</f>
        <v>0</v>
      </c>
      <c r="D288" s="1" t="str">
        <f>VLOOKUP(C288,Tabulka5[],3,FALSE)</f>
        <v>Private</v>
      </c>
      <c r="E288" s="1">
        <v>0</v>
      </c>
      <c r="F288" s="1" t="str">
        <f>VLOOKUP(E288,Tabulka5[],3,FALSE)</f>
        <v>Private</v>
      </c>
      <c r="G288" s="1" t="s">
        <v>3115</v>
      </c>
      <c r="H288" s="1" t="s">
        <v>637</v>
      </c>
      <c r="I288" s="1" t="s">
        <v>403</v>
      </c>
      <c r="J288" s="1" t="s">
        <v>2728</v>
      </c>
      <c r="K288" s="1" t="s">
        <v>3126</v>
      </c>
      <c r="L288" s="1" t="s">
        <v>3130</v>
      </c>
      <c r="M288" s="1">
        <v>1500</v>
      </c>
      <c r="N288" s="1">
        <v>1</v>
      </c>
      <c r="O288" s="1" t="str">
        <f t="shared" si="22"/>
        <v>"FirefightersHelmet_White": 1,</v>
      </c>
      <c r="P288" s="1" t="str">
        <f t="shared" si="23"/>
        <v>"FirefightersHelmet_White": 0,</v>
      </c>
      <c r="Q288" s="1" t="str">
        <f t="shared" si="24"/>
        <v>"FirefightersHelmet_White": 1500,</v>
      </c>
      <c r="R288" s="1" t="str">
        <f t="shared" si="25"/>
        <v>"FirefightersHelmet_White": 0,</v>
      </c>
    </row>
    <row r="289" spans="1:18" ht="15" customHeight="1" x14ac:dyDescent="0.25">
      <c r="A289" s="1" t="str">
        <f t="shared" si="26"/>
        <v>#tc_clothes#tc_civil#tc_head</v>
      </c>
      <c r="B289" s="1">
        <f>VLOOKUP(A289,TraderCategory!$A$63:$E$556,2,FALSE)</f>
        <v>0</v>
      </c>
      <c r="C289" s="1">
        <f>VLOOKUP(A289,TraderCategory!$A$63:$F$556,6,FALSE)</f>
        <v>0</v>
      </c>
      <c r="D289" s="1" t="str">
        <f>VLOOKUP(C289,Tabulka5[],3,FALSE)</f>
        <v>Private</v>
      </c>
      <c r="E289" s="1">
        <v>0</v>
      </c>
      <c r="F289" s="1" t="str">
        <f>VLOOKUP(E289,Tabulka5[],3,FALSE)</f>
        <v>Private</v>
      </c>
      <c r="G289" s="1" t="s">
        <v>3115</v>
      </c>
      <c r="H289" s="1" t="s">
        <v>638</v>
      </c>
      <c r="I289" s="1" t="s">
        <v>403</v>
      </c>
      <c r="J289" s="1" t="s">
        <v>2728</v>
      </c>
      <c r="K289" s="1" t="s">
        <v>3126</v>
      </c>
      <c r="L289" s="1" t="s">
        <v>3130</v>
      </c>
      <c r="M289" s="1">
        <v>1500</v>
      </c>
      <c r="N289" s="1">
        <v>1</v>
      </c>
      <c r="O289" s="1" t="str">
        <f t="shared" si="22"/>
        <v>"FirefightersHelmet_Yellow": 1,</v>
      </c>
      <c r="P289" s="1" t="str">
        <f t="shared" si="23"/>
        <v>"FirefightersHelmet_Yellow": 0,</v>
      </c>
      <c r="Q289" s="1" t="str">
        <f t="shared" si="24"/>
        <v>"FirefightersHelmet_Yellow": 1500,</v>
      </c>
      <c r="R289" s="1" t="str">
        <f t="shared" si="25"/>
        <v>"FirefightersHelmet_Yellow": 0,</v>
      </c>
    </row>
    <row r="290" spans="1:18" ht="15" customHeight="1" x14ac:dyDescent="0.25">
      <c r="A290" s="1" t="str">
        <f t="shared" si="26"/>
        <v>#tc_clothes#tc_civil#tc_pants</v>
      </c>
      <c r="B290" s="1">
        <f>VLOOKUP(A290,TraderCategory!$A$63:$E$556,2,FALSE)</f>
        <v>4</v>
      </c>
      <c r="C290" s="1">
        <f>VLOOKUP(A290,TraderCategory!$A$63:$F$556,6,FALSE)</f>
        <v>0</v>
      </c>
      <c r="D290" s="1" t="str">
        <f>VLOOKUP(C290,Tabulka5[],3,FALSE)</f>
        <v>Private</v>
      </c>
      <c r="E290" s="1">
        <v>0</v>
      </c>
      <c r="F290" s="1" t="str">
        <f>VLOOKUP(E290,Tabulka5[],3,FALSE)</f>
        <v>Private</v>
      </c>
      <c r="G290" s="1" t="s">
        <v>3115</v>
      </c>
      <c r="H290" s="1" t="s">
        <v>639</v>
      </c>
      <c r="I290" s="1" t="s">
        <v>403</v>
      </c>
      <c r="J290" s="1" t="s">
        <v>2728</v>
      </c>
      <c r="K290" s="1" t="s">
        <v>3126</v>
      </c>
      <c r="L290" s="1" t="s">
        <v>3133</v>
      </c>
      <c r="M290" s="1">
        <v>1200</v>
      </c>
      <c r="N290" s="1">
        <v>1</v>
      </c>
      <c r="O290" s="1" t="str">
        <f t="shared" si="22"/>
        <v>"FirefightersPants_Beige": 1,</v>
      </c>
      <c r="P290" s="1" t="str">
        <f t="shared" si="23"/>
        <v>"FirefightersPants_Beige": 4,</v>
      </c>
      <c r="Q290" s="1" t="str">
        <f t="shared" si="24"/>
        <v>"FirefightersPants_Beige": 1200,</v>
      </c>
      <c r="R290" s="1" t="str">
        <f t="shared" si="25"/>
        <v>"FirefightersPants_Beige": 0,</v>
      </c>
    </row>
    <row r="291" spans="1:18" ht="15" customHeight="1" x14ac:dyDescent="0.25">
      <c r="A291" s="1" t="str">
        <f t="shared" si="26"/>
        <v>#tc_clothes#tc_civil#tc_pants</v>
      </c>
      <c r="B291" s="1">
        <f>VLOOKUP(A291,TraderCategory!$A$63:$E$556,2,FALSE)</f>
        <v>4</v>
      </c>
      <c r="C291" s="1">
        <f>VLOOKUP(A291,TraderCategory!$A$63:$F$556,6,FALSE)</f>
        <v>0</v>
      </c>
      <c r="D291" s="1" t="str">
        <f>VLOOKUP(C291,Tabulka5[],3,FALSE)</f>
        <v>Private</v>
      </c>
      <c r="E291" s="1">
        <v>0</v>
      </c>
      <c r="F291" s="1" t="str">
        <f>VLOOKUP(E291,Tabulka5[],3,FALSE)</f>
        <v>Private</v>
      </c>
      <c r="G291" s="1" t="s">
        <v>3115</v>
      </c>
      <c r="H291" s="1" t="s">
        <v>640</v>
      </c>
      <c r="I291" s="1" t="s">
        <v>403</v>
      </c>
      <c r="J291" s="1" t="s">
        <v>2728</v>
      </c>
      <c r="K291" s="1" t="s">
        <v>3126</v>
      </c>
      <c r="L291" s="1" t="s">
        <v>3133</v>
      </c>
      <c r="M291" s="1">
        <v>1200</v>
      </c>
      <c r="N291" s="1">
        <v>1</v>
      </c>
      <c r="O291" s="1" t="str">
        <f t="shared" si="22"/>
        <v>"FirefightersPants_Black": 1,</v>
      </c>
      <c r="P291" s="1" t="str">
        <f t="shared" si="23"/>
        <v>"FirefightersPants_Black": 4,</v>
      </c>
      <c r="Q291" s="1" t="str">
        <f t="shared" si="24"/>
        <v>"FirefightersPants_Black": 1200,</v>
      </c>
      <c r="R291" s="1" t="str">
        <f t="shared" si="25"/>
        <v>"FirefightersPants_Black": 0,</v>
      </c>
    </row>
    <row r="292" spans="1:18" ht="15" customHeight="1" x14ac:dyDescent="0.25">
      <c r="A292" s="1" t="str">
        <f t="shared" si="26"/>
        <v>#tc_groceries#tc_medic#tc_equipments</v>
      </c>
      <c r="B292" s="1">
        <f>VLOOKUP(A292,TraderCategory!$A$63:$E$556,2,FALSE)</f>
        <v>25</v>
      </c>
      <c r="C292" s="1">
        <f>VLOOKUP(A292,TraderCategory!$A$63:$F$556,6,FALSE)</f>
        <v>6</v>
      </c>
      <c r="D292" s="1" t="str">
        <f>VLOOKUP(C292,Tabulka5[],3,FALSE)</f>
        <v>Master Sergeant</v>
      </c>
      <c r="E292" s="1">
        <v>6</v>
      </c>
      <c r="F292" s="1" t="str">
        <f>VLOOKUP(E292,Tabulka5[],3,FALSE)</f>
        <v>Master Sergeant</v>
      </c>
      <c r="G292" s="1" t="s">
        <v>3115</v>
      </c>
      <c r="H292" s="1" t="s">
        <v>641</v>
      </c>
      <c r="I292" s="1" t="s">
        <v>363</v>
      </c>
      <c r="J292" s="1" t="s">
        <v>3127</v>
      </c>
      <c r="K292" s="1" t="s">
        <v>2739</v>
      </c>
      <c r="L292" s="1" t="s">
        <v>3152</v>
      </c>
      <c r="M292" s="1">
        <v>300</v>
      </c>
      <c r="N292" s="1">
        <v>1</v>
      </c>
      <c r="O292" s="1" t="str">
        <f t="shared" si="22"/>
        <v>"FirstAidKit": 1,</v>
      </c>
      <c r="P292" s="1" t="str">
        <f t="shared" si="23"/>
        <v>"FirstAidKit": 25,</v>
      </c>
      <c r="Q292" s="1" t="str">
        <f t="shared" si="24"/>
        <v>"FirstAidKit": 300,</v>
      </c>
      <c r="R292" s="1" t="str">
        <f t="shared" si="25"/>
        <v>"FirstAidKit": 6,</v>
      </c>
    </row>
    <row r="293" spans="1:18" ht="15" customHeight="1" x14ac:dyDescent="0.25">
      <c r="A293" s="1" t="str">
        <f t="shared" si="26"/>
        <v>#tc_groceries#tc_tools#tc_camping</v>
      </c>
      <c r="B293" s="1">
        <f>VLOOKUP(A293,TraderCategory!$A$63:$E$556,2,FALSE)</f>
        <v>33</v>
      </c>
      <c r="C293" s="1">
        <f>VLOOKUP(A293,TraderCategory!$A$63:$F$556,6,FALSE)</f>
        <v>3</v>
      </c>
      <c r="D293" s="1" t="str">
        <f>VLOOKUP(C293,Tabulka5[],3,FALSE)</f>
        <v>Sergeant</v>
      </c>
      <c r="E293" s="1">
        <v>6</v>
      </c>
      <c r="F293" s="1" t="str">
        <f>VLOOKUP(E293,Tabulka5[],3,FALSE)</f>
        <v>Master Sergeant</v>
      </c>
      <c r="G293" s="1" t="s">
        <v>3115</v>
      </c>
      <c r="H293" s="1" t="s">
        <v>642</v>
      </c>
      <c r="I293" s="1" t="s">
        <v>426</v>
      </c>
      <c r="J293" s="1" t="s">
        <v>3127</v>
      </c>
      <c r="K293" s="1" t="s">
        <v>2740</v>
      </c>
      <c r="L293" s="1" t="s">
        <v>3150</v>
      </c>
      <c r="M293" s="1">
        <v>4000</v>
      </c>
      <c r="N293" s="1">
        <v>1</v>
      </c>
      <c r="O293" s="1" t="str">
        <f t="shared" si="22"/>
        <v>"FishingRod": 1,</v>
      </c>
      <c r="P293" s="1" t="str">
        <f t="shared" si="23"/>
        <v>"FishingRod": 33,</v>
      </c>
      <c r="Q293" s="1" t="str">
        <f t="shared" si="24"/>
        <v>"FishingRod": 4000,</v>
      </c>
      <c r="R293" s="1" t="str">
        <f t="shared" si="25"/>
        <v>"FishingRod": 6,</v>
      </c>
    </row>
    <row r="294" spans="1:18" ht="15" customHeight="1" x14ac:dyDescent="0.25">
      <c r="A294" s="1" t="str">
        <f t="shared" si="26"/>
        <v>#tc_military#tc_ammo#tc_grenade</v>
      </c>
      <c r="B294" s="1">
        <f>VLOOKUP(A294,TraderCategory!$A$63:$E$556,2,FALSE)</f>
        <v>46</v>
      </c>
      <c r="C294" s="1">
        <f>VLOOKUP(A294,TraderCategory!$A$63:$F$556,6,FALSE)</f>
        <v>3</v>
      </c>
      <c r="D294" s="1" t="str">
        <f>VLOOKUP(C294,Tabulka5[],3,FALSE)</f>
        <v>Sergeant</v>
      </c>
      <c r="E294" s="1">
        <v>3</v>
      </c>
      <c r="F294" s="1" t="str">
        <f>VLOOKUP(E294,Tabulka5[],3,FALSE)</f>
        <v>Sergeant</v>
      </c>
      <c r="G294" s="1" t="s">
        <v>3115</v>
      </c>
      <c r="H294" s="1" t="s">
        <v>643</v>
      </c>
      <c r="I294" s="1" t="s">
        <v>644</v>
      </c>
      <c r="J294" s="1" t="s">
        <v>2729</v>
      </c>
      <c r="K294" s="1" t="s">
        <v>2738</v>
      </c>
      <c r="L294" s="1" t="s">
        <v>3161</v>
      </c>
      <c r="M294" s="1">
        <v>1000</v>
      </c>
      <c r="N294" s="1">
        <v>1</v>
      </c>
      <c r="O294" s="1" t="str">
        <f t="shared" si="22"/>
        <v>"FlashGrenade": 1,</v>
      </c>
      <c r="P294" s="1" t="str">
        <f t="shared" si="23"/>
        <v>"FlashGrenade": 46,</v>
      </c>
      <c r="Q294" s="1" t="str">
        <f t="shared" si="24"/>
        <v>"FlashGrenade": 1000,</v>
      </c>
      <c r="R294" s="1" t="str">
        <f t="shared" si="25"/>
        <v>"FlashGrenade": 3,</v>
      </c>
    </row>
    <row r="295" spans="1:18" ht="15" customHeight="1" x14ac:dyDescent="0.25">
      <c r="A295" s="1" t="str">
        <f t="shared" si="26"/>
        <v>#tc_groceries#tc_tools#tc_lights</v>
      </c>
      <c r="B295" s="1">
        <f>VLOOKUP(A295,TraderCategory!$A$63:$E$556,2,FALSE)</f>
        <v>37</v>
      </c>
      <c r="C295" s="1">
        <f>VLOOKUP(A295,TraderCategory!$A$63:$F$556,6,FALSE)</f>
        <v>0</v>
      </c>
      <c r="D295" s="1" t="str">
        <f>VLOOKUP(C295,Tabulka5[],3,FALSE)</f>
        <v>Private</v>
      </c>
      <c r="E295" s="1">
        <v>1</v>
      </c>
      <c r="F295" s="1" t="str">
        <f>VLOOKUP(E295,Tabulka5[],3,FALSE)</f>
        <v>Private First Class</v>
      </c>
      <c r="G295" s="1" t="s">
        <v>3115</v>
      </c>
      <c r="H295" s="1" t="s">
        <v>645</v>
      </c>
      <c r="I295" s="1" t="s">
        <v>426</v>
      </c>
      <c r="J295" s="1" t="s">
        <v>3127</v>
      </c>
      <c r="K295" s="1" t="s">
        <v>2740</v>
      </c>
      <c r="L295" s="1" t="s">
        <v>3147</v>
      </c>
      <c r="M295" s="1">
        <v>600</v>
      </c>
      <c r="N295" s="1">
        <v>1</v>
      </c>
      <c r="O295" s="1" t="str">
        <f t="shared" si="22"/>
        <v>"Flashlight": 1,</v>
      </c>
      <c r="P295" s="1" t="str">
        <f t="shared" si="23"/>
        <v>"Flashlight": 37,</v>
      </c>
      <c r="Q295" s="1" t="str">
        <f t="shared" si="24"/>
        <v>"Flashlight": 600,</v>
      </c>
      <c r="R295" s="1" t="str">
        <f t="shared" si="25"/>
        <v>"Flashlight": 1,</v>
      </c>
    </row>
    <row r="296" spans="1:18" ht="15" customHeight="1" x14ac:dyDescent="0.25">
      <c r="A296" s="1" t="str">
        <f t="shared" si="26"/>
        <v>#tc_clothes#tc_civil#tc_head</v>
      </c>
      <c r="B296" s="1">
        <f>VLOOKUP(A296,TraderCategory!$A$63:$E$556,2,FALSE)</f>
        <v>0</v>
      </c>
      <c r="C296" s="1">
        <f>VLOOKUP(A296,TraderCategory!$A$63:$F$556,6,FALSE)</f>
        <v>0</v>
      </c>
      <c r="D296" s="1" t="str">
        <f>VLOOKUP(C296,Tabulka5[],3,FALSE)</f>
        <v>Private</v>
      </c>
      <c r="E296" s="1">
        <v>0</v>
      </c>
      <c r="F296" s="1" t="str">
        <f>VLOOKUP(E296,Tabulka5[],3,FALSE)</f>
        <v>Private</v>
      </c>
      <c r="G296" s="1" t="s">
        <v>3115</v>
      </c>
      <c r="H296" s="1" t="s">
        <v>646</v>
      </c>
      <c r="I296" s="1" t="s">
        <v>403</v>
      </c>
      <c r="J296" s="1" t="s">
        <v>2728</v>
      </c>
      <c r="K296" s="1" t="s">
        <v>3126</v>
      </c>
      <c r="L296" s="1" t="s">
        <v>3130</v>
      </c>
      <c r="M296" s="1">
        <v>300</v>
      </c>
      <c r="N296" s="1">
        <v>1</v>
      </c>
      <c r="O296" s="1" t="str">
        <f t="shared" si="22"/>
        <v>"FlatCap_Black": 1,</v>
      </c>
      <c r="P296" s="1" t="str">
        <f t="shared" si="23"/>
        <v>"FlatCap_Black": 0,</v>
      </c>
      <c r="Q296" s="1" t="str">
        <f t="shared" si="24"/>
        <v>"FlatCap_Black": 300,</v>
      </c>
      <c r="R296" s="1" t="str">
        <f t="shared" si="25"/>
        <v>"FlatCap_Black": 0,</v>
      </c>
    </row>
    <row r="297" spans="1:18" ht="15" customHeight="1" x14ac:dyDescent="0.25">
      <c r="A297" s="1" t="str">
        <f t="shared" si="26"/>
        <v>#tc_clothes#tc_civil#tc_head</v>
      </c>
      <c r="B297" s="1">
        <f>VLOOKUP(A297,TraderCategory!$A$63:$E$556,2,FALSE)</f>
        <v>0</v>
      </c>
      <c r="C297" s="1">
        <f>VLOOKUP(A297,TraderCategory!$A$63:$F$556,6,FALSE)</f>
        <v>0</v>
      </c>
      <c r="D297" s="1" t="str">
        <f>VLOOKUP(C297,Tabulka5[],3,FALSE)</f>
        <v>Private</v>
      </c>
      <c r="E297" s="1">
        <v>0</v>
      </c>
      <c r="F297" s="1" t="str">
        <f>VLOOKUP(E297,Tabulka5[],3,FALSE)</f>
        <v>Private</v>
      </c>
      <c r="G297" s="1" t="s">
        <v>3115</v>
      </c>
      <c r="H297" s="1" t="s">
        <v>647</v>
      </c>
      <c r="I297" s="1" t="s">
        <v>403</v>
      </c>
      <c r="J297" s="1" t="s">
        <v>2728</v>
      </c>
      <c r="K297" s="1" t="s">
        <v>3126</v>
      </c>
      <c r="L297" s="1" t="s">
        <v>3130</v>
      </c>
      <c r="M297" s="1">
        <v>300</v>
      </c>
      <c r="N297" s="1">
        <v>1</v>
      </c>
      <c r="O297" s="1" t="str">
        <f t="shared" si="22"/>
        <v>"FlatCap_BlackCheck": 1,</v>
      </c>
      <c r="P297" s="1" t="str">
        <f t="shared" si="23"/>
        <v>"FlatCap_BlackCheck": 0,</v>
      </c>
      <c r="Q297" s="1" t="str">
        <f t="shared" si="24"/>
        <v>"FlatCap_BlackCheck": 300,</v>
      </c>
      <c r="R297" s="1" t="str">
        <f t="shared" si="25"/>
        <v>"FlatCap_BlackCheck": 0,</v>
      </c>
    </row>
    <row r="298" spans="1:18" ht="15" customHeight="1" x14ac:dyDescent="0.25">
      <c r="A298" s="1" t="str">
        <f t="shared" si="26"/>
        <v>#tc_clothes#tc_civil#tc_head</v>
      </c>
      <c r="B298" s="1">
        <f>VLOOKUP(A298,TraderCategory!$A$63:$E$556,2,FALSE)</f>
        <v>0</v>
      </c>
      <c r="C298" s="1">
        <f>VLOOKUP(A298,TraderCategory!$A$63:$F$556,6,FALSE)</f>
        <v>0</v>
      </c>
      <c r="D298" s="1" t="str">
        <f>VLOOKUP(C298,Tabulka5[],3,FALSE)</f>
        <v>Private</v>
      </c>
      <c r="E298" s="1">
        <v>0</v>
      </c>
      <c r="F298" s="1" t="str">
        <f>VLOOKUP(E298,Tabulka5[],3,FALSE)</f>
        <v>Private</v>
      </c>
      <c r="G298" s="1" t="s">
        <v>3115</v>
      </c>
      <c r="H298" s="1" t="s">
        <v>648</v>
      </c>
      <c r="I298" s="1" t="s">
        <v>403</v>
      </c>
      <c r="J298" s="1" t="s">
        <v>2728</v>
      </c>
      <c r="K298" s="1" t="s">
        <v>3126</v>
      </c>
      <c r="L298" s="1" t="s">
        <v>3130</v>
      </c>
      <c r="M298" s="1">
        <v>300</v>
      </c>
      <c r="N298" s="1">
        <v>1</v>
      </c>
      <c r="O298" s="1" t="str">
        <f t="shared" si="22"/>
        <v>"FlatCap_Blue": 1,</v>
      </c>
      <c r="P298" s="1" t="str">
        <f t="shared" si="23"/>
        <v>"FlatCap_Blue": 0,</v>
      </c>
      <c r="Q298" s="1" t="str">
        <f t="shared" si="24"/>
        <v>"FlatCap_Blue": 300,</v>
      </c>
      <c r="R298" s="1" t="str">
        <f t="shared" si="25"/>
        <v>"FlatCap_Blue": 0,</v>
      </c>
    </row>
    <row r="299" spans="1:18" ht="15" customHeight="1" x14ac:dyDescent="0.25">
      <c r="A299" s="1" t="str">
        <f t="shared" si="26"/>
        <v>#tc_clothes#tc_civil#tc_head</v>
      </c>
      <c r="B299" s="1">
        <f>VLOOKUP(A299,TraderCategory!$A$63:$E$556,2,FALSE)</f>
        <v>0</v>
      </c>
      <c r="C299" s="1">
        <f>VLOOKUP(A299,TraderCategory!$A$63:$F$556,6,FALSE)</f>
        <v>0</v>
      </c>
      <c r="D299" s="1" t="str">
        <f>VLOOKUP(C299,Tabulka5[],3,FALSE)</f>
        <v>Private</v>
      </c>
      <c r="E299" s="1">
        <v>0</v>
      </c>
      <c r="F299" s="1" t="str">
        <f>VLOOKUP(E299,Tabulka5[],3,FALSE)</f>
        <v>Private</v>
      </c>
      <c r="G299" s="1" t="s">
        <v>3115</v>
      </c>
      <c r="H299" s="1" t="s">
        <v>649</v>
      </c>
      <c r="I299" s="1" t="s">
        <v>403</v>
      </c>
      <c r="J299" s="1" t="s">
        <v>2728</v>
      </c>
      <c r="K299" s="1" t="s">
        <v>3126</v>
      </c>
      <c r="L299" s="1" t="s">
        <v>3130</v>
      </c>
      <c r="M299" s="1">
        <v>300</v>
      </c>
      <c r="N299" s="1">
        <v>1</v>
      </c>
      <c r="O299" s="1" t="str">
        <f t="shared" si="22"/>
        <v>"FlatCap_Brown": 1,</v>
      </c>
      <c r="P299" s="1" t="str">
        <f t="shared" si="23"/>
        <v>"FlatCap_Brown": 0,</v>
      </c>
      <c r="Q299" s="1" t="str">
        <f t="shared" si="24"/>
        <v>"FlatCap_Brown": 300,</v>
      </c>
      <c r="R299" s="1" t="str">
        <f t="shared" si="25"/>
        <v>"FlatCap_Brown": 0,</v>
      </c>
    </row>
    <row r="300" spans="1:18" ht="15" customHeight="1" x14ac:dyDescent="0.25">
      <c r="A300" s="1" t="str">
        <f t="shared" si="26"/>
        <v>#tc_clothes#tc_civil#tc_head</v>
      </c>
      <c r="B300" s="1">
        <f>VLOOKUP(A300,TraderCategory!$A$63:$E$556,2,FALSE)</f>
        <v>0</v>
      </c>
      <c r="C300" s="1">
        <f>VLOOKUP(A300,TraderCategory!$A$63:$F$556,6,FALSE)</f>
        <v>0</v>
      </c>
      <c r="D300" s="1" t="str">
        <f>VLOOKUP(C300,Tabulka5[],3,FALSE)</f>
        <v>Private</v>
      </c>
      <c r="E300" s="1">
        <v>0</v>
      </c>
      <c r="F300" s="1" t="str">
        <f>VLOOKUP(E300,Tabulka5[],3,FALSE)</f>
        <v>Private</v>
      </c>
      <c r="G300" s="1" t="s">
        <v>3115</v>
      </c>
      <c r="H300" s="1" t="s">
        <v>650</v>
      </c>
      <c r="I300" s="1" t="s">
        <v>403</v>
      </c>
      <c r="J300" s="1" t="s">
        <v>2728</v>
      </c>
      <c r="K300" s="1" t="s">
        <v>3126</v>
      </c>
      <c r="L300" s="1" t="s">
        <v>3130</v>
      </c>
      <c r="M300" s="1">
        <v>300</v>
      </c>
      <c r="N300" s="1">
        <v>1</v>
      </c>
      <c r="O300" s="1" t="str">
        <f t="shared" si="22"/>
        <v>"FlatCap_BrownCheck": 1,</v>
      </c>
      <c r="P300" s="1" t="str">
        <f t="shared" si="23"/>
        <v>"FlatCap_BrownCheck": 0,</v>
      </c>
      <c r="Q300" s="1" t="str">
        <f t="shared" si="24"/>
        <v>"FlatCap_BrownCheck": 300,</v>
      </c>
      <c r="R300" s="1" t="str">
        <f t="shared" si="25"/>
        <v>"FlatCap_BrownCheck": 0,</v>
      </c>
    </row>
    <row r="301" spans="1:18" ht="15" customHeight="1" x14ac:dyDescent="0.25">
      <c r="A301" s="1" t="str">
        <f t="shared" si="26"/>
        <v>#tc_clothes#tc_civil#tc_head</v>
      </c>
      <c r="B301" s="1">
        <f>VLOOKUP(A301,TraderCategory!$A$63:$E$556,2,FALSE)</f>
        <v>0</v>
      </c>
      <c r="C301" s="1">
        <f>VLOOKUP(A301,TraderCategory!$A$63:$F$556,6,FALSE)</f>
        <v>0</v>
      </c>
      <c r="D301" s="1" t="str">
        <f>VLOOKUP(C301,Tabulka5[],3,FALSE)</f>
        <v>Private</v>
      </c>
      <c r="E301" s="1">
        <v>0</v>
      </c>
      <c r="F301" s="1" t="str">
        <f>VLOOKUP(E301,Tabulka5[],3,FALSE)</f>
        <v>Private</v>
      </c>
      <c r="G301" s="1" t="s">
        <v>3115</v>
      </c>
      <c r="H301" s="1" t="s">
        <v>651</v>
      </c>
      <c r="I301" s="1" t="s">
        <v>403</v>
      </c>
      <c r="J301" s="1" t="s">
        <v>2728</v>
      </c>
      <c r="K301" s="1" t="s">
        <v>3126</v>
      </c>
      <c r="L301" s="1" t="s">
        <v>3130</v>
      </c>
      <c r="M301" s="1">
        <v>300</v>
      </c>
      <c r="N301" s="1">
        <v>1</v>
      </c>
      <c r="O301" s="1" t="str">
        <f t="shared" si="22"/>
        <v>"FlatCap_Grey": 1,</v>
      </c>
      <c r="P301" s="1" t="str">
        <f t="shared" si="23"/>
        <v>"FlatCap_Grey": 0,</v>
      </c>
      <c r="Q301" s="1" t="str">
        <f t="shared" si="24"/>
        <v>"FlatCap_Grey": 300,</v>
      </c>
      <c r="R301" s="1" t="str">
        <f t="shared" si="25"/>
        <v>"FlatCap_Grey": 0,</v>
      </c>
    </row>
    <row r="302" spans="1:18" ht="15" customHeight="1" x14ac:dyDescent="0.25">
      <c r="A302" s="1" t="str">
        <f t="shared" si="26"/>
        <v>#tc_clothes#tc_civil#tc_head</v>
      </c>
      <c r="B302" s="1">
        <f>VLOOKUP(A302,TraderCategory!$A$63:$E$556,2,FALSE)</f>
        <v>0</v>
      </c>
      <c r="C302" s="1">
        <f>VLOOKUP(A302,TraderCategory!$A$63:$F$556,6,FALSE)</f>
        <v>0</v>
      </c>
      <c r="D302" s="1" t="str">
        <f>VLOOKUP(C302,Tabulka5[],3,FALSE)</f>
        <v>Private</v>
      </c>
      <c r="E302" s="1">
        <v>0</v>
      </c>
      <c r="F302" s="1" t="str">
        <f>VLOOKUP(E302,Tabulka5[],3,FALSE)</f>
        <v>Private</v>
      </c>
      <c r="G302" s="1" t="s">
        <v>3115</v>
      </c>
      <c r="H302" s="1" t="s">
        <v>652</v>
      </c>
      <c r="I302" s="1" t="s">
        <v>403</v>
      </c>
      <c r="J302" s="1" t="s">
        <v>2728</v>
      </c>
      <c r="K302" s="1" t="s">
        <v>3126</v>
      </c>
      <c r="L302" s="1" t="s">
        <v>3130</v>
      </c>
      <c r="M302" s="1">
        <v>300</v>
      </c>
      <c r="N302" s="1">
        <v>1</v>
      </c>
      <c r="O302" s="1" t="str">
        <f t="shared" si="22"/>
        <v>"FlatCap_GreyCheck": 1,</v>
      </c>
      <c r="P302" s="1" t="str">
        <f t="shared" si="23"/>
        <v>"FlatCap_GreyCheck": 0,</v>
      </c>
      <c r="Q302" s="1" t="str">
        <f t="shared" si="24"/>
        <v>"FlatCap_GreyCheck": 300,</v>
      </c>
      <c r="R302" s="1" t="str">
        <f t="shared" si="25"/>
        <v>"FlatCap_GreyCheck": 0,</v>
      </c>
    </row>
    <row r="303" spans="1:18" ht="15" customHeight="1" x14ac:dyDescent="0.25">
      <c r="A303" s="1" t="str">
        <f t="shared" si="26"/>
        <v>#tc_clothes#tc_civil#tc_head</v>
      </c>
      <c r="B303" s="1">
        <f>VLOOKUP(A303,TraderCategory!$A$63:$E$556,2,FALSE)</f>
        <v>0</v>
      </c>
      <c r="C303" s="1">
        <f>VLOOKUP(A303,TraderCategory!$A$63:$F$556,6,FALSE)</f>
        <v>0</v>
      </c>
      <c r="D303" s="1" t="str">
        <f>VLOOKUP(C303,Tabulka5[],3,FALSE)</f>
        <v>Private</v>
      </c>
      <c r="E303" s="1">
        <v>0</v>
      </c>
      <c r="F303" s="1" t="str">
        <f>VLOOKUP(E303,Tabulka5[],3,FALSE)</f>
        <v>Private</v>
      </c>
      <c r="G303" s="1" t="s">
        <v>3115</v>
      </c>
      <c r="H303" s="1" t="s">
        <v>653</v>
      </c>
      <c r="I303" s="1" t="s">
        <v>403</v>
      </c>
      <c r="J303" s="1" t="s">
        <v>2728</v>
      </c>
      <c r="K303" s="1" t="s">
        <v>3126</v>
      </c>
      <c r="L303" s="1" t="s">
        <v>3130</v>
      </c>
      <c r="M303" s="1">
        <v>300</v>
      </c>
      <c r="N303" s="1">
        <v>1</v>
      </c>
      <c r="O303" s="1" t="str">
        <f t="shared" si="22"/>
        <v>"FlatCap_Red": 1,</v>
      </c>
      <c r="P303" s="1" t="str">
        <f t="shared" si="23"/>
        <v>"FlatCap_Red": 0,</v>
      </c>
      <c r="Q303" s="1" t="str">
        <f t="shared" si="24"/>
        <v>"FlatCap_Red": 300,</v>
      </c>
      <c r="R303" s="1" t="str">
        <f t="shared" si="25"/>
        <v>"FlatCap_Red": 0,</v>
      </c>
    </row>
    <row r="304" spans="1:18" ht="15" customHeight="1" x14ac:dyDescent="0.25">
      <c r="A304" s="1" t="str">
        <f t="shared" si="26"/>
        <v>#tc_clothes#tc_military#tc_head</v>
      </c>
      <c r="B304" s="1">
        <f>VLOOKUP(A304,TraderCategory!$A$63:$E$556,2,FALSE)</f>
        <v>8</v>
      </c>
      <c r="C304" s="1">
        <f>VLOOKUP(A304,TraderCategory!$A$63:$F$556,6,FALSE)</f>
        <v>1</v>
      </c>
      <c r="D304" s="1" t="str">
        <f>VLOOKUP(C304,Tabulka5[],3,FALSE)</f>
        <v>Private First Class</v>
      </c>
      <c r="E304" s="1">
        <v>3</v>
      </c>
      <c r="F304" s="1" t="str">
        <f>VLOOKUP(E304,Tabulka5[],3,FALSE)</f>
        <v>Sergeant</v>
      </c>
      <c r="G304" s="1" t="s">
        <v>3115</v>
      </c>
      <c r="H304" s="1" t="s">
        <v>654</v>
      </c>
      <c r="I304" s="1" t="s">
        <v>403</v>
      </c>
      <c r="J304" s="1" t="s">
        <v>2728</v>
      </c>
      <c r="K304" s="1" t="s">
        <v>2729</v>
      </c>
      <c r="L304" s="1" t="s">
        <v>3130</v>
      </c>
      <c r="M304" s="1">
        <v>10000</v>
      </c>
      <c r="N304" s="1">
        <v>1</v>
      </c>
      <c r="O304" s="1" t="str">
        <f t="shared" si="22"/>
        <v>"GP5GasMask": 1,</v>
      </c>
      <c r="P304" s="1" t="str">
        <f t="shared" si="23"/>
        <v>"GP5GasMask": 8,</v>
      </c>
      <c r="Q304" s="1" t="str">
        <f t="shared" si="24"/>
        <v>"GP5GasMask": 10000,</v>
      </c>
      <c r="R304" s="1" t="str">
        <f t="shared" si="25"/>
        <v>"GP5GasMask": 3,</v>
      </c>
    </row>
    <row r="305" spans="1:18" ht="15" customHeight="1" x14ac:dyDescent="0.25">
      <c r="A305" s="1" t="str">
        <f t="shared" si="26"/>
        <v>#tc_groceries#tc_tools#tc_seeds</v>
      </c>
      <c r="B305" s="1">
        <f>VLOOKUP(A305,TraderCategory!$A$63:$E$556,2,FALSE)</f>
        <v>34</v>
      </c>
      <c r="C305" s="1">
        <f>VLOOKUP(A305,TraderCategory!$A$63:$F$556,6,FALSE)</f>
        <v>3</v>
      </c>
      <c r="D305" s="1" t="str">
        <f>VLOOKUP(C305,Tabulka5[],3,FALSE)</f>
        <v>Sergeant</v>
      </c>
      <c r="E305" s="1">
        <v>3</v>
      </c>
      <c r="F305" s="1" t="str">
        <f>VLOOKUP(E305,Tabulka5[],3,FALSE)</f>
        <v>Sergeant</v>
      </c>
      <c r="G305" s="1" t="s">
        <v>3115</v>
      </c>
      <c r="H305" s="1" t="s">
        <v>655</v>
      </c>
      <c r="I305" s="1" t="s">
        <v>426</v>
      </c>
      <c r="J305" s="1" t="s">
        <v>3127</v>
      </c>
      <c r="K305" s="1" t="s">
        <v>2740</v>
      </c>
      <c r="L305" s="1" t="s">
        <v>2735</v>
      </c>
      <c r="M305" s="1">
        <v>800</v>
      </c>
      <c r="N305" s="1">
        <v>1</v>
      </c>
      <c r="O305" s="1" t="str">
        <f t="shared" si="22"/>
        <v>"GardenLime": 1,</v>
      </c>
      <c r="P305" s="1" t="str">
        <f t="shared" si="23"/>
        <v>"GardenLime": 34,</v>
      </c>
      <c r="Q305" s="1" t="str">
        <f t="shared" si="24"/>
        <v>"GardenLime": 800,</v>
      </c>
      <c r="R305" s="1" t="str">
        <f t="shared" si="25"/>
        <v>"GardenLime": 3,</v>
      </c>
    </row>
    <row r="306" spans="1:18" ht="15" customHeight="1" x14ac:dyDescent="0.25">
      <c r="A306" s="1" t="str">
        <f t="shared" si="26"/>
        <v>#tc_clothes#tc_military#tc_head</v>
      </c>
      <c r="B306" s="1">
        <f>VLOOKUP(A306,TraderCategory!$A$63:$E$556,2,FALSE)</f>
        <v>8</v>
      </c>
      <c r="C306" s="1">
        <f>VLOOKUP(A306,TraderCategory!$A$63:$F$556,6,FALSE)</f>
        <v>1</v>
      </c>
      <c r="D306" s="1" t="str">
        <f>VLOOKUP(C306,Tabulka5[],3,FALSE)</f>
        <v>Private First Class</v>
      </c>
      <c r="E306" s="1">
        <v>3</v>
      </c>
      <c r="F306" s="1" t="str">
        <f>VLOOKUP(E306,Tabulka5[],3,FALSE)</f>
        <v>Sergeant</v>
      </c>
      <c r="G306" s="1" t="s">
        <v>3115</v>
      </c>
      <c r="H306" s="1" t="s">
        <v>656</v>
      </c>
      <c r="I306" s="1" t="s">
        <v>403</v>
      </c>
      <c r="J306" s="1" t="s">
        <v>2728</v>
      </c>
      <c r="K306" s="1" t="s">
        <v>2729</v>
      </c>
      <c r="L306" s="1" t="s">
        <v>3130</v>
      </c>
      <c r="M306" s="1">
        <v>10000</v>
      </c>
      <c r="N306" s="1">
        <v>1</v>
      </c>
      <c r="O306" s="1" t="str">
        <f t="shared" si="22"/>
        <v>"GasMask": 1,</v>
      </c>
      <c r="P306" s="1" t="str">
        <f t="shared" si="23"/>
        <v>"GasMask": 8,</v>
      </c>
      <c r="Q306" s="1" t="str">
        <f t="shared" si="24"/>
        <v>"GasMask": 10000,</v>
      </c>
      <c r="R306" s="1" t="str">
        <f t="shared" si="25"/>
        <v>"GasMask": 3,</v>
      </c>
    </row>
    <row r="307" spans="1:18" ht="15" customHeight="1" x14ac:dyDescent="0.25">
      <c r="A307" s="1" t="str">
        <f t="shared" si="26"/>
        <v>#tc_military#tc_attachments#tc_attachments</v>
      </c>
      <c r="B307" s="1">
        <f>VLOOKUP(A307,TraderCategory!$A$63:$E$556,2,FALSE)</f>
        <v>48</v>
      </c>
      <c r="C307" s="1">
        <f>VLOOKUP(A307,TraderCategory!$A$63:$F$556,6,FALSE)</f>
        <v>0</v>
      </c>
      <c r="D307" s="1" t="str">
        <f>VLOOKUP(C307,Tabulka5[],3,FALSE)</f>
        <v>Private</v>
      </c>
      <c r="E307" s="1">
        <v>16</v>
      </c>
      <c r="F307" s="1" t="str">
        <f>VLOOKUP(E307,Tabulka5[],3,FALSE)</f>
        <v>Brigadier General</v>
      </c>
      <c r="G307" s="1" t="s">
        <v>3115</v>
      </c>
      <c r="H307" s="1" t="s">
        <v>657</v>
      </c>
      <c r="I307" s="1" t="s">
        <v>403</v>
      </c>
      <c r="J307" s="1" t="s">
        <v>2729</v>
      </c>
      <c r="K307" s="1" t="s">
        <v>2736</v>
      </c>
      <c r="L307" s="1" t="s">
        <v>2736</v>
      </c>
      <c r="M307" s="1">
        <v>6000</v>
      </c>
      <c r="N307" s="1">
        <v>1</v>
      </c>
      <c r="O307" s="1" t="str">
        <f t="shared" si="22"/>
        <v>"GhillieAtt_Mossy": 1,</v>
      </c>
      <c r="P307" s="1" t="str">
        <f t="shared" si="23"/>
        <v>"GhillieAtt_Mossy": 48,</v>
      </c>
      <c r="Q307" s="1" t="str">
        <f t="shared" si="24"/>
        <v>"GhillieAtt_Mossy": 6000,</v>
      </c>
      <c r="R307" s="1" t="str">
        <f t="shared" si="25"/>
        <v>"GhillieAtt_Mossy": 16,</v>
      </c>
    </row>
    <row r="308" spans="1:18" ht="15" customHeight="1" x14ac:dyDescent="0.25">
      <c r="A308" s="1" t="str">
        <f t="shared" si="26"/>
        <v>#tc_military#tc_attachments#tc_attachments</v>
      </c>
      <c r="B308" s="1">
        <f>VLOOKUP(A308,TraderCategory!$A$63:$E$556,2,FALSE)</f>
        <v>48</v>
      </c>
      <c r="C308" s="1">
        <f>VLOOKUP(A308,TraderCategory!$A$63:$F$556,6,FALSE)</f>
        <v>0</v>
      </c>
      <c r="D308" s="1" t="str">
        <f>VLOOKUP(C308,Tabulka5[],3,FALSE)</f>
        <v>Private</v>
      </c>
      <c r="E308" s="1">
        <v>16</v>
      </c>
      <c r="F308" s="1" t="str">
        <f>VLOOKUP(E308,Tabulka5[],3,FALSE)</f>
        <v>Brigadier General</v>
      </c>
      <c r="G308" s="1" t="s">
        <v>3115</v>
      </c>
      <c r="H308" s="1" t="s">
        <v>658</v>
      </c>
      <c r="I308" s="1" t="s">
        <v>403</v>
      </c>
      <c r="J308" s="1" t="s">
        <v>2729</v>
      </c>
      <c r="K308" s="1" t="s">
        <v>2736</v>
      </c>
      <c r="L308" s="1" t="s">
        <v>2736</v>
      </c>
      <c r="M308" s="1">
        <v>6000</v>
      </c>
      <c r="N308" s="1">
        <v>1</v>
      </c>
      <c r="O308" s="1" t="str">
        <f t="shared" si="22"/>
        <v>"GhillieAtt_Woodland": 1,</v>
      </c>
      <c r="P308" s="1" t="str">
        <f t="shared" si="23"/>
        <v>"GhillieAtt_Woodland": 48,</v>
      </c>
      <c r="Q308" s="1" t="str">
        <f t="shared" si="24"/>
        <v>"GhillieAtt_Woodland": 6000,</v>
      </c>
      <c r="R308" s="1" t="str">
        <f t="shared" si="25"/>
        <v>"GhillieAtt_Woodland": 16,</v>
      </c>
    </row>
    <row r="309" spans="1:18" ht="15" customHeight="1" x14ac:dyDescent="0.25">
      <c r="A309" s="1" t="str">
        <f t="shared" si="26"/>
        <v>#tc_clothes#tc_military#tc_tops</v>
      </c>
      <c r="B309" s="1">
        <f>VLOOKUP(A309,TraderCategory!$A$63:$E$556,2,FALSE)</f>
        <v>9</v>
      </c>
      <c r="C309" s="1">
        <f>VLOOKUP(A309,TraderCategory!$A$63:$F$556,6,FALSE)</f>
        <v>1</v>
      </c>
      <c r="D309" s="1" t="str">
        <f>VLOOKUP(C309,Tabulka5[],3,FALSE)</f>
        <v>Private First Class</v>
      </c>
      <c r="E309" s="1">
        <v>16</v>
      </c>
      <c r="F309" s="1" t="str">
        <f>VLOOKUP(E309,Tabulka5[],3,FALSE)</f>
        <v>Brigadier General</v>
      </c>
      <c r="G309" s="1" t="s">
        <v>3115</v>
      </c>
      <c r="H309" s="1" t="s">
        <v>659</v>
      </c>
      <c r="I309" s="1" t="s">
        <v>403</v>
      </c>
      <c r="J309" s="1" t="s">
        <v>2728</v>
      </c>
      <c r="K309" s="1" t="s">
        <v>2729</v>
      </c>
      <c r="L309" s="1" t="s">
        <v>3131</v>
      </c>
      <c r="M309" s="1">
        <v>20000</v>
      </c>
      <c r="N309" s="1">
        <v>1</v>
      </c>
      <c r="O309" s="1" t="str">
        <f t="shared" si="22"/>
        <v>"GhillieBushrag_Mossy": 1,</v>
      </c>
      <c r="P309" s="1" t="str">
        <f t="shared" si="23"/>
        <v>"GhillieBushrag_Mossy": 9,</v>
      </c>
      <c r="Q309" s="1" t="str">
        <f t="shared" si="24"/>
        <v>"GhillieBushrag_Mossy": 20000,</v>
      </c>
      <c r="R309" s="1" t="str">
        <f t="shared" si="25"/>
        <v>"GhillieBushrag_Mossy": 16,</v>
      </c>
    </row>
    <row r="310" spans="1:18" ht="15" customHeight="1" x14ac:dyDescent="0.25">
      <c r="A310" s="1" t="str">
        <f t="shared" si="26"/>
        <v>#tc_clothes#tc_military#tc_tops</v>
      </c>
      <c r="B310" s="1">
        <f>VLOOKUP(A310,TraderCategory!$A$63:$E$556,2,FALSE)</f>
        <v>9</v>
      </c>
      <c r="C310" s="1">
        <f>VLOOKUP(A310,TraderCategory!$A$63:$F$556,6,FALSE)</f>
        <v>1</v>
      </c>
      <c r="D310" s="1" t="str">
        <f>VLOOKUP(C310,Tabulka5[],3,FALSE)</f>
        <v>Private First Class</v>
      </c>
      <c r="E310" s="1">
        <v>16</v>
      </c>
      <c r="F310" s="1" t="str">
        <f>VLOOKUP(E310,Tabulka5[],3,FALSE)</f>
        <v>Brigadier General</v>
      </c>
      <c r="G310" s="1" t="s">
        <v>3115</v>
      </c>
      <c r="H310" s="1" t="s">
        <v>660</v>
      </c>
      <c r="I310" s="1" t="s">
        <v>403</v>
      </c>
      <c r="J310" s="1" t="s">
        <v>2728</v>
      </c>
      <c r="K310" s="1" t="s">
        <v>2729</v>
      </c>
      <c r="L310" s="1" t="s">
        <v>3131</v>
      </c>
      <c r="M310" s="1">
        <v>20000</v>
      </c>
      <c r="N310" s="1">
        <v>1</v>
      </c>
      <c r="O310" s="1" t="str">
        <f t="shared" si="22"/>
        <v>"GhillieBushrag_Woodland": 1,</v>
      </c>
      <c r="P310" s="1" t="str">
        <f t="shared" si="23"/>
        <v>"GhillieBushrag_Woodland": 9,</v>
      </c>
      <c r="Q310" s="1" t="str">
        <f t="shared" si="24"/>
        <v>"GhillieBushrag_Woodland": 20000,</v>
      </c>
      <c r="R310" s="1" t="str">
        <f t="shared" si="25"/>
        <v>"GhillieBushrag_Woodland": 16,</v>
      </c>
    </row>
    <row r="311" spans="1:18" ht="15" customHeight="1" x14ac:dyDescent="0.25">
      <c r="A311" s="1" t="str">
        <f t="shared" si="26"/>
        <v>#tc_clothes#tc_military#tc_head</v>
      </c>
      <c r="B311" s="1">
        <f>VLOOKUP(A311,TraderCategory!$A$63:$E$556,2,FALSE)</f>
        <v>8</v>
      </c>
      <c r="C311" s="1">
        <f>VLOOKUP(A311,TraderCategory!$A$63:$F$556,6,FALSE)</f>
        <v>1</v>
      </c>
      <c r="D311" s="1" t="str">
        <f>VLOOKUP(C311,Tabulka5[],3,FALSE)</f>
        <v>Private First Class</v>
      </c>
      <c r="E311" s="1">
        <v>16</v>
      </c>
      <c r="F311" s="1" t="str">
        <f>VLOOKUP(E311,Tabulka5[],3,FALSE)</f>
        <v>Brigadier General</v>
      </c>
      <c r="G311" s="1" t="s">
        <v>3115</v>
      </c>
      <c r="H311" s="1" t="s">
        <v>661</v>
      </c>
      <c r="I311" s="1" t="s">
        <v>403</v>
      </c>
      <c r="J311" s="1" t="s">
        <v>2728</v>
      </c>
      <c r="K311" s="1" t="s">
        <v>2729</v>
      </c>
      <c r="L311" s="1" t="s">
        <v>3130</v>
      </c>
      <c r="M311" s="1">
        <v>10000</v>
      </c>
      <c r="N311" s="1">
        <v>1</v>
      </c>
      <c r="O311" s="1" t="str">
        <f t="shared" si="22"/>
        <v>"GhillieHood_Mossy": 1,</v>
      </c>
      <c r="P311" s="1" t="str">
        <f t="shared" si="23"/>
        <v>"GhillieHood_Mossy": 8,</v>
      </c>
      <c r="Q311" s="1" t="str">
        <f t="shared" si="24"/>
        <v>"GhillieHood_Mossy": 10000,</v>
      </c>
      <c r="R311" s="1" t="str">
        <f t="shared" si="25"/>
        <v>"GhillieHood_Mossy": 16,</v>
      </c>
    </row>
    <row r="312" spans="1:18" ht="15" customHeight="1" x14ac:dyDescent="0.25">
      <c r="A312" s="1" t="str">
        <f t="shared" si="26"/>
        <v>#tc_clothes#tc_military#tc_head</v>
      </c>
      <c r="B312" s="1">
        <f>VLOOKUP(A312,TraderCategory!$A$63:$E$556,2,FALSE)</f>
        <v>8</v>
      </c>
      <c r="C312" s="1">
        <f>VLOOKUP(A312,TraderCategory!$A$63:$F$556,6,FALSE)</f>
        <v>1</v>
      </c>
      <c r="D312" s="1" t="str">
        <f>VLOOKUP(C312,Tabulka5[],3,FALSE)</f>
        <v>Private First Class</v>
      </c>
      <c r="E312" s="1">
        <v>16</v>
      </c>
      <c r="F312" s="1" t="str">
        <f>VLOOKUP(E312,Tabulka5[],3,FALSE)</f>
        <v>Brigadier General</v>
      </c>
      <c r="G312" s="1" t="s">
        <v>3115</v>
      </c>
      <c r="H312" s="1" t="s">
        <v>662</v>
      </c>
      <c r="I312" s="1" t="s">
        <v>403</v>
      </c>
      <c r="J312" s="1" t="s">
        <v>2728</v>
      </c>
      <c r="K312" s="1" t="s">
        <v>2729</v>
      </c>
      <c r="L312" s="1" t="s">
        <v>3130</v>
      </c>
      <c r="M312" s="1">
        <v>10000</v>
      </c>
      <c r="N312" s="1">
        <v>1</v>
      </c>
      <c r="O312" s="1" t="str">
        <f t="shared" si="22"/>
        <v>"GhillieHood_Woodland": 1,</v>
      </c>
      <c r="P312" s="1" t="str">
        <f t="shared" si="23"/>
        <v>"GhillieHood_Woodland": 8,</v>
      </c>
      <c r="Q312" s="1" t="str">
        <f t="shared" si="24"/>
        <v>"GhillieHood_Woodland": 10000,</v>
      </c>
      <c r="R312" s="1" t="str">
        <f t="shared" si="25"/>
        <v>"GhillieHood_Woodland": 16,</v>
      </c>
    </row>
    <row r="313" spans="1:18" ht="15" customHeight="1" x14ac:dyDescent="0.25">
      <c r="A313" s="1" t="str">
        <f t="shared" si="26"/>
        <v>#tc_clothes#tc_military#tc_tops</v>
      </c>
      <c r="B313" s="1">
        <f>VLOOKUP(A313,TraderCategory!$A$63:$E$556,2,FALSE)</f>
        <v>9</v>
      </c>
      <c r="C313" s="1">
        <f>VLOOKUP(A313,TraderCategory!$A$63:$F$556,6,FALSE)</f>
        <v>1</v>
      </c>
      <c r="D313" s="1" t="str">
        <f>VLOOKUP(C313,Tabulka5[],3,FALSE)</f>
        <v>Private First Class</v>
      </c>
      <c r="E313" s="1">
        <v>16</v>
      </c>
      <c r="F313" s="1" t="str">
        <f>VLOOKUP(E313,Tabulka5[],3,FALSE)</f>
        <v>Brigadier General</v>
      </c>
      <c r="G313" s="1" t="s">
        <v>3115</v>
      </c>
      <c r="H313" s="1" t="s">
        <v>663</v>
      </c>
      <c r="I313" s="1" t="s">
        <v>403</v>
      </c>
      <c r="J313" s="1" t="s">
        <v>2728</v>
      </c>
      <c r="K313" s="1" t="s">
        <v>2729</v>
      </c>
      <c r="L313" s="1" t="s">
        <v>3131</v>
      </c>
      <c r="M313" s="1">
        <v>40000</v>
      </c>
      <c r="N313" s="1">
        <v>1</v>
      </c>
      <c r="O313" s="1" t="str">
        <f t="shared" si="22"/>
        <v>"GhillieSuit_Mossy": 1,</v>
      </c>
      <c r="P313" s="1" t="str">
        <f t="shared" si="23"/>
        <v>"GhillieSuit_Mossy": 9,</v>
      </c>
      <c r="Q313" s="1" t="str">
        <f t="shared" si="24"/>
        <v>"GhillieSuit_Mossy": 40000,</v>
      </c>
      <c r="R313" s="1" t="str">
        <f t="shared" si="25"/>
        <v>"GhillieSuit_Mossy": 16,</v>
      </c>
    </row>
    <row r="314" spans="1:18" ht="15" customHeight="1" x14ac:dyDescent="0.25">
      <c r="A314" s="1" t="str">
        <f t="shared" si="26"/>
        <v>#tc_clothes#tc_military#tc_tops</v>
      </c>
      <c r="B314" s="1">
        <f>VLOOKUP(A314,TraderCategory!$A$63:$E$556,2,FALSE)</f>
        <v>9</v>
      </c>
      <c r="C314" s="1">
        <f>VLOOKUP(A314,TraderCategory!$A$63:$F$556,6,FALSE)</f>
        <v>1</v>
      </c>
      <c r="D314" s="1" t="str">
        <f>VLOOKUP(C314,Tabulka5[],3,FALSE)</f>
        <v>Private First Class</v>
      </c>
      <c r="E314" s="1">
        <v>16</v>
      </c>
      <c r="F314" s="1" t="str">
        <f>VLOOKUP(E314,Tabulka5[],3,FALSE)</f>
        <v>Brigadier General</v>
      </c>
      <c r="G314" s="1" t="s">
        <v>3115</v>
      </c>
      <c r="H314" s="1" t="s">
        <v>664</v>
      </c>
      <c r="I314" s="1" t="s">
        <v>403</v>
      </c>
      <c r="J314" s="1" t="s">
        <v>2728</v>
      </c>
      <c r="K314" s="1" t="s">
        <v>2729</v>
      </c>
      <c r="L314" s="1" t="s">
        <v>3131</v>
      </c>
      <c r="M314" s="1">
        <v>40000</v>
      </c>
      <c r="N314" s="1">
        <v>1</v>
      </c>
      <c r="O314" s="1" t="str">
        <f t="shared" si="22"/>
        <v>"GhillieSuit_Woodland": 1,</v>
      </c>
      <c r="P314" s="1" t="str">
        <f t="shared" si="23"/>
        <v>"GhillieSuit_Woodland": 9,</v>
      </c>
      <c r="Q314" s="1" t="str">
        <f t="shared" si="24"/>
        <v>"GhillieSuit_Woodland": 40000,</v>
      </c>
      <c r="R314" s="1" t="str">
        <f t="shared" si="25"/>
        <v>"GhillieSuit_Woodland": 16,</v>
      </c>
    </row>
    <row r="315" spans="1:18" ht="15" customHeight="1" x14ac:dyDescent="0.25">
      <c r="A315" s="1" t="str">
        <f t="shared" si="26"/>
        <v>#tc_clothes#tc_military#tc_tops</v>
      </c>
      <c r="B315" s="1">
        <f>VLOOKUP(A315,TraderCategory!$A$63:$E$556,2,FALSE)</f>
        <v>9</v>
      </c>
      <c r="C315" s="1">
        <f>VLOOKUP(A315,TraderCategory!$A$63:$F$556,6,FALSE)</f>
        <v>1</v>
      </c>
      <c r="D315" s="1" t="str">
        <f>VLOOKUP(C315,Tabulka5[],3,FALSE)</f>
        <v>Private First Class</v>
      </c>
      <c r="E315" s="1">
        <v>16</v>
      </c>
      <c r="F315" s="1" t="str">
        <f>VLOOKUP(E315,Tabulka5[],3,FALSE)</f>
        <v>Brigadier General</v>
      </c>
      <c r="G315" s="1" t="s">
        <v>3115</v>
      </c>
      <c r="H315" s="1" t="s">
        <v>665</v>
      </c>
      <c r="I315" s="1" t="s">
        <v>403</v>
      </c>
      <c r="J315" s="1" t="s">
        <v>2728</v>
      </c>
      <c r="K315" s="1" t="s">
        <v>2729</v>
      </c>
      <c r="L315" s="1" t="s">
        <v>3131</v>
      </c>
      <c r="M315" s="1">
        <v>30000</v>
      </c>
      <c r="N315" s="1">
        <v>1</v>
      </c>
      <c r="O315" s="1" t="str">
        <f t="shared" si="22"/>
        <v>"GhillieTop_Mossy": 1,</v>
      </c>
      <c r="P315" s="1" t="str">
        <f t="shared" si="23"/>
        <v>"GhillieTop_Mossy": 9,</v>
      </c>
      <c r="Q315" s="1" t="str">
        <f t="shared" si="24"/>
        <v>"GhillieTop_Mossy": 30000,</v>
      </c>
      <c r="R315" s="1" t="str">
        <f t="shared" si="25"/>
        <v>"GhillieTop_Mossy": 16,</v>
      </c>
    </row>
    <row r="316" spans="1:18" ht="15" customHeight="1" x14ac:dyDescent="0.25">
      <c r="A316" s="1" t="str">
        <f t="shared" si="26"/>
        <v>#tc_clothes#tc_military#tc_tops</v>
      </c>
      <c r="B316" s="1">
        <f>VLOOKUP(A316,TraderCategory!$A$63:$E$556,2,FALSE)</f>
        <v>9</v>
      </c>
      <c r="C316" s="1">
        <f>VLOOKUP(A316,TraderCategory!$A$63:$F$556,6,FALSE)</f>
        <v>1</v>
      </c>
      <c r="D316" s="1" t="str">
        <f>VLOOKUP(C316,Tabulka5[],3,FALSE)</f>
        <v>Private First Class</v>
      </c>
      <c r="E316" s="1">
        <v>16</v>
      </c>
      <c r="F316" s="1" t="str">
        <f>VLOOKUP(E316,Tabulka5[],3,FALSE)</f>
        <v>Brigadier General</v>
      </c>
      <c r="G316" s="1" t="s">
        <v>3115</v>
      </c>
      <c r="H316" s="1" t="s">
        <v>666</v>
      </c>
      <c r="I316" s="1" t="s">
        <v>403</v>
      </c>
      <c r="J316" s="1" t="s">
        <v>2728</v>
      </c>
      <c r="K316" s="1" t="s">
        <v>2729</v>
      </c>
      <c r="L316" s="1" t="s">
        <v>3131</v>
      </c>
      <c r="M316" s="1">
        <v>30000</v>
      </c>
      <c r="N316" s="1">
        <v>1</v>
      </c>
      <c r="O316" s="1" t="str">
        <f t="shared" si="22"/>
        <v>"GhillieTop_Woodland": 1,</v>
      </c>
      <c r="P316" s="1" t="str">
        <f t="shared" si="23"/>
        <v>"GhillieTop_Woodland": 9,</v>
      </c>
      <c r="Q316" s="1" t="str">
        <f t="shared" si="24"/>
        <v>"GhillieTop_Woodland": 30000,</v>
      </c>
      <c r="R316" s="1" t="str">
        <f t="shared" si="25"/>
        <v>"GhillieTop_Woodland": 16,</v>
      </c>
    </row>
    <row r="317" spans="1:18" x14ac:dyDescent="0.25">
      <c r="A317" s="1" t="str">
        <f t="shared" si="26"/>
        <v>#tc_military#tc_weapons#tc_handtohand</v>
      </c>
      <c r="B317" s="1">
        <f>VLOOKUP(A317,TraderCategory!$A$63:$E$556,2,FALSE)</f>
        <v>60</v>
      </c>
      <c r="C317" s="1">
        <f>VLOOKUP(A317,TraderCategory!$A$63:$F$556,6,FALSE)</f>
        <v>0</v>
      </c>
      <c r="D317" s="1" t="str">
        <f>VLOOKUP(C317,Tabulka5[],3,FALSE)</f>
        <v>Private</v>
      </c>
      <c r="E317" s="1">
        <v>3</v>
      </c>
      <c r="F317" s="1" t="str">
        <f>VLOOKUP(E317,Tabulka5[],3,FALSE)</f>
        <v>Sergeant</v>
      </c>
      <c r="G317" s="1" t="s">
        <v>3119</v>
      </c>
      <c r="H317" s="1" t="s">
        <v>1267</v>
      </c>
      <c r="I317" s="1" t="s">
        <v>8</v>
      </c>
      <c r="J317" s="1" t="s">
        <v>2729</v>
      </c>
      <c r="K317" s="1" t="s">
        <v>3129</v>
      </c>
      <c r="L317" s="1" t="s">
        <v>3176</v>
      </c>
      <c r="M317" s="1">
        <v>20000</v>
      </c>
      <c r="N317" s="1">
        <v>1</v>
      </c>
      <c r="O317" s="1" t="str">
        <f t="shared" si="22"/>
        <v>"katana_Mung": 1,</v>
      </c>
      <c r="P317" s="1" t="str">
        <f t="shared" si="23"/>
        <v>"katana_Mung": 60,</v>
      </c>
      <c r="Q317" s="1" t="str">
        <f t="shared" si="24"/>
        <v>"katana_Mung": 20000,</v>
      </c>
      <c r="R317" s="1" t="str">
        <f t="shared" si="25"/>
        <v>"katana_Mung": 3,</v>
      </c>
    </row>
    <row r="318" spans="1:18" ht="15" customHeight="1" x14ac:dyDescent="0.25">
      <c r="A318" s="1" t="str">
        <f t="shared" si="26"/>
        <v>#tc_clothes#tc_military#tc_tops</v>
      </c>
      <c r="B318" s="1">
        <f>VLOOKUP(A318,TraderCategory!$A$63:$E$556,2,FALSE)</f>
        <v>9</v>
      </c>
      <c r="C318" s="1">
        <f>VLOOKUP(A318,TraderCategory!$A$63:$F$556,6,FALSE)</f>
        <v>1</v>
      </c>
      <c r="D318" s="1" t="str">
        <f>VLOOKUP(C318,Tabulka5[],3,FALSE)</f>
        <v>Private First Class</v>
      </c>
      <c r="E318" s="1">
        <v>1</v>
      </c>
      <c r="F318" s="1" t="str">
        <f>VLOOKUP(E318,Tabulka5[],3,FALSE)</f>
        <v>Private First Class</v>
      </c>
      <c r="G318" s="1" t="s">
        <v>3115</v>
      </c>
      <c r="H318" s="1" t="s">
        <v>670</v>
      </c>
      <c r="I318" s="1" t="s">
        <v>403</v>
      </c>
      <c r="J318" s="1" t="s">
        <v>2728</v>
      </c>
      <c r="K318" s="1" t="s">
        <v>2729</v>
      </c>
      <c r="L318" s="1" t="s">
        <v>3131</v>
      </c>
      <c r="M318" s="1">
        <v>10000</v>
      </c>
      <c r="N318" s="1">
        <v>1</v>
      </c>
      <c r="O318" s="1" t="str">
        <f t="shared" si="22"/>
        <v>"GorkaEJacket_Autumn": 1,</v>
      </c>
      <c r="P318" s="1" t="str">
        <f t="shared" si="23"/>
        <v>"GorkaEJacket_Autumn": 9,</v>
      </c>
      <c r="Q318" s="1" t="str">
        <f t="shared" si="24"/>
        <v>"GorkaEJacket_Autumn": 10000,</v>
      </c>
      <c r="R318" s="1" t="str">
        <f t="shared" si="25"/>
        <v>"GorkaEJacket_Autumn": 1,</v>
      </c>
    </row>
    <row r="319" spans="1:18" ht="15" customHeight="1" x14ac:dyDescent="0.25">
      <c r="A319" s="1" t="str">
        <f t="shared" si="26"/>
        <v>#tc_clothes#tc_military#tc_tops</v>
      </c>
      <c r="B319" s="1">
        <f>VLOOKUP(A319,TraderCategory!$A$63:$E$556,2,FALSE)</f>
        <v>9</v>
      </c>
      <c r="C319" s="1">
        <f>VLOOKUP(A319,TraderCategory!$A$63:$F$556,6,FALSE)</f>
        <v>1</v>
      </c>
      <c r="D319" s="1" t="str">
        <f>VLOOKUP(C319,Tabulka5[],3,FALSE)</f>
        <v>Private First Class</v>
      </c>
      <c r="E319" s="1">
        <v>1</v>
      </c>
      <c r="F319" s="1" t="str">
        <f>VLOOKUP(E319,Tabulka5[],3,FALSE)</f>
        <v>Private First Class</v>
      </c>
      <c r="G319" s="1" t="s">
        <v>3115</v>
      </c>
      <c r="H319" s="1" t="s">
        <v>671</v>
      </c>
      <c r="I319" s="1" t="s">
        <v>403</v>
      </c>
      <c r="J319" s="1" t="s">
        <v>2728</v>
      </c>
      <c r="K319" s="1" t="s">
        <v>2729</v>
      </c>
      <c r="L319" s="1" t="s">
        <v>3131</v>
      </c>
      <c r="M319" s="1">
        <v>10000</v>
      </c>
      <c r="N319" s="1">
        <v>1</v>
      </c>
      <c r="O319" s="1" t="str">
        <f t="shared" si="22"/>
        <v>"GorkaEJacket_Flat": 1,</v>
      </c>
      <c r="P319" s="1" t="str">
        <f t="shared" si="23"/>
        <v>"GorkaEJacket_Flat": 9,</v>
      </c>
      <c r="Q319" s="1" t="str">
        <f t="shared" si="24"/>
        <v>"GorkaEJacket_Flat": 10000,</v>
      </c>
      <c r="R319" s="1" t="str">
        <f t="shared" si="25"/>
        <v>"GorkaEJacket_Flat": 1,</v>
      </c>
    </row>
    <row r="320" spans="1:18" ht="15" customHeight="1" x14ac:dyDescent="0.25">
      <c r="A320" s="1" t="str">
        <f t="shared" si="26"/>
        <v>#tc_clothes#tc_military#tc_tops</v>
      </c>
      <c r="B320" s="1">
        <f>VLOOKUP(A320,TraderCategory!$A$63:$E$556,2,FALSE)</f>
        <v>9</v>
      </c>
      <c r="C320" s="1">
        <f>VLOOKUP(A320,TraderCategory!$A$63:$F$556,6,FALSE)</f>
        <v>1</v>
      </c>
      <c r="D320" s="1" t="str">
        <f>VLOOKUP(C320,Tabulka5[],3,FALSE)</f>
        <v>Private First Class</v>
      </c>
      <c r="E320" s="1">
        <v>1</v>
      </c>
      <c r="F320" s="1" t="str">
        <f>VLOOKUP(E320,Tabulka5[],3,FALSE)</f>
        <v>Private First Class</v>
      </c>
      <c r="G320" s="1" t="s">
        <v>3115</v>
      </c>
      <c r="H320" s="1" t="s">
        <v>672</v>
      </c>
      <c r="I320" s="1" t="s">
        <v>403</v>
      </c>
      <c r="J320" s="1" t="s">
        <v>2728</v>
      </c>
      <c r="K320" s="1" t="s">
        <v>2729</v>
      </c>
      <c r="L320" s="1" t="s">
        <v>3131</v>
      </c>
      <c r="M320" s="1">
        <v>10000</v>
      </c>
      <c r="N320" s="1">
        <v>1</v>
      </c>
      <c r="O320" s="1" t="str">
        <f t="shared" si="22"/>
        <v>"GorkaEJacket_PautRev": 1,</v>
      </c>
      <c r="P320" s="1" t="str">
        <f t="shared" si="23"/>
        <v>"GorkaEJacket_PautRev": 9,</v>
      </c>
      <c r="Q320" s="1" t="str">
        <f t="shared" si="24"/>
        <v>"GorkaEJacket_PautRev": 10000,</v>
      </c>
      <c r="R320" s="1" t="str">
        <f t="shared" si="25"/>
        <v>"GorkaEJacket_PautRev": 1,</v>
      </c>
    </row>
    <row r="321" spans="1:18" ht="15" customHeight="1" x14ac:dyDescent="0.25">
      <c r="A321" s="1" t="str">
        <f t="shared" si="26"/>
        <v>#tc_clothes#tc_military#tc_tops</v>
      </c>
      <c r="B321" s="1">
        <f>VLOOKUP(A321,TraderCategory!$A$63:$E$556,2,FALSE)</f>
        <v>9</v>
      </c>
      <c r="C321" s="1">
        <f>VLOOKUP(A321,TraderCategory!$A$63:$F$556,6,FALSE)</f>
        <v>1</v>
      </c>
      <c r="D321" s="1" t="str">
        <f>VLOOKUP(C321,Tabulka5[],3,FALSE)</f>
        <v>Private First Class</v>
      </c>
      <c r="E321" s="1">
        <v>1</v>
      </c>
      <c r="F321" s="1" t="str">
        <f>VLOOKUP(E321,Tabulka5[],3,FALSE)</f>
        <v>Private First Class</v>
      </c>
      <c r="G321" s="1" t="s">
        <v>3115</v>
      </c>
      <c r="H321" s="1" t="s">
        <v>673</v>
      </c>
      <c r="I321" s="1" t="s">
        <v>403</v>
      </c>
      <c r="J321" s="1" t="s">
        <v>2728</v>
      </c>
      <c r="K321" s="1" t="s">
        <v>2729</v>
      </c>
      <c r="L321" s="1" t="s">
        <v>3131</v>
      </c>
      <c r="M321" s="1">
        <v>10000</v>
      </c>
      <c r="N321" s="1">
        <v>1</v>
      </c>
      <c r="O321" s="1" t="str">
        <f t="shared" si="22"/>
        <v>"GorkaEJacket_Summer": 1,</v>
      </c>
      <c r="P321" s="1" t="str">
        <f t="shared" si="23"/>
        <v>"GorkaEJacket_Summer": 9,</v>
      </c>
      <c r="Q321" s="1" t="str">
        <f t="shared" si="24"/>
        <v>"GorkaEJacket_Summer": 10000,</v>
      </c>
      <c r="R321" s="1" t="str">
        <f t="shared" si="25"/>
        <v>"GorkaEJacket_Summer": 1,</v>
      </c>
    </row>
    <row r="322" spans="1:18" ht="15" customHeight="1" x14ac:dyDescent="0.25">
      <c r="A322" s="1" t="str">
        <f t="shared" si="26"/>
        <v>#tc_clothes#tc_military#tc_head</v>
      </c>
      <c r="B322" s="1">
        <f>VLOOKUP(A322,TraderCategory!$A$63:$E$556,2,FALSE)</f>
        <v>8</v>
      </c>
      <c r="C322" s="1">
        <f>VLOOKUP(A322,TraderCategory!$A$63:$F$556,6,FALSE)</f>
        <v>1</v>
      </c>
      <c r="D322" s="1" t="str">
        <f>VLOOKUP(C322,Tabulka5[],3,FALSE)</f>
        <v>Private First Class</v>
      </c>
      <c r="E322" s="1">
        <v>1</v>
      </c>
      <c r="F322" s="1" t="str">
        <f>VLOOKUP(E322,Tabulka5[],3,FALSE)</f>
        <v>Private First Class</v>
      </c>
      <c r="G322" s="1" t="s">
        <v>3115</v>
      </c>
      <c r="H322" s="1" t="s">
        <v>674</v>
      </c>
      <c r="I322" s="1" t="s">
        <v>403</v>
      </c>
      <c r="J322" s="1" t="s">
        <v>2728</v>
      </c>
      <c r="K322" s="1" t="s">
        <v>2729</v>
      </c>
      <c r="L322" s="1" t="s">
        <v>3130</v>
      </c>
      <c r="M322" s="1">
        <v>4500</v>
      </c>
      <c r="N322" s="1">
        <v>1</v>
      </c>
      <c r="O322" s="1" t="str">
        <f t="shared" si="22"/>
        <v>"GorkaHelmet": 1,</v>
      </c>
      <c r="P322" s="1" t="str">
        <f t="shared" si="23"/>
        <v>"GorkaHelmet": 8,</v>
      </c>
      <c r="Q322" s="1" t="str">
        <f t="shared" si="24"/>
        <v>"GorkaHelmet": 4500,</v>
      </c>
      <c r="R322" s="1" t="str">
        <f t="shared" si="25"/>
        <v>"GorkaHelmet": 1,</v>
      </c>
    </row>
    <row r="323" spans="1:18" ht="15" customHeight="1" x14ac:dyDescent="0.25">
      <c r="A323" s="1" t="str">
        <f t="shared" si="26"/>
        <v>#tc_clothes#tc_military#tc_head</v>
      </c>
      <c r="B323" s="1">
        <f>VLOOKUP(A323,TraderCategory!$A$63:$E$556,2,FALSE)</f>
        <v>8</v>
      </c>
      <c r="C323" s="1">
        <f>VLOOKUP(A323,TraderCategory!$A$63:$F$556,6,FALSE)</f>
        <v>1</v>
      </c>
      <c r="D323" s="1" t="str">
        <f>VLOOKUP(C323,Tabulka5[],3,FALSE)</f>
        <v>Private First Class</v>
      </c>
      <c r="E323" s="1">
        <v>1</v>
      </c>
      <c r="F323" s="1" t="str">
        <f>VLOOKUP(E323,Tabulka5[],3,FALSE)</f>
        <v>Private First Class</v>
      </c>
      <c r="G323" s="1" t="s">
        <v>3115</v>
      </c>
      <c r="H323" s="1" t="s">
        <v>675</v>
      </c>
      <c r="I323" s="1" t="s">
        <v>403</v>
      </c>
      <c r="J323" s="1" t="s">
        <v>2728</v>
      </c>
      <c r="K323" s="1" t="s">
        <v>2729</v>
      </c>
      <c r="L323" s="1" t="s">
        <v>3130</v>
      </c>
      <c r="M323" s="1">
        <v>1000</v>
      </c>
      <c r="N323" s="1">
        <v>1</v>
      </c>
      <c r="O323" s="1" t="str">
        <f t="shared" ref="O323:O386" si="27">"""" &amp;H323 &amp; """: " &amp; N323 &amp; ","</f>
        <v>"GorkaHelmetVisor": 1,</v>
      </c>
      <c r="P323" s="1" t="str">
        <f t="shared" ref="P323:P386" si="28">"""" &amp;H323 &amp; """: " &amp; B323 &amp; ","</f>
        <v>"GorkaHelmetVisor": 8,</v>
      </c>
      <c r="Q323" s="1" t="str">
        <f t="shared" ref="Q323:Q386" si="29">"""" &amp;H323 &amp; """: " &amp; M323 &amp; ","</f>
        <v>"GorkaHelmetVisor": 1000,</v>
      </c>
      <c r="R323" s="1" t="str">
        <f t="shared" ref="R323:R386" si="30">"""" &amp;H323 &amp; """: " &amp; E323 &amp; ","</f>
        <v>"GorkaHelmetVisor": 1,</v>
      </c>
    </row>
    <row r="324" spans="1:18" ht="15" customHeight="1" x14ac:dyDescent="0.25">
      <c r="A324" s="1" t="str">
        <f t="shared" si="26"/>
        <v>#tc_clothes#tc_military#tc_pants</v>
      </c>
      <c r="B324" s="1">
        <f>VLOOKUP(A324,TraderCategory!$A$63:$E$556,2,FALSE)</f>
        <v>12</v>
      </c>
      <c r="C324" s="1">
        <f>VLOOKUP(A324,TraderCategory!$A$63:$F$556,6,FALSE)</f>
        <v>1</v>
      </c>
      <c r="D324" s="1" t="str">
        <f>VLOOKUP(C324,Tabulka5[],3,FALSE)</f>
        <v>Private First Class</v>
      </c>
      <c r="E324" s="1">
        <v>1</v>
      </c>
      <c r="F324" s="1" t="str">
        <f>VLOOKUP(E324,Tabulka5[],3,FALSE)</f>
        <v>Private First Class</v>
      </c>
      <c r="G324" s="1" t="s">
        <v>3115</v>
      </c>
      <c r="H324" s="1" t="s">
        <v>676</v>
      </c>
      <c r="I324" s="1" t="s">
        <v>403</v>
      </c>
      <c r="J324" s="1" t="s">
        <v>2728</v>
      </c>
      <c r="K324" s="1" t="s">
        <v>2729</v>
      </c>
      <c r="L324" s="1" t="s">
        <v>3133</v>
      </c>
      <c r="M324" s="1">
        <v>5000</v>
      </c>
      <c r="N324" s="1">
        <v>1</v>
      </c>
      <c r="O324" s="1" t="str">
        <f t="shared" si="27"/>
        <v>"GorkaPants_Autumn": 1,</v>
      </c>
      <c r="P324" s="1" t="str">
        <f t="shared" si="28"/>
        <v>"GorkaPants_Autumn": 12,</v>
      </c>
      <c r="Q324" s="1" t="str">
        <f t="shared" si="29"/>
        <v>"GorkaPants_Autumn": 5000,</v>
      </c>
      <c r="R324" s="1" t="str">
        <f t="shared" si="30"/>
        <v>"GorkaPants_Autumn": 1,</v>
      </c>
    </row>
    <row r="325" spans="1:18" ht="15" customHeight="1" x14ac:dyDescent="0.25">
      <c r="A325" s="1" t="str">
        <f t="shared" si="26"/>
        <v>#tc_clothes#tc_military#tc_pants</v>
      </c>
      <c r="B325" s="1">
        <f>VLOOKUP(A325,TraderCategory!$A$63:$E$556,2,FALSE)</f>
        <v>12</v>
      </c>
      <c r="C325" s="1">
        <f>VLOOKUP(A325,TraderCategory!$A$63:$F$556,6,FALSE)</f>
        <v>1</v>
      </c>
      <c r="D325" s="1" t="str">
        <f>VLOOKUP(C325,Tabulka5[],3,FALSE)</f>
        <v>Private First Class</v>
      </c>
      <c r="E325" s="1">
        <v>1</v>
      </c>
      <c r="F325" s="1" t="str">
        <f>VLOOKUP(E325,Tabulka5[],3,FALSE)</f>
        <v>Private First Class</v>
      </c>
      <c r="G325" s="1" t="s">
        <v>3115</v>
      </c>
      <c r="H325" s="1" t="s">
        <v>677</v>
      </c>
      <c r="I325" s="1" t="s">
        <v>403</v>
      </c>
      <c r="J325" s="1" t="s">
        <v>2728</v>
      </c>
      <c r="K325" s="1" t="s">
        <v>2729</v>
      </c>
      <c r="L325" s="1" t="s">
        <v>3133</v>
      </c>
      <c r="M325" s="1">
        <v>5000</v>
      </c>
      <c r="N325" s="1">
        <v>1</v>
      </c>
      <c r="O325" s="1" t="str">
        <f t="shared" si="27"/>
        <v>"GorkaPants_Flat": 1,</v>
      </c>
      <c r="P325" s="1" t="str">
        <f t="shared" si="28"/>
        <v>"GorkaPants_Flat": 12,</v>
      </c>
      <c r="Q325" s="1" t="str">
        <f t="shared" si="29"/>
        <v>"GorkaPants_Flat": 5000,</v>
      </c>
      <c r="R325" s="1" t="str">
        <f t="shared" si="30"/>
        <v>"GorkaPants_Flat": 1,</v>
      </c>
    </row>
    <row r="326" spans="1:18" ht="15" customHeight="1" x14ac:dyDescent="0.25">
      <c r="A326" s="1" t="str">
        <f t="shared" si="26"/>
        <v>#tc_clothes#tc_military#tc_pants</v>
      </c>
      <c r="B326" s="1">
        <f>VLOOKUP(A326,TraderCategory!$A$63:$E$556,2,FALSE)</f>
        <v>12</v>
      </c>
      <c r="C326" s="1">
        <f>VLOOKUP(A326,TraderCategory!$A$63:$F$556,6,FALSE)</f>
        <v>1</v>
      </c>
      <c r="D326" s="1" t="str">
        <f>VLOOKUP(C326,Tabulka5[],3,FALSE)</f>
        <v>Private First Class</v>
      </c>
      <c r="E326" s="1">
        <v>1</v>
      </c>
      <c r="F326" s="1" t="str">
        <f>VLOOKUP(E326,Tabulka5[],3,FALSE)</f>
        <v>Private First Class</v>
      </c>
      <c r="G326" s="1" t="s">
        <v>3115</v>
      </c>
      <c r="H326" s="1" t="s">
        <v>678</v>
      </c>
      <c r="I326" s="1" t="s">
        <v>403</v>
      </c>
      <c r="J326" s="1" t="s">
        <v>2728</v>
      </c>
      <c r="K326" s="1" t="s">
        <v>2729</v>
      </c>
      <c r="L326" s="1" t="s">
        <v>3133</v>
      </c>
      <c r="M326" s="1">
        <v>5000</v>
      </c>
      <c r="N326" s="1">
        <v>1</v>
      </c>
      <c r="O326" s="1" t="str">
        <f t="shared" si="27"/>
        <v>"GorkaPants_PautRev": 1,</v>
      </c>
      <c r="P326" s="1" t="str">
        <f t="shared" si="28"/>
        <v>"GorkaPants_PautRev": 12,</v>
      </c>
      <c r="Q326" s="1" t="str">
        <f t="shared" si="29"/>
        <v>"GorkaPants_PautRev": 5000,</v>
      </c>
      <c r="R326" s="1" t="str">
        <f t="shared" si="30"/>
        <v>"GorkaPants_PautRev": 1,</v>
      </c>
    </row>
    <row r="327" spans="1:18" ht="15" customHeight="1" x14ac:dyDescent="0.25">
      <c r="A327" s="1" t="str">
        <f t="shared" si="26"/>
        <v>#tc_clothes#tc_military#tc_pants</v>
      </c>
      <c r="B327" s="1">
        <f>VLOOKUP(A327,TraderCategory!$A$63:$E$556,2,FALSE)</f>
        <v>12</v>
      </c>
      <c r="C327" s="1">
        <f>VLOOKUP(A327,TraderCategory!$A$63:$F$556,6,FALSE)</f>
        <v>1</v>
      </c>
      <c r="D327" s="1" t="str">
        <f>VLOOKUP(C327,Tabulka5[],3,FALSE)</f>
        <v>Private First Class</v>
      </c>
      <c r="E327" s="1">
        <v>1</v>
      </c>
      <c r="F327" s="1" t="str">
        <f>VLOOKUP(E327,Tabulka5[],3,FALSE)</f>
        <v>Private First Class</v>
      </c>
      <c r="G327" s="1" t="s">
        <v>3115</v>
      </c>
      <c r="H327" s="1" t="s">
        <v>679</v>
      </c>
      <c r="I327" s="1" t="s">
        <v>403</v>
      </c>
      <c r="J327" s="1" t="s">
        <v>2728</v>
      </c>
      <c r="K327" s="1" t="s">
        <v>2729</v>
      </c>
      <c r="L327" s="1" t="s">
        <v>3133</v>
      </c>
      <c r="M327" s="1">
        <v>5000</v>
      </c>
      <c r="N327" s="1">
        <v>1</v>
      </c>
      <c r="O327" s="1" t="str">
        <f t="shared" si="27"/>
        <v>"GorkaPants_Summer": 1,</v>
      </c>
      <c r="P327" s="1" t="str">
        <f t="shared" si="28"/>
        <v>"GorkaPants_Summer": 12,</v>
      </c>
      <c r="Q327" s="1" t="str">
        <f t="shared" si="29"/>
        <v>"GorkaPants_Summer": 5000,</v>
      </c>
      <c r="R327" s="1" t="str">
        <f t="shared" si="30"/>
        <v>"GorkaPants_Summer": 1,</v>
      </c>
    </row>
    <row r="328" spans="1:18" ht="15" customHeight="1" x14ac:dyDescent="0.25">
      <c r="A328" s="1" t="str">
        <f t="shared" si="26"/>
        <v>#tc_clothes#tc_military#tc_head</v>
      </c>
      <c r="B328" s="1">
        <f>VLOOKUP(A328,TraderCategory!$A$63:$E$556,2,FALSE)</f>
        <v>8</v>
      </c>
      <c r="C328" s="1">
        <f>VLOOKUP(A328,TraderCategory!$A$63:$F$556,6,FALSE)</f>
        <v>1</v>
      </c>
      <c r="D328" s="1" t="str">
        <f>VLOOKUP(C328,Tabulka5[],3,FALSE)</f>
        <v>Private First Class</v>
      </c>
      <c r="E328" s="1">
        <v>1</v>
      </c>
      <c r="F328" s="1" t="str">
        <f>VLOOKUP(E328,Tabulka5[],3,FALSE)</f>
        <v>Private First Class</v>
      </c>
      <c r="G328" s="1" t="s">
        <v>3115</v>
      </c>
      <c r="H328" s="1" t="s">
        <v>680</v>
      </c>
      <c r="I328" s="1" t="s">
        <v>403</v>
      </c>
      <c r="J328" s="1" t="s">
        <v>2728</v>
      </c>
      <c r="K328" s="1" t="s">
        <v>2729</v>
      </c>
      <c r="L328" s="1" t="s">
        <v>3130</v>
      </c>
      <c r="M328" s="1">
        <v>5000</v>
      </c>
      <c r="N328" s="1">
        <v>1</v>
      </c>
      <c r="O328" s="1" t="str">
        <f t="shared" si="27"/>
        <v>"GreatHelm": 1,</v>
      </c>
      <c r="P328" s="1" t="str">
        <f t="shared" si="28"/>
        <v>"GreatHelm": 8,</v>
      </c>
      <c r="Q328" s="1" t="str">
        <f t="shared" si="29"/>
        <v>"GreatHelm": 5000,</v>
      </c>
      <c r="R328" s="1" t="str">
        <f t="shared" si="30"/>
        <v>"GreatHelm": 1,</v>
      </c>
    </row>
    <row r="329" spans="1:18" ht="15" customHeight="1" x14ac:dyDescent="0.25">
      <c r="A329" s="1" t="str">
        <f t="shared" si="26"/>
        <v>#tc_groceries#tc_food#tc_fruits</v>
      </c>
      <c r="B329" s="1">
        <f>VLOOKUP(A329,TraderCategory!$A$63:$E$556,2,FALSE)</f>
        <v>20</v>
      </c>
      <c r="C329" s="1">
        <f>VLOOKUP(A329,TraderCategory!$A$63:$F$556,6,FALSE)</f>
        <v>3</v>
      </c>
      <c r="D329" s="1" t="str">
        <f>VLOOKUP(C329,Tabulka5[],3,FALSE)</f>
        <v>Sergeant</v>
      </c>
      <c r="E329" s="1">
        <v>3</v>
      </c>
      <c r="F329" s="1" t="str">
        <f>VLOOKUP(E329,Tabulka5[],3,FALSE)</f>
        <v>Sergeant</v>
      </c>
      <c r="G329" s="1" t="s">
        <v>3115</v>
      </c>
      <c r="H329" s="1" t="s">
        <v>681</v>
      </c>
      <c r="I329" s="1" t="s">
        <v>399</v>
      </c>
      <c r="J329" s="1" t="s">
        <v>3127</v>
      </c>
      <c r="K329" s="1" t="s">
        <v>2730</v>
      </c>
      <c r="L329" s="1" t="s">
        <v>3142</v>
      </c>
      <c r="M329" s="1">
        <v>300</v>
      </c>
      <c r="N329" s="1">
        <v>1</v>
      </c>
      <c r="O329" s="1" t="str">
        <f t="shared" si="27"/>
        <v>"GreenBellPepper": 1,</v>
      </c>
      <c r="P329" s="1" t="str">
        <f t="shared" si="28"/>
        <v>"GreenBellPepper": 20,</v>
      </c>
      <c r="Q329" s="1" t="str">
        <f t="shared" si="29"/>
        <v>"GreenBellPepper": 300,</v>
      </c>
      <c r="R329" s="1" t="str">
        <f t="shared" si="30"/>
        <v>"GreenBellPepper": 3,</v>
      </c>
    </row>
    <row r="330" spans="1:18" ht="15" customHeight="1" x14ac:dyDescent="0.25">
      <c r="A330" s="1" t="str">
        <f t="shared" ref="A330:A331" si="31">CONCATENATE(J330,K330,L330)</f>
        <v>#tc_groceries#tc_tools#tc_materials</v>
      </c>
      <c r="B330" s="1">
        <f>VLOOKUP(A330,TraderCategory!$A$63:$E$556,2,FALSE)</f>
        <v>39</v>
      </c>
      <c r="C330" s="1">
        <f>VLOOKUP(A330,TraderCategory!$A$63:$F$556,6,FALSE)</f>
        <v>3</v>
      </c>
      <c r="D330" s="1" t="str">
        <f>VLOOKUP(C330,Tabulka5[],3,FALSE)</f>
        <v>Sergeant</v>
      </c>
      <c r="E330" s="1">
        <v>15</v>
      </c>
      <c r="F330" s="1" t="str">
        <f>VLOOKUP(E330,Tabulka5[],3,FALSE)</f>
        <v>Colonel</v>
      </c>
      <c r="G330" s="1" t="s">
        <v>3115</v>
      </c>
      <c r="H330" s="1" t="s">
        <v>3177</v>
      </c>
      <c r="I330" s="1" t="s">
        <v>426</v>
      </c>
      <c r="J330" s="1" t="s">
        <v>3127</v>
      </c>
      <c r="K330" s="1" t="s">
        <v>2740</v>
      </c>
      <c r="L330" s="1" t="s">
        <v>2741</v>
      </c>
      <c r="M330" s="1">
        <v>10000</v>
      </c>
      <c r="N330" s="1">
        <v>1</v>
      </c>
      <c r="O330" s="1" t="str">
        <f t="shared" si="27"/>
        <v>"WoodenLog": 1,</v>
      </c>
      <c r="P330" s="1" t="str">
        <f t="shared" si="28"/>
        <v>"WoodenLog": 39,</v>
      </c>
      <c r="Q330" s="1" t="str">
        <f t="shared" si="29"/>
        <v>"WoodenLog": 10000,</v>
      </c>
      <c r="R330" s="1" t="str">
        <f t="shared" si="30"/>
        <v>"WoodenLog": 15,</v>
      </c>
    </row>
    <row r="331" spans="1:18" ht="15" customHeight="1" x14ac:dyDescent="0.25">
      <c r="A331" s="1" t="str">
        <f t="shared" si="31"/>
        <v>#tc_groceries#tc_tools#tc_materials</v>
      </c>
      <c r="B331" s="1">
        <f>VLOOKUP(A331,TraderCategory!$A$63:$E$556,2,FALSE)</f>
        <v>39</v>
      </c>
      <c r="C331" s="1">
        <f>VLOOKUP(A331,TraderCategory!$A$63:$F$556,6,FALSE)</f>
        <v>3</v>
      </c>
      <c r="D331" s="1" t="str">
        <f>VLOOKUP(C331,Tabulka5[],3,FALSE)</f>
        <v>Sergeant</v>
      </c>
      <c r="E331" s="1">
        <v>10</v>
      </c>
      <c r="F331" s="1" t="str">
        <f>VLOOKUP(E331,Tabulka5[],3,FALSE)</f>
        <v>Second Lieutenant</v>
      </c>
      <c r="G331" s="1" t="s">
        <v>3115</v>
      </c>
      <c r="H331" s="1" t="s">
        <v>2780</v>
      </c>
      <c r="I331" s="1" t="s">
        <v>426</v>
      </c>
      <c r="J331" s="1" t="s">
        <v>3127</v>
      </c>
      <c r="K331" s="1" t="s">
        <v>2740</v>
      </c>
      <c r="L331" s="1" t="s">
        <v>2741</v>
      </c>
      <c r="M331" s="1">
        <v>15000</v>
      </c>
      <c r="N331" s="1">
        <v>1</v>
      </c>
      <c r="O331" s="1" t="str">
        <f t="shared" si="27"/>
        <v>"WoodenPlank": 1,</v>
      </c>
      <c r="P331" s="1" t="str">
        <f t="shared" si="28"/>
        <v>"WoodenPlank": 39,</v>
      </c>
      <c r="Q331" s="1" t="str">
        <f t="shared" si="29"/>
        <v>"WoodenPlank": 15000,</v>
      </c>
      <c r="R331" s="1" t="str">
        <f t="shared" si="30"/>
        <v>"WoodenPlank": 10,</v>
      </c>
    </row>
    <row r="332" spans="1:18" ht="15" customHeight="1" x14ac:dyDescent="0.25">
      <c r="A332" s="1" t="str">
        <f t="shared" ref="A332:A395" si="32">CONCATENATE(J332,K332,L332)</f>
        <v>#tc_groceries#tc_tools#tc_tools</v>
      </c>
      <c r="B332" s="1">
        <f>VLOOKUP(A332,TraderCategory!$A$63:$E$556,2,FALSE)</f>
        <v>30</v>
      </c>
      <c r="C332" s="1">
        <f>VLOOKUP(A332,TraderCategory!$A$63:$F$556,6,FALSE)</f>
        <v>0</v>
      </c>
      <c r="D332" s="1" t="str">
        <f>VLOOKUP(C332,Tabulka5[],3,FALSE)</f>
        <v>Private</v>
      </c>
      <c r="E332" s="1">
        <v>0</v>
      </c>
      <c r="F332" s="1" t="str">
        <f>VLOOKUP(E332,Tabulka5[],3,FALSE)</f>
        <v>Private</v>
      </c>
      <c r="G332" s="1" t="s">
        <v>3115</v>
      </c>
      <c r="H332" s="1" t="s">
        <v>682</v>
      </c>
      <c r="I332" s="1" t="s">
        <v>426</v>
      </c>
      <c r="J332" s="1" t="s">
        <v>3127</v>
      </c>
      <c r="K332" s="1" t="s">
        <v>2740</v>
      </c>
      <c r="L332" s="1" t="s">
        <v>2740</v>
      </c>
      <c r="M332" s="1">
        <v>600</v>
      </c>
      <c r="N332" s="1">
        <v>1</v>
      </c>
      <c r="O332" s="1" t="str">
        <f t="shared" si="27"/>
        <v>"Hacksaw": 1,</v>
      </c>
      <c r="P332" s="1" t="str">
        <f t="shared" si="28"/>
        <v>"Hacksaw": 30,</v>
      </c>
      <c r="Q332" s="1" t="str">
        <f t="shared" si="29"/>
        <v>"Hacksaw": 600,</v>
      </c>
      <c r="R332" s="1" t="str">
        <f t="shared" si="30"/>
        <v>"Hacksaw": 0,</v>
      </c>
    </row>
    <row r="333" spans="1:18" ht="15" customHeight="1" x14ac:dyDescent="0.25">
      <c r="A333" s="1" t="str">
        <f t="shared" si="32"/>
        <v>#tc_groceries#tc_tools#tc_tools</v>
      </c>
      <c r="B333" s="1">
        <f>VLOOKUP(A333,TraderCategory!$A$63:$E$556,2,FALSE)</f>
        <v>30</v>
      </c>
      <c r="C333" s="1">
        <f>VLOOKUP(A333,TraderCategory!$A$63:$F$556,6,FALSE)</f>
        <v>0</v>
      </c>
      <c r="D333" s="1" t="str">
        <f>VLOOKUP(C333,Tabulka5[],3,FALSE)</f>
        <v>Private</v>
      </c>
      <c r="E333" s="1">
        <v>0</v>
      </c>
      <c r="F333" s="1" t="str">
        <f>VLOOKUP(E333,Tabulka5[],3,FALSE)</f>
        <v>Private</v>
      </c>
      <c r="G333" s="1" t="s">
        <v>3115</v>
      </c>
      <c r="H333" s="1" t="s">
        <v>683</v>
      </c>
      <c r="I333" s="1" t="s">
        <v>426</v>
      </c>
      <c r="J333" s="1" t="s">
        <v>3127</v>
      </c>
      <c r="K333" s="1" t="s">
        <v>2740</v>
      </c>
      <c r="L333" s="1" t="s">
        <v>2740</v>
      </c>
      <c r="M333" s="1">
        <v>300</v>
      </c>
      <c r="N333" s="1">
        <v>1</v>
      </c>
      <c r="O333" s="1" t="str">
        <f t="shared" si="27"/>
        <v>"Hammer": 1,</v>
      </c>
      <c r="P333" s="1" t="str">
        <f t="shared" si="28"/>
        <v>"Hammer": 30,</v>
      </c>
      <c r="Q333" s="1" t="str">
        <f t="shared" si="29"/>
        <v>"Hammer": 300,</v>
      </c>
      <c r="R333" s="1" t="str">
        <f t="shared" si="30"/>
        <v>"Hammer": 0,</v>
      </c>
    </row>
    <row r="334" spans="1:18" ht="15" customHeight="1" x14ac:dyDescent="0.25">
      <c r="A334" s="1" t="str">
        <f t="shared" si="32"/>
        <v>#tc_groceries#tc_tools#tc_tools</v>
      </c>
      <c r="B334" s="1">
        <f>VLOOKUP(A334,TraderCategory!$A$63:$E$556,2,FALSE)</f>
        <v>30</v>
      </c>
      <c r="C334" s="1">
        <f>VLOOKUP(A334,TraderCategory!$A$63:$F$556,6,FALSE)</f>
        <v>0</v>
      </c>
      <c r="D334" s="1" t="str">
        <f>VLOOKUP(C334,Tabulka5[],3,FALSE)</f>
        <v>Private</v>
      </c>
      <c r="E334" s="1">
        <v>0</v>
      </c>
      <c r="F334" s="1" t="str">
        <f>VLOOKUP(E334,Tabulka5[],3,FALSE)</f>
        <v>Private</v>
      </c>
      <c r="G334" s="1" t="s">
        <v>3115</v>
      </c>
      <c r="H334" s="1" t="s">
        <v>684</v>
      </c>
      <c r="I334" s="1" t="s">
        <v>426</v>
      </c>
      <c r="J334" s="1" t="s">
        <v>3127</v>
      </c>
      <c r="K334" s="1" t="s">
        <v>2740</v>
      </c>
      <c r="L334" s="1" t="s">
        <v>2740</v>
      </c>
      <c r="M334" s="1">
        <v>600</v>
      </c>
      <c r="N334" s="1">
        <v>1</v>
      </c>
      <c r="O334" s="1" t="str">
        <f t="shared" si="27"/>
        <v>"HandSaw": 1,</v>
      </c>
      <c r="P334" s="1" t="str">
        <f t="shared" si="28"/>
        <v>"HandSaw": 30,</v>
      </c>
      <c r="Q334" s="1" t="str">
        <f t="shared" si="29"/>
        <v>"HandSaw": 600,</v>
      </c>
      <c r="R334" s="1" t="str">
        <f t="shared" si="30"/>
        <v>"HandSaw": 0,</v>
      </c>
    </row>
    <row r="335" spans="1:18" ht="15" customHeight="1" x14ac:dyDescent="0.25">
      <c r="A335" s="1" t="str">
        <f t="shared" si="32"/>
        <v>#tc_groceries#tc_tools#tc_tools</v>
      </c>
      <c r="B335" s="1">
        <f>VLOOKUP(A335,TraderCategory!$A$63:$E$556,2,FALSE)</f>
        <v>30</v>
      </c>
      <c r="C335" s="1">
        <f>VLOOKUP(A335,TraderCategory!$A$63:$F$556,6,FALSE)</f>
        <v>0</v>
      </c>
      <c r="D335" s="1" t="str">
        <f>VLOOKUP(C335,Tabulka5[],3,FALSE)</f>
        <v>Private</v>
      </c>
      <c r="E335" s="1">
        <v>0</v>
      </c>
      <c r="F335" s="1" t="str">
        <f>VLOOKUP(E335,Tabulka5[],3,FALSE)</f>
        <v>Private</v>
      </c>
      <c r="G335" s="1" t="s">
        <v>3115</v>
      </c>
      <c r="H335" s="1" t="s">
        <v>685</v>
      </c>
      <c r="I335" s="1" t="s">
        <v>426</v>
      </c>
      <c r="J335" s="1" t="s">
        <v>3127</v>
      </c>
      <c r="K335" s="1" t="s">
        <v>2740</v>
      </c>
      <c r="L335" s="1" t="s">
        <v>2740</v>
      </c>
      <c r="M335" s="1">
        <v>200</v>
      </c>
      <c r="N335" s="1">
        <v>1</v>
      </c>
      <c r="O335" s="1" t="str">
        <f t="shared" si="27"/>
        <v>"HandcuffKeys": 1,</v>
      </c>
      <c r="P335" s="1" t="str">
        <f t="shared" si="28"/>
        <v>"HandcuffKeys": 30,</v>
      </c>
      <c r="Q335" s="1" t="str">
        <f t="shared" si="29"/>
        <v>"HandcuffKeys": 200,</v>
      </c>
      <c r="R335" s="1" t="str">
        <f t="shared" si="30"/>
        <v>"HandcuffKeys": 0,</v>
      </c>
    </row>
    <row r="336" spans="1:18" ht="15" customHeight="1" x14ac:dyDescent="0.25">
      <c r="A336" s="1" t="str">
        <f t="shared" si="32"/>
        <v>#tc_groceries#tc_tools#tc_tools</v>
      </c>
      <c r="B336" s="1">
        <f>VLOOKUP(A336,TraderCategory!$A$63:$E$556,2,FALSE)</f>
        <v>30</v>
      </c>
      <c r="C336" s="1">
        <f>VLOOKUP(A336,TraderCategory!$A$63:$F$556,6,FALSE)</f>
        <v>0</v>
      </c>
      <c r="D336" s="1" t="str">
        <f>VLOOKUP(C336,Tabulka5[],3,FALSE)</f>
        <v>Private</v>
      </c>
      <c r="E336" s="1">
        <v>0</v>
      </c>
      <c r="F336" s="1" t="str">
        <f>VLOOKUP(E336,Tabulka5[],3,FALSE)</f>
        <v>Private</v>
      </c>
      <c r="G336" s="1" t="s">
        <v>3115</v>
      </c>
      <c r="H336" s="1" t="s">
        <v>686</v>
      </c>
      <c r="I336" s="1" t="s">
        <v>426</v>
      </c>
      <c r="J336" s="1" t="s">
        <v>3127</v>
      </c>
      <c r="K336" s="1" t="s">
        <v>2740</v>
      </c>
      <c r="L336" s="1" t="s">
        <v>2740</v>
      </c>
      <c r="M336" s="1">
        <v>800</v>
      </c>
      <c r="N336" s="1">
        <v>1</v>
      </c>
      <c r="O336" s="1" t="str">
        <f t="shared" si="27"/>
        <v>"Handcuffs": 1,</v>
      </c>
      <c r="P336" s="1" t="str">
        <f t="shared" si="28"/>
        <v>"Handcuffs": 30,</v>
      </c>
      <c r="Q336" s="1" t="str">
        <f t="shared" si="29"/>
        <v>"Handcuffs": 800,</v>
      </c>
      <c r="R336" s="1" t="str">
        <f t="shared" si="30"/>
        <v>"Handcuffs": 0,</v>
      </c>
    </row>
    <row r="337" spans="1:18" ht="15" customHeight="1" x14ac:dyDescent="0.25">
      <c r="A337" s="1" t="str">
        <f t="shared" si="32"/>
        <v>#tc_vehicles#tc_parts#tc_doors</v>
      </c>
      <c r="B337" s="1">
        <f>VLOOKUP(A337,TraderCategory!$A$63:$E$556,2,FALSE)</f>
        <v>70</v>
      </c>
      <c r="C337" s="1">
        <f>VLOOKUP(A337,TraderCategory!$A$63:$F$556,6,FALSE)</f>
        <v>3</v>
      </c>
      <c r="D337" s="1" t="str">
        <f>VLOOKUP(C337,Tabulka5[],3,FALSE)</f>
        <v>Sergeant</v>
      </c>
      <c r="E337" s="1">
        <v>3</v>
      </c>
      <c r="F337" s="1" t="str">
        <f>VLOOKUP(E337,Tabulka5[],3,FALSE)</f>
        <v>Sergeant</v>
      </c>
      <c r="G337" s="1" t="s">
        <v>3115</v>
      </c>
      <c r="H337" s="1" t="s">
        <v>687</v>
      </c>
      <c r="I337" s="1" t="s">
        <v>426</v>
      </c>
      <c r="J337" s="1" t="s">
        <v>2743</v>
      </c>
      <c r="K337" s="1" t="s">
        <v>2742</v>
      </c>
      <c r="L337" s="1" t="s">
        <v>3170</v>
      </c>
      <c r="M337" s="1">
        <v>4000</v>
      </c>
      <c r="N337" s="1">
        <v>1</v>
      </c>
      <c r="O337" s="1" t="str">
        <f t="shared" si="27"/>
        <v>"HatchbackDoors_CoDriver": 1,</v>
      </c>
      <c r="P337" s="1" t="str">
        <f t="shared" si="28"/>
        <v>"HatchbackDoors_CoDriver": 70,</v>
      </c>
      <c r="Q337" s="1" t="str">
        <f t="shared" si="29"/>
        <v>"HatchbackDoors_CoDriver": 4000,</v>
      </c>
      <c r="R337" s="1" t="str">
        <f t="shared" si="30"/>
        <v>"HatchbackDoors_CoDriver": 3,</v>
      </c>
    </row>
    <row r="338" spans="1:18" ht="15" customHeight="1" x14ac:dyDescent="0.25">
      <c r="A338" s="1" t="str">
        <f t="shared" si="32"/>
        <v>#tc_vehicles#tc_parts#tc_doors</v>
      </c>
      <c r="B338" s="1">
        <f>VLOOKUP(A338,TraderCategory!$A$63:$E$556,2,FALSE)</f>
        <v>70</v>
      </c>
      <c r="C338" s="1">
        <f>VLOOKUP(A338,TraderCategory!$A$63:$F$556,6,FALSE)</f>
        <v>3</v>
      </c>
      <c r="D338" s="1" t="str">
        <f>VLOOKUP(C338,Tabulka5[],3,FALSE)</f>
        <v>Sergeant</v>
      </c>
      <c r="E338" s="1">
        <v>3</v>
      </c>
      <c r="F338" s="1" t="str">
        <f>VLOOKUP(E338,Tabulka5[],3,FALSE)</f>
        <v>Sergeant</v>
      </c>
      <c r="G338" s="1" t="s">
        <v>3115</v>
      </c>
      <c r="H338" s="1" t="s">
        <v>688</v>
      </c>
      <c r="I338" s="1" t="s">
        <v>426</v>
      </c>
      <c r="J338" s="1" t="s">
        <v>2743</v>
      </c>
      <c r="K338" s="1" t="s">
        <v>2742</v>
      </c>
      <c r="L338" s="1" t="s">
        <v>3170</v>
      </c>
      <c r="M338" s="1">
        <v>4000</v>
      </c>
      <c r="N338" s="1">
        <v>1</v>
      </c>
      <c r="O338" s="1" t="str">
        <f t="shared" si="27"/>
        <v>"HatchbackDoors_CoDriver_Blue": 1,</v>
      </c>
      <c r="P338" s="1" t="str">
        <f t="shared" si="28"/>
        <v>"HatchbackDoors_CoDriver_Blue": 70,</v>
      </c>
      <c r="Q338" s="1" t="str">
        <f t="shared" si="29"/>
        <v>"HatchbackDoors_CoDriver_Blue": 4000,</v>
      </c>
      <c r="R338" s="1" t="str">
        <f t="shared" si="30"/>
        <v>"HatchbackDoors_CoDriver_Blue": 3,</v>
      </c>
    </row>
    <row r="339" spans="1:18" ht="15" customHeight="1" x14ac:dyDescent="0.25">
      <c r="A339" s="1" t="str">
        <f t="shared" si="32"/>
        <v>#tc_vehicles#tc_parts#tc_doors</v>
      </c>
      <c r="B339" s="1">
        <f>VLOOKUP(A339,TraderCategory!$A$63:$E$556,2,FALSE)</f>
        <v>70</v>
      </c>
      <c r="C339" s="1">
        <f>VLOOKUP(A339,TraderCategory!$A$63:$F$556,6,FALSE)</f>
        <v>3</v>
      </c>
      <c r="D339" s="1" t="str">
        <f>VLOOKUP(C339,Tabulka5[],3,FALSE)</f>
        <v>Sergeant</v>
      </c>
      <c r="E339" s="1">
        <v>3</v>
      </c>
      <c r="F339" s="1" t="str">
        <f>VLOOKUP(E339,Tabulka5[],3,FALSE)</f>
        <v>Sergeant</v>
      </c>
      <c r="G339" s="1" t="s">
        <v>3115</v>
      </c>
      <c r="H339" s="1" t="s">
        <v>689</v>
      </c>
      <c r="I339" s="1" t="s">
        <v>426</v>
      </c>
      <c r="J339" s="1" t="s">
        <v>2743</v>
      </c>
      <c r="K339" s="1" t="s">
        <v>2742</v>
      </c>
      <c r="L339" s="1" t="s">
        <v>3170</v>
      </c>
      <c r="M339" s="1">
        <v>4000</v>
      </c>
      <c r="N339" s="1">
        <v>1</v>
      </c>
      <c r="O339" s="1" t="str">
        <f t="shared" si="27"/>
        <v>"HatchbackDoors_CoDriver_White": 1,</v>
      </c>
      <c r="P339" s="1" t="str">
        <f t="shared" si="28"/>
        <v>"HatchbackDoors_CoDriver_White": 70,</v>
      </c>
      <c r="Q339" s="1" t="str">
        <f t="shared" si="29"/>
        <v>"HatchbackDoors_CoDriver_White": 4000,</v>
      </c>
      <c r="R339" s="1" t="str">
        <f t="shared" si="30"/>
        <v>"HatchbackDoors_CoDriver_White": 3,</v>
      </c>
    </row>
    <row r="340" spans="1:18" ht="15" customHeight="1" x14ac:dyDescent="0.25">
      <c r="A340" s="1" t="str">
        <f t="shared" si="32"/>
        <v>#tc_vehicles#tc_parts#tc_doors</v>
      </c>
      <c r="B340" s="1">
        <f>VLOOKUP(A340,TraderCategory!$A$63:$E$556,2,FALSE)</f>
        <v>70</v>
      </c>
      <c r="C340" s="1">
        <f>VLOOKUP(A340,TraderCategory!$A$63:$F$556,6,FALSE)</f>
        <v>3</v>
      </c>
      <c r="D340" s="1" t="str">
        <f>VLOOKUP(C340,Tabulka5[],3,FALSE)</f>
        <v>Sergeant</v>
      </c>
      <c r="E340" s="1">
        <v>3</v>
      </c>
      <c r="F340" s="1" t="str">
        <f>VLOOKUP(E340,Tabulka5[],3,FALSE)</f>
        <v>Sergeant</v>
      </c>
      <c r="G340" s="1" t="s">
        <v>3115</v>
      </c>
      <c r="H340" s="1" t="s">
        <v>690</v>
      </c>
      <c r="I340" s="1" t="s">
        <v>426</v>
      </c>
      <c r="J340" s="1" t="s">
        <v>2743</v>
      </c>
      <c r="K340" s="1" t="s">
        <v>2742</v>
      </c>
      <c r="L340" s="1" t="s">
        <v>3170</v>
      </c>
      <c r="M340" s="1">
        <v>4000</v>
      </c>
      <c r="N340" s="1">
        <v>1</v>
      </c>
      <c r="O340" s="1" t="str">
        <f t="shared" si="27"/>
        <v>"HatchbackDoors_Driver": 1,</v>
      </c>
      <c r="P340" s="1" t="str">
        <f t="shared" si="28"/>
        <v>"HatchbackDoors_Driver": 70,</v>
      </c>
      <c r="Q340" s="1" t="str">
        <f t="shared" si="29"/>
        <v>"HatchbackDoors_Driver": 4000,</v>
      </c>
      <c r="R340" s="1" t="str">
        <f t="shared" si="30"/>
        <v>"HatchbackDoors_Driver": 3,</v>
      </c>
    </row>
    <row r="341" spans="1:18" ht="15" customHeight="1" x14ac:dyDescent="0.25">
      <c r="A341" s="1" t="str">
        <f t="shared" si="32"/>
        <v>#tc_vehicles#tc_parts#tc_doors</v>
      </c>
      <c r="B341" s="1">
        <f>VLOOKUP(A341,TraderCategory!$A$63:$E$556,2,FALSE)</f>
        <v>70</v>
      </c>
      <c r="C341" s="1">
        <f>VLOOKUP(A341,TraderCategory!$A$63:$F$556,6,FALSE)</f>
        <v>3</v>
      </c>
      <c r="D341" s="1" t="str">
        <f>VLOOKUP(C341,Tabulka5[],3,FALSE)</f>
        <v>Sergeant</v>
      </c>
      <c r="E341" s="1">
        <v>3</v>
      </c>
      <c r="F341" s="1" t="str">
        <f>VLOOKUP(E341,Tabulka5[],3,FALSE)</f>
        <v>Sergeant</v>
      </c>
      <c r="G341" s="1" t="s">
        <v>3115</v>
      </c>
      <c r="H341" s="1" t="s">
        <v>691</v>
      </c>
      <c r="I341" s="1" t="s">
        <v>426</v>
      </c>
      <c r="J341" s="1" t="s">
        <v>2743</v>
      </c>
      <c r="K341" s="1" t="s">
        <v>2742</v>
      </c>
      <c r="L341" s="1" t="s">
        <v>3170</v>
      </c>
      <c r="M341" s="1">
        <v>4000</v>
      </c>
      <c r="N341" s="1">
        <v>1</v>
      </c>
      <c r="O341" s="1" t="str">
        <f t="shared" si="27"/>
        <v>"HatchbackDoors_Driver_Blue": 1,</v>
      </c>
      <c r="P341" s="1" t="str">
        <f t="shared" si="28"/>
        <v>"HatchbackDoors_Driver_Blue": 70,</v>
      </c>
      <c r="Q341" s="1" t="str">
        <f t="shared" si="29"/>
        <v>"HatchbackDoors_Driver_Blue": 4000,</v>
      </c>
      <c r="R341" s="1" t="str">
        <f t="shared" si="30"/>
        <v>"HatchbackDoors_Driver_Blue": 3,</v>
      </c>
    </row>
    <row r="342" spans="1:18" ht="15" customHeight="1" x14ac:dyDescent="0.25">
      <c r="A342" s="1" t="str">
        <f t="shared" si="32"/>
        <v>#tc_vehicles#tc_parts#tc_doors</v>
      </c>
      <c r="B342" s="1">
        <f>VLOOKUP(A342,TraderCategory!$A$63:$E$556,2,FALSE)</f>
        <v>70</v>
      </c>
      <c r="C342" s="1">
        <f>VLOOKUP(A342,TraderCategory!$A$63:$F$556,6,FALSE)</f>
        <v>3</v>
      </c>
      <c r="D342" s="1" t="str">
        <f>VLOOKUP(C342,Tabulka5[],3,FALSE)</f>
        <v>Sergeant</v>
      </c>
      <c r="E342" s="1">
        <v>3</v>
      </c>
      <c r="F342" s="1" t="str">
        <f>VLOOKUP(E342,Tabulka5[],3,FALSE)</f>
        <v>Sergeant</v>
      </c>
      <c r="G342" s="1" t="s">
        <v>3115</v>
      </c>
      <c r="H342" s="1" t="s">
        <v>692</v>
      </c>
      <c r="I342" s="1" t="s">
        <v>426</v>
      </c>
      <c r="J342" s="1" t="s">
        <v>2743</v>
      </c>
      <c r="K342" s="1" t="s">
        <v>2742</v>
      </c>
      <c r="L342" s="1" t="s">
        <v>3170</v>
      </c>
      <c r="M342" s="1">
        <v>4000</v>
      </c>
      <c r="N342" s="1">
        <v>1</v>
      </c>
      <c r="O342" s="1" t="str">
        <f t="shared" si="27"/>
        <v>"HatchbackDoors_Driver_White": 1,</v>
      </c>
      <c r="P342" s="1" t="str">
        <f t="shared" si="28"/>
        <v>"HatchbackDoors_Driver_White": 70,</v>
      </c>
      <c r="Q342" s="1" t="str">
        <f t="shared" si="29"/>
        <v>"HatchbackDoors_Driver_White": 4000,</v>
      </c>
      <c r="R342" s="1" t="str">
        <f t="shared" si="30"/>
        <v>"HatchbackDoors_Driver_White": 3,</v>
      </c>
    </row>
    <row r="343" spans="1:18" ht="15" customHeight="1" x14ac:dyDescent="0.25">
      <c r="A343" s="1" t="str">
        <f t="shared" si="32"/>
        <v>#tc_vehicles#tc_parts#tc_hood</v>
      </c>
      <c r="B343" s="1">
        <f>VLOOKUP(A343,TraderCategory!$A$63:$E$556,2,FALSE)</f>
        <v>71</v>
      </c>
      <c r="C343" s="1">
        <f>VLOOKUP(A343,TraderCategory!$A$63:$F$556,6,FALSE)</f>
        <v>3</v>
      </c>
      <c r="D343" s="1" t="str">
        <f>VLOOKUP(C343,Tabulka5[],3,FALSE)</f>
        <v>Sergeant</v>
      </c>
      <c r="E343" s="1">
        <v>3</v>
      </c>
      <c r="F343" s="1" t="str">
        <f>VLOOKUP(E343,Tabulka5[],3,FALSE)</f>
        <v>Sergeant</v>
      </c>
      <c r="G343" s="1" t="s">
        <v>3115</v>
      </c>
      <c r="H343" s="1" t="s">
        <v>693</v>
      </c>
      <c r="I343" s="1" t="s">
        <v>426</v>
      </c>
      <c r="J343" s="1" t="s">
        <v>2743</v>
      </c>
      <c r="K343" s="1" t="s">
        <v>2742</v>
      </c>
      <c r="L343" s="1" t="s">
        <v>3168</v>
      </c>
      <c r="M343" s="1">
        <v>4000</v>
      </c>
      <c r="N343" s="1">
        <v>1</v>
      </c>
      <c r="O343" s="1" t="str">
        <f t="shared" si="27"/>
        <v>"HatchbackHood": 1,</v>
      </c>
      <c r="P343" s="1" t="str">
        <f t="shared" si="28"/>
        <v>"HatchbackHood": 71,</v>
      </c>
      <c r="Q343" s="1" t="str">
        <f t="shared" si="29"/>
        <v>"HatchbackHood": 4000,</v>
      </c>
      <c r="R343" s="1" t="str">
        <f t="shared" si="30"/>
        <v>"HatchbackHood": 3,</v>
      </c>
    </row>
    <row r="344" spans="1:18" ht="15" customHeight="1" x14ac:dyDescent="0.25">
      <c r="A344" s="1" t="str">
        <f t="shared" si="32"/>
        <v>#tc_vehicles#tc_parts#tc_hood</v>
      </c>
      <c r="B344" s="1">
        <f>VLOOKUP(A344,TraderCategory!$A$63:$E$556,2,FALSE)</f>
        <v>71</v>
      </c>
      <c r="C344" s="1">
        <f>VLOOKUP(A344,TraderCategory!$A$63:$F$556,6,FALSE)</f>
        <v>3</v>
      </c>
      <c r="D344" s="1" t="str">
        <f>VLOOKUP(C344,Tabulka5[],3,FALSE)</f>
        <v>Sergeant</v>
      </c>
      <c r="E344" s="1">
        <v>3</v>
      </c>
      <c r="F344" s="1" t="str">
        <f>VLOOKUP(E344,Tabulka5[],3,FALSE)</f>
        <v>Sergeant</v>
      </c>
      <c r="G344" s="1" t="s">
        <v>3115</v>
      </c>
      <c r="H344" s="1" t="s">
        <v>694</v>
      </c>
      <c r="I344" s="1" t="s">
        <v>426</v>
      </c>
      <c r="J344" s="1" t="s">
        <v>2743</v>
      </c>
      <c r="K344" s="1" t="s">
        <v>2742</v>
      </c>
      <c r="L344" s="1" t="s">
        <v>3168</v>
      </c>
      <c r="M344" s="1">
        <v>4000</v>
      </c>
      <c r="N344" s="1">
        <v>1</v>
      </c>
      <c r="O344" s="1" t="str">
        <f t="shared" si="27"/>
        <v>"HatchbackHood_Blue": 1,</v>
      </c>
      <c r="P344" s="1" t="str">
        <f t="shared" si="28"/>
        <v>"HatchbackHood_Blue": 71,</v>
      </c>
      <c r="Q344" s="1" t="str">
        <f t="shared" si="29"/>
        <v>"HatchbackHood_Blue": 4000,</v>
      </c>
      <c r="R344" s="1" t="str">
        <f t="shared" si="30"/>
        <v>"HatchbackHood_Blue": 3,</v>
      </c>
    </row>
    <row r="345" spans="1:18" ht="15" customHeight="1" x14ac:dyDescent="0.25">
      <c r="A345" s="1" t="str">
        <f t="shared" si="32"/>
        <v>#tc_vehicles#tc_parts#tc_hood</v>
      </c>
      <c r="B345" s="1">
        <f>VLOOKUP(A345,TraderCategory!$A$63:$E$556,2,FALSE)</f>
        <v>71</v>
      </c>
      <c r="C345" s="1">
        <f>VLOOKUP(A345,TraderCategory!$A$63:$F$556,6,FALSE)</f>
        <v>3</v>
      </c>
      <c r="D345" s="1" t="str">
        <f>VLOOKUP(C345,Tabulka5[],3,FALSE)</f>
        <v>Sergeant</v>
      </c>
      <c r="E345" s="1">
        <v>3</v>
      </c>
      <c r="F345" s="1" t="str">
        <f>VLOOKUP(E345,Tabulka5[],3,FALSE)</f>
        <v>Sergeant</v>
      </c>
      <c r="G345" s="1" t="s">
        <v>3115</v>
      </c>
      <c r="H345" s="1" t="s">
        <v>695</v>
      </c>
      <c r="I345" s="1" t="s">
        <v>426</v>
      </c>
      <c r="J345" s="1" t="s">
        <v>2743</v>
      </c>
      <c r="K345" s="1" t="s">
        <v>2742</v>
      </c>
      <c r="L345" s="1" t="s">
        <v>3168</v>
      </c>
      <c r="M345" s="1">
        <v>4000</v>
      </c>
      <c r="N345" s="1">
        <v>1</v>
      </c>
      <c r="O345" s="1" t="str">
        <f t="shared" si="27"/>
        <v>"HatchbackHood_White": 1,</v>
      </c>
      <c r="P345" s="1" t="str">
        <f t="shared" si="28"/>
        <v>"HatchbackHood_White": 71,</v>
      </c>
      <c r="Q345" s="1" t="str">
        <f t="shared" si="29"/>
        <v>"HatchbackHood_White": 4000,</v>
      </c>
      <c r="R345" s="1" t="str">
        <f t="shared" si="30"/>
        <v>"HatchbackHood_White": 3,</v>
      </c>
    </row>
    <row r="346" spans="1:18" ht="15" customHeight="1" x14ac:dyDescent="0.25">
      <c r="A346" s="1" t="str">
        <f t="shared" si="32"/>
        <v>#tc_vehicles#tc_parts#tc_trunk</v>
      </c>
      <c r="B346" s="1">
        <f>VLOOKUP(A346,TraderCategory!$A$63:$E$556,2,FALSE)</f>
        <v>72</v>
      </c>
      <c r="C346" s="1">
        <f>VLOOKUP(A346,TraderCategory!$A$63:$F$556,6,FALSE)</f>
        <v>3</v>
      </c>
      <c r="D346" s="1" t="str">
        <f>VLOOKUP(C346,Tabulka5[],3,FALSE)</f>
        <v>Sergeant</v>
      </c>
      <c r="E346" s="1">
        <v>3</v>
      </c>
      <c r="F346" s="1" t="str">
        <f>VLOOKUP(E346,Tabulka5[],3,FALSE)</f>
        <v>Sergeant</v>
      </c>
      <c r="G346" s="1" t="s">
        <v>3115</v>
      </c>
      <c r="H346" s="1" t="s">
        <v>696</v>
      </c>
      <c r="I346" s="1" t="s">
        <v>426</v>
      </c>
      <c r="J346" s="1" t="s">
        <v>2743</v>
      </c>
      <c r="K346" s="1" t="s">
        <v>2742</v>
      </c>
      <c r="L346" s="1" t="s">
        <v>3169</v>
      </c>
      <c r="M346" s="1">
        <v>4000</v>
      </c>
      <c r="N346" s="1">
        <v>1</v>
      </c>
      <c r="O346" s="1" t="str">
        <f t="shared" si="27"/>
        <v>"HatchbackTrunk": 1,</v>
      </c>
      <c r="P346" s="1" t="str">
        <f t="shared" si="28"/>
        <v>"HatchbackTrunk": 72,</v>
      </c>
      <c r="Q346" s="1" t="str">
        <f t="shared" si="29"/>
        <v>"HatchbackTrunk": 4000,</v>
      </c>
      <c r="R346" s="1" t="str">
        <f t="shared" si="30"/>
        <v>"HatchbackTrunk": 3,</v>
      </c>
    </row>
    <row r="347" spans="1:18" ht="15" customHeight="1" x14ac:dyDescent="0.25">
      <c r="A347" s="1" t="str">
        <f t="shared" si="32"/>
        <v>#tc_vehicles#tc_parts#tc_trunk</v>
      </c>
      <c r="B347" s="1">
        <f>VLOOKUP(A347,TraderCategory!$A$63:$E$556,2,FALSE)</f>
        <v>72</v>
      </c>
      <c r="C347" s="1">
        <f>VLOOKUP(A347,TraderCategory!$A$63:$F$556,6,FALSE)</f>
        <v>3</v>
      </c>
      <c r="D347" s="1" t="str">
        <f>VLOOKUP(C347,Tabulka5[],3,FALSE)</f>
        <v>Sergeant</v>
      </c>
      <c r="E347" s="1">
        <v>3</v>
      </c>
      <c r="F347" s="1" t="str">
        <f>VLOOKUP(E347,Tabulka5[],3,FALSE)</f>
        <v>Sergeant</v>
      </c>
      <c r="G347" s="1" t="s">
        <v>3115</v>
      </c>
      <c r="H347" s="1" t="s">
        <v>697</v>
      </c>
      <c r="I347" s="1" t="s">
        <v>426</v>
      </c>
      <c r="J347" s="1" t="s">
        <v>2743</v>
      </c>
      <c r="K347" s="1" t="s">
        <v>2742</v>
      </c>
      <c r="L347" s="1" t="s">
        <v>3169</v>
      </c>
      <c r="M347" s="1">
        <v>4000</v>
      </c>
      <c r="N347" s="1">
        <v>1</v>
      </c>
      <c r="O347" s="1" t="str">
        <f t="shared" si="27"/>
        <v>"HatchbackTrunk_Green": 1,</v>
      </c>
      <c r="P347" s="1" t="str">
        <f t="shared" si="28"/>
        <v>"HatchbackTrunk_Green": 72,</v>
      </c>
      <c r="Q347" s="1" t="str">
        <f t="shared" si="29"/>
        <v>"HatchbackTrunk_Green": 4000,</v>
      </c>
      <c r="R347" s="1" t="str">
        <f t="shared" si="30"/>
        <v>"HatchbackTrunk_Green": 3,</v>
      </c>
    </row>
    <row r="348" spans="1:18" ht="15" customHeight="1" x14ac:dyDescent="0.25">
      <c r="A348" s="1" t="str">
        <f t="shared" si="32"/>
        <v>#tc_vehicles#tc_parts#tc_trunk</v>
      </c>
      <c r="B348" s="1">
        <f>VLOOKUP(A348,TraderCategory!$A$63:$E$556,2,FALSE)</f>
        <v>72</v>
      </c>
      <c r="C348" s="1">
        <f>VLOOKUP(A348,TraderCategory!$A$63:$F$556,6,FALSE)</f>
        <v>3</v>
      </c>
      <c r="D348" s="1" t="str">
        <f>VLOOKUP(C348,Tabulka5[],3,FALSE)</f>
        <v>Sergeant</v>
      </c>
      <c r="E348" s="1">
        <v>3</v>
      </c>
      <c r="F348" s="1" t="str">
        <f>VLOOKUP(E348,Tabulka5[],3,FALSE)</f>
        <v>Sergeant</v>
      </c>
      <c r="G348" s="1" t="s">
        <v>3115</v>
      </c>
      <c r="H348" s="1" t="s">
        <v>698</v>
      </c>
      <c r="I348" s="1" t="s">
        <v>426</v>
      </c>
      <c r="J348" s="1" t="s">
        <v>2743</v>
      </c>
      <c r="K348" s="1" t="s">
        <v>2742</v>
      </c>
      <c r="L348" s="1" t="s">
        <v>3169</v>
      </c>
      <c r="M348" s="1">
        <v>4000</v>
      </c>
      <c r="N348" s="1">
        <v>1</v>
      </c>
      <c r="O348" s="1" t="str">
        <f t="shared" si="27"/>
        <v>"HatchbackTrunk_White": 1,</v>
      </c>
      <c r="P348" s="1" t="str">
        <f t="shared" si="28"/>
        <v>"HatchbackTrunk_White": 72,</v>
      </c>
      <c r="Q348" s="1" t="str">
        <f t="shared" si="29"/>
        <v>"HatchbackTrunk_White": 4000,</v>
      </c>
      <c r="R348" s="1" t="str">
        <f t="shared" si="30"/>
        <v>"HatchbackTrunk_White": 3,</v>
      </c>
    </row>
    <row r="349" spans="1:18" ht="15" customHeight="1" x14ac:dyDescent="0.25">
      <c r="A349" s="1" t="str">
        <f t="shared" si="32"/>
        <v>#tc_vehicles#tc_parts#tc_wheels</v>
      </c>
      <c r="B349" s="1">
        <f>VLOOKUP(A349,TraderCategory!$A$63:$E$556,2,FALSE)</f>
        <v>69</v>
      </c>
      <c r="C349" s="1">
        <f>VLOOKUP(A349,TraderCategory!$A$63:$F$556,6,FALSE)</f>
        <v>3</v>
      </c>
      <c r="D349" s="1" t="str">
        <f>VLOOKUP(C349,Tabulka5[],3,FALSE)</f>
        <v>Sergeant</v>
      </c>
      <c r="E349" s="1">
        <v>3</v>
      </c>
      <c r="F349" s="1" t="str">
        <f>VLOOKUP(E349,Tabulka5[],3,FALSE)</f>
        <v>Sergeant</v>
      </c>
      <c r="G349" s="1" t="s">
        <v>3115</v>
      </c>
      <c r="H349" s="1" t="s">
        <v>699</v>
      </c>
      <c r="I349" s="1" t="s">
        <v>426</v>
      </c>
      <c r="J349" s="1" t="s">
        <v>2743</v>
      </c>
      <c r="K349" s="1" t="s">
        <v>2742</v>
      </c>
      <c r="L349" s="1" t="s">
        <v>3167</v>
      </c>
      <c r="M349" s="1">
        <v>4000</v>
      </c>
      <c r="N349" s="1">
        <v>1</v>
      </c>
      <c r="O349" s="1" t="str">
        <f t="shared" si="27"/>
        <v>"HatchbackWheel": 1,</v>
      </c>
      <c r="P349" s="1" t="str">
        <f t="shared" si="28"/>
        <v>"HatchbackWheel": 69,</v>
      </c>
      <c r="Q349" s="1" t="str">
        <f t="shared" si="29"/>
        <v>"HatchbackWheel": 4000,</v>
      </c>
      <c r="R349" s="1" t="str">
        <f t="shared" si="30"/>
        <v>"HatchbackWheel": 3,</v>
      </c>
    </row>
    <row r="350" spans="1:18" ht="15" customHeight="1" x14ac:dyDescent="0.25">
      <c r="A350" s="1" t="str">
        <f t="shared" si="32"/>
        <v>#tc_vehicles#tc_parts#tc_doors</v>
      </c>
      <c r="B350" s="1">
        <f>VLOOKUP(A350,TraderCategory!$A$63:$E$556,2,FALSE)</f>
        <v>70</v>
      </c>
      <c r="C350" s="1">
        <f>VLOOKUP(A350,TraderCategory!$A$63:$F$556,6,FALSE)</f>
        <v>3</v>
      </c>
      <c r="D350" s="1" t="str">
        <f>VLOOKUP(C350,Tabulka5[],3,FALSE)</f>
        <v>Sergeant</v>
      </c>
      <c r="E350" s="1">
        <v>3</v>
      </c>
      <c r="F350" s="1" t="str">
        <f>VLOOKUP(E350,Tabulka5[],3,FALSE)</f>
        <v>Sergeant</v>
      </c>
      <c r="G350" s="1" t="s">
        <v>3115</v>
      </c>
      <c r="H350" s="1" t="s">
        <v>703</v>
      </c>
      <c r="I350" s="1" t="s">
        <v>426</v>
      </c>
      <c r="J350" s="1" t="s">
        <v>2743</v>
      </c>
      <c r="K350" s="1" t="s">
        <v>2742</v>
      </c>
      <c r="L350" s="1" t="s">
        <v>3170</v>
      </c>
      <c r="M350" s="1">
        <v>4000</v>
      </c>
      <c r="N350" s="1">
        <v>1</v>
      </c>
      <c r="O350" s="1" t="str">
        <f t="shared" si="27"/>
        <v>"Hatchback_02_Door_1_1": 1,</v>
      </c>
      <c r="P350" s="1" t="str">
        <f t="shared" si="28"/>
        <v>"Hatchback_02_Door_1_1": 70,</v>
      </c>
      <c r="Q350" s="1" t="str">
        <f t="shared" si="29"/>
        <v>"Hatchback_02_Door_1_1": 4000,</v>
      </c>
      <c r="R350" s="1" t="str">
        <f t="shared" si="30"/>
        <v>"Hatchback_02_Door_1_1": 3,</v>
      </c>
    </row>
    <row r="351" spans="1:18" ht="15" customHeight="1" x14ac:dyDescent="0.25">
      <c r="A351" s="1" t="str">
        <f t="shared" si="32"/>
        <v>#tc_vehicles#tc_parts#tc_doors</v>
      </c>
      <c r="B351" s="1">
        <f>VLOOKUP(A351,TraderCategory!$A$63:$E$556,2,FALSE)</f>
        <v>70</v>
      </c>
      <c r="C351" s="1">
        <f>VLOOKUP(A351,TraderCategory!$A$63:$F$556,6,FALSE)</f>
        <v>3</v>
      </c>
      <c r="D351" s="1" t="str">
        <f>VLOOKUP(C351,Tabulka5[],3,FALSE)</f>
        <v>Sergeant</v>
      </c>
      <c r="E351" s="1">
        <v>3</v>
      </c>
      <c r="F351" s="1" t="str">
        <f>VLOOKUP(E351,Tabulka5[],3,FALSE)</f>
        <v>Sergeant</v>
      </c>
      <c r="G351" s="1" t="s">
        <v>3115</v>
      </c>
      <c r="H351" s="1" t="s">
        <v>704</v>
      </c>
      <c r="I351" s="1" t="s">
        <v>426</v>
      </c>
      <c r="J351" s="1" t="s">
        <v>2743</v>
      </c>
      <c r="K351" s="1" t="s">
        <v>2742</v>
      </c>
      <c r="L351" s="1" t="s">
        <v>3170</v>
      </c>
      <c r="M351" s="1">
        <v>4000</v>
      </c>
      <c r="N351" s="1">
        <v>1</v>
      </c>
      <c r="O351" s="1" t="str">
        <f t="shared" si="27"/>
        <v>"Hatchback_02_Door_1_1_Black": 1,</v>
      </c>
      <c r="P351" s="1" t="str">
        <f t="shared" si="28"/>
        <v>"Hatchback_02_Door_1_1_Black": 70,</v>
      </c>
      <c r="Q351" s="1" t="str">
        <f t="shared" si="29"/>
        <v>"Hatchback_02_Door_1_1_Black": 4000,</v>
      </c>
      <c r="R351" s="1" t="str">
        <f t="shared" si="30"/>
        <v>"Hatchback_02_Door_1_1_Black": 3,</v>
      </c>
    </row>
    <row r="352" spans="1:18" ht="15" customHeight="1" x14ac:dyDescent="0.25">
      <c r="A352" s="1" t="str">
        <f t="shared" si="32"/>
        <v>#tc_vehicles#tc_parts#tc_doors</v>
      </c>
      <c r="B352" s="1">
        <f>VLOOKUP(A352,TraderCategory!$A$63:$E$556,2,FALSE)</f>
        <v>70</v>
      </c>
      <c r="C352" s="1">
        <f>VLOOKUP(A352,TraderCategory!$A$63:$F$556,6,FALSE)</f>
        <v>3</v>
      </c>
      <c r="D352" s="1" t="str">
        <f>VLOOKUP(C352,Tabulka5[],3,FALSE)</f>
        <v>Sergeant</v>
      </c>
      <c r="E352" s="1">
        <v>3</v>
      </c>
      <c r="F352" s="1" t="str">
        <f>VLOOKUP(E352,Tabulka5[],3,FALSE)</f>
        <v>Sergeant</v>
      </c>
      <c r="G352" s="1" t="s">
        <v>3115</v>
      </c>
      <c r="H352" s="1" t="s">
        <v>705</v>
      </c>
      <c r="I352" s="1" t="s">
        <v>426</v>
      </c>
      <c r="J352" s="1" t="s">
        <v>2743</v>
      </c>
      <c r="K352" s="1" t="s">
        <v>2742</v>
      </c>
      <c r="L352" s="1" t="s">
        <v>3170</v>
      </c>
      <c r="M352" s="1">
        <v>4000</v>
      </c>
      <c r="N352" s="1">
        <v>1</v>
      </c>
      <c r="O352" s="1" t="str">
        <f t="shared" si="27"/>
        <v>"Hatchback_02_Door_1_1_Blue": 1,</v>
      </c>
      <c r="P352" s="1" t="str">
        <f t="shared" si="28"/>
        <v>"Hatchback_02_Door_1_1_Blue": 70,</v>
      </c>
      <c r="Q352" s="1" t="str">
        <f t="shared" si="29"/>
        <v>"Hatchback_02_Door_1_1_Blue": 4000,</v>
      </c>
      <c r="R352" s="1" t="str">
        <f t="shared" si="30"/>
        <v>"Hatchback_02_Door_1_1_Blue": 3,</v>
      </c>
    </row>
    <row r="353" spans="1:18" ht="15" customHeight="1" x14ac:dyDescent="0.25">
      <c r="A353" s="1" t="str">
        <f t="shared" si="32"/>
        <v>#tc_vehicles#tc_parts#tc_doors</v>
      </c>
      <c r="B353" s="1">
        <f>VLOOKUP(A353,TraderCategory!$A$63:$E$556,2,FALSE)</f>
        <v>70</v>
      </c>
      <c r="C353" s="1">
        <f>VLOOKUP(A353,TraderCategory!$A$63:$F$556,6,FALSE)</f>
        <v>3</v>
      </c>
      <c r="D353" s="1" t="str">
        <f>VLOOKUP(C353,Tabulka5[],3,FALSE)</f>
        <v>Sergeant</v>
      </c>
      <c r="E353" s="1">
        <v>3</v>
      </c>
      <c r="F353" s="1" t="str">
        <f>VLOOKUP(E353,Tabulka5[],3,FALSE)</f>
        <v>Sergeant</v>
      </c>
      <c r="G353" s="1" t="s">
        <v>3115</v>
      </c>
      <c r="H353" s="1" t="s">
        <v>706</v>
      </c>
      <c r="I353" s="1" t="s">
        <v>426</v>
      </c>
      <c r="J353" s="1" t="s">
        <v>2743</v>
      </c>
      <c r="K353" s="1" t="s">
        <v>2742</v>
      </c>
      <c r="L353" s="1" t="s">
        <v>3170</v>
      </c>
      <c r="M353" s="1">
        <v>4000</v>
      </c>
      <c r="N353" s="1">
        <v>1</v>
      </c>
      <c r="O353" s="1" t="str">
        <f t="shared" si="27"/>
        <v>"Hatchback_02_Door_1_2": 1,</v>
      </c>
      <c r="P353" s="1" t="str">
        <f t="shared" si="28"/>
        <v>"Hatchback_02_Door_1_2": 70,</v>
      </c>
      <c r="Q353" s="1" t="str">
        <f t="shared" si="29"/>
        <v>"Hatchback_02_Door_1_2": 4000,</v>
      </c>
      <c r="R353" s="1" t="str">
        <f t="shared" si="30"/>
        <v>"Hatchback_02_Door_1_2": 3,</v>
      </c>
    </row>
    <row r="354" spans="1:18" ht="15" customHeight="1" x14ac:dyDescent="0.25">
      <c r="A354" s="1" t="str">
        <f t="shared" si="32"/>
        <v>#tc_vehicles#tc_parts#tc_doors</v>
      </c>
      <c r="B354" s="1">
        <f>VLOOKUP(A354,TraderCategory!$A$63:$E$556,2,FALSE)</f>
        <v>70</v>
      </c>
      <c r="C354" s="1">
        <f>VLOOKUP(A354,TraderCategory!$A$63:$F$556,6,FALSE)</f>
        <v>3</v>
      </c>
      <c r="D354" s="1" t="str">
        <f>VLOOKUP(C354,Tabulka5[],3,FALSE)</f>
        <v>Sergeant</v>
      </c>
      <c r="E354" s="1">
        <v>3</v>
      </c>
      <c r="F354" s="1" t="str">
        <f>VLOOKUP(E354,Tabulka5[],3,FALSE)</f>
        <v>Sergeant</v>
      </c>
      <c r="G354" s="1" t="s">
        <v>3115</v>
      </c>
      <c r="H354" s="1" t="s">
        <v>707</v>
      </c>
      <c r="I354" s="1" t="s">
        <v>426</v>
      </c>
      <c r="J354" s="1" t="s">
        <v>2743</v>
      </c>
      <c r="K354" s="1" t="s">
        <v>2742</v>
      </c>
      <c r="L354" s="1" t="s">
        <v>3170</v>
      </c>
      <c r="M354" s="1">
        <v>4000</v>
      </c>
      <c r="N354" s="1">
        <v>1</v>
      </c>
      <c r="O354" s="1" t="str">
        <f t="shared" si="27"/>
        <v>"Hatchback_02_Door_1_2_Black": 1,</v>
      </c>
      <c r="P354" s="1" t="str">
        <f t="shared" si="28"/>
        <v>"Hatchback_02_Door_1_2_Black": 70,</v>
      </c>
      <c r="Q354" s="1" t="str">
        <f t="shared" si="29"/>
        <v>"Hatchback_02_Door_1_2_Black": 4000,</v>
      </c>
      <c r="R354" s="1" t="str">
        <f t="shared" si="30"/>
        <v>"Hatchback_02_Door_1_2_Black": 3,</v>
      </c>
    </row>
    <row r="355" spans="1:18" ht="15" customHeight="1" x14ac:dyDescent="0.25">
      <c r="A355" s="1" t="str">
        <f t="shared" si="32"/>
        <v>#tc_vehicles#tc_parts#tc_doors</v>
      </c>
      <c r="B355" s="1">
        <f>VLOOKUP(A355,TraderCategory!$A$63:$E$556,2,FALSE)</f>
        <v>70</v>
      </c>
      <c r="C355" s="1">
        <f>VLOOKUP(A355,TraderCategory!$A$63:$F$556,6,FALSE)</f>
        <v>3</v>
      </c>
      <c r="D355" s="1" t="str">
        <f>VLOOKUP(C355,Tabulka5[],3,FALSE)</f>
        <v>Sergeant</v>
      </c>
      <c r="E355" s="1">
        <v>3</v>
      </c>
      <c r="F355" s="1" t="str">
        <f>VLOOKUP(E355,Tabulka5[],3,FALSE)</f>
        <v>Sergeant</v>
      </c>
      <c r="G355" s="1" t="s">
        <v>3115</v>
      </c>
      <c r="H355" s="1" t="s">
        <v>708</v>
      </c>
      <c r="I355" s="1" t="s">
        <v>426</v>
      </c>
      <c r="J355" s="1" t="s">
        <v>2743</v>
      </c>
      <c r="K355" s="1" t="s">
        <v>2742</v>
      </c>
      <c r="L355" s="1" t="s">
        <v>3170</v>
      </c>
      <c r="M355" s="1">
        <v>4000</v>
      </c>
      <c r="N355" s="1">
        <v>1</v>
      </c>
      <c r="O355" s="1" t="str">
        <f t="shared" si="27"/>
        <v>"Hatchback_02_Door_1_2_Blue": 1,</v>
      </c>
      <c r="P355" s="1" t="str">
        <f t="shared" si="28"/>
        <v>"Hatchback_02_Door_1_2_Blue": 70,</v>
      </c>
      <c r="Q355" s="1" t="str">
        <f t="shared" si="29"/>
        <v>"Hatchback_02_Door_1_2_Blue": 4000,</v>
      </c>
      <c r="R355" s="1" t="str">
        <f t="shared" si="30"/>
        <v>"Hatchback_02_Door_1_2_Blue": 3,</v>
      </c>
    </row>
    <row r="356" spans="1:18" ht="15" customHeight="1" x14ac:dyDescent="0.25">
      <c r="A356" s="1" t="str">
        <f t="shared" si="32"/>
        <v>#tc_vehicles#tc_parts#tc_doors</v>
      </c>
      <c r="B356" s="1">
        <f>VLOOKUP(A356,TraderCategory!$A$63:$E$556,2,FALSE)</f>
        <v>70</v>
      </c>
      <c r="C356" s="1">
        <f>VLOOKUP(A356,TraderCategory!$A$63:$F$556,6,FALSE)</f>
        <v>3</v>
      </c>
      <c r="D356" s="1" t="str">
        <f>VLOOKUP(C356,Tabulka5[],3,FALSE)</f>
        <v>Sergeant</v>
      </c>
      <c r="E356" s="1">
        <v>3</v>
      </c>
      <c r="F356" s="1" t="str">
        <f>VLOOKUP(E356,Tabulka5[],3,FALSE)</f>
        <v>Sergeant</v>
      </c>
      <c r="G356" s="1" t="s">
        <v>3115</v>
      </c>
      <c r="H356" s="1" t="s">
        <v>709</v>
      </c>
      <c r="I356" s="1" t="s">
        <v>426</v>
      </c>
      <c r="J356" s="1" t="s">
        <v>2743</v>
      </c>
      <c r="K356" s="1" t="s">
        <v>2742</v>
      </c>
      <c r="L356" s="1" t="s">
        <v>3170</v>
      </c>
      <c r="M356" s="1">
        <v>4000</v>
      </c>
      <c r="N356" s="1">
        <v>1</v>
      </c>
      <c r="O356" s="1" t="str">
        <f t="shared" si="27"/>
        <v>"Hatchback_02_Door_2_1": 1,</v>
      </c>
      <c r="P356" s="1" t="str">
        <f t="shared" si="28"/>
        <v>"Hatchback_02_Door_2_1": 70,</v>
      </c>
      <c r="Q356" s="1" t="str">
        <f t="shared" si="29"/>
        <v>"Hatchback_02_Door_2_1": 4000,</v>
      </c>
      <c r="R356" s="1" t="str">
        <f t="shared" si="30"/>
        <v>"Hatchback_02_Door_2_1": 3,</v>
      </c>
    </row>
    <row r="357" spans="1:18" ht="15" customHeight="1" x14ac:dyDescent="0.25">
      <c r="A357" s="1" t="str">
        <f t="shared" si="32"/>
        <v>#tc_vehicles#tc_parts#tc_doors</v>
      </c>
      <c r="B357" s="1">
        <f>VLOOKUP(A357,TraderCategory!$A$63:$E$556,2,FALSE)</f>
        <v>70</v>
      </c>
      <c r="C357" s="1">
        <f>VLOOKUP(A357,TraderCategory!$A$63:$F$556,6,FALSE)</f>
        <v>3</v>
      </c>
      <c r="D357" s="1" t="str">
        <f>VLOOKUP(C357,Tabulka5[],3,FALSE)</f>
        <v>Sergeant</v>
      </c>
      <c r="E357" s="1">
        <v>3</v>
      </c>
      <c r="F357" s="1" t="str">
        <f>VLOOKUP(E357,Tabulka5[],3,FALSE)</f>
        <v>Sergeant</v>
      </c>
      <c r="G357" s="1" t="s">
        <v>3115</v>
      </c>
      <c r="H357" s="1" t="s">
        <v>710</v>
      </c>
      <c r="I357" s="1" t="s">
        <v>426</v>
      </c>
      <c r="J357" s="1" t="s">
        <v>2743</v>
      </c>
      <c r="K357" s="1" t="s">
        <v>2742</v>
      </c>
      <c r="L357" s="1" t="s">
        <v>3170</v>
      </c>
      <c r="M357" s="1">
        <v>4000</v>
      </c>
      <c r="N357" s="1">
        <v>1</v>
      </c>
      <c r="O357" s="1" t="str">
        <f t="shared" si="27"/>
        <v>"Hatchback_02_Door_2_1_Black": 1,</v>
      </c>
      <c r="P357" s="1" t="str">
        <f t="shared" si="28"/>
        <v>"Hatchback_02_Door_2_1_Black": 70,</v>
      </c>
      <c r="Q357" s="1" t="str">
        <f t="shared" si="29"/>
        <v>"Hatchback_02_Door_2_1_Black": 4000,</v>
      </c>
      <c r="R357" s="1" t="str">
        <f t="shared" si="30"/>
        <v>"Hatchback_02_Door_2_1_Black": 3,</v>
      </c>
    </row>
    <row r="358" spans="1:18" ht="15" customHeight="1" x14ac:dyDescent="0.25">
      <c r="A358" s="1" t="str">
        <f t="shared" si="32"/>
        <v>#tc_vehicles#tc_parts#tc_doors</v>
      </c>
      <c r="B358" s="1">
        <f>VLOOKUP(A358,TraderCategory!$A$63:$E$556,2,FALSE)</f>
        <v>70</v>
      </c>
      <c r="C358" s="1">
        <f>VLOOKUP(A358,TraderCategory!$A$63:$F$556,6,FALSE)</f>
        <v>3</v>
      </c>
      <c r="D358" s="1" t="str">
        <f>VLOOKUP(C358,Tabulka5[],3,FALSE)</f>
        <v>Sergeant</v>
      </c>
      <c r="E358" s="1">
        <v>3</v>
      </c>
      <c r="F358" s="1" t="str">
        <f>VLOOKUP(E358,Tabulka5[],3,FALSE)</f>
        <v>Sergeant</v>
      </c>
      <c r="G358" s="1" t="s">
        <v>3115</v>
      </c>
      <c r="H358" s="1" t="s">
        <v>711</v>
      </c>
      <c r="I358" s="1" t="s">
        <v>426</v>
      </c>
      <c r="J358" s="1" t="s">
        <v>2743</v>
      </c>
      <c r="K358" s="1" t="s">
        <v>2742</v>
      </c>
      <c r="L358" s="1" t="s">
        <v>3170</v>
      </c>
      <c r="M358" s="1">
        <v>4000</v>
      </c>
      <c r="N358" s="1">
        <v>1</v>
      </c>
      <c r="O358" s="1" t="str">
        <f t="shared" si="27"/>
        <v>"Hatchback_02_Door_2_1_Blue": 1,</v>
      </c>
      <c r="P358" s="1" t="str">
        <f t="shared" si="28"/>
        <v>"Hatchback_02_Door_2_1_Blue": 70,</v>
      </c>
      <c r="Q358" s="1" t="str">
        <f t="shared" si="29"/>
        <v>"Hatchback_02_Door_2_1_Blue": 4000,</v>
      </c>
      <c r="R358" s="1" t="str">
        <f t="shared" si="30"/>
        <v>"Hatchback_02_Door_2_1_Blue": 3,</v>
      </c>
    </row>
    <row r="359" spans="1:18" ht="15" customHeight="1" x14ac:dyDescent="0.25">
      <c r="A359" s="1" t="str">
        <f t="shared" si="32"/>
        <v>#tc_vehicles#tc_parts#tc_doors</v>
      </c>
      <c r="B359" s="1">
        <f>VLOOKUP(A359,TraderCategory!$A$63:$E$556,2,FALSE)</f>
        <v>70</v>
      </c>
      <c r="C359" s="1">
        <f>VLOOKUP(A359,TraderCategory!$A$63:$F$556,6,FALSE)</f>
        <v>3</v>
      </c>
      <c r="D359" s="1" t="str">
        <f>VLOOKUP(C359,Tabulka5[],3,FALSE)</f>
        <v>Sergeant</v>
      </c>
      <c r="E359" s="1">
        <v>3</v>
      </c>
      <c r="F359" s="1" t="str">
        <f>VLOOKUP(E359,Tabulka5[],3,FALSE)</f>
        <v>Sergeant</v>
      </c>
      <c r="G359" s="1" t="s">
        <v>3115</v>
      </c>
      <c r="H359" s="1" t="s">
        <v>712</v>
      </c>
      <c r="I359" s="1" t="s">
        <v>426</v>
      </c>
      <c r="J359" s="1" t="s">
        <v>2743</v>
      </c>
      <c r="K359" s="1" t="s">
        <v>2742</v>
      </c>
      <c r="L359" s="1" t="s">
        <v>3170</v>
      </c>
      <c r="M359" s="1">
        <v>4000</v>
      </c>
      <c r="N359" s="1">
        <v>1</v>
      </c>
      <c r="O359" s="1" t="str">
        <f t="shared" si="27"/>
        <v>"Hatchback_02_Door_2_2": 1,</v>
      </c>
      <c r="P359" s="1" t="str">
        <f t="shared" si="28"/>
        <v>"Hatchback_02_Door_2_2": 70,</v>
      </c>
      <c r="Q359" s="1" t="str">
        <f t="shared" si="29"/>
        <v>"Hatchback_02_Door_2_2": 4000,</v>
      </c>
      <c r="R359" s="1" t="str">
        <f t="shared" si="30"/>
        <v>"Hatchback_02_Door_2_2": 3,</v>
      </c>
    </row>
    <row r="360" spans="1:18" ht="15" customHeight="1" x14ac:dyDescent="0.25">
      <c r="A360" s="1" t="str">
        <f t="shared" si="32"/>
        <v>#tc_vehicles#tc_parts#tc_doors</v>
      </c>
      <c r="B360" s="1">
        <f>VLOOKUP(A360,TraderCategory!$A$63:$E$556,2,FALSE)</f>
        <v>70</v>
      </c>
      <c r="C360" s="1">
        <f>VLOOKUP(A360,TraderCategory!$A$63:$F$556,6,FALSE)</f>
        <v>3</v>
      </c>
      <c r="D360" s="1" t="str">
        <f>VLOOKUP(C360,Tabulka5[],3,FALSE)</f>
        <v>Sergeant</v>
      </c>
      <c r="E360" s="1">
        <v>3</v>
      </c>
      <c r="F360" s="1" t="str">
        <f>VLOOKUP(E360,Tabulka5[],3,FALSE)</f>
        <v>Sergeant</v>
      </c>
      <c r="G360" s="1" t="s">
        <v>3115</v>
      </c>
      <c r="H360" s="1" t="s">
        <v>713</v>
      </c>
      <c r="I360" s="1" t="s">
        <v>426</v>
      </c>
      <c r="J360" s="1" t="s">
        <v>2743</v>
      </c>
      <c r="K360" s="1" t="s">
        <v>2742</v>
      </c>
      <c r="L360" s="1" t="s">
        <v>3170</v>
      </c>
      <c r="M360" s="1">
        <v>4000</v>
      </c>
      <c r="N360" s="1">
        <v>1</v>
      </c>
      <c r="O360" s="1" t="str">
        <f t="shared" si="27"/>
        <v>"Hatchback_02_Door_2_2_Black": 1,</v>
      </c>
      <c r="P360" s="1" t="str">
        <f t="shared" si="28"/>
        <v>"Hatchback_02_Door_2_2_Black": 70,</v>
      </c>
      <c r="Q360" s="1" t="str">
        <f t="shared" si="29"/>
        <v>"Hatchback_02_Door_2_2_Black": 4000,</v>
      </c>
      <c r="R360" s="1" t="str">
        <f t="shared" si="30"/>
        <v>"Hatchback_02_Door_2_2_Black": 3,</v>
      </c>
    </row>
    <row r="361" spans="1:18" ht="15" customHeight="1" x14ac:dyDescent="0.25">
      <c r="A361" s="1" t="str">
        <f t="shared" si="32"/>
        <v>#tc_vehicles#tc_parts#tc_doors</v>
      </c>
      <c r="B361" s="1">
        <f>VLOOKUP(A361,TraderCategory!$A$63:$E$556,2,FALSE)</f>
        <v>70</v>
      </c>
      <c r="C361" s="1">
        <f>VLOOKUP(A361,TraderCategory!$A$63:$F$556,6,FALSE)</f>
        <v>3</v>
      </c>
      <c r="D361" s="1" t="str">
        <f>VLOOKUP(C361,Tabulka5[],3,FALSE)</f>
        <v>Sergeant</v>
      </c>
      <c r="E361" s="1">
        <v>3</v>
      </c>
      <c r="F361" s="1" t="str">
        <f>VLOOKUP(E361,Tabulka5[],3,FALSE)</f>
        <v>Sergeant</v>
      </c>
      <c r="G361" s="1" t="s">
        <v>3115</v>
      </c>
      <c r="H361" s="1" t="s">
        <v>714</v>
      </c>
      <c r="I361" s="1" t="s">
        <v>426</v>
      </c>
      <c r="J361" s="1" t="s">
        <v>2743</v>
      </c>
      <c r="K361" s="1" t="s">
        <v>2742</v>
      </c>
      <c r="L361" s="1" t="s">
        <v>3170</v>
      </c>
      <c r="M361" s="1">
        <v>4000</v>
      </c>
      <c r="N361" s="1">
        <v>1</v>
      </c>
      <c r="O361" s="1" t="str">
        <f t="shared" si="27"/>
        <v>"Hatchback_02_Door_2_2_Blue": 1,</v>
      </c>
      <c r="P361" s="1" t="str">
        <f t="shared" si="28"/>
        <v>"Hatchback_02_Door_2_2_Blue": 70,</v>
      </c>
      <c r="Q361" s="1" t="str">
        <f t="shared" si="29"/>
        <v>"Hatchback_02_Door_2_2_Blue": 4000,</v>
      </c>
      <c r="R361" s="1" t="str">
        <f t="shared" si="30"/>
        <v>"Hatchback_02_Door_2_2_Blue": 3,</v>
      </c>
    </row>
    <row r="362" spans="1:18" ht="15" customHeight="1" x14ac:dyDescent="0.25">
      <c r="A362" s="1" t="str">
        <f t="shared" si="32"/>
        <v>#tc_vehicles#tc_parts#tc_hood</v>
      </c>
      <c r="B362" s="1">
        <f>VLOOKUP(A362,TraderCategory!$A$63:$E$556,2,FALSE)</f>
        <v>71</v>
      </c>
      <c r="C362" s="1">
        <f>VLOOKUP(A362,TraderCategory!$A$63:$F$556,6,FALSE)</f>
        <v>3</v>
      </c>
      <c r="D362" s="1" t="str">
        <f>VLOOKUP(C362,Tabulka5[],3,FALSE)</f>
        <v>Sergeant</v>
      </c>
      <c r="E362" s="1">
        <v>3</v>
      </c>
      <c r="F362" s="1" t="str">
        <f>VLOOKUP(E362,Tabulka5[],3,FALSE)</f>
        <v>Sergeant</v>
      </c>
      <c r="G362" s="1" t="s">
        <v>3115</v>
      </c>
      <c r="H362" s="1" t="s">
        <v>715</v>
      </c>
      <c r="I362" s="1" t="s">
        <v>426</v>
      </c>
      <c r="J362" s="1" t="s">
        <v>2743</v>
      </c>
      <c r="K362" s="1" t="s">
        <v>2742</v>
      </c>
      <c r="L362" s="1" t="s">
        <v>3168</v>
      </c>
      <c r="M362" s="1">
        <v>4000</v>
      </c>
      <c r="N362" s="1">
        <v>1</v>
      </c>
      <c r="O362" s="1" t="str">
        <f t="shared" si="27"/>
        <v>"Hatchback_02_Hood": 1,</v>
      </c>
      <c r="P362" s="1" t="str">
        <f t="shared" si="28"/>
        <v>"Hatchback_02_Hood": 71,</v>
      </c>
      <c r="Q362" s="1" t="str">
        <f t="shared" si="29"/>
        <v>"Hatchback_02_Hood": 4000,</v>
      </c>
      <c r="R362" s="1" t="str">
        <f t="shared" si="30"/>
        <v>"Hatchback_02_Hood": 3,</v>
      </c>
    </row>
    <row r="363" spans="1:18" ht="15" customHeight="1" x14ac:dyDescent="0.25">
      <c r="A363" s="1" t="str">
        <f t="shared" si="32"/>
        <v>#tc_vehicles#tc_parts#tc_hood</v>
      </c>
      <c r="B363" s="1">
        <f>VLOOKUP(A363,TraderCategory!$A$63:$E$556,2,FALSE)</f>
        <v>71</v>
      </c>
      <c r="C363" s="1">
        <f>VLOOKUP(A363,TraderCategory!$A$63:$F$556,6,FALSE)</f>
        <v>3</v>
      </c>
      <c r="D363" s="1" t="str">
        <f>VLOOKUP(C363,Tabulka5[],3,FALSE)</f>
        <v>Sergeant</v>
      </c>
      <c r="E363" s="1">
        <v>3</v>
      </c>
      <c r="F363" s="1" t="str">
        <f>VLOOKUP(E363,Tabulka5[],3,FALSE)</f>
        <v>Sergeant</v>
      </c>
      <c r="G363" s="1" t="s">
        <v>3115</v>
      </c>
      <c r="H363" s="1" t="s">
        <v>716</v>
      </c>
      <c r="I363" s="1" t="s">
        <v>426</v>
      </c>
      <c r="J363" s="1" t="s">
        <v>2743</v>
      </c>
      <c r="K363" s="1" t="s">
        <v>2742</v>
      </c>
      <c r="L363" s="1" t="s">
        <v>3168</v>
      </c>
      <c r="M363" s="1">
        <v>4000</v>
      </c>
      <c r="N363" s="1">
        <v>1</v>
      </c>
      <c r="O363" s="1" t="str">
        <f t="shared" si="27"/>
        <v>"Hatchback_02_Hood_Black": 1,</v>
      </c>
      <c r="P363" s="1" t="str">
        <f t="shared" si="28"/>
        <v>"Hatchback_02_Hood_Black": 71,</v>
      </c>
      <c r="Q363" s="1" t="str">
        <f t="shared" si="29"/>
        <v>"Hatchback_02_Hood_Black": 4000,</v>
      </c>
      <c r="R363" s="1" t="str">
        <f t="shared" si="30"/>
        <v>"Hatchback_02_Hood_Black": 3,</v>
      </c>
    </row>
    <row r="364" spans="1:18" ht="15" customHeight="1" x14ac:dyDescent="0.25">
      <c r="A364" s="1" t="str">
        <f t="shared" si="32"/>
        <v>#tc_vehicles#tc_parts#tc_hood</v>
      </c>
      <c r="B364" s="1">
        <f>VLOOKUP(A364,TraderCategory!$A$63:$E$556,2,FALSE)</f>
        <v>71</v>
      </c>
      <c r="C364" s="1">
        <f>VLOOKUP(A364,TraderCategory!$A$63:$F$556,6,FALSE)</f>
        <v>3</v>
      </c>
      <c r="D364" s="1" t="str">
        <f>VLOOKUP(C364,Tabulka5[],3,FALSE)</f>
        <v>Sergeant</v>
      </c>
      <c r="E364" s="1">
        <v>3</v>
      </c>
      <c r="F364" s="1" t="str">
        <f>VLOOKUP(E364,Tabulka5[],3,FALSE)</f>
        <v>Sergeant</v>
      </c>
      <c r="G364" s="1" t="s">
        <v>3115</v>
      </c>
      <c r="H364" s="1" t="s">
        <v>717</v>
      </c>
      <c r="I364" s="1" t="s">
        <v>426</v>
      </c>
      <c r="J364" s="1" t="s">
        <v>2743</v>
      </c>
      <c r="K364" s="1" t="s">
        <v>2742</v>
      </c>
      <c r="L364" s="1" t="s">
        <v>3168</v>
      </c>
      <c r="M364" s="1">
        <v>4000</v>
      </c>
      <c r="N364" s="1">
        <v>1</v>
      </c>
      <c r="O364" s="1" t="str">
        <f t="shared" si="27"/>
        <v>"Hatchback_02_Hood_Blue": 1,</v>
      </c>
      <c r="P364" s="1" t="str">
        <f t="shared" si="28"/>
        <v>"Hatchback_02_Hood_Blue": 71,</v>
      </c>
      <c r="Q364" s="1" t="str">
        <f t="shared" si="29"/>
        <v>"Hatchback_02_Hood_Blue": 4000,</v>
      </c>
      <c r="R364" s="1" t="str">
        <f t="shared" si="30"/>
        <v>"Hatchback_02_Hood_Blue": 3,</v>
      </c>
    </row>
    <row r="365" spans="1:18" ht="15" customHeight="1" x14ac:dyDescent="0.25">
      <c r="A365" s="1" t="str">
        <f t="shared" si="32"/>
        <v>#tc_vehicles#tc_parts#tc_trunk</v>
      </c>
      <c r="B365" s="1">
        <f>VLOOKUP(A365,TraderCategory!$A$63:$E$556,2,FALSE)</f>
        <v>72</v>
      </c>
      <c r="C365" s="1">
        <f>VLOOKUP(A365,TraderCategory!$A$63:$F$556,6,FALSE)</f>
        <v>3</v>
      </c>
      <c r="D365" s="1" t="str">
        <f>VLOOKUP(C365,Tabulka5[],3,FALSE)</f>
        <v>Sergeant</v>
      </c>
      <c r="E365" s="1">
        <v>3</v>
      </c>
      <c r="F365" s="1" t="str">
        <f>VLOOKUP(E365,Tabulka5[],3,FALSE)</f>
        <v>Sergeant</v>
      </c>
      <c r="G365" s="1" t="s">
        <v>3115</v>
      </c>
      <c r="H365" s="1" t="s">
        <v>718</v>
      </c>
      <c r="I365" s="1" t="s">
        <v>426</v>
      </c>
      <c r="J365" s="1" t="s">
        <v>2743</v>
      </c>
      <c r="K365" s="1" t="s">
        <v>2742</v>
      </c>
      <c r="L365" s="1" t="s">
        <v>3169</v>
      </c>
      <c r="M365" s="1">
        <v>4000</v>
      </c>
      <c r="N365" s="1">
        <v>1</v>
      </c>
      <c r="O365" s="1" t="str">
        <f t="shared" si="27"/>
        <v>"Hatchback_02_Trunk": 1,</v>
      </c>
      <c r="P365" s="1" t="str">
        <f t="shared" si="28"/>
        <v>"Hatchback_02_Trunk": 72,</v>
      </c>
      <c r="Q365" s="1" t="str">
        <f t="shared" si="29"/>
        <v>"Hatchback_02_Trunk": 4000,</v>
      </c>
      <c r="R365" s="1" t="str">
        <f t="shared" si="30"/>
        <v>"Hatchback_02_Trunk": 3,</v>
      </c>
    </row>
    <row r="366" spans="1:18" ht="15" customHeight="1" x14ac:dyDescent="0.25">
      <c r="A366" s="1" t="str">
        <f t="shared" si="32"/>
        <v>#tc_vehicles#tc_parts#tc_trunk</v>
      </c>
      <c r="B366" s="1">
        <f>VLOOKUP(A366,TraderCategory!$A$63:$E$556,2,FALSE)</f>
        <v>72</v>
      </c>
      <c r="C366" s="1">
        <f>VLOOKUP(A366,TraderCategory!$A$63:$F$556,6,FALSE)</f>
        <v>3</v>
      </c>
      <c r="D366" s="1" t="str">
        <f>VLOOKUP(C366,Tabulka5[],3,FALSE)</f>
        <v>Sergeant</v>
      </c>
      <c r="E366" s="1">
        <v>3</v>
      </c>
      <c r="F366" s="1" t="str">
        <f>VLOOKUP(E366,Tabulka5[],3,FALSE)</f>
        <v>Sergeant</v>
      </c>
      <c r="G366" s="1" t="s">
        <v>3115</v>
      </c>
      <c r="H366" s="1" t="s">
        <v>719</v>
      </c>
      <c r="I366" s="1" t="s">
        <v>426</v>
      </c>
      <c r="J366" s="1" t="s">
        <v>2743</v>
      </c>
      <c r="K366" s="1" t="s">
        <v>2742</v>
      </c>
      <c r="L366" s="1" t="s">
        <v>3169</v>
      </c>
      <c r="M366" s="1">
        <v>4000</v>
      </c>
      <c r="N366" s="1">
        <v>1</v>
      </c>
      <c r="O366" s="1" t="str">
        <f t="shared" si="27"/>
        <v>"Hatchback_02_Trunk_Black": 1,</v>
      </c>
      <c r="P366" s="1" t="str">
        <f t="shared" si="28"/>
        <v>"Hatchback_02_Trunk_Black": 72,</v>
      </c>
      <c r="Q366" s="1" t="str">
        <f t="shared" si="29"/>
        <v>"Hatchback_02_Trunk_Black": 4000,</v>
      </c>
      <c r="R366" s="1" t="str">
        <f t="shared" si="30"/>
        <v>"Hatchback_02_Trunk_Black": 3,</v>
      </c>
    </row>
    <row r="367" spans="1:18" ht="15" customHeight="1" x14ac:dyDescent="0.25">
      <c r="A367" s="1" t="str">
        <f t="shared" si="32"/>
        <v>#tc_vehicles#tc_parts#tc_trunk</v>
      </c>
      <c r="B367" s="1">
        <f>VLOOKUP(A367,TraderCategory!$A$63:$E$556,2,FALSE)</f>
        <v>72</v>
      </c>
      <c r="C367" s="1">
        <f>VLOOKUP(A367,TraderCategory!$A$63:$F$556,6,FALSE)</f>
        <v>3</v>
      </c>
      <c r="D367" s="1" t="str">
        <f>VLOOKUP(C367,Tabulka5[],3,FALSE)</f>
        <v>Sergeant</v>
      </c>
      <c r="E367" s="1">
        <v>3</v>
      </c>
      <c r="F367" s="1" t="str">
        <f>VLOOKUP(E367,Tabulka5[],3,FALSE)</f>
        <v>Sergeant</v>
      </c>
      <c r="G367" s="1" t="s">
        <v>3115</v>
      </c>
      <c r="H367" s="1" t="s">
        <v>720</v>
      </c>
      <c r="I367" s="1" t="s">
        <v>426</v>
      </c>
      <c r="J367" s="1" t="s">
        <v>2743</v>
      </c>
      <c r="K367" s="1" t="s">
        <v>2742</v>
      </c>
      <c r="L367" s="1" t="s">
        <v>3169</v>
      </c>
      <c r="M367" s="1">
        <v>4000</v>
      </c>
      <c r="N367" s="1">
        <v>1</v>
      </c>
      <c r="O367" s="1" t="str">
        <f t="shared" si="27"/>
        <v>"Hatchback_02_Trunk_Blue": 1,</v>
      </c>
      <c r="P367" s="1" t="str">
        <f t="shared" si="28"/>
        <v>"Hatchback_02_Trunk_Blue": 72,</v>
      </c>
      <c r="Q367" s="1" t="str">
        <f t="shared" si="29"/>
        <v>"Hatchback_02_Trunk_Blue": 4000,</v>
      </c>
      <c r="R367" s="1" t="str">
        <f t="shared" si="30"/>
        <v>"Hatchback_02_Trunk_Blue": 3,</v>
      </c>
    </row>
    <row r="368" spans="1:18" ht="15" customHeight="1" x14ac:dyDescent="0.25">
      <c r="A368" s="1" t="str">
        <f t="shared" si="32"/>
        <v>#tc_vehicles#tc_parts#tc_wheels</v>
      </c>
      <c r="B368" s="1">
        <f>VLOOKUP(A368,TraderCategory!$A$63:$E$556,2,FALSE)</f>
        <v>69</v>
      </c>
      <c r="C368" s="1">
        <f>VLOOKUP(A368,TraderCategory!$A$63:$F$556,6,FALSE)</f>
        <v>3</v>
      </c>
      <c r="D368" s="1" t="str">
        <f>VLOOKUP(C368,Tabulka5[],3,FALSE)</f>
        <v>Sergeant</v>
      </c>
      <c r="E368" s="1">
        <v>3</v>
      </c>
      <c r="F368" s="1" t="str">
        <f>VLOOKUP(E368,Tabulka5[],3,FALSE)</f>
        <v>Sergeant</v>
      </c>
      <c r="G368" s="1" t="s">
        <v>3115</v>
      </c>
      <c r="H368" s="1" t="s">
        <v>721</v>
      </c>
      <c r="I368" s="1" t="s">
        <v>426</v>
      </c>
      <c r="J368" s="1" t="s">
        <v>2743</v>
      </c>
      <c r="K368" s="1" t="s">
        <v>2742</v>
      </c>
      <c r="L368" s="1" t="s">
        <v>3167</v>
      </c>
      <c r="M368" s="1">
        <v>4000</v>
      </c>
      <c r="N368" s="1">
        <v>1</v>
      </c>
      <c r="O368" s="1" t="str">
        <f t="shared" si="27"/>
        <v>"Hatchback_02_Wheel": 1,</v>
      </c>
      <c r="P368" s="1" t="str">
        <f t="shared" si="28"/>
        <v>"Hatchback_02_Wheel": 69,</v>
      </c>
      <c r="Q368" s="1" t="str">
        <f t="shared" si="29"/>
        <v>"Hatchback_02_Wheel": 4000,</v>
      </c>
      <c r="R368" s="1" t="str">
        <f t="shared" si="30"/>
        <v>"Hatchback_02_Wheel": 3,</v>
      </c>
    </row>
    <row r="369" spans="1:18" ht="15" customHeight="1" x14ac:dyDescent="0.25">
      <c r="A369" s="1" t="str">
        <f t="shared" si="32"/>
        <v>#tc_groceries#tc_tools#tc_axes</v>
      </c>
      <c r="B369" s="1">
        <f>VLOOKUP(A369,TraderCategory!$A$63:$E$556,2,FALSE)</f>
        <v>29</v>
      </c>
      <c r="C369" s="1">
        <f>VLOOKUP(A369,TraderCategory!$A$63:$F$556,6,FALSE)</f>
        <v>0</v>
      </c>
      <c r="D369" s="1" t="str">
        <f>VLOOKUP(C369,Tabulka5[],3,FALSE)</f>
        <v>Private</v>
      </c>
      <c r="E369" s="1">
        <v>0</v>
      </c>
      <c r="F369" s="1" t="str">
        <f>VLOOKUP(E369,Tabulka5[],3,FALSE)</f>
        <v>Private</v>
      </c>
      <c r="G369" s="1" t="s">
        <v>3115</v>
      </c>
      <c r="H369" s="1" t="s">
        <v>722</v>
      </c>
      <c r="I369" s="1" t="s">
        <v>426</v>
      </c>
      <c r="J369" s="1" t="s">
        <v>3127</v>
      </c>
      <c r="K369" s="1" t="s">
        <v>2740</v>
      </c>
      <c r="L369" s="1" t="s">
        <v>3145</v>
      </c>
      <c r="M369" s="1">
        <v>900</v>
      </c>
      <c r="N369" s="1">
        <v>1</v>
      </c>
      <c r="O369" s="1" t="str">
        <f t="shared" si="27"/>
        <v>"Hatchet": 1,</v>
      </c>
      <c r="P369" s="1" t="str">
        <f t="shared" si="28"/>
        <v>"Hatchet": 29,</v>
      </c>
      <c r="Q369" s="1" t="str">
        <f t="shared" si="29"/>
        <v>"Hatchet": 900,</v>
      </c>
      <c r="R369" s="1" t="str">
        <f t="shared" si="30"/>
        <v>"Hatchet": 0,</v>
      </c>
    </row>
    <row r="370" spans="1:18" ht="15" customHeight="1" x14ac:dyDescent="0.25">
      <c r="A370" s="1" t="str">
        <f t="shared" si="32"/>
        <v>#tc_vehicles#tc_parts#tc_parts</v>
      </c>
      <c r="B370" s="1">
        <f>VLOOKUP(A370,TraderCategory!$A$63:$E$556,2,FALSE)</f>
        <v>68</v>
      </c>
      <c r="C370" s="1">
        <f>VLOOKUP(A370,TraderCategory!$A$63:$F$556,6,FALSE)</f>
        <v>3</v>
      </c>
      <c r="D370" s="1" t="str">
        <f>VLOOKUP(C370,Tabulka5[],3,FALSE)</f>
        <v>Sergeant</v>
      </c>
      <c r="E370" s="1">
        <v>3</v>
      </c>
      <c r="F370" s="1" t="str">
        <f>VLOOKUP(E370,Tabulka5[],3,FALSE)</f>
        <v>Sergeant</v>
      </c>
      <c r="G370" s="1" t="s">
        <v>3115</v>
      </c>
      <c r="H370" s="1" t="s">
        <v>723</v>
      </c>
      <c r="I370" s="1" t="s">
        <v>426</v>
      </c>
      <c r="J370" s="1" t="s">
        <v>2743</v>
      </c>
      <c r="K370" s="1" t="s">
        <v>2742</v>
      </c>
      <c r="L370" s="1" t="s">
        <v>2742</v>
      </c>
      <c r="M370" s="1">
        <v>400</v>
      </c>
      <c r="N370" s="1">
        <v>1</v>
      </c>
      <c r="O370" s="1" t="str">
        <f t="shared" si="27"/>
        <v>"HeadlightH7_Box": 1,</v>
      </c>
      <c r="P370" s="1" t="str">
        <f t="shared" si="28"/>
        <v>"HeadlightH7_Box": 68,</v>
      </c>
      <c r="Q370" s="1" t="str">
        <f t="shared" si="29"/>
        <v>"HeadlightH7_Box": 400,</v>
      </c>
      <c r="R370" s="1" t="str">
        <f t="shared" si="30"/>
        <v>"HeadlightH7_Box": 3,</v>
      </c>
    </row>
    <row r="371" spans="1:18" ht="15" customHeight="1" x14ac:dyDescent="0.25">
      <c r="A371" s="1" t="str">
        <f t="shared" si="32"/>
        <v>#tc_groceries#tc_tools#tc_lights</v>
      </c>
      <c r="B371" s="1">
        <f>VLOOKUP(A371,TraderCategory!$A$63:$E$556,2,FALSE)</f>
        <v>37</v>
      </c>
      <c r="C371" s="1">
        <f>VLOOKUP(A371,TraderCategory!$A$63:$F$556,6,FALSE)</f>
        <v>0</v>
      </c>
      <c r="D371" s="1" t="str">
        <f>VLOOKUP(C371,Tabulka5[],3,FALSE)</f>
        <v>Private</v>
      </c>
      <c r="E371" s="1">
        <v>1</v>
      </c>
      <c r="F371" s="1" t="str">
        <f>VLOOKUP(E371,Tabulka5[],3,FALSE)</f>
        <v>Private First Class</v>
      </c>
      <c r="G371" s="1" t="s">
        <v>3115</v>
      </c>
      <c r="H371" s="1" t="s">
        <v>724</v>
      </c>
      <c r="I371" s="1" t="s">
        <v>426</v>
      </c>
      <c r="J371" s="1" t="s">
        <v>3127</v>
      </c>
      <c r="K371" s="1" t="s">
        <v>2740</v>
      </c>
      <c r="L371" s="1" t="s">
        <v>3147</v>
      </c>
      <c r="M371" s="1">
        <v>900</v>
      </c>
      <c r="N371" s="1">
        <v>1</v>
      </c>
      <c r="O371" s="1" t="str">
        <f t="shared" si="27"/>
        <v>"Headtorch_Black": 1,</v>
      </c>
      <c r="P371" s="1" t="str">
        <f t="shared" si="28"/>
        <v>"Headtorch_Black": 37,</v>
      </c>
      <c r="Q371" s="1" t="str">
        <f t="shared" si="29"/>
        <v>"Headtorch_Black": 900,</v>
      </c>
      <c r="R371" s="1" t="str">
        <f t="shared" si="30"/>
        <v>"Headtorch_Black": 1,</v>
      </c>
    </row>
    <row r="372" spans="1:18" ht="15" customHeight="1" x14ac:dyDescent="0.25">
      <c r="A372" s="1" t="str">
        <f t="shared" si="32"/>
        <v>#tc_groceries#tc_tools#tc_lights</v>
      </c>
      <c r="B372" s="1">
        <f>VLOOKUP(A372,TraderCategory!$A$63:$E$556,2,FALSE)</f>
        <v>37</v>
      </c>
      <c r="C372" s="1">
        <f>VLOOKUP(A372,TraderCategory!$A$63:$F$556,6,FALSE)</f>
        <v>0</v>
      </c>
      <c r="D372" s="1" t="str">
        <f>VLOOKUP(C372,Tabulka5[],3,FALSE)</f>
        <v>Private</v>
      </c>
      <c r="E372" s="1">
        <v>1</v>
      </c>
      <c r="F372" s="1" t="str">
        <f>VLOOKUP(E372,Tabulka5[],3,FALSE)</f>
        <v>Private First Class</v>
      </c>
      <c r="G372" s="1" t="s">
        <v>3115</v>
      </c>
      <c r="H372" s="1" t="s">
        <v>725</v>
      </c>
      <c r="I372" s="1" t="s">
        <v>426</v>
      </c>
      <c r="J372" s="1" t="s">
        <v>3127</v>
      </c>
      <c r="K372" s="1" t="s">
        <v>2740</v>
      </c>
      <c r="L372" s="1" t="s">
        <v>3147</v>
      </c>
      <c r="M372" s="1">
        <v>900</v>
      </c>
      <c r="N372" s="1">
        <v>1</v>
      </c>
      <c r="O372" s="1" t="str">
        <f t="shared" si="27"/>
        <v>"Headtorch_Grey": 1,</v>
      </c>
      <c r="P372" s="1" t="str">
        <f t="shared" si="28"/>
        <v>"Headtorch_Grey": 37,</v>
      </c>
      <c r="Q372" s="1" t="str">
        <f t="shared" si="29"/>
        <v>"Headtorch_Grey": 900,</v>
      </c>
      <c r="R372" s="1" t="str">
        <f t="shared" si="30"/>
        <v>"Headtorch_Grey": 1,</v>
      </c>
    </row>
    <row r="373" spans="1:18" ht="15" customHeight="1" x14ac:dyDescent="0.25">
      <c r="A373" s="1" t="str">
        <f t="shared" si="32"/>
        <v>#tc_groceries#tc_tools#tc_camping</v>
      </c>
      <c r="B373" s="1">
        <f>VLOOKUP(A373,TraderCategory!$A$63:$E$556,2,FALSE)</f>
        <v>33</v>
      </c>
      <c r="C373" s="1">
        <f>VLOOKUP(A373,TraderCategory!$A$63:$F$556,6,FALSE)</f>
        <v>3</v>
      </c>
      <c r="D373" s="1" t="str">
        <f>VLOOKUP(C373,Tabulka5[],3,FALSE)</f>
        <v>Sergeant</v>
      </c>
      <c r="E373" s="1">
        <v>3</v>
      </c>
      <c r="F373" s="1" t="str">
        <f>VLOOKUP(E373,Tabulka5[],3,FALSE)</f>
        <v>Sergeant</v>
      </c>
      <c r="G373" s="1" t="s">
        <v>3115</v>
      </c>
      <c r="H373" s="1" t="s">
        <v>726</v>
      </c>
      <c r="I373" s="1" t="s">
        <v>426</v>
      </c>
      <c r="J373" s="1" t="s">
        <v>3127</v>
      </c>
      <c r="K373" s="1" t="s">
        <v>2740</v>
      </c>
      <c r="L373" s="1" t="s">
        <v>3150</v>
      </c>
      <c r="M373" s="1">
        <v>500</v>
      </c>
      <c r="N373" s="1">
        <v>1</v>
      </c>
      <c r="O373" s="1" t="str">
        <f t="shared" si="27"/>
        <v>"Heatpack": 1,</v>
      </c>
      <c r="P373" s="1" t="str">
        <f t="shared" si="28"/>
        <v>"Heatpack": 33,</v>
      </c>
      <c r="Q373" s="1" t="str">
        <f t="shared" si="29"/>
        <v>"Heatpack": 500,</v>
      </c>
      <c r="R373" s="1" t="str">
        <f t="shared" si="30"/>
        <v>"Heatpack": 3,</v>
      </c>
    </row>
    <row r="374" spans="1:18" ht="15" customHeight="1" x14ac:dyDescent="0.25">
      <c r="A374" s="1" t="str">
        <f t="shared" si="32"/>
        <v>#tc_groceries#tc_tools#tc_materials</v>
      </c>
      <c r="B374" s="1">
        <f>VLOOKUP(A374,TraderCategory!$A$63:$E$556,2,FALSE)</f>
        <v>39</v>
      </c>
      <c r="C374" s="1">
        <f>VLOOKUP(A374,TraderCategory!$A$63:$F$556,6,FALSE)</f>
        <v>3</v>
      </c>
      <c r="D374" s="1" t="str">
        <f>VLOOKUP(C374,Tabulka5[],3,FALSE)</f>
        <v>Sergeant</v>
      </c>
      <c r="E374" s="1">
        <v>3</v>
      </c>
      <c r="F374" s="1" t="str">
        <f>VLOOKUP(E374,Tabulka5[],3,FALSE)</f>
        <v>Sergeant</v>
      </c>
      <c r="G374" s="1" t="s">
        <v>3115</v>
      </c>
      <c r="H374" s="1" t="s">
        <v>727</v>
      </c>
      <c r="I374" s="1" t="s">
        <v>426</v>
      </c>
      <c r="J374" s="1" t="s">
        <v>3127</v>
      </c>
      <c r="K374" s="1" t="s">
        <v>2740</v>
      </c>
      <c r="L374" s="1" t="s">
        <v>2741</v>
      </c>
      <c r="M374" s="1">
        <v>8000</v>
      </c>
      <c r="N374" s="1">
        <v>1</v>
      </c>
      <c r="O374" s="1" t="str">
        <f t="shared" si="27"/>
        <v>"HescoBox": 1,</v>
      </c>
      <c r="P374" s="1" t="str">
        <f t="shared" si="28"/>
        <v>"HescoBox": 39,</v>
      </c>
      <c r="Q374" s="1" t="str">
        <f t="shared" si="29"/>
        <v>"HescoBox": 8000,</v>
      </c>
      <c r="R374" s="1" t="str">
        <f t="shared" si="30"/>
        <v>"HescoBox": 3,</v>
      </c>
    </row>
    <row r="375" spans="1:18" ht="15" customHeight="1" x14ac:dyDescent="0.25">
      <c r="A375" s="1" t="str">
        <f t="shared" si="32"/>
        <v>#tc_clothes#tc_military#tc_vests</v>
      </c>
      <c r="B375" s="1">
        <f>VLOOKUP(A375,TraderCategory!$A$63:$E$556,2,FALSE)</f>
        <v>14</v>
      </c>
      <c r="C375" s="1">
        <f>VLOOKUP(A375,TraderCategory!$A$63:$F$556,6,FALSE)</f>
        <v>1</v>
      </c>
      <c r="D375" s="1" t="str">
        <f>VLOOKUP(C375,Tabulka5[],3,FALSE)</f>
        <v>Private First Class</v>
      </c>
      <c r="E375" s="1">
        <v>1</v>
      </c>
      <c r="F375" s="1" t="str">
        <f>VLOOKUP(E375,Tabulka5[],3,FALSE)</f>
        <v>Private First Class</v>
      </c>
      <c r="G375" s="1" t="s">
        <v>3115</v>
      </c>
      <c r="H375" s="1" t="s">
        <v>728</v>
      </c>
      <c r="I375" s="1" t="s">
        <v>403</v>
      </c>
      <c r="J375" s="1" t="s">
        <v>2728</v>
      </c>
      <c r="K375" s="1" t="s">
        <v>2729</v>
      </c>
      <c r="L375" s="1" t="s">
        <v>3136</v>
      </c>
      <c r="M375" s="1">
        <v>20000</v>
      </c>
      <c r="N375" s="1">
        <v>1</v>
      </c>
      <c r="O375" s="1" t="str">
        <f t="shared" si="27"/>
        <v>"HighCapacityVest_Black": 1,</v>
      </c>
      <c r="P375" s="1" t="str">
        <f t="shared" si="28"/>
        <v>"HighCapacityVest_Black": 14,</v>
      </c>
      <c r="Q375" s="1" t="str">
        <f t="shared" si="29"/>
        <v>"HighCapacityVest_Black": 20000,</v>
      </c>
      <c r="R375" s="1" t="str">
        <f t="shared" si="30"/>
        <v>"HighCapacityVest_Black": 1,</v>
      </c>
    </row>
    <row r="376" spans="1:18" ht="15" customHeight="1" x14ac:dyDescent="0.25">
      <c r="A376" s="1" t="str">
        <f t="shared" si="32"/>
        <v>#tc_clothes#tc_military#tc_vests</v>
      </c>
      <c r="B376" s="1">
        <f>VLOOKUP(A376,TraderCategory!$A$63:$E$556,2,FALSE)</f>
        <v>14</v>
      </c>
      <c r="C376" s="1">
        <f>VLOOKUP(A376,TraderCategory!$A$63:$F$556,6,FALSE)</f>
        <v>1</v>
      </c>
      <c r="D376" s="1" t="str">
        <f>VLOOKUP(C376,Tabulka5[],3,FALSE)</f>
        <v>Private First Class</v>
      </c>
      <c r="E376" s="1">
        <v>1</v>
      </c>
      <c r="F376" s="1" t="str">
        <f>VLOOKUP(E376,Tabulka5[],3,FALSE)</f>
        <v>Private First Class</v>
      </c>
      <c r="G376" s="1" t="s">
        <v>3115</v>
      </c>
      <c r="H376" s="1" t="s">
        <v>729</v>
      </c>
      <c r="I376" s="1" t="s">
        <v>403</v>
      </c>
      <c r="J376" s="1" t="s">
        <v>2728</v>
      </c>
      <c r="K376" s="1" t="s">
        <v>2729</v>
      </c>
      <c r="L376" s="1" t="s">
        <v>3136</v>
      </c>
      <c r="M376" s="1">
        <v>20000</v>
      </c>
      <c r="N376" s="1">
        <v>1</v>
      </c>
      <c r="O376" s="1" t="str">
        <f t="shared" si="27"/>
        <v>"HighCapacityVest_Olive": 1,</v>
      </c>
      <c r="P376" s="1" t="str">
        <f t="shared" si="28"/>
        <v>"HighCapacityVest_Olive": 14,</v>
      </c>
      <c r="Q376" s="1" t="str">
        <f t="shared" si="29"/>
        <v>"HighCapacityVest_Olive": 20000,</v>
      </c>
      <c r="R376" s="1" t="str">
        <f t="shared" si="30"/>
        <v>"HighCapacityVest_Olive": 1,</v>
      </c>
    </row>
    <row r="377" spans="1:18" ht="15" customHeight="1" x14ac:dyDescent="0.25">
      <c r="A377" s="1" t="str">
        <f t="shared" si="32"/>
        <v>#tc_clothes#tc_civil#tc_boots</v>
      </c>
      <c r="B377" s="1">
        <f>VLOOKUP(A377,TraderCategory!$A$63:$E$556,2,FALSE)</f>
        <v>5</v>
      </c>
      <c r="C377" s="1">
        <f>VLOOKUP(A377,TraderCategory!$A$63:$F$556,6,FALSE)</f>
        <v>0</v>
      </c>
      <c r="D377" s="1" t="str">
        <f>VLOOKUP(C377,Tabulka5[],3,FALSE)</f>
        <v>Private</v>
      </c>
      <c r="E377" s="1">
        <v>3</v>
      </c>
      <c r="F377" s="1" t="str">
        <f>VLOOKUP(E377,Tabulka5[],3,FALSE)</f>
        <v>Sergeant</v>
      </c>
      <c r="G377" s="1" t="s">
        <v>3115</v>
      </c>
      <c r="H377" s="1" t="s">
        <v>730</v>
      </c>
      <c r="I377" s="1" t="s">
        <v>403</v>
      </c>
      <c r="J377" s="1" t="s">
        <v>2728</v>
      </c>
      <c r="K377" s="1" t="s">
        <v>3126</v>
      </c>
      <c r="L377" s="1" t="s">
        <v>3134</v>
      </c>
      <c r="M377" s="1">
        <v>1500</v>
      </c>
      <c r="N377" s="1">
        <v>1</v>
      </c>
      <c r="O377" s="1" t="str">
        <f t="shared" si="27"/>
        <v>"HikingBootsLow_Beige": 1,</v>
      </c>
      <c r="P377" s="1" t="str">
        <f t="shared" si="28"/>
        <v>"HikingBootsLow_Beige": 5,</v>
      </c>
      <c r="Q377" s="1" t="str">
        <f t="shared" si="29"/>
        <v>"HikingBootsLow_Beige": 1500,</v>
      </c>
      <c r="R377" s="1" t="str">
        <f t="shared" si="30"/>
        <v>"HikingBootsLow_Beige": 3,</v>
      </c>
    </row>
    <row r="378" spans="1:18" ht="15" customHeight="1" x14ac:dyDescent="0.25">
      <c r="A378" s="1" t="str">
        <f t="shared" si="32"/>
        <v>#tc_clothes#tc_civil#tc_boots</v>
      </c>
      <c r="B378" s="1">
        <f>VLOOKUP(A378,TraderCategory!$A$63:$E$556,2,FALSE)</f>
        <v>5</v>
      </c>
      <c r="C378" s="1">
        <f>VLOOKUP(A378,TraderCategory!$A$63:$F$556,6,FALSE)</f>
        <v>0</v>
      </c>
      <c r="D378" s="1" t="str">
        <f>VLOOKUP(C378,Tabulka5[],3,FALSE)</f>
        <v>Private</v>
      </c>
      <c r="E378" s="1">
        <v>3</v>
      </c>
      <c r="F378" s="1" t="str">
        <f>VLOOKUP(E378,Tabulka5[],3,FALSE)</f>
        <v>Sergeant</v>
      </c>
      <c r="G378" s="1" t="s">
        <v>3115</v>
      </c>
      <c r="H378" s="1" t="s">
        <v>731</v>
      </c>
      <c r="I378" s="1" t="s">
        <v>403</v>
      </c>
      <c r="J378" s="1" t="s">
        <v>2728</v>
      </c>
      <c r="K378" s="1" t="s">
        <v>3126</v>
      </c>
      <c r="L378" s="1" t="s">
        <v>3134</v>
      </c>
      <c r="M378" s="1">
        <v>1500</v>
      </c>
      <c r="N378" s="1">
        <v>1</v>
      </c>
      <c r="O378" s="1" t="str">
        <f t="shared" si="27"/>
        <v>"HikingBootsLow_Black": 1,</v>
      </c>
      <c r="P378" s="1" t="str">
        <f t="shared" si="28"/>
        <v>"HikingBootsLow_Black": 5,</v>
      </c>
      <c r="Q378" s="1" t="str">
        <f t="shared" si="29"/>
        <v>"HikingBootsLow_Black": 1500,</v>
      </c>
      <c r="R378" s="1" t="str">
        <f t="shared" si="30"/>
        <v>"HikingBootsLow_Black": 3,</v>
      </c>
    </row>
    <row r="379" spans="1:18" ht="15" customHeight="1" x14ac:dyDescent="0.25">
      <c r="A379" s="1" t="str">
        <f t="shared" si="32"/>
        <v>#tc_clothes#tc_civil#tc_boots</v>
      </c>
      <c r="B379" s="1">
        <f>VLOOKUP(A379,TraderCategory!$A$63:$E$556,2,FALSE)</f>
        <v>5</v>
      </c>
      <c r="C379" s="1">
        <f>VLOOKUP(A379,TraderCategory!$A$63:$F$556,6,FALSE)</f>
        <v>0</v>
      </c>
      <c r="D379" s="1" t="str">
        <f>VLOOKUP(C379,Tabulka5[],3,FALSE)</f>
        <v>Private</v>
      </c>
      <c r="E379" s="1">
        <v>3</v>
      </c>
      <c r="F379" s="1" t="str">
        <f>VLOOKUP(E379,Tabulka5[],3,FALSE)</f>
        <v>Sergeant</v>
      </c>
      <c r="G379" s="1" t="s">
        <v>3115</v>
      </c>
      <c r="H379" s="1" t="s">
        <v>732</v>
      </c>
      <c r="I379" s="1" t="s">
        <v>403</v>
      </c>
      <c r="J379" s="1" t="s">
        <v>2728</v>
      </c>
      <c r="K379" s="1" t="s">
        <v>3126</v>
      </c>
      <c r="L379" s="1" t="s">
        <v>3134</v>
      </c>
      <c r="M379" s="1">
        <v>1500</v>
      </c>
      <c r="N379" s="1">
        <v>1</v>
      </c>
      <c r="O379" s="1" t="str">
        <f t="shared" si="27"/>
        <v>"HikingBootsLow_Blue": 1,</v>
      </c>
      <c r="P379" s="1" t="str">
        <f t="shared" si="28"/>
        <v>"HikingBootsLow_Blue": 5,</v>
      </c>
      <c r="Q379" s="1" t="str">
        <f t="shared" si="29"/>
        <v>"HikingBootsLow_Blue": 1500,</v>
      </c>
      <c r="R379" s="1" t="str">
        <f t="shared" si="30"/>
        <v>"HikingBootsLow_Blue": 3,</v>
      </c>
    </row>
    <row r="380" spans="1:18" ht="15" customHeight="1" x14ac:dyDescent="0.25">
      <c r="A380" s="1" t="str">
        <f t="shared" si="32"/>
        <v>#tc_clothes#tc_civil#tc_boots</v>
      </c>
      <c r="B380" s="1">
        <f>VLOOKUP(A380,TraderCategory!$A$63:$E$556,2,FALSE)</f>
        <v>5</v>
      </c>
      <c r="C380" s="1">
        <f>VLOOKUP(A380,TraderCategory!$A$63:$F$556,6,FALSE)</f>
        <v>0</v>
      </c>
      <c r="D380" s="1" t="str">
        <f>VLOOKUP(C380,Tabulka5[],3,FALSE)</f>
        <v>Private</v>
      </c>
      <c r="E380" s="1">
        <v>3</v>
      </c>
      <c r="F380" s="1" t="str">
        <f>VLOOKUP(E380,Tabulka5[],3,FALSE)</f>
        <v>Sergeant</v>
      </c>
      <c r="G380" s="1" t="s">
        <v>3115</v>
      </c>
      <c r="H380" s="1" t="s">
        <v>733</v>
      </c>
      <c r="I380" s="1" t="s">
        <v>403</v>
      </c>
      <c r="J380" s="1" t="s">
        <v>2728</v>
      </c>
      <c r="K380" s="1" t="s">
        <v>3126</v>
      </c>
      <c r="L380" s="1" t="s">
        <v>3134</v>
      </c>
      <c r="M380" s="1">
        <v>1500</v>
      </c>
      <c r="N380" s="1">
        <v>1</v>
      </c>
      <c r="O380" s="1" t="str">
        <f t="shared" si="27"/>
        <v>"HikingBootsLow_Grey": 1,</v>
      </c>
      <c r="P380" s="1" t="str">
        <f t="shared" si="28"/>
        <v>"HikingBootsLow_Grey": 5,</v>
      </c>
      <c r="Q380" s="1" t="str">
        <f t="shared" si="29"/>
        <v>"HikingBootsLow_Grey": 1500,</v>
      </c>
      <c r="R380" s="1" t="str">
        <f t="shared" si="30"/>
        <v>"HikingBootsLow_Grey": 3,</v>
      </c>
    </row>
    <row r="381" spans="1:18" ht="15" customHeight="1" x14ac:dyDescent="0.25">
      <c r="A381" s="1" t="str">
        <f t="shared" si="32"/>
        <v>#tc_clothes#tc_civil#tc_boots</v>
      </c>
      <c r="B381" s="1">
        <f>VLOOKUP(A381,TraderCategory!$A$63:$E$556,2,FALSE)</f>
        <v>5</v>
      </c>
      <c r="C381" s="1">
        <f>VLOOKUP(A381,TraderCategory!$A$63:$F$556,6,FALSE)</f>
        <v>0</v>
      </c>
      <c r="D381" s="1" t="str">
        <f>VLOOKUP(C381,Tabulka5[],3,FALSE)</f>
        <v>Private</v>
      </c>
      <c r="E381" s="1">
        <v>3</v>
      </c>
      <c r="F381" s="1" t="str">
        <f>VLOOKUP(E381,Tabulka5[],3,FALSE)</f>
        <v>Sergeant</v>
      </c>
      <c r="G381" s="1" t="s">
        <v>3115</v>
      </c>
      <c r="H381" s="1" t="s">
        <v>734</v>
      </c>
      <c r="I381" s="1" t="s">
        <v>403</v>
      </c>
      <c r="J381" s="1" t="s">
        <v>2728</v>
      </c>
      <c r="K381" s="1" t="s">
        <v>3126</v>
      </c>
      <c r="L381" s="1" t="s">
        <v>3134</v>
      </c>
      <c r="M381" s="1">
        <v>1800</v>
      </c>
      <c r="N381" s="1">
        <v>1</v>
      </c>
      <c r="O381" s="1" t="str">
        <f t="shared" si="27"/>
        <v>"HikingBoots_Black": 1,</v>
      </c>
      <c r="P381" s="1" t="str">
        <f t="shared" si="28"/>
        <v>"HikingBoots_Black": 5,</v>
      </c>
      <c r="Q381" s="1" t="str">
        <f t="shared" si="29"/>
        <v>"HikingBoots_Black": 1800,</v>
      </c>
      <c r="R381" s="1" t="str">
        <f t="shared" si="30"/>
        <v>"HikingBoots_Black": 3,</v>
      </c>
    </row>
    <row r="382" spans="1:18" ht="15" customHeight="1" x14ac:dyDescent="0.25">
      <c r="A382" s="1" t="str">
        <f t="shared" si="32"/>
        <v>#tc_clothes#tc_civil#tc_boots</v>
      </c>
      <c r="B382" s="1">
        <f>VLOOKUP(A382,TraderCategory!$A$63:$E$556,2,FALSE)</f>
        <v>5</v>
      </c>
      <c r="C382" s="1">
        <f>VLOOKUP(A382,TraderCategory!$A$63:$F$556,6,FALSE)</f>
        <v>0</v>
      </c>
      <c r="D382" s="1" t="str">
        <f>VLOOKUP(C382,Tabulka5[],3,FALSE)</f>
        <v>Private</v>
      </c>
      <c r="E382" s="1">
        <v>3</v>
      </c>
      <c r="F382" s="1" t="str">
        <f>VLOOKUP(E382,Tabulka5[],3,FALSE)</f>
        <v>Sergeant</v>
      </c>
      <c r="G382" s="1" t="s">
        <v>3115</v>
      </c>
      <c r="H382" s="1" t="s">
        <v>735</v>
      </c>
      <c r="I382" s="1" t="s">
        <v>403</v>
      </c>
      <c r="J382" s="1" t="s">
        <v>2728</v>
      </c>
      <c r="K382" s="1" t="s">
        <v>3126</v>
      </c>
      <c r="L382" s="1" t="s">
        <v>3134</v>
      </c>
      <c r="M382" s="1">
        <v>1500</v>
      </c>
      <c r="N382" s="1">
        <v>1</v>
      </c>
      <c r="O382" s="1" t="str">
        <f t="shared" si="27"/>
        <v>"HikingBoots_Brown": 1,</v>
      </c>
      <c r="P382" s="1" t="str">
        <f t="shared" si="28"/>
        <v>"HikingBoots_Brown": 5,</v>
      </c>
      <c r="Q382" s="1" t="str">
        <f t="shared" si="29"/>
        <v>"HikingBoots_Brown": 1500,</v>
      </c>
      <c r="R382" s="1" t="str">
        <f t="shared" si="30"/>
        <v>"HikingBoots_Brown": 3,</v>
      </c>
    </row>
    <row r="383" spans="1:18" ht="15" customHeight="1" x14ac:dyDescent="0.25">
      <c r="A383" s="1" t="str">
        <f t="shared" si="32"/>
        <v>#tc_clothes#tc_civil#tc_tops</v>
      </c>
      <c r="B383" s="1">
        <f>VLOOKUP(A383,TraderCategory!$A$63:$E$556,2,FALSE)</f>
        <v>1</v>
      </c>
      <c r="C383" s="1">
        <f>VLOOKUP(A383,TraderCategory!$A$63:$F$556,6,FALSE)</f>
        <v>0</v>
      </c>
      <c r="D383" s="1" t="str">
        <f>VLOOKUP(C383,Tabulka5[],3,FALSE)</f>
        <v>Private</v>
      </c>
      <c r="E383" s="1">
        <v>0</v>
      </c>
      <c r="F383" s="1" t="str">
        <f>VLOOKUP(E383,Tabulka5[],3,FALSE)</f>
        <v>Private</v>
      </c>
      <c r="G383" s="1" t="s">
        <v>3115</v>
      </c>
      <c r="H383" s="1" t="s">
        <v>736</v>
      </c>
      <c r="I383" s="1" t="s">
        <v>403</v>
      </c>
      <c r="J383" s="1" t="s">
        <v>2728</v>
      </c>
      <c r="K383" s="1" t="s">
        <v>3126</v>
      </c>
      <c r="L383" s="1" t="s">
        <v>3131</v>
      </c>
      <c r="M383" s="1">
        <v>2000</v>
      </c>
      <c r="N383" s="1">
        <v>1</v>
      </c>
      <c r="O383" s="1" t="str">
        <f t="shared" si="27"/>
        <v>"HikingJacket_Black": 1,</v>
      </c>
      <c r="P383" s="1" t="str">
        <f t="shared" si="28"/>
        <v>"HikingJacket_Black": 1,</v>
      </c>
      <c r="Q383" s="1" t="str">
        <f t="shared" si="29"/>
        <v>"HikingJacket_Black": 2000,</v>
      </c>
      <c r="R383" s="1" t="str">
        <f t="shared" si="30"/>
        <v>"HikingJacket_Black": 0,</v>
      </c>
    </row>
    <row r="384" spans="1:18" ht="15" customHeight="1" x14ac:dyDescent="0.25">
      <c r="A384" s="1" t="str">
        <f t="shared" si="32"/>
        <v>#tc_clothes#tc_civil#tc_tops</v>
      </c>
      <c r="B384" s="1">
        <f>VLOOKUP(A384,TraderCategory!$A$63:$E$556,2,FALSE)</f>
        <v>1</v>
      </c>
      <c r="C384" s="1">
        <f>VLOOKUP(A384,TraderCategory!$A$63:$F$556,6,FALSE)</f>
        <v>0</v>
      </c>
      <c r="D384" s="1" t="str">
        <f>VLOOKUP(C384,Tabulka5[],3,FALSE)</f>
        <v>Private</v>
      </c>
      <c r="E384" s="1">
        <v>0</v>
      </c>
      <c r="F384" s="1" t="str">
        <f>VLOOKUP(E384,Tabulka5[],3,FALSE)</f>
        <v>Private</v>
      </c>
      <c r="G384" s="1" t="s">
        <v>3115</v>
      </c>
      <c r="H384" s="1" t="s">
        <v>737</v>
      </c>
      <c r="I384" s="1" t="s">
        <v>403</v>
      </c>
      <c r="J384" s="1" t="s">
        <v>2728</v>
      </c>
      <c r="K384" s="1" t="s">
        <v>3126</v>
      </c>
      <c r="L384" s="1" t="s">
        <v>3131</v>
      </c>
      <c r="M384" s="1">
        <v>2000</v>
      </c>
      <c r="N384" s="1">
        <v>1</v>
      </c>
      <c r="O384" s="1" t="str">
        <f t="shared" si="27"/>
        <v>"HikingJacket_Blue": 1,</v>
      </c>
      <c r="P384" s="1" t="str">
        <f t="shared" si="28"/>
        <v>"HikingJacket_Blue": 1,</v>
      </c>
      <c r="Q384" s="1" t="str">
        <f t="shared" si="29"/>
        <v>"HikingJacket_Blue": 2000,</v>
      </c>
      <c r="R384" s="1" t="str">
        <f t="shared" si="30"/>
        <v>"HikingJacket_Blue": 0,</v>
      </c>
    </row>
    <row r="385" spans="1:18" ht="15" customHeight="1" x14ac:dyDescent="0.25">
      <c r="A385" s="1" t="str">
        <f t="shared" si="32"/>
        <v>#tc_clothes#tc_civil#tc_tops</v>
      </c>
      <c r="B385" s="1">
        <f>VLOOKUP(A385,TraderCategory!$A$63:$E$556,2,FALSE)</f>
        <v>1</v>
      </c>
      <c r="C385" s="1">
        <f>VLOOKUP(A385,TraderCategory!$A$63:$F$556,6,FALSE)</f>
        <v>0</v>
      </c>
      <c r="D385" s="1" t="str">
        <f>VLOOKUP(C385,Tabulka5[],3,FALSE)</f>
        <v>Private</v>
      </c>
      <c r="E385" s="1">
        <v>0</v>
      </c>
      <c r="F385" s="1" t="str">
        <f>VLOOKUP(E385,Tabulka5[],3,FALSE)</f>
        <v>Private</v>
      </c>
      <c r="G385" s="1" t="s">
        <v>3115</v>
      </c>
      <c r="H385" s="1" t="s">
        <v>738</v>
      </c>
      <c r="I385" s="1" t="s">
        <v>403</v>
      </c>
      <c r="J385" s="1" t="s">
        <v>2728</v>
      </c>
      <c r="K385" s="1" t="s">
        <v>3126</v>
      </c>
      <c r="L385" s="1" t="s">
        <v>3131</v>
      </c>
      <c r="M385" s="1">
        <v>2000</v>
      </c>
      <c r="N385" s="1">
        <v>1</v>
      </c>
      <c r="O385" s="1" t="str">
        <f t="shared" si="27"/>
        <v>"HikingJacket_Green": 1,</v>
      </c>
      <c r="P385" s="1" t="str">
        <f t="shared" si="28"/>
        <v>"HikingJacket_Green": 1,</v>
      </c>
      <c r="Q385" s="1" t="str">
        <f t="shared" si="29"/>
        <v>"HikingJacket_Green": 2000,</v>
      </c>
      <c r="R385" s="1" t="str">
        <f t="shared" si="30"/>
        <v>"HikingJacket_Green": 0,</v>
      </c>
    </row>
    <row r="386" spans="1:18" ht="15" customHeight="1" x14ac:dyDescent="0.25">
      <c r="A386" s="1" t="str">
        <f t="shared" si="32"/>
        <v>#tc_clothes#tc_civil#tc_tops</v>
      </c>
      <c r="B386" s="1">
        <f>VLOOKUP(A386,TraderCategory!$A$63:$E$556,2,FALSE)</f>
        <v>1</v>
      </c>
      <c r="C386" s="1">
        <f>VLOOKUP(A386,TraderCategory!$A$63:$F$556,6,FALSE)</f>
        <v>0</v>
      </c>
      <c r="D386" s="1" t="str">
        <f>VLOOKUP(C386,Tabulka5[],3,FALSE)</f>
        <v>Private</v>
      </c>
      <c r="E386" s="1">
        <v>0</v>
      </c>
      <c r="F386" s="1" t="str">
        <f>VLOOKUP(E386,Tabulka5[],3,FALSE)</f>
        <v>Private</v>
      </c>
      <c r="G386" s="1" t="s">
        <v>3115</v>
      </c>
      <c r="H386" s="1" t="s">
        <v>739</v>
      </c>
      <c r="I386" s="1" t="s">
        <v>403</v>
      </c>
      <c r="J386" s="1" t="s">
        <v>2728</v>
      </c>
      <c r="K386" s="1" t="s">
        <v>3126</v>
      </c>
      <c r="L386" s="1" t="s">
        <v>3131</v>
      </c>
      <c r="M386" s="1">
        <v>2000</v>
      </c>
      <c r="N386" s="1">
        <v>1</v>
      </c>
      <c r="O386" s="1" t="str">
        <f t="shared" si="27"/>
        <v>"HikingJacket_Red": 1,</v>
      </c>
      <c r="P386" s="1" t="str">
        <f t="shared" si="28"/>
        <v>"HikingJacket_Red": 1,</v>
      </c>
      <c r="Q386" s="1" t="str">
        <f t="shared" si="29"/>
        <v>"HikingJacket_Red": 2000,</v>
      </c>
      <c r="R386" s="1" t="str">
        <f t="shared" si="30"/>
        <v>"HikingJacket_Red": 0,</v>
      </c>
    </row>
    <row r="387" spans="1:18" ht="15" customHeight="1" x14ac:dyDescent="0.25">
      <c r="A387" s="1" t="str">
        <f t="shared" si="32"/>
        <v>#tc_clothes#tc_civil#tc_head</v>
      </c>
      <c r="B387" s="1">
        <f>VLOOKUP(A387,TraderCategory!$A$63:$E$556,2,FALSE)</f>
        <v>0</v>
      </c>
      <c r="C387" s="1">
        <f>VLOOKUP(A387,TraderCategory!$A$63:$F$556,6,FALSE)</f>
        <v>0</v>
      </c>
      <c r="D387" s="1" t="str">
        <f>VLOOKUP(C387,Tabulka5[],3,FALSE)</f>
        <v>Private</v>
      </c>
      <c r="E387" s="1">
        <v>0</v>
      </c>
      <c r="F387" s="1" t="str">
        <f>VLOOKUP(E387,Tabulka5[],3,FALSE)</f>
        <v>Private</v>
      </c>
      <c r="G387" s="1" t="s">
        <v>3115</v>
      </c>
      <c r="H387" s="1" t="s">
        <v>740</v>
      </c>
      <c r="I387" s="1" t="s">
        <v>403</v>
      </c>
      <c r="J387" s="1" t="s">
        <v>2728</v>
      </c>
      <c r="K387" s="1" t="s">
        <v>3126</v>
      </c>
      <c r="L387" s="1" t="s">
        <v>3130</v>
      </c>
      <c r="M387" s="1">
        <v>1200</v>
      </c>
      <c r="N387" s="1">
        <v>1</v>
      </c>
      <c r="O387" s="1" t="str">
        <f t="shared" ref="O387:O450" si="33">"""" &amp;H387 &amp; """: " &amp; N387 &amp; ","</f>
        <v>"HockeyHelmet_Black": 1,</v>
      </c>
      <c r="P387" s="1" t="str">
        <f t="shared" ref="P387:P450" si="34">"""" &amp;H387 &amp; """: " &amp; B387 &amp; ","</f>
        <v>"HockeyHelmet_Black": 0,</v>
      </c>
      <c r="Q387" s="1" t="str">
        <f t="shared" ref="Q387:Q450" si="35">"""" &amp;H387 &amp; """: " &amp; M387 &amp; ","</f>
        <v>"HockeyHelmet_Black": 1200,</v>
      </c>
      <c r="R387" s="1" t="str">
        <f t="shared" ref="R387:R450" si="36">"""" &amp;H387 &amp; """: " &amp; E387 &amp; ","</f>
        <v>"HockeyHelmet_Black": 0,</v>
      </c>
    </row>
    <row r="388" spans="1:18" ht="15" customHeight="1" x14ac:dyDescent="0.25">
      <c r="A388" s="1" t="str">
        <f t="shared" si="32"/>
        <v>#tc_clothes#tc_civil#tc_head</v>
      </c>
      <c r="B388" s="1">
        <f>VLOOKUP(A388,TraderCategory!$A$63:$E$556,2,FALSE)</f>
        <v>0</v>
      </c>
      <c r="C388" s="1">
        <f>VLOOKUP(A388,TraderCategory!$A$63:$F$556,6,FALSE)</f>
        <v>0</v>
      </c>
      <c r="D388" s="1" t="str">
        <f>VLOOKUP(C388,Tabulka5[],3,FALSE)</f>
        <v>Private</v>
      </c>
      <c r="E388" s="1">
        <v>0</v>
      </c>
      <c r="F388" s="1" t="str">
        <f>VLOOKUP(E388,Tabulka5[],3,FALSE)</f>
        <v>Private</v>
      </c>
      <c r="G388" s="1" t="s">
        <v>3115</v>
      </c>
      <c r="H388" s="1" t="s">
        <v>741</v>
      </c>
      <c r="I388" s="1" t="s">
        <v>403</v>
      </c>
      <c r="J388" s="1" t="s">
        <v>2728</v>
      </c>
      <c r="K388" s="1" t="s">
        <v>3126</v>
      </c>
      <c r="L388" s="1" t="s">
        <v>3130</v>
      </c>
      <c r="M388" s="1">
        <v>1200</v>
      </c>
      <c r="N388" s="1">
        <v>1</v>
      </c>
      <c r="O388" s="1" t="str">
        <f t="shared" si="33"/>
        <v>"HockeyHelmet_Blue": 1,</v>
      </c>
      <c r="P388" s="1" t="str">
        <f t="shared" si="34"/>
        <v>"HockeyHelmet_Blue": 0,</v>
      </c>
      <c r="Q388" s="1" t="str">
        <f t="shared" si="35"/>
        <v>"HockeyHelmet_Blue": 1200,</v>
      </c>
      <c r="R388" s="1" t="str">
        <f t="shared" si="36"/>
        <v>"HockeyHelmet_Blue": 0,</v>
      </c>
    </row>
    <row r="389" spans="1:18" ht="15" customHeight="1" x14ac:dyDescent="0.25">
      <c r="A389" s="1" t="str">
        <f t="shared" si="32"/>
        <v>#tc_clothes#tc_civil#tc_head</v>
      </c>
      <c r="B389" s="1">
        <f>VLOOKUP(A389,TraderCategory!$A$63:$E$556,2,FALSE)</f>
        <v>0</v>
      </c>
      <c r="C389" s="1">
        <f>VLOOKUP(A389,TraderCategory!$A$63:$F$556,6,FALSE)</f>
        <v>0</v>
      </c>
      <c r="D389" s="1" t="str">
        <f>VLOOKUP(C389,Tabulka5[],3,FALSE)</f>
        <v>Private</v>
      </c>
      <c r="E389" s="1">
        <v>0</v>
      </c>
      <c r="F389" s="1" t="str">
        <f>VLOOKUP(E389,Tabulka5[],3,FALSE)</f>
        <v>Private</v>
      </c>
      <c r="G389" s="1" t="s">
        <v>3115</v>
      </c>
      <c r="H389" s="1" t="s">
        <v>742</v>
      </c>
      <c r="I389" s="1" t="s">
        <v>403</v>
      </c>
      <c r="J389" s="1" t="s">
        <v>2728</v>
      </c>
      <c r="K389" s="1" t="s">
        <v>3126</v>
      </c>
      <c r="L389" s="1" t="s">
        <v>3130</v>
      </c>
      <c r="M389" s="1">
        <v>1200</v>
      </c>
      <c r="N389" s="1">
        <v>1</v>
      </c>
      <c r="O389" s="1" t="str">
        <f t="shared" si="33"/>
        <v>"HockeyHelmet_Red": 1,</v>
      </c>
      <c r="P389" s="1" t="str">
        <f t="shared" si="34"/>
        <v>"HockeyHelmet_Red": 0,</v>
      </c>
      <c r="Q389" s="1" t="str">
        <f t="shared" si="35"/>
        <v>"HockeyHelmet_Red": 1200,</v>
      </c>
      <c r="R389" s="1" t="str">
        <f t="shared" si="36"/>
        <v>"HockeyHelmet_Red": 0,</v>
      </c>
    </row>
    <row r="390" spans="1:18" ht="15" customHeight="1" x14ac:dyDescent="0.25">
      <c r="A390" s="1" t="str">
        <f t="shared" si="32"/>
        <v>#tc_clothes#tc_civil#tc_head</v>
      </c>
      <c r="B390" s="1">
        <f>VLOOKUP(A390,TraderCategory!$A$63:$E$556,2,FALSE)</f>
        <v>0</v>
      </c>
      <c r="C390" s="1">
        <f>VLOOKUP(A390,TraderCategory!$A$63:$F$556,6,FALSE)</f>
        <v>0</v>
      </c>
      <c r="D390" s="1" t="str">
        <f>VLOOKUP(C390,Tabulka5[],3,FALSE)</f>
        <v>Private</v>
      </c>
      <c r="E390" s="1">
        <v>0</v>
      </c>
      <c r="F390" s="1" t="str">
        <f>VLOOKUP(E390,Tabulka5[],3,FALSE)</f>
        <v>Private</v>
      </c>
      <c r="G390" s="1" t="s">
        <v>3115</v>
      </c>
      <c r="H390" s="1" t="s">
        <v>743</v>
      </c>
      <c r="I390" s="1" t="s">
        <v>403</v>
      </c>
      <c r="J390" s="1" t="s">
        <v>2728</v>
      </c>
      <c r="K390" s="1" t="s">
        <v>3126</v>
      </c>
      <c r="L390" s="1" t="s">
        <v>3130</v>
      </c>
      <c r="M390" s="1">
        <v>1200</v>
      </c>
      <c r="N390" s="1">
        <v>1</v>
      </c>
      <c r="O390" s="1" t="str">
        <f t="shared" si="33"/>
        <v>"HockeyHelmet_White": 1,</v>
      </c>
      <c r="P390" s="1" t="str">
        <f t="shared" si="34"/>
        <v>"HockeyHelmet_White": 0,</v>
      </c>
      <c r="Q390" s="1" t="str">
        <f t="shared" si="35"/>
        <v>"HockeyHelmet_White": 1200,</v>
      </c>
      <c r="R390" s="1" t="str">
        <f t="shared" si="36"/>
        <v>"HockeyHelmet_White": 0,</v>
      </c>
    </row>
    <row r="391" spans="1:18" ht="15" customHeight="1" x14ac:dyDescent="0.25">
      <c r="A391" s="1" t="str">
        <f t="shared" si="32"/>
        <v>#tc_clothes#tc_civil#tc_head</v>
      </c>
      <c r="B391" s="1">
        <f>VLOOKUP(A391,TraderCategory!$A$63:$E$556,2,FALSE)</f>
        <v>0</v>
      </c>
      <c r="C391" s="1">
        <f>VLOOKUP(A391,TraderCategory!$A$63:$F$556,6,FALSE)</f>
        <v>0</v>
      </c>
      <c r="D391" s="1" t="str">
        <f>VLOOKUP(C391,Tabulka5[],3,FALSE)</f>
        <v>Private</v>
      </c>
      <c r="E391" s="1">
        <v>0</v>
      </c>
      <c r="F391" s="1" t="str">
        <f>VLOOKUP(E391,Tabulka5[],3,FALSE)</f>
        <v>Private</v>
      </c>
      <c r="G391" s="1" t="s">
        <v>3115</v>
      </c>
      <c r="H391" s="1" t="s">
        <v>744</v>
      </c>
      <c r="I391" s="1" t="s">
        <v>403</v>
      </c>
      <c r="J391" s="1" t="s">
        <v>2728</v>
      </c>
      <c r="K391" s="1" t="s">
        <v>3126</v>
      </c>
      <c r="L391" s="1" t="s">
        <v>3130</v>
      </c>
      <c r="M391" s="1">
        <v>600</v>
      </c>
      <c r="N391" s="1">
        <v>1</v>
      </c>
      <c r="O391" s="1" t="str">
        <f t="shared" si="33"/>
        <v>"HockeyMask": 1,</v>
      </c>
      <c r="P391" s="1" t="str">
        <f t="shared" si="34"/>
        <v>"HockeyMask": 0,</v>
      </c>
      <c r="Q391" s="1" t="str">
        <f t="shared" si="35"/>
        <v>"HockeyMask": 600,</v>
      </c>
      <c r="R391" s="1" t="str">
        <f t="shared" si="36"/>
        <v>"HockeyMask": 0,</v>
      </c>
    </row>
    <row r="392" spans="1:18" ht="15" customHeight="1" x14ac:dyDescent="0.25">
      <c r="A392" s="1" t="str">
        <f t="shared" si="32"/>
        <v>#tc_clothes#tc_civil#tc_tops</v>
      </c>
      <c r="B392" s="1">
        <f>VLOOKUP(A392,TraderCategory!$A$63:$E$556,2,FALSE)</f>
        <v>1</v>
      </c>
      <c r="C392" s="1">
        <f>VLOOKUP(A392,TraderCategory!$A$63:$F$556,6,FALSE)</f>
        <v>0</v>
      </c>
      <c r="D392" s="1" t="str">
        <f>VLOOKUP(C392,Tabulka5[],3,FALSE)</f>
        <v>Private</v>
      </c>
      <c r="E392" s="1">
        <v>0</v>
      </c>
      <c r="F392" s="1" t="str">
        <f>VLOOKUP(E392,Tabulka5[],3,FALSE)</f>
        <v>Private</v>
      </c>
      <c r="G392" s="1" t="s">
        <v>3115</v>
      </c>
      <c r="H392" s="1" t="s">
        <v>745</v>
      </c>
      <c r="I392" s="1" t="s">
        <v>403</v>
      </c>
      <c r="J392" s="1" t="s">
        <v>2728</v>
      </c>
      <c r="K392" s="1" t="s">
        <v>3126</v>
      </c>
      <c r="L392" s="1" t="s">
        <v>3131</v>
      </c>
      <c r="M392" s="1">
        <v>2000</v>
      </c>
      <c r="N392" s="1">
        <v>1</v>
      </c>
      <c r="O392" s="1" t="str">
        <f t="shared" si="33"/>
        <v>"Hoodie_Black": 1,</v>
      </c>
      <c r="P392" s="1" t="str">
        <f t="shared" si="34"/>
        <v>"Hoodie_Black": 1,</v>
      </c>
      <c r="Q392" s="1" t="str">
        <f t="shared" si="35"/>
        <v>"Hoodie_Black": 2000,</v>
      </c>
      <c r="R392" s="1" t="str">
        <f t="shared" si="36"/>
        <v>"Hoodie_Black": 0,</v>
      </c>
    </row>
    <row r="393" spans="1:18" ht="15" customHeight="1" x14ac:dyDescent="0.25">
      <c r="A393" s="1" t="str">
        <f t="shared" si="32"/>
        <v>#tc_clothes#tc_civil#tc_tops</v>
      </c>
      <c r="B393" s="1">
        <f>VLOOKUP(A393,TraderCategory!$A$63:$E$556,2,FALSE)</f>
        <v>1</v>
      </c>
      <c r="C393" s="1">
        <f>VLOOKUP(A393,TraderCategory!$A$63:$F$556,6,FALSE)</f>
        <v>0</v>
      </c>
      <c r="D393" s="1" t="str">
        <f>VLOOKUP(C393,Tabulka5[],3,FALSE)</f>
        <v>Private</v>
      </c>
      <c r="E393" s="1">
        <v>0</v>
      </c>
      <c r="F393" s="1" t="str">
        <f>VLOOKUP(E393,Tabulka5[],3,FALSE)</f>
        <v>Private</v>
      </c>
      <c r="G393" s="1" t="s">
        <v>3115</v>
      </c>
      <c r="H393" s="1" t="s">
        <v>746</v>
      </c>
      <c r="I393" s="1" t="s">
        <v>403</v>
      </c>
      <c r="J393" s="1" t="s">
        <v>2728</v>
      </c>
      <c r="K393" s="1" t="s">
        <v>3126</v>
      </c>
      <c r="L393" s="1" t="s">
        <v>3131</v>
      </c>
      <c r="M393" s="1">
        <v>2000</v>
      </c>
      <c r="N393" s="1">
        <v>1</v>
      </c>
      <c r="O393" s="1" t="str">
        <f t="shared" si="33"/>
        <v>"Hoodie_Blue": 1,</v>
      </c>
      <c r="P393" s="1" t="str">
        <f t="shared" si="34"/>
        <v>"Hoodie_Blue": 1,</v>
      </c>
      <c r="Q393" s="1" t="str">
        <f t="shared" si="35"/>
        <v>"Hoodie_Blue": 2000,</v>
      </c>
      <c r="R393" s="1" t="str">
        <f t="shared" si="36"/>
        <v>"Hoodie_Blue": 0,</v>
      </c>
    </row>
    <row r="394" spans="1:18" ht="15" customHeight="1" x14ac:dyDescent="0.25">
      <c r="A394" s="1" t="str">
        <f t="shared" si="32"/>
        <v>#tc_clothes#tc_civil#tc_tops</v>
      </c>
      <c r="B394" s="1">
        <f>VLOOKUP(A394,TraderCategory!$A$63:$E$556,2,FALSE)</f>
        <v>1</v>
      </c>
      <c r="C394" s="1">
        <f>VLOOKUP(A394,TraderCategory!$A$63:$F$556,6,FALSE)</f>
        <v>0</v>
      </c>
      <c r="D394" s="1" t="str">
        <f>VLOOKUP(C394,Tabulka5[],3,FALSE)</f>
        <v>Private</v>
      </c>
      <c r="E394" s="1">
        <v>0</v>
      </c>
      <c r="F394" s="1" t="str">
        <f>VLOOKUP(E394,Tabulka5[],3,FALSE)</f>
        <v>Private</v>
      </c>
      <c r="G394" s="1" t="s">
        <v>3115</v>
      </c>
      <c r="H394" s="1" t="s">
        <v>747</v>
      </c>
      <c r="I394" s="1" t="s">
        <v>403</v>
      </c>
      <c r="J394" s="1" t="s">
        <v>2728</v>
      </c>
      <c r="K394" s="1" t="s">
        <v>3126</v>
      </c>
      <c r="L394" s="1" t="s">
        <v>3131</v>
      </c>
      <c r="M394" s="1">
        <v>2000</v>
      </c>
      <c r="N394" s="1">
        <v>1</v>
      </c>
      <c r="O394" s="1" t="str">
        <f t="shared" si="33"/>
        <v>"Hoodie_Brown": 1,</v>
      </c>
      <c r="P394" s="1" t="str">
        <f t="shared" si="34"/>
        <v>"Hoodie_Brown": 1,</v>
      </c>
      <c r="Q394" s="1" t="str">
        <f t="shared" si="35"/>
        <v>"Hoodie_Brown": 2000,</v>
      </c>
      <c r="R394" s="1" t="str">
        <f t="shared" si="36"/>
        <v>"Hoodie_Brown": 0,</v>
      </c>
    </row>
    <row r="395" spans="1:18" ht="15" customHeight="1" x14ac:dyDescent="0.25">
      <c r="A395" s="1" t="str">
        <f t="shared" si="32"/>
        <v>#tc_clothes#tc_civil#tc_tops</v>
      </c>
      <c r="B395" s="1">
        <f>VLOOKUP(A395,TraderCategory!$A$63:$E$556,2,FALSE)</f>
        <v>1</v>
      </c>
      <c r="C395" s="1">
        <f>VLOOKUP(A395,TraderCategory!$A$63:$F$556,6,FALSE)</f>
        <v>0</v>
      </c>
      <c r="D395" s="1" t="str">
        <f>VLOOKUP(C395,Tabulka5[],3,FALSE)</f>
        <v>Private</v>
      </c>
      <c r="E395" s="1">
        <v>0</v>
      </c>
      <c r="F395" s="1" t="str">
        <f>VLOOKUP(E395,Tabulka5[],3,FALSE)</f>
        <v>Private</v>
      </c>
      <c r="G395" s="1" t="s">
        <v>3115</v>
      </c>
      <c r="H395" s="1" t="s">
        <v>748</v>
      </c>
      <c r="I395" s="1" t="s">
        <v>403</v>
      </c>
      <c r="J395" s="1" t="s">
        <v>2728</v>
      </c>
      <c r="K395" s="1" t="s">
        <v>3126</v>
      </c>
      <c r="L395" s="1" t="s">
        <v>3131</v>
      </c>
      <c r="M395" s="1">
        <v>2000</v>
      </c>
      <c r="N395" s="1">
        <v>1</v>
      </c>
      <c r="O395" s="1" t="str">
        <f t="shared" si="33"/>
        <v>"Hoodie_Green": 1,</v>
      </c>
      <c r="P395" s="1" t="str">
        <f t="shared" si="34"/>
        <v>"Hoodie_Green": 1,</v>
      </c>
      <c r="Q395" s="1" t="str">
        <f t="shared" si="35"/>
        <v>"Hoodie_Green": 2000,</v>
      </c>
      <c r="R395" s="1" t="str">
        <f t="shared" si="36"/>
        <v>"Hoodie_Green": 0,</v>
      </c>
    </row>
    <row r="396" spans="1:18" ht="15" customHeight="1" x14ac:dyDescent="0.25">
      <c r="A396" s="1" t="str">
        <f t="shared" ref="A396:A459" si="37">CONCATENATE(J396,K396,L396)</f>
        <v>#tc_clothes#tc_civil#tc_tops</v>
      </c>
      <c r="B396" s="1">
        <f>VLOOKUP(A396,TraderCategory!$A$63:$E$556,2,FALSE)</f>
        <v>1</v>
      </c>
      <c r="C396" s="1">
        <f>VLOOKUP(A396,TraderCategory!$A$63:$F$556,6,FALSE)</f>
        <v>0</v>
      </c>
      <c r="D396" s="1" t="str">
        <f>VLOOKUP(C396,Tabulka5[],3,FALSE)</f>
        <v>Private</v>
      </c>
      <c r="E396" s="1">
        <v>0</v>
      </c>
      <c r="F396" s="1" t="str">
        <f>VLOOKUP(E396,Tabulka5[],3,FALSE)</f>
        <v>Private</v>
      </c>
      <c r="G396" s="1" t="s">
        <v>3115</v>
      </c>
      <c r="H396" s="1" t="s">
        <v>749</v>
      </c>
      <c r="I396" s="1" t="s">
        <v>403</v>
      </c>
      <c r="J396" s="1" t="s">
        <v>2728</v>
      </c>
      <c r="K396" s="1" t="s">
        <v>3126</v>
      </c>
      <c r="L396" s="1" t="s">
        <v>3131</v>
      </c>
      <c r="M396" s="1">
        <v>2000</v>
      </c>
      <c r="N396" s="1">
        <v>1</v>
      </c>
      <c r="O396" s="1" t="str">
        <f t="shared" si="33"/>
        <v>"Hoodie_Grey": 1,</v>
      </c>
      <c r="P396" s="1" t="str">
        <f t="shared" si="34"/>
        <v>"Hoodie_Grey": 1,</v>
      </c>
      <c r="Q396" s="1" t="str">
        <f t="shared" si="35"/>
        <v>"Hoodie_Grey": 2000,</v>
      </c>
      <c r="R396" s="1" t="str">
        <f t="shared" si="36"/>
        <v>"Hoodie_Grey": 0,</v>
      </c>
    </row>
    <row r="397" spans="1:18" ht="15" customHeight="1" x14ac:dyDescent="0.25">
      <c r="A397" s="1" t="str">
        <f t="shared" si="37"/>
        <v>#tc_clothes#tc_civil#tc_tops</v>
      </c>
      <c r="B397" s="1">
        <f>VLOOKUP(A397,TraderCategory!$A$63:$E$556,2,FALSE)</f>
        <v>1</v>
      </c>
      <c r="C397" s="1">
        <f>VLOOKUP(A397,TraderCategory!$A$63:$F$556,6,FALSE)</f>
        <v>0</v>
      </c>
      <c r="D397" s="1" t="str">
        <f>VLOOKUP(C397,Tabulka5[],3,FALSE)</f>
        <v>Private</v>
      </c>
      <c r="E397" s="1">
        <v>0</v>
      </c>
      <c r="F397" s="1" t="str">
        <f>VLOOKUP(E397,Tabulka5[],3,FALSE)</f>
        <v>Private</v>
      </c>
      <c r="G397" s="1" t="s">
        <v>3115</v>
      </c>
      <c r="H397" s="1" t="s">
        <v>750</v>
      </c>
      <c r="I397" s="1" t="s">
        <v>403</v>
      </c>
      <c r="J397" s="1" t="s">
        <v>2728</v>
      </c>
      <c r="K397" s="1" t="s">
        <v>3126</v>
      </c>
      <c r="L397" s="1" t="s">
        <v>3131</v>
      </c>
      <c r="M397" s="1">
        <v>2000</v>
      </c>
      <c r="N397" s="1">
        <v>1</v>
      </c>
      <c r="O397" s="1" t="str">
        <f t="shared" si="33"/>
        <v>"Hoodie_Red": 1,</v>
      </c>
      <c r="P397" s="1" t="str">
        <f t="shared" si="34"/>
        <v>"Hoodie_Red": 1,</v>
      </c>
      <c r="Q397" s="1" t="str">
        <f t="shared" si="35"/>
        <v>"Hoodie_Red": 2000,</v>
      </c>
      <c r="R397" s="1" t="str">
        <f t="shared" si="36"/>
        <v>"Hoodie_Red": 0,</v>
      </c>
    </row>
    <row r="398" spans="1:18" ht="15" customHeight="1" x14ac:dyDescent="0.25">
      <c r="A398" s="1" t="str">
        <f t="shared" si="37"/>
        <v>#tc_groceries#tc_tools#tc_camping</v>
      </c>
      <c r="B398" s="1">
        <f>VLOOKUP(A398,TraderCategory!$A$63:$E$556,2,FALSE)</f>
        <v>33</v>
      </c>
      <c r="C398" s="1">
        <f>VLOOKUP(A398,TraderCategory!$A$63:$F$556,6,FALSE)</f>
        <v>3</v>
      </c>
      <c r="D398" s="1" t="str">
        <f>VLOOKUP(C398,Tabulka5[],3,FALSE)</f>
        <v>Sergeant</v>
      </c>
      <c r="E398" s="1">
        <v>3</v>
      </c>
      <c r="F398" s="1" t="str">
        <f>VLOOKUP(E398,Tabulka5[],3,FALSE)</f>
        <v>Sergeant</v>
      </c>
      <c r="G398" s="1" t="s">
        <v>3115</v>
      </c>
      <c r="H398" s="1" t="s">
        <v>751</v>
      </c>
      <c r="I398" s="1" t="s">
        <v>426</v>
      </c>
      <c r="J398" s="1" t="s">
        <v>3127</v>
      </c>
      <c r="K398" s="1" t="s">
        <v>2740</v>
      </c>
      <c r="L398" s="1" t="s">
        <v>3150</v>
      </c>
      <c r="M398" s="1">
        <v>200</v>
      </c>
      <c r="N398" s="1">
        <v>1</v>
      </c>
      <c r="O398" s="1" t="str">
        <f t="shared" si="33"/>
        <v>"Hook": 1,</v>
      </c>
      <c r="P398" s="1" t="str">
        <f t="shared" si="34"/>
        <v>"Hook": 33,</v>
      </c>
      <c r="Q398" s="1" t="str">
        <f t="shared" si="35"/>
        <v>"Hook": 200,</v>
      </c>
      <c r="R398" s="1" t="str">
        <f t="shared" si="36"/>
        <v>"Hook": 3,</v>
      </c>
    </row>
    <row r="399" spans="1:18" ht="15" customHeight="1" x14ac:dyDescent="0.25">
      <c r="A399" s="1" t="str">
        <f t="shared" si="37"/>
        <v>#tc_clothes#tc_civil#tc_pants</v>
      </c>
      <c r="B399" s="1">
        <f>VLOOKUP(A399,TraderCategory!$A$63:$E$556,2,FALSE)</f>
        <v>4</v>
      </c>
      <c r="C399" s="1">
        <f>VLOOKUP(A399,TraderCategory!$A$63:$F$556,6,FALSE)</f>
        <v>0</v>
      </c>
      <c r="D399" s="1" t="str">
        <f>VLOOKUP(C399,Tabulka5[],3,FALSE)</f>
        <v>Private</v>
      </c>
      <c r="E399" s="1">
        <v>3</v>
      </c>
      <c r="F399" s="1" t="str">
        <f>VLOOKUP(E399,Tabulka5[],3,FALSE)</f>
        <v>Sergeant</v>
      </c>
      <c r="G399" s="1" t="s">
        <v>3115</v>
      </c>
      <c r="H399" s="1" t="s">
        <v>753</v>
      </c>
      <c r="I399" s="1" t="s">
        <v>403</v>
      </c>
      <c r="J399" s="1" t="s">
        <v>2728</v>
      </c>
      <c r="K399" s="1" t="s">
        <v>3126</v>
      </c>
      <c r="L399" s="1" t="s">
        <v>3133</v>
      </c>
      <c r="M399" s="1">
        <v>1500</v>
      </c>
      <c r="N399" s="1">
        <v>1</v>
      </c>
      <c r="O399" s="1" t="str">
        <f t="shared" si="33"/>
        <v>"HunterPants_Autumn": 1,</v>
      </c>
      <c r="P399" s="1" t="str">
        <f t="shared" si="34"/>
        <v>"HunterPants_Autumn": 4,</v>
      </c>
      <c r="Q399" s="1" t="str">
        <f t="shared" si="35"/>
        <v>"HunterPants_Autumn": 1500,</v>
      </c>
      <c r="R399" s="1" t="str">
        <f t="shared" si="36"/>
        <v>"HunterPants_Autumn": 3,</v>
      </c>
    </row>
    <row r="400" spans="1:18" ht="15" customHeight="1" x14ac:dyDescent="0.25">
      <c r="A400" s="1" t="str">
        <f t="shared" si="37"/>
        <v>#tc_clothes#tc_civil#tc_pants</v>
      </c>
      <c r="B400" s="1">
        <f>VLOOKUP(A400,TraderCategory!$A$63:$E$556,2,FALSE)</f>
        <v>4</v>
      </c>
      <c r="C400" s="1">
        <f>VLOOKUP(A400,TraderCategory!$A$63:$F$556,6,FALSE)</f>
        <v>0</v>
      </c>
      <c r="D400" s="1" t="str">
        <f>VLOOKUP(C400,Tabulka5[],3,FALSE)</f>
        <v>Private</v>
      </c>
      <c r="E400" s="1">
        <v>3</v>
      </c>
      <c r="F400" s="1" t="str">
        <f>VLOOKUP(E400,Tabulka5[],3,FALSE)</f>
        <v>Sergeant</v>
      </c>
      <c r="G400" s="1" t="s">
        <v>3115</v>
      </c>
      <c r="H400" s="1" t="s">
        <v>754</v>
      </c>
      <c r="I400" s="1" t="s">
        <v>403</v>
      </c>
      <c r="J400" s="1" t="s">
        <v>2728</v>
      </c>
      <c r="K400" s="1" t="s">
        <v>3126</v>
      </c>
      <c r="L400" s="1" t="s">
        <v>3133</v>
      </c>
      <c r="M400" s="1">
        <v>1500</v>
      </c>
      <c r="N400" s="1">
        <v>1</v>
      </c>
      <c r="O400" s="1" t="str">
        <f t="shared" si="33"/>
        <v>"HunterPants_Brown": 1,</v>
      </c>
      <c r="P400" s="1" t="str">
        <f t="shared" si="34"/>
        <v>"HunterPants_Brown": 4,</v>
      </c>
      <c r="Q400" s="1" t="str">
        <f t="shared" si="35"/>
        <v>"HunterPants_Brown": 1500,</v>
      </c>
      <c r="R400" s="1" t="str">
        <f t="shared" si="36"/>
        <v>"HunterPants_Brown": 3,</v>
      </c>
    </row>
    <row r="401" spans="1:18" ht="15" customHeight="1" x14ac:dyDescent="0.25">
      <c r="A401" s="1" t="str">
        <f t="shared" si="37"/>
        <v>#tc_clothes#tc_civil#tc_pants</v>
      </c>
      <c r="B401" s="1">
        <f>VLOOKUP(A401,TraderCategory!$A$63:$E$556,2,FALSE)</f>
        <v>4</v>
      </c>
      <c r="C401" s="1">
        <f>VLOOKUP(A401,TraderCategory!$A$63:$F$556,6,FALSE)</f>
        <v>0</v>
      </c>
      <c r="D401" s="1" t="str">
        <f>VLOOKUP(C401,Tabulka5[],3,FALSE)</f>
        <v>Private</v>
      </c>
      <c r="E401" s="1">
        <v>3</v>
      </c>
      <c r="F401" s="1" t="str">
        <f>VLOOKUP(E401,Tabulka5[],3,FALSE)</f>
        <v>Sergeant</v>
      </c>
      <c r="G401" s="1" t="s">
        <v>3115</v>
      </c>
      <c r="H401" s="1" t="s">
        <v>755</v>
      </c>
      <c r="I401" s="1" t="s">
        <v>403</v>
      </c>
      <c r="J401" s="1" t="s">
        <v>2728</v>
      </c>
      <c r="K401" s="1" t="s">
        <v>3126</v>
      </c>
      <c r="L401" s="1" t="s">
        <v>3133</v>
      </c>
      <c r="M401" s="1">
        <v>1500</v>
      </c>
      <c r="N401" s="1">
        <v>1</v>
      </c>
      <c r="O401" s="1" t="str">
        <f t="shared" si="33"/>
        <v>"HunterPants_Spring": 1,</v>
      </c>
      <c r="P401" s="1" t="str">
        <f t="shared" si="34"/>
        <v>"HunterPants_Spring": 4,</v>
      </c>
      <c r="Q401" s="1" t="str">
        <f t="shared" si="35"/>
        <v>"HunterPants_Spring": 1500,</v>
      </c>
      <c r="R401" s="1" t="str">
        <f t="shared" si="36"/>
        <v>"HunterPants_Spring": 3,</v>
      </c>
    </row>
    <row r="402" spans="1:18" ht="15" customHeight="1" x14ac:dyDescent="0.25">
      <c r="A402" s="1" t="str">
        <f t="shared" si="37"/>
        <v>#tc_clothes#tc_civil#tc_pants</v>
      </c>
      <c r="B402" s="1">
        <f>VLOOKUP(A402,TraderCategory!$A$63:$E$556,2,FALSE)</f>
        <v>4</v>
      </c>
      <c r="C402" s="1">
        <f>VLOOKUP(A402,TraderCategory!$A$63:$F$556,6,FALSE)</f>
        <v>0</v>
      </c>
      <c r="D402" s="1" t="str">
        <f>VLOOKUP(C402,Tabulka5[],3,FALSE)</f>
        <v>Private</v>
      </c>
      <c r="E402" s="1">
        <v>3</v>
      </c>
      <c r="F402" s="1" t="str">
        <f>VLOOKUP(E402,Tabulka5[],3,FALSE)</f>
        <v>Sergeant</v>
      </c>
      <c r="G402" s="1" t="s">
        <v>3115</v>
      </c>
      <c r="H402" s="1" t="s">
        <v>756</v>
      </c>
      <c r="I402" s="1" t="s">
        <v>403</v>
      </c>
      <c r="J402" s="1" t="s">
        <v>2728</v>
      </c>
      <c r="K402" s="1" t="s">
        <v>3126</v>
      </c>
      <c r="L402" s="1" t="s">
        <v>3133</v>
      </c>
      <c r="M402" s="1">
        <v>1500</v>
      </c>
      <c r="N402" s="1">
        <v>1</v>
      </c>
      <c r="O402" s="1" t="str">
        <f t="shared" si="33"/>
        <v>"HunterPants_Summer": 1,</v>
      </c>
      <c r="P402" s="1" t="str">
        <f t="shared" si="34"/>
        <v>"HunterPants_Summer": 4,</v>
      </c>
      <c r="Q402" s="1" t="str">
        <f t="shared" si="35"/>
        <v>"HunterPants_Summer": 1500,</v>
      </c>
      <c r="R402" s="1" t="str">
        <f t="shared" si="36"/>
        <v>"HunterPants_Summer": 3,</v>
      </c>
    </row>
    <row r="403" spans="1:18" ht="15" customHeight="1" x14ac:dyDescent="0.25">
      <c r="A403" s="1" t="str">
        <f t="shared" si="37"/>
        <v>#tc_clothes#tc_civil#tc_pants</v>
      </c>
      <c r="B403" s="1">
        <f>VLOOKUP(A403,TraderCategory!$A$63:$E$556,2,FALSE)</f>
        <v>4</v>
      </c>
      <c r="C403" s="1">
        <f>VLOOKUP(A403,TraderCategory!$A$63:$F$556,6,FALSE)</f>
        <v>0</v>
      </c>
      <c r="D403" s="1" t="str">
        <f>VLOOKUP(C403,Tabulka5[],3,FALSE)</f>
        <v>Private</v>
      </c>
      <c r="E403" s="1">
        <v>3</v>
      </c>
      <c r="F403" s="1" t="str">
        <f>VLOOKUP(E403,Tabulka5[],3,FALSE)</f>
        <v>Sergeant</v>
      </c>
      <c r="G403" s="1" t="s">
        <v>3115</v>
      </c>
      <c r="H403" s="1" t="s">
        <v>757</v>
      </c>
      <c r="I403" s="1" t="s">
        <v>403</v>
      </c>
      <c r="J403" s="1" t="s">
        <v>2728</v>
      </c>
      <c r="K403" s="1" t="s">
        <v>3126</v>
      </c>
      <c r="L403" s="1" t="s">
        <v>3133</v>
      </c>
      <c r="M403" s="1">
        <v>1500</v>
      </c>
      <c r="N403" s="1">
        <v>1</v>
      </c>
      <c r="O403" s="1" t="str">
        <f t="shared" si="33"/>
        <v>"HunterPants_Winter": 1,</v>
      </c>
      <c r="P403" s="1" t="str">
        <f t="shared" si="34"/>
        <v>"HunterPants_Winter": 4,</v>
      </c>
      <c r="Q403" s="1" t="str">
        <f t="shared" si="35"/>
        <v>"HunterPants_Winter": 1500,</v>
      </c>
      <c r="R403" s="1" t="str">
        <f t="shared" si="36"/>
        <v>"HunterPants_Winter": 3,</v>
      </c>
    </row>
    <row r="404" spans="1:18" ht="15" customHeight="1" x14ac:dyDescent="0.25">
      <c r="A404" s="1" t="str">
        <f t="shared" si="37"/>
        <v>#tc_clothes#tc_civil#tc_bags</v>
      </c>
      <c r="B404" s="1">
        <f>VLOOKUP(A404,TraderCategory!$A$63:$E$556,2,FALSE)</f>
        <v>7</v>
      </c>
      <c r="C404" s="1">
        <f>VLOOKUP(A404,TraderCategory!$A$63:$F$556,6,FALSE)</f>
        <v>0</v>
      </c>
      <c r="D404" s="1" t="str">
        <f>VLOOKUP(C404,Tabulka5[],3,FALSE)</f>
        <v>Private</v>
      </c>
      <c r="E404" s="1">
        <v>0</v>
      </c>
      <c r="F404" s="1" t="str">
        <f>VLOOKUP(E404,Tabulka5[],3,FALSE)</f>
        <v>Private</v>
      </c>
      <c r="G404" s="1" t="s">
        <v>3115</v>
      </c>
      <c r="H404" s="1" t="s">
        <v>758</v>
      </c>
      <c r="I404" s="1" t="s">
        <v>363</v>
      </c>
      <c r="J404" s="1" t="s">
        <v>2728</v>
      </c>
      <c r="K404" s="1" t="s">
        <v>3126</v>
      </c>
      <c r="L404" s="1" t="s">
        <v>3138</v>
      </c>
      <c r="M404" s="1">
        <v>9000</v>
      </c>
      <c r="N404" s="1">
        <v>1</v>
      </c>
      <c r="O404" s="1" t="str">
        <f t="shared" si="33"/>
        <v>"HuntingBag": 1,</v>
      </c>
      <c r="P404" s="1" t="str">
        <f t="shared" si="34"/>
        <v>"HuntingBag": 7,</v>
      </c>
      <c r="Q404" s="1" t="str">
        <f t="shared" si="35"/>
        <v>"HuntingBag": 9000,</v>
      </c>
      <c r="R404" s="1" t="str">
        <f t="shared" si="36"/>
        <v>"HuntingBag": 0,</v>
      </c>
    </row>
    <row r="405" spans="1:18" ht="15" customHeight="1" x14ac:dyDescent="0.25">
      <c r="A405" s="1" t="str">
        <f t="shared" si="37"/>
        <v>#tc_clothes#tc_civil#tc_tops</v>
      </c>
      <c r="B405" s="1">
        <f>VLOOKUP(A405,TraderCategory!$A$63:$E$556,2,FALSE)</f>
        <v>1</v>
      </c>
      <c r="C405" s="1">
        <f>VLOOKUP(A405,TraderCategory!$A$63:$F$556,6,FALSE)</f>
        <v>0</v>
      </c>
      <c r="D405" s="1" t="str">
        <f>VLOOKUP(C405,Tabulka5[],3,FALSE)</f>
        <v>Private</v>
      </c>
      <c r="E405" s="1">
        <v>3</v>
      </c>
      <c r="F405" s="1" t="str">
        <f>VLOOKUP(E405,Tabulka5[],3,FALSE)</f>
        <v>Sergeant</v>
      </c>
      <c r="G405" s="1" t="s">
        <v>3115</v>
      </c>
      <c r="H405" s="1" t="s">
        <v>759</v>
      </c>
      <c r="I405" s="1" t="s">
        <v>403</v>
      </c>
      <c r="J405" s="1" t="s">
        <v>2728</v>
      </c>
      <c r="K405" s="1" t="s">
        <v>3126</v>
      </c>
      <c r="L405" s="1" t="s">
        <v>3131</v>
      </c>
      <c r="M405" s="1">
        <v>3000</v>
      </c>
      <c r="N405" s="1">
        <v>1</v>
      </c>
      <c r="O405" s="1" t="str">
        <f t="shared" si="33"/>
        <v>"HuntingJacket_Autumn": 1,</v>
      </c>
      <c r="P405" s="1" t="str">
        <f t="shared" si="34"/>
        <v>"HuntingJacket_Autumn": 1,</v>
      </c>
      <c r="Q405" s="1" t="str">
        <f t="shared" si="35"/>
        <v>"HuntingJacket_Autumn": 3000,</v>
      </c>
      <c r="R405" s="1" t="str">
        <f t="shared" si="36"/>
        <v>"HuntingJacket_Autumn": 3,</v>
      </c>
    </row>
    <row r="406" spans="1:18" ht="15" customHeight="1" x14ac:dyDescent="0.25">
      <c r="A406" s="1" t="str">
        <f t="shared" si="37"/>
        <v>#tc_clothes#tc_civil#tc_tops</v>
      </c>
      <c r="B406" s="1">
        <f>VLOOKUP(A406,TraderCategory!$A$63:$E$556,2,FALSE)</f>
        <v>1</v>
      </c>
      <c r="C406" s="1">
        <f>VLOOKUP(A406,TraderCategory!$A$63:$F$556,6,FALSE)</f>
        <v>0</v>
      </c>
      <c r="D406" s="1" t="str">
        <f>VLOOKUP(C406,Tabulka5[],3,FALSE)</f>
        <v>Private</v>
      </c>
      <c r="E406" s="1">
        <v>3</v>
      </c>
      <c r="F406" s="1" t="str">
        <f>VLOOKUP(E406,Tabulka5[],3,FALSE)</f>
        <v>Sergeant</v>
      </c>
      <c r="G406" s="1" t="s">
        <v>3115</v>
      </c>
      <c r="H406" s="1" t="s">
        <v>760</v>
      </c>
      <c r="I406" s="1" t="s">
        <v>403</v>
      </c>
      <c r="J406" s="1" t="s">
        <v>2728</v>
      </c>
      <c r="K406" s="1" t="s">
        <v>3126</v>
      </c>
      <c r="L406" s="1" t="s">
        <v>3131</v>
      </c>
      <c r="M406" s="1">
        <v>3000</v>
      </c>
      <c r="N406" s="1">
        <v>1</v>
      </c>
      <c r="O406" s="1" t="str">
        <f t="shared" si="33"/>
        <v>"HuntingJacket_Brown": 1,</v>
      </c>
      <c r="P406" s="1" t="str">
        <f t="shared" si="34"/>
        <v>"HuntingJacket_Brown": 1,</v>
      </c>
      <c r="Q406" s="1" t="str">
        <f t="shared" si="35"/>
        <v>"HuntingJacket_Brown": 3000,</v>
      </c>
      <c r="R406" s="1" t="str">
        <f t="shared" si="36"/>
        <v>"HuntingJacket_Brown": 3,</v>
      </c>
    </row>
    <row r="407" spans="1:18" ht="15" customHeight="1" x14ac:dyDescent="0.25">
      <c r="A407" s="1" t="str">
        <f t="shared" si="37"/>
        <v>#tc_clothes#tc_civil#tc_tops</v>
      </c>
      <c r="B407" s="1">
        <f>VLOOKUP(A407,TraderCategory!$A$63:$E$556,2,FALSE)</f>
        <v>1</v>
      </c>
      <c r="C407" s="1">
        <f>VLOOKUP(A407,TraderCategory!$A$63:$F$556,6,FALSE)</f>
        <v>0</v>
      </c>
      <c r="D407" s="1" t="str">
        <f>VLOOKUP(C407,Tabulka5[],3,FALSE)</f>
        <v>Private</v>
      </c>
      <c r="E407" s="1">
        <v>3</v>
      </c>
      <c r="F407" s="1" t="str">
        <f>VLOOKUP(E407,Tabulka5[],3,FALSE)</f>
        <v>Sergeant</v>
      </c>
      <c r="G407" s="1" t="s">
        <v>3115</v>
      </c>
      <c r="H407" s="1" t="s">
        <v>761</v>
      </c>
      <c r="I407" s="1" t="s">
        <v>403</v>
      </c>
      <c r="J407" s="1" t="s">
        <v>2728</v>
      </c>
      <c r="K407" s="1" t="s">
        <v>3126</v>
      </c>
      <c r="L407" s="1" t="s">
        <v>3131</v>
      </c>
      <c r="M407" s="1">
        <v>3000</v>
      </c>
      <c r="N407" s="1">
        <v>1</v>
      </c>
      <c r="O407" s="1" t="str">
        <f t="shared" si="33"/>
        <v>"HuntingJacket_Spring": 1,</v>
      </c>
      <c r="P407" s="1" t="str">
        <f t="shared" si="34"/>
        <v>"HuntingJacket_Spring": 1,</v>
      </c>
      <c r="Q407" s="1" t="str">
        <f t="shared" si="35"/>
        <v>"HuntingJacket_Spring": 3000,</v>
      </c>
      <c r="R407" s="1" t="str">
        <f t="shared" si="36"/>
        <v>"HuntingJacket_Spring": 3,</v>
      </c>
    </row>
    <row r="408" spans="1:18" ht="15" customHeight="1" x14ac:dyDescent="0.25">
      <c r="A408" s="1" t="str">
        <f t="shared" si="37"/>
        <v>#tc_clothes#tc_civil#tc_tops</v>
      </c>
      <c r="B408" s="1">
        <f>VLOOKUP(A408,TraderCategory!$A$63:$E$556,2,FALSE)</f>
        <v>1</v>
      </c>
      <c r="C408" s="1">
        <f>VLOOKUP(A408,TraderCategory!$A$63:$F$556,6,FALSE)</f>
        <v>0</v>
      </c>
      <c r="D408" s="1" t="str">
        <f>VLOOKUP(C408,Tabulka5[],3,FALSE)</f>
        <v>Private</v>
      </c>
      <c r="E408" s="1">
        <v>3</v>
      </c>
      <c r="F408" s="1" t="str">
        <f>VLOOKUP(E408,Tabulka5[],3,FALSE)</f>
        <v>Sergeant</v>
      </c>
      <c r="G408" s="1" t="s">
        <v>3115</v>
      </c>
      <c r="H408" s="1" t="s">
        <v>762</v>
      </c>
      <c r="I408" s="1" t="s">
        <v>403</v>
      </c>
      <c r="J408" s="1" t="s">
        <v>2728</v>
      </c>
      <c r="K408" s="1" t="s">
        <v>3126</v>
      </c>
      <c r="L408" s="1" t="s">
        <v>3131</v>
      </c>
      <c r="M408" s="1">
        <v>3000</v>
      </c>
      <c r="N408" s="1">
        <v>1</v>
      </c>
      <c r="O408" s="1" t="str">
        <f t="shared" si="33"/>
        <v>"HuntingJacket_Summer": 1,</v>
      </c>
      <c r="P408" s="1" t="str">
        <f t="shared" si="34"/>
        <v>"HuntingJacket_Summer": 1,</v>
      </c>
      <c r="Q408" s="1" t="str">
        <f t="shared" si="35"/>
        <v>"HuntingJacket_Summer": 3000,</v>
      </c>
      <c r="R408" s="1" t="str">
        <f t="shared" si="36"/>
        <v>"HuntingJacket_Summer": 3,</v>
      </c>
    </row>
    <row r="409" spans="1:18" ht="15" customHeight="1" x14ac:dyDescent="0.25">
      <c r="A409" s="1" t="str">
        <f t="shared" si="37"/>
        <v>#tc_clothes#tc_civil#tc_tops</v>
      </c>
      <c r="B409" s="1">
        <f>VLOOKUP(A409,TraderCategory!$A$63:$E$556,2,FALSE)</f>
        <v>1</v>
      </c>
      <c r="C409" s="1">
        <f>VLOOKUP(A409,TraderCategory!$A$63:$F$556,6,FALSE)</f>
        <v>0</v>
      </c>
      <c r="D409" s="1" t="str">
        <f>VLOOKUP(C409,Tabulka5[],3,FALSE)</f>
        <v>Private</v>
      </c>
      <c r="E409" s="1">
        <v>3</v>
      </c>
      <c r="F409" s="1" t="str">
        <f>VLOOKUP(E409,Tabulka5[],3,FALSE)</f>
        <v>Sergeant</v>
      </c>
      <c r="G409" s="1" t="s">
        <v>3115</v>
      </c>
      <c r="H409" s="1" t="s">
        <v>763</v>
      </c>
      <c r="I409" s="1" t="s">
        <v>403</v>
      </c>
      <c r="J409" s="1" t="s">
        <v>2728</v>
      </c>
      <c r="K409" s="1" t="s">
        <v>3126</v>
      </c>
      <c r="L409" s="1" t="s">
        <v>3131</v>
      </c>
      <c r="M409" s="1">
        <v>3000</v>
      </c>
      <c r="N409" s="1">
        <v>1</v>
      </c>
      <c r="O409" s="1" t="str">
        <f t="shared" si="33"/>
        <v>"HuntingJacket_Winter": 1,</v>
      </c>
      <c r="P409" s="1" t="str">
        <f t="shared" si="34"/>
        <v>"HuntingJacket_Winter": 1,</v>
      </c>
      <c r="Q409" s="1" t="str">
        <f t="shared" si="35"/>
        <v>"HuntingJacket_Winter": 3000,</v>
      </c>
      <c r="R409" s="1" t="str">
        <f t="shared" si="36"/>
        <v>"HuntingJacket_Winter": 3,</v>
      </c>
    </row>
    <row r="410" spans="1:18" ht="15" customHeight="1" x14ac:dyDescent="0.25">
      <c r="A410" s="1" t="str">
        <f t="shared" si="37"/>
        <v>#tc_groceries#tc_tools#tc_knifes</v>
      </c>
      <c r="B410" s="1">
        <f>VLOOKUP(A410,TraderCategory!$A$63:$E$556,2,FALSE)</f>
        <v>28</v>
      </c>
      <c r="C410" s="1">
        <f>VLOOKUP(A410,TraderCategory!$A$63:$F$556,6,FALSE)</f>
        <v>0</v>
      </c>
      <c r="D410" s="1" t="str">
        <f>VLOOKUP(C410,Tabulka5[],3,FALSE)</f>
        <v>Private</v>
      </c>
      <c r="E410" s="1">
        <v>3</v>
      </c>
      <c r="F410" s="1" t="str">
        <f>VLOOKUP(E410,Tabulka5[],3,FALSE)</f>
        <v>Sergeant</v>
      </c>
      <c r="G410" s="1" t="s">
        <v>3115</v>
      </c>
      <c r="H410" s="1" t="s">
        <v>764</v>
      </c>
      <c r="I410" s="1" t="s">
        <v>426</v>
      </c>
      <c r="J410" s="1" t="s">
        <v>3127</v>
      </c>
      <c r="K410" s="1" t="s">
        <v>2740</v>
      </c>
      <c r="L410" s="1" t="s">
        <v>3143</v>
      </c>
      <c r="M410" s="1">
        <v>1500</v>
      </c>
      <c r="N410" s="1">
        <v>1</v>
      </c>
      <c r="O410" s="1" t="str">
        <f t="shared" si="33"/>
        <v>"HuntingKnife": 1,</v>
      </c>
      <c r="P410" s="1" t="str">
        <f t="shared" si="34"/>
        <v>"HuntingKnife": 28,</v>
      </c>
      <c r="Q410" s="1" t="str">
        <f t="shared" si="35"/>
        <v>"HuntingKnife": 1500,</v>
      </c>
      <c r="R410" s="1" t="str">
        <f t="shared" si="36"/>
        <v>"HuntingKnife": 3,</v>
      </c>
    </row>
    <row r="411" spans="1:18" x14ac:dyDescent="0.25">
      <c r="A411" s="1" t="str">
        <f t="shared" si="37"/>
        <v>#tc_military#tc_attachments#tc_optic</v>
      </c>
      <c r="B411" s="1">
        <f>VLOOKUP(A411,TraderCategory!$A$63:$E$556,2,FALSE)</f>
        <v>50</v>
      </c>
      <c r="C411" s="1">
        <f>VLOOKUP(A411,TraderCategory!$A$63:$F$556,6,FALSE)</f>
        <v>10</v>
      </c>
      <c r="D411" s="1" t="str">
        <f>VLOOKUP(C411,Tabulka5[],3,FALSE)</f>
        <v>Second Lieutenant</v>
      </c>
      <c r="E411" s="1">
        <v>15</v>
      </c>
      <c r="F411" s="1" t="str">
        <f>VLOOKUP(E411,Tabulka5[],3,FALSE)</f>
        <v>Colonel</v>
      </c>
      <c r="G411" s="1" t="s">
        <v>3115</v>
      </c>
      <c r="H411" s="1" t="s">
        <v>765</v>
      </c>
      <c r="I411" s="1" t="s">
        <v>8</v>
      </c>
      <c r="J411" s="1" t="s">
        <v>2729</v>
      </c>
      <c r="K411" s="1" t="s">
        <v>2736</v>
      </c>
      <c r="L411" s="1" t="s">
        <v>3163</v>
      </c>
      <c r="M411" s="1">
        <v>20000</v>
      </c>
      <c r="N411" s="1">
        <v>1</v>
      </c>
      <c r="O411" s="1" t="str">
        <f t="shared" si="33"/>
        <v>"HuntingOptic": 1,</v>
      </c>
      <c r="P411" s="1" t="str">
        <f t="shared" si="34"/>
        <v>"HuntingOptic": 50,</v>
      </c>
      <c r="Q411" s="1" t="str">
        <f t="shared" si="35"/>
        <v>"HuntingOptic": 20000,</v>
      </c>
      <c r="R411" s="1" t="str">
        <f t="shared" si="36"/>
        <v>"HuntingOptic": 15,</v>
      </c>
    </row>
    <row r="412" spans="1:18" x14ac:dyDescent="0.25">
      <c r="A412" s="1" t="str">
        <f t="shared" si="37"/>
        <v>#tc_military#tc_weapons#tc_pistols</v>
      </c>
      <c r="B412" s="1">
        <f>VLOOKUP(A412,TraderCategory!$A$63:$E$556,2,FALSE)</f>
        <v>61</v>
      </c>
      <c r="C412" s="1">
        <f>VLOOKUP(A412,TraderCategory!$A$63:$F$556,6,FALSE)</f>
        <v>0</v>
      </c>
      <c r="D412" s="1" t="str">
        <f>VLOOKUP(C412,Tabulka5[],3,FALSE)</f>
        <v>Private</v>
      </c>
      <c r="E412" s="1">
        <v>1</v>
      </c>
      <c r="F412" s="1" t="str">
        <f>VLOOKUP(E412,Tabulka5[],3,FALSE)</f>
        <v>Private First Class</v>
      </c>
      <c r="G412" s="1" t="s">
        <v>3115</v>
      </c>
      <c r="H412" s="1" t="s">
        <v>505</v>
      </c>
      <c r="I412" s="1" t="s">
        <v>8</v>
      </c>
      <c r="J412" s="1" t="s">
        <v>2729</v>
      </c>
      <c r="K412" s="1" t="s">
        <v>3129</v>
      </c>
      <c r="L412" s="1" t="s">
        <v>3154</v>
      </c>
      <c r="M412" s="1">
        <v>12000</v>
      </c>
      <c r="N412" s="1">
        <v>1</v>
      </c>
      <c r="O412" s="1" t="str">
        <f t="shared" si="33"/>
        <v>"CZ75": 1,</v>
      </c>
      <c r="P412" s="1" t="str">
        <f t="shared" si="34"/>
        <v>"CZ75": 61,</v>
      </c>
      <c r="Q412" s="1" t="str">
        <f t="shared" si="35"/>
        <v>"CZ75": 12000,</v>
      </c>
      <c r="R412" s="1" t="str">
        <f t="shared" si="36"/>
        <v>"CZ75": 1,</v>
      </c>
    </row>
    <row r="413" spans="1:18" x14ac:dyDescent="0.25">
      <c r="A413" s="1" t="str">
        <f t="shared" si="37"/>
        <v>#tc_military#tc_weapons#tc_pistols</v>
      </c>
      <c r="B413" s="1">
        <f>VLOOKUP(A413,TraderCategory!$A$63:$E$556,2,FALSE)</f>
        <v>61</v>
      </c>
      <c r="C413" s="1">
        <f>VLOOKUP(A413,TraderCategory!$A$63:$F$556,6,FALSE)</f>
        <v>0</v>
      </c>
      <c r="D413" s="1" t="str">
        <f>VLOOKUP(C413,Tabulka5[],3,FALSE)</f>
        <v>Private</v>
      </c>
      <c r="E413" s="1">
        <v>3</v>
      </c>
      <c r="F413" s="1" t="str">
        <f>VLOOKUP(E413,Tabulka5[],3,FALSE)</f>
        <v>Sergeant</v>
      </c>
      <c r="G413" s="1" t="s">
        <v>3115</v>
      </c>
      <c r="H413" s="1" t="s">
        <v>565</v>
      </c>
      <c r="I413" s="1" t="s">
        <v>8</v>
      </c>
      <c r="J413" s="1" t="s">
        <v>2729</v>
      </c>
      <c r="K413" s="1" t="s">
        <v>3129</v>
      </c>
      <c r="L413" s="1" t="s">
        <v>3154</v>
      </c>
      <c r="M413" s="1">
        <v>10000</v>
      </c>
      <c r="N413" s="1">
        <v>1</v>
      </c>
      <c r="O413" s="1" t="str">
        <f t="shared" si="33"/>
        <v>"Colt1911": 1,</v>
      </c>
      <c r="P413" s="1" t="str">
        <f t="shared" si="34"/>
        <v>"Colt1911": 61,</v>
      </c>
      <c r="Q413" s="1" t="str">
        <f t="shared" si="35"/>
        <v>"Colt1911": 10000,</v>
      </c>
      <c r="R413" s="1" t="str">
        <f t="shared" si="36"/>
        <v>"Colt1911": 3,</v>
      </c>
    </row>
    <row r="414" spans="1:18" ht="15" customHeight="1" x14ac:dyDescent="0.25">
      <c r="A414" s="1" t="str">
        <f t="shared" si="37"/>
        <v>#tc_clothes#tc_civil#tc_tops</v>
      </c>
      <c r="B414" s="1">
        <f>VLOOKUP(A414,TraderCategory!$A$63:$E$556,2,FALSE)</f>
        <v>1</v>
      </c>
      <c r="C414" s="1">
        <f>VLOOKUP(A414,TraderCategory!$A$63:$F$556,6,FALSE)</f>
        <v>0</v>
      </c>
      <c r="D414" s="1" t="str">
        <f>VLOOKUP(C414,Tabulka5[],3,FALSE)</f>
        <v>Private</v>
      </c>
      <c r="E414" s="1">
        <v>0</v>
      </c>
      <c r="F414" s="1" t="str">
        <f>VLOOKUP(E414,Tabulka5[],3,FALSE)</f>
        <v>Private</v>
      </c>
      <c r="G414" s="1" t="s">
        <v>3115</v>
      </c>
      <c r="H414" s="1" t="s">
        <v>768</v>
      </c>
      <c r="I414" s="1" t="s">
        <v>403</v>
      </c>
      <c r="J414" s="1" t="s">
        <v>2728</v>
      </c>
      <c r="K414" s="1" t="s">
        <v>3126</v>
      </c>
      <c r="L414" s="1" t="s">
        <v>3131</v>
      </c>
      <c r="M414" s="1">
        <v>2000</v>
      </c>
      <c r="N414" s="1">
        <v>1</v>
      </c>
      <c r="O414" s="1" t="str">
        <f t="shared" si="33"/>
        <v>"JumpsuitJacket_Blue": 1,</v>
      </c>
      <c r="P414" s="1" t="str">
        <f t="shared" si="34"/>
        <v>"JumpsuitJacket_Blue": 1,</v>
      </c>
      <c r="Q414" s="1" t="str">
        <f t="shared" si="35"/>
        <v>"JumpsuitJacket_Blue": 2000,</v>
      </c>
      <c r="R414" s="1" t="str">
        <f t="shared" si="36"/>
        <v>"JumpsuitJacket_Blue": 0,</v>
      </c>
    </row>
    <row r="415" spans="1:18" ht="15" customHeight="1" x14ac:dyDescent="0.25">
      <c r="A415" s="1" t="str">
        <f t="shared" si="37"/>
        <v>#tc_clothes#tc_civil#tc_tops</v>
      </c>
      <c r="B415" s="1">
        <f>VLOOKUP(A415,TraderCategory!$A$63:$E$556,2,FALSE)</f>
        <v>1</v>
      </c>
      <c r="C415" s="1">
        <f>VLOOKUP(A415,TraderCategory!$A$63:$F$556,6,FALSE)</f>
        <v>0</v>
      </c>
      <c r="D415" s="1" t="str">
        <f>VLOOKUP(C415,Tabulka5[],3,FALSE)</f>
        <v>Private</v>
      </c>
      <c r="E415" s="1">
        <v>0</v>
      </c>
      <c r="F415" s="1" t="str">
        <f>VLOOKUP(E415,Tabulka5[],3,FALSE)</f>
        <v>Private</v>
      </c>
      <c r="G415" s="1" t="s">
        <v>3115</v>
      </c>
      <c r="H415" s="1" t="s">
        <v>769</v>
      </c>
      <c r="I415" s="1" t="s">
        <v>403</v>
      </c>
      <c r="J415" s="1" t="s">
        <v>2728</v>
      </c>
      <c r="K415" s="1" t="s">
        <v>3126</v>
      </c>
      <c r="L415" s="1" t="s">
        <v>3131</v>
      </c>
      <c r="M415" s="1">
        <v>2000</v>
      </c>
      <c r="N415" s="1">
        <v>1</v>
      </c>
      <c r="O415" s="1" t="str">
        <f t="shared" si="33"/>
        <v>"JumpsuitJacket_Gray": 1,</v>
      </c>
      <c r="P415" s="1" t="str">
        <f t="shared" si="34"/>
        <v>"JumpsuitJacket_Gray": 1,</v>
      </c>
      <c r="Q415" s="1" t="str">
        <f t="shared" si="35"/>
        <v>"JumpsuitJacket_Gray": 2000,</v>
      </c>
      <c r="R415" s="1" t="str">
        <f t="shared" si="36"/>
        <v>"JumpsuitJacket_Gray": 0,</v>
      </c>
    </row>
    <row r="416" spans="1:18" ht="15" customHeight="1" x14ac:dyDescent="0.25">
      <c r="A416" s="1" t="str">
        <f t="shared" si="37"/>
        <v>#tc_clothes#tc_civil#tc_tops</v>
      </c>
      <c r="B416" s="1">
        <f>VLOOKUP(A416,TraderCategory!$A$63:$E$556,2,FALSE)</f>
        <v>1</v>
      </c>
      <c r="C416" s="1">
        <f>VLOOKUP(A416,TraderCategory!$A$63:$F$556,6,FALSE)</f>
        <v>0</v>
      </c>
      <c r="D416" s="1" t="str">
        <f>VLOOKUP(C416,Tabulka5[],3,FALSE)</f>
        <v>Private</v>
      </c>
      <c r="E416" s="1">
        <v>0</v>
      </c>
      <c r="F416" s="1" t="str">
        <f>VLOOKUP(E416,Tabulka5[],3,FALSE)</f>
        <v>Private</v>
      </c>
      <c r="G416" s="1" t="s">
        <v>3115</v>
      </c>
      <c r="H416" s="1" t="s">
        <v>770</v>
      </c>
      <c r="I416" s="1" t="s">
        <v>403</v>
      </c>
      <c r="J416" s="1" t="s">
        <v>2728</v>
      </c>
      <c r="K416" s="1" t="s">
        <v>3126</v>
      </c>
      <c r="L416" s="1" t="s">
        <v>3131</v>
      </c>
      <c r="M416" s="1">
        <v>2000</v>
      </c>
      <c r="N416" s="1">
        <v>1</v>
      </c>
      <c r="O416" s="1" t="str">
        <f t="shared" si="33"/>
        <v>"JumpsuitJacket_Green": 1,</v>
      </c>
      <c r="P416" s="1" t="str">
        <f t="shared" si="34"/>
        <v>"JumpsuitJacket_Green": 1,</v>
      </c>
      <c r="Q416" s="1" t="str">
        <f t="shared" si="35"/>
        <v>"JumpsuitJacket_Green": 2000,</v>
      </c>
      <c r="R416" s="1" t="str">
        <f t="shared" si="36"/>
        <v>"JumpsuitJacket_Green": 0,</v>
      </c>
    </row>
    <row r="417" spans="1:18" ht="15" customHeight="1" x14ac:dyDescent="0.25">
      <c r="A417" s="1" t="str">
        <f t="shared" si="37"/>
        <v>#tc_clothes#tc_civil#tc_tops</v>
      </c>
      <c r="B417" s="1">
        <f>VLOOKUP(A417,TraderCategory!$A$63:$E$556,2,FALSE)</f>
        <v>1</v>
      </c>
      <c r="C417" s="1">
        <f>VLOOKUP(A417,TraderCategory!$A$63:$F$556,6,FALSE)</f>
        <v>0</v>
      </c>
      <c r="D417" s="1" t="str">
        <f>VLOOKUP(C417,Tabulka5[],3,FALSE)</f>
        <v>Private</v>
      </c>
      <c r="E417" s="1">
        <v>0</v>
      </c>
      <c r="F417" s="1" t="str">
        <f>VLOOKUP(E417,Tabulka5[],3,FALSE)</f>
        <v>Private</v>
      </c>
      <c r="G417" s="1" t="s">
        <v>3115</v>
      </c>
      <c r="H417" s="1" t="s">
        <v>771</v>
      </c>
      <c r="I417" s="1" t="s">
        <v>403</v>
      </c>
      <c r="J417" s="1" t="s">
        <v>2728</v>
      </c>
      <c r="K417" s="1" t="s">
        <v>3126</v>
      </c>
      <c r="L417" s="1" t="s">
        <v>3131</v>
      </c>
      <c r="M417" s="1">
        <v>2000</v>
      </c>
      <c r="N417" s="1">
        <v>1</v>
      </c>
      <c r="O417" s="1" t="str">
        <f t="shared" si="33"/>
        <v>"JumpsuitJacket_Red": 1,</v>
      </c>
      <c r="P417" s="1" t="str">
        <f t="shared" si="34"/>
        <v>"JumpsuitJacket_Red": 1,</v>
      </c>
      <c r="Q417" s="1" t="str">
        <f t="shared" si="35"/>
        <v>"JumpsuitJacket_Red": 2000,</v>
      </c>
      <c r="R417" s="1" t="str">
        <f t="shared" si="36"/>
        <v>"JumpsuitJacket_Red": 0,</v>
      </c>
    </row>
    <row r="418" spans="1:18" ht="15" customHeight="1" x14ac:dyDescent="0.25">
      <c r="A418" s="1" t="str">
        <f t="shared" si="37"/>
        <v>#tc_clothes#tc_civil#tc_pants</v>
      </c>
      <c r="B418" s="1">
        <f>VLOOKUP(A418,TraderCategory!$A$63:$E$556,2,FALSE)</f>
        <v>4</v>
      </c>
      <c r="C418" s="1">
        <f>VLOOKUP(A418,TraderCategory!$A$63:$F$556,6,FALSE)</f>
        <v>0</v>
      </c>
      <c r="D418" s="1" t="str">
        <f>VLOOKUP(C418,Tabulka5[],3,FALSE)</f>
        <v>Private</v>
      </c>
      <c r="E418" s="1">
        <v>0</v>
      </c>
      <c r="F418" s="1" t="str">
        <f>VLOOKUP(E418,Tabulka5[],3,FALSE)</f>
        <v>Private</v>
      </c>
      <c r="G418" s="1" t="s">
        <v>3115</v>
      </c>
      <c r="H418" s="1" t="s">
        <v>772</v>
      </c>
      <c r="I418" s="1" t="s">
        <v>403</v>
      </c>
      <c r="J418" s="1" t="s">
        <v>2728</v>
      </c>
      <c r="K418" s="1" t="s">
        <v>3126</v>
      </c>
      <c r="L418" s="1" t="s">
        <v>3133</v>
      </c>
      <c r="M418" s="1">
        <v>1200</v>
      </c>
      <c r="N418" s="1">
        <v>1</v>
      </c>
      <c r="O418" s="1" t="str">
        <f t="shared" si="33"/>
        <v>"JumpsuitPants_Blue": 1,</v>
      </c>
      <c r="P418" s="1" t="str">
        <f t="shared" si="34"/>
        <v>"JumpsuitPants_Blue": 4,</v>
      </c>
      <c r="Q418" s="1" t="str">
        <f t="shared" si="35"/>
        <v>"JumpsuitPants_Blue": 1200,</v>
      </c>
      <c r="R418" s="1" t="str">
        <f t="shared" si="36"/>
        <v>"JumpsuitPants_Blue": 0,</v>
      </c>
    </row>
    <row r="419" spans="1:18" ht="15" customHeight="1" x14ac:dyDescent="0.25">
      <c r="A419" s="1" t="str">
        <f t="shared" si="37"/>
        <v>#tc_clothes#tc_civil#tc_pants</v>
      </c>
      <c r="B419" s="1">
        <f>VLOOKUP(A419,TraderCategory!$A$63:$E$556,2,FALSE)</f>
        <v>4</v>
      </c>
      <c r="C419" s="1">
        <f>VLOOKUP(A419,TraderCategory!$A$63:$F$556,6,FALSE)</f>
        <v>0</v>
      </c>
      <c r="D419" s="1" t="str">
        <f>VLOOKUP(C419,Tabulka5[],3,FALSE)</f>
        <v>Private</v>
      </c>
      <c r="E419" s="1">
        <v>0</v>
      </c>
      <c r="F419" s="1" t="str">
        <f>VLOOKUP(E419,Tabulka5[],3,FALSE)</f>
        <v>Private</v>
      </c>
      <c r="G419" s="1" t="s">
        <v>3115</v>
      </c>
      <c r="H419" s="1" t="s">
        <v>773</v>
      </c>
      <c r="I419" s="1" t="s">
        <v>403</v>
      </c>
      <c r="J419" s="1" t="s">
        <v>2728</v>
      </c>
      <c r="K419" s="1" t="s">
        <v>3126</v>
      </c>
      <c r="L419" s="1" t="s">
        <v>3133</v>
      </c>
      <c r="M419" s="1">
        <v>1200</v>
      </c>
      <c r="N419" s="1">
        <v>1</v>
      </c>
      <c r="O419" s="1" t="str">
        <f t="shared" si="33"/>
        <v>"JumpsuitPants_Green": 1,</v>
      </c>
      <c r="P419" s="1" t="str">
        <f t="shared" si="34"/>
        <v>"JumpsuitPants_Green": 4,</v>
      </c>
      <c r="Q419" s="1" t="str">
        <f t="shared" si="35"/>
        <v>"JumpsuitPants_Green": 1200,</v>
      </c>
      <c r="R419" s="1" t="str">
        <f t="shared" si="36"/>
        <v>"JumpsuitPants_Green": 0,</v>
      </c>
    </row>
    <row r="420" spans="1:18" ht="15" customHeight="1" x14ac:dyDescent="0.25">
      <c r="A420" s="1" t="str">
        <f t="shared" si="37"/>
        <v>#tc_clothes#tc_civil#tc_pants</v>
      </c>
      <c r="B420" s="1">
        <f>VLOOKUP(A420,TraderCategory!$A$63:$E$556,2,FALSE)</f>
        <v>4</v>
      </c>
      <c r="C420" s="1">
        <f>VLOOKUP(A420,TraderCategory!$A$63:$F$556,6,FALSE)</f>
        <v>0</v>
      </c>
      <c r="D420" s="1" t="str">
        <f>VLOOKUP(C420,Tabulka5[],3,FALSE)</f>
        <v>Private</v>
      </c>
      <c r="E420" s="1">
        <v>0</v>
      </c>
      <c r="F420" s="1" t="str">
        <f>VLOOKUP(E420,Tabulka5[],3,FALSE)</f>
        <v>Private</v>
      </c>
      <c r="G420" s="1" t="s">
        <v>3115</v>
      </c>
      <c r="H420" s="1" t="s">
        <v>774</v>
      </c>
      <c r="I420" s="1" t="s">
        <v>403</v>
      </c>
      <c r="J420" s="1" t="s">
        <v>2728</v>
      </c>
      <c r="K420" s="1" t="s">
        <v>3126</v>
      </c>
      <c r="L420" s="1" t="s">
        <v>3133</v>
      </c>
      <c r="M420" s="1">
        <v>1200</v>
      </c>
      <c r="N420" s="1">
        <v>1</v>
      </c>
      <c r="O420" s="1" t="str">
        <f t="shared" si="33"/>
        <v>"JumpsuitPants_Grey": 1,</v>
      </c>
      <c r="P420" s="1" t="str">
        <f t="shared" si="34"/>
        <v>"JumpsuitPants_Grey": 4,</v>
      </c>
      <c r="Q420" s="1" t="str">
        <f t="shared" si="35"/>
        <v>"JumpsuitPants_Grey": 1200,</v>
      </c>
      <c r="R420" s="1" t="str">
        <f t="shared" si="36"/>
        <v>"JumpsuitPants_Grey": 0,</v>
      </c>
    </row>
    <row r="421" spans="1:18" ht="15" customHeight="1" x14ac:dyDescent="0.25">
      <c r="A421" s="1" t="str">
        <f t="shared" si="37"/>
        <v>#tc_clothes#tc_civil#tc_pants</v>
      </c>
      <c r="B421" s="1">
        <f>VLOOKUP(A421,TraderCategory!$A$63:$E$556,2,FALSE)</f>
        <v>4</v>
      </c>
      <c r="C421" s="1">
        <f>VLOOKUP(A421,TraderCategory!$A$63:$F$556,6,FALSE)</f>
        <v>0</v>
      </c>
      <c r="D421" s="1" t="str">
        <f>VLOOKUP(C421,Tabulka5[],3,FALSE)</f>
        <v>Private</v>
      </c>
      <c r="E421" s="1">
        <v>0</v>
      </c>
      <c r="F421" s="1" t="str">
        <f>VLOOKUP(E421,Tabulka5[],3,FALSE)</f>
        <v>Private</v>
      </c>
      <c r="G421" s="1" t="s">
        <v>3115</v>
      </c>
      <c r="H421" s="1" t="s">
        <v>775</v>
      </c>
      <c r="I421" s="1" t="s">
        <v>403</v>
      </c>
      <c r="J421" s="1" t="s">
        <v>2728</v>
      </c>
      <c r="K421" s="1" t="s">
        <v>3126</v>
      </c>
      <c r="L421" s="1" t="s">
        <v>3133</v>
      </c>
      <c r="M421" s="1">
        <v>1200</v>
      </c>
      <c r="N421" s="1">
        <v>1</v>
      </c>
      <c r="O421" s="1" t="str">
        <f t="shared" si="33"/>
        <v>"JumpsuitPants_Red": 1,</v>
      </c>
      <c r="P421" s="1" t="str">
        <f t="shared" si="34"/>
        <v>"JumpsuitPants_Red": 4,</v>
      </c>
      <c r="Q421" s="1" t="str">
        <f t="shared" si="35"/>
        <v>"JumpsuitPants_Red": 1200,</v>
      </c>
      <c r="R421" s="1" t="str">
        <f t="shared" si="36"/>
        <v>"JumpsuitPants_Red": 0,</v>
      </c>
    </row>
    <row r="422" spans="1:18" ht="15" customHeight="1" x14ac:dyDescent="0.25">
      <c r="A422" s="1" t="str">
        <f t="shared" si="37"/>
        <v>#tc_clothes#tc_military#tc_boots</v>
      </c>
      <c r="B422" s="1">
        <f>VLOOKUP(A422,TraderCategory!$A$63:$E$556,2,FALSE)</f>
        <v>13</v>
      </c>
      <c r="C422" s="1">
        <f>VLOOKUP(A422,TraderCategory!$A$63:$F$556,6,FALSE)</f>
        <v>1</v>
      </c>
      <c r="D422" s="1" t="str">
        <f>VLOOKUP(C422,Tabulka5[],3,FALSE)</f>
        <v>Private First Class</v>
      </c>
      <c r="E422" s="1">
        <v>1</v>
      </c>
      <c r="F422" s="1" t="str">
        <f>VLOOKUP(E422,Tabulka5[],3,FALSE)</f>
        <v>Private First Class</v>
      </c>
      <c r="G422" s="1" t="s">
        <v>3115</v>
      </c>
      <c r="H422" s="1" t="s">
        <v>776</v>
      </c>
      <c r="I422" s="1" t="s">
        <v>403</v>
      </c>
      <c r="J422" s="1" t="s">
        <v>2728</v>
      </c>
      <c r="K422" s="1" t="s">
        <v>2729</v>
      </c>
      <c r="L422" s="1" t="s">
        <v>3134</v>
      </c>
      <c r="M422" s="1">
        <v>2000</v>
      </c>
      <c r="N422" s="1">
        <v>1</v>
      </c>
      <c r="O422" s="1" t="str">
        <f t="shared" si="33"/>
        <v>"JungleBoots_Beige": 1,</v>
      </c>
      <c r="P422" s="1" t="str">
        <f t="shared" si="34"/>
        <v>"JungleBoots_Beige": 13,</v>
      </c>
      <c r="Q422" s="1" t="str">
        <f t="shared" si="35"/>
        <v>"JungleBoots_Beige": 2000,</v>
      </c>
      <c r="R422" s="1" t="str">
        <f t="shared" si="36"/>
        <v>"JungleBoots_Beige": 1,</v>
      </c>
    </row>
    <row r="423" spans="1:18" ht="15" customHeight="1" x14ac:dyDescent="0.25">
      <c r="A423" s="1" t="str">
        <f t="shared" si="37"/>
        <v>#tc_clothes#tc_military#tc_boots</v>
      </c>
      <c r="B423" s="1">
        <f>VLOOKUP(A423,TraderCategory!$A$63:$E$556,2,FALSE)</f>
        <v>13</v>
      </c>
      <c r="C423" s="1">
        <f>VLOOKUP(A423,TraderCategory!$A$63:$F$556,6,FALSE)</f>
        <v>1</v>
      </c>
      <c r="D423" s="1" t="str">
        <f>VLOOKUP(C423,Tabulka5[],3,FALSE)</f>
        <v>Private First Class</v>
      </c>
      <c r="E423" s="1">
        <v>1</v>
      </c>
      <c r="F423" s="1" t="str">
        <f>VLOOKUP(E423,Tabulka5[],3,FALSE)</f>
        <v>Private First Class</v>
      </c>
      <c r="G423" s="1" t="s">
        <v>3115</v>
      </c>
      <c r="H423" s="1" t="s">
        <v>777</v>
      </c>
      <c r="I423" s="1" t="s">
        <v>403</v>
      </c>
      <c r="J423" s="1" t="s">
        <v>2728</v>
      </c>
      <c r="K423" s="1" t="s">
        <v>2729</v>
      </c>
      <c r="L423" s="1" t="s">
        <v>3134</v>
      </c>
      <c r="M423" s="1">
        <v>2000</v>
      </c>
      <c r="N423" s="1">
        <v>1</v>
      </c>
      <c r="O423" s="1" t="str">
        <f t="shared" si="33"/>
        <v>"JungleBoots_Black": 1,</v>
      </c>
      <c r="P423" s="1" t="str">
        <f t="shared" si="34"/>
        <v>"JungleBoots_Black": 13,</v>
      </c>
      <c r="Q423" s="1" t="str">
        <f t="shared" si="35"/>
        <v>"JungleBoots_Black": 2000,</v>
      </c>
      <c r="R423" s="1" t="str">
        <f t="shared" si="36"/>
        <v>"JungleBoots_Black": 1,</v>
      </c>
    </row>
    <row r="424" spans="1:18" ht="15" customHeight="1" x14ac:dyDescent="0.25">
      <c r="A424" s="1" t="str">
        <f t="shared" si="37"/>
        <v>#tc_clothes#tc_military#tc_boots</v>
      </c>
      <c r="B424" s="1">
        <f>VLOOKUP(A424,TraderCategory!$A$63:$E$556,2,FALSE)</f>
        <v>13</v>
      </c>
      <c r="C424" s="1">
        <f>VLOOKUP(A424,TraderCategory!$A$63:$F$556,6,FALSE)</f>
        <v>1</v>
      </c>
      <c r="D424" s="1" t="str">
        <f>VLOOKUP(C424,Tabulka5[],3,FALSE)</f>
        <v>Private First Class</v>
      </c>
      <c r="E424" s="1">
        <v>1</v>
      </c>
      <c r="F424" s="1" t="str">
        <f>VLOOKUP(E424,Tabulka5[],3,FALSE)</f>
        <v>Private First Class</v>
      </c>
      <c r="G424" s="1" t="s">
        <v>3115</v>
      </c>
      <c r="H424" s="1" t="s">
        <v>778</v>
      </c>
      <c r="I424" s="1" t="s">
        <v>403</v>
      </c>
      <c r="J424" s="1" t="s">
        <v>2728</v>
      </c>
      <c r="K424" s="1" t="s">
        <v>2729</v>
      </c>
      <c r="L424" s="1" t="s">
        <v>3134</v>
      </c>
      <c r="M424" s="1">
        <v>2000</v>
      </c>
      <c r="N424" s="1">
        <v>1</v>
      </c>
      <c r="O424" s="1" t="str">
        <f t="shared" si="33"/>
        <v>"JungleBoots_Brown": 1,</v>
      </c>
      <c r="P424" s="1" t="str">
        <f t="shared" si="34"/>
        <v>"JungleBoots_Brown": 13,</v>
      </c>
      <c r="Q424" s="1" t="str">
        <f t="shared" si="35"/>
        <v>"JungleBoots_Brown": 2000,</v>
      </c>
      <c r="R424" s="1" t="str">
        <f t="shared" si="36"/>
        <v>"JungleBoots_Brown": 1,</v>
      </c>
    </row>
    <row r="425" spans="1:18" ht="15" customHeight="1" x14ac:dyDescent="0.25">
      <c r="A425" s="1" t="str">
        <f t="shared" si="37"/>
        <v>#tc_clothes#tc_military#tc_boots</v>
      </c>
      <c r="B425" s="1">
        <f>VLOOKUP(A425,TraderCategory!$A$63:$E$556,2,FALSE)</f>
        <v>13</v>
      </c>
      <c r="C425" s="1">
        <f>VLOOKUP(A425,TraderCategory!$A$63:$F$556,6,FALSE)</f>
        <v>1</v>
      </c>
      <c r="D425" s="1" t="str">
        <f>VLOOKUP(C425,Tabulka5[],3,FALSE)</f>
        <v>Private First Class</v>
      </c>
      <c r="E425" s="1">
        <v>1</v>
      </c>
      <c r="F425" s="1" t="str">
        <f>VLOOKUP(E425,Tabulka5[],3,FALSE)</f>
        <v>Private First Class</v>
      </c>
      <c r="G425" s="1" t="s">
        <v>3115</v>
      </c>
      <c r="H425" s="1" t="s">
        <v>779</v>
      </c>
      <c r="I425" s="1" t="s">
        <v>403</v>
      </c>
      <c r="J425" s="1" t="s">
        <v>2728</v>
      </c>
      <c r="K425" s="1" t="s">
        <v>2729</v>
      </c>
      <c r="L425" s="1" t="s">
        <v>3134</v>
      </c>
      <c r="M425" s="1">
        <v>2000</v>
      </c>
      <c r="N425" s="1">
        <v>1</v>
      </c>
      <c r="O425" s="1" t="str">
        <f t="shared" si="33"/>
        <v>"JungleBoots_Green": 1,</v>
      </c>
      <c r="P425" s="1" t="str">
        <f t="shared" si="34"/>
        <v>"JungleBoots_Green": 13,</v>
      </c>
      <c r="Q425" s="1" t="str">
        <f t="shared" si="35"/>
        <v>"JungleBoots_Green": 2000,</v>
      </c>
      <c r="R425" s="1" t="str">
        <f t="shared" si="36"/>
        <v>"JungleBoots_Green": 1,</v>
      </c>
    </row>
    <row r="426" spans="1:18" ht="15" customHeight="1" x14ac:dyDescent="0.25">
      <c r="A426" s="1" t="str">
        <f t="shared" si="37"/>
        <v>#tc_clothes#tc_military#tc_boots</v>
      </c>
      <c r="B426" s="1">
        <f>VLOOKUP(A426,TraderCategory!$A$63:$E$556,2,FALSE)</f>
        <v>13</v>
      </c>
      <c r="C426" s="1">
        <f>VLOOKUP(A426,TraderCategory!$A$63:$F$556,6,FALSE)</f>
        <v>1</v>
      </c>
      <c r="D426" s="1" t="str">
        <f>VLOOKUP(C426,Tabulka5[],3,FALSE)</f>
        <v>Private First Class</v>
      </c>
      <c r="E426" s="1">
        <v>1</v>
      </c>
      <c r="F426" s="1" t="str">
        <f>VLOOKUP(E426,Tabulka5[],3,FALSE)</f>
        <v>Private First Class</v>
      </c>
      <c r="G426" s="1" t="s">
        <v>3115</v>
      </c>
      <c r="H426" s="1" t="s">
        <v>780</v>
      </c>
      <c r="I426" s="1" t="s">
        <v>403</v>
      </c>
      <c r="J426" s="1" t="s">
        <v>2728</v>
      </c>
      <c r="K426" s="1" t="s">
        <v>2729</v>
      </c>
      <c r="L426" s="1" t="s">
        <v>3134</v>
      </c>
      <c r="M426" s="1">
        <v>2000</v>
      </c>
      <c r="N426" s="1">
        <v>1</v>
      </c>
      <c r="O426" s="1" t="str">
        <f t="shared" si="33"/>
        <v>"JungleBoots_Olive": 1,</v>
      </c>
      <c r="P426" s="1" t="str">
        <f t="shared" si="34"/>
        <v>"JungleBoots_Olive": 13,</v>
      </c>
      <c r="Q426" s="1" t="str">
        <f t="shared" si="35"/>
        <v>"JungleBoots_Olive": 2000,</v>
      </c>
      <c r="R426" s="1" t="str">
        <f t="shared" si="36"/>
        <v>"JungleBoots_Olive": 1,</v>
      </c>
    </row>
    <row r="427" spans="1:18" x14ac:dyDescent="0.25">
      <c r="A427" s="1" t="str">
        <f t="shared" si="37"/>
        <v>#tc_military#tc_attachments#tc_optic</v>
      </c>
      <c r="B427" s="1">
        <f>VLOOKUP(A427,TraderCategory!$A$63:$E$556,2,FALSE)</f>
        <v>50</v>
      </c>
      <c r="C427" s="1">
        <f>VLOOKUP(A427,TraderCategory!$A$63:$F$556,6,FALSE)</f>
        <v>10</v>
      </c>
      <c r="D427" s="1" t="str">
        <f>VLOOKUP(C427,Tabulka5[],3,FALSE)</f>
        <v>Second Lieutenant</v>
      </c>
      <c r="E427" s="1">
        <v>12</v>
      </c>
      <c r="F427" s="1" t="str">
        <f>VLOOKUP(E427,Tabulka5[],3,FALSE)</f>
        <v>Captain</v>
      </c>
      <c r="G427" s="1" t="s">
        <v>3115</v>
      </c>
      <c r="H427" s="1" t="s">
        <v>781</v>
      </c>
      <c r="I427" s="1" t="s">
        <v>8</v>
      </c>
      <c r="J427" s="1" t="s">
        <v>2729</v>
      </c>
      <c r="K427" s="1" t="s">
        <v>2736</v>
      </c>
      <c r="L427" s="1" t="s">
        <v>3163</v>
      </c>
      <c r="M427" s="1">
        <v>6000</v>
      </c>
      <c r="N427" s="1">
        <v>1</v>
      </c>
      <c r="O427" s="1" t="str">
        <f t="shared" si="33"/>
        <v>"KashtanOptic": 1,</v>
      </c>
      <c r="P427" s="1" t="str">
        <f t="shared" si="34"/>
        <v>"KashtanOptic": 50,</v>
      </c>
      <c r="Q427" s="1" t="str">
        <f t="shared" si="35"/>
        <v>"KashtanOptic": 6000,</v>
      </c>
      <c r="R427" s="1" t="str">
        <f t="shared" si="36"/>
        <v>"KashtanOptic": 12,</v>
      </c>
    </row>
    <row r="428" spans="1:18" x14ac:dyDescent="0.25">
      <c r="A428" s="1" t="str">
        <f t="shared" si="37"/>
        <v>#tc_military#tc_attachments#tc_nvoptic</v>
      </c>
      <c r="B428" s="1">
        <f>VLOOKUP(A428,TraderCategory!$A$63:$E$556,2,FALSE)</f>
        <v>51</v>
      </c>
      <c r="C428" s="1">
        <f>VLOOKUP(A428,TraderCategory!$A$63:$F$556,6,FALSE)</f>
        <v>12</v>
      </c>
      <c r="D428" s="1" t="str">
        <f>VLOOKUP(C428,Tabulka5[],3,FALSE)</f>
        <v>Captain</v>
      </c>
      <c r="E428" s="1">
        <v>12</v>
      </c>
      <c r="F428" s="1" t="str">
        <f>VLOOKUP(E428,Tabulka5[],3,FALSE)</f>
        <v>Captain</v>
      </c>
      <c r="G428" s="1" t="s">
        <v>3115</v>
      </c>
      <c r="H428" s="1" t="s">
        <v>782</v>
      </c>
      <c r="I428" s="1" t="s">
        <v>8</v>
      </c>
      <c r="J428" s="1" t="s">
        <v>2729</v>
      </c>
      <c r="K428" s="1" t="s">
        <v>2736</v>
      </c>
      <c r="L428" s="1" t="s">
        <v>3175</v>
      </c>
      <c r="M428" s="1">
        <v>25000</v>
      </c>
      <c r="N428" s="1">
        <v>1</v>
      </c>
      <c r="O428" s="1" t="str">
        <f t="shared" si="33"/>
        <v>"KazuarOptic": 1,</v>
      </c>
      <c r="P428" s="1" t="str">
        <f t="shared" si="34"/>
        <v>"KazuarOptic": 51,</v>
      </c>
      <c r="Q428" s="1" t="str">
        <f t="shared" si="35"/>
        <v>"KazuarOptic": 25000,</v>
      </c>
      <c r="R428" s="1" t="str">
        <f t="shared" si="36"/>
        <v>"KazuarOptic": 12,</v>
      </c>
    </row>
    <row r="429" spans="1:18" ht="15" customHeight="1" x14ac:dyDescent="0.25">
      <c r="A429" s="1" t="str">
        <f t="shared" si="37"/>
        <v>#tc_groceries#tc_tools#tc_knifes</v>
      </c>
      <c r="B429" s="1">
        <f>VLOOKUP(A429,TraderCategory!$A$63:$E$556,2,FALSE)</f>
        <v>28</v>
      </c>
      <c r="C429" s="1">
        <f>VLOOKUP(A429,TraderCategory!$A$63:$F$556,6,FALSE)</f>
        <v>0</v>
      </c>
      <c r="D429" s="1" t="str">
        <f>VLOOKUP(C429,Tabulka5[],3,FALSE)</f>
        <v>Private</v>
      </c>
      <c r="E429" s="1">
        <v>0</v>
      </c>
      <c r="F429" s="1" t="str">
        <f>VLOOKUP(E429,Tabulka5[],3,FALSE)</f>
        <v>Private</v>
      </c>
      <c r="G429" s="1" t="s">
        <v>3115</v>
      </c>
      <c r="H429" s="1" t="s">
        <v>783</v>
      </c>
      <c r="I429" s="1" t="s">
        <v>426</v>
      </c>
      <c r="J429" s="1" t="s">
        <v>3127</v>
      </c>
      <c r="K429" s="1" t="s">
        <v>2740</v>
      </c>
      <c r="L429" s="1" t="s">
        <v>3143</v>
      </c>
      <c r="M429" s="1">
        <v>300</v>
      </c>
      <c r="N429" s="1">
        <v>1</v>
      </c>
      <c r="O429" s="1" t="str">
        <f t="shared" si="33"/>
        <v>"KitchenKnife": 1,</v>
      </c>
      <c r="P429" s="1" t="str">
        <f t="shared" si="34"/>
        <v>"KitchenKnife": 28,</v>
      </c>
      <c r="Q429" s="1" t="str">
        <f t="shared" si="35"/>
        <v>"KitchenKnife": 300,</v>
      </c>
      <c r="R429" s="1" t="str">
        <f t="shared" si="36"/>
        <v>"KitchenKnife": 0,</v>
      </c>
    </row>
    <row r="430" spans="1:18" x14ac:dyDescent="0.25">
      <c r="A430" s="1" t="str">
        <f t="shared" si="37"/>
        <v>#tc_military#tc_attachments#tc_optic</v>
      </c>
      <c r="B430" s="1">
        <f>VLOOKUP(A430,TraderCategory!$A$63:$E$556,2,FALSE)</f>
        <v>50</v>
      </c>
      <c r="C430" s="1">
        <f>VLOOKUP(A430,TraderCategory!$A$63:$F$556,6,FALSE)</f>
        <v>10</v>
      </c>
      <c r="D430" s="1" t="str">
        <f>VLOOKUP(C430,Tabulka5[],3,FALSE)</f>
        <v>Second Lieutenant</v>
      </c>
      <c r="E430" s="1">
        <v>11</v>
      </c>
      <c r="F430" s="1" t="str">
        <f>VLOOKUP(E430,Tabulka5[],3,FALSE)</f>
        <v>First Lieutenant</v>
      </c>
      <c r="G430" s="1" t="s">
        <v>3115</v>
      </c>
      <c r="H430" s="1" t="s">
        <v>784</v>
      </c>
      <c r="I430" s="1" t="s">
        <v>8</v>
      </c>
      <c r="J430" s="1" t="s">
        <v>2729</v>
      </c>
      <c r="K430" s="1" t="s">
        <v>2736</v>
      </c>
      <c r="L430" s="1" t="s">
        <v>3163</v>
      </c>
      <c r="M430" s="1">
        <v>4000</v>
      </c>
      <c r="N430" s="1">
        <v>1</v>
      </c>
      <c r="O430" s="1" t="str">
        <f t="shared" si="33"/>
        <v>"KobraOptic": 1,</v>
      </c>
      <c r="P430" s="1" t="str">
        <f t="shared" si="34"/>
        <v>"KobraOptic": 50,</v>
      </c>
      <c r="Q430" s="1" t="str">
        <f t="shared" si="35"/>
        <v>"KobraOptic": 4000,</v>
      </c>
      <c r="R430" s="1" t="str">
        <f t="shared" si="36"/>
        <v>"KobraOptic": 11,</v>
      </c>
    </row>
    <row r="431" spans="1:18" ht="15" customHeight="1" x14ac:dyDescent="0.25">
      <c r="A431" s="1" t="str">
        <f t="shared" si="37"/>
        <v>#tc_clothes#tc_civil#tc_tops</v>
      </c>
      <c r="B431" s="1">
        <f>VLOOKUP(A431,TraderCategory!$A$63:$E$556,2,FALSE)</f>
        <v>1</v>
      </c>
      <c r="C431" s="1">
        <f>VLOOKUP(A431,TraderCategory!$A$63:$F$556,6,FALSE)</f>
        <v>0</v>
      </c>
      <c r="D431" s="1" t="str">
        <f>VLOOKUP(C431,Tabulka5[],3,FALSE)</f>
        <v>Private</v>
      </c>
      <c r="E431" s="1">
        <v>0</v>
      </c>
      <c r="F431" s="1" t="str">
        <f>VLOOKUP(E431,Tabulka5[],3,FALSE)</f>
        <v>Private</v>
      </c>
      <c r="G431" s="1" t="s">
        <v>3115</v>
      </c>
      <c r="H431" s="1" t="s">
        <v>785</v>
      </c>
      <c r="I431" s="1" t="s">
        <v>403</v>
      </c>
      <c r="J431" s="1" t="s">
        <v>2728</v>
      </c>
      <c r="K431" s="1" t="s">
        <v>3126</v>
      </c>
      <c r="L431" s="1" t="s">
        <v>3131</v>
      </c>
      <c r="M431" s="1">
        <v>2000</v>
      </c>
      <c r="N431" s="1">
        <v>1</v>
      </c>
      <c r="O431" s="1" t="str">
        <f t="shared" si="33"/>
        <v>"LabCoat": 1,</v>
      </c>
      <c r="P431" s="1" t="str">
        <f t="shared" si="34"/>
        <v>"LabCoat": 1,</v>
      </c>
      <c r="Q431" s="1" t="str">
        <f t="shared" si="35"/>
        <v>"LabCoat": 2000,</v>
      </c>
      <c r="R431" s="1" t="str">
        <f t="shared" si="36"/>
        <v>"LabCoat": 0,</v>
      </c>
    </row>
    <row r="432" spans="1:18" ht="15" customHeight="1" x14ac:dyDescent="0.25">
      <c r="A432" s="1" t="str">
        <f t="shared" si="37"/>
        <v>#tc_military#tc_ammo#tc_mines</v>
      </c>
      <c r="B432" s="1">
        <f>VLOOKUP(A432,TraderCategory!$A$63:$E$556,2,FALSE)</f>
        <v>47</v>
      </c>
      <c r="C432" s="1">
        <f>VLOOKUP(A432,TraderCategory!$A$63:$F$556,6,FALSE)</f>
        <v>3</v>
      </c>
      <c r="D432" s="1" t="str">
        <f>VLOOKUP(C432,Tabulka5[],3,FALSE)</f>
        <v>Sergeant</v>
      </c>
      <c r="E432" s="1">
        <v>11</v>
      </c>
      <c r="F432" s="1" t="str">
        <f>VLOOKUP(E432,Tabulka5[],3,FALSE)</f>
        <v>First Lieutenant</v>
      </c>
      <c r="G432" s="1" t="s">
        <v>3115</v>
      </c>
      <c r="H432" s="1" t="s">
        <v>786</v>
      </c>
      <c r="I432" s="1" t="s">
        <v>644</v>
      </c>
      <c r="J432" s="1" t="s">
        <v>2729</v>
      </c>
      <c r="K432" s="1" t="s">
        <v>2738</v>
      </c>
      <c r="L432" s="1" t="s">
        <v>3162</v>
      </c>
      <c r="M432" s="1">
        <v>15000</v>
      </c>
      <c r="N432" s="1">
        <v>1</v>
      </c>
      <c r="O432" s="1" t="str">
        <f t="shared" si="33"/>
        <v>"LandMineTrap": 1,</v>
      </c>
      <c r="P432" s="1" t="str">
        <f t="shared" si="34"/>
        <v>"LandMineTrap": 47,</v>
      </c>
      <c r="Q432" s="1" t="str">
        <f t="shared" si="35"/>
        <v>"LandMineTrap": 15000,</v>
      </c>
      <c r="R432" s="1" t="str">
        <f t="shared" si="36"/>
        <v>"LandMineTrap": 11,</v>
      </c>
    </row>
    <row r="433" spans="1:18" ht="15" customHeight="1" x14ac:dyDescent="0.25">
      <c r="A433" s="1" t="str">
        <f t="shared" si="37"/>
        <v>#tc_groceries#tc_tools#tc_camping</v>
      </c>
      <c r="B433" s="1">
        <f>VLOOKUP(A433,TraderCategory!$A$63:$E$556,2,FALSE)</f>
        <v>33</v>
      </c>
      <c r="C433" s="1">
        <f>VLOOKUP(A433,TraderCategory!$A$63:$F$556,6,FALSE)</f>
        <v>3</v>
      </c>
      <c r="D433" s="1" t="str">
        <f>VLOOKUP(C433,Tabulka5[],3,FALSE)</f>
        <v>Sergeant</v>
      </c>
      <c r="E433" s="1">
        <v>3</v>
      </c>
      <c r="F433" s="1" t="str">
        <f>VLOOKUP(E433,Tabulka5[],3,FALSE)</f>
        <v>Sergeant</v>
      </c>
      <c r="G433" s="1" t="s">
        <v>3115</v>
      </c>
      <c r="H433" s="1" t="s">
        <v>787</v>
      </c>
      <c r="I433" s="1" t="s">
        <v>426</v>
      </c>
      <c r="J433" s="1" t="s">
        <v>3127</v>
      </c>
      <c r="K433" s="1" t="s">
        <v>2740</v>
      </c>
      <c r="L433" s="1" t="s">
        <v>3150</v>
      </c>
      <c r="M433" s="1">
        <v>2000</v>
      </c>
      <c r="N433" s="1">
        <v>1</v>
      </c>
      <c r="O433" s="1" t="str">
        <f t="shared" si="33"/>
        <v>"LargeGasCanister": 1,</v>
      </c>
      <c r="P433" s="1" t="str">
        <f t="shared" si="34"/>
        <v>"LargeGasCanister": 33,</v>
      </c>
      <c r="Q433" s="1" t="str">
        <f t="shared" si="35"/>
        <v>"LargeGasCanister": 2000,</v>
      </c>
      <c r="R433" s="1" t="str">
        <f t="shared" si="36"/>
        <v>"LargeGasCanister": 3,</v>
      </c>
    </row>
    <row r="434" spans="1:18" ht="15" customHeight="1" x14ac:dyDescent="0.25">
      <c r="A434" s="1" t="str">
        <f t="shared" si="37"/>
        <v>#tc_groceries#tc_tools#tc_camping</v>
      </c>
      <c r="B434" s="1">
        <f>VLOOKUP(A434,TraderCategory!$A$63:$E$556,2,FALSE)</f>
        <v>33</v>
      </c>
      <c r="C434" s="1">
        <f>VLOOKUP(A434,TraderCategory!$A$63:$F$556,6,FALSE)</f>
        <v>3</v>
      </c>
      <c r="D434" s="1" t="str">
        <f>VLOOKUP(C434,Tabulka5[],3,FALSE)</f>
        <v>Sergeant</v>
      </c>
      <c r="E434" s="1">
        <v>9</v>
      </c>
      <c r="F434" s="1" t="str">
        <f>VLOOKUP(E434,Tabulka5[],3,FALSE)</f>
        <v>Sergeant Major of the Army</v>
      </c>
      <c r="G434" s="1" t="s">
        <v>3115</v>
      </c>
      <c r="H434" s="1" t="s">
        <v>788</v>
      </c>
      <c r="I434" s="1" t="s">
        <v>426</v>
      </c>
      <c r="J434" s="1" t="s">
        <v>3127</v>
      </c>
      <c r="K434" s="1" t="s">
        <v>2740</v>
      </c>
      <c r="L434" s="1" t="s">
        <v>3150</v>
      </c>
      <c r="M434" s="1">
        <v>25000</v>
      </c>
      <c r="N434" s="1">
        <v>1</v>
      </c>
      <c r="O434" s="1" t="str">
        <f t="shared" si="33"/>
        <v>"LargeTent": 1,</v>
      </c>
      <c r="P434" s="1" t="str">
        <f t="shared" si="34"/>
        <v>"LargeTent": 33,</v>
      </c>
      <c r="Q434" s="1" t="str">
        <f t="shared" si="35"/>
        <v>"LargeTent": 25000,</v>
      </c>
      <c r="R434" s="1" t="str">
        <f t="shared" si="36"/>
        <v>"LargeTent": 9,</v>
      </c>
    </row>
    <row r="435" spans="1:18" ht="15" customHeight="1" x14ac:dyDescent="0.25">
      <c r="A435" s="1" t="str">
        <f t="shared" si="37"/>
        <v>#tc_groceries#tc_tools#tc_repairs</v>
      </c>
      <c r="B435" s="1">
        <f>VLOOKUP(A435,TraderCategory!$A$63:$E$556,2,FALSE)</f>
        <v>31</v>
      </c>
      <c r="C435" s="1">
        <f>VLOOKUP(A435,TraderCategory!$A$63:$F$556,6,FALSE)</f>
        <v>3</v>
      </c>
      <c r="D435" s="1" t="str">
        <f>VLOOKUP(C435,Tabulka5[],3,FALSE)</f>
        <v>Sergeant</v>
      </c>
      <c r="E435" s="1">
        <v>3</v>
      </c>
      <c r="F435" s="1" t="str">
        <f>VLOOKUP(E435,Tabulka5[],3,FALSE)</f>
        <v>Sergeant</v>
      </c>
      <c r="G435" s="1" t="s">
        <v>3115</v>
      </c>
      <c r="H435" s="1" t="s">
        <v>789</v>
      </c>
      <c r="I435" s="1" t="s">
        <v>426</v>
      </c>
      <c r="J435" s="1" t="s">
        <v>3127</v>
      </c>
      <c r="K435" s="1" t="s">
        <v>2740</v>
      </c>
      <c r="L435" s="1" t="s">
        <v>3146</v>
      </c>
      <c r="M435" s="1">
        <v>900</v>
      </c>
      <c r="N435" s="1">
        <v>1</v>
      </c>
      <c r="O435" s="1" t="str">
        <f t="shared" si="33"/>
        <v>"LeatherSewingKit": 1,</v>
      </c>
      <c r="P435" s="1" t="str">
        <f t="shared" si="34"/>
        <v>"LeatherSewingKit": 31,</v>
      </c>
      <c r="Q435" s="1" t="str">
        <f t="shared" si="35"/>
        <v>"LeatherSewingKit": 900,</v>
      </c>
      <c r="R435" s="1" t="str">
        <f t="shared" si="36"/>
        <v>"LeatherSewingKit": 3,</v>
      </c>
    </row>
    <row r="436" spans="1:18" ht="15" customHeight="1" x14ac:dyDescent="0.25">
      <c r="A436" s="1" t="str">
        <f t="shared" si="37"/>
        <v>#tc_groceries#tc_tools#tc_tools</v>
      </c>
      <c r="B436" s="1">
        <f>VLOOKUP(A436,TraderCategory!$A$63:$E$556,2,FALSE)</f>
        <v>30</v>
      </c>
      <c r="C436" s="1">
        <f>VLOOKUP(A436,TraderCategory!$A$63:$F$556,6,FALSE)</f>
        <v>0</v>
      </c>
      <c r="D436" s="1" t="str">
        <f>VLOOKUP(C436,Tabulka5[],3,FALSE)</f>
        <v>Private</v>
      </c>
      <c r="E436" s="1">
        <v>0</v>
      </c>
      <c r="F436" s="1" t="str">
        <f>VLOOKUP(E436,Tabulka5[],3,FALSE)</f>
        <v>Private</v>
      </c>
      <c r="G436" s="1" t="s">
        <v>3115</v>
      </c>
      <c r="H436" s="1" t="s">
        <v>790</v>
      </c>
      <c r="I436" s="1" t="s">
        <v>426</v>
      </c>
      <c r="J436" s="1" t="s">
        <v>3127</v>
      </c>
      <c r="K436" s="1" t="s">
        <v>2740</v>
      </c>
      <c r="L436" s="1" t="s">
        <v>2740</v>
      </c>
      <c r="M436" s="1">
        <v>2000</v>
      </c>
      <c r="N436" s="1">
        <v>1</v>
      </c>
      <c r="O436" s="1" t="str">
        <f t="shared" si="33"/>
        <v>"Lockpick": 1,</v>
      </c>
      <c r="P436" s="1" t="str">
        <f t="shared" si="34"/>
        <v>"Lockpick": 30,</v>
      </c>
      <c r="Q436" s="1" t="str">
        <f t="shared" si="35"/>
        <v>"Lockpick": 2000,</v>
      </c>
      <c r="R436" s="1" t="str">
        <f t="shared" si="36"/>
        <v>"Lockpick": 0,</v>
      </c>
    </row>
    <row r="437" spans="1:18" ht="15" customHeight="1" x14ac:dyDescent="0.25">
      <c r="A437" s="1" t="str">
        <f t="shared" si="37"/>
        <v>#tc_groceries#tc_tools#tc_tools</v>
      </c>
      <c r="B437" s="1">
        <f>VLOOKUP(A437,TraderCategory!$A$63:$E$556,2,FALSE)</f>
        <v>30</v>
      </c>
      <c r="C437" s="1">
        <f>VLOOKUP(A437,TraderCategory!$A$63:$F$556,6,FALSE)</f>
        <v>0</v>
      </c>
      <c r="D437" s="1" t="str">
        <f>VLOOKUP(C437,Tabulka5[],3,FALSE)</f>
        <v>Private</v>
      </c>
      <c r="E437" s="1">
        <v>0</v>
      </c>
      <c r="F437" s="1" t="str">
        <f>VLOOKUP(E437,Tabulka5[],3,FALSE)</f>
        <v>Private</v>
      </c>
      <c r="G437" s="1" t="s">
        <v>3115</v>
      </c>
      <c r="H437" s="1" t="s">
        <v>791</v>
      </c>
      <c r="I437" s="1" t="s">
        <v>426</v>
      </c>
      <c r="J437" s="1" t="s">
        <v>3127</v>
      </c>
      <c r="K437" s="1" t="s">
        <v>2740</v>
      </c>
      <c r="L437" s="1" t="s">
        <v>2740</v>
      </c>
      <c r="M437" s="1">
        <v>200</v>
      </c>
      <c r="N437" s="1">
        <v>1</v>
      </c>
      <c r="O437" s="1" t="str">
        <f t="shared" si="33"/>
        <v>"LugWrench": 1,</v>
      </c>
      <c r="P437" s="1" t="str">
        <f t="shared" si="34"/>
        <v>"LugWrench": 30,</v>
      </c>
      <c r="Q437" s="1" t="str">
        <f t="shared" si="35"/>
        <v>"LugWrench": 200,</v>
      </c>
      <c r="R437" s="1" t="str">
        <f t="shared" si="36"/>
        <v>"LugWrench": 0,</v>
      </c>
    </row>
    <row r="438" spans="1:18" ht="15" customHeight="1" x14ac:dyDescent="0.25">
      <c r="A438" s="1" t="str">
        <f t="shared" si="37"/>
        <v>#tc_military#tc_ammo#tc_grenade</v>
      </c>
      <c r="B438" s="1">
        <f>VLOOKUP(A438,TraderCategory!$A$63:$E$556,2,FALSE)</f>
        <v>46</v>
      </c>
      <c r="C438" s="1">
        <f>VLOOKUP(A438,TraderCategory!$A$63:$F$556,6,FALSE)</f>
        <v>3</v>
      </c>
      <c r="D438" s="1" t="str">
        <f>VLOOKUP(C438,Tabulka5[],3,FALSE)</f>
        <v>Sergeant</v>
      </c>
      <c r="E438" s="1">
        <v>3</v>
      </c>
      <c r="F438" s="1" t="str">
        <f>VLOOKUP(E438,Tabulka5[],3,FALSE)</f>
        <v>Sergeant</v>
      </c>
      <c r="G438" s="1" t="s">
        <v>3115</v>
      </c>
      <c r="H438" s="1" t="s">
        <v>792</v>
      </c>
      <c r="I438" s="1" t="s">
        <v>644</v>
      </c>
      <c r="J438" s="1" t="s">
        <v>2729</v>
      </c>
      <c r="K438" s="1" t="s">
        <v>2738</v>
      </c>
      <c r="L438" s="1" t="s">
        <v>3161</v>
      </c>
      <c r="M438" s="1">
        <v>1000</v>
      </c>
      <c r="N438" s="1">
        <v>1</v>
      </c>
      <c r="O438" s="1" t="str">
        <f t="shared" si="33"/>
        <v>"M18SmokeGrenade_Green": 1,</v>
      </c>
      <c r="P438" s="1" t="str">
        <f t="shared" si="34"/>
        <v>"M18SmokeGrenade_Green": 46,</v>
      </c>
      <c r="Q438" s="1" t="str">
        <f t="shared" si="35"/>
        <v>"M18SmokeGrenade_Green": 1000,</v>
      </c>
      <c r="R438" s="1" t="str">
        <f t="shared" si="36"/>
        <v>"M18SmokeGrenade_Green": 3,</v>
      </c>
    </row>
    <row r="439" spans="1:18" ht="15" customHeight="1" x14ac:dyDescent="0.25">
      <c r="A439" s="1" t="str">
        <f t="shared" si="37"/>
        <v>#tc_military#tc_ammo#tc_grenade</v>
      </c>
      <c r="B439" s="1">
        <f>VLOOKUP(A439,TraderCategory!$A$63:$E$556,2,FALSE)</f>
        <v>46</v>
      </c>
      <c r="C439" s="1">
        <f>VLOOKUP(A439,TraderCategory!$A$63:$F$556,6,FALSE)</f>
        <v>3</v>
      </c>
      <c r="D439" s="1" t="str">
        <f>VLOOKUP(C439,Tabulka5[],3,FALSE)</f>
        <v>Sergeant</v>
      </c>
      <c r="E439" s="1">
        <v>3</v>
      </c>
      <c r="F439" s="1" t="str">
        <f>VLOOKUP(E439,Tabulka5[],3,FALSE)</f>
        <v>Sergeant</v>
      </c>
      <c r="G439" s="1" t="s">
        <v>3115</v>
      </c>
      <c r="H439" s="1" t="s">
        <v>793</v>
      </c>
      <c r="I439" s="1" t="s">
        <v>644</v>
      </c>
      <c r="J439" s="1" t="s">
        <v>2729</v>
      </c>
      <c r="K439" s="1" t="s">
        <v>2738</v>
      </c>
      <c r="L439" s="1" t="s">
        <v>3161</v>
      </c>
      <c r="M439" s="1">
        <v>1000</v>
      </c>
      <c r="N439" s="1">
        <v>1</v>
      </c>
      <c r="O439" s="1" t="str">
        <f t="shared" si="33"/>
        <v>"M18SmokeGrenade_Purple": 1,</v>
      </c>
      <c r="P439" s="1" t="str">
        <f t="shared" si="34"/>
        <v>"M18SmokeGrenade_Purple": 46,</v>
      </c>
      <c r="Q439" s="1" t="str">
        <f t="shared" si="35"/>
        <v>"M18SmokeGrenade_Purple": 1000,</v>
      </c>
      <c r="R439" s="1" t="str">
        <f t="shared" si="36"/>
        <v>"M18SmokeGrenade_Purple": 3,</v>
      </c>
    </row>
    <row r="440" spans="1:18" ht="15" customHeight="1" x14ac:dyDescent="0.25">
      <c r="A440" s="1" t="str">
        <f t="shared" si="37"/>
        <v>#tc_military#tc_ammo#tc_grenade</v>
      </c>
      <c r="B440" s="1">
        <f>VLOOKUP(A440,TraderCategory!$A$63:$E$556,2,FALSE)</f>
        <v>46</v>
      </c>
      <c r="C440" s="1">
        <f>VLOOKUP(A440,TraderCategory!$A$63:$F$556,6,FALSE)</f>
        <v>3</v>
      </c>
      <c r="D440" s="1" t="str">
        <f>VLOOKUP(C440,Tabulka5[],3,FALSE)</f>
        <v>Sergeant</v>
      </c>
      <c r="E440" s="1">
        <v>3</v>
      </c>
      <c r="F440" s="1" t="str">
        <f>VLOOKUP(E440,Tabulka5[],3,FALSE)</f>
        <v>Sergeant</v>
      </c>
      <c r="G440" s="1" t="s">
        <v>3115</v>
      </c>
      <c r="H440" s="1" t="s">
        <v>794</v>
      </c>
      <c r="I440" s="1" t="s">
        <v>644</v>
      </c>
      <c r="J440" s="1" t="s">
        <v>2729</v>
      </c>
      <c r="K440" s="1" t="s">
        <v>2738</v>
      </c>
      <c r="L440" s="1" t="s">
        <v>3161</v>
      </c>
      <c r="M440" s="1">
        <v>1000</v>
      </c>
      <c r="N440" s="1">
        <v>1</v>
      </c>
      <c r="O440" s="1" t="str">
        <f t="shared" si="33"/>
        <v>"M18SmokeGrenade_Red": 1,</v>
      </c>
      <c r="P440" s="1" t="str">
        <f t="shared" si="34"/>
        <v>"M18SmokeGrenade_Red": 46,</v>
      </c>
      <c r="Q440" s="1" t="str">
        <f t="shared" si="35"/>
        <v>"M18SmokeGrenade_Red": 1000,</v>
      </c>
      <c r="R440" s="1" t="str">
        <f t="shared" si="36"/>
        <v>"M18SmokeGrenade_Red": 3,</v>
      </c>
    </row>
    <row r="441" spans="1:18" ht="15" customHeight="1" x14ac:dyDescent="0.25">
      <c r="A441" s="1" t="str">
        <f t="shared" si="37"/>
        <v>#tc_military#tc_ammo#tc_grenade</v>
      </c>
      <c r="B441" s="1">
        <f>VLOOKUP(A441,TraderCategory!$A$63:$E$556,2,FALSE)</f>
        <v>46</v>
      </c>
      <c r="C441" s="1">
        <f>VLOOKUP(A441,TraderCategory!$A$63:$F$556,6,FALSE)</f>
        <v>3</v>
      </c>
      <c r="D441" s="1" t="str">
        <f>VLOOKUP(C441,Tabulka5[],3,FALSE)</f>
        <v>Sergeant</v>
      </c>
      <c r="E441" s="1">
        <v>3</v>
      </c>
      <c r="F441" s="1" t="str">
        <f>VLOOKUP(E441,Tabulka5[],3,FALSE)</f>
        <v>Sergeant</v>
      </c>
      <c r="G441" s="1" t="s">
        <v>3115</v>
      </c>
      <c r="H441" s="1" t="s">
        <v>795</v>
      </c>
      <c r="I441" s="1" t="s">
        <v>644</v>
      </c>
      <c r="J441" s="1" t="s">
        <v>2729</v>
      </c>
      <c r="K441" s="1" t="s">
        <v>2738</v>
      </c>
      <c r="L441" s="1" t="s">
        <v>3161</v>
      </c>
      <c r="M441" s="1">
        <v>1000</v>
      </c>
      <c r="N441" s="1">
        <v>1</v>
      </c>
      <c r="O441" s="1" t="str">
        <f t="shared" si="33"/>
        <v>"M18SmokeGrenade_White": 1,</v>
      </c>
      <c r="P441" s="1" t="str">
        <f t="shared" si="34"/>
        <v>"M18SmokeGrenade_White": 46,</v>
      </c>
      <c r="Q441" s="1" t="str">
        <f t="shared" si="35"/>
        <v>"M18SmokeGrenade_White": 1000,</v>
      </c>
      <c r="R441" s="1" t="str">
        <f t="shared" si="36"/>
        <v>"M18SmokeGrenade_White": 3,</v>
      </c>
    </row>
    <row r="442" spans="1:18" ht="15" customHeight="1" x14ac:dyDescent="0.25">
      <c r="A442" s="1" t="str">
        <f t="shared" si="37"/>
        <v>#tc_military#tc_ammo#tc_grenade</v>
      </c>
      <c r="B442" s="1">
        <f>VLOOKUP(A442,TraderCategory!$A$63:$E$556,2,FALSE)</f>
        <v>46</v>
      </c>
      <c r="C442" s="1">
        <f>VLOOKUP(A442,TraderCategory!$A$63:$F$556,6,FALSE)</f>
        <v>3</v>
      </c>
      <c r="D442" s="1" t="str">
        <f>VLOOKUP(C442,Tabulka5[],3,FALSE)</f>
        <v>Sergeant</v>
      </c>
      <c r="E442" s="1">
        <v>3</v>
      </c>
      <c r="F442" s="1" t="str">
        <f>VLOOKUP(E442,Tabulka5[],3,FALSE)</f>
        <v>Sergeant</v>
      </c>
      <c r="G442" s="1" t="s">
        <v>3115</v>
      </c>
      <c r="H442" s="1" t="s">
        <v>796</v>
      </c>
      <c r="I442" s="1" t="s">
        <v>644</v>
      </c>
      <c r="J442" s="1" t="s">
        <v>2729</v>
      </c>
      <c r="K442" s="1" t="s">
        <v>2738</v>
      </c>
      <c r="L442" s="1" t="s">
        <v>3161</v>
      </c>
      <c r="M442" s="1">
        <v>1000</v>
      </c>
      <c r="N442" s="1">
        <v>1</v>
      </c>
      <c r="O442" s="1" t="str">
        <f t="shared" si="33"/>
        <v>"M18SmokeGrenade_Yellow": 1,</v>
      </c>
      <c r="P442" s="1" t="str">
        <f t="shared" si="34"/>
        <v>"M18SmokeGrenade_Yellow": 46,</v>
      </c>
      <c r="Q442" s="1" t="str">
        <f t="shared" si="35"/>
        <v>"M18SmokeGrenade_Yellow": 1000,</v>
      </c>
      <c r="R442" s="1" t="str">
        <f t="shared" si="36"/>
        <v>"M18SmokeGrenade_Yellow": 3,</v>
      </c>
    </row>
    <row r="443" spans="1:18" x14ac:dyDescent="0.25">
      <c r="A443" s="1" t="str">
        <f t="shared" si="37"/>
        <v>#tc_military#tc_weapons#tc_pistols</v>
      </c>
      <c r="B443" s="1">
        <f>VLOOKUP(A443,TraderCategory!$A$63:$E$556,2,FALSE)</f>
        <v>61</v>
      </c>
      <c r="C443" s="1">
        <f>VLOOKUP(A443,TraderCategory!$A$63:$F$556,6,FALSE)</f>
        <v>0</v>
      </c>
      <c r="D443" s="1" t="str">
        <f>VLOOKUP(C443,Tabulka5[],3,FALSE)</f>
        <v>Private</v>
      </c>
      <c r="E443" s="1">
        <v>9</v>
      </c>
      <c r="F443" s="1" t="str">
        <f>VLOOKUP(E443,Tabulka5[],3,FALSE)</f>
        <v>Sergeant Major of the Army</v>
      </c>
      <c r="G443" s="1" t="s">
        <v>3115</v>
      </c>
      <c r="H443" s="1" t="s">
        <v>625</v>
      </c>
      <c r="I443" s="1" t="s">
        <v>8</v>
      </c>
      <c r="J443" s="1" t="s">
        <v>2729</v>
      </c>
      <c r="K443" s="1" t="s">
        <v>3129</v>
      </c>
      <c r="L443" s="1" t="s">
        <v>3154</v>
      </c>
      <c r="M443" s="1">
        <v>15000</v>
      </c>
      <c r="N443" s="1">
        <v>1</v>
      </c>
      <c r="O443" s="1" t="str">
        <f t="shared" si="33"/>
        <v>"Engraved1911": 1,</v>
      </c>
      <c r="P443" s="1" t="str">
        <f t="shared" si="34"/>
        <v>"Engraved1911": 61,</v>
      </c>
      <c r="Q443" s="1" t="str">
        <f t="shared" si="35"/>
        <v>"Engraved1911": 15000,</v>
      </c>
      <c r="R443" s="1" t="str">
        <f t="shared" si="36"/>
        <v>"Engraved1911": 9,</v>
      </c>
    </row>
    <row r="444" spans="1:18" x14ac:dyDescent="0.25">
      <c r="A444" s="1" t="str">
        <f t="shared" si="37"/>
        <v>#tc_military#tc_weapons#tc_pistols</v>
      </c>
      <c r="B444" s="1">
        <f>VLOOKUP(A444,TraderCategory!$A$63:$E$556,2,FALSE)</f>
        <v>61</v>
      </c>
      <c r="C444" s="1">
        <f>VLOOKUP(A444,TraderCategory!$A$63:$F$556,6,FALSE)</f>
        <v>0</v>
      </c>
      <c r="D444" s="1" t="str">
        <f>VLOOKUP(C444,Tabulka5[],3,FALSE)</f>
        <v>Private</v>
      </c>
      <c r="E444" s="1">
        <v>3</v>
      </c>
      <c r="F444" s="1" t="str">
        <f>VLOOKUP(E444,Tabulka5[],3,FALSE)</f>
        <v>Sergeant</v>
      </c>
      <c r="G444" s="1" t="s">
        <v>3115</v>
      </c>
      <c r="H444" s="1" t="s">
        <v>630</v>
      </c>
      <c r="I444" s="1" t="s">
        <v>8</v>
      </c>
      <c r="J444" s="1" t="s">
        <v>2729</v>
      </c>
      <c r="K444" s="1" t="s">
        <v>3129</v>
      </c>
      <c r="L444" s="1" t="s">
        <v>3154</v>
      </c>
      <c r="M444" s="1">
        <v>20000</v>
      </c>
      <c r="N444" s="1">
        <v>1</v>
      </c>
      <c r="O444" s="1" t="str">
        <f t="shared" si="33"/>
        <v>"FNX45": 1,</v>
      </c>
      <c r="P444" s="1" t="str">
        <f t="shared" si="34"/>
        <v>"FNX45": 61,</v>
      </c>
      <c r="Q444" s="1" t="str">
        <f t="shared" si="35"/>
        <v>"FNX45": 20000,</v>
      </c>
      <c r="R444" s="1" t="str">
        <f t="shared" si="36"/>
        <v>"FNX45": 3,</v>
      </c>
    </row>
    <row r="445" spans="1:18" x14ac:dyDescent="0.25">
      <c r="A445" s="1" t="str">
        <f t="shared" si="37"/>
        <v>#tc_military#tc_attachments#tc_attachments</v>
      </c>
      <c r="B445" s="1">
        <f>VLOOKUP(A445,TraderCategory!$A$63:$E$556,2,FALSE)</f>
        <v>48</v>
      </c>
      <c r="C445" s="1">
        <f>VLOOKUP(A445,TraderCategory!$A$63:$F$556,6,FALSE)</f>
        <v>0</v>
      </c>
      <c r="D445" s="1" t="str">
        <f>VLOOKUP(C445,Tabulka5[],3,FALSE)</f>
        <v>Private</v>
      </c>
      <c r="E445" s="1">
        <v>10</v>
      </c>
      <c r="F445" s="1" t="str">
        <f>VLOOKUP(E445,Tabulka5[],3,FALSE)</f>
        <v>Second Lieutenant</v>
      </c>
      <c r="G445" s="1" t="s">
        <v>3115</v>
      </c>
      <c r="H445" s="1" t="s">
        <v>798</v>
      </c>
      <c r="I445" s="1" t="s">
        <v>8</v>
      </c>
      <c r="J445" s="1" t="s">
        <v>2729</v>
      </c>
      <c r="K445" s="1" t="s">
        <v>2736</v>
      </c>
      <c r="L445" s="1" t="s">
        <v>2736</v>
      </c>
      <c r="M445" s="1">
        <v>500</v>
      </c>
      <c r="N445" s="1">
        <v>1</v>
      </c>
      <c r="O445" s="1" t="str">
        <f t="shared" si="33"/>
        <v>"M4_CQBBttstck": 1,</v>
      </c>
      <c r="P445" s="1" t="str">
        <f t="shared" si="34"/>
        <v>"M4_CQBBttstck": 48,</v>
      </c>
      <c r="Q445" s="1" t="str">
        <f t="shared" si="35"/>
        <v>"M4_CQBBttstck": 500,</v>
      </c>
      <c r="R445" s="1" t="str">
        <f t="shared" si="36"/>
        <v>"M4_CQBBttstck": 10,</v>
      </c>
    </row>
    <row r="446" spans="1:18" x14ac:dyDescent="0.25">
      <c r="A446" s="1" t="str">
        <f t="shared" si="37"/>
        <v>#tc_military#tc_attachments#tc_optic</v>
      </c>
      <c r="B446" s="1">
        <f>VLOOKUP(A446,TraderCategory!$A$63:$E$556,2,FALSE)</f>
        <v>50</v>
      </c>
      <c r="C446" s="1">
        <f>VLOOKUP(A446,TraderCategory!$A$63:$F$556,6,FALSE)</f>
        <v>10</v>
      </c>
      <c r="D446" s="1" t="str">
        <f>VLOOKUP(C446,Tabulka5[],3,FALSE)</f>
        <v>Second Lieutenant</v>
      </c>
      <c r="E446" s="1">
        <v>10</v>
      </c>
      <c r="F446" s="1" t="str">
        <f>VLOOKUP(E446,Tabulka5[],3,FALSE)</f>
        <v>Second Lieutenant</v>
      </c>
      <c r="G446" s="1" t="s">
        <v>3115</v>
      </c>
      <c r="H446" s="1" t="s">
        <v>799</v>
      </c>
      <c r="I446" s="1" t="s">
        <v>8</v>
      </c>
      <c r="J446" s="1" t="s">
        <v>2729</v>
      </c>
      <c r="K446" s="1" t="s">
        <v>2736</v>
      </c>
      <c r="L446" s="1" t="s">
        <v>3163</v>
      </c>
      <c r="M446" s="1">
        <v>500</v>
      </c>
      <c r="N446" s="1">
        <v>1</v>
      </c>
      <c r="O446" s="1" t="str">
        <f t="shared" si="33"/>
        <v>"M4_CarryHandleOptic": 1,</v>
      </c>
      <c r="P446" s="1" t="str">
        <f t="shared" si="34"/>
        <v>"M4_CarryHandleOptic": 50,</v>
      </c>
      <c r="Q446" s="1" t="str">
        <f t="shared" si="35"/>
        <v>"M4_CarryHandleOptic": 500,</v>
      </c>
      <c r="R446" s="1" t="str">
        <f t="shared" si="36"/>
        <v>"M4_CarryHandleOptic": 10,</v>
      </c>
    </row>
    <row r="447" spans="1:18" x14ac:dyDescent="0.25">
      <c r="A447" s="1" t="str">
        <f t="shared" si="37"/>
        <v>#tc_military#tc_attachments#tc_attachments</v>
      </c>
      <c r="B447" s="1">
        <f>VLOOKUP(A447,TraderCategory!$A$63:$E$556,2,FALSE)</f>
        <v>48</v>
      </c>
      <c r="C447" s="1">
        <f>VLOOKUP(A447,TraderCategory!$A$63:$F$556,6,FALSE)</f>
        <v>0</v>
      </c>
      <c r="D447" s="1" t="str">
        <f>VLOOKUP(C447,Tabulka5[],3,FALSE)</f>
        <v>Private</v>
      </c>
      <c r="E447" s="1">
        <v>10</v>
      </c>
      <c r="F447" s="1" t="str">
        <f>VLOOKUP(E447,Tabulka5[],3,FALSE)</f>
        <v>Second Lieutenant</v>
      </c>
      <c r="G447" s="1" t="s">
        <v>3115</v>
      </c>
      <c r="H447" s="1" t="s">
        <v>800</v>
      </c>
      <c r="I447" s="1" t="s">
        <v>8</v>
      </c>
      <c r="J447" s="1" t="s">
        <v>2729</v>
      </c>
      <c r="K447" s="1" t="s">
        <v>2736</v>
      </c>
      <c r="L447" s="1" t="s">
        <v>2736</v>
      </c>
      <c r="M447" s="1">
        <v>500</v>
      </c>
      <c r="N447" s="1">
        <v>1</v>
      </c>
      <c r="O447" s="1" t="str">
        <f t="shared" si="33"/>
        <v>"M4_MPBttstck": 1,</v>
      </c>
      <c r="P447" s="1" t="str">
        <f t="shared" si="34"/>
        <v>"M4_MPBttstck": 48,</v>
      </c>
      <c r="Q447" s="1" t="str">
        <f t="shared" si="35"/>
        <v>"M4_MPBttstck": 500,</v>
      </c>
      <c r="R447" s="1" t="str">
        <f t="shared" si="36"/>
        <v>"M4_MPBttstck": 10,</v>
      </c>
    </row>
    <row r="448" spans="1:18" x14ac:dyDescent="0.25">
      <c r="A448" s="1" t="str">
        <f t="shared" si="37"/>
        <v>#tc_military#tc_attachments#tc_attachments</v>
      </c>
      <c r="B448" s="1">
        <f>VLOOKUP(A448,TraderCategory!$A$63:$E$556,2,FALSE)</f>
        <v>48</v>
      </c>
      <c r="C448" s="1">
        <f>VLOOKUP(A448,TraderCategory!$A$63:$F$556,6,FALSE)</f>
        <v>0</v>
      </c>
      <c r="D448" s="1" t="str">
        <f>VLOOKUP(C448,Tabulka5[],3,FALSE)</f>
        <v>Private</v>
      </c>
      <c r="E448" s="1">
        <v>10</v>
      </c>
      <c r="F448" s="1" t="str">
        <f>VLOOKUP(E448,Tabulka5[],3,FALSE)</f>
        <v>Second Lieutenant</v>
      </c>
      <c r="G448" s="1" t="s">
        <v>3115</v>
      </c>
      <c r="H448" s="1" t="s">
        <v>801</v>
      </c>
      <c r="I448" s="1" t="s">
        <v>8</v>
      </c>
      <c r="J448" s="1" t="s">
        <v>2729</v>
      </c>
      <c r="K448" s="1" t="s">
        <v>2736</v>
      </c>
      <c r="L448" s="1" t="s">
        <v>2736</v>
      </c>
      <c r="M448" s="1">
        <v>500</v>
      </c>
      <c r="N448" s="1">
        <v>1</v>
      </c>
      <c r="O448" s="1" t="str">
        <f t="shared" si="33"/>
        <v>"M4_MPHndgrd": 1,</v>
      </c>
      <c r="P448" s="1" t="str">
        <f t="shared" si="34"/>
        <v>"M4_MPHndgrd": 48,</v>
      </c>
      <c r="Q448" s="1" t="str">
        <f t="shared" si="35"/>
        <v>"M4_MPHndgrd": 500,</v>
      </c>
      <c r="R448" s="1" t="str">
        <f t="shared" si="36"/>
        <v>"M4_MPHndgrd": 10,</v>
      </c>
    </row>
    <row r="449" spans="1:18" x14ac:dyDescent="0.25">
      <c r="A449" s="1" t="str">
        <f t="shared" si="37"/>
        <v>#tc_military#tc_attachments#tc_attachments</v>
      </c>
      <c r="B449" s="1">
        <f>VLOOKUP(A449,TraderCategory!$A$63:$E$556,2,FALSE)</f>
        <v>48</v>
      </c>
      <c r="C449" s="1">
        <f>VLOOKUP(A449,TraderCategory!$A$63:$F$556,6,FALSE)</f>
        <v>0</v>
      </c>
      <c r="D449" s="1" t="str">
        <f>VLOOKUP(C449,Tabulka5[],3,FALSE)</f>
        <v>Private</v>
      </c>
      <c r="E449" s="1">
        <v>10</v>
      </c>
      <c r="F449" s="1" t="str">
        <f>VLOOKUP(E449,Tabulka5[],3,FALSE)</f>
        <v>Second Lieutenant</v>
      </c>
      <c r="G449" s="1" t="s">
        <v>3115</v>
      </c>
      <c r="H449" s="1" t="s">
        <v>802</v>
      </c>
      <c r="I449" s="1" t="s">
        <v>8</v>
      </c>
      <c r="J449" s="1" t="s">
        <v>2729</v>
      </c>
      <c r="K449" s="1" t="s">
        <v>2736</v>
      </c>
      <c r="L449" s="1" t="s">
        <v>2736</v>
      </c>
      <c r="M449" s="1">
        <v>500</v>
      </c>
      <c r="N449" s="1">
        <v>1</v>
      </c>
      <c r="O449" s="1" t="str">
        <f t="shared" si="33"/>
        <v>"M4_OEBttstck": 1,</v>
      </c>
      <c r="P449" s="1" t="str">
        <f t="shared" si="34"/>
        <v>"M4_OEBttstck": 48,</v>
      </c>
      <c r="Q449" s="1" t="str">
        <f t="shared" si="35"/>
        <v>"M4_OEBttstck": 500,</v>
      </c>
      <c r="R449" s="1" t="str">
        <f t="shared" si="36"/>
        <v>"M4_OEBttstck": 10,</v>
      </c>
    </row>
    <row r="450" spans="1:18" x14ac:dyDescent="0.25">
      <c r="A450" s="1" t="str">
        <f t="shared" si="37"/>
        <v>#tc_military#tc_attachments#tc_attachments</v>
      </c>
      <c r="B450" s="1">
        <f>VLOOKUP(A450,TraderCategory!$A$63:$E$556,2,FALSE)</f>
        <v>48</v>
      </c>
      <c r="C450" s="1">
        <f>VLOOKUP(A450,TraderCategory!$A$63:$F$556,6,FALSE)</f>
        <v>0</v>
      </c>
      <c r="D450" s="1" t="str">
        <f>VLOOKUP(C450,Tabulka5[],3,FALSE)</f>
        <v>Private</v>
      </c>
      <c r="E450" s="1">
        <v>10</v>
      </c>
      <c r="F450" s="1" t="str">
        <f>VLOOKUP(E450,Tabulka5[],3,FALSE)</f>
        <v>Second Lieutenant</v>
      </c>
      <c r="G450" s="1" t="s">
        <v>3115</v>
      </c>
      <c r="H450" s="1" t="s">
        <v>803</v>
      </c>
      <c r="I450" s="1" t="s">
        <v>8</v>
      </c>
      <c r="J450" s="1" t="s">
        <v>2729</v>
      </c>
      <c r="K450" s="1" t="s">
        <v>2736</v>
      </c>
      <c r="L450" s="1" t="s">
        <v>2736</v>
      </c>
      <c r="M450" s="1">
        <v>500</v>
      </c>
      <c r="N450" s="1">
        <v>1</v>
      </c>
      <c r="O450" s="1" t="str">
        <f t="shared" si="33"/>
        <v>"M4_PlasticHndgrd": 1,</v>
      </c>
      <c r="P450" s="1" t="str">
        <f t="shared" si="34"/>
        <v>"M4_PlasticHndgrd": 48,</v>
      </c>
      <c r="Q450" s="1" t="str">
        <f t="shared" si="35"/>
        <v>"M4_PlasticHndgrd": 500,</v>
      </c>
      <c r="R450" s="1" t="str">
        <f t="shared" si="36"/>
        <v>"M4_PlasticHndgrd": 10,</v>
      </c>
    </row>
    <row r="451" spans="1:18" x14ac:dyDescent="0.25">
      <c r="A451" s="1" t="str">
        <f t="shared" si="37"/>
        <v>#tc_military#tc_attachments#tc_attachments</v>
      </c>
      <c r="B451" s="1">
        <f>VLOOKUP(A451,TraderCategory!$A$63:$E$556,2,FALSE)</f>
        <v>48</v>
      </c>
      <c r="C451" s="1">
        <f>VLOOKUP(A451,TraderCategory!$A$63:$F$556,6,FALSE)</f>
        <v>0</v>
      </c>
      <c r="D451" s="1" t="str">
        <f>VLOOKUP(C451,Tabulka5[],3,FALSE)</f>
        <v>Private</v>
      </c>
      <c r="E451" s="1">
        <v>10</v>
      </c>
      <c r="F451" s="1" t="str">
        <f>VLOOKUP(E451,Tabulka5[],3,FALSE)</f>
        <v>Second Lieutenant</v>
      </c>
      <c r="G451" s="1" t="s">
        <v>3115</v>
      </c>
      <c r="H451" s="1" t="s">
        <v>804</v>
      </c>
      <c r="I451" s="1" t="s">
        <v>8</v>
      </c>
      <c r="J451" s="1" t="s">
        <v>2729</v>
      </c>
      <c r="K451" s="1" t="s">
        <v>2736</v>
      </c>
      <c r="L451" s="1" t="s">
        <v>2736</v>
      </c>
      <c r="M451" s="1">
        <v>500</v>
      </c>
      <c r="N451" s="1">
        <v>1</v>
      </c>
      <c r="O451" s="1" t="str">
        <f t="shared" ref="O451:O514" si="38">"""" &amp;H451 &amp; """: " &amp; N451 &amp; ","</f>
        <v>"M4_RISHndgrd": 1,</v>
      </c>
      <c r="P451" s="1" t="str">
        <f t="shared" ref="P451:P514" si="39">"""" &amp;H451 &amp; """: " &amp; B451 &amp; ","</f>
        <v>"M4_RISHndgrd": 48,</v>
      </c>
      <c r="Q451" s="1" t="str">
        <f t="shared" ref="Q451:Q514" si="40">"""" &amp;H451 &amp; """: " &amp; M451 &amp; ","</f>
        <v>"M4_RISHndgrd": 500,</v>
      </c>
      <c r="R451" s="1" t="str">
        <f t="shared" ref="R451:R514" si="41">"""" &amp;H451 &amp; """: " &amp; E451 &amp; ","</f>
        <v>"M4_RISHndgrd": 10,</v>
      </c>
    </row>
    <row r="452" spans="1:18" x14ac:dyDescent="0.25">
      <c r="A452" s="1" t="str">
        <f t="shared" si="37"/>
        <v>#tc_military#tc_attachments#tc_suppressors</v>
      </c>
      <c r="B452" s="1">
        <f>VLOOKUP(A452,TraderCategory!$A$63:$E$556,2,FALSE)</f>
        <v>52</v>
      </c>
      <c r="C452" s="1">
        <f>VLOOKUP(A452,TraderCategory!$A$63:$F$556,6,FALSE)</f>
        <v>10</v>
      </c>
      <c r="D452" s="1" t="str">
        <f>VLOOKUP(C452,Tabulka5[],3,FALSE)</f>
        <v>Second Lieutenant</v>
      </c>
      <c r="E452" s="1">
        <v>13</v>
      </c>
      <c r="F452" s="1" t="str">
        <f>VLOOKUP(E452,Tabulka5[],3,FALSE)</f>
        <v>Major</v>
      </c>
      <c r="G452" s="1" t="s">
        <v>3115</v>
      </c>
      <c r="H452" s="1" t="s">
        <v>805</v>
      </c>
      <c r="I452" s="1" t="s">
        <v>8</v>
      </c>
      <c r="J452" s="1" t="s">
        <v>2729</v>
      </c>
      <c r="K452" s="1" t="s">
        <v>2736</v>
      </c>
      <c r="L452" s="1" t="s">
        <v>3165</v>
      </c>
      <c r="M452" s="1">
        <v>20000</v>
      </c>
      <c r="N452" s="1">
        <v>1</v>
      </c>
      <c r="O452" s="1" t="str">
        <f t="shared" si="38"/>
        <v>"M4_Suppressor": 1,</v>
      </c>
      <c r="P452" s="1" t="str">
        <f t="shared" si="39"/>
        <v>"M4_Suppressor": 52,</v>
      </c>
      <c r="Q452" s="1" t="str">
        <f t="shared" si="40"/>
        <v>"M4_Suppressor": 20000,</v>
      </c>
      <c r="R452" s="1" t="str">
        <f t="shared" si="41"/>
        <v>"M4_Suppressor": 13,</v>
      </c>
    </row>
    <row r="453" spans="1:18" x14ac:dyDescent="0.25">
      <c r="A453" s="1" t="str">
        <f t="shared" si="37"/>
        <v>#tc_military#tc_attachments#tc_optic</v>
      </c>
      <c r="B453" s="1">
        <f>VLOOKUP(A453,TraderCategory!$A$63:$E$556,2,FALSE)</f>
        <v>50</v>
      </c>
      <c r="C453" s="1">
        <f>VLOOKUP(A453,TraderCategory!$A$63:$F$556,6,FALSE)</f>
        <v>10</v>
      </c>
      <c r="D453" s="1" t="str">
        <f>VLOOKUP(C453,Tabulka5[],3,FALSE)</f>
        <v>Second Lieutenant</v>
      </c>
      <c r="E453" s="1">
        <v>10</v>
      </c>
      <c r="F453" s="1" t="str">
        <f>VLOOKUP(E453,Tabulka5[],3,FALSE)</f>
        <v>Second Lieutenant</v>
      </c>
      <c r="G453" s="1" t="s">
        <v>3115</v>
      </c>
      <c r="H453" s="1" t="s">
        <v>806</v>
      </c>
      <c r="I453" s="1" t="s">
        <v>8</v>
      </c>
      <c r="J453" s="1" t="s">
        <v>2729</v>
      </c>
      <c r="K453" s="1" t="s">
        <v>2736</v>
      </c>
      <c r="L453" s="1" t="s">
        <v>3163</v>
      </c>
      <c r="M453" s="1">
        <v>4000</v>
      </c>
      <c r="N453" s="1">
        <v>1</v>
      </c>
      <c r="O453" s="1" t="str">
        <f t="shared" si="38"/>
        <v>"M4_T3NRDSOptic": 1,</v>
      </c>
      <c r="P453" s="1" t="str">
        <f t="shared" si="39"/>
        <v>"M4_T3NRDSOptic": 50,</v>
      </c>
      <c r="Q453" s="1" t="str">
        <f t="shared" si="40"/>
        <v>"M4_T3NRDSOptic": 4000,</v>
      </c>
      <c r="R453" s="1" t="str">
        <f t="shared" si="41"/>
        <v>"M4_T3NRDSOptic": 10,</v>
      </c>
    </row>
    <row r="454" spans="1:18" ht="15" customHeight="1" x14ac:dyDescent="0.25">
      <c r="A454" s="1" t="str">
        <f t="shared" si="37"/>
        <v>#tc_clothes#tc_military#tc_tops</v>
      </c>
      <c r="B454" s="1">
        <f>VLOOKUP(A454,TraderCategory!$A$63:$E$556,2,FALSE)</f>
        <v>9</v>
      </c>
      <c r="C454" s="1">
        <f>VLOOKUP(A454,TraderCategory!$A$63:$F$556,6,FALSE)</f>
        <v>1</v>
      </c>
      <c r="D454" s="1" t="str">
        <f>VLOOKUP(C454,Tabulka5[],3,FALSE)</f>
        <v>Private First Class</v>
      </c>
      <c r="E454" s="1">
        <v>1</v>
      </c>
      <c r="F454" s="1" t="str">
        <f>VLOOKUP(E454,Tabulka5[],3,FALSE)</f>
        <v>Private First Class</v>
      </c>
      <c r="G454" s="1" t="s">
        <v>3115</v>
      </c>
      <c r="H454" s="1" t="s">
        <v>807</v>
      </c>
      <c r="I454" s="1" t="s">
        <v>403</v>
      </c>
      <c r="J454" s="1" t="s">
        <v>2728</v>
      </c>
      <c r="K454" s="1" t="s">
        <v>2729</v>
      </c>
      <c r="L454" s="1" t="s">
        <v>3131</v>
      </c>
      <c r="M454" s="1">
        <v>10000</v>
      </c>
      <c r="N454" s="1">
        <v>1</v>
      </c>
      <c r="O454" s="1" t="str">
        <f t="shared" si="38"/>
        <v>"M65Jacket_Black": 1,</v>
      </c>
      <c r="P454" s="1" t="str">
        <f t="shared" si="39"/>
        <v>"M65Jacket_Black": 9,</v>
      </c>
      <c r="Q454" s="1" t="str">
        <f t="shared" si="40"/>
        <v>"M65Jacket_Black": 10000,</v>
      </c>
      <c r="R454" s="1" t="str">
        <f t="shared" si="41"/>
        <v>"M65Jacket_Black": 1,</v>
      </c>
    </row>
    <row r="455" spans="1:18" ht="15" customHeight="1" x14ac:dyDescent="0.25">
      <c r="A455" s="1" t="str">
        <f t="shared" si="37"/>
        <v>#tc_clothes#tc_military#tc_tops</v>
      </c>
      <c r="B455" s="1">
        <f>VLOOKUP(A455,TraderCategory!$A$63:$E$556,2,FALSE)</f>
        <v>9</v>
      </c>
      <c r="C455" s="1">
        <f>VLOOKUP(A455,TraderCategory!$A$63:$F$556,6,FALSE)</f>
        <v>1</v>
      </c>
      <c r="D455" s="1" t="str">
        <f>VLOOKUP(C455,Tabulka5[],3,FALSE)</f>
        <v>Private First Class</v>
      </c>
      <c r="E455" s="1">
        <v>1</v>
      </c>
      <c r="F455" s="1" t="str">
        <f>VLOOKUP(E455,Tabulka5[],3,FALSE)</f>
        <v>Private First Class</v>
      </c>
      <c r="G455" s="1" t="s">
        <v>3115</v>
      </c>
      <c r="H455" s="1" t="s">
        <v>808</v>
      </c>
      <c r="I455" s="1" t="s">
        <v>403</v>
      </c>
      <c r="J455" s="1" t="s">
        <v>2728</v>
      </c>
      <c r="K455" s="1" t="s">
        <v>2729</v>
      </c>
      <c r="L455" s="1" t="s">
        <v>3131</v>
      </c>
      <c r="M455" s="1">
        <v>10000</v>
      </c>
      <c r="N455" s="1">
        <v>1</v>
      </c>
      <c r="O455" s="1" t="str">
        <f t="shared" si="38"/>
        <v>"M65Jacket_Khaki": 1,</v>
      </c>
      <c r="P455" s="1" t="str">
        <f t="shared" si="39"/>
        <v>"M65Jacket_Khaki": 9,</v>
      </c>
      <c r="Q455" s="1" t="str">
        <f t="shared" si="40"/>
        <v>"M65Jacket_Khaki": 10000,</v>
      </c>
      <c r="R455" s="1" t="str">
        <f t="shared" si="41"/>
        <v>"M65Jacket_Khaki": 1,</v>
      </c>
    </row>
    <row r="456" spans="1:18" ht="15" customHeight="1" x14ac:dyDescent="0.25">
      <c r="A456" s="1" t="str">
        <f t="shared" si="37"/>
        <v>#tc_clothes#tc_military#tc_tops</v>
      </c>
      <c r="B456" s="1">
        <f>VLOOKUP(A456,TraderCategory!$A$63:$E$556,2,FALSE)</f>
        <v>9</v>
      </c>
      <c r="C456" s="1">
        <f>VLOOKUP(A456,TraderCategory!$A$63:$F$556,6,FALSE)</f>
        <v>1</v>
      </c>
      <c r="D456" s="1" t="str">
        <f>VLOOKUP(C456,Tabulka5[],3,FALSE)</f>
        <v>Private First Class</v>
      </c>
      <c r="E456" s="1">
        <v>1</v>
      </c>
      <c r="F456" s="1" t="str">
        <f>VLOOKUP(E456,Tabulka5[],3,FALSE)</f>
        <v>Private First Class</v>
      </c>
      <c r="G456" s="1" t="s">
        <v>3115</v>
      </c>
      <c r="H456" s="1" t="s">
        <v>809</v>
      </c>
      <c r="I456" s="1" t="s">
        <v>403</v>
      </c>
      <c r="J456" s="1" t="s">
        <v>2728</v>
      </c>
      <c r="K456" s="1" t="s">
        <v>2729</v>
      </c>
      <c r="L456" s="1" t="s">
        <v>3131</v>
      </c>
      <c r="M456" s="1">
        <v>10000</v>
      </c>
      <c r="N456" s="1">
        <v>1</v>
      </c>
      <c r="O456" s="1" t="str">
        <f t="shared" si="38"/>
        <v>"M65Jacket_Olive": 1,</v>
      </c>
      <c r="P456" s="1" t="str">
        <f t="shared" si="39"/>
        <v>"M65Jacket_Olive": 9,</v>
      </c>
      <c r="Q456" s="1" t="str">
        <f t="shared" si="40"/>
        <v>"M65Jacket_Olive": 10000,</v>
      </c>
      <c r="R456" s="1" t="str">
        <f t="shared" si="41"/>
        <v>"M65Jacket_Olive": 1,</v>
      </c>
    </row>
    <row r="457" spans="1:18" ht="15" customHeight="1" x14ac:dyDescent="0.25">
      <c r="A457" s="1" t="str">
        <f t="shared" si="37"/>
        <v>#tc_clothes#tc_military#tc_tops</v>
      </c>
      <c r="B457" s="1">
        <f>VLOOKUP(A457,TraderCategory!$A$63:$E$556,2,FALSE)</f>
        <v>9</v>
      </c>
      <c r="C457" s="1">
        <f>VLOOKUP(A457,TraderCategory!$A$63:$F$556,6,FALSE)</f>
        <v>1</v>
      </c>
      <c r="D457" s="1" t="str">
        <f>VLOOKUP(C457,Tabulka5[],3,FALSE)</f>
        <v>Private First Class</v>
      </c>
      <c r="E457" s="1">
        <v>1</v>
      </c>
      <c r="F457" s="1" t="str">
        <f>VLOOKUP(E457,Tabulka5[],3,FALSE)</f>
        <v>Private First Class</v>
      </c>
      <c r="G457" s="1" t="s">
        <v>3115</v>
      </c>
      <c r="H457" s="1" t="s">
        <v>810</v>
      </c>
      <c r="I457" s="1" t="s">
        <v>403</v>
      </c>
      <c r="J457" s="1" t="s">
        <v>2728</v>
      </c>
      <c r="K457" s="1" t="s">
        <v>2729</v>
      </c>
      <c r="L457" s="1" t="s">
        <v>3131</v>
      </c>
      <c r="M457" s="1">
        <v>10000</v>
      </c>
      <c r="N457" s="1">
        <v>1</v>
      </c>
      <c r="O457" s="1" t="str">
        <f t="shared" si="38"/>
        <v>"M65Jacket_Tan": 1,</v>
      </c>
      <c r="P457" s="1" t="str">
        <f t="shared" si="39"/>
        <v>"M65Jacket_Tan": 9,</v>
      </c>
      <c r="Q457" s="1" t="str">
        <f t="shared" si="40"/>
        <v>"M65Jacket_Tan": 10000,</v>
      </c>
      <c r="R457" s="1" t="str">
        <f t="shared" si="41"/>
        <v>"M65Jacket_Tan": 1,</v>
      </c>
    </row>
    <row r="458" spans="1:18" ht="15" customHeight="1" x14ac:dyDescent="0.25">
      <c r="A458" s="1" t="str">
        <f t="shared" si="37"/>
        <v>#tc_military#tc_ammo#tc_grenade</v>
      </c>
      <c r="B458" s="1">
        <f>VLOOKUP(A458,TraderCategory!$A$63:$E$556,2,FALSE)</f>
        <v>46</v>
      </c>
      <c r="C458" s="1">
        <f>VLOOKUP(A458,TraderCategory!$A$63:$F$556,6,FALSE)</f>
        <v>3</v>
      </c>
      <c r="D458" s="1" t="str">
        <f>VLOOKUP(C458,Tabulka5[],3,FALSE)</f>
        <v>Sergeant</v>
      </c>
      <c r="E458" s="1">
        <v>8</v>
      </c>
      <c r="F458" s="1" t="str">
        <f>VLOOKUP(E458,Tabulka5[],3,FALSE)</f>
        <v>Command Sergeant Major</v>
      </c>
      <c r="G458" s="1" t="s">
        <v>3115</v>
      </c>
      <c r="H458" s="1" t="s">
        <v>811</v>
      </c>
      <c r="I458" s="1" t="s">
        <v>644</v>
      </c>
      <c r="J458" s="1" t="s">
        <v>2729</v>
      </c>
      <c r="K458" s="1" t="s">
        <v>2738</v>
      </c>
      <c r="L458" s="1" t="s">
        <v>3161</v>
      </c>
      <c r="M458" s="1">
        <v>6000</v>
      </c>
      <c r="N458" s="1">
        <v>1</v>
      </c>
      <c r="O458" s="1" t="str">
        <f t="shared" si="38"/>
        <v>"M67Grenade": 1,</v>
      </c>
      <c r="P458" s="1" t="str">
        <f t="shared" si="39"/>
        <v>"M67Grenade": 46,</v>
      </c>
      <c r="Q458" s="1" t="str">
        <f t="shared" si="40"/>
        <v>"M67Grenade": 6000,</v>
      </c>
      <c r="R458" s="1" t="str">
        <f t="shared" si="41"/>
        <v>"M67Grenade": 8,</v>
      </c>
    </row>
    <row r="459" spans="1:18" x14ac:dyDescent="0.25">
      <c r="A459" s="1" t="str">
        <f t="shared" si="37"/>
        <v>#tc_military#tc_attachments#tc_optic</v>
      </c>
      <c r="B459" s="1">
        <f>VLOOKUP(A459,TraderCategory!$A$63:$E$556,2,FALSE)</f>
        <v>50</v>
      </c>
      <c r="C459" s="1">
        <f>VLOOKUP(A459,TraderCategory!$A$63:$F$556,6,FALSE)</f>
        <v>10</v>
      </c>
      <c r="D459" s="1" t="str">
        <f>VLOOKUP(C459,Tabulka5[],3,FALSE)</f>
        <v>Second Lieutenant</v>
      </c>
      <c r="E459" s="1">
        <v>10</v>
      </c>
      <c r="F459" s="1" t="str">
        <f>VLOOKUP(E459,Tabulka5[],3,FALSE)</f>
        <v>Second Lieutenant</v>
      </c>
      <c r="G459" s="1" t="s">
        <v>3115</v>
      </c>
      <c r="H459" s="1" t="s">
        <v>812</v>
      </c>
      <c r="I459" s="1" t="s">
        <v>8</v>
      </c>
      <c r="J459" s="1" t="s">
        <v>2729</v>
      </c>
      <c r="K459" s="1" t="s">
        <v>2736</v>
      </c>
      <c r="L459" s="1" t="s">
        <v>3163</v>
      </c>
      <c r="M459" s="1">
        <v>4000</v>
      </c>
      <c r="N459" s="1">
        <v>1</v>
      </c>
      <c r="O459" s="1" t="str">
        <f t="shared" si="38"/>
        <v>"M68Optic": 1,</v>
      </c>
      <c r="P459" s="1" t="str">
        <f t="shared" si="39"/>
        <v>"M68Optic": 50,</v>
      </c>
      <c r="Q459" s="1" t="str">
        <f t="shared" si="40"/>
        <v>"M68Optic": 4000,</v>
      </c>
      <c r="R459" s="1" t="str">
        <f t="shared" si="41"/>
        <v>"M68Optic": 10,</v>
      </c>
    </row>
    <row r="460" spans="1:18" x14ac:dyDescent="0.25">
      <c r="A460" s="1" t="str">
        <f t="shared" ref="A460:A523" si="42">CONCATENATE(J460,K460,L460)</f>
        <v>#tc_military#tc_attachments#tc_bayonets</v>
      </c>
      <c r="B460" s="1">
        <f>VLOOKUP(A460,TraderCategory!$A$63:$E$556,2,FALSE)</f>
        <v>49</v>
      </c>
      <c r="C460" s="1">
        <f>VLOOKUP(A460,TraderCategory!$A$63:$F$556,6,FALSE)</f>
        <v>1</v>
      </c>
      <c r="D460" s="1" t="str">
        <f>VLOOKUP(C460,Tabulka5[],3,FALSE)</f>
        <v>Private First Class</v>
      </c>
      <c r="E460" s="1">
        <v>10</v>
      </c>
      <c r="F460" s="1" t="str">
        <f>VLOOKUP(E460,Tabulka5[],3,FALSE)</f>
        <v>Second Lieutenant</v>
      </c>
      <c r="G460" s="1" t="s">
        <v>3115</v>
      </c>
      <c r="H460" s="1" t="s">
        <v>813</v>
      </c>
      <c r="I460" s="1" t="s">
        <v>8</v>
      </c>
      <c r="J460" s="1" t="s">
        <v>2729</v>
      </c>
      <c r="K460" s="1" t="s">
        <v>2736</v>
      </c>
      <c r="L460" s="1" t="s">
        <v>3164</v>
      </c>
      <c r="M460" s="1">
        <v>2500</v>
      </c>
      <c r="N460" s="1">
        <v>1</v>
      </c>
      <c r="O460" s="1" t="str">
        <f t="shared" si="38"/>
        <v>"M9A1_Bayonet": 1,</v>
      </c>
      <c r="P460" s="1" t="str">
        <f t="shared" si="39"/>
        <v>"M9A1_Bayonet": 49,</v>
      </c>
      <c r="Q460" s="1" t="str">
        <f t="shared" si="40"/>
        <v>"M9A1_Bayonet": 2500,</v>
      </c>
      <c r="R460" s="1" t="str">
        <f t="shared" si="41"/>
        <v>"M9A1_Bayonet": 10,</v>
      </c>
    </row>
    <row r="461" spans="1:18" x14ac:dyDescent="0.25">
      <c r="A461" s="1" t="str">
        <f t="shared" si="42"/>
        <v>#tc_military#tc_weapons#tc_pistols</v>
      </c>
      <c r="B461" s="1">
        <f>VLOOKUP(A461,TraderCategory!$A$63:$E$556,2,FALSE)</f>
        <v>61</v>
      </c>
      <c r="C461" s="1">
        <f>VLOOKUP(A461,TraderCategory!$A$63:$F$556,6,FALSE)</f>
        <v>0</v>
      </c>
      <c r="D461" s="1" t="str">
        <f>VLOOKUP(C461,Tabulka5[],3,FALSE)</f>
        <v>Private</v>
      </c>
      <c r="E461" s="1">
        <v>1</v>
      </c>
      <c r="F461" s="1" t="str">
        <f>VLOOKUP(E461,Tabulka5[],3,FALSE)</f>
        <v>Private First Class</v>
      </c>
      <c r="G461" s="1" t="s">
        <v>3115</v>
      </c>
      <c r="H461" s="1" t="s">
        <v>667</v>
      </c>
      <c r="I461" s="1" t="s">
        <v>8</v>
      </c>
      <c r="J461" s="1" t="s">
        <v>2729</v>
      </c>
      <c r="K461" s="1" t="s">
        <v>3129</v>
      </c>
      <c r="L461" s="1" t="s">
        <v>3154</v>
      </c>
      <c r="M461" s="1">
        <v>12000</v>
      </c>
      <c r="N461" s="1">
        <v>1</v>
      </c>
      <c r="O461" s="1" t="str">
        <f t="shared" si="38"/>
        <v>"Glock19": 1,</v>
      </c>
      <c r="P461" s="1" t="str">
        <f t="shared" si="39"/>
        <v>"Glock19": 61,</v>
      </c>
      <c r="Q461" s="1" t="str">
        <f t="shared" si="40"/>
        <v>"Glock19": 12000,</v>
      </c>
      <c r="R461" s="1" t="str">
        <f t="shared" si="41"/>
        <v>"Glock19": 1,</v>
      </c>
    </row>
    <row r="462" spans="1:18" x14ac:dyDescent="0.25">
      <c r="A462" s="1" t="str">
        <f t="shared" si="42"/>
        <v>#tc_military#tc_weapons#tc_pistols</v>
      </c>
      <c r="B462" s="1">
        <f>VLOOKUP(A462,TraderCategory!$A$63:$E$556,2,FALSE)</f>
        <v>61</v>
      </c>
      <c r="C462" s="1">
        <f>VLOOKUP(A462,TraderCategory!$A$63:$F$556,6,FALSE)</f>
        <v>0</v>
      </c>
      <c r="D462" s="1" t="str">
        <f>VLOOKUP(C462,Tabulka5[],3,FALSE)</f>
        <v>Private</v>
      </c>
      <c r="E462" s="1">
        <v>0</v>
      </c>
      <c r="F462" s="1" t="str">
        <f>VLOOKUP(E462,Tabulka5[],3,FALSE)</f>
        <v>Private</v>
      </c>
      <c r="G462" s="1" t="s">
        <v>3115</v>
      </c>
      <c r="H462" s="1" t="s">
        <v>814</v>
      </c>
      <c r="I462" s="1" t="s">
        <v>8</v>
      </c>
      <c r="J462" s="1" t="s">
        <v>2729</v>
      </c>
      <c r="K462" s="1" t="s">
        <v>3129</v>
      </c>
      <c r="L462" s="1" t="s">
        <v>3154</v>
      </c>
      <c r="M462" s="1">
        <v>10000</v>
      </c>
      <c r="N462" s="1">
        <v>1</v>
      </c>
      <c r="O462" s="1" t="str">
        <f t="shared" si="38"/>
        <v>"MKII": 1,</v>
      </c>
      <c r="P462" s="1" t="str">
        <f t="shared" si="39"/>
        <v>"MKII": 61,</v>
      </c>
      <c r="Q462" s="1" t="str">
        <f t="shared" si="40"/>
        <v>"MKII": 10000,</v>
      </c>
      <c r="R462" s="1" t="str">
        <f t="shared" si="41"/>
        <v>"MKII": 0,</v>
      </c>
    </row>
    <row r="463" spans="1:18" x14ac:dyDescent="0.25">
      <c r="A463" s="1" t="str">
        <f t="shared" si="42"/>
        <v>#tc_military#tc_attachments#tc_attachments</v>
      </c>
      <c r="B463" s="1">
        <f>VLOOKUP(A463,TraderCategory!$A$63:$E$556,2,FALSE)</f>
        <v>48</v>
      </c>
      <c r="C463" s="1">
        <f>VLOOKUP(A463,TraderCategory!$A$63:$F$556,6,FALSE)</f>
        <v>0</v>
      </c>
      <c r="D463" s="1" t="str">
        <f>VLOOKUP(C463,Tabulka5[],3,FALSE)</f>
        <v>Private</v>
      </c>
      <c r="E463" s="1">
        <v>8</v>
      </c>
      <c r="F463" s="1" t="str">
        <f>VLOOKUP(E463,Tabulka5[],3,FALSE)</f>
        <v>Command Sergeant Major</v>
      </c>
      <c r="G463" s="1" t="s">
        <v>3115</v>
      </c>
      <c r="H463" s="1" t="s">
        <v>816</v>
      </c>
      <c r="I463" s="1" t="s">
        <v>8</v>
      </c>
      <c r="J463" s="1" t="s">
        <v>2729</v>
      </c>
      <c r="K463" s="1" t="s">
        <v>2736</v>
      </c>
      <c r="L463" s="1" t="s">
        <v>2736</v>
      </c>
      <c r="M463" s="1">
        <v>1000</v>
      </c>
      <c r="N463" s="1">
        <v>1</v>
      </c>
      <c r="O463" s="1" t="str">
        <f t="shared" si="38"/>
        <v>"MP5_Compensator": 1,</v>
      </c>
      <c r="P463" s="1" t="str">
        <f t="shared" si="39"/>
        <v>"MP5_Compensator": 48,</v>
      </c>
      <c r="Q463" s="1" t="str">
        <f t="shared" si="40"/>
        <v>"MP5_Compensator": 1000,</v>
      </c>
      <c r="R463" s="1" t="str">
        <f t="shared" si="41"/>
        <v>"MP5_Compensator": 8,</v>
      </c>
    </row>
    <row r="464" spans="1:18" x14ac:dyDescent="0.25">
      <c r="A464" s="1" t="str">
        <f t="shared" si="42"/>
        <v>#tc_military#tc_attachments#tc_attachments</v>
      </c>
      <c r="B464" s="1">
        <f>VLOOKUP(A464,TraderCategory!$A$63:$E$556,2,FALSE)</f>
        <v>48</v>
      </c>
      <c r="C464" s="1">
        <f>VLOOKUP(A464,TraderCategory!$A$63:$F$556,6,FALSE)</f>
        <v>0</v>
      </c>
      <c r="D464" s="1" t="str">
        <f>VLOOKUP(C464,Tabulka5[],3,FALSE)</f>
        <v>Private</v>
      </c>
      <c r="E464" s="1">
        <v>8</v>
      </c>
      <c r="F464" s="1" t="str">
        <f>VLOOKUP(E464,Tabulka5[],3,FALSE)</f>
        <v>Command Sergeant Major</v>
      </c>
      <c r="G464" s="1" t="s">
        <v>3115</v>
      </c>
      <c r="H464" s="1" t="s">
        <v>817</v>
      </c>
      <c r="I464" s="1" t="s">
        <v>8</v>
      </c>
      <c r="J464" s="1" t="s">
        <v>2729</v>
      </c>
      <c r="K464" s="1" t="s">
        <v>2736</v>
      </c>
      <c r="L464" s="1" t="s">
        <v>2736</v>
      </c>
      <c r="M464" s="1">
        <v>500</v>
      </c>
      <c r="N464" s="1">
        <v>1</v>
      </c>
      <c r="O464" s="1" t="str">
        <f t="shared" si="38"/>
        <v>"MP5_PlasticHndgrd": 1,</v>
      </c>
      <c r="P464" s="1" t="str">
        <f t="shared" si="39"/>
        <v>"MP5_PlasticHndgrd": 48,</v>
      </c>
      <c r="Q464" s="1" t="str">
        <f t="shared" si="40"/>
        <v>"MP5_PlasticHndgrd": 500,</v>
      </c>
      <c r="R464" s="1" t="str">
        <f t="shared" si="41"/>
        <v>"MP5_PlasticHndgrd": 8,</v>
      </c>
    </row>
    <row r="465" spans="1:18" x14ac:dyDescent="0.25">
      <c r="A465" s="1" t="str">
        <f t="shared" si="42"/>
        <v>#tc_military#tc_attachments#tc_attachments</v>
      </c>
      <c r="B465" s="1">
        <f>VLOOKUP(A465,TraderCategory!$A$63:$E$556,2,FALSE)</f>
        <v>48</v>
      </c>
      <c r="C465" s="1">
        <f>VLOOKUP(A465,TraderCategory!$A$63:$F$556,6,FALSE)</f>
        <v>0</v>
      </c>
      <c r="D465" s="1" t="str">
        <f>VLOOKUP(C465,Tabulka5[],3,FALSE)</f>
        <v>Private</v>
      </c>
      <c r="E465" s="1">
        <v>8</v>
      </c>
      <c r="F465" s="1" t="str">
        <f>VLOOKUP(E465,Tabulka5[],3,FALSE)</f>
        <v>Command Sergeant Major</v>
      </c>
      <c r="G465" s="1" t="s">
        <v>3115</v>
      </c>
      <c r="H465" s="1" t="s">
        <v>818</v>
      </c>
      <c r="I465" s="1" t="s">
        <v>8</v>
      </c>
      <c r="J465" s="1" t="s">
        <v>2729</v>
      </c>
      <c r="K465" s="1" t="s">
        <v>2736</v>
      </c>
      <c r="L465" s="1" t="s">
        <v>2736</v>
      </c>
      <c r="M465" s="1">
        <v>1000</v>
      </c>
      <c r="N465" s="1">
        <v>1</v>
      </c>
      <c r="O465" s="1" t="str">
        <f t="shared" si="38"/>
        <v>"MP5_RailHndgrd": 1,</v>
      </c>
      <c r="P465" s="1" t="str">
        <f t="shared" si="39"/>
        <v>"MP5_RailHndgrd": 48,</v>
      </c>
      <c r="Q465" s="1" t="str">
        <f t="shared" si="40"/>
        <v>"MP5_RailHndgrd": 1000,</v>
      </c>
      <c r="R465" s="1" t="str">
        <f t="shared" si="41"/>
        <v>"MP5_RailHndgrd": 8,</v>
      </c>
    </row>
    <row r="466" spans="1:18" x14ac:dyDescent="0.25">
      <c r="A466" s="1" t="str">
        <f t="shared" si="42"/>
        <v>#tc_military#tc_attachments#tc_attachments</v>
      </c>
      <c r="B466" s="1">
        <f>VLOOKUP(A466,TraderCategory!$A$63:$E$556,2,FALSE)</f>
        <v>48</v>
      </c>
      <c r="C466" s="1">
        <f>VLOOKUP(A466,TraderCategory!$A$63:$F$556,6,FALSE)</f>
        <v>0</v>
      </c>
      <c r="D466" s="1" t="str">
        <f>VLOOKUP(C466,Tabulka5[],3,FALSE)</f>
        <v>Private</v>
      </c>
      <c r="E466" s="1">
        <v>8</v>
      </c>
      <c r="F466" s="1" t="str">
        <f>VLOOKUP(E466,Tabulka5[],3,FALSE)</f>
        <v>Command Sergeant Major</v>
      </c>
      <c r="G466" s="1" t="s">
        <v>3115</v>
      </c>
      <c r="H466" s="1" t="s">
        <v>819</v>
      </c>
      <c r="I466" s="1" t="s">
        <v>8</v>
      </c>
      <c r="J466" s="1" t="s">
        <v>2729</v>
      </c>
      <c r="K466" s="1" t="s">
        <v>2736</v>
      </c>
      <c r="L466" s="1" t="s">
        <v>2736</v>
      </c>
      <c r="M466" s="1">
        <v>500</v>
      </c>
      <c r="N466" s="1">
        <v>1</v>
      </c>
      <c r="O466" s="1" t="str">
        <f t="shared" si="38"/>
        <v>"MP5k_StockBttstck": 1,</v>
      </c>
      <c r="P466" s="1" t="str">
        <f t="shared" si="39"/>
        <v>"MP5k_StockBttstck": 48,</v>
      </c>
      <c r="Q466" s="1" t="str">
        <f t="shared" si="40"/>
        <v>"MP5k_StockBttstck": 500,</v>
      </c>
      <c r="R466" s="1" t="str">
        <f t="shared" si="41"/>
        <v>"MP5k_StockBttstck": 8,</v>
      </c>
    </row>
    <row r="467" spans="1:18" ht="15" customHeight="1" x14ac:dyDescent="0.25">
      <c r="A467" s="1" t="str">
        <f t="shared" si="42"/>
        <v>#tc_groceries#tc_tools#tc_knifes</v>
      </c>
      <c r="B467" s="1">
        <f>VLOOKUP(A467,TraderCategory!$A$63:$E$556,2,FALSE)</f>
        <v>28</v>
      </c>
      <c r="C467" s="1">
        <f>VLOOKUP(A467,TraderCategory!$A$63:$F$556,6,FALSE)</f>
        <v>0</v>
      </c>
      <c r="D467" s="1" t="str">
        <f>VLOOKUP(C467,Tabulka5[],3,FALSE)</f>
        <v>Private</v>
      </c>
      <c r="E467" s="1">
        <v>0</v>
      </c>
      <c r="F467" s="1" t="str">
        <f>VLOOKUP(E467,Tabulka5[],3,FALSE)</f>
        <v>Private</v>
      </c>
      <c r="G467" s="1" t="s">
        <v>3115</v>
      </c>
      <c r="H467" s="1" t="s">
        <v>820</v>
      </c>
      <c r="I467" s="1" t="s">
        <v>426</v>
      </c>
      <c r="J467" s="1" t="s">
        <v>3127</v>
      </c>
      <c r="K467" s="1" t="s">
        <v>2740</v>
      </c>
      <c r="L467" s="1" t="s">
        <v>3143</v>
      </c>
      <c r="M467" s="1">
        <v>1200</v>
      </c>
      <c r="N467" s="1">
        <v>1</v>
      </c>
      <c r="O467" s="1" t="str">
        <f t="shared" si="38"/>
        <v>"Machete": 1,</v>
      </c>
      <c r="P467" s="1" t="str">
        <f t="shared" si="39"/>
        <v>"Machete": 28,</v>
      </c>
      <c r="Q467" s="1" t="str">
        <f t="shared" si="40"/>
        <v>"Machete": 1200,</v>
      </c>
      <c r="R467" s="1" t="str">
        <f t="shared" si="41"/>
        <v>"Machete": 0,</v>
      </c>
    </row>
    <row r="468" spans="1:18" x14ac:dyDescent="0.25">
      <c r="A468" s="1" t="str">
        <f t="shared" si="42"/>
        <v>#tc_military#tc_magazines#tc_pistols</v>
      </c>
      <c r="B468" s="1">
        <f>VLOOKUP(A468,TraderCategory!$A$63:$E$556,2,FALSE)</f>
        <v>53</v>
      </c>
      <c r="C468" s="1">
        <f>VLOOKUP(A468,TraderCategory!$A$63:$F$556,6,FALSE)</f>
        <v>0</v>
      </c>
      <c r="D468" s="1" t="str">
        <f>VLOOKUP(C468,Tabulka5[],3,FALSE)</f>
        <v>Private</v>
      </c>
      <c r="E468" s="1">
        <v>3</v>
      </c>
      <c r="F468" s="1" t="str">
        <f>VLOOKUP(E468,Tabulka5[],3,FALSE)</f>
        <v>Sergeant</v>
      </c>
      <c r="G468" s="1" t="s">
        <v>3115</v>
      </c>
      <c r="H468" s="1" t="s">
        <v>821</v>
      </c>
      <c r="I468" s="1" t="s">
        <v>8</v>
      </c>
      <c r="J468" s="1" t="s">
        <v>2729</v>
      </c>
      <c r="K468" s="1" t="s">
        <v>2737</v>
      </c>
      <c r="L468" s="1" t="s">
        <v>3154</v>
      </c>
      <c r="M468" s="1">
        <v>1400</v>
      </c>
      <c r="N468" s="1">
        <v>1</v>
      </c>
      <c r="O468" s="1" t="str">
        <f t="shared" si="38"/>
        <v>"Mag_1911_7Rnd": 1,</v>
      </c>
      <c r="P468" s="1" t="str">
        <f t="shared" si="39"/>
        <v>"Mag_1911_7Rnd": 53,</v>
      </c>
      <c r="Q468" s="1" t="str">
        <f t="shared" si="40"/>
        <v>"Mag_1911_7Rnd": 1400,</v>
      </c>
      <c r="R468" s="1" t="str">
        <f t="shared" si="41"/>
        <v>"Mag_1911_7Rnd": 3,</v>
      </c>
    </row>
    <row r="469" spans="1:18" x14ac:dyDescent="0.25">
      <c r="A469" s="1" t="str">
        <f t="shared" si="42"/>
        <v>#tc_military#tc_magazines#tc_assaultrifles</v>
      </c>
      <c r="B469" s="1">
        <f>VLOOKUP(A469,TraderCategory!$A$63:$E$556,2,FALSE)</f>
        <v>57</v>
      </c>
      <c r="C469" s="1">
        <f>VLOOKUP(A469,TraderCategory!$A$63:$F$556,6,FALSE)</f>
        <v>10</v>
      </c>
      <c r="D469" s="1" t="str">
        <f>VLOOKUP(C469,Tabulka5[],3,FALSE)</f>
        <v>Second Lieutenant</v>
      </c>
      <c r="E469" s="1">
        <v>10</v>
      </c>
      <c r="F469" s="1" t="str">
        <f>VLOOKUP(E469,Tabulka5[],3,FALSE)</f>
        <v>Second Lieutenant</v>
      </c>
      <c r="G469" s="1" t="s">
        <v>3115</v>
      </c>
      <c r="H469" s="1" t="s">
        <v>822</v>
      </c>
      <c r="I469" s="1" t="s">
        <v>8</v>
      </c>
      <c r="J469" s="1" t="s">
        <v>2729</v>
      </c>
      <c r="K469" s="1" t="s">
        <v>2737</v>
      </c>
      <c r="L469" s="1" t="s">
        <v>3158</v>
      </c>
      <c r="M469" s="1">
        <v>9600</v>
      </c>
      <c r="N469" s="1">
        <v>1</v>
      </c>
      <c r="O469" s="1" t="str">
        <f t="shared" si="38"/>
        <v>"Mag_AK101_30Rnd": 1,</v>
      </c>
      <c r="P469" s="1" t="str">
        <f t="shared" si="39"/>
        <v>"Mag_AK101_30Rnd": 57,</v>
      </c>
      <c r="Q469" s="1" t="str">
        <f t="shared" si="40"/>
        <v>"Mag_AK101_30Rnd": 9600,</v>
      </c>
      <c r="R469" s="1" t="str">
        <f t="shared" si="41"/>
        <v>"Mag_AK101_30Rnd": 10,</v>
      </c>
    </row>
    <row r="470" spans="1:18" x14ac:dyDescent="0.25">
      <c r="A470" s="1" t="str">
        <f t="shared" si="42"/>
        <v>#tc_military#tc_magazines#tc_assaultrifles</v>
      </c>
      <c r="B470" s="1">
        <f>VLOOKUP(A470,TraderCategory!$A$63:$E$556,2,FALSE)</f>
        <v>57</v>
      </c>
      <c r="C470" s="1">
        <f>VLOOKUP(A470,TraderCategory!$A$63:$F$556,6,FALSE)</f>
        <v>10</v>
      </c>
      <c r="D470" s="1" t="str">
        <f>VLOOKUP(C470,Tabulka5[],3,FALSE)</f>
        <v>Second Lieutenant</v>
      </c>
      <c r="E470" s="1">
        <v>10</v>
      </c>
      <c r="F470" s="1" t="str">
        <f>VLOOKUP(E470,Tabulka5[],3,FALSE)</f>
        <v>Second Lieutenant</v>
      </c>
      <c r="G470" s="1" t="s">
        <v>3115</v>
      </c>
      <c r="H470" s="1" t="s">
        <v>823</v>
      </c>
      <c r="I470" s="1" t="s">
        <v>8</v>
      </c>
      <c r="J470" s="1" t="s">
        <v>2729</v>
      </c>
      <c r="K470" s="1" t="s">
        <v>2737</v>
      </c>
      <c r="L470" s="1" t="s">
        <v>3158</v>
      </c>
      <c r="M470" s="1">
        <v>8400</v>
      </c>
      <c r="N470" s="1">
        <v>1</v>
      </c>
      <c r="O470" s="1" t="str">
        <f t="shared" si="38"/>
        <v>"Mag_AK74_30Rnd": 1,</v>
      </c>
      <c r="P470" s="1" t="str">
        <f t="shared" si="39"/>
        <v>"Mag_AK74_30Rnd": 57,</v>
      </c>
      <c r="Q470" s="1" t="str">
        <f t="shared" si="40"/>
        <v>"Mag_AK74_30Rnd": 8400,</v>
      </c>
      <c r="R470" s="1" t="str">
        <f t="shared" si="41"/>
        <v>"Mag_AK74_30Rnd": 10,</v>
      </c>
    </row>
    <row r="471" spans="1:18" x14ac:dyDescent="0.25">
      <c r="A471" s="1" t="str">
        <f t="shared" si="42"/>
        <v>#tc_military#tc_magazines#tc_assaultrifles</v>
      </c>
      <c r="B471" s="1">
        <f>VLOOKUP(A471,TraderCategory!$A$63:$E$556,2,FALSE)</f>
        <v>57</v>
      </c>
      <c r="C471" s="1">
        <f>VLOOKUP(A471,TraderCategory!$A$63:$F$556,6,FALSE)</f>
        <v>10</v>
      </c>
      <c r="D471" s="1" t="str">
        <f>VLOOKUP(C471,Tabulka5[],3,FALSE)</f>
        <v>Second Lieutenant</v>
      </c>
      <c r="E471" s="1">
        <v>11</v>
      </c>
      <c r="F471" s="1" t="str">
        <f>VLOOKUP(E471,Tabulka5[],3,FALSE)</f>
        <v>First Lieutenant</v>
      </c>
      <c r="G471" s="1" t="s">
        <v>3115</v>
      </c>
      <c r="H471" s="1" t="s">
        <v>824</v>
      </c>
      <c r="I471" s="1" t="s">
        <v>8</v>
      </c>
      <c r="J471" s="1" t="s">
        <v>2729</v>
      </c>
      <c r="K471" s="1" t="s">
        <v>2737</v>
      </c>
      <c r="L471" s="1" t="s">
        <v>3158</v>
      </c>
      <c r="M471" s="1">
        <v>9600</v>
      </c>
      <c r="N471" s="1">
        <v>1</v>
      </c>
      <c r="O471" s="1" t="str">
        <f t="shared" si="38"/>
        <v>"Mag_AKM_30Rnd": 1,</v>
      </c>
      <c r="P471" s="1" t="str">
        <f t="shared" si="39"/>
        <v>"Mag_AKM_30Rnd": 57,</v>
      </c>
      <c r="Q471" s="1" t="str">
        <f t="shared" si="40"/>
        <v>"Mag_AKM_30Rnd": 9600,</v>
      </c>
      <c r="R471" s="1" t="str">
        <f t="shared" si="41"/>
        <v>"Mag_AKM_30Rnd": 11,</v>
      </c>
    </row>
    <row r="472" spans="1:18" x14ac:dyDescent="0.25">
      <c r="A472" s="1" t="str">
        <f t="shared" si="42"/>
        <v>#tc_military#tc_magazines#tc_assaultrifles</v>
      </c>
      <c r="B472" s="1">
        <f>VLOOKUP(A472,TraderCategory!$A$63:$E$556,2,FALSE)</f>
        <v>57</v>
      </c>
      <c r="C472" s="1">
        <f>VLOOKUP(A472,TraderCategory!$A$63:$F$556,6,FALSE)</f>
        <v>10</v>
      </c>
      <c r="D472" s="1" t="str">
        <f>VLOOKUP(C472,Tabulka5[],3,FALSE)</f>
        <v>Second Lieutenant</v>
      </c>
      <c r="E472" s="1">
        <v>16</v>
      </c>
      <c r="F472" s="1" t="str">
        <f>VLOOKUP(E472,Tabulka5[],3,FALSE)</f>
        <v>Brigadier General</v>
      </c>
      <c r="G472" s="1" t="s">
        <v>3115</v>
      </c>
      <c r="H472" s="1" t="s">
        <v>825</v>
      </c>
      <c r="I472" s="1" t="s">
        <v>8</v>
      </c>
      <c r="J472" s="1" t="s">
        <v>2729</v>
      </c>
      <c r="K472" s="1" t="s">
        <v>2737</v>
      </c>
      <c r="L472" s="1" t="s">
        <v>3158</v>
      </c>
      <c r="M472" s="1">
        <v>24000</v>
      </c>
      <c r="N472" s="1">
        <v>1</v>
      </c>
      <c r="O472" s="1" t="str">
        <f t="shared" si="38"/>
        <v>"Mag_AKM_Drum75Rnd": 1,</v>
      </c>
      <c r="P472" s="1" t="str">
        <f t="shared" si="39"/>
        <v>"Mag_AKM_Drum75Rnd": 57,</v>
      </c>
      <c r="Q472" s="1" t="str">
        <f t="shared" si="40"/>
        <v>"Mag_AKM_Drum75Rnd": 24000,</v>
      </c>
      <c r="R472" s="1" t="str">
        <f t="shared" si="41"/>
        <v>"Mag_AKM_Drum75Rnd": 16,</v>
      </c>
    </row>
    <row r="473" spans="1:18" x14ac:dyDescent="0.25">
      <c r="A473" s="1" t="str">
        <f t="shared" si="42"/>
        <v>#tc_military#tc_magazines#tc_assaultrifles</v>
      </c>
      <c r="B473" s="1">
        <f>VLOOKUP(A473,TraderCategory!$A$63:$E$556,2,FALSE)</f>
        <v>57</v>
      </c>
      <c r="C473" s="1">
        <f>VLOOKUP(A473,TraderCategory!$A$63:$F$556,6,FALSE)</f>
        <v>10</v>
      </c>
      <c r="D473" s="1" t="str">
        <f>VLOOKUP(C473,Tabulka5[],3,FALSE)</f>
        <v>Second Lieutenant</v>
      </c>
      <c r="E473" s="1">
        <v>11</v>
      </c>
      <c r="F473" s="1" t="str">
        <f>VLOOKUP(E473,Tabulka5[],3,FALSE)</f>
        <v>First Lieutenant</v>
      </c>
      <c r="G473" s="1" t="s">
        <v>3115</v>
      </c>
      <c r="H473" s="1" t="s">
        <v>826</v>
      </c>
      <c r="I473" s="1" t="s">
        <v>8</v>
      </c>
      <c r="J473" s="1" t="s">
        <v>2729</v>
      </c>
      <c r="K473" s="1" t="s">
        <v>2737</v>
      </c>
      <c r="L473" s="1" t="s">
        <v>3158</v>
      </c>
      <c r="M473" s="1">
        <v>9600</v>
      </c>
      <c r="N473" s="1">
        <v>1</v>
      </c>
      <c r="O473" s="1" t="str">
        <f t="shared" si="38"/>
        <v>"Mag_AKM_Palm30Rnd": 1,</v>
      </c>
      <c r="P473" s="1" t="str">
        <f t="shared" si="39"/>
        <v>"Mag_AKM_Palm30Rnd": 57,</v>
      </c>
      <c r="Q473" s="1" t="str">
        <f t="shared" si="40"/>
        <v>"Mag_AKM_Palm30Rnd": 9600,</v>
      </c>
      <c r="R473" s="1" t="str">
        <f t="shared" si="41"/>
        <v>"Mag_AKM_Palm30Rnd": 11,</v>
      </c>
    </row>
    <row r="474" spans="1:18" x14ac:dyDescent="0.25">
      <c r="A474" s="1" t="str">
        <f t="shared" si="42"/>
        <v>#tc_military#tc_magazines#tc_assaultrifles</v>
      </c>
      <c r="B474" s="1">
        <f>VLOOKUP(A474,TraderCategory!$A$63:$E$556,2,FALSE)</f>
        <v>57</v>
      </c>
      <c r="C474" s="1">
        <f>VLOOKUP(A474,TraderCategory!$A$63:$F$556,6,FALSE)</f>
        <v>10</v>
      </c>
      <c r="D474" s="1" t="str">
        <f>VLOOKUP(C474,Tabulka5[],3,FALSE)</f>
        <v>Second Lieutenant</v>
      </c>
      <c r="E474" s="1">
        <v>10</v>
      </c>
      <c r="F474" s="1" t="str">
        <f>VLOOKUP(E474,Tabulka5[],3,FALSE)</f>
        <v>Second Lieutenant</v>
      </c>
      <c r="G474" s="1" t="s">
        <v>3115</v>
      </c>
      <c r="H474" s="1" t="s">
        <v>827</v>
      </c>
      <c r="I474" s="1" t="s">
        <v>8</v>
      </c>
      <c r="J474" s="1" t="s">
        <v>2729</v>
      </c>
      <c r="K474" s="1" t="s">
        <v>2737</v>
      </c>
      <c r="L474" s="1" t="s">
        <v>3158</v>
      </c>
      <c r="M474" s="1">
        <v>3200</v>
      </c>
      <c r="N474" s="1">
        <v>1</v>
      </c>
      <c r="O474" s="1" t="str">
        <f t="shared" si="38"/>
        <v>"Mag_CMAG_10Rnd": 1,</v>
      </c>
      <c r="P474" s="1" t="str">
        <f t="shared" si="39"/>
        <v>"Mag_CMAG_10Rnd": 57,</v>
      </c>
      <c r="Q474" s="1" t="str">
        <f t="shared" si="40"/>
        <v>"Mag_CMAG_10Rnd": 3200,</v>
      </c>
      <c r="R474" s="1" t="str">
        <f t="shared" si="41"/>
        <v>"Mag_CMAG_10Rnd": 10,</v>
      </c>
    </row>
    <row r="475" spans="1:18" x14ac:dyDescent="0.25">
      <c r="A475" s="1" t="str">
        <f t="shared" si="42"/>
        <v>#tc_military#tc_magazines#tc_assaultrifles</v>
      </c>
      <c r="B475" s="1">
        <f>VLOOKUP(A475,TraderCategory!$A$63:$E$556,2,FALSE)</f>
        <v>57</v>
      </c>
      <c r="C475" s="1">
        <f>VLOOKUP(A475,TraderCategory!$A$63:$F$556,6,FALSE)</f>
        <v>10</v>
      </c>
      <c r="D475" s="1" t="str">
        <f>VLOOKUP(C475,Tabulka5[],3,FALSE)</f>
        <v>Second Lieutenant</v>
      </c>
      <c r="E475" s="1">
        <v>10</v>
      </c>
      <c r="F475" s="1" t="str">
        <f>VLOOKUP(E475,Tabulka5[],3,FALSE)</f>
        <v>Second Lieutenant</v>
      </c>
      <c r="G475" s="1" t="s">
        <v>3115</v>
      </c>
      <c r="H475" s="1" t="s">
        <v>828</v>
      </c>
      <c r="I475" s="1" t="s">
        <v>8</v>
      </c>
      <c r="J475" s="1" t="s">
        <v>2729</v>
      </c>
      <c r="K475" s="1" t="s">
        <v>2737</v>
      </c>
      <c r="L475" s="1" t="s">
        <v>3158</v>
      </c>
      <c r="M475" s="1">
        <v>6400</v>
      </c>
      <c r="N475" s="1">
        <v>1</v>
      </c>
      <c r="O475" s="1" t="str">
        <f t="shared" si="38"/>
        <v>"Mag_CMAG_20Rnd": 1,</v>
      </c>
      <c r="P475" s="1" t="str">
        <f t="shared" si="39"/>
        <v>"Mag_CMAG_20Rnd": 57,</v>
      </c>
      <c r="Q475" s="1" t="str">
        <f t="shared" si="40"/>
        <v>"Mag_CMAG_20Rnd": 6400,</v>
      </c>
      <c r="R475" s="1" t="str">
        <f t="shared" si="41"/>
        <v>"Mag_CMAG_20Rnd": 10,</v>
      </c>
    </row>
    <row r="476" spans="1:18" x14ac:dyDescent="0.25">
      <c r="A476" s="1" t="str">
        <f t="shared" si="42"/>
        <v>#tc_military#tc_magazines#tc_assaultrifles</v>
      </c>
      <c r="B476" s="1">
        <f>VLOOKUP(A476,TraderCategory!$A$63:$E$556,2,FALSE)</f>
        <v>57</v>
      </c>
      <c r="C476" s="1">
        <f>VLOOKUP(A476,TraderCategory!$A$63:$F$556,6,FALSE)</f>
        <v>10</v>
      </c>
      <c r="D476" s="1" t="str">
        <f>VLOOKUP(C476,Tabulka5[],3,FALSE)</f>
        <v>Second Lieutenant</v>
      </c>
      <c r="E476" s="1">
        <v>10</v>
      </c>
      <c r="F476" s="1" t="str">
        <f>VLOOKUP(E476,Tabulka5[],3,FALSE)</f>
        <v>Second Lieutenant</v>
      </c>
      <c r="G476" s="1" t="s">
        <v>3115</v>
      </c>
      <c r="H476" s="1" t="s">
        <v>829</v>
      </c>
      <c r="I476" s="1" t="s">
        <v>8</v>
      </c>
      <c r="J476" s="1" t="s">
        <v>2729</v>
      </c>
      <c r="K476" s="1" t="s">
        <v>2737</v>
      </c>
      <c r="L476" s="1" t="s">
        <v>3158</v>
      </c>
      <c r="M476" s="1">
        <v>9600</v>
      </c>
      <c r="N476" s="1">
        <v>1</v>
      </c>
      <c r="O476" s="1" t="str">
        <f t="shared" si="38"/>
        <v>"Mag_CMAG_30Rnd": 1,</v>
      </c>
      <c r="P476" s="1" t="str">
        <f t="shared" si="39"/>
        <v>"Mag_CMAG_30Rnd": 57,</v>
      </c>
      <c r="Q476" s="1" t="str">
        <f t="shared" si="40"/>
        <v>"Mag_CMAG_30Rnd": 9600,</v>
      </c>
      <c r="R476" s="1" t="str">
        <f t="shared" si="41"/>
        <v>"Mag_CMAG_30Rnd": 10,</v>
      </c>
    </row>
    <row r="477" spans="1:18" x14ac:dyDescent="0.25">
      <c r="A477" s="1" t="str">
        <f t="shared" si="42"/>
        <v>#tc_military#tc_magazines#tc_assaultrifles</v>
      </c>
      <c r="B477" s="1">
        <f>VLOOKUP(A477,TraderCategory!$A$63:$E$556,2,FALSE)</f>
        <v>57</v>
      </c>
      <c r="C477" s="1">
        <f>VLOOKUP(A477,TraderCategory!$A$63:$F$556,6,FALSE)</f>
        <v>10</v>
      </c>
      <c r="D477" s="1" t="str">
        <f>VLOOKUP(C477,Tabulka5[],3,FALSE)</f>
        <v>Second Lieutenant</v>
      </c>
      <c r="E477" s="1">
        <v>13</v>
      </c>
      <c r="F477" s="1" t="str">
        <f>VLOOKUP(E477,Tabulka5[],3,FALSE)</f>
        <v>Major</v>
      </c>
      <c r="G477" s="1" t="s">
        <v>3115</v>
      </c>
      <c r="H477" s="1" t="s">
        <v>830</v>
      </c>
      <c r="I477" s="1" t="s">
        <v>8</v>
      </c>
      <c r="J477" s="1" t="s">
        <v>2729</v>
      </c>
      <c r="K477" s="1" t="s">
        <v>2737</v>
      </c>
      <c r="L477" s="1" t="s">
        <v>3158</v>
      </c>
      <c r="M477" s="1">
        <v>12800</v>
      </c>
      <c r="N477" s="1">
        <v>1</v>
      </c>
      <c r="O477" s="1" t="str">
        <f t="shared" si="38"/>
        <v>"Mag_CMAG_40Rnd": 1,</v>
      </c>
      <c r="P477" s="1" t="str">
        <f t="shared" si="39"/>
        <v>"Mag_CMAG_40Rnd": 57,</v>
      </c>
      <c r="Q477" s="1" t="str">
        <f t="shared" si="40"/>
        <v>"Mag_CMAG_40Rnd": 12800,</v>
      </c>
      <c r="R477" s="1" t="str">
        <f t="shared" si="41"/>
        <v>"Mag_CMAG_40Rnd": 13,</v>
      </c>
    </row>
    <row r="478" spans="1:18" x14ac:dyDescent="0.25">
      <c r="A478" s="1" t="str">
        <f t="shared" si="42"/>
        <v>#tc_military#tc_magazines#tc_rifles</v>
      </c>
      <c r="B478" s="1">
        <f>VLOOKUP(A478,TraderCategory!$A$63:$E$556,2,FALSE)</f>
        <v>56</v>
      </c>
      <c r="C478" s="1">
        <f>VLOOKUP(A478,TraderCategory!$A$63:$F$556,6,FALSE)</f>
        <v>0</v>
      </c>
      <c r="D478" s="1" t="str">
        <f>VLOOKUP(C478,Tabulka5[],3,FALSE)</f>
        <v>Private</v>
      </c>
      <c r="E478" s="1">
        <v>1</v>
      </c>
      <c r="F478" s="1" t="str">
        <f>VLOOKUP(E478,Tabulka5[],3,FALSE)</f>
        <v>Private First Class</v>
      </c>
      <c r="G478" s="1" t="s">
        <v>3115</v>
      </c>
      <c r="H478" s="1" t="s">
        <v>3322</v>
      </c>
      <c r="I478" s="1" t="s">
        <v>8</v>
      </c>
      <c r="J478" s="1" t="s">
        <v>2729</v>
      </c>
      <c r="K478" s="1" t="s">
        <v>2737</v>
      </c>
      <c r="L478" s="1" t="s">
        <v>3157</v>
      </c>
      <c r="M478" s="1">
        <v>1600</v>
      </c>
      <c r="N478" s="1">
        <v>1</v>
      </c>
      <c r="O478" s="1" t="str">
        <f t="shared" si="38"/>
        <v>"Mag_CZ527_5Rnd": 1,</v>
      </c>
      <c r="P478" s="1" t="str">
        <f t="shared" si="39"/>
        <v>"Mag_CZ527_5Rnd": 56,</v>
      </c>
      <c r="Q478" s="1" t="str">
        <f t="shared" si="40"/>
        <v>"Mag_CZ527_5Rnd": 1600,</v>
      </c>
      <c r="R478" s="1" t="str">
        <f t="shared" si="41"/>
        <v>"Mag_CZ527_5Rnd": 1,</v>
      </c>
    </row>
    <row r="479" spans="1:18" x14ac:dyDescent="0.25">
      <c r="A479" s="1" t="str">
        <f t="shared" si="42"/>
        <v>#tc_military#tc_magazines#tc_submachineguns</v>
      </c>
      <c r="B479" s="1">
        <f>VLOOKUP(A479,TraderCategory!$A$63:$E$556,2,FALSE)</f>
        <v>55</v>
      </c>
      <c r="C479" s="1">
        <f>VLOOKUP(A479,TraderCategory!$A$63:$F$556,6,FALSE)</f>
        <v>6</v>
      </c>
      <c r="D479" s="1" t="str">
        <f>VLOOKUP(C479,Tabulka5[],3,FALSE)</f>
        <v>Master Sergeant</v>
      </c>
      <c r="E479" s="1">
        <v>6</v>
      </c>
      <c r="F479" s="1" t="str">
        <f>VLOOKUP(E479,Tabulka5[],3,FALSE)</f>
        <v>Master Sergeant</v>
      </c>
      <c r="G479" s="1" t="s">
        <v>3115</v>
      </c>
      <c r="H479" s="1" t="s">
        <v>831</v>
      </c>
      <c r="I479" s="1" t="s">
        <v>8</v>
      </c>
      <c r="J479" s="1" t="s">
        <v>2729</v>
      </c>
      <c r="K479" s="1" t="s">
        <v>2737</v>
      </c>
      <c r="L479" s="1" t="s">
        <v>3156</v>
      </c>
      <c r="M479" s="1">
        <v>2800</v>
      </c>
      <c r="N479" s="1">
        <v>1</v>
      </c>
      <c r="O479" s="1" t="str">
        <f t="shared" si="38"/>
        <v>"Mag_CZ61_20Rnd": 1,</v>
      </c>
      <c r="P479" s="1" t="str">
        <f t="shared" si="39"/>
        <v>"Mag_CZ61_20Rnd": 55,</v>
      </c>
      <c r="Q479" s="1" t="str">
        <f t="shared" si="40"/>
        <v>"Mag_CZ61_20Rnd": 2800,</v>
      </c>
      <c r="R479" s="1" t="str">
        <f t="shared" si="41"/>
        <v>"Mag_CZ61_20Rnd": 6,</v>
      </c>
    </row>
    <row r="480" spans="1:18" x14ac:dyDescent="0.25">
      <c r="A480" s="1" t="str">
        <f t="shared" si="42"/>
        <v>#tc_military#tc_magazines#tc_pistols</v>
      </c>
      <c r="B480" s="1">
        <f>VLOOKUP(A480,TraderCategory!$A$63:$E$556,2,FALSE)</f>
        <v>53</v>
      </c>
      <c r="C480" s="1">
        <f>VLOOKUP(A480,TraderCategory!$A$63:$F$556,6,FALSE)</f>
        <v>0</v>
      </c>
      <c r="D480" s="1" t="str">
        <f>VLOOKUP(C480,Tabulka5[],3,FALSE)</f>
        <v>Private</v>
      </c>
      <c r="E480" s="1">
        <v>1</v>
      </c>
      <c r="F480" s="1" t="str">
        <f>VLOOKUP(E480,Tabulka5[],3,FALSE)</f>
        <v>Private First Class</v>
      </c>
      <c r="G480" s="1" t="s">
        <v>3115</v>
      </c>
      <c r="H480" s="1" t="s">
        <v>832</v>
      </c>
      <c r="I480" s="1" t="s">
        <v>8</v>
      </c>
      <c r="J480" s="1" t="s">
        <v>2729</v>
      </c>
      <c r="K480" s="1" t="s">
        <v>2737</v>
      </c>
      <c r="L480" s="1" t="s">
        <v>3154</v>
      </c>
      <c r="M480" s="1">
        <v>2400</v>
      </c>
      <c r="N480" s="1">
        <v>1</v>
      </c>
      <c r="O480" s="1" t="str">
        <f t="shared" si="38"/>
        <v>"Mag_CZ75_15Rnd": 1,</v>
      </c>
      <c r="P480" s="1" t="str">
        <f t="shared" si="39"/>
        <v>"Mag_CZ75_15Rnd": 53,</v>
      </c>
      <c r="Q480" s="1" t="str">
        <f t="shared" si="40"/>
        <v>"Mag_CZ75_15Rnd": 2400,</v>
      </c>
      <c r="R480" s="1" t="str">
        <f t="shared" si="41"/>
        <v>"Mag_CZ75_15Rnd": 1,</v>
      </c>
    </row>
    <row r="481" spans="1:18" x14ac:dyDescent="0.25">
      <c r="A481" s="1" t="str">
        <f t="shared" si="42"/>
        <v>#tc_military#tc_magazines#tc_assaultrifles</v>
      </c>
      <c r="B481" s="1">
        <f>VLOOKUP(A481,TraderCategory!$A$63:$E$556,2,FALSE)</f>
        <v>57</v>
      </c>
      <c r="C481" s="1">
        <f>VLOOKUP(A481,TraderCategory!$A$63:$F$556,6,FALSE)</f>
        <v>10</v>
      </c>
      <c r="D481" s="1" t="str">
        <f>VLOOKUP(C481,Tabulka5[],3,FALSE)</f>
        <v>Second Lieutenant</v>
      </c>
      <c r="E481" s="1">
        <v>14</v>
      </c>
      <c r="F481" s="1" t="str">
        <f>VLOOKUP(E481,Tabulka5[],3,FALSE)</f>
        <v>Lieutenant Colonel</v>
      </c>
      <c r="G481" s="1" t="s">
        <v>3115</v>
      </c>
      <c r="H481" s="1" t="s">
        <v>833</v>
      </c>
      <c r="I481" s="1" t="s">
        <v>8</v>
      </c>
      <c r="J481" s="1" t="s">
        <v>2729</v>
      </c>
      <c r="K481" s="1" t="s">
        <v>2737</v>
      </c>
      <c r="L481" s="1" t="s">
        <v>3158</v>
      </c>
      <c r="M481" s="1">
        <v>9600</v>
      </c>
      <c r="N481" s="1">
        <v>1</v>
      </c>
      <c r="O481" s="1" t="str">
        <f t="shared" si="38"/>
        <v>"Mag_FAL_20Rnd": 1,</v>
      </c>
      <c r="P481" s="1" t="str">
        <f t="shared" si="39"/>
        <v>"Mag_FAL_20Rnd": 57,</v>
      </c>
      <c r="Q481" s="1" t="str">
        <f t="shared" si="40"/>
        <v>"Mag_FAL_20Rnd": 9600,</v>
      </c>
      <c r="R481" s="1" t="str">
        <f t="shared" si="41"/>
        <v>"Mag_FAL_20Rnd": 14,</v>
      </c>
    </row>
    <row r="482" spans="1:18" x14ac:dyDescent="0.25">
      <c r="A482" s="1" t="str">
        <f t="shared" si="42"/>
        <v>#tc_military#tc_magazines#tc_assaultrifles</v>
      </c>
      <c r="B482" s="1">
        <f>VLOOKUP(A482,TraderCategory!$A$63:$E$556,2,FALSE)</f>
        <v>57</v>
      </c>
      <c r="C482" s="1">
        <f>VLOOKUP(A482,TraderCategory!$A$63:$F$556,6,FALSE)</f>
        <v>10</v>
      </c>
      <c r="D482" s="1" t="str">
        <f>VLOOKUP(C482,Tabulka5[],3,FALSE)</f>
        <v>Second Lieutenant</v>
      </c>
      <c r="E482" s="1">
        <v>14</v>
      </c>
      <c r="F482" s="1" t="str">
        <f>VLOOKUP(E482,Tabulka5[],3,FALSE)</f>
        <v>Lieutenant Colonel</v>
      </c>
      <c r="G482" s="1" t="s">
        <v>3116</v>
      </c>
      <c r="H482" s="1" t="s">
        <v>3323</v>
      </c>
      <c r="I482" s="1" t="s">
        <v>8</v>
      </c>
      <c r="J482" s="1" t="s">
        <v>2729</v>
      </c>
      <c r="K482" s="1" t="s">
        <v>2737</v>
      </c>
      <c r="L482" s="1" t="s">
        <v>3158</v>
      </c>
      <c r="M482" s="1">
        <v>9600</v>
      </c>
      <c r="N482" s="1">
        <v>1</v>
      </c>
      <c r="O482" s="1" t="str">
        <f t="shared" si="38"/>
        <v>"WE_Mag_SCARH_20Rnd": 1,</v>
      </c>
      <c r="P482" s="1" t="str">
        <f t="shared" si="39"/>
        <v>"WE_Mag_SCARH_20Rnd": 57,</v>
      </c>
      <c r="Q482" s="1" t="str">
        <f t="shared" si="40"/>
        <v>"WE_Mag_SCARH_20Rnd": 9600,</v>
      </c>
      <c r="R482" s="1" t="str">
        <f t="shared" si="41"/>
        <v>"WE_Mag_SCARH_20Rnd": 14,</v>
      </c>
    </row>
    <row r="483" spans="1:18" x14ac:dyDescent="0.25">
      <c r="A483" s="1" t="str">
        <f t="shared" si="42"/>
        <v>#tc_military#tc_magazines#tc_assaultrifles</v>
      </c>
      <c r="B483" s="1">
        <f>VLOOKUP(A483,TraderCategory!$A$63:$E$556,2,FALSE)</f>
        <v>57</v>
      </c>
      <c r="C483" s="1">
        <f>VLOOKUP(A483,TraderCategory!$A$63:$F$556,6,FALSE)</f>
        <v>10</v>
      </c>
      <c r="D483" s="1" t="str">
        <f>VLOOKUP(C483,Tabulka5[],3,FALSE)</f>
        <v>Second Lieutenant</v>
      </c>
      <c r="E483" s="1">
        <v>17</v>
      </c>
      <c r="F483" s="1" t="str">
        <f>VLOOKUP(E483,Tabulka5[],3,FALSE)</f>
        <v>Major General</v>
      </c>
      <c r="G483" s="1" t="s">
        <v>3116</v>
      </c>
      <c r="H483" s="1" t="s">
        <v>3294</v>
      </c>
      <c r="I483" s="1" t="s">
        <v>8</v>
      </c>
      <c r="J483" s="1" t="s">
        <v>2729</v>
      </c>
      <c r="K483" s="1" t="s">
        <v>2737</v>
      </c>
      <c r="L483" s="1" t="s">
        <v>3158</v>
      </c>
      <c r="M483" s="1">
        <v>19200</v>
      </c>
      <c r="N483" s="1">
        <v>1</v>
      </c>
      <c r="O483" s="1" t="str">
        <f t="shared" si="38"/>
        <v>"WE_Mag_Coupled_SCARH_40Rnd": 1,</v>
      </c>
      <c r="P483" s="1" t="str">
        <f t="shared" si="39"/>
        <v>"WE_Mag_Coupled_SCARH_40Rnd": 57,</v>
      </c>
      <c r="Q483" s="1" t="str">
        <f t="shared" si="40"/>
        <v>"WE_Mag_Coupled_SCARH_40Rnd": 19200,</v>
      </c>
      <c r="R483" s="1" t="str">
        <f t="shared" si="41"/>
        <v>"WE_Mag_Coupled_SCARH_40Rnd": 17,</v>
      </c>
    </row>
    <row r="484" spans="1:18" x14ac:dyDescent="0.25">
      <c r="A484" s="1" t="str">
        <f t="shared" si="42"/>
        <v>#tc_military#tc_magazines#tc_pistols</v>
      </c>
      <c r="B484" s="1">
        <f>VLOOKUP(A484,TraderCategory!$A$63:$E$556,2,FALSE)</f>
        <v>53</v>
      </c>
      <c r="C484" s="1">
        <f>VLOOKUP(A484,TraderCategory!$A$63:$F$556,6,FALSE)</f>
        <v>0</v>
      </c>
      <c r="D484" s="1" t="str">
        <f>VLOOKUP(C484,Tabulka5[],3,FALSE)</f>
        <v>Private</v>
      </c>
      <c r="E484" s="1">
        <v>3</v>
      </c>
      <c r="F484" s="1" t="str">
        <f>VLOOKUP(E484,Tabulka5[],3,FALSE)</f>
        <v>Sergeant</v>
      </c>
      <c r="G484" s="1" t="s">
        <v>3115</v>
      </c>
      <c r="H484" s="1" t="s">
        <v>834</v>
      </c>
      <c r="I484" s="1" t="s">
        <v>8</v>
      </c>
      <c r="J484" s="1" t="s">
        <v>2729</v>
      </c>
      <c r="K484" s="1" t="s">
        <v>2737</v>
      </c>
      <c r="L484" s="1" t="s">
        <v>3154</v>
      </c>
      <c r="M484" s="1">
        <v>3000</v>
      </c>
      <c r="N484" s="1">
        <v>1</v>
      </c>
      <c r="O484" s="1" t="str">
        <f t="shared" si="38"/>
        <v>"Mag_FNX45_15Rnd": 1,</v>
      </c>
      <c r="P484" s="1" t="str">
        <f t="shared" si="39"/>
        <v>"Mag_FNX45_15Rnd": 53,</v>
      </c>
      <c r="Q484" s="1" t="str">
        <f t="shared" si="40"/>
        <v>"Mag_FNX45_15Rnd": 3000,</v>
      </c>
      <c r="R484" s="1" t="str">
        <f t="shared" si="41"/>
        <v>"Mag_FNX45_15Rnd": 3,</v>
      </c>
    </row>
    <row r="485" spans="1:18" x14ac:dyDescent="0.25">
      <c r="A485" s="1" t="str">
        <f t="shared" si="42"/>
        <v>#tc_military#tc_magazines#tc_pistols</v>
      </c>
      <c r="B485" s="1">
        <f>VLOOKUP(A485,TraderCategory!$A$63:$E$556,2,FALSE)</f>
        <v>53</v>
      </c>
      <c r="C485" s="1">
        <f>VLOOKUP(A485,TraderCategory!$A$63:$F$556,6,FALSE)</f>
        <v>0</v>
      </c>
      <c r="D485" s="1" t="str">
        <f>VLOOKUP(C485,Tabulka5[],3,FALSE)</f>
        <v>Private</v>
      </c>
      <c r="E485" s="1">
        <v>1</v>
      </c>
      <c r="F485" s="1" t="str">
        <f>VLOOKUP(E485,Tabulka5[],3,FALSE)</f>
        <v>Private First Class</v>
      </c>
      <c r="G485" s="1" t="s">
        <v>3115</v>
      </c>
      <c r="H485" s="1" t="s">
        <v>835</v>
      </c>
      <c r="I485" s="1" t="s">
        <v>8</v>
      </c>
      <c r="J485" s="1" t="s">
        <v>2729</v>
      </c>
      <c r="K485" s="1" t="s">
        <v>2737</v>
      </c>
      <c r="L485" s="1" t="s">
        <v>3154</v>
      </c>
      <c r="M485" s="1">
        <v>2400</v>
      </c>
      <c r="N485" s="1">
        <v>1</v>
      </c>
      <c r="O485" s="1" t="str">
        <f t="shared" si="38"/>
        <v>"Mag_Glock_15Rnd": 1,</v>
      </c>
      <c r="P485" s="1" t="str">
        <f t="shared" si="39"/>
        <v>"Mag_Glock_15Rnd": 53,</v>
      </c>
      <c r="Q485" s="1" t="str">
        <f t="shared" si="40"/>
        <v>"Mag_Glock_15Rnd": 2400,</v>
      </c>
      <c r="R485" s="1" t="str">
        <f t="shared" si="41"/>
        <v>"Mag_Glock_15Rnd": 1,</v>
      </c>
    </row>
    <row r="486" spans="1:18" x14ac:dyDescent="0.25">
      <c r="A486" s="1" t="str">
        <f t="shared" si="42"/>
        <v>#tc_military#tc_magazines#tc_pistols</v>
      </c>
      <c r="B486" s="1">
        <f>VLOOKUP(A486,TraderCategory!$A$63:$E$556,2,FALSE)</f>
        <v>53</v>
      </c>
      <c r="C486" s="1">
        <f>VLOOKUP(A486,TraderCategory!$A$63:$F$556,6,FALSE)</f>
        <v>0</v>
      </c>
      <c r="D486" s="1" t="str">
        <f>VLOOKUP(C486,Tabulka5[],3,FALSE)</f>
        <v>Private</v>
      </c>
      <c r="E486" s="1">
        <v>0</v>
      </c>
      <c r="F486" s="1" t="str">
        <f>VLOOKUP(E486,Tabulka5[],3,FALSE)</f>
        <v>Private</v>
      </c>
      <c r="G486" s="1" t="s">
        <v>3115</v>
      </c>
      <c r="H486" s="1" t="s">
        <v>836</v>
      </c>
      <c r="I486" s="1" t="s">
        <v>8</v>
      </c>
      <c r="J486" s="1" t="s">
        <v>2729</v>
      </c>
      <c r="K486" s="1" t="s">
        <v>2737</v>
      </c>
      <c r="L486" s="1" t="s">
        <v>3154</v>
      </c>
      <c r="M486" s="1">
        <v>1120</v>
      </c>
      <c r="N486" s="1">
        <v>1</v>
      </c>
      <c r="O486" s="1" t="str">
        <f t="shared" si="38"/>
        <v>"Mag_IJ70_8Rnd": 1,</v>
      </c>
      <c r="P486" s="1" t="str">
        <f t="shared" si="39"/>
        <v>"Mag_IJ70_8Rnd": 53,</v>
      </c>
      <c r="Q486" s="1" t="str">
        <f t="shared" si="40"/>
        <v>"Mag_IJ70_8Rnd": 1120,</v>
      </c>
      <c r="R486" s="1" t="str">
        <f t="shared" si="41"/>
        <v>"Mag_IJ70_8Rnd": 0,</v>
      </c>
    </row>
    <row r="487" spans="1:18" x14ac:dyDescent="0.25">
      <c r="A487" s="1" t="str">
        <f t="shared" si="42"/>
        <v>#tc_military#tc_magazines#tc_pistols</v>
      </c>
      <c r="B487" s="1">
        <f>VLOOKUP(A487,TraderCategory!$A$63:$E$556,2,FALSE)</f>
        <v>53</v>
      </c>
      <c r="C487" s="1">
        <f>VLOOKUP(A487,TraderCategory!$A$63:$F$556,6,FALSE)</f>
        <v>0</v>
      </c>
      <c r="D487" s="1" t="str">
        <f>VLOOKUP(C487,Tabulka5[],3,FALSE)</f>
        <v>Private</v>
      </c>
      <c r="E487" s="1">
        <v>0</v>
      </c>
      <c r="F487" s="1" t="str">
        <f>VLOOKUP(E487,Tabulka5[],3,FALSE)</f>
        <v>Private</v>
      </c>
      <c r="G487" s="1" t="s">
        <v>3115</v>
      </c>
      <c r="H487" s="1" t="s">
        <v>837</v>
      </c>
      <c r="I487" s="1" t="s">
        <v>8</v>
      </c>
      <c r="J487" s="1" t="s">
        <v>2729</v>
      </c>
      <c r="K487" s="1" t="s">
        <v>2737</v>
      </c>
      <c r="L487" s="1" t="s">
        <v>3154</v>
      </c>
      <c r="M487" s="1">
        <v>400</v>
      </c>
      <c r="N487" s="1">
        <v>1</v>
      </c>
      <c r="O487" s="1" t="str">
        <f t="shared" si="38"/>
        <v>"Mag_MKII_10Rnd": 1,</v>
      </c>
      <c r="P487" s="1" t="str">
        <f t="shared" si="39"/>
        <v>"Mag_MKII_10Rnd": 53,</v>
      </c>
      <c r="Q487" s="1" t="str">
        <f t="shared" si="40"/>
        <v>"Mag_MKII_10Rnd": 400,</v>
      </c>
      <c r="R487" s="1" t="str">
        <f t="shared" si="41"/>
        <v>"Mag_MKII_10Rnd": 0,</v>
      </c>
    </row>
    <row r="488" spans="1:18" x14ac:dyDescent="0.25">
      <c r="A488" s="1" t="str">
        <f t="shared" si="42"/>
        <v>#tc_military#tc_magazines#tc_submachineguns</v>
      </c>
      <c r="B488" s="1">
        <f>VLOOKUP(A488,TraderCategory!$A$63:$E$556,2,FALSE)</f>
        <v>55</v>
      </c>
      <c r="C488" s="1">
        <f>VLOOKUP(A488,TraderCategory!$A$63:$F$556,6,FALSE)</f>
        <v>6</v>
      </c>
      <c r="D488" s="1" t="str">
        <f>VLOOKUP(C488,Tabulka5[],3,FALSE)</f>
        <v>Master Sergeant</v>
      </c>
      <c r="E488" s="1">
        <v>8</v>
      </c>
      <c r="F488" s="1" t="str">
        <f>VLOOKUP(E488,Tabulka5[],3,FALSE)</f>
        <v>Command Sergeant Major</v>
      </c>
      <c r="G488" s="1" t="s">
        <v>3115</v>
      </c>
      <c r="H488" s="1" t="s">
        <v>838</v>
      </c>
      <c r="I488" s="1" t="s">
        <v>8</v>
      </c>
      <c r="J488" s="1" t="s">
        <v>2729</v>
      </c>
      <c r="K488" s="1" t="s">
        <v>2737</v>
      </c>
      <c r="L488" s="1" t="s">
        <v>3156</v>
      </c>
      <c r="M488" s="1">
        <v>4800</v>
      </c>
      <c r="N488" s="1">
        <v>1</v>
      </c>
      <c r="O488" s="1" t="str">
        <f t="shared" si="38"/>
        <v>"Mag_MP5_30Rnd": 1,</v>
      </c>
      <c r="P488" s="1" t="str">
        <f t="shared" si="39"/>
        <v>"Mag_MP5_30Rnd": 55,</v>
      </c>
      <c r="Q488" s="1" t="str">
        <f t="shared" si="40"/>
        <v>"Mag_MP5_30Rnd": 4800,</v>
      </c>
      <c r="R488" s="1" t="str">
        <f t="shared" si="41"/>
        <v>"Mag_MP5_30Rnd": 8,</v>
      </c>
    </row>
    <row r="489" spans="1:18" x14ac:dyDescent="0.25">
      <c r="A489" s="1" t="str">
        <f t="shared" si="42"/>
        <v>#tc_military#tc_magazines#tc_assaultrifles</v>
      </c>
      <c r="B489" s="1">
        <f>VLOOKUP(A489,TraderCategory!$A$63:$E$556,2,FALSE)</f>
        <v>57</v>
      </c>
      <c r="C489" s="1">
        <f>VLOOKUP(A489,TraderCategory!$A$63:$F$556,6,FALSE)</f>
        <v>10</v>
      </c>
      <c r="D489" s="1" t="str">
        <f>VLOOKUP(C489,Tabulka5[],3,FALSE)</f>
        <v>Second Lieutenant</v>
      </c>
      <c r="E489" s="1">
        <v>15</v>
      </c>
      <c r="F489" s="1" t="str">
        <f>VLOOKUP(E489,Tabulka5[],3,FALSE)</f>
        <v>Colonel</v>
      </c>
      <c r="G489" s="1" t="s">
        <v>3115</v>
      </c>
      <c r="H489" s="1" t="s">
        <v>839</v>
      </c>
      <c r="I489" s="1" t="s">
        <v>8</v>
      </c>
      <c r="J489" s="1" t="s">
        <v>2729</v>
      </c>
      <c r="K489" s="1" t="s">
        <v>2737</v>
      </c>
      <c r="L489" s="1" t="s">
        <v>3158</v>
      </c>
      <c r="M489" s="1">
        <v>19200</v>
      </c>
      <c r="N489" s="1">
        <v>1</v>
      </c>
      <c r="O489" s="1" t="str">
        <f t="shared" si="38"/>
        <v>"Mag_STANAGCoupled_30Rnd": 1,</v>
      </c>
      <c r="P489" s="1" t="str">
        <f t="shared" si="39"/>
        <v>"Mag_STANAGCoupled_30Rnd": 57,</v>
      </c>
      <c r="Q489" s="1" t="str">
        <f t="shared" si="40"/>
        <v>"Mag_STANAGCoupled_30Rnd": 19200,</v>
      </c>
      <c r="R489" s="1" t="str">
        <f t="shared" si="41"/>
        <v>"Mag_STANAGCoupled_30Rnd": 15,</v>
      </c>
    </row>
    <row r="490" spans="1:18" x14ac:dyDescent="0.25">
      <c r="A490" s="1" t="str">
        <f t="shared" si="42"/>
        <v>#tc_military#tc_magazines#tc_assaultrifles</v>
      </c>
      <c r="B490" s="1">
        <f>VLOOKUP(A490,TraderCategory!$A$63:$E$556,2,FALSE)</f>
        <v>57</v>
      </c>
      <c r="C490" s="1">
        <f>VLOOKUP(A490,TraderCategory!$A$63:$F$556,6,FALSE)</f>
        <v>10</v>
      </c>
      <c r="D490" s="1" t="str">
        <f>VLOOKUP(C490,Tabulka5[],3,FALSE)</f>
        <v>Second Lieutenant</v>
      </c>
      <c r="E490" s="1">
        <v>10</v>
      </c>
      <c r="F490" s="1" t="str">
        <f>VLOOKUP(E490,Tabulka5[],3,FALSE)</f>
        <v>Second Lieutenant</v>
      </c>
      <c r="G490" s="1" t="s">
        <v>3115</v>
      </c>
      <c r="H490" s="1" t="s">
        <v>840</v>
      </c>
      <c r="I490" s="1" t="s">
        <v>8</v>
      </c>
      <c r="J490" s="1" t="s">
        <v>2729</v>
      </c>
      <c r="K490" s="1" t="s">
        <v>2737</v>
      </c>
      <c r="L490" s="1" t="s">
        <v>3158</v>
      </c>
      <c r="M490" s="1">
        <v>9600</v>
      </c>
      <c r="N490" s="1">
        <v>1</v>
      </c>
      <c r="O490" s="1" t="str">
        <f t="shared" si="38"/>
        <v>"Mag_STANAG_30Rnd": 1,</v>
      </c>
      <c r="P490" s="1" t="str">
        <f t="shared" si="39"/>
        <v>"Mag_STANAG_30Rnd": 57,</v>
      </c>
      <c r="Q490" s="1" t="str">
        <f t="shared" si="40"/>
        <v>"Mag_STANAG_30Rnd": 9600,</v>
      </c>
      <c r="R490" s="1" t="str">
        <f t="shared" si="41"/>
        <v>"Mag_STANAG_30Rnd": 10,</v>
      </c>
    </row>
    <row r="491" spans="1:18" x14ac:dyDescent="0.25">
      <c r="A491" s="1" t="str">
        <f t="shared" si="42"/>
        <v>#tc_military#tc_magazines#tc_snipers</v>
      </c>
      <c r="B491" s="1">
        <f>VLOOKUP(A491,TraderCategory!$A$63:$E$556,2,FALSE)</f>
        <v>59</v>
      </c>
      <c r="C491" s="1">
        <f>VLOOKUP(A491,TraderCategory!$A$63:$F$556,6,FALSE)</f>
        <v>12</v>
      </c>
      <c r="D491" s="1" t="str">
        <f>VLOOKUP(C491,Tabulka5[],3,FALSE)</f>
        <v>Captain</v>
      </c>
      <c r="E491" s="1">
        <v>12</v>
      </c>
      <c r="F491" s="1" t="str">
        <f>VLOOKUP(E491,Tabulka5[],3,FALSE)</f>
        <v>Captain</v>
      </c>
      <c r="G491" s="1" t="s">
        <v>3115</v>
      </c>
      <c r="H491" s="1" t="s">
        <v>841</v>
      </c>
      <c r="I491" s="1" t="s">
        <v>8</v>
      </c>
      <c r="J491" s="1" t="s">
        <v>2729</v>
      </c>
      <c r="K491" s="1" t="s">
        <v>2737</v>
      </c>
      <c r="L491" s="1" t="s">
        <v>3160</v>
      </c>
      <c r="M491" s="1">
        <v>4800</v>
      </c>
      <c r="N491" s="1">
        <v>1</v>
      </c>
      <c r="O491" s="1" t="str">
        <f t="shared" si="38"/>
        <v>"Mag_SVD_10Rnd": 1,</v>
      </c>
      <c r="P491" s="1" t="str">
        <f t="shared" si="39"/>
        <v>"Mag_SVD_10Rnd": 59,</v>
      </c>
      <c r="Q491" s="1" t="str">
        <f t="shared" si="40"/>
        <v>"Mag_SVD_10Rnd": 4800,</v>
      </c>
      <c r="R491" s="1" t="str">
        <f t="shared" si="41"/>
        <v>"Mag_SVD_10Rnd": 12,</v>
      </c>
    </row>
    <row r="492" spans="1:18" x14ac:dyDescent="0.25">
      <c r="A492" s="1" t="str">
        <f t="shared" si="42"/>
        <v>#tc_military#tc_magazines#tc_shotguns</v>
      </c>
      <c r="B492" s="1">
        <f>VLOOKUP(A492,TraderCategory!$A$63:$E$556,2,FALSE)</f>
        <v>54</v>
      </c>
      <c r="C492" s="1">
        <f>VLOOKUP(A492,TraderCategory!$A$63:$F$556,6,FALSE)</f>
        <v>3</v>
      </c>
      <c r="D492" s="1" t="str">
        <f>VLOOKUP(C492,Tabulka5[],3,FALSE)</f>
        <v>Sergeant</v>
      </c>
      <c r="E492" s="1">
        <v>10</v>
      </c>
      <c r="F492" s="1" t="str">
        <f>VLOOKUP(E492,Tabulka5[],3,FALSE)</f>
        <v>Second Lieutenant</v>
      </c>
      <c r="G492" s="1" t="s">
        <v>3115</v>
      </c>
      <c r="H492" s="1" t="s">
        <v>842</v>
      </c>
      <c r="I492" s="1" t="s">
        <v>8</v>
      </c>
      <c r="J492" s="1" t="s">
        <v>2729</v>
      </c>
      <c r="K492" s="1" t="s">
        <v>2737</v>
      </c>
      <c r="L492" s="1" t="s">
        <v>3155</v>
      </c>
      <c r="M492" s="1">
        <v>1200</v>
      </c>
      <c r="N492" s="1">
        <v>1</v>
      </c>
      <c r="O492" s="1" t="str">
        <f t="shared" si="38"/>
        <v>"Mag_Saiga_5Rnd": 1,</v>
      </c>
      <c r="P492" s="1" t="str">
        <f t="shared" si="39"/>
        <v>"Mag_Saiga_5Rnd": 54,</v>
      </c>
      <c r="Q492" s="1" t="str">
        <f t="shared" si="40"/>
        <v>"Mag_Saiga_5Rnd": 1200,</v>
      </c>
      <c r="R492" s="1" t="str">
        <f t="shared" si="41"/>
        <v>"Mag_Saiga_5Rnd": 10,</v>
      </c>
    </row>
    <row r="493" spans="1:18" x14ac:dyDescent="0.25">
      <c r="A493" s="1" t="str">
        <f t="shared" si="42"/>
        <v>#tc_military#tc_magazines#tc_shotguns</v>
      </c>
      <c r="B493" s="1">
        <f>VLOOKUP(A493,TraderCategory!$A$63:$E$556,2,FALSE)</f>
        <v>54</v>
      </c>
      <c r="C493" s="1">
        <f>VLOOKUP(A493,TraderCategory!$A$63:$F$556,6,FALSE)</f>
        <v>3</v>
      </c>
      <c r="D493" s="1" t="str">
        <f>VLOOKUP(C493,Tabulka5[],3,FALSE)</f>
        <v>Sergeant</v>
      </c>
      <c r="E493" s="1">
        <v>12</v>
      </c>
      <c r="F493" s="1" t="str">
        <f>VLOOKUP(E493,Tabulka5[],3,FALSE)</f>
        <v>Captain</v>
      </c>
      <c r="G493" s="1" t="s">
        <v>3115</v>
      </c>
      <c r="H493" s="1" t="s">
        <v>843</v>
      </c>
      <c r="I493" s="1" t="s">
        <v>8</v>
      </c>
      <c r="J493" s="1" t="s">
        <v>2729</v>
      </c>
      <c r="K493" s="1" t="s">
        <v>2737</v>
      </c>
      <c r="L493" s="1" t="s">
        <v>3155</v>
      </c>
      <c r="M493" s="1">
        <v>1920</v>
      </c>
      <c r="N493" s="1">
        <v>1</v>
      </c>
      <c r="O493" s="1" t="str">
        <f t="shared" si="38"/>
        <v>"Mag_Saiga_8Rnd": 1,</v>
      </c>
      <c r="P493" s="1" t="str">
        <f t="shared" si="39"/>
        <v>"Mag_Saiga_8Rnd": 54,</v>
      </c>
      <c r="Q493" s="1" t="str">
        <f t="shared" si="40"/>
        <v>"Mag_Saiga_8Rnd": 1920,</v>
      </c>
      <c r="R493" s="1" t="str">
        <f t="shared" si="41"/>
        <v>"Mag_Saiga_8Rnd": 12,</v>
      </c>
    </row>
    <row r="494" spans="1:18" x14ac:dyDescent="0.25">
      <c r="A494" s="1" t="str">
        <f t="shared" si="42"/>
        <v>#tc_military#tc_magazines#tc_shotguns</v>
      </c>
      <c r="B494" s="1">
        <f>VLOOKUP(A494,TraderCategory!$A$63:$E$556,2,FALSE)</f>
        <v>54</v>
      </c>
      <c r="C494" s="1">
        <f>VLOOKUP(A494,TraderCategory!$A$63:$F$556,6,FALSE)</f>
        <v>3</v>
      </c>
      <c r="D494" s="1" t="str">
        <f>VLOOKUP(C494,Tabulka5[],3,FALSE)</f>
        <v>Sergeant</v>
      </c>
      <c r="E494" s="1">
        <v>14</v>
      </c>
      <c r="F494" s="1" t="str">
        <f>VLOOKUP(E494,Tabulka5[],3,FALSE)</f>
        <v>Lieutenant Colonel</v>
      </c>
      <c r="G494" s="1" t="s">
        <v>3115</v>
      </c>
      <c r="H494" s="1" t="s">
        <v>844</v>
      </c>
      <c r="I494" s="1" t="s">
        <v>8</v>
      </c>
      <c r="J494" s="1" t="s">
        <v>2729</v>
      </c>
      <c r="K494" s="1" t="s">
        <v>2737</v>
      </c>
      <c r="L494" s="1" t="s">
        <v>3155</v>
      </c>
      <c r="M494" s="1">
        <v>4800</v>
      </c>
      <c r="N494" s="1">
        <v>1</v>
      </c>
      <c r="O494" s="1" t="str">
        <f t="shared" si="38"/>
        <v>"Mag_Saiga_Drum20Rnd": 1,</v>
      </c>
      <c r="P494" s="1" t="str">
        <f t="shared" si="39"/>
        <v>"Mag_Saiga_Drum20Rnd": 54,</v>
      </c>
      <c r="Q494" s="1" t="str">
        <f t="shared" si="40"/>
        <v>"Mag_Saiga_Drum20Rnd": 4800,</v>
      </c>
      <c r="R494" s="1" t="str">
        <f t="shared" si="41"/>
        <v>"Mag_Saiga_Drum20Rnd": 14,</v>
      </c>
    </row>
    <row r="495" spans="1:18" x14ac:dyDescent="0.25">
      <c r="A495" s="1" t="str">
        <f t="shared" si="42"/>
        <v>#tc_military#tc_magazines#tc_submachineguns</v>
      </c>
      <c r="B495" s="1">
        <f>VLOOKUP(A495,TraderCategory!$A$63:$E$556,2,FALSE)</f>
        <v>55</v>
      </c>
      <c r="C495" s="1">
        <f>VLOOKUP(A495,TraderCategory!$A$63:$F$556,6,FALSE)</f>
        <v>6</v>
      </c>
      <c r="D495" s="1" t="str">
        <f>VLOOKUP(C495,Tabulka5[],3,FALSE)</f>
        <v>Master Sergeant</v>
      </c>
      <c r="E495" s="1">
        <v>10</v>
      </c>
      <c r="F495" s="1" t="str">
        <f>VLOOKUP(E495,Tabulka5[],3,FALSE)</f>
        <v>Second Lieutenant</v>
      </c>
      <c r="G495" s="1" t="s">
        <v>3115</v>
      </c>
      <c r="H495" s="1" t="s">
        <v>845</v>
      </c>
      <c r="I495" s="1" t="s">
        <v>8</v>
      </c>
      <c r="J495" s="1" t="s">
        <v>2729</v>
      </c>
      <c r="K495" s="1" t="s">
        <v>2737</v>
      </c>
      <c r="L495" s="1" t="s">
        <v>3156</v>
      </c>
      <c r="M495" s="1">
        <v>5000</v>
      </c>
      <c r="N495" s="1">
        <v>1</v>
      </c>
      <c r="O495" s="1" t="str">
        <f t="shared" si="38"/>
        <v>"Mag_UMP_25Rnd": 1,</v>
      </c>
      <c r="P495" s="1" t="str">
        <f t="shared" si="39"/>
        <v>"Mag_UMP_25Rnd": 55,</v>
      </c>
      <c r="Q495" s="1" t="str">
        <f t="shared" si="40"/>
        <v>"Mag_UMP_25Rnd": 5000,</v>
      </c>
      <c r="R495" s="1" t="str">
        <f t="shared" si="41"/>
        <v>"Mag_UMP_25Rnd": 10,</v>
      </c>
    </row>
    <row r="496" spans="1:18" x14ac:dyDescent="0.25">
      <c r="A496" s="1" t="str">
        <f t="shared" si="42"/>
        <v>#tc_military#tc_magazines#tc_submachineguns</v>
      </c>
      <c r="B496" s="1">
        <f>VLOOKUP(A496,TraderCategory!$A$63:$E$556,2,FALSE)</f>
        <v>55</v>
      </c>
      <c r="C496" s="1">
        <f>VLOOKUP(A496,TraderCategory!$A$63:$F$556,6,FALSE)</f>
        <v>6</v>
      </c>
      <c r="D496" s="1" t="str">
        <f>VLOOKUP(C496,Tabulka5[],3,FALSE)</f>
        <v>Master Sergeant</v>
      </c>
      <c r="E496" s="1">
        <v>12</v>
      </c>
      <c r="F496" s="1" t="str">
        <f>VLOOKUP(E496,Tabulka5[],3,FALSE)</f>
        <v>Captain</v>
      </c>
      <c r="G496" s="1" t="s">
        <v>3116</v>
      </c>
      <c r="H496" s="1" t="s">
        <v>3324</v>
      </c>
      <c r="I496" s="1" t="s">
        <v>8</v>
      </c>
      <c r="J496" s="1" t="s">
        <v>2729</v>
      </c>
      <c r="K496" s="1" t="s">
        <v>2737</v>
      </c>
      <c r="L496" s="1" t="s">
        <v>3156</v>
      </c>
      <c r="M496" s="1">
        <v>9600</v>
      </c>
      <c r="N496" s="1">
        <v>1</v>
      </c>
      <c r="O496" s="1" t="str">
        <f t="shared" si="38"/>
        <v>"WE_Mag_KACPDW_30Rnd": 1,</v>
      </c>
      <c r="P496" s="1" t="str">
        <f t="shared" si="39"/>
        <v>"WE_Mag_KACPDW_30Rnd": 55,</v>
      </c>
      <c r="Q496" s="1" t="str">
        <f t="shared" si="40"/>
        <v>"WE_Mag_KACPDW_30Rnd": 9600,</v>
      </c>
      <c r="R496" s="1" t="str">
        <f t="shared" si="41"/>
        <v>"WE_Mag_KACPDW_30Rnd": 12,</v>
      </c>
    </row>
    <row r="497" spans="1:18" x14ac:dyDescent="0.25">
      <c r="A497" s="1" t="str">
        <f t="shared" si="42"/>
        <v>#tc_military#tc_magazines#tc_submachineguns</v>
      </c>
      <c r="B497" s="1">
        <f>VLOOKUP(A497,TraderCategory!$A$63:$E$556,2,FALSE)</f>
        <v>55</v>
      </c>
      <c r="C497" s="1">
        <f>VLOOKUP(A497,TraderCategory!$A$63:$F$556,6,FALSE)</f>
        <v>6</v>
      </c>
      <c r="D497" s="1" t="str">
        <f>VLOOKUP(C497,Tabulka5[],3,FALSE)</f>
        <v>Master Sergeant</v>
      </c>
      <c r="E497" s="1">
        <v>6</v>
      </c>
      <c r="F497" s="1" t="str">
        <f>VLOOKUP(E497,Tabulka5[],3,FALSE)</f>
        <v>Master Sergeant</v>
      </c>
      <c r="G497" s="1" t="s">
        <v>3116</v>
      </c>
      <c r="H497" s="1" t="s">
        <v>3325</v>
      </c>
      <c r="I497" s="1" t="s">
        <v>8</v>
      </c>
      <c r="J497" s="1" t="s">
        <v>2729</v>
      </c>
      <c r="K497" s="1" t="s">
        <v>2737</v>
      </c>
      <c r="L497" s="1" t="s">
        <v>3156</v>
      </c>
      <c r="M497" s="1">
        <v>2000</v>
      </c>
      <c r="N497" s="1">
        <v>1</v>
      </c>
      <c r="O497" s="1" t="str">
        <f t="shared" si="38"/>
        <v>"Mag_MP5_15Rnd": 1,</v>
      </c>
      <c r="P497" s="1" t="str">
        <f t="shared" si="39"/>
        <v>"Mag_MP5_15Rnd": 55,</v>
      </c>
      <c r="Q497" s="1" t="str">
        <f t="shared" si="40"/>
        <v>"Mag_MP5_15Rnd": 2000,</v>
      </c>
      <c r="R497" s="1" t="str">
        <f t="shared" si="41"/>
        <v>"Mag_MP5_15Rnd": 6,</v>
      </c>
    </row>
    <row r="498" spans="1:18" x14ac:dyDescent="0.25">
      <c r="A498" s="1" t="str">
        <f t="shared" si="42"/>
        <v>#tc_military#tc_magazines#tc_submachineguns</v>
      </c>
      <c r="B498" s="1">
        <f>VLOOKUP(A498,TraderCategory!$A$63:$E$556,2,FALSE)</f>
        <v>55</v>
      </c>
      <c r="C498" s="1">
        <f>VLOOKUP(A498,TraderCategory!$A$63:$F$556,6,FALSE)</f>
        <v>6</v>
      </c>
      <c r="D498" s="1" t="str">
        <f>VLOOKUP(C498,Tabulka5[],3,FALSE)</f>
        <v>Master Sergeant</v>
      </c>
      <c r="E498" s="1">
        <v>6</v>
      </c>
      <c r="F498" s="1" t="str">
        <f>VLOOKUP(E498,Tabulka5[],3,FALSE)</f>
        <v>Master Sergeant</v>
      </c>
      <c r="G498" s="1" t="s">
        <v>3116</v>
      </c>
      <c r="H498" s="1" t="s">
        <v>3326</v>
      </c>
      <c r="I498" s="1" t="s">
        <v>8</v>
      </c>
      <c r="J498" s="1" t="s">
        <v>2729</v>
      </c>
      <c r="K498" s="1" t="s">
        <v>2737</v>
      </c>
      <c r="L498" s="1" t="s">
        <v>3156</v>
      </c>
      <c r="M498" s="1">
        <v>2000</v>
      </c>
      <c r="N498" s="1">
        <v>1</v>
      </c>
      <c r="O498" s="1" t="str">
        <f t="shared" si="38"/>
        <v>"WE_Mag_MAT49_20Rnd": 1,</v>
      </c>
      <c r="P498" s="1" t="str">
        <f t="shared" si="39"/>
        <v>"WE_Mag_MAT49_20Rnd": 55,</v>
      </c>
      <c r="Q498" s="1" t="str">
        <f t="shared" si="40"/>
        <v>"WE_Mag_MAT49_20Rnd": 2000,</v>
      </c>
      <c r="R498" s="1" t="str">
        <f t="shared" si="41"/>
        <v>"WE_Mag_MAT49_20Rnd": 6,</v>
      </c>
    </row>
    <row r="499" spans="1:18" x14ac:dyDescent="0.25">
      <c r="A499" s="1" t="str">
        <f t="shared" si="42"/>
        <v>#tc_military#tc_magazines#tc_snipers</v>
      </c>
      <c r="B499" s="1">
        <f>VLOOKUP(A499,TraderCategory!$A$63:$E$556,2,FALSE)</f>
        <v>59</v>
      </c>
      <c r="C499" s="1">
        <f>VLOOKUP(A499,TraderCategory!$A$63:$F$556,6,FALSE)</f>
        <v>12</v>
      </c>
      <c r="D499" s="1" t="str">
        <f>VLOOKUP(C499,Tabulka5[],3,FALSE)</f>
        <v>Captain</v>
      </c>
      <c r="E499" s="1">
        <v>12</v>
      </c>
      <c r="F499" s="1" t="str">
        <f>VLOOKUP(E499,Tabulka5[],3,FALSE)</f>
        <v>Captain</v>
      </c>
      <c r="G499" s="1" t="s">
        <v>3115</v>
      </c>
      <c r="H499" s="1" t="s">
        <v>846</v>
      </c>
      <c r="I499" s="1" t="s">
        <v>8</v>
      </c>
      <c r="J499" s="1" t="s">
        <v>2729</v>
      </c>
      <c r="K499" s="1" t="s">
        <v>2737</v>
      </c>
      <c r="L499" s="1" t="s">
        <v>3160</v>
      </c>
      <c r="M499" s="1">
        <v>6800</v>
      </c>
      <c r="N499" s="1">
        <v>1</v>
      </c>
      <c r="O499" s="1" t="str">
        <f t="shared" si="38"/>
        <v>"Mag_VSS_10Rnd": 1,</v>
      </c>
      <c r="P499" s="1" t="str">
        <f t="shared" si="39"/>
        <v>"Mag_VSS_10Rnd": 59,</v>
      </c>
      <c r="Q499" s="1" t="str">
        <f t="shared" si="40"/>
        <v>"Mag_VSS_10Rnd": 6800,</v>
      </c>
      <c r="R499" s="1" t="str">
        <f t="shared" si="41"/>
        <v>"Mag_VSS_10Rnd": 12,</v>
      </c>
    </row>
    <row r="500" spans="1:18" x14ac:dyDescent="0.25">
      <c r="A500" s="1" t="str">
        <f t="shared" si="42"/>
        <v>#tc_military#tc_weapons#tc_pistols</v>
      </c>
      <c r="B500" s="1">
        <f>VLOOKUP(A500,TraderCategory!$A$63:$E$556,2,FALSE)</f>
        <v>61</v>
      </c>
      <c r="C500" s="1">
        <f>VLOOKUP(A500,TraderCategory!$A$63:$F$556,6,FALSE)</f>
        <v>0</v>
      </c>
      <c r="D500" s="1" t="str">
        <f>VLOOKUP(C500,Tabulka5[],3,FALSE)</f>
        <v>Private</v>
      </c>
      <c r="E500" s="1">
        <v>0</v>
      </c>
      <c r="F500" s="1" t="str">
        <f>VLOOKUP(E500,Tabulka5[],3,FALSE)</f>
        <v>Private</v>
      </c>
      <c r="G500" s="1" t="s">
        <v>3115</v>
      </c>
      <c r="H500" s="1" t="s">
        <v>847</v>
      </c>
      <c r="I500" s="1" t="s">
        <v>8</v>
      </c>
      <c r="J500" s="1" t="s">
        <v>2729</v>
      </c>
      <c r="K500" s="1" t="s">
        <v>3129</v>
      </c>
      <c r="L500" s="1" t="s">
        <v>3154</v>
      </c>
      <c r="M500" s="1">
        <v>8000</v>
      </c>
      <c r="N500" s="1">
        <v>1</v>
      </c>
      <c r="O500" s="1" t="str">
        <f t="shared" si="38"/>
        <v>"MakarovIJ70": 1,</v>
      </c>
      <c r="P500" s="1" t="str">
        <f t="shared" si="39"/>
        <v>"MakarovIJ70": 61,</v>
      </c>
      <c r="Q500" s="1" t="str">
        <f t="shared" si="40"/>
        <v>"MakarovIJ70": 8000,</v>
      </c>
      <c r="R500" s="1" t="str">
        <f t="shared" si="41"/>
        <v>"MakarovIJ70": 0,</v>
      </c>
    </row>
    <row r="501" spans="1:18" ht="15" customHeight="1" x14ac:dyDescent="0.25">
      <c r="A501" s="1" t="str">
        <f t="shared" si="42"/>
        <v>#tc_clothes#tc_civil#tc_tops</v>
      </c>
      <c r="B501" s="1">
        <f>VLOOKUP(A501,TraderCategory!$A$63:$E$556,2,FALSE)</f>
        <v>1</v>
      </c>
      <c r="C501" s="1">
        <f>VLOOKUP(A501,TraderCategory!$A$63:$F$556,6,FALSE)</f>
        <v>0</v>
      </c>
      <c r="D501" s="1" t="str">
        <f>VLOOKUP(C501,Tabulka5[],3,FALSE)</f>
        <v>Private</v>
      </c>
      <c r="E501" s="1">
        <v>0</v>
      </c>
      <c r="F501" s="1" t="str">
        <f>VLOOKUP(E501,Tabulka5[],3,FALSE)</f>
        <v>Private</v>
      </c>
      <c r="G501" s="1" t="s">
        <v>3115</v>
      </c>
      <c r="H501" s="1" t="s">
        <v>848</v>
      </c>
      <c r="I501" s="1" t="s">
        <v>403</v>
      </c>
      <c r="J501" s="1" t="s">
        <v>2728</v>
      </c>
      <c r="K501" s="1" t="s">
        <v>3126</v>
      </c>
      <c r="L501" s="1" t="s">
        <v>3131</v>
      </c>
      <c r="M501" s="1">
        <v>2000</v>
      </c>
      <c r="N501" s="1">
        <v>1</v>
      </c>
      <c r="O501" s="1" t="str">
        <f t="shared" si="38"/>
        <v>"ManSuit_Beige": 1,</v>
      </c>
      <c r="P501" s="1" t="str">
        <f t="shared" si="39"/>
        <v>"ManSuit_Beige": 1,</v>
      </c>
      <c r="Q501" s="1" t="str">
        <f t="shared" si="40"/>
        <v>"ManSuit_Beige": 2000,</v>
      </c>
      <c r="R501" s="1" t="str">
        <f t="shared" si="41"/>
        <v>"ManSuit_Beige": 0,</v>
      </c>
    </row>
    <row r="502" spans="1:18" ht="15" customHeight="1" x14ac:dyDescent="0.25">
      <c r="A502" s="1" t="str">
        <f t="shared" si="42"/>
        <v>#tc_clothes#tc_civil#tc_tops</v>
      </c>
      <c r="B502" s="1">
        <f>VLOOKUP(A502,TraderCategory!$A$63:$E$556,2,FALSE)</f>
        <v>1</v>
      </c>
      <c r="C502" s="1">
        <f>VLOOKUP(A502,TraderCategory!$A$63:$F$556,6,FALSE)</f>
        <v>0</v>
      </c>
      <c r="D502" s="1" t="str">
        <f>VLOOKUP(C502,Tabulka5[],3,FALSE)</f>
        <v>Private</v>
      </c>
      <c r="E502" s="1">
        <v>0</v>
      </c>
      <c r="F502" s="1" t="str">
        <f>VLOOKUP(E502,Tabulka5[],3,FALSE)</f>
        <v>Private</v>
      </c>
      <c r="G502" s="1" t="s">
        <v>3115</v>
      </c>
      <c r="H502" s="1" t="s">
        <v>849</v>
      </c>
      <c r="I502" s="1" t="s">
        <v>403</v>
      </c>
      <c r="J502" s="1" t="s">
        <v>2728</v>
      </c>
      <c r="K502" s="1" t="s">
        <v>3126</v>
      </c>
      <c r="L502" s="1" t="s">
        <v>3131</v>
      </c>
      <c r="M502" s="1">
        <v>2000</v>
      </c>
      <c r="N502" s="1">
        <v>1</v>
      </c>
      <c r="O502" s="1" t="str">
        <f t="shared" si="38"/>
        <v>"ManSuit_Black": 1,</v>
      </c>
      <c r="P502" s="1" t="str">
        <f t="shared" si="39"/>
        <v>"ManSuit_Black": 1,</v>
      </c>
      <c r="Q502" s="1" t="str">
        <f t="shared" si="40"/>
        <v>"ManSuit_Black": 2000,</v>
      </c>
      <c r="R502" s="1" t="str">
        <f t="shared" si="41"/>
        <v>"ManSuit_Black": 0,</v>
      </c>
    </row>
    <row r="503" spans="1:18" ht="15" customHeight="1" x14ac:dyDescent="0.25">
      <c r="A503" s="1" t="str">
        <f t="shared" si="42"/>
        <v>#tc_clothes#tc_civil#tc_tops</v>
      </c>
      <c r="B503" s="1">
        <f>VLOOKUP(A503,TraderCategory!$A$63:$E$556,2,FALSE)</f>
        <v>1</v>
      </c>
      <c r="C503" s="1">
        <f>VLOOKUP(A503,TraderCategory!$A$63:$F$556,6,FALSE)</f>
        <v>0</v>
      </c>
      <c r="D503" s="1" t="str">
        <f>VLOOKUP(C503,Tabulka5[],3,FALSE)</f>
        <v>Private</v>
      </c>
      <c r="E503" s="1">
        <v>0</v>
      </c>
      <c r="F503" s="1" t="str">
        <f>VLOOKUP(E503,Tabulka5[],3,FALSE)</f>
        <v>Private</v>
      </c>
      <c r="G503" s="1" t="s">
        <v>3115</v>
      </c>
      <c r="H503" s="1" t="s">
        <v>850</v>
      </c>
      <c r="I503" s="1" t="s">
        <v>403</v>
      </c>
      <c r="J503" s="1" t="s">
        <v>2728</v>
      </c>
      <c r="K503" s="1" t="s">
        <v>3126</v>
      </c>
      <c r="L503" s="1" t="s">
        <v>3131</v>
      </c>
      <c r="M503" s="1">
        <v>2000</v>
      </c>
      <c r="N503" s="1">
        <v>1</v>
      </c>
      <c r="O503" s="1" t="str">
        <f t="shared" si="38"/>
        <v>"ManSuit_Blue": 1,</v>
      </c>
      <c r="P503" s="1" t="str">
        <f t="shared" si="39"/>
        <v>"ManSuit_Blue": 1,</v>
      </c>
      <c r="Q503" s="1" t="str">
        <f t="shared" si="40"/>
        <v>"ManSuit_Blue": 2000,</v>
      </c>
      <c r="R503" s="1" t="str">
        <f t="shared" si="41"/>
        <v>"ManSuit_Blue": 0,</v>
      </c>
    </row>
    <row r="504" spans="1:18" ht="15" customHeight="1" x14ac:dyDescent="0.25">
      <c r="A504" s="1" t="str">
        <f t="shared" si="42"/>
        <v>#tc_clothes#tc_civil#tc_tops</v>
      </c>
      <c r="B504" s="1">
        <f>VLOOKUP(A504,TraderCategory!$A$63:$E$556,2,FALSE)</f>
        <v>1</v>
      </c>
      <c r="C504" s="1">
        <f>VLOOKUP(A504,TraderCategory!$A$63:$F$556,6,FALSE)</f>
        <v>0</v>
      </c>
      <c r="D504" s="1" t="str">
        <f>VLOOKUP(C504,Tabulka5[],3,FALSE)</f>
        <v>Private</v>
      </c>
      <c r="E504" s="1">
        <v>0</v>
      </c>
      <c r="F504" s="1" t="str">
        <f>VLOOKUP(E504,Tabulka5[],3,FALSE)</f>
        <v>Private</v>
      </c>
      <c r="G504" s="1" t="s">
        <v>3115</v>
      </c>
      <c r="H504" s="1" t="s">
        <v>851</v>
      </c>
      <c r="I504" s="1" t="s">
        <v>403</v>
      </c>
      <c r="J504" s="1" t="s">
        <v>2728</v>
      </c>
      <c r="K504" s="1" t="s">
        <v>3126</v>
      </c>
      <c r="L504" s="1" t="s">
        <v>3131</v>
      </c>
      <c r="M504" s="1">
        <v>2000</v>
      </c>
      <c r="N504" s="1">
        <v>1</v>
      </c>
      <c r="O504" s="1" t="str">
        <f t="shared" si="38"/>
        <v>"ManSuit_Brown": 1,</v>
      </c>
      <c r="P504" s="1" t="str">
        <f t="shared" si="39"/>
        <v>"ManSuit_Brown": 1,</v>
      </c>
      <c r="Q504" s="1" t="str">
        <f t="shared" si="40"/>
        <v>"ManSuit_Brown": 2000,</v>
      </c>
      <c r="R504" s="1" t="str">
        <f t="shared" si="41"/>
        <v>"ManSuit_Brown": 0,</v>
      </c>
    </row>
    <row r="505" spans="1:18" ht="15" customHeight="1" x14ac:dyDescent="0.25">
      <c r="A505" s="1" t="str">
        <f t="shared" si="42"/>
        <v>#tc_clothes#tc_civil#tc_tops</v>
      </c>
      <c r="B505" s="1">
        <f>VLOOKUP(A505,TraderCategory!$A$63:$E$556,2,FALSE)</f>
        <v>1</v>
      </c>
      <c r="C505" s="1">
        <f>VLOOKUP(A505,TraderCategory!$A$63:$F$556,6,FALSE)</f>
        <v>0</v>
      </c>
      <c r="D505" s="1" t="str">
        <f>VLOOKUP(C505,Tabulka5[],3,FALSE)</f>
        <v>Private</v>
      </c>
      <c r="E505" s="1">
        <v>0</v>
      </c>
      <c r="F505" s="1" t="str">
        <f>VLOOKUP(E505,Tabulka5[],3,FALSE)</f>
        <v>Private</v>
      </c>
      <c r="G505" s="1" t="s">
        <v>3115</v>
      </c>
      <c r="H505" s="1" t="s">
        <v>852</v>
      </c>
      <c r="I505" s="1" t="s">
        <v>403</v>
      </c>
      <c r="J505" s="1" t="s">
        <v>2728</v>
      </c>
      <c r="K505" s="1" t="s">
        <v>3126</v>
      </c>
      <c r="L505" s="1" t="s">
        <v>3131</v>
      </c>
      <c r="M505" s="1">
        <v>2000</v>
      </c>
      <c r="N505" s="1">
        <v>1</v>
      </c>
      <c r="O505" s="1" t="str">
        <f t="shared" si="38"/>
        <v>"ManSuit_DarkGrey": 1,</v>
      </c>
      <c r="P505" s="1" t="str">
        <f t="shared" si="39"/>
        <v>"ManSuit_DarkGrey": 1,</v>
      </c>
      <c r="Q505" s="1" t="str">
        <f t="shared" si="40"/>
        <v>"ManSuit_DarkGrey": 2000,</v>
      </c>
      <c r="R505" s="1" t="str">
        <f t="shared" si="41"/>
        <v>"ManSuit_DarkGrey": 0,</v>
      </c>
    </row>
    <row r="506" spans="1:18" ht="15" customHeight="1" x14ac:dyDescent="0.25">
      <c r="A506" s="1" t="str">
        <f t="shared" si="42"/>
        <v>#tc_clothes#tc_civil#tc_tops</v>
      </c>
      <c r="B506" s="1">
        <f>VLOOKUP(A506,TraderCategory!$A$63:$E$556,2,FALSE)</f>
        <v>1</v>
      </c>
      <c r="C506" s="1">
        <f>VLOOKUP(A506,TraderCategory!$A$63:$F$556,6,FALSE)</f>
        <v>0</v>
      </c>
      <c r="D506" s="1" t="str">
        <f>VLOOKUP(C506,Tabulka5[],3,FALSE)</f>
        <v>Private</v>
      </c>
      <c r="E506" s="1">
        <v>0</v>
      </c>
      <c r="F506" s="1" t="str">
        <f>VLOOKUP(E506,Tabulka5[],3,FALSE)</f>
        <v>Private</v>
      </c>
      <c r="G506" s="1" t="s">
        <v>3115</v>
      </c>
      <c r="H506" s="1" t="s">
        <v>853</v>
      </c>
      <c r="I506" s="1" t="s">
        <v>403</v>
      </c>
      <c r="J506" s="1" t="s">
        <v>2728</v>
      </c>
      <c r="K506" s="1" t="s">
        <v>3126</v>
      </c>
      <c r="L506" s="1" t="s">
        <v>3131</v>
      </c>
      <c r="M506" s="1">
        <v>2000</v>
      </c>
      <c r="N506" s="1">
        <v>1</v>
      </c>
      <c r="O506" s="1" t="str">
        <f t="shared" si="38"/>
        <v>"ManSuit_Khaki": 1,</v>
      </c>
      <c r="P506" s="1" t="str">
        <f t="shared" si="39"/>
        <v>"ManSuit_Khaki": 1,</v>
      </c>
      <c r="Q506" s="1" t="str">
        <f t="shared" si="40"/>
        <v>"ManSuit_Khaki": 2000,</v>
      </c>
      <c r="R506" s="1" t="str">
        <f t="shared" si="41"/>
        <v>"ManSuit_Khaki": 0,</v>
      </c>
    </row>
    <row r="507" spans="1:18" ht="15" customHeight="1" x14ac:dyDescent="0.25">
      <c r="A507" s="1" t="str">
        <f t="shared" si="42"/>
        <v>#tc_clothes#tc_civil#tc_tops</v>
      </c>
      <c r="B507" s="1">
        <f>VLOOKUP(A507,TraderCategory!$A$63:$E$556,2,FALSE)</f>
        <v>1</v>
      </c>
      <c r="C507" s="1">
        <f>VLOOKUP(A507,TraderCategory!$A$63:$F$556,6,FALSE)</f>
        <v>0</v>
      </c>
      <c r="D507" s="1" t="str">
        <f>VLOOKUP(C507,Tabulka5[],3,FALSE)</f>
        <v>Private</v>
      </c>
      <c r="E507" s="1">
        <v>0</v>
      </c>
      <c r="F507" s="1" t="str">
        <f>VLOOKUP(E507,Tabulka5[],3,FALSE)</f>
        <v>Private</v>
      </c>
      <c r="G507" s="1" t="s">
        <v>3115</v>
      </c>
      <c r="H507" s="1" t="s">
        <v>854</v>
      </c>
      <c r="I507" s="1" t="s">
        <v>403</v>
      </c>
      <c r="J507" s="1" t="s">
        <v>2728</v>
      </c>
      <c r="K507" s="1" t="s">
        <v>3126</v>
      </c>
      <c r="L507" s="1" t="s">
        <v>3131</v>
      </c>
      <c r="M507" s="1">
        <v>2000</v>
      </c>
      <c r="N507" s="1">
        <v>1</v>
      </c>
      <c r="O507" s="1" t="str">
        <f t="shared" si="38"/>
        <v>"ManSuit_LightGrey": 1,</v>
      </c>
      <c r="P507" s="1" t="str">
        <f t="shared" si="39"/>
        <v>"ManSuit_LightGrey": 1,</v>
      </c>
      <c r="Q507" s="1" t="str">
        <f t="shared" si="40"/>
        <v>"ManSuit_LightGrey": 2000,</v>
      </c>
      <c r="R507" s="1" t="str">
        <f t="shared" si="41"/>
        <v>"ManSuit_LightGrey": 0,</v>
      </c>
    </row>
    <row r="508" spans="1:18" ht="15" customHeight="1" x14ac:dyDescent="0.25">
      <c r="A508" s="1" t="str">
        <f t="shared" si="42"/>
        <v>#tc_clothes#tc_civil#tc_tops</v>
      </c>
      <c r="B508" s="1">
        <f>VLOOKUP(A508,TraderCategory!$A$63:$E$556,2,FALSE)</f>
        <v>1</v>
      </c>
      <c r="C508" s="1">
        <f>VLOOKUP(A508,TraderCategory!$A$63:$F$556,6,FALSE)</f>
        <v>0</v>
      </c>
      <c r="D508" s="1" t="str">
        <f>VLOOKUP(C508,Tabulka5[],3,FALSE)</f>
        <v>Private</v>
      </c>
      <c r="E508" s="1">
        <v>0</v>
      </c>
      <c r="F508" s="1" t="str">
        <f>VLOOKUP(E508,Tabulka5[],3,FALSE)</f>
        <v>Private</v>
      </c>
      <c r="G508" s="1" t="s">
        <v>3115</v>
      </c>
      <c r="H508" s="1" t="s">
        <v>855</v>
      </c>
      <c r="I508" s="1" t="s">
        <v>403</v>
      </c>
      <c r="J508" s="1" t="s">
        <v>2728</v>
      </c>
      <c r="K508" s="1" t="s">
        <v>3126</v>
      </c>
      <c r="L508" s="1" t="s">
        <v>3131</v>
      </c>
      <c r="M508" s="1">
        <v>2000</v>
      </c>
      <c r="N508" s="1">
        <v>1</v>
      </c>
      <c r="O508" s="1" t="str">
        <f t="shared" si="38"/>
        <v>"ManSuit_White": 1,</v>
      </c>
      <c r="P508" s="1" t="str">
        <f t="shared" si="39"/>
        <v>"ManSuit_White": 1,</v>
      </c>
      <c r="Q508" s="1" t="str">
        <f t="shared" si="40"/>
        <v>"ManSuit_White": 2000,</v>
      </c>
      <c r="R508" s="1" t="str">
        <f t="shared" si="41"/>
        <v>"ManSuit_White": 0,</v>
      </c>
    </row>
    <row r="509" spans="1:18" ht="15" customHeight="1" x14ac:dyDescent="0.25">
      <c r="A509" s="1" t="str">
        <f t="shared" si="42"/>
        <v>#tc_groceries#tc_food#tc_canned</v>
      </c>
      <c r="B509" s="1">
        <f>VLOOKUP(A509,TraderCategory!$A$63:$E$556,2,FALSE)</f>
        <v>18</v>
      </c>
      <c r="C509" s="1">
        <f>VLOOKUP(A509,TraderCategory!$A$63:$F$556,6,FALSE)</f>
        <v>3</v>
      </c>
      <c r="D509" s="1" t="str">
        <f>VLOOKUP(C509,Tabulka5[],3,FALSE)</f>
        <v>Sergeant</v>
      </c>
      <c r="E509" s="1">
        <v>3</v>
      </c>
      <c r="F509" s="1" t="str">
        <f>VLOOKUP(E509,Tabulka5[],3,FALSE)</f>
        <v>Sergeant</v>
      </c>
      <c r="G509" s="1" t="s">
        <v>3115</v>
      </c>
      <c r="H509" s="1" t="s">
        <v>856</v>
      </c>
      <c r="I509" s="1" t="s">
        <v>399</v>
      </c>
      <c r="J509" s="1" t="s">
        <v>3127</v>
      </c>
      <c r="K509" s="1" t="s">
        <v>2730</v>
      </c>
      <c r="L509" s="1" t="s">
        <v>2732</v>
      </c>
      <c r="M509" s="1">
        <v>5000</v>
      </c>
      <c r="N509" s="1">
        <v>1</v>
      </c>
      <c r="O509" s="1" t="str">
        <f t="shared" si="38"/>
        <v>"Marmalade": 1,</v>
      </c>
      <c r="P509" s="1" t="str">
        <f t="shared" si="39"/>
        <v>"Marmalade": 18,</v>
      </c>
      <c r="Q509" s="1" t="str">
        <f t="shared" si="40"/>
        <v>"Marmalade": 5000,</v>
      </c>
      <c r="R509" s="1" t="str">
        <f t="shared" si="41"/>
        <v>"Marmalade": 3,</v>
      </c>
    </row>
    <row r="510" spans="1:18" ht="15" customHeight="1" x14ac:dyDescent="0.25">
      <c r="A510" s="1" t="str">
        <f t="shared" si="42"/>
        <v>#tc_groceries#tc_tools#tc_camping</v>
      </c>
      <c r="B510" s="1">
        <f>VLOOKUP(A510,TraderCategory!$A$63:$E$556,2,FALSE)</f>
        <v>33</v>
      </c>
      <c r="C510" s="1">
        <f>VLOOKUP(A510,TraderCategory!$A$63:$F$556,6,FALSE)</f>
        <v>3</v>
      </c>
      <c r="D510" s="1" t="str">
        <f>VLOOKUP(C510,Tabulka5[],3,FALSE)</f>
        <v>Sergeant</v>
      </c>
      <c r="E510" s="1">
        <v>3</v>
      </c>
      <c r="F510" s="1" t="str">
        <f>VLOOKUP(E510,Tabulka5[],3,FALSE)</f>
        <v>Sergeant</v>
      </c>
      <c r="G510" s="1" t="s">
        <v>3115</v>
      </c>
      <c r="H510" s="1" t="s">
        <v>857</v>
      </c>
      <c r="I510" s="1" t="s">
        <v>426</v>
      </c>
      <c r="J510" s="1" t="s">
        <v>3127</v>
      </c>
      <c r="K510" s="1" t="s">
        <v>2740</v>
      </c>
      <c r="L510" s="1" t="s">
        <v>3150</v>
      </c>
      <c r="M510" s="1">
        <v>100</v>
      </c>
      <c r="N510" s="1">
        <v>1</v>
      </c>
      <c r="O510" s="1" t="str">
        <f t="shared" si="38"/>
        <v>"Matchbox": 1,</v>
      </c>
      <c r="P510" s="1" t="str">
        <f t="shared" si="39"/>
        <v>"Matchbox": 33,</v>
      </c>
      <c r="Q510" s="1" t="str">
        <f t="shared" si="40"/>
        <v>"Matchbox": 100,</v>
      </c>
      <c r="R510" s="1" t="str">
        <f t="shared" si="41"/>
        <v>"Matchbox": 3,</v>
      </c>
    </row>
    <row r="511" spans="1:18" ht="15" customHeight="1" x14ac:dyDescent="0.25">
      <c r="A511" s="1" t="str">
        <f t="shared" si="42"/>
        <v>#tc_clothes#tc_civil#tc_head</v>
      </c>
      <c r="B511" s="1">
        <f>VLOOKUP(A511,TraderCategory!$A$63:$E$556,2,FALSE)</f>
        <v>0</v>
      </c>
      <c r="C511" s="1">
        <f>VLOOKUP(A511,TraderCategory!$A$63:$F$556,6,FALSE)</f>
        <v>0</v>
      </c>
      <c r="D511" s="1" t="str">
        <f>VLOOKUP(C511,Tabulka5[],3,FALSE)</f>
        <v>Private</v>
      </c>
      <c r="E511" s="1">
        <v>0</v>
      </c>
      <c r="F511" s="1" t="str">
        <f>VLOOKUP(E511,Tabulka5[],3,FALSE)</f>
        <v>Private</v>
      </c>
      <c r="G511" s="1" t="s">
        <v>3115</v>
      </c>
      <c r="H511" s="1" t="s">
        <v>858</v>
      </c>
      <c r="I511" s="1" t="s">
        <v>403</v>
      </c>
      <c r="J511" s="1" t="s">
        <v>2728</v>
      </c>
      <c r="K511" s="1" t="s">
        <v>3126</v>
      </c>
      <c r="L511" s="1" t="s">
        <v>3130</v>
      </c>
      <c r="M511" s="1">
        <v>300</v>
      </c>
      <c r="N511" s="1">
        <v>1</v>
      </c>
      <c r="O511" s="1" t="str">
        <f t="shared" si="38"/>
        <v>"MedicalScrubsHat_Blue": 1,</v>
      </c>
      <c r="P511" s="1" t="str">
        <f t="shared" si="39"/>
        <v>"MedicalScrubsHat_Blue": 0,</v>
      </c>
      <c r="Q511" s="1" t="str">
        <f t="shared" si="40"/>
        <v>"MedicalScrubsHat_Blue": 300,</v>
      </c>
      <c r="R511" s="1" t="str">
        <f t="shared" si="41"/>
        <v>"MedicalScrubsHat_Blue": 0,</v>
      </c>
    </row>
    <row r="512" spans="1:18" ht="15" customHeight="1" x14ac:dyDescent="0.25">
      <c r="A512" s="1" t="str">
        <f t="shared" si="42"/>
        <v>#tc_clothes#tc_civil#tc_head</v>
      </c>
      <c r="B512" s="1">
        <f>VLOOKUP(A512,TraderCategory!$A$63:$E$556,2,FALSE)</f>
        <v>0</v>
      </c>
      <c r="C512" s="1">
        <f>VLOOKUP(A512,TraderCategory!$A$63:$F$556,6,FALSE)</f>
        <v>0</v>
      </c>
      <c r="D512" s="1" t="str">
        <f>VLOOKUP(C512,Tabulka5[],3,FALSE)</f>
        <v>Private</v>
      </c>
      <c r="E512" s="1">
        <v>0</v>
      </c>
      <c r="F512" s="1" t="str">
        <f>VLOOKUP(E512,Tabulka5[],3,FALSE)</f>
        <v>Private</v>
      </c>
      <c r="G512" s="1" t="s">
        <v>3115</v>
      </c>
      <c r="H512" s="1" t="s">
        <v>859</v>
      </c>
      <c r="I512" s="1" t="s">
        <v>403</v>
      </c>
      <c r="J512" s="1" t="s">
        <v>2728</v>
      </c>
      <c r="K512" s="1" t="s">
        <v>3126</v>
      </c>
      <c r="L512" s="1" t="s">
        <v>3130</v>
      </c>
      <c r="M512" s="1">
        <v>300</v>
      </c>
      <c r="N512" s="1">
        <v>1</v>
      </c>
      <c r="O512" s="1" t="str">
        <f t="shared" si="38"/>
        <v>"MedicalScrubsHat_Green": 1,</v>
      </c>
      <c r="P512" s="1" t="str">
        <f t="shared" si="39"/>
        <v>"MedicalScrubsHat_Green": 0,</v>
      </c>
      <c r="Q512" s="1" t="str">
        <f t="shared" si="40"/>
        <v>"MedicalScrubsHat_Green": 300,</v>
      </c>
      <c r="R512" s="1" t="str">
        <f t="shared" si="41"/>
        <v>"MedicalScrubsHat_Green": 0,</v>
      </c>
    </row>
    <row r="513" spans="1:18" ht="15" customHeight="1" x14ac:dyDescent="0.25">
      <c r="A513" s="1" t="str">
        <f t="shared" si="42"/>
        <v>#tc_clothes#tc_civil#tc_head</v>
      </c>
      <c r="B513" s="1">
        <f>VLOOKUP(A513,TraderCategory!$A$63:$E$556,2,FALSE)</f>
        <v>0</v>
      </c>
      <c r="C513" s="1">
        <f>VLOOKUP(A513,TraderCategory!$A$63:$F$556,6,FALSE)</f>
        <v>0</v>
      </c>
      <c r="D513" s="1" t="str">
        <f>VLOOKUP(C513,Tabulka5[],3,FALSE)</f>
        <v>Private</v>
      </c>
      <c r="E513" s="1">
        <v>0</v>
      </c>
      <c r="F513" s="1" t="str">
        <f>VLOOKUP(E513,Tabulka5[],3,FALSE)</f>
        <v>Private</v>
      </c>
      <c r="G513" s="1" t="s">
        <v>3115</v>
      </c>
      <c r="H513" s="1" t="s">
        <v>860</v>
      </c>
      <c r="I513" s="1" t="s">
        <v>403</v>
      </c>
      <c r="J513" s="1" t="s">
        <v>2728</v>
      </c>
      <c r="K513" s="1" t="s">
        <v>3126</v>
      </c>
      <c r="L513" s="1" t="s">
        <v>3130</v>
      </c>
      <c r="M513" s="1">
        <v>300</v>
      </c>
      <c r="N513" s="1">
        <v>1</v>
      </c>
      <c r="O513" s="1" t="str">
        <f t="shared" si="38"/>
        <v>"MedicalScrubsHat_White": 1,</v>
      </c>
      <c r="P513" s="1" t="str">
        <f t="shared" si="39"/>
        <v>"MedicalScrubsHat_White": 0,</v>
      </c>
      <c r="Q513" s="1" t="str">
        <f t="shared" si="40"/>
        <v>"MedicalScrubsHat_White": 300,</v>
      </c>
      <c r="R513" s="1" t="str">
        <f t="shared" si="41"/>
        <v>"MedicalScrubsHat_White": 0,</v>
      </c>
    </row>
    <row r="514" spans="1:18" ht="15" customHeight="1" x14ac:dyDescent="0.25">
      <c r="A514" s="1" t="str">
        <f t="shared" si="42"/>
        <v>#tc_clothes#tc_civil#tc_pants</v>
      </c>
      <c r="B514" s="1">
        <f>VLOOKUP(A514,TraderCategory!$A$63:$E$556,2,FALSE)</f>
        <v>4</v>
      </c>
      <c r="C514" s="1">
        <f>VLOOKUP(A514,TraderCategory!$A$63:$F$556,6,FALSE)</f>
        <v>0</v>
      </c>
      <c r="D514" s="1" t="str">
        <f>VLOOKUP(C514,Tabulka5[],3,FALSE)</f>
        <v>Private</v>
      </c>
      <c r="E514" s="1">
        <v>0</v>
      </c>
      <c r="F514" s="1" t="str">
        <f>VLOOKUP(E514,Tabulka5[],3,FALSE)</f>
        <v>Private</v>
      </c>
      <c r="G514" s="1" t="s">
        <v>3115</v>
      </c>
      <c r="H514" s="1" t="s">
        <v>861</v>
      </c>
      <c r="I514" s="1" t="s">
        <v>403</v>
      </c>
      <c r="J514" s="1" t="s">
        <v>2728</v>
      </c>
      <c r="K514" s="1" t="s">
        <v>3126</v>
      </c>
      <c r="L514" s="1" t="s">
        <v>3133</v>
      </c>
      <c r="M514" s="1">
        <v>1200</v>
      </c>
      <c r="N514" s="1">
        <v>1</v>
      </c>
      <c r="O514" s="1" t="str">
        <f t="shared" si="38"/>
        <v>"MedicalScrubsPants_Blue": 1,</v>
      </c>
      <c r="P514" s="1" t="str">
        <f t="shared" si="39"/>
        <v>"MedicalScrubsPants_Blue": 4,</v>
      </c>
      <c r="Q514" s="1" t="str">
        <f t="shared" si="40"/>
        <v>"MedicalScrubsPants_Blue": 1200,</v>
      </c>
      <c r="R514" s="1" t="str">
        <f t="shared" si="41"/>
        <v>"MedicalScrubsPants_Blue": 0,</v>
      </c>
    </row>
    <row r="515" spans="1:18" ht="15" customHeight="1" x14ac:dyDescent="0.25">
      <c r="A515" s="1" t="str">
        <f t="shared" si="42"/>
        <v>#tc_clothes#tc_civil#tc_pants</v>
      </c>
      <c r="B515" s="1">
        <f>VLOOKUP(A515,TraderCategory!$A$63:$E$556,2,FALSE)</f>
        <v>4</v>
      </c>
      <c r="C515" s="1">
        <f>VLOOKUP(A515,TraderCategory!$A$63:$F$556,6,FALSE)</f>
        <v>0</v>
      </c>
      <c r="D515" s="1" t="str">
        <f>VLOOKUP(C515,Tabulka5[],3,FALSE)</f>
        <v>Private</v>
      </c>
      <c r="E515" s="1">
        <v>0</v>
      </c>
      <c r="F515" s="1" t="str">
        <f>VLOOKUP(E515,Tabulka5[],3,FALSE)</f>
        <v>Private</v>
      </c>
      <c r="G515" s="1" t="s">
        <v>3115</v>
      </c>
      <c r="H515" s="1" t="s">
        <v>862</v>
      </c>
      <c r="I515" s="1" t="s">
        <v>403</v>
      </c>
      <c r="J515" s="1" t="s">
        <v>2728</v>
      </c>
      <c r="K515" s="1" t="s">
        <v>3126</v>
      </c>
      <c r="L515" s="1" t="s">
        <v>3133</v>
      </c>
      <c r="M515" s="1">
        <v>1200</v>
      </c>
      <c r="N515" s="1">
        <v>1</v>
      </c>
      <c r="O515" s="1" t="str">
        <f t="shared" ref="O515:O578" si="43">"""" &amp;H515 &amp; """: " &amp; N515 &amp; ","</f>
        <v>"MedicalScrubsPants_Green": 1,</v>
      </c>
      <c r="P515" s="1" t="str">
        <f t="shared" ref="P515:P578" si="44">"""" &amp;H515 &amp; """: " &amp; B515 &amp; ","</f>
        <v>"MedicalScrubsPants_Green": 4,</v>
      </c>
      <c r="Q515" s="1" t="str">
        <f t="shared" ref="Q515:Q578" si="45">"""" &amp;H515 &amp; """: " &amp; M515 &amp; ","</f>
        <v>"MedicalScrubsPants_Green": 1200,</v>
      </c>
      <c r="R515" s="1" t="str">
        <f t="shared" ref="R515:R578" si="46">"""" &amp;H515 &amp; """: " &amp; E515 &amp; ","</f>
        <v>"MedicalScrubsPants_Green": 0,</v>
      </c>
    </row>
    <row r="516" spans="1:18" ht="15" customHeight="1" x14ac:dyDescent="0.25">
      <c r="A516" s="1" t="str">
        <f t="shared" si="42"/>
        <v>#tc_clothes#tc_civil#tc_pants</v>
      </c>
      <c r="B516" s="1">
        <f>VLOOKUP(A516,TraderCategory!$A$63:$E$556,2,FALSE)</f>
        <v>4</v>
      </c>
      <c r="C516" s="1">
        <f>VLOOKUP(A516,TraderCategory!$A$63:$F$556,6,FALSE)</f>
        <v>0</v>
      </c>
      <c r="D516" s="1" t="str">
        <f>VLOOKUP(C516,Tabulka5[],3,FALSE)</f>
        <v>Private</v>
      </c>
      <c r="E516" s="1">
        <v>0</v>
      </c>
      <c r="F516" s="1" t="str">
        <f>VLOOKUP(E516,Tabulka5[],3,FALSE)</f>
        <v>Private</v>
      </c>
      <c r="G516" s="1" t="s">
        <v>3115</v>
      </c>
      <c r="H516" s="1" t="s">
        <v>863</v>
      </c>
      <c r="I516" s="1" t="s">
        <v>403</v>
      </c>
      <c r="J516" s="1" t="s">
        <v>2728</v>
      </c>
      <c r="K516" s="1" t="s">
        <v>3126</v>
      </c>
      <c r="L516" s="1" t="s">
        <v>3133</v>
      </c>
      <c r="M516" s="1">
        <v>1200</v>
      </c>
      <c r="N516" s="1">
        <v>1</v>
      </c>
      <c r="O516" s="1" t="str">
        <f t="shared" si="43"/>
        <v>"MedicalScrubsPants_White": 1,</v>
      </c>
      <c r="P516" s="1" t="str">
        <f t="shared" si="44"/>
        <v>"MedicalScrubsPants_White": 4,</v>
      </c>
      <c r="Q516" s="1" t="str">
        <f t="shared" si="45"/>
        <v>"MedicalScrubsPants_White": 1200,</v>
      </c>
      <c r="R516" s="1" t="str">
        <f t="shared" si="46"/>
        <v>"MedicalScrubsPants_White": 0,</v>
      </c>
    </row>
    <row r="517" spans="1:18" ht="15" customHeight="1" x14ac:dyDescent="0.25">
      <c r="A517" s="1" t="str">
        <f t="shared" si="42"/>
        <v>#tc_clothes#tc_civil#tc_tops</v>
      </c>
      <c r="B517" s="1">
        <f>VLOOKUP(A517,TraderCategory!$A$63:$E$556,2,FALSE)</f>
        <v>1</v>
      </c>
      <c r="C517" s="1">
        <f>VLOOKUP(A517,TraderCategory!$A$63:$F$556,6,FALSE)</f>
        <v>0</v>
      </c>
      <c r="D517" s="1" t="str">
        <f>VLOOKUP(C517,Tabulka5[],3,FALSE)</f>
        <v>Private</v>
      </c>
      <c r="E517" s="1">
        <v>0</v>
      </c>
      <c r="F517" s="1" t="str">
        <f>VLOOKUP(E517,Tabulka5[],3,FALSE)</f>
        <v>Private</v>
      </c>
      <c r="G517" s="1" t="s">
        <v>3115</v>
      </c>
      <c r="H517" s="1" t="s">
        <v>864</v>
      </c>
      <c r="I517" s="1" t="s">
        <v>403</v>
      </c>
      <c r="J517" s="1" t="s">
        <v>2728</v>
      </c>
      <c r="K517" s="1" t="s">
        <v>3126</v>
      </c>
      <c r="L517" s="1" t="s">
        <v>3131</v>
      </c>
      <c r="M517" s="1">
        <v>2000</v>
      </c>
      <c r="N517" s="1">
        <v>1</v>
      </c>
      <c r="O517" s="1" t="str">
        <f t="shared" si="43"/>
        <v>"MedicalScrubsShirt_Blue": 1,</v>
      </c>
      <c r="P517" s="1" t="str">
        <f t="shared" si="44"/>
        <v>"MedicalScrubsShirt_Blue": 1,</v>
      </c>
      <c r="Q517" s="1" t="str">
        <f t="shared" si="45"/>
        <v>"MedicalScrubsShirt_Blue": 2000,</v>
      </c>
      <c r="R517" s="1" t="str">
        <f t="shared" si="46"/>
        <v>"MedicalScrubsShirt_Blue": 0,</v>
      </c>
    </row>
    <row r="518" spans="1:18" ht="15" customHeight="1" x14ac:dyDescent="0.25">
      <c r="A518" s="1" t="str">
        <f t="shared" si="42"/>
        <v>#tc_clothes#tc_civil#tc_tops</v>
      </c>
      <c r="B518" s="1">
        <f>VLOOKUP(A518,TraderCategory!$A$63:$E$556,2,FALSE)</f>
        <v>1</v>
      </c>
      <c r="C518" s="1">
        <f>VLOOKUP(A518,TraderCategory!$A$63:$F$556,6,FALSE)</f>
        <v>0</v>
      </c>
      <c r="D518" s="1" t="str">
        <f>VLOOKUP(C518,Tabulka5[],3,FALSE)</f>
        <v>Private</v>
      </c>
      <c r="E518" s="1">
        <v>0</v>
      </c>
      <c r="F518" s="1" t="str">
        <f>VLOOKUP(E518,Tabulka5[],3,FALSE)</f>
        <v>Private</v>
      </c>
      <c r="G518" s="1" t="s">
        <v>3115</v>
      </c>
      <c r="H518" s="1" t="s">
        <v>865</v>
      </c>
      <c r="I518" s="1" t="s">
        <v>403</v>
      </c>
      <c r="J518" s="1" t="s">
        <v>2728</v>
      </c>
      <c r="K518" s="1" t="s">
        <v>3126</v>
      </c>
      <c r="L518" s="1" t="s">
        <v>3131</v>
      </c>
      <c r="M518" s="1">
        <v>2000</v>
      </c>
      <c r="N518" s="1">
        <v>1</v>
      </c>
      <c r="O518" s="1" t="str">
        <f t="shared" si="43"/>
        <v>"MedicalScrubsShirt_Green": 1,</v>
      </c>
      <c r="P518" s="1" t="str">
        <f t="shared" si="44"/>
        <v>"MedicalScrubsShirt_Green": 1,</v>
      </c>
      <c r="Q518" s="1" t="str">
        <f t="shared" si="45"/>
        <v>"MedicalScrubsShirt_Green": 2000,</v>
      </c>
      <c r="R518" s="1" t="str">
        <f t="shared" si="46"/>
        <v>"MedicalScrubsShirt_Green": 0,</v>
      </c>
    </row>
    <row r="519" spans="1:18" ht="15" customHeight="1" x14ac:dyDescent="0.25">
      <c r="A519" s="1" t="str">
        <f t="shared" si="42"/>
        <v>#tc_clothes#tc_civil#tc_tops</v>
      </c>
      <c r="B519" s="1">
        <f>VLOOKUP(A519,TraderCategory!$A$63:$E$556,2,FALSE)</f>
        <v>1</v>
      </c>
      <c r="C519" s="1">
        <f>VLOOKUP(A519,TraderCategory!$A$63:$F$556,6,FALSE)</f>
        <v>0</v>
      </c>
      <c r="D519" s="1" t="str">
        <f>VLOOKUP(C519,Tabulka5[],3,FALSE)</f>
        <v>Private</v>
      </c>
      <c r="E519" s="1">
        <v>0</v>
      </c>
      <c r="F519" s="1" t="str">
        <f>VLOOKUP(E519,Tabulka5[],3,FALSE)</f>
        <v>Private</v>
      </c>
      <c r="G519" s="1" t="s">
        <v>3115</v>
      </c>
      <c r="H519" s="1" t="s">
        <v>866</v>
      </c>
      <c r="I519" s="1" t="s">
        <v>403</v>
      </c>
      <c r="J519" s="1" t="s">
        <v>2728</v>
      </c>
      <c r="K519" s="1" t="s">
        <v>3126</v>
      </c>
      <c r="L519" s="1" t="s">
        <v>3131</v>
      </c>
      <c r="M519" s="1">
        <v>2000</v>
      </c>
      <c r="N519" s="1">
        <v>1</v>
      </c>
      <c r="O519" s="1" t="str">
        <f t="shared" si="43"/>
        <v>"MedicalScrubsShirt_White": 1,</v>
      </c>
      <c r="P519" s="1" t="str">
        <f t="shared" si="44"/>
        <v>"MedicalScrubsShirt_White": 1,</v>
      </c>
      <c r="Q519" s="1" t="str">
        <f t="shared" si="45"/>
        <v>"MedicalScrubsShirt_White": 2000,</v>
      </c>
      <c r="R519" s="1" t="str">
        <f t="shared" si="46"/>
        <v>"MedicalScrubsShirt_White": 0,</v>
      </c>
    </row>
    <row r="520" spans="1:18" ht="15" customHeight="1" x14ac:dyDescent="0.25">
      <c r="A520" s="1" t="str">
        <f t="shared" si="42"/>
        <v>#tc_groceries#tc_tools#tc_camping</v>
      </c>
      <c r="B520" s="1">
        <f>VLOOKUP(A520,TraderCategory!$A$63:$E$556,2,FALSE)</f>
        <v>33</v>
      </c>
      <c r="C520" s="1">
        <f>VLOOKUP(A520,TraderCategory!$A$63:$F$556,6,FALSE)</f>
        <v>3</v>
      </c>
      <c r="D520" s="1" t="str">
        <f>VLOOKUP(C520,Tabulka5[],3,FALSE)</f>
        <v>Sergeant</v>
      </c>
      <c r="E520" s="1">
        <v>3</v>
      </c>
      <c r="F520" s="1" t="str">
        <f>VLOOKUP(E520,Tabulka5[],3,FALSE)</f>
        <v>Sergeant</v>
      </c>
      <c r="G520" s="1" t="s">
        <v>3115</v>
      </c>
      <c r="H520" s="1" t="s">
        <v>867</v>
      </c>
      <c r="I520" s="1" t="s">
        <v>426</v>
      </c>
      <c r="J520" s="1" t="s">
        <v>3127</v>
      </c>
      <c r="K520" s="1" t="s">
        <v>2740</v>
      </c>
      <c r="L520" s="1" t="s">
        <v>3150</v>
      </c>
      <c r="M520" s="1">
        <v>1000</v>
      </c>
      <c r="N520" s="1">
        <v>1</v>
      </c>
      <c r="O520" s="1" t="str">
        <f t="shared" si="43"/>
        <v>"MediumGasCanister": 1,</v>
      </c>
      <c r="P520" s="1" t="str">
        <f t="shared" si="44"/>
        <v>"MediumGasCanister": 33,</v>
      </c>
      <c r="Q520" s="1" t="str">
        <f t="shared" si="45"/>
        <v>"MediumGasCanister": 1000,</v>
      </c>
      <c r="R520" s="1" t="str">
        <f t="shared" si="46"/>
        <v>"MediumGasCanister": 3,</v>
      </c>
    </row>
    <row r="521" spans="1:18" ht="15" customHeight="1" x14ac:dyDescent="0.25">
      <c r="A521" s="1" t="str">
        <f t="shared" si="42"/>
        <v>#tc_groceries#tc_tools#tc_camping</v>
      </c>
      <c r="B521" s="1">
        <f>VLOOKUP(A521,TraderCategory!$A$63:$E$556,2,FALSE)</f>
        <v>33</v>
      </c>
      <c r="C521" s="1">
        <f>VLOOKUP(A521,TraderCategory!$A$63:$F$556,6,FALSE)</f>
        <v>3</v>
      </c>
      <c r="D521" s="1" t="str">
        <f>VLOOKUP(C521,Tabulka5[],3,FALSE)</f>
        <v>Sergeant</v>
      </c>
      <c r="E521" s="1">
        <v>6</v>
      </c>
      <c r="F521" s="1" t="str">
        <f>VLOOKUP(E521,Tabulka5[],3,FALSE)</f>
        <v>Master Sergeant</v>
      </c>
      <c r="G521" s="1" t="s">
        <v>3115</v>
      </c>
      <c r="H521" s="1" t="s">
        <v>868</v>
      </c>
      <c r="I521" s="1" t="s">
        <v>426</v>
      </c>
      <c r="J521" s="1" t="s">
        <v>3127</v>
      </c>
      <c r="K521" s="1" t="s">
        <v>2740</v>
      </c>
      <c r="L521" s="1" t="s">
        <v>3150</v>
      </c>
      <c r="M521" s="1">
        <v>10000</v>
      </c>
      <c r="N521" s="1">
        <v>1</v>
      </c>
      <c r="O521" s="1" t="str">
        <f t="shared" si="43"/>
        <v>"MediumTent": 1,</v>
      </c>
      <c r="P521" s="1" t="str">
        <f t="shared" si="44"/>
        <v>"MediumTent": 33,</v>
      </c>
      <c r="Q521" s="1" t="str">
        <f t="shared" si="45"/>
        <v>"MediumTent": 10000,</v>
      </c>
      <c r="R521" s="1" t="str">
        <f t="shared" si="46"/>
        <v>"MediumTent": 6,</v>
      </c>
    </row>
    <row r="522" spans="1:18" ht="15" customHeight="1" x14ac:dyDescent="0.25">
      <c r="A522" s="1" t="str">
        <f t="shared" si="42"/>
        <v>#tc_groceries#tc_tools#tc_eletronics</v>
      </c>
      <c r="B522" s="1">
        <f>VLOOKUP(A522,TraderCategory!$A$63:$E$556,2,FALSE)</f>
        <v>36</v>
      </c>
      <c r="C522" s="1">
        <f>VLOOKUP(A522,TraderCategory!$A$63:$F$556,6,FALSE)</f>
        <v>0</v>
      </c>
      <c r="D522" s="1" t="str">
        <f>VLOOKUP(C522,Tabulka5[],3,FALSE)</f>
        <v>Private</v>
      </c>
      <c r="E522" s="1">
        <v>0</v>
      </c>
      <c r="F522" s="1" t="str">
        <f>VLOOKUP(E522,Tabulka5[],3,FALSE)</f>
        <v>Private</v>
      </c>
      <c r="G522" s="1" t="s">
        <v>3115</v>
      </c>
      <c r="H522" s="1" t="s">
        <v>869</v>
      </c>
      <c r="I522" s="1" t="s">
        <v>426</v>
      </c>
      <c r="J522" s="1" t="s">
        <v>3127</v>
      </c>
      <c r="K522" s="1" t="s">
        <v>2740</v>
      </c>
      <c r="L522" s="1" t="s">
        <v>3148</v>
      </c>
      <c r="M522" s="1">
        <v>900</v>
      </c>
      <c r="N522" s="1">
        <v>1</v>
      </c>
      <c r="O522" s="1" t="str">
        <f t="shared" si="43"/>
        <v>"Megaphone": 1,</v>
      </c>
      <c r="P522" s="1" t="str">
        <f t="shared" si="44"/>
        <v>"Megaphone": 36,</v>
      </c>
      <c r="Q522" s="1" t="str">
        <f t="shared" si="45"/>
        <v>"Megaphone": 900,</v>
      </c>
      <c r="R522" s="1" t="str">
        <f t="shared" si="46"/>
        <v>"Megaphone": 0,</v>
      </c>
    </row>
    <row r="523" spans="1:18" ht="15" customHeight="1" x14ac:dyDescent="0.25">
      <c r="A523" s="1" t="str">
        <f t="shared" si="42"/>
        <v>#tc_groceries#tc_tools#tc_materials</v>
      </c>
      <c r="B523" s="1">
        <f>VLOOKUP(A523,TraderCategory!$A$63:$E$556,2,FALSE)</f>
        <v>39</v>
      </c>
      <c r="C523" s="1">
        <f>VLOOKUP(A523,TraderCategory!$A$63:$F$556,6,FALSE)</f>
        <v>3</v>
      </c>
      <c r="D523" s="1" t="str">
        <f>VLOOKUP(C523,Tabulka5[],3,FALSE)</f>
        <v>Sergeant</v>
      </c>
      <c r="E523" s="1">
        <v>12</v>
      </c>
      <c r="F523" s="1" t="str">
        <f>VLOOKUP(E523,Tabulka5[],3,FALSE)</f>
        <v>Captain</v>
      </c>
      <c r="G523" s="1" t="s">
        <v>3115</v>
      </c>
      <c r="H523" s="1" t="s">
        <v>870</v>
      </c>
      <c r="I523" s="1" t="s">
        <v>426</v>
      </c>
      <c r="J523" s="1" t="s">
        <v>3127</v>
      </c>
      <c r="K523" s="1" t="s">
        <v>2740</v>
      </c>
      <c r="L523" s="1" t="s">
        <v>2741</v>
      </c>
      <c r="M523" s="1">
        <v>15000</v>
      </c>
      <c r="N523" s="1">
        <v>1</v>
      </c>
      <c r="O523" s="1" t="str">
        <f t="shared" si="43"/>
        <v>"MetalPlate": 1,</v>
      </c>
      <c r="P523" s="1" t="str">
        <f t="shared" si="44"/>
        <v>"MetalPlate": 39,</v>
      </c>
      <c r="Q523" s="1" t="str">
        <f t="shared" si="45"/>
        <v>"MetalPlate": 15000,</v>
      </c>
      <c r="R523" s="1" t="str">
        <f t="shared" si="46"/>
        <v>"MetalPlate": 12,</v>
      </c>
    </row>
    <row r="524" spans="1:18" ht="15" customHeight="1" x14ac:dyDescent="0.25">
      <c r="A524" s="1" t="str">
        <f t="shared" ref="A524:A587" si="47">CONCATENATE(J524,K524,L524)</f>
        <v>#tc_groceries#tc_tools#tc_materials</v>
      </c>
      <c r="B524" s="1">
        <f>VLOOKUP(A524,TraderCategory!$A$63:$E$556,2,FALSE)</f>
        <v>39</v>
      </c>
      <c r="C524" s="1">
        <f>VLOOKUP(A524,TraderCategory!$A$63:$F$556,6,FALSE)</f>
        <v>3</v>
      </c>
      <c r="D524" s="1" t="str">
        <f>VLOOKUP(C524,Tabulka5[],3,FALSE)</f>
        <v>Sergeant</v>
      </c>
      <c r="E524" s="1">
        <v>3</v>
      </c>
      <c r="F524" s="1" t="str">
        <f>VLOOKUP(E524,Tabulka5[],3,FALSE)</f>
        <v>Sergeant</v>
      </c>
      <c r="G524" s="1" t="s">
        <v>3115</v>
      </c>
      <c r="H524" s="1" t="s">
        <v>871</v>
      </c>
      <c r="I524" s="1" t="s">
        <v>426</v>
      </c>
      <c r="J524" s="1" t="s">
        <v>3127</v>
      </c>
      <c r="K524" s="1" t="s">
        <v>2740</v>
      </c>
      <c r="L524" s="1" t="s">
        <v>2741</v>
      </c>
      <c r="M524" s="1">
        <v>800</v>
      </c>
      <c r="N524" s="1">
        <v>1</v>
      </c>
      <c r="O524" s="1" t="str">
        <f t="shared" si="43"/>
        <v>"MetalWire": 1,</v>
      </c>
      <c r="P524" s="1" t="str">
        <f t="shared" si="44"/>
        <v>"MetalWire": 39,</v>
      </c>
      <c r="Q524" s="1" t="str">
        <f t="shared" si="45"/>
        <v>"MetalWire": 800,</v>
      </c>
      <c r="R524" s="1" t="str">
        <f t="shared" si="46"/>
        <v>"MetalWire": 3,</v>
      </c>
    </row>
    <row r="525" spans="1:18" ht="15" customHeight="1" x14ac:dyDescent="0.25">
      <c r="A525" s="1" t="str">
        <f t="shared" si="47"/>
        <v>#tc_clothes#tc_military#tc_head</v>
      </c>
      <c r="B525" s="1">
        <f>VLOOKUP(A525,TraderCategory!$A$63:$E$556,2,FALSE)</f>
        <v>8</v>
      </c>
      <c r="C525" s="1">
        <f>VLOOKUP(A525,TraderCategory!$A$63:$F$556,6,FALSE)</f>
        <v>1</v>
      </c>
      <c r="D525" s="1" t="str">
        <f>VLOOKUP(C525,Tabulka5[],3,FALSE)</f>
        <v>Private First Class</v>
      </c>
      <c r="E525" s="1">
        <v>6</v>
      </c>
      <c r="F525" s="1" t="str">
        <f>VLOOKUP(E525,Tabulka5[],3,FALSE)</f>
        <v>Master Sergeant</v>
      </c>
      <c r="G525" s="1" t="s">
        <v>3115</v>
      </c>
      <c r="H525" s="1" t="s">
        <v>872</v>
      </c>
      <c r="I525" s="1" t="s">
        <v>403</v>
      </c>
      <c r="J525" s="1" t="s">
        <v>2728</v>
      </c>
      <c r="K525" s="1" t="s">
        <v>2729</v>
      </c>
      <c r="L525" s="1" t="s">
        <v>3130</v>
      </c>
      <c r="M525" s="1">
        <v>6000</v>
      </c>
      <c r="N525" s="1">
        <v>1</v>
      </c>
      <c r="O525" s="1" t="str">
        <f t="shared" si="43"/>
        <v>"Mich2001Helmet": 1,</v>
      </c>
      <c r="P525" s="1" t="str">
        <f t="shared" si="44"/>
        <v>"Mich2001Helmet": 8,</v>
      </c>
      <c r="Q525" s="1" t="str">
        <f t="shared" si="45"/>
        <v>"Mich2001Helmet": 6000,</v>
      </c>
      <c r="R525" s="1" t="str">
        <f t="shared" si="46"/>
        <v>"Mich2001Helmet": 6,</v>
      </c>
    </row>
    <row r="526" spans="1:18" ht="15" customHeight="1" x14ac:dyDescent="0.25">
      <c r="A526" s="1" t="str">
        <f t="shared" si="47"/>
        <v>#tc_clothes#tc_military#tc_belts</v>
      </c>
      <c r="B526" s="1">
        <f>VLOOKUP(A526,TraderCategory!$A$63:$E$556,2,FALSE)</f>
        <v>11</v>
      </c>
      <c r="C526" s="1">
        <f>VLOOKUP(A526,TraderCategory!$A$63:$F$556,6,FALSE)</f>
        <v>1</v>
      </c>
      <c r="D526" s="1" t="str">
        <f>VLOOKUP(C526,Tabulka5[],3,FALSE)</f>
        <v>Private First Class</v>
      </c>
      <c r="E526" s="1">
        <v>1</v>
      </c>
      <c r="F526" s="1" t="str">
        <f>VLOOKUP(E526,Tabulka5[],3,FALSE)</f>
        <v>Private First Class</v>
      </c>
      <c r="G526" s="1" t="s">
        <v>3115</v>
      </c>
      <c r="H526" s="1" t="s">
        <v>873</v>
      </c>
      <c r="I526" s="1" t="s">
        <v>403</v>
      </c>
      <c r="J526" s="1" t="s">
        <v>2728</v>
      </c>
      <c r="K526" s="1" t="s">
        <v>2729</v>
      </c>
      <c r="L526" s="1" t="s">
        <v>3135</v>
      </c>
      <c r="M526" s="1">
        <v>2000</v>
      </c>
      <c r="N526" s="1">
        <v>1</v>
      </c>
      <c r="O526" s="1" t="str">
        <f t="shared" si="43"/>
        <v>"MilitaryBelt": 1,</v>
      </c>
      <c r="P526" s="1" t="str">
        <f t="shared" si="44"/>
        <v>"MilitaryBelt": 11,</v>
      </c>
      <c r="Q526" s="1" t="str">
        <f t="shared" si="45"/>
        <v>"MilitaryBelt": 2000,</v>
      </c>
      <c r="R526" s="1" t="str">
        <f t="shared" si="46"/>
        <v>"MilitaryBelt": 1,</v>
      </c>
    </row>
    <row r="527" spans="1:18" ht="15" customHeight="1" x14ac:dyDescent="0.25">
      <c r="A527" s="1" t="str">
        <f t="shared" si="47"/>
        <v>#tc_clothes#tc_military#tc_head</v>
      </c>
      <c r="B527" s="1">
        <f>VLOOKUP(A527,TraderCategory!$A$63:$E$556,2,FALSE)</f>
        <v>8</v>
      </c>
      <c r="C527" s="1">
        <f>VLOOKUP(A527,TraderCategory!$A$63:$F$556,6,FALSE)</f>
        <v>1</v>
      </c>
      <c r="D527" s="1" t="str">
        <f>VLOOKUP(C527,Tabulka5[],3,FALSE)</f>
        <v>Private First Class</v>
      </c>
      <c r="E527" s="1">
        <v>1</v>
      </c>
      <c r="F527" s="1" t="str">
        <f>VLOOKUP(E527,Tabulka5[],3,FALSE)</f>
        <v>Private First Class</v>
      </c>
      <c r="G527" s="1" t="s">
        <v>3115</v>
      </c>
      <c r="H527" s="1" t="s">
        <v>874</v>
      </c>
      <c r="I527" s="1" t="s">
        <v>403</v>
      </c>
      <c r="J527" s="1" t="s">
        <v>2728</v>
      </c>
      <c r="K527" s="1" t="s">
        <v>2729</v>
      </c>
      <c r="L527" s="1" t="s">
        <v>3130</v>
      </c>
      <c r="M527" s="1">
        <v>1000</v>
      </c>
      <c r="N527" s="1">
        <v>1</v>
      </c>
      <c r="O527" s="1" t="str">
        <f t="shared" si="43"/>
        <v>"MilitaryBeret_CDF": 1,</v>
      </c>
      <c r="P527" s="1" t="str">
        <f t="shared" si="44"/>
        <v>"MilitaryBeret_CDF": 8,</v>
      </c>
      <c r="Q527" s="1" t="str">
        <f t="shared" si="45"/>
        <v>"MilitaryBeret_CDF": 1000,</v>
      </c>
      <c r="R527" s="1" t="str">
        <f t="shared" si="46"/>
        <v>"MilitaryBeret_CDF": 1,</v>
      </c>
    </row>
    <row r="528" spans="1:18" ht="15" customHeight="1" x14ac:dyDescent="0.25">
      <c r="A528" s="1" t="str">
        <f t="shared" si="47"/>
        <v>#tc_clothes#tc_military#tc_head</v>
      </c>
      <c r="B528" s="1">
        <f>VLOOKUP(A528,TraderCategory!$A$63:$E$556,2,FALSE)</f>
        <v>8</v>
      </c>
      <c r="C528" s="1">
        <f>VLOOKUP(A528,TraderCategory!$A$63:$F$556,6,FALSE)</f>
        <v>1</v>
      </c>
      <c r="D528" s="1" t="str">
        <f>VLOOKUP(C528,Tabulka5[],3,FALSE)</f>
        <v>Private First Class</v>
      </c>
      <c r="E528" s="1">
        <v>1</v>
      </c>
      <c r="F528" s="1" t="str">
        <f>VLOOKUP(E528,Tabulka5[],3,FALSE)</f>
        <v>Private First Class</v>
      </c>
      <c r="G528" s="1" t="s">
        <v>3115</v>
      </c>
      <c r="H528" s="1" t="s">
        <v>875</v>
      </c>
      <c r="I528" s="1" t="s">
        <v>403</v>
      </c>
      <c r="J528" s="1" t="s">
        <v>2728</v>
      </c>
      <c r="K528" s="1" t="s">
        <v>2729</v>
      </c>
      <c r="L528" s="1" t="s">
        <v>3130</v>
      </c>
      <c r="M528" s="1">
        <v>1000</v>
      </c>
      <c r="N528" s="1">
        <v>1</v>
      </c>
      <c r="O528" s="1" t="str">
        <f t="shared" si="43"/>
        <v>"MilitaryBeret_ChDKZ": 1,</v>
      </c>
      <c r="P528" s="1" t="str">
        <f t="shared" si="44"/>
        <v>"MilitaryBeret_ChDKZ": 8,</v>
      </c>
      <c r="Q528" s="1" t="str">
        <f t="shared" si="45"/>
        <v>"MilitaryBeret_ChDKZ": 1000,</v>
      </c>
      <c r="R528" s="1" t="str">
        <f t="shared" si="46"/>
        <v>"MilitaryBeret_ChDKZ": 1,</v>
      </c>
    </row>
    <row r="529" spans="1:18" ht="15" customHeight="1" x14ac:dyDescent="0.25">
      <c r="A529" s="1" t="str">
        <f t="shared" si="47"/>
        <v>#tc_clothes#tc_military#tc_head</v>
      </c>
      <c r="B529" s="1">
        <f>VLOOKUP(A529,TraderCategory!$A$63:$E$556,2,FALSE)</f>
        <v>8</v>
      </c>
      <c r="C529" s="1">
        <f>VLOOKUP(A529,TraderCategory!$A$63:$F$556,6,FALSE)</f>
        <v>1</v>
      </c>
      <c r="D529" s="1" t="str">
        <f>VLOOKUP(C529,Tabulka5[],3,FALSE)</f>
        <v>Private First Class</v>
      </c>
      <c r="E529" s="1">
        <v>1</v>
      </c>
      <c r="F529" s="1" t="str">
        <f>VLOOKUP(E529,Tabulka5[],3,FALSE)</f>
        <v>Private First Class</v>
      </c>
      <c r="G529" s="1" t="s">
        <v>3115</v>
      </c>
      <c r="H529" s="1" t="s">
        <v>876</v>
      </c>
      <c r="I529" s="1" t="s">
        <v>403</v>
      </c>
      <c r="J529" s="1" t="s">
        <v>2728</v>
      </c>
      <c r="K529" s="1" t="s">
        <v>2729</v>
      </c>
      <c r="L529" s="1" t="s">
        <v>3130</v>
      </c>
      <c r="M529" s="1">
        <v>1000</v>
      </c>
      <c r="N529" s="1">
        <v>1</v>
      </c>
      <c r="O529" s="1" t="str">
        <f t="shared" si="43"/>
        <v>"MilitaryBeret_NZ": 1,</v>
      </c>
      <c r="P529" s="1" t="str">
        <f t="shared" si="44"/>
        <v>"MilitaryBeret_NZ": 8,</v>
      </c>
      <c r="Q529" s="1" t="str">
        <f t="shared" si="45"/>
        <v>"MilitaryBeret_NZ": 1000,</v>
      </c>
      <c r="R529" s="1" t="str">
        <f t="shared" si="46"/>
        <v>"MilitaryBeret_NZ": 1,</v>
      </c>
    </row>
    <row r="530" spans="1:18" ht="15" customHeight="1" x14ac:dyDescent="0.25">
      <c r="A530" s="1" t="str">
        <f t="shared" si="47"/>
        <v>#tc_clothes#tc_military#tc_head</v>
      </c>
      <c r="B530" s="1">
        <f>VLOOKUP(A530,TraderCategory!$A$63:$E$556,2,FALSE)</f>
        <v>8</v>
      </c>
      <c r="C530" s="1">
        <f>VLOOKUP(A530,TraderCategory!$A$63:$F$556,6,FALSE)</f>
        <v>1</v>
      </c>
      <c r="D530" s="1" t="str">
        <f>VLOOKUP(C530,Tabulka5[],3,FALSE)</f>
        <v>Private First Class</v>
      </c>
      <c r="E530" s="1">
        <v>1</v>
      </c>
      <c r="F530" s="1" t="str">
        <f>VLOOKUP(E530,Tabulka5[],3,FALSE)</f>
        <v>Private First Class</v>
      </c>
      <c r="G530" s="1" t="s">
        <v>3115</v>
      </c>
      <c r="H530" s="1" t="s">
        <v>877</v>
      </c>
      <c r="I530" s="1" t="s">
        <v>403</v>
      </c>
      <c r="J530" s="1" t="s">
        <v>2728</v>
      </c>
      <c r="K530" s="1" t="s">
        <v>2729</v>
      </c>
      <c r="L530" s="1" t="s">
        <v>3130</v>
      </c>
      <c r="M530" s="1">
        <v>1000</v>
      </c>
      <c r="N530" s="1">
        <v>1</v>
      </c>
      <c r="O530" s="1" t="str">
        <f t="shared" si="43"/>
        <v>"MilitaryBeret_Red": 1,</v>
      </c>
      <c r="P530" s="1" t="str">
        <f t="shared" si="44"/>
        <v>"MilitaryBeret_Red": 8,</v>
      </c>
      <c r="Q530" s="1" t="str">
        <f t="shared" si="45"/>
        <v>"MilitaryBeret_Red": 1000,</v>
      </c>
      <c r="R530" s="1" t="str">
        <f t="shared" si="46"/>
        <v>"MilitaryBeret_Red": 1,</v>
      </c>
    </row>
    <row r="531" spans="1:18" ht="15" customHeight="1" x14ac:dyDescent="0.25">
      <c r="A531" s="1" t="str">
        <f t="shared" si="47"/>
        <v>#tc_clothes#tc_military#tc_head</v>
      </c>
      <c r="B531" s="1">
        <f>VLOOKUP(A531,TraderCategory!$A$63:$E$556,2,FALSE)</f>
        <v>8</v>
      </c>
      <c r="C531" s="1">
        <f>VLOOKUP(A531,TraderCategory!$A$63:$F$556,6,FALSE)</f>
        <v>1</v>
      </c>
      <c r="D531" s="1" t="str">
        <f>VLOOKUP(C531,Tabulka5[],3,FALSE)</f>
        <v>Private First Class</v>
      </c>
      <c r="E531" s="1">
        <v>1</v>
      </c>
      <c r="F531" s="1" t="str">
        <f>VLOOKUP(E531,Tabulka5[],3,FALSE)</f>
        <v>Private First Class</v>
      </c>
      <c r="G531" s="1" t="s">
        <v>3115</v>
      </c>
      <c r="H531" s="1" t="s">
        <v>878</v>
      </c>
      <c r="I531" s="1" t="s">
        <v>403</v>
      </c>
      <c r="J531" s="1" t="s">
        <v>2728</v>
      </c>
      <c r="K531" s="1" t="s">
        <v>2729</v>
      </c>
      <c r="L531" s="1" t="s">
        <v>3130</v>
      </c>
      <c r="M531" s="1">
        <v>1000</v>
      </c>
      <c r="N531" s="1">
        <v>1</v>
      </c>
      <c r="O531" s="1" t="str">
        <f t="shared" si="43"/>
        <v>"MilitaryBeret_UN": 1,</v>
      </c>
      <c r="P531" s="1" t="str">
        <f t="shared" si="44"/>
        <v>"MilitaryBeret_UN": 8,</v>
      </c>
      <c r="Q531" s="1" t="str">
        <f t="shared" si="45"/>
        <v>"MilitaryBeret_UN": 1000,</v>
      </c>
      <c r="R531" s="1" t="str">
        <f t="shared" si="46"/>
        <v>"MilitaryBeret_UN": 1,</v>
      </c>
    </row>
    <row r="532" spans="1:18" ht="15" customHeight="1" x14ac:dyDescent="0.25">
      <c r="A532" s="1" t="str">
        <f t="shared" si="47"/>
        <v>#tc_clothes#tc_military#tc_boots</v>
      </c>
      <c r="B532" s="1">
        <f>VLOOKUP(A532,TraderCategory!$A$63:$E$556,2,FALSE)</f>
        <v>13</v>
      </c>
      <c r="C532" s="1">
        <f>VLOOKUP(A532,TraderCategory!$A$63:$F$556,6,FALSE)</f>
        <v>1</v>
      </c>
      <c r="D532" s="1" t="str">
        <f>VLOOKUP(C532,Tabulka5[],3,FALSE)</f>
        <v>Private First Class</v>
      </c>
      <c r="E532" s="1">
        <v>1</v>
      </c>
      <c r="F532" s="1" t="str">
        <f>VLOOKUP(E532,Tabulka5[],3,FALSE)</f>
        <v>Private First Class</v>
      </c>
      <c r="G532" s="1" t="s">
        <v>3115</v>
      </c>
      <c r="H532" s="1" t="s">
        <v>879</v>
      </c>
      <c r="I532" s="1" t="s">
        <v>403</v>
      </c>
      <c r="J532" s="1" t="s">
        <v>2728</v>
      </c>
      <c r="K532" s="1" t="s">
        <v>2729</v>
      </c>
      <c r="L532" s="1" t="s">
        <v>3134</v>
      </c>
      <c r="M532" s="1">
        <v>2000</v>
      </c>
      <c r="N532" s="1">
        <v>1</v>
      </c>
      <c r="O532" s="1" t="str">
        <f t="shared" si="43"/>
        <v>"MilitaryBoots_Beige": 1,</v>
      </c>
      <c r="P532" s="1" t="str">
        <f t="shared" si="44"/>
        <v>"MilitaryBoots_Beige": 13,</v>
      </c>
      <c r="Q532" s="1" t="str">
        <f t="shared" si="45"/>
        <v>"MilitaryBoots_Beige": 2000,</v>
      </c>
      <c r="R532" s="1" t="str">
        <f t="shared" si="46"/>
        <v>"MilitaryBoots_Beige": 1,</v>
      </c>
    </row>
    <row r="533" spans="1:18" ht="15" customHeight="1" x14ac:dyDescent="0.25">
      <c r="A533" s="1" t="str">
        <f t="shared" si="47"/>
        <v>#tc_clothes#tc_military#tc_boots</v>
      </c>
      <c r="B533" s="1">
        <f>VLOOKUP(A533,TraderCategory!$A$63:$E$556,2,FALSE)</f>
        <v>13</v>
      </c>
      <c r="C533" s="1">
        <f>VLOOKUP(A533,TraderCategory!$A$63:$F$556,6,FALSE)</f>
        <v>1</v>
      </c>
      <c r="D533" s="1" t="str">
        <f>VLOOKUP(C533,Tabulka5[],3,FALSE)</f>
        <v>Private First Class</v>
      </c>
      <c r="E533" s="1">
        <v>1</v>
      </c>
      <c r="F533" s="1" t="str">
        <f>VLOOKUP(E533,Tabulka5[],3,FALSE)</f>
        <v>Private First Class</v>
      </c>
      <c r="G533" s="1" t="s">
        <v>3115</v>
      </c>
      <c r="H533" s="1" t="s">
        <v>880</v>
      </c>
      <c r="I533" s="1" t="s">
        <v>403</v>
      </c>
      <c r="J533" s="1" t="s">
        <v>2728</v>
      </c>
      <c r="K533" s="1" t="s">
        <v>2729</v>
      </c>
      <c r="L533" s="1" t="s">
        <v>3134</v>
      </c>
      <c r="M533" s="1">
        <v>2000</v>
      </c>
      <c r="N533" s="1">
        <v>1</v>
      </c>
      <c r="O533" s="1" t="str">
        <f t="shared" si="43"/>
        <v>"MilitaryBoots_Black": 1,</v>
      </c>
      <c r="P533" s="1" t="str">
        <f t="shared" si="44"/>
        <v>"MilitaryBoots_Black": 13,</v>
      </c>
      <c r="Q533" s="1" t="str">
        <f t="shared" si="45"/>
        <v>"MilitaryBoots_Black": 2000,</v>
      </c>
      <c r="R533" s="1" t="str">
        <f t="shared" si="46"/>
        <v>"MilitaryBoots_Black": 1,</v>
      </c>
    </row>
    <row r="534" spans="1:18" ht="15" customHeight="1" x14ac:dyDescent="0.25">
      <c r="A534" s="1" t="str">
        <f t="shared" si="47"/>
        <v>#tc_clothes#tc_military#tc_boots</v>
      </c>
      <c r="B534" s="1">
        <f>VLOOKUP(A534,TraderCategory!$A$63:$E$556,2,FALSE)</f>
        <v>13</v>
      </c>
      <c r="C534" s="1">
        <f>VLOOKUP(A534,TraderCategory!$A$63:$F$556,6,FALSE)</f>
        <v>1</v>
      </c>
      <c r="D534" s="1" t="str">
        <f>VLOOKUP(C534,Tabulka5[],3,FALSE)</f>
        <v>Private First Class</v>
      </c>
      <c r="E534" s="1">
        <v>1</v>
      </c>
      <c r="F534" s="1" t="str">
        <f>VLOOKUP(E534,Tabulka5[],3,FALSE)</f>
        <v>Private First Class</v>
      </c>
      <c r="G534" s="1" t="s">
        <v>3115</v>
      </c>
      <c r="H534" s="1" t="s">
        <v>881</v>
      </c>
      <c r="I534" s="1" t="s">
        <v>403</v>
      </c>
      <c r="J534" s="1" t="s">
        <v>2728</v>
      </c>
      <c r="K534" s="1" t="s">
        <v>2729</v>
      </c>
      <c r="L534" s="1" t="s">
        <v>3134</v>
      </c>
      <c r="M534" s="1">
        <v>2000</v>
      </c>
      <c r="N534" s="1">
        <v>1</v>
      </c>
      <c r="O534" s="1" t="str">
        <f t="shared" si="43"/>
        <v>"MilitaryBoots_Bluerock": 1,</v>
      </c>
      <c r="P534" s="1" t="str">
        <f t="shared" si="44"/>
        <v>"MilitaryBoots_Bluerock": 13,</v>
      </c>
      <c r="Q534" s="1" t="str">
        <f t="shared" si="45"/>
        <v>"MilitaryBoots_Bluerock": 2000,</v>
      </c>
      <c r="R534" s="1" t="str">
        <f t="shared" si="46"/>
        <v>"MilitaryBoots_Bluerock": 1,</v>
      </c>
    </row>
    <row r="535" spans="1:18" ht="15" customHeight="1" x14ac:dyDescent="0.25">
      <c r="A535" s="1" t="str">
        <f t="shared" si="47"/>
        <v>#tc_clothes#tc_military#tc_boots</v>
      </c>
      <c r="B535" s="1">
        <f>VLOOKUP(A535,TraderCategory!$A$63:$E$556,2,FALSE)</f>
        <v>13</v>
      </c>
      <c r="C535" s="1">
        <f>VLOOKUP(A535,TraderCategory!$A$63:$F$556,6,FALSE)</f>
        <v>1</v>
      </c>
      <c r="D535" s="1" t="str">
        <f>VLOOKUP(C535,Tabulka5[],3,FALSE)</f>
        <v>Private First Class</v>
      </c>
      <c r="E535" s="1">
        <v>1</v>
      </c>
      <c r="F535" s="1" t="str">
        <f>VLOOKUP(E535,Tabulka5[],3,FALSE)</f>
        <v>Private First Class</v>
      </c>
      <c r="G535" s="1" t="s">
        <v>3115</v>
      </c>
      <c r="H535" s="1" t="s">
        <v>882</v>
      </c>
      <c r="I535" s="1" t="s">
        <v>403</v>
      </c>
      <c r="J535" s="1" t="s">
        <v>2728</v>
      </c>
      <c r="K535" s="1" t="s">
        <v>2729</v>
      </c>
      <c r="L535" s="1" t="s">
        <v>3134</v>
      </c>
      <c r="M535" s="1">
        <v>2000</v>
      </c>
      <c r="N535" s="1">
        <v>1</v>
      </c>
      <c r="O535" s="1" t="str">
        <f t="shared" si="43"/>
        <v>"MilitaryBoots_Brown": 1,</v>
      </c>
      <c r="P535" s="1" t="str">
        <f t="shared" si="44"/>
        <v>"MilitaryBoots_Brown": 13,</v>
      </c>
      <c r="Q535" s="1" t="str">
        <f t="shared" si="45"/>
        <v>"MilitaryBoots_Brown": 2000,</v>
      </c>
      <c r="R535" s="1" t="str">
        <f t="shared" si="46"/>
        <v>"MilitaryBoots_Brown": 1,</v>
      </c>
    </row>
    <row r="536" spans="1:18" ht="15" customHeight="1" x14ac:dyDescent="0.25">
      <c r="A536" s="1" t="str">
        <f t="shared" si="47"/>
        <v>#tc_clothes#tc_military#tc_boots</v>
      </c>
      <c r="B536" s="1">
        <f>VLOOKUP(A536,TraderCategory!$A$63:$E$556,2,FALSE)</f>
        <v>13</v>
      </c>
      <c r="C536" s="1">
        <f>VLOOKUP(A536,TraderCategory!$A$63:$F$556,6,FALSE)</f>
        <v>1</v>
      </c>
      <c r="D536" s="1" t="str">
        <f>VLOOKUP(C536,Tabulka5[],3,FALSE)</f>
        <v>Private First Class</v>
      </c>
      <c r="E536" s="1">
        <v>1</v>
      </c>
      <c r="F536" s="1" t="str">
        <f>VLOOKUP(E536,Tabulka5[],3,FALSE)</f>
        <v>Private First Class</v>
      </c>
      <c r="G536" s="1" t="s">
        <v>3115</v>
      </c>
      <c r="H536" s="1" t="s">
        <v>883</v>
      </c>
      <c r="I536" s="1" t="s">
        <v>403</v>
      </c>
      <c r="J536" s="1" t="s">
        <v>2728</v>
      </c>
      <c r="K536" s="1" t="s">
        <v>2729</v>
      </c>
      <c r="L536" s="1" t="s">
        <v>3134</v>
      </c>
      <c r="M536" s="1">
        <v>2000</v>
      </c>
      <c r="N536" s="1">
        <v>1</v>
      </c>
      <c r="O536" s="1" t="str">
        <f t="shared" si="43"/>
        <v>"MilitaryBoots_Redpunk": 1,</v>
      </c>
      <c r="P536" s="1" t="str">
        <f t="shared" si="44"/>
        <v>"MilitaryBoots_Redpunk": 13,</v>
      </c>
      <c r="Q536" s="1" t="str">
        <f t="shared" si="45"/>
        <v>"MilitaryBoots_Redpunk": 2000,</v>
      </c>
      <c r="R536" s="1" t="str">
        <f t="shared" si="46"/>
        <v>"MilitaryBoots_Redpunk": 1,</v>
      </c>
    </row>
    <row r="537" spans="1:18" ht="15" customHeight="1" x14ac:dyDescent="0.25">
      <c r="A537" s="1" t="str">
        <f t="shared" si="47"/>
        <v>#tc_clothes#tc_civil#tc_tops</v>
      </c>
      <c r="B537" s="1">
        <f>VLOOKUP(A537,TraderCategory!$A$63:$E$556,2,FALSE)</f>
        <v>1</v>
      </c>
      <c r="C537" s="1">
        <f>VLOOKUP(A537,TraderCategory!$A$63:$F$556,6,FALSE)</f>
        <v>0</v>
      </c>
      <c r="D537" s="1" t="str">
        <f>VLOOKUP(C537,Tabulka5[],3,FALSE)</f>
        <v>Private</v>
      </c>
      <c r="E537" s="1">
        <v>0</v>
      </c>
      <c r="F537" s="1" t="str">
        <f>VLOOKUP(E537,Tabulka5[],3,FALSE)</f>
        <v>Private</v>
      </c>
      <c r="G537" s="1" t="s">
        <v>3115</v>
      </c>
      <c r="H537" s="1" t="s">
        <v>884</v>
      </c>
      <c r="I537" s="1" t="s">
        <v>403</v>
      </c>
      <c r="J537" s="1" t="s">
        <v>2728</v>
      </c>
      <c r="K537" s="1" t="s">
        <v>3126</v>
      </c>
      <c r="L537" s="1" t="s">
        <v>3131</v>
      </c>
      <c r="M537" s="1">
        <v>2000</v>
      </c>
      <c r="N537" s="1">
        <v>1</v>
      </c>
      <c r="O537" s="1" t="str">
        <f t="shared" si="43"/>
        <v>"MiniDress_BlueChecker": 1,</v>
      </c>
      <c r="P537" s="1" t="str">
        <f t="shared" si="44"/>
        <v>"MiniDress_BlueChecker": 1,</v>
      </c>
      <c r="Q537" s="1" t="str">
        <f t="shared" si="45"/>
        <v>"MiniDress_BlueChecker": 2000,</v>
      </c>
      <c r="R537" s="1" t="str">
        <f t="shared" si="46"/>
        <v>"MiniDress_BlueChecker": 0,</v>
      </c>
    </row>
    <row r="538" spans="1:18" ht="15" customHeight="1" x14ac:dyDescent="0.25">
      <c r="A538" s="1" t="str">
        <f t="shared" si="47"/>
        <v>#tc_clothes#tc_civil#tc_tops</v>
      </c>
      <c r="B538" s="1">
        <f>VLOOKUP(A538,TraderCategory!$A$63:$E$556,2,FALSE)</f>
        <v>1</v>
      </c>
      <c r="C538" s="1">
        <f>VLOOKUP(A538,TraderCategory!$A$63:$F$556,6,FALSE)</f>
        <v>0</v>
      </c>
      <c r="D538" s="1" t="str">
        <f>VLOOKUP(C538,Tabulka5[],3,FALSE)</f>
        <v>Private</v>
      </c>
      <c r="E538" s="1">
        <v>0</v>
      </c>
      <c r="F538" s="1" t="str">
        <f>VLOOKUP(E538,Tabulka5[],3,FALSE)</f>
        <v>Private</v>
      </c>
      <c r="G538" s="1" t="s">
        <v>3115</v>
      </c>
      <c r="H538" s="1" t="s">
        <v>885</v>
      </c>
      <c r="I538" s="1" t="s">
        <v>403</v>
      </c>
      <c r="J538" s="1" t="s">
        <v>2728</v>
      </c>
      <c r="K538" s="1" t="s">
        <v>3126</v>
      </c>
      <c r="L538" s="1" t="s">
        <v>3131</v>
      </c>
      <c r="M538" s="1">
        <v>2000</v>
      </c>
      <c r="N538" s="1">
        <v>1</v>
      </c>
      <c r="O538" s="1" t="str">
        <f t="shared" si="43"/>
        <v>"MiniDress_BlueWithDots": 1,</v>
      </c>
      <c r="P538" s="1" t="str">
        <f t="shared" si="44"/>
        <v>"MiniDress_BlueWithDots": 1,</v>
      </c>
      <c r="Q538" s="1" t="str">
        <f t="shared" si="45"/>
        <v>"MiniDress_BlueWithDots": 2000,</v>
      </c>
      <c r="R538" s="1" t="str">
        <f t="shared" si="46"/>
        <v>"MiniDress_BlueWithDots": 0,</v>
      </c>
    </row>
    <row r="539" spans="1:18" ht="15" customHeight="1" x14ac:dyDescent="0.25">
      <c r="A539" s="1" t="str">
        <f t="shared" si="47"/>
        <v>#tc_clothes#tc_civil#tc_tops</v>
      </c>
      <c r="B539" s="1">
        <f>VLOOKUP(A539,TraderCategory!$A$63:$E$556,2,FALSE)</f>
        <v>1</v>
      </c>
      <c r="C539" s="1">
        <f>VLOOKUP(A539,TraderCategory!$A$63:$F$556,6,FALSE)</f>
        <v>0</v>
      </c>
      <c r="D539" s="1" t="str">
        <f>VLOOKUP(C539,Tabulka5[],3,FALSE)</f>
        <v>Private</v>
      </c>
      <c r="E539" s="1">
        <v>0</v>
      </c>
      <c r="F539" s="1" t="str">
        <f>VLOOKUP(E539,Tabulka5[],3,FALSE)</f>
        <v>Private</v>
      </c>
      <c r="G539" s="1" t="s">
        <v>3115</v>
      </c>
      <c r="H539" s="1" t="s">
        <v>886</v>
      </c>
      <c r="I539" s="1" t="s">
        <v>403</v>
      </c>
      <c r="J539" s="1" t="s">
        <v>2728</v>
      </c>
      <c r="K539" s="1" t="s">
        <v>3126</v>
      </c>
      <c r="L539" s="1" t="s">
        <v>3131</v>
      </c>
      <c r="M539" s="1">
        <v>2000</v>
      </c>
      <c r="N539" s="1">
        <v>1</v>
      </c>
      <c r="O539" s="1" t="str">
        <f t="shared" si="43"/>
        <v>"MiniDress_BrownChecker": 1,</v>
      </c>
      <c r="P539" s="1" t="str">
        <f t="shared" si="44"/>
        <v>"MiniDress_BrownChecker": 1,</v>
      </c>
      <c r="Q539" s="1" t="str">
        <f t="shared" si="45"/>
        <v>"MiniDress_BrownChecker": 2000,</v>
      </c>
      <c r="R539" s="1" t="str">
        <f t="shared" si="46"/>
        <v>"MiniDress_BrownChecker": 0,</v>
      </c>
    </row>
    <row r="540" spans="1:18" ht="15" customHeight="1" x14ac:dyDescent="0.25">
      <c r="A540" s="1" t="str">
        <f t="shared" si="47"/>
        <v>#tc_clothes#tc_civil#tc_tops</v>
      </c>
      <c r="B540" s="1">
        <f>VLOOKUP(A540,TraderCategory!$A$63:$E$556,2,FALSE)</f>
        <v>1</v>
      </c>
      <c r="C540" s="1">
        <f>VLOOKUP(A540,TraderCategory!$A$63:$F$556,6,FALSE)</f>
        <v>0</v>
      </c>
      <c r="D540" s="1" t="str">
        <f>VLOOKUP(C540,Tabulka5[],3,FALSE)</f>
        <v>Private</v>
      </c>
      <c r="E540" s="1">
        <v>0</v>
      </c>
      <c r="F540" s="1" t="str">
        <f>VLOOKUP(E540,Tabulka5[],3,FALSE)</f>
        <v>Private</v>
      </c>
      <c r="G540" s="1" t="s">
        <v>3115</v>
      </c>
      <c r="H540" s="1" t="s">
        <v>887</v>
      </c>
      <c r="I540" s="1" t="s">
        <v>403</v>
      </c>
      <c r="J540" s="1" t="s">
        <v>2728</v>
      </c>
      <c r="K540" s="1" t="s">
        <v>3126</v>
      </c>
      <c r="L540" s="1" t="s">
        <v>3131</v>
      </c>
      <c r="M540" s="1">
        <v>2000</v>
      </c>
      <c r="N540" s="1">
        <v>1</v>
      </c>
      <c r="O540" s="1" t="str">
        <f t="shared" si="43"/>
        <v>"MiniDress_GreenChecker": 1,</v>
      </c>
      <c r="P540" s="1" t="str">
        <f t="shared" si="44"/>
        <v>"MiniDress_GreenChecker": 1,</v>
      </c>
      <c r="Q540" s="1" t="str">
        <f t="shared" si="45"/>
        <v>"MiniDress_GreenChecker": 2000,</v>
      </c>
      <c r="R540" s="1" t="str">
        <f t="shared" si="46"/>
        <v>"MiniDress_GreenChecker": 0,</v>
      </c>
    </row>
    <row r="541" spans="1:18" ht="15" customHeight="1" x14ac:dyDescent="0.25">
      <c r="A541" s="1" t="str">
        <f t="shared" si="47"/>
        <v>#tc_clothes#tc_civil#tc_tops</v>
      </c>
      <c r="B541" s="1">
        <f>VLOOKUP(A541,TraderCategory!$A$63:$E$556,2,FALSE)</f>
        <v>1</v>
      </c>
      <c r="C541" s="1">
        <f>VLOOKUP(A541,TraderCategory!$A$63:$F$556,6,FALSE)</f>
        <v>0</v>
      </c>
      <c r="D541" s="1" t="str">
        <f>VLOOKUP(C541,Tabulka5[],3,FALSE)</f>
        <v>Private</v>
      </c>
      <c r="E541" s="1">
        <v>0</v>
      </c>
      <c r="F541" s="1" t="str">
        <f>VLOOKUP(E541,Tabulka5[],3,FALSE)</f>
        <v>Private</v>
      </c>
      <c r="G541" s="1" t="s">
        <v>3115</v>
      </c>
      <c r="H541" s="1" t="s">
        <v>888</v>
      </c>
      <c r="I541" s="1" t="s">
        <v>403</v>
      </c>
      <c r="J541" s="1" t="s">
        <v>2728</v>
      </c>
      <c r="K541" s="1" t="s">
        <v>3126</v>
      </c>
      <c r="L541" s="1" t="s">
        <v>3131</v>
      </c>
      <c r="M541" s="1">
        <v>2000</v>
      </c>
      <c r="N541" s="1">
        <v>1</v>
      </c>
      <c r="O541" s="1" t="str">
        <f t="shared" si="43"/>
        <v>"MiniDress_Pink": 1,</v>
      </c>
      <c r="P541" s="1" t="str">
        <f t="shared" si="44"/>
        <v>"MiniDress_Pink": 1,</v>
      </c>
      <c r="Q541" s="1" t="str">
        <f t="shared" si="45"/>
        <v>"MiniDress_Pink": 2000,</v>
      </c>
      <c r="R541" s="1" t="str">
        <f t="shared" si="46"/>
        <v>"MiniDress_Pink": 0,</v>
      </c>
    </row>
    <row r="542" spans="1:18" ht="15" customHeight="1" x14ac:dyDescent="0.25">
      <c r="A542" s="1" t="str">
        <f t="shared" si="47"/>
        <v>#tc_clothes#tc_civil#tc_tops</v>
      </c>
      <c r="B542" s="1">
        <f>VLOOKUP(A542,TraderCategory!$A$63:$E$556,2,FALSE)</f>
        <v>1</v>
      </c>
      <c r="C542" s="1">
        <f>VLOOKUP(A542,TraderCategory!$A$63:$F$556,6,FALSE)</f>
        <v>0</v>
      </c>
      <c r="D542" s="1" t="str">
        <f>VLOOKUP(C542,Tabulka5[],3,FALSE)</f>
        <v>Private</v>
      </c>
      <c r="E542" s="1">
        <v>0</v>
      </c>
      <c r="F542" s="1" t="str">
        <f>VLOOKUP(E542,Tabulka5[],3,FALSE)</f>
        <v>Private</v>
      </c>
      <c r="G542" s="1" t="s">
        <v>3115</v>
      </c>
      <c r="H542" s="1" t="s">
        <v>889</v>
      </c>
      <c r="I542" s="1" t="s">
        <v>403</v>
      </c>
      <c r="J542" s="1" t="s">
        <v>2728</v>
      </c>
      <c r="K542" s="1" t="s">
        <v>3126</v>
      </c>
      <c r="L542" s="1" t="s">
        <v>3131</v>
      </c>
      <c r="M542" s="1">
        <v>2000</v>
      </c>
      <c r="N542" s="1">
        <v>1</v>
      </c>
      <c r="O542" s="1" t="str">
        <f t="shared" si="43"/>
        <v>"MiniDress_PinkChecker": 1,</v>
      </c>
      <c r="P542" s="1" t="str">
        <f t="shared" si="44"/>
        <v>"MiniDress_PinkChecker": 1,</v>
      </c>
      <c r="Q542" s="1" t="str">
        <f t="shared" si="45"/>
        <v>"MiniDress_PinkChecker": 2000,</v>
      </c>
      <c r="R542" s="1" t="str">
        <f t="shared" si="46"/>
        <v>"MiniDress_PinkChecker": 0,</v>
      </c>
    </row>
    <row r="543" spans="1:18" ht="15" customHeight="1" x14ac:dyDescent="0.25">
      <c r="A543" s="1" t="str">
        <f t="shared" si="47"/>
        <v>#tc_clothes#tc_civil#tc_tops</v>
      </c>
      <c r="B543" s="1">
        <f>VLOOKUP(A543,TraderCategory!$A$63:$E$556,2,FALSE)</f>
        <v>1</v>
      </c>
      <c r="C543" s="1">
        <f>VLOOKUP(A543,TraderCategory!$A$63:$F$556,6,FALSE)</f>
        <v>0</v>
      </c>
      <c r="D543" s="1" t="str">
        <f>VLOOKUP(C543,Tabulka5[],3,FALSE)</f>
        <v>Private</v>
      </c>
      <c r="E543" s="1">
        <v>0</v>
      </c>
      <c r="F543" s="1" t="str">
        <f>VLOOKUP(E543,Tabulka5[],3,FALSE)</f>
        <v>Private</v>
      </c>
      <c r="G543" s="1" t="s">
        <v>3115</v>
      </c>
      <c r="H543" s="1" t="s">
        <v>890</v>
      </c>
      <c r="I543" s="1" t="s">
        <v>403</v>
      </c>
      <c r="J543" s="1" t="s">
        <v>2728</v>
      </c>
      <c r="K543" s="1" t="s">
        <v>3126</v>
      </c>
      <c r="L543" s="1" t="s">
        <v>3131</v>
      </c>
      <c r="M543" s="1">
        <v>2000</v>
      </c>
      <c r="N543" s="1">
        <v>1</v>
      </c>
      <c r="O543" s="1" t="str">
        <f t="shared" si="43"/>
        <v>"MiniDress_RedChecker": 1,</v>
      </c>
      <c r="P543" s="1" t="str">
        <f t="shared" si="44"/>
        <v>"MiniDress_RedChecker": 1,</v>
      </c>
      <c r="Q543" s="1" t="str">
        <f t="shared" si="45"/>
        <v>"MiniDress_RedChecker": 2000,</v>
      </c>
      <c r="R543" s="1" t="str">
        <f t="shared" si="46"/>
        <v>"MiniDress_RedChecker": 0,</v>
      </c>
    </row>
    <row r="544" spans="1:18" ht="15" customHeight="1" x14ac:dyDescent="0.25">
      <c r="A544" s="1" t="str">
        <f t="shared" si="47"/>
        <v>#tc_clothes#tc_civil#tc_tops</v>
      </c>
      <c r="B544" s="1">
        <f>VLOOKUP(A544,TraderCategory!$A$63:$E$556,2,FALSE)</f>
        <v>1</v>
      </c>
      <c r="C544" s="1">
        <f>VLOOKUP(A544,TraderCategory!$A$63:$F$556,6,FALSE)</f>
        <v>0</v>
      </c>
      <c r="D544" s="1" t="str">
        <f>VLOOKUP(C544,Tabulka5[],3,FALSE)</f>
        <v>Private</v>
      </c>
      <c r="E544" s="1">
        <v>0</v>
      </c>
      <c r="F544" s="1" t="str">
        <f>VLOOKUP(E544,Tabulka5[],3,FALSE)</f>
        <v>Private</v>
      </c>
      <c r="G544" s="1" t="s">
        <v>3115</v>
      </c>
      <c r="H544" s="1" t="s">
        <v>891</v>
      </c>
      <c r="I544" s="1" t="s">
        <v>403</v>
      </c>
      <c r="J544" s="1" t="s">
        <v>2728</v>
      </c>
      <c r="K544" s="1" t="s">
        <v>3126</v>
      </c>
      <c r="L544" s="1" t="s">
        <v>3131</v>
      </c>
      <c r="M544" s="1">
        <v>2000</v>
      </c>
      <c r="N544" s="1">
        <v>1</v>
      </c>
      <c r="O544" s="1" t="str">
        <f t="shared" si="43"/>
        <v>"MiniDress_WhiteChecker": 1,</v>
      </c>
      <c r="P544" s="1" t="str">
        <f t="shared" si="44"/>
        <v>"MiniDress_WhiteChecker": 1,</v>
      </c>
      <c r="Q544" s="1" t="str">
        <f t="shared" si="45"/>
        <v>"MiniDress_WhiteChecker": 2000,</v>
      </c>
      <c r="R544" s="1" t="str">
        <f t="shared" si="46"/>
        <v>"MiniDress_WhiteChecker": 0,</v>
      </c>
    </row>
    <row r="545" spans="1:18" ht="15" customHeight="1" x14ac:dyDescent="0.25">
      <c r="A545" s="1" t="str">
        <f t="shared" si="47"/>
        <v>#tc_groceries#tc_medic#tc_medicaments</v>
      </c>
      <c r="B545" s="1">
        <f>VLOOKUP(A545,TraderCategory!$A$63:$E$556,2,FALSE)</f>
        <v>24</v>
      </c>
      <c r="C545" s="1">
        <f>VLOOKUP(A545,TraderCategory!$A$63:$F$556,6,FALSE)</f>
        <v>6</v>
      </c>
      <c r="D545" s="1" t="str">
        <f>VLOOKUP(C545,Tabulka5[],3,FALSE)</f>
        <v>Master Sergeant</v>
      </c>
      <c r="E545" s="1">
        <v>6</v>
      </c>
      <c r="F545" s="1" t="str">
        <f>VLOOKUP(E545,Tabulka5[],3,FALSE)</f>
        <v>Master Sergeant</v>
      </c>
      <c r="G545" s="1" t="s">
        <v>3115</v>
      </c>
      <c r="H545" s="1" t="s">
        <v>892</v>
      </c>
      <c r="I545" s="1" t="s">
        <v>426</v>
      </c>
      <c r="J545" s="1" t="s">
        <v>3127</v>
      </c>
      <c r="K545" s="1" t="s">
        <v>2739</v>
      </c>
      <c r="L545" s="1" t="s">
        <v>3153</v>
      </c>
      <c r="M545" s="1">
        <v>1000</v>
      </c>
      <c r="N545" s="1">
        <v>1</v>
      </c>
      <c r="O545" s="1" t="str">
        <f t="shared" si="43"/>
        <v>"Morphine": 1,</v>
      </c>
      <c r="P545" s="1" t="str">
        <f t="shared" si="44"/>
        <v>"Morphine": 24,</v>
      </c>
      <c r="Q545" s="1" t="str">
        <f t="shared" si="45"/>
        <v>"Morphine": 1000,</v>
      </c>
      <c r="R545" s="1" t="str">
        <f t="shared" si="46"/>
        <v>"Morphine": 6,</v>
      </c>
    </row>
    <row r="546" spans="1:18" x14ac:dyDescent="0.25">
      <c r="A546" s="1" t="str">
        <f t="shared" si="47"/>
        <v>#tc_military#tc_weapons#tc_pistols</v>
      </c>
      <c r="B546" s="1">
        <f>VLOOKUP(A546,TraderCategory!$A$63:$E$556,2,FALSE)</f>
        <v>61</v>
      </c>
      <c r="C546" s="1">
        <f>VLOOKUP(A546,TraderCategory!$A$63:$F$556,6,FALSE)</f>
        <v>0</v>
      </c>
      <c r="D546" s="1" t="str">
        <f>VLOOKUP(C546,Tabulka5[],3,FALSE)</f>
        <v>Private</v>
      </c>
      <c r="E546" s="1">
        <v>3</v>
      </c>
      <c r="F546" s="1" t="str">
        <f>VLOOKUP(E546,Tabulka5[],3,FALSE)</f>
        <v>Sergeant</v>
      </c>
      <c r="G546" s="1" t="s">
        <v>3119</v>
      </c>
      <c r="H546" s="1" t="s">
        <v>1281</v>
      </c>
      <c r="I546" s="1" t="s">
        <v>8</v>
      </c>
      <c r="J546" s="1" t="s">
        <v>2729</v>
      </c>
      <c r="K546" s="1" t="s">
        <v>3129</v>
      </c>
      <c r="L546" s="1" t="s">
        <v>3154</v>
      </c>
      <c r="M546" s="1">
        <v>12000</v>
      </c>
      <c r="N546" s="1">
        <v>1</v>
      </c>
      <c r="O546" s="1" t="str">
        <f t="shared" si="43"/>
        <v>"lebedev_PL15_mung": 1,</v>
      </c>
      <c r="P546" s="1" t="str">
        <f t="shared" si="44"/>
        <v>"lebedev_PL15_mung": 61,</v>
      </c>
      <c r="Q546" s="1" t="str">
        <f t="shared" si="45"/>
        <v>"lebedev_PL15_mung": 12000,</v>
      </c>
      <c r="R546" s="1" t="str">
        <f t="shared" si="46"/>
        <v>"lebedev_PL15_mung": 3,</v>
      </c>
    </row>
    <row r="547" spans="1:18" x14ac:dyDescent="0.25">
      <c r="A547" s="1" t="str">
        <f t="shared" si="47"/>
        <v>#tc_military#tc_attachments#tc_bayonets</v>
      </c>
      <c r="B547" s="1">
        <f>VLOOKUP(A547,TraderCategory!$A$63:$E$556,2,FALSE)</f>
        <v>49</v>
      </c>
      <c r="C547" s="1">
        <f>VLOOKUP(A547,TraderCategory!$A$63:$F$556,6,FALSE)</f>
        <v>1</v>
      </c>
      <c r="D547" s="1" t="str">
        <f>VLOOKUP(C547,Tabulka5[],3,FALSE)</f>
        <v>Private First Class</v>
      </c>
      <c r="E547" s="1">
        <v>3</v>
      </c>
      <c r="F547" s="1" t="str">
        <f>VLOOKUP(E547,Tabulka5[],3,FALSE)</f>
        <v>Sergeant</v>
      </c>
      <c r="G547" s="1" t="s">
        <v>3115</v>
      </c>
      <c r="H547" s="1" t="s">
        <v>894</v>
      </c>
      <c r="I547" s="1" t="s">
        <v>8</v>
      </c>
      <c r="J547" s="1" t="s">
        <v>2729</v>
      </c>
      <c r="K547" s="1" t="s">
        <v>2736</v>
      </c>
      <c r="L547" s="1" t="s">
        <v>3164</v>
      </c>
      <c r="M547" s="1">
        <v>2500</v>
      </c>
      <c r="N547" s="1">
        <v>1</v>
      </c>
      <c r="O547" s="1" t="str">
        <f t="shared" si="43"/>
        <v>"Mosin_Bayonet": 1,</v>
      </c>
      <c r="P547" s="1" t="str">
        <f t="shared" si="44"/>
        <v>"Mosin_Bayonet": 49,</v>
      </c>
      <c r="Q547" s="1" t="str">
        <f t="shared" si="45"/>
        <v>"Mosin_Bayonet": 2500,</v>
      </c>
      <c r="R547" s="1" t="str">
        <f t="shared" si="46"/>
        <v>"Mosin_Bayonet": 3,</v>
      </c>
    </row>
    <row r="548" spans="1:18" x14ac:dyDescent="0.25">
      <c r="A548" s="1" t="str">
        <f t="shared" si="47"/>
        <v>#tc_military#tc_attachments#tc_attachments</v>
      </c>
      <c r="B548" s="1">
        <f>VLOOKUP(A548,TraderCategory!$A$63:$E$556,2,FALSE)</f>
        <v>48</v>
      </c>
      <c r="C548" s="1">
        <f>VLOOKUP(A548,TraderCategory!$A$63:$F$556,6,FALSE)</f>
        <v>0</v>
      </c>
      <c r="D548" s="1" t="str">
        <f>VLOOKUP(C548,Tabulka5[],3,FALSE)</f>
        <v>Private</v>
      </c>
      <c r="E548" s="1">
        <v>3</v>
      </c>
      <c r="F548" s="1" t="str">
        <f>VLOOKUP(E548,Tabulka5[],3,FALSE)</f>
        <v>Sergeant</v>
      </c>
      <c r="G548" s="1" t="s">
        <v>3115</v>
      </c>
      <c r="H548" s="1" t="s">
        <v>895</v>
      </c>
      <c r="I548" s="1" t="s">
        <v>8</v>
      </c>
      <c r="J548" s="1" t="s">
        <v>2729</v>
      </c>
      <c r="K548" s="1" t="s">
        <v>2736</v>
      </c>
      <c r="L548" s="1" t="s">
        <v>2736</v>
      </c>
      <c r="M548" s="1">
        <v>1000</v>
      </c>
      <c r="N548" s="1">
        <v>1</v>
      </c>
      <c r="O548" s="1" t="str">
        <f t="shared" si="43"/>
        <v>"Mosin_Compensator": 1,</v>
      </c>
      <c r="P548" s="1" t="str">
        <f t="shared" si="44"/>
        <v>"Mosin_Compensator": 48,</v>
      </c>
      <c r="Q548" s="1" t="str">
        <f t="shared" si="45"/>
        <v>"Mosin_Compensator": 1000,</v>
      </c>
      <c r="R548" s="1" t="str">
        <f t="shared" si="46"/>
        <v>"Mosin_Compensator": 3,</v>
      </c>
    </row>
    <row r="549" spans="1:18" ht="15" customHeight="1" x14ac:dyDescent="0.25">
      <c r="A549" s="1" t="str">
        <f t="shared" si="47"/>
        <v>#tc_clothes#tc_civil#tc_head</v>
      </c>
      <c r="B549" s="1">
        <f>VLOOKUP(A549,TraderCategory!$A$63:$E$556,2,FALSE)</f>
        <v>0</v>
      </c>
      <c r="C549" s="1">
        <f>VLOOKUP(A549,TraderCategory!$A$63:$F$556,6,FALSE)</f>
        <v>0</v>
      </c>
      <c r="D549" s="1" t="str">
        <f>VLOOKUP(C549,Tabulka5[],3,FALSE)</f>
        <v>Private</v>
      </c>
      <c r="E549" s="1">
        <v>0</v>
      </c>
      <c r="F549" s="1" t="str">
        <f>VLOOKUP(E549,Tabulka5[],3,FALSE)</f>
        <v>Private</v>
      </c>
      <c r="G549" s="1" t="s">
        <v>3115</v>
      </c>
      <c r="H549" s="1" t="s">
        <v>896</v>
      </c>
      <c r="I549" s="1" t="s">
        <v>403</v>
      </c>
      <c r="J549" s="1" t="s">
        <v>2728</v>
      </c>
      <c r="K549" s="1" t="s">
        <v>3126</v>
      </c>
      <c r="L549" s="1" t="s">
        <v>3130</v>
      </c>
      <c r="M549" s="1">
        <v>2500</v>
      </c>
      <c r="N549" s="1">
        <v>1</v>
      </c>
      <c r="O549" s="1" t="str">
        <f t="shared" si="43"/>
        <v>"MotoHelmet_Black": 1,</v>
      </c>
      <c r="P549" s="1" t="str">
        <f t="shared" si="44"/>
        <v>"MotoHelmet_Black": 0,</v>
      </c>
      <c r="Q549" s="1" t="str">
        <f t="shared" si="45"/>
        <v>"MotoHelmet_Black": 2500,</v>
      </c>
      <c r="R549" s="1" t="str">
        <f t="shared" si="46"/>
        <v>"MotoHelmet_Black": 0,</v>
      </c>
    </row>
    <row r="550" spans="1:18" ht="15" customHeight="1" x14ac:dyDescent="0.25">
      <c r="A550" s="1" t="str">
        <f t="shared" si="47"/>
        <v>#tc_clothes#tc_civil#tc_head</v>
      </c>
      <c r="B550" s="1">
        <f>VLOOKUP(A550,TraderCategory!$A$63:$E$556,2,FALSE)</f>
        <v>0</v>
      </c>
      <c r="C550" s="1">
        <f>VLOOKUP(A550,TraderCategory!$A$63:$F$556,6,FALSE)</f>
        <v>0</v>
      </c>
      <c r="D550" s="1" t="str">
        <f>VLOOKUP(C550,Tabulka5[],3,FALSE)</f>
        <v>Private</v>
      </c>
      <c r="E550" s="1">
        <v>0</v>
      </c>
      <c r="F550" s="1" t="str">
        <f>VLOOKUP(E550,Tabulka5[],3,FALSE)</f>
        <v>Private</v>
      </c>
      <c r="G550" s="1" t="s">
        <v>3115</v>
      </c>
      <c r="H550" s="1" t="s">
        <v>897</v>
      </c>
      <c r="I550" s="1" t="s">
        <v>403</v>
      </c>
      <c r="J550" s="1" t="s">
        <v>2728</v>
      </c>
      <c r="K550" s="1" t="s">
        <v>3126</v>
      </c>
      <c r="L550" s="1" t="s">
        <v>3130</v>
      </c>
      <c r="M550" s="1">
        <v>2500</v>
      </c>
      <c r="N550" s="1">
        <v>1</v>
      </c>
      <c r="O550" s="1" t="str">
        <f t="shared" si="43"/>
        <v>"MotoHelmet_Blue": 1,</v>
      </c>
      <c r="P550" s="1" t="str">
        <f t="shared" si="44"/>
        <v>"MotoHelmet_Blue": 0,</v>
      </c>
      <c r="Q550" s="1" t="str">
        <f t="shared" si="45"/>
        <v>"MotoHelmet_Blue": 2500,</v>
      </c>
      <c r="R550" s="1" t="str">
        <f t="shared" si="46"/>
        <v>"MotoHelmet_Blue": 0,</v>
      </c>
    </row>
    <row r="551" spans="1:18" ht="15" customHeight="1" x14ac:dyDescent="0.25">
      <c r="A551" s="1" t="str">
        <f t="shared" si="47"/>
        <v>#tc_clothes#tc_civil#tc_head</v>
      </c>
      <c r="B551" s="1">
        <f>VLOOKUP(A551,TraderCategory!$A$63:$E$556,2,FALSE)</f>
        <v>0</v>
      </c>
      <c r="C551" s="1">
        <f>VLOOKUP(A551,TraderCategory!$A$63:$F$556,6,FALSE)</f>
        <v>0</v>
      </c>
      <c r="D551" s="1" t="str">
        <f>VLOOKUP(C551,Tabulka5[],3,FALSE)</f>
        <v>Private</v>
      </c>
      <c r="E551" s="1">
        <v>0</v>
      </c>
      <c r="F551" s="1" t="str">
        <f>VLOOKUP(E551,Tabulka5[],3,FALSE)</f>
        <v>Private</v>
      </c>
      <c r="G551" s="1" t="s">
        <v>3115</v>
      </c>
      <c r="H551" s="1" t="s">
        <v>898</v>
      </c>
      <c r="I551" s="1" t="s">
        <v>403</v>
      </c>
      <c r="J551" s="1" t="s">
        <v>2728</v>
      </c>
      <c r="K551" s="1" t="s">
        <v>3126</v>
      </c>
      <c r="L551" s="1" t="s">
        <v>3130</v>
      </c>
      <c r="M551" s="1">
        <v>2500</v>
      </c>
      <c r="N551" s="1">
        <v>1</v>
      </c>
      <c r="O551" s="1" t="str">
        <f t="shared" si="43"/>
        <v>"MotoHelmet_Green": 1,</v>
      </c>
      <c r="P551" s="1" t="str">
        <f t="shared" si="44"/>
        <v>"MotoHelmet_Green": 0,</v>
      </c>
      <c r="Q551" s="1" t="str">
        <f t="shared" si="45"/>
        <v>"MotoHelmet_Green": 2500,</v>
      </c>
      <c r="R551" s="1" t="str">
        <f t="shared" si="46"/>
        <v>"MotoHelmet_Green": 0,</v>
      </c>
    </row>
    <row r="552" spans="1:18" ht="15" customHeight="1" x14ac:dyDescent="0.25">
      <c r="A552" s="1" t="str">
        <f t="shared" si="47"/>
        <v>#tc_clothes#tc_civil#tc_head</v>
      </c>
      <c r="B552" s="1">
        <f>VLOOKUP(A552,TraderCategory!$A$63:$E$556,2,FALSE)</f>
        <v>0</v>
      </c>
      <c r="C552" s="1">
        <f>VLOOKUP(A552,TraderCategory!$A$63:$F$556,6,FALSE)</f>
        <v>0</v>
      </c>
      <c r="D552" s="1" t="str">
        <f>VLOOKUP(C552,Tabulka5[],3,FALSE)</f>
        <v>Private</v>
      </c>
      <c r="E552" s="1">
        <v>0</v>
      </c>
      <c r="F552" s="1" t="str">
        <f>VLOOKUP(E552,Tabulka5[],3,FALSE)</f>
        <v>Private</v>
      </c>
      <c r="G552" s="1" t="s">
        <v>3115</v>
      </c>
      <c r="H552" s="1" t="s">
        <v>899</v>
      </c>
      <c r="I552" s="1" t="s">
        <v>403</v>
      </c>
      <c r="J552" s="1" t="s">
        <v>2728</v>
      </c>
      <c r="K552" s="1" t="s">
        <v>3126</v>
      </c>
      <c r="L552" s="1" t="s">
        <v>3130</v>
      </c>
      <c r="M552" s="1">
        <v>2500</v>
      </c>
      <c r="N552" s="1">
        <v>1</v>
      </c>
      <c r="O552" s="1" t="str">
        <f t="shared" si="43"/>
        <v>"MotoHelmet_Grey": 1,</v>
      </c>
      <c r="P552" s="1" t="str">
        <f t="shared" si="44"/>
        <v>"MotoHelmet_Grey": 0,</v>
      </c>
      <c r="Q552" s="1" t="str">
        <f t="shared" si="45"/>
        <v>"MotoHelmet_Grey": 2500,</v>
      </c>
      <c r="R552" s="1" t="str">
        <f t="shared" si="46"/>
        <v>"MotoHelmet_Grey": 0,</v>
      </c>
    </row>
    <row r="553" spans="1:18" ht="15" customHeight="1" x14ac:dyDescent="0.25">
      <c r="A553" s="1" t="str">
        <f t="shared" si="47"/>
        <v>#tc_clothes#tc_civil#tc_head</v>
      </c>
      <c r="B553" s="1">
        <f>VLOOKUP(A553,TraderCategory!$A$63:$E$556,2,FALSE)</f>
        <v>0</v>
      </c>
      <c r="C553" s="1">
        <f>VLOOKUP(A553,TraderCategory!$A$63:$F$556,6,FALSE)</f>
        <v>0</v>
      </c>
      <c r="D553" s="1" t="str">
        <f>VLOOKUP(C553,Tabulka5[],3,FALSE)</f>
        <v>Private</v>
      </c>
      <c r="E553" s="1">
        <v>0</v>
      </c>
      <c r="F553" s="1" t="str">
        <f>VLOOKUP(E553,Tabulka5[],3,FALSE)</f>
        <v>Private</v>
      </c>
      <c r="G553" s="1" t="s">
        <v>3115</v>
      </c>
      <c r="H553" s="1" t="s">
        <v>900</v>
      </c>
      <c r="I553" s="1" t="s">
        <v>403</v>
      </c>
      <c r="J553" s="1" t="s">
        <v>2728</v>
      </c>
      <c r="K553" s="1" t="s">
        <v>3126</v>
      </c>
      <c r="L553" s="1" t="s">
        <v>3130</v>
      </c>
      <c r="M553" s="1">
        <v>2500</v>
      </c>
      <c r="N553" s="1">
        <v>1</v>
      </c>
      <c r="O553" s="1" t="str">
        <f t="shared" si="43"/>
        <v>"MotoHelmet_Lime": 1,</v>
      </c>
      <c r="P553" s="1" t="str">
        <f t="shared" si="44"/>
        <v>"MotoHelmet_Lime": 0,</v>
      </c>
      <c r="Q553" s="1" t="str">
        <f t="shared" si="45"/>
        <v>"MotoHelmet_Lime": 2500,</v>
      </c>
      <c r="R553" s="1" t="str">
        <f t="shared" si="46"/>
        <v>"MotoHelmet_Lime": 0,</v>
      </c>
    </row>
    <row r="554" spans="1:18" ht="15" customHeight="1" x14ac:dyDescent="0.25">
      <c r="A554" s="1" t="str">
        <f t="shared" si="47"/>
        <v>#tc_clothes#tc_civil#tc_head</v>
      </c>
      <c r="B554" s="1">
        <f>VLOOKUP(A554,TraderCategory!$A$63:$E$556,2,FALSE)</f>
        <v>0</v>
      </c>
      <c r="C554" s="1">
        <f>VLOOKUP(A554,TraderCategory!$A$63:$F$556,6,FALSE)</f>
        <v>0</v>
      </c>
      <c r="D554" s="1" t="str">
        <f>VLOOKUP(C554,Tabulka5[],3,FALSE)</f>
        <v>Private</v>
      </c>
      <c r="E554" s="1">
        <v>0</v>
      </c>
      <c r="F554" s="1" t="str">
        <f>VLOOKUP(E554,Tabulka5[],3,FALSE)</f>
        <v>Private</v>
      </c>
      <c r="G554" s="1" t="s">
        <v>3115</v>
      </c>
      <c r="H554" s="1" t="s">
        <v>901</v>
      </c>
      <c r="I554" s="1" t="s">
        <v>403</v>
      </c>
      <c r="J554" s="1" t="s">
        <v>2728</v>
      </c>
      <c r="K554" s="1" t="s">
        <v>3126</v>
      </c>
      <c r="L554" s="1" t="s">
        <v>3130</v>
      </c>
      <c r="M554" s="1">
        <v>2500</v>
      </c>
      <c r="N554" s="1">
        <v>1</v>
      </c>
      <c r="O554" s="1" t="str">
        <f t="shared" si="43"/>
        <v>"MotoHelmet_Red": 1,</v>
      </c>
      <c r="P554" s="1" t="str">
        <f t="shared" si="44"/>
        <v>"MotoHelmet_Red": 0,</v>
      </c>
      <c r="Q554" s="1" t="str">
        <f t="shared" si="45"/>
        <v>"MotoHelmet_Red": 2500,</v>
      </c>
      <c r="R554" s="1" t="str">
        <f t="shared" si="46"/>
        <v>"MotoHelmet_Red": 0,</v>
      </c>
    </row>
    <row r="555" spans="1:18" ht="15" customHeight="1" x14ac:dyDescent="0.25">
      <c r="A555" s="1" t="str">
        <f t="shared" si="47"/>
        <v>#tc_clothes#tc_civil#tc_head</v>
      </c>
      <c r="B555" s="1">
        <f>VLOOKUP(A555,TraderCategory!$A$63:$E$556,2,FALSE)</f>
        <v>0</v>
      </c>
      <c r="C555" s="1">
        <f>VLOOKUP(A555,TraderCategory!$A$63:$F$556,6,FALSE)</f>
        <v>0</v>
      </c>
      <c r="D555" s="1" t="str">
        <f>VLOOKUP(C555,Tabulka5[],3,FALSE)</f>
        <v>Private</v>
      </c>
      <c r="E555" s="1">
        <v>0</v>
      </c>
      <c r="F555" s="1" t="str">
        <f>VLOOKUP(E555,Tabulka5[],3,FALSE)</f>
        <v>Private</v>
      </c>
      <c r="G555" s="1" t="s">
        <v>3115</v>
      </c>
      <c r="H555" s="1" t="s">
        <v>902</v>
      </c>
      <c r="I555" s="1" t="s">
        <v>403</v>
      </c>
      <c r="J555" s="1" t="s">
        <v>2728</v>
      </c>
      <c r="K555" s="1" t="s">
        <v>3126</v>
      </c>
      <c r="L555" s="1" t="s">
        <v>3130</v>
      </c>
      <c r="M555" s="1">
        <v>2500</v>
      </c>
      <c r="N555" s="1">
        <v>1</v>
      </c>
      <c r="O555" s="1" t="str">
        <f t="shared" si="43"/>
        <v>"MotoHelmet_White": 1,</v>
      </c>
      <c r="P555" s="1" t="str">
        <f t="shared" si="44"/>
        <v>"MotoHelmet_White": 0,</v>
      </c>
      <c r="Q555" s="1" t="str">
        <f t="shared" si="45"/>
        <v>"MotoHelmet_White": 2500,</v>
      </c>
      <c r="R555" s="1" t="str">
        <f t="shared" si="46"/>
        <v>"MotoHelmet_White": 0,</v>
      </c>
    </row>
    <row r="556" spans="1:18" ht="15" customHeight="1" x14ac:dyDescent="0.25">
      <c r="A556" s="1" t="str">
        <f t="shared" si="47"/>
        <v>#tc_clothes#tc_civil#tc_bags</v>
      </c>
      <c r="B556" s="1">
        <f>VLOOKUP(A556,TraderCategory!$A$63:$E$556,2,FALSE)</f>
        <v>7</v>
      </c>
      <c r="C556" s="1">
        <f>VLOOKUP(A556,TraderCategory!$A$63:$F$556,6,FALSE)</f>
        <v>0</v>
      </c>
      <c r="D556" s="1" t="str">
        <f>VLOOKUP(C556,Tabulka5[],3,FALSE)</f>
        <v>Private</v>
      </c>
      <c r="E556" s="1">
        <v>0</v>
      </c>
      <c r="F556" s="1" t="str">
        <f>VLOOKUP(E556,Tabulka5[],3,FALSE)</f>
        <v>Private</v>
      </c>
      <c r="G556" s="1" t="s">
        <v>3115</v>
      </c>
      <c r="H556" s="1" t="s">
        <v>903</v>
      </c>
      <c r="I556" s="1" t="s">
        <v>363</v>
      </c>
      <c r="J556" s="1" t="s">
        <v>2728</v>
      </c>
      <c r="K556" s="1" t="s">
        <v>3126</v>
      </c>
      <c r="L556" s="1" t="s">
        <v>3138</v>
      </c>
      <c r="M556" s="1">
        <v>8000</v>
      </c>
      <c r="N556" s="1">
        <v>1</v>
      </c>
      <c r="O556" s="1" t="str">
        <f t="shared" si="43"/>
        <v>"MountainBag_Blue": 1,</v>
      </c>
      <c r="P556" s="1" t="str">
        <f t="shared" si="44"/>
        <v>"MountainBag_Blue": 7,</v>
      </c>
      <c r="Q556" s="1" t="str">
        <f t="shared" si="45"/>
        <v>"MountainBag_Blue": 8000,</v>
      </c>
      <c r="R556" s="1" t="str">
        <f t="shared" si="46"/>
        <v>"MountainBag_Blue": 0,</v>
      </c>
    </row>
    <row r="557" spans="1:18" ht="15" customHeight="1" x14ac:dyDescent="0.25">
      <c r="A557" s="1" t="str">
        <f t="shared" si="47"/>
        <v>#tc_clothes#tc_civil#tc_bags</v>
      </c>
      <c r="B557" s="1">
        <f>VLOOKUP(A557,TraderCategory!$A$63:$E$556,2,FALSE)</f>
        <v>7</v>
      </c>
      <c r="C557" s="1">
        <f>VLOOKUP(A557,TraderCategory!$A$63:$F$556,6,FALSE)</f>
        <v>0</v>
      </c>
      <c r="D557" s="1" t="str">
        <f>VLOOKUP(C557,Tabulka5[],3,FALSE)</f>
        <v>Private</v>
      </c>
      <c r="E557" s="1">
        <v>0</v>
      </c>
      <c r="F557" s="1" t="str">
        <f>VLOOKUP(E557,Tabulka5[],3,FALSE)</f>
        <v>Private</v>
      </c>
      <c r="G557" s="1" t="s">
        <v>3115</v>
      </c>
      <c r="H557" s="1" t="s">
        <v>904</v>
      </c>
      <c r="I557" s="1" t="s">
        <v>363</v>
      </c>
      <c r="J557" s="1" t="s">
        <v>2728</v>
      </c>
      <c r="K557" s="1" t="s">
        <v>3126</v>
      </c>
      <c r="L557" s="1" t="s">
        <v>3138</v>
      </c>
      <c r="M557" s="1">
        <v>8000</v>
      </c>
      <c r="N557" s="1">
        <v>1</v>
      </c>
      <c r="O557" s="1" t="str">
        <f t="shared" si="43"/>
        <v>"MountainBag_Green": 1,</v>
      </c>
      <c r="P557" s="1" t="str">
        <f t="shared" si="44"/>
        <v>"MountainBag_Green": 7,</v>
      </c>
      <c r="Q557" s="1" t="str">
        <f t="shared" si="45"/>
        <v>"MountainBag_Green": 8000,</v>
      </c>
      <c r="R557" s="1" t="str">
        <f t="shared" si="46"/>
        <v>"MountainBag_Green": 0,</v>
      </c>
    </row>
    <row r="558" spans="1:18" ht="15" customHeight="1" x14ac:dyDescent="0.25">
      <c r="A558" s="1" t="str">
        <f t="shared" si="47"/>
        <v>#tc_clothes#tc_civil#tc_bags</v>
      </c>
      <c r="B558" s="1">
        <f>VLOOKUP(A558,TraderCategory!$A$63:$E$556,2,FALSE)</f>
        <v>7</v>
      </c>
      <c r="C558" s="1">
        <f>VLOOKUP(A558,TraderCategory!$A$63:$F$556,6,FALSE)</f>
        <v>0</v>
      </c>
      <c r="D558" s="1" t="str">
        <f>VLOOKUP(C558,Tabulka5[],3,FALSE)</f>
        <v>Private</v>
      </c>
      <c r="E558" s="1">
        <v>0</v>
      </c>
      <c r="F558" s="1" t="str">
        <f>VLOOKUP(E558,Tabulka5[],3,FALSE)</f>
        <v>Private</v>
      </c>
      <c r="G558" s="1" t="s">
        <v>3115</v>
      </c>
      <c r="H558" s="1" t="s">
        <v>905</v>
      </c>
      <c r="I558" s="1" t="s">
        <v>363</v>
      </c>
      <c r="J558" s="1" t="s">
        <v>2728</v>
      </c>
      <c r="K558" s="1" t="s">
        <v>3126</v>
      </c>
      <c r="L558" s="1" t="s">
        <v>3138</v>
      </c>
      <c r="M558" s="1">
        <v>8000</v>
      </c>
      <c r="N558" s="1">
        <v>1</v>
      </c>
      <c r="O558" s="1" t="str">
        <f t="shared" si="43"/>
        <v>"MountainBag_Orange": 1,</v>
      </c>
      <c r="P558" s="1" t="str">
        <f t="shared" si="44"/>
        <v>"MountainBag_Orange": 7,</v>
      </c>
      <c r="Q558" s="1" t="str">
        <f t="shared" si="45"/>
        <v>"MountainBag_Orange": 8000,</v>
      </c>
      <c r="R558" s="1" t="str">
        <f t="shared" si="46"/>
        <v>"MountainBag_Orange": 0,</v>
      </c>
    </row>
    <row r="559" spans="1:18" ht="15" customHeight="1" x14ac:dyDescent="0.25">
      <c r="A559" s="1" t="str">
        <f t="shared" si="47"/>
        <v>#tc_clothes#tc_civil#tc_bags</v>
      </c>
      <c r="B559" s="1">
        <f>VLOOKUP(A559,TraderCategory!$A$63:$E$556,2,FALSE)</f>
        <v>7</v>
      </c>
      <c r="C559" s="1">
        <f>VLOOKUP(A559,TraderCategory!$A$63:$F$556,6,FALSE)</f>
        <v>0</v>
      </c>
      <c r="D559" s="1" t="str">
        <f>VLOOKUP(C559,Tabulka5[],3,FALSE)</f>
        <v>Private</v>
      </c>
      <c r="E559" s="1">
        <v>0</v>
      </c>
      <c r="F559" s="1" t="str">
        <f>VLOOKUP(E559,Tabulka5[],3,FALSE)</f>
        <v>Private</v>
      </c>
      <c r="G559" s="1" t="s">
        <v>3115</v>
      </c>
      <c r="H559" s="1" t="s">
        <v>906</v>
      </c>
      <c r="I559" s="1" t="s">
        <v>363</v>
      </c>
      <c r="J559" s="1" t="s">
        <v>2728</v>
      </c>
      <c r="K559" s="1" t="s">
        <v>3126</v>
      </c>
      <c r="L559" s="1" t="s">
        <v>3138</v>
      </c>
      <c r="M559" s="1">
        <v>8000</v>
      </c>
      <c r="N559" s="1">
        <v>1</v>
      </c>
      <c r="O559" s="1" t="str">
        <f t="shared" si="43"/>
        <v>"MountainBag_Red": 1,</v>
      </c>
      <c r="P559" s="1" t="str">
        <f t="shared" si="44"/>
        <v>"MountainBag_Red": 7,</v>
      </c>
      <c r="Q559" s="1" t="str">
        <f t="shared" si="45"/>
        <v>"MountainBag_Red": 8000,</v>
      </c>
      <c r="R559" s="1" t="str">
        <f t="shared" si="46"/>
        <v>"MountainBag_Red": 0,</v>
      </c>
    </row>
    <row r="560" spans="1:18" x14ac:dyDescent="0.25">
      <c r="A560" s="1" t="str">
        <f t="shared" si="47"/>
        <v>#tc_military#tc_weapons#tc_pistols</v>
      </c>
      <c r="B560" s="1">
        <f>VLOOKUP(A560,TraderCategory!$A$63:$E$556,2,FALSE)</f>
        <v>61</v>
      </c>
      <c r="C560" s="1">
        <f>VLOOKUP(A560,TraderCategory!$A$63:$F$556,6,FALSE)</f>
        <v>0</v>
      </c>
      <c r="D560" s="1" t="str">
        <f>VLOOKUP(C560,Tabulka5[],3,FALSE)</f>
        <v>Private</v>
      </c>
      <c r="E560" s="1">
        <v>15</v>
      </c>
      <c r="F560" s="1" t="str">
        <f>VLOOKUP(E560,Tabulka5[],3,FALSE)</f>
        <v>Colonel</v>
      </c>
      <c r="G560" s="1" t="s">
        <v>3116</v>
      </c>
      <c r="H560" s="1" t="s">
        <v>1391</v>
      </c>
      <c r="I560" s="1" t="s">
        <v>8</v>
      </c>
      <c r="J560" s="1" t="s">
        <v>2729</v>
      </c>
      <c r="K560" s="1" t="s">
        <v>3129</v>
      </c>
      <c r="L560" s="1" t="s">
        <v>3154</v>
      </c>
      <c r="M560" s="1">
        <v>60000</v>
      </c>
      <c r="N560" s="1">
        <v>1</v>
      </c>
      <c r="O560" s="1" t="str">
        <f t="shared" si="43"/>
        <v>"WE_DesertEagle": 1,</v>
      </c>
      <c r="P560" s="1" t="str">
        <f t="shared" si="44"/>
        <v>"WE_DesertEagle": 61,</v>
      </c>
      <c r="Q560" s="1" t="str">
        <f t="shared" si="45"/>
        <v>"WE_DesertEagle": 60000,</v>
      </c>
      <c r="R560" s="1" t="str">
        <f t="shared" si="46"/>
        <v>"WE_DesertEagle": 15,</v>
      </c>
    </row>
    <row r="561" spans="1:18" x14ac:dyDescent="0.25">
      <c r="A561" s="1" t="str">
        <f t="shared" si="47"/>
        <v>#tc_military#tc_weapons#tc_pistols</v>
      </c>
      <c r="B561" s="1">
        <f>VLOOKUP(A561,TraderCategory!$A$63:$E$556,2,FALSE)</f>
        <v>61</v>
      </c>
      <c r="C561" s="1">
        <f>VLOOKUP(A561,TraderCategory!$A$63:$F$556,6,FALSE)</f>
        <v>0</v>
      </c>
      <c r="D561" s="1" t="str">
        <f>VLOOKUP(C561,Tabulka5[],3,FALSE)</f>
        <v>Private</v>
      </c>
      <c r="E561" s="1">
        <v>10</v>
      </c>
      <c r="F561" s="1" t="str">
        <f>VLOOKUP(E561,Tabulka5[],3,FALSE)</f>
        <v>Second Lieutenant</v>
      </c>
      <c r="G561" s="1" t="s">
        <v>3116</v>
      </c>
      <c r="H561" s="1" t="s">
        <v>1392</v>
      </c>
      <c r="I561" s="1" t="s">
        <v>8</v>
      </c>
      <c r="J561" s="1" t="s">
        <v>2729</v>
      </c>
      <c r="K561" s="1" t="s">
        <v>3129</v>
      </c>
      <c r="L561" s="1" t="s">
        <v>3154</v>
      </c>
      <c r="M561" s="1">
        <v>25000</v>
      </c>
      <c r="N561" s="1">
        <v>1</v>
      </c>
      <c r="O561" s="1" t="str">
        <f t="shared" si="43"/>
        <v>"WE_FiveSeven": 1,</v>
      </c>
      <c r="P561" s="1" t="str">
        <f t="shared" si="44"/>
        <v>"WE_FiveSeven": 61,</v>
      </c>
      <c r="Q561" s="1" t="str">
        <f t="shared" si="45"/>
        <v>"WE_FiveSeven": 25000,</v>
      </c>
      <c r="R561" s="1" t="str">
        <f t="shared" si="46"/>
        <v>"WE_FiveSeven": 10,</v>
      </c>
    </row>
    <row r="562" spans="1:18" ht="15" customHeight="1" x14ac:dyDescent="0.25">
      <c r="A562" s="1" t="str">
        <f t="shared" si="47"/>
        <v>#tc_clothes#tc_military#tc_boots</v>
      </c>
      <c r="B562" s="1">
        <f>VLOOKUP(A562,TraderCategory!$A$63:$E$556,2,FALSE)</f>
        <v>13</v>
      </c>
      <c r="C562" s="1">
        <f>VLOOKUP(A562,TraderCategory!$A$63:$F$556,6,FALSE)</f>
        <v>1</v>
      </c>
      <c r="D562" s="1" t="str">
        <f>VLOOKUP(C562,Tabulka5[],3,FALSE)</f>
        <v>Private First Class</v>
      </c>
      <c r="E562" s="1">
        <v>3</v>
      </c>
      <c r="F562" s="1" t="str">
        <f>VLOOKUP(E562,Tabulka5[],3,FALSE)</f>
        <v>Sergeant</v>
      </c>
      <c r="G562" s="1" t="s">
        <v>3115</v>
      </c>
      <c r="H562" s="1" t="s">
        <v>908</v>
      </c>
      <c r="I562" s="1" t="s">
        <v>403</v>
      </c>
      <c r="J562" s="1" t="s">
        <v>2728</v>
      </c>
      <c r="K562" s="1" t="s">
        <v>2729</v>
      </c>
      <c r="L562" s="1" t="s">
        <v>3134</v>
      </c>
      <c r="M562" s="1">
        <v>5000</v>
      </c>
      <c r="N562" s="1">
        <v>1</v>
      </c>
      <c r="O562" s="1" t="str">
        <f t="shared" si="43"/>
        <v>"NBCBootsGray": 1,</v>
      </c>
      <c r="P562" s="1" t="str">
        <f t="shared" si="44"/>
        <v>"NBCBootsGray": 13,</v>
      </c>
      <c r="Q562" s="1" t="str">
        <f t="shared" si="45"/>
        <v>"NBCBootsGray": 5000,</v>
      </c>
      <c r="R562" s="1" t="str">
        <f t="shared" si="46"/>
        <v>"NBCBootsGray": 3,</v>
      </c>
    </row>
    <row r="563" spans="1:18" ht="15" customHeight="1" x14ac:dyDescent="0.25">
      <c r="A563" s="1" t="str">
        <f t="shared" si="47"/>
        <v>#tc_clothes#tc_military#tc_gloves</v>
      </c>
      <c r="B563" s="1">
        <f>VLOOKUP(A563,TraderCategory!$A$63:$E$556,2,FALSE)</f>
        <v>10</v>
      </c>
      <c r="C563" s="1">
        <f>VLOOKUP(A563,TraderCategory!$A$63:$F$556,6,FALSE)</f>
        <v>1</v>
      </c>
      <c r="D563" s="1" t="str">
        <f>VLOOKUP(C563,Tabulka5[],3,FALSE)</f>
        <v>Private First Class</v>
      </c>
      <c r="E563" s="1">
        <v>3</v>
      </c>
      <c r="F563" s="1" t="str">
        <f>VLOOKUP(E563,Tabulka5[],3,FALSE)</f>
        <v>Sergeant</v>
      </c>
      <c r="G563" s="1" t="s">
        <v>3115</v>
      </c>
      <c r="H563" s="1" t="s">
        <v>909</v>
      </c>
      <c r="I563" s="1" t="s">
        <v>403</v>
      </c>
      <c r="J563" s="1" t="s">
        <v>2728</v>
      </c>
      <c r="K563" s="1" t="s">
        <v>2729</v>
      </c>
      <c r="L563" s="1" t="s">
        <v>3132</v>
      </c>
      <c r="M563" s="1">
        <v>2000</v>
      </c>
      <c r="N563" s="1">
        <v>1</v>
      </c>
      <c r="O563" s="1" t="str">
        <f t="shared" si="43"/>
        <v>"NBCGlovesGray": 1,</v>
      </c>
      <c r="P563" s="1" t="str">
        <f t="shared" si="44"/>
        <v>"NBCGlovesGray": 10,</v>
      </c>
      <c r="Q563" s="1" t="str">
        <f t="shared" si="45"/>
        <v>"NBCGlovesGray": 2000,</v>
      </c>
      <c r="R563" s="1" t="str">
        <f t="shared" si="46"/>
        <v>"NBCGlovesGray": 3,</v>
      </c>
    </row>
    <row r="564" spans="1:18" ht="15" customHeight="1" x14ac:dyDescent="0.25">
      <c r="A564" s="1" t="str">
        <f t="shared" si="47"/>
        <v>#tc_clothes#tc_military#tc_head</v>
      </c>
      <c r="B564" s="1">
        <f>VLOOKUP(A564,TraderCategory!$A$63:$E$556,2,FALSE)</f>
        <v>8</v>
      </c>
      <c r="C564" s="1">
        <f>VLOOKUP(A564,TraderCategory!$A$63:$F$556,6,FALSE)</f>
        <v>1</v>
      </c>
      <c r="D564" s="1" t="str">
        <f>VLOOKUP(C564,Tabulka5[],3,FALSE)</f>
        <v>Private First Class</v>
      </c>
      <c r="E564" s="1">
        <v>3</v>
      </c>
      <c r="F564" s="1" t="str">
        <f>VLOOKUP(E564,Tabulka5[],3,FALSE)</f>
        <v>Sergeant</v>
      </c>
      <c r="G564" s="1" t="s">
        <v>3115</v>
      </c>
      <c r="H564" s="1" t="s">
        <v>910</v>
      </c>
      <c r="I564" s="1" t="s">
        <v>403</v>
      </c>
      <c r="J564" s="1" t="s">
        <v>2728</v>
      </c>
      <c r="K564" s="1" t="s">
        <v>2729</v>
      </c>
      <c r="L564" s="1" t="s">
        <v>3130</v>
      </c>
      <c r="M564" s="1">
        <v>5000</v>
      </c>
      <c r="N564" s="1">
        <v>1</v>
      </c>
      <c r="O564" s="1" t="str">
        <f t="shared" si="43"/>
        <v>"NBCHoodGray": 1,</v>
      </c>
      <c r="P564" s="1" t="str">
        <f t="shared" si="44"/>
        <v>"NBCHoodGray": 8,</v>
      </c>
      <c r="Q564" s="1" t="str">
        <f t="shared" si="45"/>
        <v>"NBCHoodGray": 5000,</v>
      </c>
      <c r="R564" s="1" t="str">
        <f t="shared" si="46"/>
        <v>"NBCHoodGray": 3,</v>
      </c>
    </row>
    <row r="565" spans="1:18" ht="15" customHeight="1" x14ac:dyDescent="0.25">
      <c r="A565" s="1" t="str">
        <f t="shared" si="47"/>
        <v>#tc_clothes#tc_military#tc_tops</v>
      </c>
      <c r="B565" s="1">
        <f>VLOOKUP(A565,TraderCategory!$A$63:$E$556,2,FALSE)</f>
        <v>9</v>
      </c>
      <c r="C565" s="1">
        <f>VLOOKUP(A565,TraderCategory!$A$63:$F$556,6,FALSE)</f>
        <v>1</v>
      </c>
      <c r="D565" s="1" t="str">
        <f>VLOOKUP(C565,Tabulka5[],3,FALSE)</f>
        <v>Private First Class</v>
      </c>
      <c r="E565" s="1">
        <v>3</v>
      </c>
      <c r="F565" s="1" t="str">
        <f>VLOOKUP(E565,Tabulka5[],3,FALSE)</f>
        <v>Sergeant</v>
      </c>
      <c r="G565" s="1" t="s">
        <v>3115</v>
      </c>
      <c r="H565" s="1" t="s">
        <v>911</v>
      </c>
      <c r="I565" s="1" t="s">
        <v>403</v>
      </c>
      <c r="J565" s="1" t="s">
        <v>2728</v>
      </c>
      <c r="K565" s="1" t="s">
        <v>2729</v>
      </c>
      <c r="L565" s="1" t="s">
        <v>3131</v>
      </c>
      <c r="M565" s="1">
        <v>25000</v>
      </c>
      <c r="N565" s="1">
        <v>1</v>
      </c>
      <c r="O565" s="1" t="str">
        <f t="shared" si="43"/>
        <v>"NBCJacketGray": 1,</v>
      </c>
      <c r="P565" s="1" t="str">
        <f t="shared" si="44"/>
        <v>"NBCJacketGray": 9,</v>
      </c>
      <c r="Q565" s="1" t="str">
        <f t="shared" si="45"/>
        <v>"NBCJacketGray": 25000,</v>
      </c>
      <c r="R565" s="1" t="str">
        <f t="shared" si="46"/>
        <v>"NBCJacketGray": 3,</v>
      </c>
    </row>
    <row r="566" spans="1:18" ht="15" customHeight="1" x14ac:dyDescent="0.25">
      <c r="A566" s="1" t="str">
        <f t="shared" si="47"/>
        <v>#tc_clothes#tc_military#tc_pants</v>
      </c>
      <c r="B566" s="1">
        <f>VLOOKUP(A566,TraderCategory!$A$63:$E$556,2,FALSE)</f>
        <v>12</v>
      </c>
      <c r="C566" s="1">
        <f>VLOOKUP(A566,TraderCategory!$A$63:$F$556,6,FALSE)</f>
        <v>1</v>
      </c>
      <c r="D566" s="1" t="str">
        <f>VLOOKUP(C566,Tabulka5[],3,FALSE)</f>
        <v>Private First Class</v>
      </c>
      <c r="E566" s="1">
        <v>3</v>
      </c>
      <c r="F566" s="1" t="str">
        <f>VLOOKUP(E566,Tabulka5[],3,FALSE)</f>
        <v>Sergeant</v>
      </c>
      <c r="G566" s="1" t="s">
        <v>3115</v>
      </c>
      <c r="H566" s="1" t="s">
        <v>912</v>
      </c>
      <c r="I566" s="1" t="s">
        <v>403</v>
      </c>
      <c r="J566" s="1" t="s">
        <v>2728</v>
      </c>
      <c r="K566" s="1" t="s">
        <v>2729</v>
      </c>
      <c r="L566" s="1" t="s">
        <v>3133</v>
      </c>
      <c r="M566" s="1">
        <v>15000</v>
      </c>
      <c r="N566" s="1">
        <v>1</v>
      </c>
      <c r="O566" s="1" t="str">
        <f t="shared" si="43"/>
        <v>"NBCPantsGray": 1,</v>
      </c>
      <c r="P566" s="1" t="str">
        <f t="shared" si="44"/>
        <v>"NBCPantsGray": 12,</v>
      </c>
      <c r="Q566" s="1" t="str">
        <f t="shared" si="45"/>
        <v>"NBCPantsGray": 15000,</v>
      </c>
      <c r="R566" s="1" t="str">
        <f t="shared" si="46"/>
        <v>"NBCPantsGray": 3,</v>
      </c>
    </row>
    <row r="567" spans="1:18" ht="15" customHeight="1" x14ac:dyDescent="0.25">
      <c r="A567" s="1" t="str">
        <f t="shared" si="47"/>
        <v>#tc_clothes#tc_military#tc_head</v>
      </c>
      <c r="B567" s="1">
        <f>VLOOKUP(A567,TraderCategory!$A$63:$E$556,2,FALSE)</f>
        <v>8</v>
      </c>
      <c r="C567" s="1">
        <f>VLOOKUP(A567,TraderCategory!$A$63:$F$556,6,FALSE)</f>
        <v>1</v>
      </c>
      <c r="D567" s="1" t="str">
        <f>VLOOKUP(C567,Tabulka5[],3,FALSE)</f>
        <v>Private First Class</v>
      </c>
      <c r="E567" s="1">
        <v>6</v>
      </c>
      <c r="F567" s="1" t="str">
        <f>VLOOKUP(E567,Tabulka5[],3,FALSE)</f>
        <v>Master Sergeant</v>
      </c>
      <c r="G567" s="1" t="s">
        <v>3115</v>
      </c>
      <c r="H567" s="1" t="s">
        <v>913</v>
      </c>
      <c r="I567" s="1" t="s">
        <v>426</v>
      </c>
      <c r="J567" s="1" t="s">
        <v>2728</v>
      </c>
      <c r="K567" s="1" t="s">
        <v>2729</v>
      </c>
      <c r="L567" s="1" t="s">
        <v>3130</v>
      </c>
      <c r="M567" s="1">
        <v>2500</v>
      </c>
      <c r="N567" s="1">
        <v>1</v>
      </c>
      <c r="O567" s="1" t="str">
        <f t="shared" si="43"/>
        <v>"NVGHeadstrap": 1,</v>
      </c>
      <c r="P567" s="1" t="str">
        <f t="shared" si="44"/>
        <v>"NVGHeadstrap": 8,</v>
      </c>
      <c r="Q567" s="1" t="str">
        <f t="shared" si="45"/>
        <v>"NVGHeadstrap": 2500,</v>
      </c>
      <c r="R567" s="1" t="str">
        <f t="shared" si="46"/>
        <v>"NVGHeadstrap": 6,</v>
      </c>
    </row>
    <row r="568" spans="1:18" x14ac:dyDescent="0.25">
      <c r="A568" s="1" t="str">
        <f t="shared" si="47"/>
        <v>#tc_military#tc_attachments#tc_nvoptic</v>
      </c>
      <c r="B568" s="1">
        <f>VLOOKUP(A568,TraderCategory!$A$63:$E$556,2,FALSE)</f>
        <v>51</v>
      </c>
      <c r="C568" s="1">
        <f>VLOOKUP(A568,TraderCategory!$A$63:$F$556,6,FALSE)</f>
        <v>12</v>
      </c>
      <c r="D568" s="1" t="str">
        <f>VLOOKUP(C568,Tabulka5[],3,FALSE)</f>
        <v>Captain</v>
      </c>
      <c r="E568" s="1">
        <v>16</v>
      </c>
      <c r="F568" s="1" t="str">
        <f>VLOOKUP(E568,Tabulka5[],3,FALSE)</f>
        <v>Brigadier General</v>
      </c>
      <c r="G568" s="1" t="s">
        <v>3115</v>
      </c>
      <c r="H568" s="1" t="s">
        <v>914</v>
      </c>
      <c r="I568" s="1" t="s">
        <v>8</v>
      </c>
      <c r="J568" s="1" t="s">
        <v>2729</v>
      </c>
      <c r="K568" s="1" t="s">
        <v>2736</v>
      </c>
      <c r="L568" s="1" t="s">
        <v>3175</v>
      </c>
      <c r="M568" s="1">
        <v>30000</v>
      </c>
      <c r="N568" s="1">
        <v>1</v>
      </c>
      <c r="O568" s="1" t="str">
        <f t="shared" si="43"/>
        <v>"NVGoggles": 1,</v>
      </c>
      <c r="P568" s="1" t="str">
        <f t="shared" si="44"/>
        <v>"NVGoggles": 51,</v>
      </c>
      <c r="Q568" s="1" t="str">
        <f t="shared" si="45"/>
        <v>"NVGoggles": 30000,</v>
      </c>
      <c r="R568" s="1" t="str">
        <f t="shared" si="46"/>
        <v>"NVGoggles": 16,</v>
      </c>
    </row>
    <row r="569" spans="1:18" ht="15" customHeight="1" x14ac:dyDescent="0.25">
      <c r="A569" s="1" t="str">
        <f t="shared" si="47"/>
        <v>#tc_groceries#tc_tools#tc_materials</v>
      </c>
      <c r="B569" s="1">
        <f>VLOOKUP(A569,TraderCategory!$A$63:$E$556,2,FALSE)</f>
        <v>39</v>
      </c>
      <c r="C569" s="1">
        <f>VLOOKUP(A569,TraderCategory!$A$63:$F$556,6,FALSE)</f>
        <v>3</v>
      </c>
      <c r="D569" s="1" t="str">
        <f>VLOOKUP(C569,Tabulka5[],3,FALSE)</f>
        <v>Sergeant</v>
      </c>
      <c r="E569" s="1">
        <v>3</v>
      </c>
      <c r="F569" s="1" t="str">
        <f>VLOOKUP(E569,Tabulka5[],3,FALSE)</f>
        <v>Sergeant</v>
      </c>
      <c r="G569" s="1" t="s">
        <v>3115</v>
      </c>
      <c r="H569" s="1" t="s">
        <v>915</v>
      </c>
      <c r="I569" s="1" t="s">
        <v>426</v>
      </c>
      <c r="J569" s="1" t="s">
        <v>3127</v>
      </c>
      <c r="K569" s="1" t="s">
        <v>2740</v>
      </c>
      <c r="L569" s="1" t="s">
        <v>2741</v>
      </c>
      <c r="M569" s="1">
        <v>400</v>
      </c>
      <c r="N569" s="1">
        <v>1</v>
      </c>
      <c r="O569" s="1" t="str">
        <f t="shared" si="43"/>
        <v>"NailBox": 1,</v>
      </c>
      <c r="P569" s="1" t="str">
        <f t="shared" si="44"/>
        <v>"NailBox": 39,</v>
      </c>
      <c r="Q569" s="1" t="str">
        <f t="shared" si="45"/>
        <v>"NailBox": 400,</v>
      </c>
      <c r="R569" s="1" t="str">
        <f t="shared" si="46"/>
        <v>"NailBox": 3,</v>
      </c>
    </row>
    <row r="570" spans="1:18" ht="15" customHeight="1" x14ac:dyDescent="0.25">
      <c r="A570" s="1" t="str">
        <f t="shared" si="47"/>
        <v>#tc_groceries#tc_tools#tc_crafting</v>
      </c>
      <c r="B570" s="1">
        <f>VLOOKUP(A570,TraderCategory!$A$63:$E$556,2,FALSE)</f>
        <v>32</v>
      </c>
      <c r="C570" s="1">
        <f>VLOOKUP(A570,TraderCategory!$A$63:$F$556,6,FALSE)</f>
        <v>3</v>
      </c>
      <c r="D570" s="1" t="str">
        <f>VLOOKUP(C570,Tabulka5[],3,FALSE)</f>
        <v>Sergeant</v>
      </c>
      <c r="E570" s="1">
        <v>3</v>
      </c>
      <c r="F570" s="1" t="str">
        <f>VLOOKUP(E570,Tabulka5[],3,FALSE)</f>
        <v>Sergeant</v>
      </c>
      <c r="G570" s="1" t="s">
        <v>3115</v>
      </c>
      <c r="H570" s="1" t="s">
        <v>916</v>
      </c>
      <c r="I570" s="1" t="s">
        <v>426</v>
      </c>
      <c r="J570" s="1" t="s">
        <v>3127</v>
      </c>
      <c r="K570" s="1" t="s">
        <v>2740</v>
      </c>
      <c r="L570" s="1" t="s">
        <v>3151</v>
      </c>
      <c r="M570" s="1">
        <v>2000</v>
      </c>
      <c r="N570" s="1">
        <v>1</v>
      </c>
      <c r="O570" s="1" t="str">
        <f t="shared" si="43"/>
        <v>"Netting": 1,</v>
      </c>
      <c r="P570" s="1" t="str">
        <f t="shared" si="44"/>
        <v>"Netting": 32,</v>
      </c>
      <c r="Q570" s="1" t="str">
        <f t="shared" si="45"/>
        <v>"Netting": 2000,</v>
      </c>
      <c r="R570" s="1" t="str">
        <f t="shared" si="46"/>
        <v>"Netting": 3,</v>
      </c>
    </row>
    <row r="571" spans="1:18" ht="15" customHeight="1" x14ac:dyDescent="0.25">
      <c r="A571" s="1" t="str">
        <f t="shared" si="47"/>
        <v>#tc_clothes#tc_civil#tc_head</v>
      </c>
      <c r="B571" s="1">
        <f>VLOOKUP(A571,TraderCategory!$A$63:$E$556,2,FALSE)</f>
        <v>0</v>
      </c>
      <c r="C571" s="1">
        <f>VLOOKUP(A571,TraderCategory!$A$63:$F$556,6,FALSE)</f>
        <v>0</v>
      </c>
      <c r="D571" s="1" t="str">
        <f>VLOOKUP(C571,Tabulka5[],3,FALSE)</f>
        <v>Private</v>
      </c>
      <c r="E571" s="1">
        <v>0</v>
      </c>
      <c r="F571" s="1" t="str">
        <f>VLOOKUP(E571,Tabulka5[],3,FALSE)</f>
        <v>Private</v>
      </c>
      <c r="G571" s="1" t="s">
        <v>3115</v>
      </c>
      <c r="H571" s="1" t="s">
        <v>917</v>
      </c>
      <c r="I571" s="1" t="s">
        <v>403</v>
      </c>
      <c r="J571" s="1" t="s">
        <v>2728</v>
      </c>
      <c r="K571" s="1" t="s">
        <v>3126</v>
      </c>
      <c r="L571" s="1" t="s">
        <v>3130</v>
      </c>
      <c r="M571" s="1">
        <v>500</v>
      </c>
      <c r="N571" s="1">
        <v>1</v>
      </c>
      <c r="O571" s="1" t="str">
        <f t="shared" si="43"/>
        <v>"NioshFaceMask": 1,</v>
      </c>
      <c r="P571" s="1" t="str">
        <f t="shared" si="44"/>
        <v>"NioshFaceMask": 0,</v>
      </c>
      <c r="Q571" s="1" t="str">
        <f t="shared" si="45"/>
        <v>"NioshFaceMask": 500,</v>
      </c>
      <c r="R571" s="1" t="str">
        <f t="shared" si="46"/>
        <v>"NioshFaceMask": 0,</v>
      </c>
    </row>
    <row r="572" spans="1:18" ht="15" customHeight="1" x14ac:dyDescent="0.25">
      <c r="A572" s="1" t="str">
        <f t="shared" si="47"/>
        <v>#tc_clothes#tc_civil#tc_tops</v>
      </c>
      <c r="B572" s="1">
        <f>VLOOKUP(A572,TraderCategory!$A$63:$E$556,2,FALSE)</f>
        <v>1</v>
      </c>
      <c r="C572" s="1">
        <f>VLOOKUP(A572,TraderCategory!$A$63:$F$556,6,FALSE)</f>
        <v>0</v>
      </c>
      <c r="D572" s="1" t="str">
        <f>VLOOKUP(C572,Tabulka5[],3,FALSE)</f>
        <v>Private</v>
      </c>
      <c r="E572" s="1">
        <v>0</v>
      </c>
      <c r="F572" s="1" t="str">
        <f>VLOOKUP(E572,Tabulka5[],3,FALSE)</f>
        <v>Private</v>
      </c>
      <c r="G572" s="1" t="s">
        <v>3115</v>
      </c>
      <c r="H572" s="1" t="s">
        <v>918</v>
      </c>
      <c r="I572" s="1" t="s">
        <v>403</v>
      </c>
      <c r="J572" s="1" t="s">
        <v>2728</v>
      </c>
      <c r="K572" s="1" t="s">
        <v>3126</v>
      </c>
      <c r="L572" s="1" t="s">
        <v>3131</v>
      </c>
      <c r="M572" s="1">
        <v>2000</v>
      </c>
      <c r="N572" s="1">
        <v>1</v>
      </c>
      <c r="O572" s="1" t="str">
        <f t="shared" si="43"/>
        <v>"NurseDress_Blue": 1,</v>
      </c>
      <c r="P572" s="1" t="str">
        <f t="shared" si="44"/>
        <v>"NurseDress_Blue": 1,</v>
      </c>
      <c r="Q572" s="1" t="str">
        <f t="shared" si="45"/>
        <v>"NurseDress_Blue": 2000,</v>
      </c>
      <c r="R572" s="1" t="str">
        <f t="shared" si="46"/>
        <v>"NurseDress_Blue": 0,</v>
      </c>
    </row>
    <row r="573" spans="1:18" ht="15" customHeight="1" x14ac:dyDescent="0.25">
      <c r="A573" s="1" t="str">
        <f t="shared" si="47"/>
        <v>#tc_clothes#tc_civil#tc_tops</v>
      </c>
      <c r="B573" s="1">
        <f>VLOOKUP(A573,TraderCategory!$A$63:$E$556,2,FALSE)</f>
        <v>1</v>
      </c>
      <c r="C573" s="1">
        <f>VLOOKUP(A573,TraderCategory!$A$63:$F$556,6,FALSE)</f>
        <v>0</v>
      </c>
      <c r="D573" s="1" t="str">
        <f>VLOOKUP(C573,Tabulka5[],3,FALSE)</f>
        <v>Private</v>
      </c>
      <c r="E573" s="1">
        <v>0</v>
      </c>
      <c r="F573" s="1" t="str">
        <f>VLOOKUP(E573,Tabulka5[],3,FALSE)</f>
        <v>Private</v>
      </c>
      <c r="G573" s="1" t="s">
        <v>3115</v>
      </c>
      <c r="H573" s="1" t="s">
        <v>919</v>
      </c>
      <c r="I573" s="1" t="s">
        <v>403</v>
      </c>
      <c r="J573" s="1" t="s">
        <v>2728</v>
      </c>
      <c r="K573" s="1" t="s">
        <v>3126</v>
      </c>
      <c r="L573" s="1" t="s">
        <v>3131</v>
      </c>
      <c r="M573" s="1">
        <v>2000</v>
      </c>
      <c r="N573" s="1">
        <v>1</v>
      </c>
      <c r="O573" s="1" t="str">
        <f t="shared" si="43"/>
        <v>"NurseDress_White": 1,</v>
      </c>
      <c r="P573" s="1" t="str">
        <f t="shared" si="44"/>
        <v>"NurseDress_White": 1,</v>
      </c>
      <c r="Q573" s="1" t="str">
        <f t="shared" si="45"/>
        <v>"NurseDress_White": 2000,</v>
      </c>
      <c r="R573" s="1" t="str">
        <f t="shared" si="46"/>
        <v>"NurseDress_White": 0,</v>
      </c>
    </row>
    <row r="574" spans="1:18" ht="15" customHeight="1" x14ac:dyDescent="0.25">
      <c r="A574" s="1" t="str">
        <f t="shared" si="47"/>
        <v>#tc_clothes#tc_military#tc_belts</v>
      </c>
      <c r="B574" s="1">
        <f>VLOOKUP(A574,TraderCategory!$A$63:$E$556,2,FALSE)</f>
        <v>11</v>
      </c>
      <c r="C574" s="1">
        <f>VLOOKUP(A574,TraderCategory!$A$63:$F$556,6,FALSE)</f>
        <v>1</v>
      </c>
      <c r="D574" s="1" t="str">
        <f>VLOOKUP(C574,Tabulka5[],3,FALSE)</f>
        <v>Private First Class</v>
      </c>
      <c r="E574" s="1">
        <v>1</v>
      </c>
      <c r="F574" s="1" t="str">
        <f>VLOOKUP(E574,Tabulka5[],3,FALSE)</f>
        <v>Private First Class</v>
      </c>
      <c r="G574" s="1" t="s">
        <v>3115</v>
      </c>
      <c r="H574" s="1" t="s">
        <v>920</v>
      </c>
      <c r="I574" s="1" t="s">
        <v>426</v>
      </c>
      <c r="J574" s="1" t="s">
        <v>2728</v>
      </c>
      <c r="K574" s="1" t="s">
        <v>2729</v>
      </c>
      <c r="L574" s="1" t="s">
        <v>3135</v>
      </c>
      <c r="M574" s="1">
        <v>500</v>
      </c>
      <c r="N574" s="1">
        <v>1</v>
      </c>
      <c r="O574" s="1" t="str">
        <f t="shared" si="43"/>
        <v>"NylonKnifeSheath": 1,</v>
      </c>
      <c r="P574" s="1" t="str">
        <f t="shared" si="44"/>
        <v>"NylonKnifeSheath": 11,</v>
      </c>
      <c r="Q574" s="1" t="str">
        <f t="shared" si="45"/>
        <v>"NylonKnifeSheath": 500,</v>
      </c>
      <c r="R574" s="1" t="str">
        <f t="shared" si="46"/>
        <v>"NylonKnifeSheath": 1,</v>
      </c>
    </row>
    <row r="575" spans="1:18" ht="15" customHeight="1" x14ac:dyDescent="0.25">
      <c r="A575" s="1" t="str">
        <f t="shared" si="47"/>
        <v>#tc_clothes#tc_military#tc_gloves</v>
      </c>
      <c r="B575" s="1">
        <f>VLOOKUP(A575,TraderCategory!$A$63:$E$556,2,FALSE)</f>
        <v>10</v>
      </c>
      <c r="C575" s="1">
        <f>VLOOKUP(A575,TraderCategory!$A$63:$F$556,6,FALSE)</f>
        <v>1</v>
      </c>
      <c r="D575" s="1" t="str">
        <f>VLOOKUP(C575,Tabulka5[],3,FALSE)</f>
        <v>Private First Class</v>
      </c>
      <c r="E575" s="1">
        <v>1</v>
      </c>
      <c r="F575" s="1" t="str">
        <f>VLOOKUP(E575,Tabulka5[],3,FALSE)</f>
        <v>Private First Class</v>
      </c>
      <c r="G575" s="1" t="s">
        <v>3115</v>
      </c>
      <c r="H575" s="1" t="s">
        <v>921</v>
      </c>
      <c r="I575" s="1" t="s">
        <v>403</v>
      </c>
      <c r="J575" s="1" t="s">
        <v>2728</v>
      </c>
      <c r="K575" s="1" t="s">
        <v>2729</v>
      </c>
      <c r="L575" s="1" t="s">
        <v>3132</v>
      </c>
      <c r="M575" s="1">
        <v>1000</v>
      </c>
      <c r="N575" s="1">
        <v>1</v>
      </c>
      <c r="O575" s="1" t="str">
        <f t="shared" si="43"/>
        <v>"OMNOGloves_Brown": 1,</v>
      </c>
      <c r="P575" s="1" t="str">
        <f t="shared" si="44"/>
        <v>"OMNOGloves_Brown": 10,</v>
      </c>
      <c r="Q575" s="1" t="str">
        <f t="shared" si="45"/>
        <v>"OMNOGloves_Brown": 1000,</v>
      </c>
      <c r="R575" s="1" t="str">
        <f t="shared" si="46"/>
        <v>"OMNOGloves_Brown": 1,</v>
      </c>
    </row>
    <row r="576" spans="1:18" ht="15" customHeight="1" x14ac:dyDescent="0.25">
      <c r="A576" s="1" t="str">
        <f t="shared" si="47"/>
        <v>#tc_clothes#tc_military#tc_gloves</v>
      </c>
      <c r="B576" s="1">
        <f>VLOOKUP(A576,TraderCategory!$A$63:$E$556,2,FALSE)</f>
        <v>10</v>
      </c>
      <c r="C576" s="1">
        <f>VLOOKUP(A576,TraderCategory!$A$63:$F$556,6,FALSE)</f>
        <v>1</v>
      </c>
      <c r="D576" s="1" t="str">
        <f>VLOOKUP(C576,Tabulka5[],3,FALSE)</f>
        <v>Private First Class</v>
      </c>
      <c r="E576" s="1">
        <v>1</v>
      </c>
      <c r="F576" s="1" t="str">
        <f>VLOOKUP(E576,Tabulka5[],3,FALSE)</f>
        <v>Private First Class</v>
      </c>
      <c r="G576" s="1" t="s">
        <v>3115</v>
      </c>
      <c r="H576" s="1" t="s">
        <v>922</v>
      </c>
      <c r="I576" s="1" t="s">
        <v>403</v>
      </c>
      <c r="J576" s="1" t="s">
        <v>2728</v>
      </c>
      <c r="K576" s="1" t="s">
        <v>2729</v>
      </c>
      <c r="L576" s="1" t="s">
        <v>3132</v>
      </c>
      <c r="M576" s="1">
        <v>1000</v>
      </c>
      <c r="N576" s="1">
        <v>1</v>
      </c>
      <c r="O576" s="1" t="str">
        <f t="shared" si="43"/>
        <v>"OMNOGloves_Gray": 1,</v>
      </c>
      <c r="P576" s="1" t="str">
        <f t="shared" si="44"/>
        <v>"OMNOGloves_Gray": 10,</v>
      </c>
      <c r="Q576" s="1" t="str">
        <f t="shared" si="45"/>
        <v>"OMNOGloves_Gray": 1000,</v>
      </c>
      <c r="R576" s="1" t="str">
        <f t="shared" si="46"/>
        <v>"OMNOGloves_Gray": 1,</v>
      </c>
    </row>
    <row r="577" spans="1:18" ht="15" customHeight="1" x14ac:dyDescent="0.25">
      <c r="A577" s="1" t="str">
        <f t="shared" si="47"/>
        <v>#tc_clothes#tc_civil#tc_head</v>
      </c>
      <c r="B577" s="1">
        <f>VLOOKUP(A577,TraderCategory!$A$63:$E$556,2,FALSE)</f>
        <v>0</v>
      </c>
      <c r="C577" s="1">
        <f>VLOOKUP(A577,TraderCategory!$A$63:$F$556,6,FALSE)</f>
        <v>0</v>
      </c>
      <c r="D577" s="1" t="str">
        <f>VLOOKUP(C577,Tabulka5[],3,FALSE)</f>
        <v>Private</v>
      </c>
      <c r="E577" s="1">
        <v>0</v>
      </c>
      <c r="F577" s="1" t="str">
        <f>VLOOKUP(E577,Tabulka5[],3,FALSE)</f>
        <v>Private</v>
      </c>
      <c r="G577" s="1" t="s">
        <v>3115</v>
      </c>
      <c r="H577" s="1" t="s">
        <v>923</v>
      </c>
      <c r="I577" s="1" t="s">
        <v>403</v>
      </c>
      <c r="J577" s="1" t="s">
        <v>2728</v>
      </c>
      <c r="K577" s="1" t="s">
        <v>3126</v>
      </c>
      <c r="L577" s="1" t="s">
        <v>3130</v>
      </c>
      <c r="M577" s="1">
        <v>300</v>
      </c>
      <c r="N577" s="1">
        <v>1</v>
      </c>
      <c r="O577" s="1" t="str">
        <f t="shared" si="43"/>
        <v>"OfficerHat": 1,</v>
      </c>
      <c r="P577" s="1" t="str">
        <f t="shared" si="44"/>
        <v>"OfficerHat": 0,</v>
      </c>
      <c r="Q577" s="1" t="str">
        <f t="shared" si="45"/>
        <v>"OfficerHat": 300,</v>
      </c>
      <c r="R577" s="1" t="str">
        <f t="shared" si="46"/>
        <v>"OfficerHat": 0,</v>
      </c>
    </row>
    <row r="578" spans="1:18" ht="15" customHeight="1" x14ac:dyDescent="0.25">
      <c r="A578" s="1" t="str">
        <f t="shared" si="47"/>
        <v>#tc_groceries#tc_tools#tc_camping</v>
      </c>
      <c r="B578" s="1">
        <f>VLOOKUP(A578,TraderCategory!$A$63:$E$556,2,FALSE)</f>
        <v>33</v>
      </c>
      <c r="C578" s="1">
        <f>VLOOKUP(A578,TraderCategory!$A$63:$F$556,6,FALSE)</f>
        <v>3</v>
      </c>
      <c r="D578" s="1" t="str">
        <f>VLOOKUP(C578,Tabulka5[],3,FALSE)</f>
        <v>Sergeant</v>
      </c>
      <c r="E578" s="1">
        <v>3</v>
      </c>
      <c r="F578" s="1" t="str">
        <f>VLOOKUP(E578,Tabulka5[],3,FALSE)</f>
        <v>Sergeant</v>
      </c>
      <c r="G578" s="1" t="s">
        <v>3115</v>
      </c>
      <c r="H578" s="1" t="s">
        <v>927</v>
      </c>
      <c r="I578" s="1" t="s">
        <v>426</v>
      </c>
      <c r="J578" s="1" t="s">
        <v>3127</v>
      </c>
      <c r="K578" s="1" t="s">
        <v>2740</v>
      </c>
      <c r="L578" s="1" t="s">
        <v>3150</v>
      </c>
      <c r="M578" s="1">
        <v>1000</v>
      </c>
      <c r="N578" s="1">
        <v>1</v>
      </c>
      <c r="O578" s="1" t="str">
        <f t="shared" si="43"/>
        <v>"OrienteeringCompass": 1,</v>
      </c>
      <c r="P578" s="1" t="str">
        <f t="shared" si="44"/>
        <v>"OrienteeringCompass": 33,</v>
      </c>
      <c r="Q578" s="1" t="str">
        <f t="shared" si="45"/>
        <v>"OrienteeringCompass": 1000,</v>
      </c>
      <c r="R578" s="1" t="str">
        <f t="shared" si="46"/>
        <v>"OrienteeringCompass": 3,</v>
      </c>
    </row>
    <row r="579" spans="1:18" x14ac:dyDescent="0.25">
      <c r="A579" s="1" t="str">
        <f t="shared" si="47"/>
        <v>#tc_military#tc_attachments#tc_optic</v>
      </c>
      <c r="B579" s="1">
        <f>VLOOKUP(A579,TraderCategory!$A$63:$E$556,2,FALSE)</f>
        <v>50</v>
      </c>
      <c r="C579" s="1">
        <f>VLOOKUP(A579,TraderCategory!$A$63:$F$556,6,FALSE)</f>
        <v>10</v>
      </c>
      <c r="D579" s="1" t="str">
        <f>VLOOKUP(C579,Tabulka5[],3,FALSE)</f>
        <v>Second Lieutenant</v>
      </c>
      <c r="E579" s="1">
        <v>13</v>
      </c>
      <c r="F579" s="1" t="str">
        <f>VLOOKUP(E579,Tabulka5[],3,FALSE)</f>
        <v>Major</v>
      </c>
      <c r="G579" s="1" t="s">
        <v>3115</v>
      </c>
      <c r="H579" s="1" t="s">
        <v>928</v>
      </c>
      <c r="I579" s="1" t="s">
        <v>8</v>
      </c>
      <c r="J579" s="1" t="s">
        <v>2729</v>
      </c>
      <c r="K579" s="1" t="s">
        <v>2736</v>
      </c>
      <c r="L579" s="1" t="s">
        <v>3163</v>
      </c>
      <c r="M579" s="1">
        <v>8000</v>
      </c>
      <c r="N579" s="1">
        <v>1</v>
      </c>
      <c r="O579" s="1" t="str">
        <f t="shared" ref="O579:O642" si="48">"""" &amp;H579 &amp; """: " &amp; N579 &amp; ","</f>
        <v>"PSO11Optic": 1,</v>
      </c>
      <c r="P579" s="1" t="str">
        <f t="shared" ref="P579:P642" si="49">"""" &amp;H579 &amp; """: " &amp; B579 &amp; ","</f>
        <v>"PSO11Optic": 50,</v>
      </c>
      <c r="Q579" s="1" t="str">
        <f t="shared" ref="Q579:Q642" si="50">"""" &amp;H579 &amp; """: " &amp; M579 &amp; ","</f>
        <v>"PSO11Optic": 8000,</v>
      </c>
      <c r="R579" s="1" t="str">
        <f t="shared" ref="R579:R642" si="51">"""" &amp;H579 &amp; """: " &amp; E579 &amp; ","</f>
        <v>"PSO11Optic": 13,</v>
      </c>
    </row>
    <row r="580" spans="1:18" x14ac:dyDescent="0.25">
      <c r="A580" s="1" t="str">
        <f t="shared" si="47"/>
        <v>#tc_military#tc_attachments#tc_optic</v>
      </c>
      <c r="B580" s="1">
        <f>VLOOKUP(A580,TraderCategory!$A$63:$E$556,2,FALSE)</f>
        <v>50</v>
      </c>
      <c r="C580" s="1">
        <f>VLOOKUP(A580,TraderCategory!$A$63:$F$556,6,FALSE)</f>
        <v>10</v>
      </c>
      <c r="D580" s="1" t="str">
        <f>VLOOKUP(C580,Tabulka5[],3,FALSE)</f>
        <v>Second Lieutenant</v>
      </c>
      <c r="E580" s="1">
        <v>13</v>
      </c>
      <c r="F580" s="1" t="str">
        <f>VLOOKUP(E580,Tabulka5[],3,FALSE)</f>
        <v>Major</v>
      </c>
      <c r="G580" s="1" t="s">
        <v>3115</v>
      </c>
      <c r="H580" s="1" t="s">
        <v>929</v>
      </c>
      <c r="I580" s="1" t="s">
        <v>8</v>
      </c>
      <c r="J580" s="1" t="s">
        <v>2729</v>
      </c>
      <c r="K580" s="1" t="s">
        <v>2736</v>
      </c>
      <c r="L580" s="1" t="s">
        <v>3163</v>
      </c>
      <c r="M580" s="1">
        <v>8000</v>
      </c>
      <c r="N580" s="1">
        <v>1</v>
      </c>
      <c r="O580" s="1" t="str">
        <f t="shared" si="48"/>
        <v>"PSO1Optic": 1,</v>
      </c>
      <c r="P580" s="1" t="str">
        <f t="shared" si="49"/>
        <v>"PSO1Optic": 50,</v>
      </c>
      <c r="Q580" s="1" t="str">
        <f t="shared" si="50"/>
        <v>"PSO1Optic": 8000,</v>
      </c>
      <c r="R580" s="1" t="str">
        <f t="shared" si="51"/>
        <v>"PSO1Optic": 13,</v>
      </c>
    </row>
    <row r="581" spans="1:18" x14ac:dyDescent="0.25">
      <c r="A581" s="1" t="str">
        <f t="shared" si="47"/>
        <v>#tc_military#tc_attachments#tc_optic</v>
      </c>
      <c r="B581" s="1">
        <f>VLOOKUP(A581,TraderCategory!$A$63:$E$556,2,FALSE)</f>
        <v>50</v>
      </c>
      <c r="C581" s="1">
        <f>VLOOKUP(A581,TraderCategory!$A$63:$F$556,6,FALSE)</f>
        <v>10</v>
      </c>
      <c r="D581" s="1" t="str">
        <f>VLOOKUP(C581,Tabulka5[],3,FALSE)</f>
        <v>Second Lieutenant</v>
      </c>
      <c r="E581" s="1">
        <v>12</v>
      </c>
      <c r="F581" s="1" t="str">
        <f>VLOOKUP(E581,Tabulka5[],3,FALSE)</f>
        <v>Captain</v>
      </c>
      <c r="G581" s="1" t="s">
        <v>3115</v>
      </c>
      <c r="H581" s="1" t="s">
        <v>930</v>
      </c>
      <c r="I581" s="1" t="s">
        <v>8</v>
      </c>
      <c r="J581" s="1" t="s">
        <v>2729</v>
      </c>
      <c r="K581" s="1" t="s">
        <v>2736</v>
      </c>
      <c r="L581" s="1" t="s">
        <v>3163</v>
      </c>
      <c r="M581" s="1">
        <v>8000</v>
      </c>
      <c r="N581" s="1">
        <v>1</v>
      </c>
      <c r="O581" s="1" t="str">
        <f t="shared" si="48"/>
        <v>"PUScopeOptic": 1,</v>
      </c>
      <c r="P581" s="1" t="str">
        <f t="shared" si="49"/>
        <v>"PUScopeOptic": 50,</v>
      </c>
      <c r="Q581" s="1" t="str">
        <f t="shared" si="50"/>
        <v>"PUScopeOptic": 8000,</v>
      </c>
      <c r="R581" s="1" t="str">
        <f t="shared" si="51"/>
        <v>"PUScopeOptic": 12,</v>
      </c>
    </row>
    <row r="582" spans="1:18" ht="15" customHeight="1" x14ac:dyDescent="0.25">
      <c r="A582" s="1" t="str">
        <f t="shared" si="47"/>
        <v>#tc_groceries#tc_medic#tc_medicaments</v>
      </c>
      <c r="B582" s="1">
        <f>VLOOKUP(A582,TraderCategory!$A$63:$E$556,2,FALSE)</f>
        <v>24</v>
      </c>
      <c r="C582" s="1">
        <f>VLOOKUP(A582,TraderCategory!$A$63:$F$556,6,FALSE)</f>
        <v>6</v>
      </c>
      <c r="D582" s="1" t="str">
        <f>VLOOKUP(C582,Tabulka5[],3,FALSE)</f>
        <v>Master Sergeant</v>
      </c>
      <c r="E582" s="1">
        <v>6</v>
      </c>
      <c r="F582" s="1" t="str">
        <f>VLOOKUP(E582,Tabulka5[],3,FALSE)</f>
        <v>Master Sergeant</v>
      </c>
      <c r="G582" s="1" t="s">
        <v>3115</v>
      </c>
      <c r="H582" s="1" t="s">
        <v>931</v>
      </c>
      <c r="I582" s="1" t="s">
        <v>426</v>
      </c>
      <c r="J582" s="1" t="s">
        <v>3127</v>
      </c>
      <c r="K582" s="1" t="s">
        <v>2739</v>
      </c>
      <c r="L582" s="1" t="s">
        <v>3153</v>
      </c>
      <c r="M582" s="1">
        <v>3000</v>
      </c>
      <c r="N582" s="1">
        <v>1</v>
      </c>
      <c r="O582" s="1" t="str">
        <f t="shared" si="48"/>
        <v>"PainkillerTablets": 1,</v>
      </c>
      <c r="P582" s="1" t="str">
        <f t="shared" si="49"/>
        <v>"PainkillerTablets": 24,</v>
      </c>
      <c r="Q582" s="1" t="str">
        <f t="shared" si="50"/>
        <v>"PainkillerTablets": 3000,</v>
      </c>
      <c r="R582" s="1" t="str">
        <f t="shared" si="51"/>
        <v>"PainkillerTablets": 6,</v>
      </c>
    </row>
    <row r="583" spans="1:18" ht="15" customHeight="1" x14ac:dyDescent="0.25">
      <c r="A583" s="1" t="str">
        <f t="shared" si="47"/>
        <v>#tc_clothes#tc_civil#tc_tops</v>
      </c>
      <c r="B583" s="1">
        <f>VLOOKUP(A583,TraderCategory!$A$63:$E$556,2,FALSE)</f>
        <v>1</v>
      </c>
      <c r="C583" s="1">
        <f>VLOOKUP(A583,TraderCategory!$A$63:$F$556,6,FALSE)</f>
        <v>0</v>
      </c>
      <c r="D583" s="1" t="str">
        <f>VLOOKUP(C583,Tabulka5[],3,FALSE)</f>
        <v>Private</v>
      </c>
      <c r="E583" s="1">
        <v>0</v>
      </c>
      <c r="F583" s="1" t="str">
        <f>VLOOKUP(E583,Tabulka5[],3,FALSE)</f>
        <v>Private</v>
      </c>
      <c r="G583" s="1" t="s">
        <v>3115</v>
      </c>
      <c r="H583" s="1" t="s">
        <v>932</v>
      </c>
      <c r="I583" s="1" t="s">
        <v>403</v>
      </c>
      <c r="J583" s="1" t="s">
        <v>2728</v>
      </c>
      <c r="K583" s="1" t="s">
        <v>3126</v>
      </c>
      <c r="L583" s="1" t="s">
        <v>3131</v>
      </c>
      <c r="M583" s="1">
        <v>2000</v>
      </c>
      <c r="N583" s="1">
        <v>1</v>
      </c>
      <c r="O583" s="1" t="str">
        <f t="shared" si="48"/>
        <v>"ParamedicJacket_Blue": 1,</v>
      </c>
      <c r="P583" s="1" t="str">
        <f t="shared" si="49"/>
        <v>"ParamedicJacket_Blue": 1,</v>
      </c>
      <c r="Q583" s="1" t="str">
        <f t="shared" si="50"/>
        <v>"ParamedicJacket_Blue": 2000,</v>
      </c>
      <c r="R583" s="1" t="str">
        <f t="shared" si="51"/>
        <v>"ParamedicJacket_Blue": 0,</v>
      </c>
    </row>
    <row r="584" spans="1:18" ht="15" customHeight="1" x14ac:dyDescent="0.25">
      <c r="A584" s="1" t="str">
        <f t="shared" si="47"/>
        <v>#tc_clothes#tc_civil#tc_tops</v>
      </c>
      <c r="B584" s="1">
        <f>VLOOKUP(A584,TraderCategory!$A$63:$E$556,2,FALSE)</f>
        <v>1</v>
      </c>
      <c r="C584" s="1">
        <f>VLOOKUP(A584,TraderCategory!$A$63:$F$556,6,FALSE)</f>
        <v>0</v>
      </c>
      <c r="D584" s="1" t="str">
        <f>VLOOKUP(C584,Tabulka5[],3,FALSE)</f>
        <v>Private</v>
      </c>
      <c r="E584" s="1">
        <v>0</v>
      </c>
      <c r="F584" s="1" t="str">
        <f>VLOOKUP(E584,Tabulka5[],3,FALSE)</f>
        <v>Private</v>
      </c>
      <c r="G584" s="1" t="s">
        <v>3115</v>
      </c>
      <c r="H584" s="1" t="s">
        <v>933</v>
      </c>
      <c r="I584" s="1" t="s">
        <v>403</v>
      </c>
      <c r="J584" s="1" t="s">
        <v>2728</v>
      </c>
      <c r="K584" s="1" t="s">
        <v>3126</v>
      </c>
      <c r="L584" s="1" t="s">
        <v>3131</v>
      </c>
      <c r="M584" s="1">
        <v>2000</v>
      </c>
      <c r="N584" s="1">
        <v>1</v>
      </c>
      <c r="O584" s="1" t="str">
        <f t="shared" si="48"/>
        <v>"ParamedicJacket_Crimson": 1,</v>
      </c>
      <c r="P584" s="1" t="str">
        <f t="shared" si="49"/>
        <v>"ParamedicJacket_Crimson": 1,</v>
      </c>
      <c r="Q584" s="1" t="str">
        <f t="shared" si="50"/>
        <v>"ParamedicJacket_Crimson": 2000,</v>
      </c>
      <c r="R584" s="1" t="str">
        <f t="shared" si="51"/>
        <v>"ParamedicJacket_Crimson": 0,</v>
      </c>
    </row>
    <row r="585" spans="1:18" ht="15" customHeight="1" x14ac:dyDescent="0.25">
      <c r="A585" s="1" t="str">
        <f t="shared" si="47"/>
        <v>#tc_clothes#tc_civil#tc_tops</v>
      </c>
      <c r="B585" s="1">
        <f>VLOOKUP(A585,TraderCategory!$A$63:$E$556,2,FALSE)</f>
        <v>1</v>
      </c>
      <c r="C585" s="1">
        <f>VLOOKUP(A585,TraderCategory!$A$63:$F$556,6,FALSE)</f>
        <v>0</v>
      </c>
      <c r="D585" s="1" t="str">
        <f>VLOOKUP(C585,Tabulka5[],3,FALSE)</f>
        <v>Private</v>
      </c>
      <c r="E585" s="1">
        <v>0</v>
      </c>
      <c r="F585" s="1" t="str">
        <f>VLOOKUP(E585,Tabulka5[],3,FALSE)</f>
        <v>Private</v>
      </c>
      <c r="G585" s="1" t="s">
        <v>3115</v>
      </c>
      <c r="H585" s="1" t="s">
        <v>934</v>
      </c>
      <c r="I585" s="1" t="s">
        <v>403</v>
      </c>
      <c r="J585" s="1" t="s">
        <v>2728</v>
      </c>
      <c r="K585" s="1" t="s">
        <v>3126</v>
      </c>
      <c r="L585" s="1" t="s">
        <v>3131</v>
      </c>
      <c r="M585" s="1">
        <v>2000</v>
      </c>
      <c r="N585" s="1">
        <v>1</v>
      </c>
      <c r="O585" s="1" t="str">
        <f t="shared" si="48"/>
        <v>"ParamedicJacket_Green": 1,</v>
      </c>
      <c r="P585" s="1" t="str">
        <f t="shared" si="49"/>
        <v>"ParamedicJacket_Green": 1,</v>
      </c>
      <c r="Q585" s="1" t="str">
        <f t="shared" si="50"/>
        <v>"ParamedicJacket_Green": 2000,</v>
      </c>
      <c r="R585" s="1" t="str">
        <f t="shared" si="51"/>
        <v>"ParamedicJacket_Green": 0,</v>
      </c>
    </row>
    <row r="586" spans="1:18" ht="15" customHeight="1" x14ac:dyDescent="0.25">
      <c r="A586" s="1" t="str">
        <f t="shared" si="47"/>
        <v>#tc_clothes#tc_civil#tc_pants</v>
      </c>
      <c r="B586" s="1">
        <f>VLOOKUP(A586,TraderCategory!$A$63:$E$556,2,FALSE)</f>
        <v>4</v>
      </c>
      <c r="C586" s="1">
        <f>VLOOKUP(A586,TraderCategory!$A$63:$F$556,6,FALSE)</f>
        <v>0</v>
      </c>
      <c r="D586" s="1" t="str">
        <f>VLOOKUP(C586,Tabulka5[],3,FALSE)</f>
        <v>Private</v>
      </c>
      <c r="E586" s="1">
        <v>0</v>
      </c>
      <c r="F586" s="1" t="str">
        <f>VLOOKUP(E586,Tabulka5[],3,FALSE)</f>
        <v>Private</v>
      </c>
      <c r="G586" s="1" t="s">
        <v>3115</v>
      </c>
      <c r="H586" s="1" t="s">
        <v>935</v>
      </c>
      <c r="I586" s="1" t="s">
        <v>403</v>
      </c>
      <c r="J586" s="1" t="s">
        <v>2728</v>
      </c>
      <c r="K586" s="1" t="s">
        <v>3126</v>
      </c>
      <c r="L586" s="1" t="s">
        <v>3133</v>
      </c>
      <c r="M586" s="1">
        <v>1200</v>
      </c>
      <c r="N586" s="1">
        <v>1</v>
      </c>
      <c r="O586" s="1" t="str">
        <f t="shared" si="48"/>
        <v>"ParamedicPants_Blue": 1,</v>
      </c>
      <c r="P586" s="1" t="str">
        <f t="shared" si="49"/>
        <v>"ParamedicPants_Blue": 4,</v>
      </c>
      <c r="Q586" s="1" t="str">
        <f t="shared" si="50"/>
        <v>"ParamedicPants_Blue": 1200,</v>
      </c>
      <c r="R586" s="1" t="str">
        <f t="shared" si="51"/>
        <v>"ParamedicPants_Blue": 0,</v>
      </c>
    </row>
    <row r="587" spans="1:18" ht="15" customHeight="1" x14ac:dyDescent="0.25">
      <c r="A587" s="1" t="str">
        <f t="shared" si="47"/>
        <v>#tc_clothes#tc_civil#tc_pants</v>
      </c>
      <c r="B587" s="1">
        <f>VLOOKUP(A587,TraderCategory!$A$63:$E$556,2,FALSE)</f>
        <v>4</v>
      </c>
      <c r="C587" s="1">
        <f>VLOOKUP(A587,TraderCategory!$A$63:$F$556,6,FALSE)</f>
        <v>0</v>
      </c>
      <c r="D587" s="1" t="str">
        <f>VLOOKUP(C587,Tabulka5[],3,FALSE)</f>
        <v>Private</v>
      </c>
      <c r="E587" s="1">
        <v>0</v>
      </c>
      <c r="F587" s="1" t="str">
        <f>VLOOKUP(E587,Tabulka5[],3,FALSE)</f>
        <v>Private</v>
      </c>
      <c r="G587" s="1" t="s">
        <v>3115</v>
      </c>
      <c r="H587" s="1" t="s">
        <v>936</v>
      </c>
      <c r="I587" s="1" t="s">
        <v>403</v>
      </c>
      <c r="J587" s="1" t="s">
        <v>2728</v>
      </c>
      <c r="K587" s="1" t="s">
        <v>3126</v>
      </c>
      <c r="L587" s="1" t="s">
        <v>3133</v>
      </c>
      <c r="M587" s="1">
        <v>1200</v>
      </c>
      <c r="N587" s="1">
        <v>1</v>
      </c>
      <c r="O587" s="1" t="str">
        <f t="shared" si="48"/>
        <v>"ParamedicPants_Crimson": 1,</v>
      </c>
      <c r="P587" s="1" t="str">
        <f t="shared" si="49"/>
        <v>"ParamedicPants_Crimson": 4,</v>
      </c>
      <c r="Q587" s="1" t="str">
        <f t="shared" si="50"/>
        <v>"ParamedicPants_Crimson": 1200,</v>
      </c>
      <c r="R587" s="1" t="str">
        <f t="shared" si="51"/>
        <v>"ParamedicPants_Crimson": 0,</v>
      </c>
    </row>
    <row r="588" spans="1:18" ht="15" customHeight="1" x14ac:dyDescent="0.25">
      <c r="A588" s="1" t="str">
        <f t="shared" ref="A588:A651" si="52">CONCATENATE(J588,K588,L588)</f>
        <v>#tc_clothes#tc_civil#tc_pants</v>
      </c>
      <c r="B588" s="1">
        <f>VLOOKUP(A588,TraderCategory!$A$63:$E$556,2,FALSE)</f>
        <v>4</v>
      </c>
      <c r="C588" s="1">
        <f>VLOOKUP(A588,TraderCategory!$A$63:$F$556,6,FALSE)</f>
        <v>0</v>
      </c>
      <c r="D588" s="1" t="str">
        <f>VLOOKUP(C588,Tabulka5[],3,FALSE)</f>
        <v>Private</v>
      </c>
      <c r="E588" s="1">
        <v>0</v>
      </c>
      <c r="F588" s="1" t="str">
        <f>VLOOKUP(E588,Tabulka5[],3,FALSE)</f>
        <v>Private</v>
      </c>
      <c r="G588" s="1" t="s">
        <v>3115</v>
      </c>
      <c r="H588" s="1" t="s">
        <v>937</v>
      </c>
      <c r="I588" s="1" t="s">
        <v>403</v>
      </c>
      <c r="J588" s="1" t="s">
        <v>2728</v>
      </c>
      <c r="K588" s="1" t="s">
        <v>3126</v>
      </c>
      <c r="L588" s="1" t="s">
        <v>3133</v>
      </c>
      <c r="M588" s="1">
        <v>1200</v>
      </c>
      <c r="N588" s="1">
        <v>1</v>
      </c>
      <c r="O588" s="1" t="str">
        <f t="shared" si="48"/>
        <v>"ParamedicPants_Green": 1,</v>
      </c>
      <c r="P588" s="1" t="str">
        <f t="shared" si="49"/>
        <v>"ParamedicPants_Green": 4,</v>
      </c>
      <c r="Q588" s="1" t="str">
        <f t="shared" si="50"/>
        <v>"ParamedicPants_Green": 1200,</v>
      </c>
      <c r="R588" s="1" t="str">
        <f t="shared" si="51"/>
        <v>"ParamedicPants_Green": 0,</v>
      </c>
    </row>
    <row r="589" spans="1:18" ht="15" customHeight="1" x14ac:dyDescent="0.25">
      <c r="A589" s="1" t="str">
        <f t="shared" si="52"/>
        <v>#tc_groceries#tc_food#tc_canned</v>
      </c>
      <c r="B589" s="1">
        <f>VLOOKUP(A589,TraderCategory!$A$63:$E$556,2,FALSE)</f>
        <v>18</v>
      </c>
      <c r="C589" s="1">
        <f>VLOOKUP(A589,TraderCategory!$A$63:$F$556,6,FALSE)</f>
        <v>3</v>
      </c>
      <c r="D589" s="1" t="str">
        <f>VLOOKUP(C589,Tabulka5[],3,FALSE)</f>
        <v>Sergeant</v>
      </c>
      <c r="E589" s="1">
        <v>3</v>
      </c>
      <c r="F589" s="1" t="str">
        <f>VLOOKUP(E589,Tabulka5[],3,FALSE)</f>
        <v>Sergeant</v>
      </c>
      <c r="G589" s="1" t="s">
        <v>3115</v>
      </c>
      <c r="H589" s="1" t="s">
        <v>938</v>
      </c>
      <c r="I589" s="1" t="s">
        <v>399</v>
      </c>
      <c r="J589" s="1" t="s">
        <v>3127</v>
      </c>
      <c r="K589" s="1" t="s">
        <v>2730</v>
      </c>
      <c r="L589" s="1" t="s">
        <v>2732</v>
      </c>
      <c r="M589" s="1">
        <v>2000</v>
      </c>
      <c r="N589" s="1">
        <v>1</v>
      </c>
      <c r="O589" s="1" t="str">
        <f t="shared" si="48"/>
        <v>"PeachesCan": 1,</v>
      </c>
      <c r="P589" s="1" t="str">
        <f t="shared" si="49"/>
        <v>"PeachesCan": 18,</v>
      </c>
      <c r="Q589" s="1" t="str">
        <f t="shared" si="50"/>
        <v>"PeachesCan": 2000,</v>
      </c>
      <c r="R589" s="1" t="str">
        <f t="shared" si="51"/>
        <v>"PeachesCan": 3,</v>
      </c>
    </row>
    <row r="590" spans="1:18" ht="15" customHeight="1" x14ac:dyDescent="0.25">
      <c r="A590" s="1" t="str">
        <f t="shared" si="52"/>
        <v>#tc_groceries#tc_tools#tc_seeds</v>
      </c>
      <c r="B590" s="1">
        <f>VLOOKUP(A590,TraderCategory!$A$63:$E$556,2,FALSE)</f>
        <v>34</v>
      </c>
      <c r="C590" s="1">
        <f>VLOOKUP(A590,TraderCategory!$A$63:$F$556,6,FALSE)</f>
        <v>3</v>
      </c>
      <c r="D590" s="1" t="str">
        <f>VLOOKUP(C590,Tabulka5[],3,FALSE)</f>
        <v>Sergeant</v>
      </c>
      <c r="E590" s="1">
        <v>3</v>
      </c>
      <c r="F590" s="1" t="str">
        <f>VLOOKUP(E590,Tabulka5[],3,FALSE)</f>
        <v>Sergeant</v>
      </c>
      <c r="G590" s="1" t="s">
        <v>3115</v>
      </c>
      <c r="H590" s="1" t="s">
        <v>939</v>
      </c>
      <c r="I590" s="1" t="s">
        <v>399</v>
      </c>
      <c r="J590" s="1" t="s">
        <v>3127</v>
      </c>
      <c r="K590" s="1" t="s">
        <v>2740</v>
      </c>
      <c r="L590" s="1" t="s">
        <v>2735</v>
      </c>
      <c r="M590" s="1">
        <v>600</v>
      </c>
      <c r="N590" s="1">
        <v>1</v>
      </c>
      <c r="O590" s="1" t="str">
        <f t="shared" si="48"/>
        <v>"PepperSeedsPack": 1,</v>
      </c>
      <c r="P590" s="1" t="str">
        <f t="shared" si="49"/>
        <v>"PepperSeedsPack": 34,</v>
      </c>
      <c r="Q590" s="1" t="str">
        <f t="shared" si="50"/>
        <v>"PepperSeedsPack": 600,</v>
      </c>
      <c r="R590" s="1" t="str">
        <f t="shared" si="51"/>
        <v>"PepperSeedsPack": 3,</v>
      </c>
    </row>
    <row r="591" spans="1:18" ht="15" customHeight="1" x14ac:dyDescent="0.25">
      <c r="A591" s="1" t="str">
        <f t="shared" si="52"/>
        <v>#tc_groceries#tc_tools#tc_eletronics</v>
      </c>
      <c r="B591" s="1">
        <f>VLOOKUP(A591,TraderCategory!$A$63:$E$556,2,FALSE)</f>
        <v>36</v>
      </c>
      <c r="C591" s="1">
        <f>VLOOKUP(A591,TraderCategory!$A$63:$F$556,6,FALSE)</f>
        <v>0</v>
      </c>
      <c r="D591" s="1" t="str">
        <f>VLOOKUP(C591,Tabulka5[],3,FALSE)</f>
        <v>Private</v>
      </c>
      <c r="E591" s="1">
        <v>3</v>
      </c>
      <c r="F591" s="1" t="str">
        <f>VLOOKUP(E591,Tabulka5[],3,FALSE)</f>
        <v>Sergeant</v>
      </c>
      <c r="G591" s="1" t="s">
        <v>3115</v>
      </c>
      <c r="H591" s="1" t="s">
        <v>940</v>
      </c>
      <c r="I591" s="1" t="s">
        <v>426</v>
      </c>
      <c r="J591" s="1" t="s">
        <v>3127</v>
      </c>
      <c r="K591" s="1" t="s">
        <v>2740</v>
      </c>
      <c r="L591" s="1" t="s">
        <v>3148</v>
      </c>
      <c r="M591" s="1">
        <v>3500</v>
      </c>
      <c r="N591" s="1">
        <v>1</v>
      </c>
      <c r="O591" s="1" t="str">
        <f t="shared" si="48"/>
        <v>"PersonalRadio": 1,</v>
      </c>
      <c r="P591" s="1" t="str">
        <f t="shared" si="49"/>
        <v>"PersonalRadio": 36,</v>
      </c>
      <c r="Q591" s="1" t="str">
        <f t="shared" si="50"/>
        <v>"PersonalRadio": 3500,</v>
      </c>
      <c r="R591" s="1" t="str">
        <f t="shared" si="51"/>
        <v>"PersonalRadio": 3,</v>
      </c>
    </row>
    <row r="592" spans="1:18" ht="15" customHeight="1" x14ac:dyDescent="0.25">
      <c r="A592" s="1" t="str">
        <f t="shared" si="52"/>
        <v>#tc_groceries#tc_tools#tc_tools</v>
      </c>
      <c r="B592" s="1">
        <f>VLOOKUP(A592,TraderCategory!$A$63:$E$556,2,FALSE)</f>
        <v>30</v>
      </c>
      <c r="C592" s="1">
        <f>VLOOKUP(A592,TraderCategory!$A$63:$F$556,6,FALSE)</f>
        <v>0</v>
      </c>
      <c r="D592" s="1" t="str">
        <f>VLOOKUP(C592,Tabulka5[],3,FALSE)</f>
        <v>Private</v>
      </c>
      <c r="E592" s="1">
        <v>0</v>
      </c>
      <c r="F592" s="1" t="str">
        <f>VLOOKUP(E592,Tabulka5[],3,FALSE)</f>
        <v>Private</v>
      </c>
      <c r="G592" s="1" t="s">
        <v>3115</v>
      </c>
      <c r="H592" s="1" t="s">
        <v>941</v>
      </c>
      <c r="I592" s="1" t="s">
        <v>426</v>
      </c>
      <c r="J592" s="1" t="s">
        <v>3127</v>
      </c>
      <c r="K592" s="1" t="s">
        <v>2740</v>
      </c>
      <c r="L592" s="1" t="s">
        <v>2740</v>
      </c>
      <c r="M592" s="1">
        <v>1200</v>
      </c>
      <c r="N592" s="1">
        <v>1</v>
      </c>
      <c r="O592" s="1" t="str">
        <f t="shared" si="48"/>
        <v>"Pickaxe": 1,</v>
      </c>
      <c r="P592" s="1" t="str">
        <f t="shared" si="49"/>
        <v>"Pickaxe": 30,</v>
      </c>
      <c r="Q592" s="1" t="str">
        <f t="shared" si="50"/>
        <v>"Pickaxe": 1200,</v>
      </c>
      <c r="R592" s="1" t="str">
        <f t="shared" si="51"/>
        <v>"Pickaxe": 0,</v>
      </c>
    </row>
    <row r="593" spans="1:18" ht="15" customHeight="1" x14ac:dyDescent="0.25">
      <c r="A593" s="1" t="str">
        <f t="shared" si="52"/>
        <v>#tc_clothes#tc_civil#tc_head</v>
      </c>
      <c r="B593" s="1">
        <f>VLOOKUP(A593,TraderCategory!$A$63:$E$556,2,FALSE)</f>
        <v>0</v>
      </c>
      <c r="C593" s="1">
        <f>VLOOKUP(A593,TraderCategory!$A$63:$F$556,6,FALSE)</f>
        <v>0</v>
      </c>
      <c r="D593" s="1" t="str">
        <f>VLOOKUP(C593,Tabulka5[],3,FALSE)</f>
        <v>Private</v>
      </c>
      <c r="E593" s="1">
        <v>0</v>
      </c>
      <c r="F593" s="1" t="str">
        <f>VLOOKUP(E593,Tabulka5[],3,FALSE)</f>
        <v>Private</v>
      </c>
      <c r="G593" s="1" t="s">
        <v>3115</v>
      </c>
      <c r="H593" s="1" t="s">
        <v>944</v>
      </c>
      <c r="I593" s="1" t="s">
        <v>403</v>
      </c>
      <c r="J593" s="1" t="s">
        <v>2728</v>
      </c>
      <c r="K593" s="1" t="s">
        <v>3126</v>
      </c>
      <c r="L593" s="1" t="s">
        <v>3130</v>
      </c>
      <c r="M593" s="1">
        <v>300</v>
      </c>
      <c r="N593" s="1">
        <v>1</v>
      </c>
      <c r="O593" s="1" t="str">
        <f t="shared" si="48"/>
        <v>"PilotkaCap": 1,</v>
      </c>
      <c r="P593" s="1" t="str">
        <f t="shared" si="49"/>
        <v>"PilotkaCap": 0,</v>
      </c>
      <c r="Q593" s="1" t="str">
        <f t="shared" si="50"/>
        <v>"PilotkaCap": 300,</v>
      </c>
      <c r="R593" s="1" t="str">
        <f t="shared" si="51"/>
        <v>"PilotkaCap": 0,</v>
      </c>
    </row>
    <row r="594" spans="1:18" ht="15" customHeight="1" x14ac:dyDescent="0.25">
      <c r="A594" s="1" t="str">
        <f t="shared" si="52"/>
        <v>#tc_military#tc_weapons#tc_handtohand</v>
      </c>
      <c r="B594" s="1">
        <f>VLOOKUP(A594,TraderCategory!$A$63:$E$556,2,FALSE)</f>
        <v>60</v>
      </c>
      <c r="C594" s="1">
        <f>VLOOKUP(A594,TraderCategory!$A$63:$F$556,6,FALSE)</f>
        <v>0</v>
      </c>
      <c r="D594" s="1" t="str">
        <f>VLOOKUP(C594,Tabulka5[],3,FALSE)</f>
        <v>Private</v>
      </c>
      <c r="E594" s="1">
        <v>0</v>
      </c>
      <c r="F594" s="1" t="str">
        <f>VLOOKUP(E594,Tabulka5[],3,FALSE)</f>
        <v>Private</v>
      </c>
      <c r="G594" s="1" t="s">
        <v>3115</v>
      </c>
      <c r="H594" s="1" t="s">
        <v>945</v>
      </c>
      <c r="I594" s="1" t="s">
        <v>426</v>
      </c>
      <c r="J594" s="1" t="s">
        <v>2729</v>
      </c>
      <c r="K594" s="1" t="s">
        <v>3129</v>
      </c>
      <c r="L594" s="1" t="s">
        <v>3176</v>
      </c>
      <c r="M594" s="1">
        <v>100</v>
      </c>
      <c r="N594" s="1">
        <v>1</v>
      </c>
      <c r="O594" s="1" t="str">
        <f t="shared" si="48"/>
        <v>"Pipe": 1,</v>
      </c>
      <c r="P594" s="1" t="str">
        <f t="shared" si="49"/>
        <v>"Pipe": 60,</v>
      </c>
      <c r="Q594" s="1" t="str">
        <f t="shared" si="50"/>
        <v>"Pipe": 100,</v>
      </c>
      <c r="R594" s="1" t="str">
        <f t="shared" si="51"/>
        <v>"Pipe": 0,</v>
      </c>
    </row>
    <row r="595" spans="1:18" x14ac:dyDescent="0.25">
      <c r="A595" s="1" t="str">
        <f t="shared" si="52"/>
        <v>#tc_military#tc_attachments#tc_suppressors</v>
      </c>
      <c r="B595" s="1">
        <f>VLOOKUP(A595,TraderCategory!$A$63:$E$556,2,FALSE)</f>
        <v>52</v>
      </c>
      <c r="C595" s="1">
        <f>VLOOKUP(A595,TraderCategory!$A$63:$F$556,6,FALSE)</f>
        <v>10</v>
      </c>
      <c r="D595" s="1" t="str">
        <f>VLOOKUP(C595,Tabulka5[],3,FALSE)</f>
        <v>Second Lieutenant</v>
      </c>
      <c r="E595" s="1">
        <v>10</v>
      </c>
      <c r="F595" s="1" t="str">
        <f>VLOOKUP(E595,Tabulka5[],3,FALSE)</f>
        <v>Second Lieutenant</v>
      </c>
      <c r="G595" s="1" t="s">
        <v>3115</v>
      </c>
      <c r="H595" s="1" t="s">
        <v>946</v>
      </c>
      <c r="I595" s="1" t="s">
        <v>8</v>
      </c>
      <c r="J595" s="1" t="s">
        <v>2729</v>
      </c>
      <c r="K595" s="1" t="s">
        <v>2736</v>
      </c>
      <c r="L595" s="1" t="s">
        <v>3165</v>
      </c>
      <c r="M595" s="1">
        <v>10000</v>
      </c>
      <c r="N595" s="1">
        <v>1</v>
      </c>
      <c r="O595" s="1" t="str">
        <f t="shared" si="48"/>
        <v>"PistolSuppressor": 1,</v>
      </c>
      <c r="P595" s="1" t="str">
        <f t="shared" si="49"/>
        <v>"PistolSuppressor": 52,</v>
      </c>
      <c r="Q595" s="1" t="str">
        <f t="shared" si="50"/>
        <v>"PistolSuppressor": 10000,</v>
      </c>
      <c r="R595" s="1" t="str">
        <f t="shared" si="51"/>
        <v>"PistolSuppressor": 10,</v>
      </c>
    </row>
    <row r="596" spans="1:18" ht="15" customHeight="1" x14ac:dyDescent="0.25">
      <c r="A596" s="1" t="str">
        <f t="shared" si="52"/>
        <v>#tc_clothes#tc_military#tc_vests</v>
      </c>
      <c r="B596" s="1">
        <f>VLOOKUP(A596,TraderCategory!$A$63:$E$556,2,FALSE)</f>
        <v>14</v>
      </c>
      <c r="C596" s="1">
        <f>VLOOKUP(A596,TraderCategory!$A$63:$F$556,6,FALSE)</f>
        <v>1</v>
      </c>
      <c r="D596" s="1" t="str">
        <f>VLOOKUP(C596,Tabulka5[],3,FALSE)</f>
        <v>Private First Class</v>
      </c>
      <c r="E596" s="1">
        <v>1</v>
      </c>
      <c r="F596" s="1" t="str">
        <f>VLOOKUP(E596,Tabulka5[],3,FALSE)</f>
        <v>Private First Class</v>
      </c>
      <c r="G596" s="1" t="s">
        <v>3115</v>
      </c>
      <c r="H596" s="1" t="s">
        <v>947</v>
      </c>
      <c r="I596" s="1" t="s">
        <v>403</v>
      </c>
      <c r="J596" s="1" t="s">
        <v>2728</v>
      </c>
      <c r="K596" s="1" t="s">
        <v>2729</v>
      </c>
      <c r="L596" s="1" t="s">
        <v>3136</v>
      </c>
      <c r="M596" s="1">
        <v>1500</v>
      </c>
      <c r="N596" s="1">
        <v>1</v>
      </c>
      <c r="O596" s="1" t="str">
        <f t="shared" si="48"/>
        <v>"PlateCarrierHolster": 1,</v>
      </c>
      <c r="P596" s="1" t="str">
        <f t="shared" si="49"/>
        <v>"PlateCarrierHolster": 14,</v>
      </c>
      <c r="Q596" s="1" t="str">
        <f t="shared" si="50"/>
        <v>"PlateCarrierHolster": 1500,</v>
      </c>
      <c r="R596" s="1" t="str">
        <f t="shared" si="51"/>
        <v>"PlateCarrierHolster": 1,</v>
      </c>
    </row>
    <row r="597" spans="1:18" ht="15" customHeight="1" x14ac:dyDescent="0.25">
      <c r="A597" s="1" t="str">
        <f t="shared" si="52"/>
        <v>#tc_clothes#tc_military#tc_vests</v>
      </c>
      <c r="B597" s="1">
        <f>VLOOKUP(A597,TraderCategory!$A$63:$E$556,2,FALSE)</f>
        <v>14</v>
      </c>
      <c r="C597" s="1">
        <f>VLOOKUP(A597,TraderCategory!$A$63:$F$556,6,FALSE)</f>
        <v>1</v>
      </c>
      <c r="D597" s="1" t="str">
        <f>VLOOKUP(C597,Tabulka5[],3,FALSE)</f>
        <v>Private First Class</v>
      </c>
      <c r="E597" s="1">
        <v>1</v>
      </c>
      <c r="F597" s="1" t="str">
        <f>VLOOKUP(E597,Tabulka5[],3,FALSE)</f>
        <v>Private First Class</v>
      </c>
      <c r="G597" s="1" t="s">
        <v>3115</v>
      </c>
      <c r="H597" s="1" t="s">
        <v>948</v>
      </c>
      <c r="I597" s="1" t="s">
        <v>403</v>
      </c>
      <c r="J597" s="1" t="s">
        <v>2728</v>
      </c>
      <c r="K597" s="1" t="s">
        <v>2729</v>
      </c>
      <c r="L597" s="1" t="s">
        <v>3136</v>
      </c>
      <c r="M597" s="1">
        <v>4000</v>
      </c>
      <c r="N597" s="1">
        <v>1</v>
      </c>
      <c r="O597" s="1" t="str">
        <f t="shared" si="48"/>
        <v>"PlateCarrierPouches": 1,</v>
      </c>
      <c r="P597" s="1" t="str">
        <f t="shared" si="49"/>
        <v>"PlateCarrierPouches": 14,</v>
      </c>
      <c r="Q597" s="1" t="str">
        <f t="shared" si="50"/>
        <v>"PlateCarrierPouches": 4000,</v>
      </c>
      <c r="R597" s="1" t="str">
        <f t="shared" si="51"/>
        <v>"PlateCarrierPouches": 1,</v>
      </c>
    </row>
    <row r="598" spans="1:18" ht="15" customHeight="1" x14ac:dyDescent="0.25">
      <c r="A598" s="1" t="str">
        <f t="shared" si="52"/>
        <v>#tc_clothes#tc_military#tc_vests</v>
      </c>
      <c r="B598" s="1">
        <f>VLOOKUP(A598,TraderCategory!$A$63:$E$556,2,FALSE)</f>
        <v>14</v>
      </c>
      <c r="C598" s="1">
        <f>VLOOKUP(A598,TraderCategory!$A$63:$F$556,6,FALSE)</f>
        <v>1</v>
      </c>
      <c r="D598" s="1" t="str">
        <f>VLOOKUP(C598,Tabulka5[],3,FALSE)</f>
        <v>Private First Class</v>
      </c>
      <c r="E598" s="1">
        <v>1</v>
      </c>
      <c r="F598" s="1" t="str">
        <f>VLOOKUP(E598,Tabulka5[],3,FALSE)</f>
        <v>Private First Class</v>
      </c>
      <c r="G598" s="1" t="s">
        <v>3115</v>
      </c>
      <c r="H598" s="1" t="s">
        <v>949</v>
      </c>
      <c r="I598" s="1" t="s">
        <v>403</v>
      </c>
      <c r="J598" s="1" t="s">
        <v>2728</v>
      </c>
      <c r="K598" s="1" t="s">
        <v>2729</v>
      </c>
      <c r="L598" s="1" t="s">
        <v>3136</v>
      </c>
      <c r="M598" s="1">
        <v>15000</v>
      </c>
      <c r="N598" s="1">
        <v>1</v>
      </c>
      <c r="O598" s="1" t="str">
        <f t="shared" si="48"/>
        <v>"PlateCarrierVest": 1,</v>
      </c>
      <c r="P598" s="1" t="str">
        <f t="shared" si="49"/>
        <v>"PlateCarrierVest": 14,</v>
      </c>
      <c r="Q598" s="1" t="str">
        <f t="shared" si="50"/>
        <v>"PlateCarrierVest": 15000,</v>
      </c>
      <c r="R598" s="1" t="str">
        <f t="shared" si="51"/>
        <v>"PlateCarrierVest": 1,</v>
      </c>
    </row>
    <row r="599" spans="1:18" ht="15" customHeight="1" x14ac:dyDescent="0.25">
      <c r="A599" s="1" t="str">
        <f t="shared" si="52"/>
        <v>#tc_groceries#tc_tools#tc_tools</v>
      </c>
      <c r="B599" s="1">
        <f>VLOOKUP(A599,TraderCategory!$A$63:$E$556,2,FALSE)</f>
        <v>30</v>
      </c>
      <c r="C599" s="1">
        <f>VLOOKUP(A599,TraderCategory!$A$63:$F$556,6,FALSE)</f>
        <v>0</v>
      </c>
      <c r="D599" s="1" t="str">
        <f>VLOOKUP(C599,Tabulka5[],3,FALSE)</f>
        <v>Private</v>
      </c>
      <c r="E599" s="1">
        <v>0</v>
      </c>
      <c r="F599" s="1" t="str">
        <f>VLOOKUP(E599,Tabulka5[],3,FALSE)</f>
        <v>Private</v>
      </c>
      <c r="G599" s="1" t="s">
        <v>3115</v>
      </c>
      <c r="H599" s="1" t="s">
        <v>950</v>
      </c>
      <c r="I599" s="1" t="s">
        <v>426</v>
      </c>
      <c r="J599" s="1" t="s">
        <v>3127</v>
      </c>
      <c r="K599" s="1" t="s">
        <v>2740</v>
      </c>
      <c r="L599" s="1" t="s">
        <v>2740</v>
      </c>
      <c r="M599" s="1">
        <v>300</v>
      </c>
      <c r="N599" s="1">
        <v>1</v>
      </c>
      <c r="O599" s="1" t="str">
        <f t="shared" si="48"/>
        <v>"Pliers": 1,</v>
      </c>
      <c r="P599" s="1" t="str">
        <f t="shared" si="49"/>
        <v>"Pliers": 30,</v>
      </c>
      <c r="Q599" s="1" t="str">
        <f t="shared" si="50"/>
        <v>"Pliers": 300,</v>
      </c>
      <c r="R599" s="1" t="str">
        <f t="shared" si="51"/>
        <v>"Pliers": 0,</v>
      </c>
    </row>
    <row r="600" spans="1:18" ht="15" customHeight="1" x14ac:dyDescent="0.25">
      <c r="A600" s="1" t="str">
        <f t="shared" si="52"/>
        <v>#tc_clothes#tc_civil#tc_head</v>
      </c>
      <c r="B600" s="1">
        <f>VLOOKUP(A600,TraderCategory!$A$63:$E$556,2,FALSE)</f>
        <v>0</v>
      </c>
      <c r="C600" s="1">
        <f>VLOOKUP(A600,TraderCategory!$A$63:$F$556,6,FALSE)</f>
        <v>0</v>
      </c>
      <c r="D600" s="1" t="str">
        <f>VLOOKUP(C600,Tabulka5[],3,FALSE)</f>
        <v>Private</v>
      </c>
      <c r="E600" s="1">
        <v>0</v>
      </c>
      <c r="F600" s="1" t="str">
        <f>VLOOKUP(E600,Tabulka5[],3,FALSE)</f>
        <v>Private</v>
      </c>
      <c r="G600" s="1" t="s">
        <v>3115</v>
      </c>
      <c r="H600" s="1" t="s">
        <v>951</v>
      </c>
      <c r="I600" s="1" t="s">
        <v>403</v>
      </c>
      <c r="J600" s="1" t="s">
        <v>2728</v>
      </c>
      <c r="K600" s="1" t="s">
        <v>3126</v>
      </c>
      <c r="L600" s="1" t="s">
        <v>3130</v>
      </c>
      <c r="M600" s="1">
        <v>300</v>
      </c>
      <c r="N600" s="1">
        <v>1</v>
      </c>
      <c r="O600" s="1" t="str">
        <f t="shared" si="48"/>
        <v>"PoliceCap": 1,</v>
      </c>
      <c r="P600" s="1" t="str">
        <f t="shared" si="49"/>
        <v>"PoliceCap": 0,</v>
      </c>
      <c r="Q600" s="1" t="str">
        <f t="shared" si="50"/>
        <v>"PoliceCap": 300,</v>
      </c>
      <c r="R600" s="1" t="str">
        <f t="shared" si="51"/>
        <v>"PoliceCap": 0,</v>
      </c>
    </row>
    <row r="601" spans="1:18" ht="15" customHeight="1" x14ac:dyDescent="0.25">
      <c r="A601" s="1" t="str">
        <f t="shared" si="52"/>
        <v>#tc_clothes#tc_civil#tc_tops</v>
      </c>
      <c r="B601" s="1">
        <f>VLOOKUP(A601,TraderCategory!$A$63:$E$556,2,FALSE)</f>
        <v>1</v>
      </c>
      <c r="C601" s="1">
        <f>VLOOKUP(A601,TraderCategory!$A$63:$F$556,6,FALSE)</f>
        <v>0</v>
      </c>
      <c r="D601" s="1" t="str">
        <f>VLOOKUP(C601,Tabulka5[],3,FALSE)</f>
        <v>Private</v>
      </c>
      <c r="E601" s="1">
        <v>0</v>
      </c>
      <c r="F601" s="1" t="str">
        <f>VLOOKUP(E601,Tabulka5[],3,FALSE)</f>
        <v>Private</v>
      </c>
      <c r="G601" s="1" t="s">
        <v>3115</v>
      </c>
      <c r="H601" s="1" t="s">
        <v>952</v>
      </c>
      <c r="I601" s="1" t="s">
        <v>403</v>
      </c>
      <c r="J601" s="1" t="s">
        <v>2728</v>
      </c>
      <c r="K601" s="1" t="s">
        <v>3126</v>
      </c>
      <c r="L601" s="1" t="s">
        <v>3131</v>
      </c>
      <c r="M601" s="1">
        <v>2000</v>
      </c>
      <c r="N601" s="1">
        <v>1</v>
      </c>
      <c r="O601" s="1" t="str">
        <f t="shared" si="48"/>
        <v>"PoliceJacket": 1,</v>
      </c>
      <c r="P601" s="1" t="str">
        <f t="shared" si="49"/>
        <v>"PoliceJacket": 1,</v>
      </c>
      <c r="Q601" s="1" t="str">
        <f t="shared" si="50"/>
        <v>"PoliceJacket": 2000,</v>
      </c>
      <c r="R601" s="1" t="str">
        <f t="shared" si="51"/>
        <v>"PoliceJacket": 0,</v>
      </c>
    </row>
    <row r="602" spans="1:18" ht="15" customHeight="1" x14ac:dyDescent="0.25">
      <c r="A602" s="1" t="str">
        <f t="shared" si="52"/>
        <v>#tc_clothes#tc_civil#tc_tops</v>
      </c>
      <c r="B602" s="1">
        <f>VLOOKUP(A602,TraderCategory!$A$63:$E$556,2,FALSE)</f>
        <v>1</v>
      </c>
      <c r="C602" s="1">
        <f>VLOOKUP(A602,TraderCategory!$A$63:$F$556,6,FALSE)</f>
        <v>0</v>
      </c>
      <c r="D602" s="1" t="str">
        <f>VLOOKUP(C602,Tabulka5[],3,FALSE)</f>
        <v>Private</v>
      </c>
      <c r="E602" s="1">
        <v>0</v>
      </c>
      <c r="F602" s="1" t="str">
        <f>VLOOKUP(E602,Tabulka5[],3,FALSE)</f>
        <v>Private</v>
      </c>
      <c r="G602" s="1" t="s">
        <v>3115</v>
      </c>
      <c r="H602" s="1" t="s">
        <v>953</v>
      </c>
      <c r="I602" s="1" t="s">
        <v>403</v>
      </c>
      <c r="J602" s="1" t="s">
        <v>2728</v>
      </c>
      <c r="K602" s="1" t="s">
        <v>3126</v>
      </c>
      <c r="L602" s="1" t="s">
        <v>3131</v>
      </c>
      <c r="M602" s="1">
        <v>2000</v>
      </c>
      <c r="N602" s="1">
        <v>1</v>
      </c>
      <c r="O602" s="1" t="str">
        <f t="shared" si="48"/>
        <v>"PoliceJacketOrel": 1,</v>
      </c>
      <c r="P602" s="1" t="str">
        <f t="shared" si="49"/>
        <v>"PoliceJacketOrel": 1,</v>
      </c>
      <c r="Q602" s="1" t="str">
        <f t="shared" si="50"/>
        <v>"PoliceJacketOrel": 2000,</v>
      </c>
      <c r="R602" s="1" t="str">
        <f t="shared" si="51"/>
        <v>"PoliceJacketOrel": 0,</v>
      </c>
    </row>
    <row r="603" spans="1:18" ht="15" customHeight="1" x14ac:dyDescent="0.25">
      <c r="A603" s="1" t="str">
        <f t="shared" si="52"/>
        <v>#tc_clothes#tc_civil#tc_pants</v>
      </c>
      <c r="B603" s="1">
        <f>VLOOKUP(A603,TraderCategory!$A$63:$E$556,2,FALSE)</f>
        <v>4</v>
      </c>
      <c r="C603" s="1">
        <f>VLOOKUP(A603,TraderCategory!$A$63:$F$556,6,FALSE)</f>
        <v>0</v>
      </c>
      <c r="D603" s="1" t="str">
        <f>VLOOKUP(C603,Tabulka5[],3,FALSE)</f>
        <v>Private</v>
      </c>
      <c r="E603" s="1">
        <v>0</v>
      </c>
      <c r="F603" s="1" t="str">
        <f>VLOOKUP(E603,Tabulka5[],3,FALSE)</f>
        <v>Private</v>
      </c>
      <c r="G603" s="1" t="s">
        <v>3115</v>
      </c>
      <c r="H603" s="1" t="s">
        <v>954</v>
      </c>
      <c r="I603" s="1" t="s">
        <v>403</v>
      </c>
      <c r="J603" s="1" t="s">
        <v>2728</v>
      </c>
      <c r="K603" s="1" t="s">
        <v>3126</v>
      </c>
      <c r="L603" s="1" t="s">
        <v>3133</v>
      </c>
      <c r="M603" s="1">
        <v>1200</v>
      </c>
      <c r="N603" s="1">
        <v>1</v>
      </c>
      <c r="O603" s="1" t="str">
        <f t="shared" si="48"/>
        <v>"PolicePants": 1,</v>
      </c>
      <c r="P603" s="1" t="str">
        <f t="shared" si="49"/>
        <v>"PolicePants": 4,</v>
      </c>
      <c r="Q603" s="1" t="str">
        <f t="shared" si="50"/>
        <v>"PolicePants": 1200,</v>
      </c>
      <c r="R603" s="1" t="str">
        <f t="shared" si="51"/>
        <v>"PolicePants": 0,</v>
      </c>
    </row>
    <row r="604" spans="1:18" ht="15" customHeight="1" x14ac:dyDescent="0.25">
      <c r="A604" s="1" t="str">
        <f t="shared" si="52"/>
        <v>#tc_clothes#tc_civil#tc_pants</v>
      </c>
      <c r="B604" s="1">
        <f>VLOOKUP(A604,TraderCategory!$A$63:$E$556,2,FALSE)</f>
        <v>4</v>
      </c>
      <c r="C604" s="1">
        <f>VLOOKUP(A604,TraderCategory!$A$63:$F$556,6,FALSE)</f>
        <v>0</v>
      </c>
      <c r="D604" s="1" t="str">
        <f>VLOOKUP(C604,Tabulka5[],3,FALSE)</f>
        <v>Private</v>
      </c>
      <c r="E604" s="1">
        <v>0</v>
      </c>
      <c r="F604" s="1" t="str">
        <f>VLOOKUP(E604,Tabulka5[],3,FALSE)</f>
        <v>Private</v>
      </c>
      <c r="G604" s="1" t="s">
        <v>3115</v>
      </c>
      <c r="H604" s="1" t="s">
        <v>955</v>
      </c>
      <c r="I604" s="1" t="s">
        <v>403</v>
      </c>
      <c r="J604" s="1" t="s">
        <v>2728</v>
      </c>
      <c r="K604" s="1" t="s">
        <v>3126</v>
      </c>
      <c r="L604" s="1" t="s">
        <v>3133</v>
      </c>
      <c r="M604" s="1">
        <v>1200</v>
      </c>
      <c r="N604" s="1">
        <v>1</v>
      </c>
      <c r="O604" s="1" t="str">
        <f t="shared" si="48"/>
        <v>"PolicePantsOrel": 1,</v>
      </c>
      <c r="P604" s="1" t="str">
        <f t="shared" si="49"/>
        <v>"PolicePantsOrel": 4,</v>
      </c>
      <c r="Q604" s="1" t="str">
        <f t="shared" si="50"/>
        <v>"PolicePantsOrel": 1200,</v>
      </c>
      <c r="R604" s="1" t="str">
        <f t="shared" si="51"/>
        <v>"PolicePantsOrel": 0,</v>
      </c>
    </row>
    <row r="605" spans="1:18" ht="15" customHeight="1" x14ac:dyDescent="0.25">
      <c r="A605" s="1" t="str">
        <f t="shared" si="52"/>
        <v>#tc_clothes#tc_civil#tc_vests</v>
      </c>
      <c r="B605" s="1">
        <f>VLOOKUP(A605,TraderCategory!$A$63:$E$556,2,FALSE)</f>
        <v>6</v>
      </c>
      <c r="C605" s="1">
        <f>VLOOKUP(A605,TraderCategory!$A$63:$F$556,6,FALSE)</f>
        <v>0</v>
      </c>
      <c r="D605" s="1" t="str">
        <f>VLOOKUP(C605,Tabulka5[],3,FALSE)</f>
        <v>Private</v>
      </c>
      <c r="E605" s="1">
        <v>1</v>
      </c>
      <c r="F605" s="1" t="str">
        <f>VLOOKUP(E605,Tabulka5[],3,FALSE)</f>
        <v>Private First Class</v>
      </c>
      <c r="G605" s="1" t="s">
        <v>3115</v>
      </c>
      <c r="H605" s="1" t="s">
        <v>956</v>
      </c>
      <c r="I605" s="1" t="s">
        <v>403</v>
      </c>
      <c r="J605" s="1" t="s">
        <v>2728</v>
      </c>
      <c r="K605" s="1" t="s">
        <v>3126</v>
      </c>
      <c r="L605" s="1" t="s">
        <v>3136</v>
      </c>
      <c r="M605" s="1">
        <v>3000</v>
      </c>
      <c r="N605" s="1">
        <v>1</v>
      </c>
      <c r="O605" s="1" t="str">
        <f t="shared" si="48"/>
        <v>"PoliceVest": 1,</v>
      </c>
      <c r="P605" s="1" t="str">
        <f t="shared" si="49"/>
        <v>"PoliceVest": 6,</v>
      </c>
      <c r="Q605" s="1" t="str">
        <f t="shared" si="50"/>
        <v>"PoliceVest": 3000,</v>
      </c>
      <c r="R605" s="1" t="str">
        <f t="shared" si="51"/>
        <v>"PoliceVest": 1,</v>
      </c>
    </row>
    <row r="606" spans="1:18" ht="15" customHeight="1" x14ac:dyDescent="0.25">
      <c r="A606" s="1" t="str">
        <f t="shared" si="52"/>
        <v>#tc_groceries#tc_tools#tc_lights</v>
      </c>
      <c r="B606" s="1">
        <f>VLOOKUP(A606,TraderCategory!$A$63:$E$556,2,FALSE)</f>
        <v>37</v>
      </c>
      <c r="C606" s="1">
        <f>VLOOKUP(A606,TraderCategory!$A$63:$F$556,6,FALSE)</f>
        <v>0</v>
      </c>
      <c r="D606" s="1" t="str">
        <f>VLOOKUP(C606,Tabulka5[],3,FALSE)</f>
        <v>Private</v>
      </c>
      <c r="E606" s="1">
        <v>1</v>
      </c>
      <c r="F606" s="1" t="str">
        <f>VLOOKUP(E606,Tabulka5[],3,FALSE)</f>
        <v>Private First Class</v>
      </c>
      <c r="G606" s="1" t="s">
        <v>3115</v>
      </c>
      <c r="H606" s="1" t="s">
        <v>957</v>
      </c>
      <c r="I606" s="1" t="s">
        <v>426</v>
      </c>
      <c r="J606" s="1" t="s">
        <v>3127</v>
      </c>
      <c r="K606" s="1" t="s">
        <v>2740</v>
      </c>
      <c r="L606" s="1" t="s">
        <v>3147</v>
      </c>
      <c r="M606" s="1">
        <v>1500</v>
      </c>
      <c r="N606" s="1">
        <v>1</v>
      </c>
      <c r="O606" s="1" t="str">
        <f t="shared" si="48"/>
        <v>"PortableGasLamp": 1,</v>
      </c>
      <c r="P606" s="1" t="str">
        <f t="shared" si="49"/>
        <v>"PortableGasLamp": 37,</v>
      </c>
      <c r="Q606" s="1" t="str">
        <f t="shared" si="50"/>
        <v>"PortableGasLamp": 1500,</v>
      </c>
      <c r="R606" s="1" t="str">
        <f t="shared" si="51"/>
        <v>"PortableGasLamp": 1,</v>
      </c>
    </row>
    <row r="607" spans="1:18" ht="15" customHeight="1" x14ac:dyDescent="0.25">
      <c r="A607" s="1" t="str">
        <f t="shared" si="52"/>
        <v>#tc_groceries#tc_tools#tc_camping</v>
      </c>
      <c r="B607" s="1">
        <f>VLOOKUP(A607,TraderCategory!$A$63:$E$556,2,FALSE)</f>
        <v>33</v>
      </c>
      <c r="C607" s="1">
        <f>VLOOKUP(A607,TraderCategory!$A$63:$F$556,6,FALSE)</f>
        <v>3</v>
      </c>
      <c r="D607" s="1" t="str">
        <f>VLOOKUP(C607,Tabulka5[],3,FALSE)</f>
        <v>Sergeant</v>
      </c>
      <c r="E607" s="1">
        <v>3</v>
      </c>
      <c r="F607" s="1" t="str">
        <f>VLOOKUP(E607,Tabulka5[],3,FALSE)</f>
        <v>Sergeant</v>
      </c>
      <c r="G607" s="1" t="s">
        <v>3115</v>
      </c>
      <c r="H607" s="1" t="s">
        <v>958</v>
      </c>
      <c r="I607" s="1" t="s">
        <v>426</v>
      </c>
      <c r="J607" s="1" t="s">
        <v>3127</v>
      </c>
      <c r="K607" s="1" t="s">
        <v>2740</v>
      </c>
      <c r="L607" s="1" t="s">
        <v>3150</v>
      </c>
      <c r="M607" s="1">
        <v>500</v>
      </c>
      <c r="N607" s="1">
        <v>1</v>
      </c>
      <c r="O607" s="1" t="str">
        <f t="shared" si="48"/>
        <v>"PortableGasStove": 1,</v>
      </c>
      <c r="P607" s="1" t="str">
        <f t="shared" si="49"/>
        <v>"PortableGasStove": 33,</v>
      </c>
      <c r="Q607" s="1" t="str">
        <f t="shared" si="50"/>
        <v>"PortableGasStove": 500,</v>
      </c>
      <c r="R607" s="1" t="str">
        <f t="shared" si="51"/>
        <v>"PortableGasStove": 3,</v>
      </c>
    </row>
    <row r="608" spans="1:18" ht="15" customHeight="1" x14ac:dyDescent="0.25">
      <c r="A608" s="1" t="str">
        <f t="shared" si="52"/>
        <v>#tc_groceries#tc_tools#tc_camping</v>
      </c>
      <c r="B608" s="1">
        <f>VLOOKUP(A608,TraderCategory!$A$63:$E$556,2,FALSE)</f>
        <v>33</v>
      </c>
      <c r="C608" s="1">
        <f>VLOOKUP(A608,TraderCategory!$A$63:$F$556,6,FALSE)</f>
        <v>3</v>
      </c>
      <c r="D608" s="1" t="str">
        <f>VLOOKUP(C608,Tabulka5[],3,FALSE)</f>
        <v>Sergeant</v>
      </c>
      <c r="E608" s="1">
        <v>3</v>
      </c>
      <c r="F608" s="1" t="str">
        <f>VLOOKUP(E608,Tabulka5[],3,FALSE)</f>
        <v>Sergeant</v>
      </c>
      <c r="G608" s="1" t="s">
        <v>3115</v>
      </c>
      <c r="H608" s="1" t="s">
        <v>959</v>
      </c>
      <c r="I608" s="1" t="s">
        <v>426</v>
      </c>
      <c r="J608" s="1" t="s">
        <v>3127</v>
      </c>
      <c r="K608" s="1" t="s">
        <v>2740</v>
      </c>
      <c r="L608" s="1" t="s">
        <v>3150</v>
      </c>
      <c r="M608" s="1">
        <v>2000</v>
      </c>
      <c r="N608" s="1">
        <v>1</v>
      </c>
      <c r="O608" s="1" t="str">
        <f t="shared" si="48"/>
        <v>"Pot": 1,</v>
      </c>
      <c r="P608" s="1" t="str">
        <f t="shared" si="49"/>
        <v>"Pot": 33,</v>
      </c>
      <c r="Q608" s="1" t="str">
        <f t="shared" si="50"/>
        <v>"Pot": 2000,</v>
      </c>
      <c r="R608" s="1" t="str">
        <f t="shared" si="51"/>
        <v>"Pot": 3,</v>
      </c>
    </row>
    <row r="609" spans="1:18" ht="15" customHeight="1" x14ac:dyDescent="0.25">
      <c r="A609" s="1" t="str">
        <f t="shared" si="52"/>
        <v>#tc_groceries#tc_food#tc_fruits</v>
      </c>
      <c r="B609" s="1">
        <f>VLOOKUP(A609,TraderCategory!$A$63:$E$556,2,FALSE)</f>
        <v>20</v>
      </c>
      <c r="C609" s="1">
        <f>VLOOKUP(A609,TraderCategory!$A$63:$F$556,6,FALSE)</f>
        <v>3</v>
      </c>
      <c r="D609" s="1" t="str">
        <f>VLOOKUP(C609,Tabulka5[],3,FALSE)</f>
        <v>Sergeant</v>
      </c>
      <c r="E609" s="1">
        <v>3</v>
      </c>
      <c r="F609" s="1" t="str">
        <f>VLOOKUP(E609,Tabulka5[],3,FALSE)</f>
        <v>Sergeant</v>
      </c>
      <c r="G609" s="1" t="s">
        <v>3115</v>
      </c>
      <c r="H609" s="1" t="s">
        <v>960</v>
      </c>
      <c r="I609" s="1" t="s">
        <v>399</v>
      </c>
      <c r="J609" s="1" t="s">
        <v>3127</v>
      </c>
      <c r="K609" s="1" t="s">
        <v>2730</v>
      </c>
      <c r="L609" s="1" t="s">
        <v>3142</v>
      </c>
      <c r="M609" s="1">
        <v>200</v>
      </c>
      <c r="N609" s="1">
        <v>1</v>
      </c>
      <c r="O609" s="1" t="str">
        <f t="shared" si="48"/>
        <v>"Potato": 1,</v>
      </c>
      <c r="P609" s="1" t="str">
        <f t="shared" si="49"/>
        <v>"Potato": 20,</v>
      </c>
      <c r="Q609" s="1" t="str">
        <f t="shared" si="50"/>
        <v>"Potato": 200,</v>
      </c>
      <c r="R609" s="1" t="str">
        <f t="shared" si="51"/>
        <v>"Potato": 3,</v>
      </c>
    </row>
    <row r="610" spans="1:18" ht="15" customHeight="1" x14ac:dyDescent="0.25">
      <c r="A610" s="1" t="str">
        <f t="shared" si="52"/>
        <v>#tc_groceries#tc_food#tc_packaged</v>
      </c>
      <c r="B610" s="1">
        <f>VLOOKUP(A610,TraderCategory!$A$63:$E$556,2,FALSE)</f>
        <v>19</v>
      </c>
      <c r="C610" s="1">
        <f>VLOOKUP(A610,TraderCategory!$A$63:$F$556,6,FALSE)</f>
        <v>3</v>
      </c>
      <c r="D610" s="1" t="str">
        <f>VLOOKUP(C610,Tabulka5[],3,FALSE)</f>
        <v>Sergeant</v>
      </c>
      <c r="E610" s="1">
        <v>3</v>
      </c>
      <c r="F610" s="1" t="str">
        <f>VLOOKUP(E610,Tabulka5[],3,FALSE)</f>
        <v>Sergeant</v>
      </c>
      <c r="G610" s="1" t="s">
        <v>3115</v>
      </c>
      <c r="H610" s="1" t="s">
        <v>961</v>
      </c>
      <c r="I610" s="1" t="s">
        <v>399</v>
      </c>
      <c r="J610" s="1" t="s">
        <v>3127</v>
      </c>
      <c r="K610" s="1" t="s">
        <v>2730</v>
      </c>
      <c r="L610" s="1" t="s">
        <v>3140</v>
      </c>
      <c r="M610" s="1">
        <v>2500</v>
      </c>
      <c r="N610" s="1">
        <v>1</v>
      </c>
      <c r="O610" s="1" t="str">
        <f t="shared" si="48"/>
        <v>"PowderedMilk": 1,</v>
      </c>
      <c r="P610" s="1" t="str">
        <f t="shared" si="49"/>
        <v>"PowderedMilk": 19,</v>
      </c>
      <c r="Q610" s="1" t="str">
        <f t="shared" si="50"/>
        <v>"PowderedMilk": 2500,</v>
      </c>
      <c r="R610" s="1" t="str">
        <f t="shared" si="51"/>
        <v>"PowderedMilk": 3,</v>
      </c>
    </row>
    <row r="611" spans="1:18" ht="15" customHeight="1" x14ac:dyDescent="0.25">
      <c r="A611" s="1" t="str">
        <f t="shared" si="52"/>
        <v>#tc_groceries#tc_tools#tc_eletronics</v>
      </c>
      <c r="B611" s="1">
        <f>VLOOKUP(A611,TraderCategory!$A$63:$E$556,2,FALSE)</f>
        <v>36</v>
      </c>
      <c r="C611" s="1">
        <f>VLOOKUP(A611,TraderCategory!$A$63:$F$556,6,FALSE)</f>
        <v>0</v>
      </c>
      <c r="D611" s="1" t="str">
        <f>VLOOKUP(C611,Tabulka5[],3,FALSE)</f>
        <v>Private</v>
      </c>
      <c r="E611" s="1">
        <v>9</v>
      </c>
      <c r="F611" s="1" t="str">
        <f>VLOOKUP(E611,Tabulka5[],3,FALSE)</f>
        <v>Sergeant Major of the Army</v>
      </c>
      <c r="G611" s="1" t="s">
        <v>3115</v>
      </c>
      <c r="H611" s="1" t="s">
        <v>962</v>
      </c>
      <c r="I611" s="1" t="s">
        <v>426</v>
      </c>
      <c r="J611" s="1" t="s">
        <v>3127</v>
      </c>
      <c r="K611" s="1" t="s">
        <v>2740</v>
      </c>
      <c r="L611" s="1" t="s">
        <v>3148</v>
      </c>
      <c r="M611" s="1">
        <v>25000</v>
      </c>
      <c r="N611" s="1">
        <v>1</v>
      </c>
      <c r="O611" s="1" t="str">
        <f t="shared" si="48"/>
        <v>"PowerGenerator": 1,</v>
      </c>
      <c r="P611" s="1" t="str">
        <f t="shared" si="49"/>
        <v>"PowerGenerator": 36,</v>
      </c>
      <c r="Q611" s="1" t="str">
        <f t="shared" si="50"/>
        <v>"PowerGenerator": 25000,</v>
      </c>
      <c r="R611" s="1" t="str">
        <f t="shared" si="51"/>
        <v>"PowerGenerator": 9,</v>
      </c>
    </row>
    <row r="612" spans="1:18" ht="15" customHeight="1" x14ac:dyDescent="0.25">
      <c r="A612" s="1" t="str">
        <f t="shared" si="52"/>
        <v>#tc_clothes#tc_civil#tc_vests</v>
      </c>
      <c r="B612" s="1">
        <f>VLOOKUP(A612,TraderCategory!$A$63:$E$556,2,FALSE)</f>
        <v>6</v>
      </c>
      <c r="C612" s="1">
        <f>VLOOKUP(A612,TraderCategory!$A$63:$F$556,6,FALSE)</f>
        <v>0</v>
      </c>
      <c r="D612" s="1" t="str">
        <f>VLOOKUP(C612,Tabulka5[],3,FALSE)</f>
        <v>Private</v>
      </c>
      <c r="E612" s="1">
        <v>0</v>
      </c>
      <c r="F612" s="1" t="str">
        <f>VLOOKUP(E612,Tabulka5[],3,FALSE)</f>
        <v>Private</v>
      </c>
      <c r="G612" s="1" t="s">
        <v>3115</v>
      </c>
      <c r="H612" s="1" t="s">
        <v>963</v>
      </c>
      <c r="I612" s="1" t="s">
        <v>403</v>
      </c>
      <c r="J612" s="1" t="s">
        <v>2728</v>
      </c>
      <c r="K612" s="1" t="s">
        <v>3126</v>
      </c>
      <c r="L612" s="1" t="s">
        <v>3136</v>
      </c>
      <c r="M612" s="1">
        <v>1000</v>
      </c>
      <c r="N612" s="1">
        <v>1</v>
      </c>
      <c r="O612" s="1" t="str">
        <f t="shared" si="48"/>
        <v>"PressVest_Blue": 1,</v>
      </c>
      <c r="P612" s="1" t="str">
        <f t="shared" si="49"/>
        <v>"PressVest_Blue": 6,</v>
      </c>
      <c r="Q612" s="1" t="str">
        <f t="shared" si="50"/>
        <v>"PressVest_Blue": 1000,</v>
      </c>
      <c r="R612" s="1" t="str">
        <f t="shared" si="51"/>
        <v>"PressVest_Blue": 0,</v>
      </c>
    </row>
    <row r="613" spans="1:18" ht="15" customHeight="1" x14ac:dyDescent="0.25">
      <c r="A613" s="1" t="str">
        <f t="shared" si="52"/>
        <v>#tc_clothes#tc_civil#tc_vests</v>
      </c>
      <c r="B613" s="1">
        <f>VLOOKUP(A613,TraderCategory!$A$63:$E$556,2,FALSE)</f>
        <v>6</v>
      </c>
      <c r="C613" s="1">
        <f>VLOOKUP(A613,TraderCategory!$A$63:$F$556,6,FALSE)</f>
        <v>0</v>
      </c>
      <c r="D613" s="1" t="str">
        <f>VLOOKUP(C613,Tabulka5[],3,FALSE)</f>
        <v>Private</v>
      </c>
      <c r="E613" s="1">
        <v>0</v>
      </c>
      <c r="F613" s="1" t="str">
        <f>VLOOKUP(E613,Tabulka5[],3,FALSE)</f>
        <v>Private</v>
      </c>
      <c r="G613" s="1" t="s">
        <v>3115</v>
      </c>
      <c r="H613" s="1" t="s">
        <v>964</v>
      </c>
      <c r="I613" s="1" t="s">
        <v>403</v>
      </c>
      <c r="J613" s="1" t="s">
        <v>2728</v>
      </c>
      <c r="K613" s="1" t="s">
        <v>3126</v>
      </c>
      <c r="L613" s="1" t="s">
        <v>3136</v>
      </c>
      <c r="M613" s="1">
        <v>1000</v>
      </c>
      <c r="N613" s="1">
        <v>1</v>
      </c>
      <c r="O613" s="1" t="str">
        <f t="shared" si="48"/>
        <v>"PressVest_LightBlue": 1,</v>
      </c>
      <c r="P613" s="1" t="str">
        <f t="shared" si="49"/>
        <v>"PressVest_LightBlue": 6,</v>
      </c>
      <c r="Q613" s="1" t="str">
        <f t="shared" si="50"/>
        <v>"PressVest_LightBlue": 1000,</v>
      </c>
      <c r="R613" s="1" t="str">
        <f t="shared" si="51"/>
        <v>"PressVest_LightBlue": 0,</v>
      </c>
    </row>
    <row r="614" spans="1:18" ht="15" customHeight="1" x14ac:dyDescent="0.25">
      <c r="A614" s="1" t="str">
        <f t="shared" si="52"/>
        <v>#tc_clothes#tc_civil#tc_tops</v>
      </c>
      <c r="B614" s="1">
        <f>VLOOKUP(A614,TraderCategory!$A$63:$E$556,2,FALSE)</f>
        <v>1</v>
      </c>
      <c r="C614" s="1">
        <f>VLOOKUP(A614,TraderCategory!$A$63:$F$556,6,FALSE)</f>
        <v>0</v>
      </c>
      <c r="D614" s="1" t="str">
        <f>VLOOKUP(C614,Tabulka5[],3,FALSE)</f>
        <v>Private</v>
      </c>
      <c r="E614" s="1">
        <v>0</v>
      </c>
      <c r="F614" s="1" t="str">
        <f>VLOOKUP(E614,Tabulka5[],3,FALSE)</f>
        <v>Private</v>
      </c>
      <c r="G614" s="1" t="s">
        <v>3115</v>
      </c>
      <c r="H614" s="1" t="s">
        <v>965</v>
      </c>
      <c r="I614" s="1" t="s">
        <v>403</v>
      </c>
      <c r="J614" s="1" t="s">
        <v>2728</v>
      </c>
      <c r="K614" s="1" t="s">
        <v>3126</v>
      </c>
      <c r="L614" s="1" t="s">
        <v>3131</v>
      </c>
      <c r="M614" s="1">
        <v>2000</v>
      </c>
      <c r="N614" s="1">
        <v>1</v>
      </c>
      <c r="O614" s="1" t="str">
        <f t="shared" si="48"/>
        <v>"PrisonUniformJacket": 1,</v>
      </c>
      <c r="P614" s="1" t="str">
        <f t="shared" si="49"/>
        <v>"PrisonUniformJacket": 1,</v>
      </c>
      <c r="Q614" s="1" t="str">
        <f t="shared" si="50"/>
        <v>"PrisonUniformJacket": 2000,</v>
      </c>
      <c r="R614" s="1" t="str">
        <f t="shared" si="51"/>
        <v>"PrisonUniformJacket": 0,</v>
      </c>
    </row>
    <row r="615" spans="1:18" ht="15" customHeight="1" x14ac:dyDescent="0.25">
      <c r="A615" s="1" t="str">
        <f t="shared" si="52"/>
        <v>#tc_clothes#tc_civil#tc_pants</v>
      </c>
      <c r="B615" s="1">
        <f>VLOOKUP(A615,TraderCategory!$A$63:$E$556,2,FALSE)</f>
        <v>4</v>
      </c>
      <c r="C615" s="1">
        <f>VLOOKUP(A615,TraderCategory!$A$63:$F$556,6,FALSE)</f>
        <v>0</v>
      </c>
      <c r="D615" s="1" t="str">
        <f>VLOOKUP(C615,Tabulka5[],3,FALSE)</f>
        <v>Private</v>
      </c>
      <c r="E615" s="1">
        <v>0</v>
      </c>
      <c r="F615" s="1" t="str">
        <f>VLOOKUP(E615,Tabulka5[],3,FALSE)</f>
        <v>Private</v>
      </c>
      <c r="G615" s="1" t="s">
        <v>3115</v>
      </c>
      <c r="H615" s="1" t="s">
        <v>966</v>
      </c>
      <c r="I615" s="1" t="s">
        <v>403</v>
      </c>
      <c r="J615" s="1" t="s">
        <v>2728</v>
      </c>
      <c r="K615" s="1" t="s">
        <v>3126</v>
      </c>
      <c r="L615" s="1" t="s">
        <v>3133</v>
      </c>
      <c r="M615" s="1">
        <v>1200</v>
      </c>
      <c r="N615" s="1">
        <v>1</v>
      </c>
      <c r="O615" s="1" t="str">
        <f t="shared" si="48"/>
        <v>"PrisonUniformPants": 1,</v>
      </c>
      <c r="P615" s="1" t="str">
        <f t="shared" si="49"/>
        <v>"PrisonUniformPants": 4,</v>
      </c>
      <c r="Q615" s="1" t="str">
        <f t="shared" si="50"/>
        <v>"PrisonUniformPants": 1200,</v>
      </c>
      <c r="R615" s="1" t="str">
        <f t="shared" si="51"/>
        <v>"PrisonUniformPants": 0,</v>
      </c>
    </row>
    <row r="616" spans="1:18" ht="15" customHeight="1" x14ac:dyDescent="0.25">
      <c r="A616" s="1" t="str">
        <f t="shared" si="52"/>
        <v>#tc_clothes#tc_civil#tc_head</v>
      </c>
      <c r="B616" s="1">
        <f>VLOOKUP(A616,TraderCategory!$A$63:$E$556,2,FALSE)</f>
        <v>0</v>
      </c>
      <c r="C616" s="1">
        <f>VLOOKUP(A616,TraderCategory!$A$63:$F$556,6,FALSE)</f>
        <v>0</v>
      </c>
      <c r="D616" s="1" t="str">
        <f>VLOOKUP(C616,Tabulka5[],3,FALSE)</f>
        <v>Private</v>
      </c>
      <c r="E616" s="1">
        <v>0</v>
      </c>
      <c r="F616" s="1" t="str">
        <f>VLOOKUP(E616,Tabulka5[],3,FALSE)</f>
        <v>Private</v>
      </c>
      <c r="G616" s="1" t="s">
        <v>3115</v>
      </c>
      <c r="H616" s="1" t="s">
        <v>967</v>
      </c>
      <c r="I616" s="1" t="s">
        <v>403</v>
      </c>
      <c r="J616" s="1" t="s">
        <v>2728</v>
      </c>
      <c r="K616" s="1" t="s">
        <v>3126</v>
      </c>
      <c r="L616" s="1" t="s">
        <v>3130</v>
      </c>
      <c r="M616" s="1">
        <v>300</v>
      </c>
      <c r="N616" s="1">
        <v>1</v>
      </c>
      <c r="O616" s="1" t="str">
        <f t="shared" si="48"/>
        <v>"PrisonerCap": 1,</v>
      </c>
      <c r="P616" s="1" t="str">
        <f t="shared" si="49"/>
        <v>"PrisonerCap": 0,</v>
      </c>
      <c r="Q616" s="1" t="str">
        <f t="shared" si="50"/>
        <v>"PrisonerCap": 300,</v>
      </c>
      <c r="R616" s="1" t="str">
        <f t="shared" si="51"/>
        <v>"PrisonerCap": 0,</v>
      </c>
    </row>
    <row r="617" spans="1:18" ht="15" customHeight="1" x14ac:dyDescent="0.25">
      <c r="A617" s="1" t="str">
        <f t="shared" si="52"/>
        <v>#tc_groceries#tc_tools#tc_seeds</v>
      </c>
      <c r="B617" s="1">
        <f>VLOOKUP(A617,TraderCategory!$A$63:$E$556,2,FALSE)</f>
        <v>34</v>
      </c>
      <c r="C617" s="1">
        <f>VLOOKUP(A617,TraderCategory!$A$63:$F$556,6,FALSE)</f>
        <v>3</v>
      </c>
      <c r="D617" s="1" t="str">
        <f>VLOOKUP(C617,Tabulka5[],3,FALSE)</f>
        <v>Sergeant</v>
      </c>
      <c r="E617" s="1">
        <v>3</v>
      </c>
      <c r="F617" s="1" t="str">
        <f>VLOOKUP(E617,Tabulka5[],3,FALSE)</f>
        <v>Sergeant</v>
      </c>
      <c r="G617" s="1" t="s">
        <v>3115</v>
      </c>
      <c r="H617" s="1" t="s">
        <v>968</v>
      </c>
      <c r="I617" s="1" t="s">
        <v>399</v>
      </c>
      <c r="J617" s="1" t="s">
        <v>3127</v>
      </c>
      <c r="K617" s="1" t="s">
        <v>2740</v>
      </c>
      <c r="L617" s="1" t="s">
        <v>2735</v>
      </c>
      <c r="M617" s="1">
        <v>600</v>
      </c>
      <c r="N617" s="1">
        <v>1</v>
      </c>
      <c r="O617" s="1" t="str">
        <f t="shared" si="48"/>
        <v>"PumpkinSeedsPack": 1,</v>
      </c>
      <c r="P617" s="1" t="str">
        <f t="shared" si="49"/>
        <v>"PumpkinSeedsPack": 34,</v>
      </c>
      <c r="Q617" s="1" t="str">
        <f t="shared" si="50"/>
        <v>"PumpkinSeedsPack": 600,</v>
      </c>
      <c r="R617" s="1" t="str">
        <f t="shared" si="51"/>
        <v>"PumpkinSeedsPack": 3,</v>
      </c>
    </row>
    <row r="618" spans="1:18" ht="15" customHeight="1" x14ac:dyDescent="0.25">
      <c r="A618" s="1" t="str">
        <f t="shared" si="52"/>
        <v>#tc_groceries#tc_tools#tc_camping</v>
      </c>
      <c r="B618" s="1">
        <f>VLOOKUP(A618,TraderCategory!$A$63:$E$556,2,FALSE)</f>
        <v>33</v>
      </c>
      <c r="C618" s="1">
        <f>VLOOKUP(A618,TraderCategory!$A$63:$F$556,6,FALSE)</f>
        <v>3</v>
      </c>
      <c r="D618" s="1" t="str">
        <f>VLOOKUP(C618,Tabulka5[],3,FALSE)</f>
        <v>Sergeant</v>
      </c>
      <c r="E618" s="1">
        <v>3</v>
      </c>
      <c r="F618" s="1" t="str">
        <f>VLOOKUP(E618,Tabulka5[],3,FALSE)</f>
        <v>Sergeant</v>
      </c>
      <c r="G618" s="1" t="s">
        <v>3115</v>
      </c>
      <c r="H618" s="1" t="s">
        <v>969</v>
      </c>
      <c r="I618" s="1" t="s">
        <v>426</v>
      </c>
      <c r="J618" s="1" t="s">
        <v>3127</v>
      </c>
      <c r="K618" s="1" t="s">
        <v>2740</v>
      </c>
      <c r="L618" s="1" t="s">
        <v>3150</v>
      </c>
      <c r="M618" s="1">
        <v>1000</v>
      </c>
      <c r="N618" s="1">
        <v>1</v>
      </c>
      <c r="O618" s="1" t="str">
        <f t="shared" si="48"/>
        <v>"PurificationTablets": 1,</v>
      </c>
      <c r="P618" s="1" t="str">
        <f t="shared" si="49"/>
        <v>"PurificationTablets": 33,</v>
      </c>
      <c r="Q618" s="1" t="str">
        <f t="shared" si="50"/>
        <v>"PurificationTablets": 1000,</v>
      </c>
      <c r="R618" s="1" t="str">
        <f t="shared" si="51"/>
        <v>"PurificationTablets": 3,</v>
      </c>
    </row>
    <row r="619" spans="1:18" ht="15" customHeight="1" x14ac:dyDescent="0.25">
      <c r="A619" s="1" t="str">
        <f t="shared" si="52"/>
        <v>#tc_clothes#tc_civil#tc_tops</v>
      </c>
      <c r="B619" s="1">
        <f>VLOOKUP(A619,TraderCategory!$A$63:$E$556,2,FALSE)</f>
        <v>1</v>
      </c>
      <c r="C619" s="1">
        <f>VLOOKUP(A619,TraderCategory!$A$63:$F$556,6,FALSE)</f>
        <v>0</v>
      </c>
      <c r="D619" s="1" t="str">
        <f>VLOOKUP(C619,Tabulka5[],3,FALSE)</f>
        <v>Private</v>
      </c>
      <c r="E619" s="1">
        <v>0</v>
      </c>
      <c r="F619" s="1" t="str">
        <f>VLOOKUP(E619,Tabulka5[],3,FALSE)</f>
        <v>Private</v>
      </c>
      <c r="G619" s="1" t="s">
        <v>3115</v>
      </c>
      <c r="H619" s="1" t="s">
        <v>970</v>
      </c>
      <c r="I619" s="1" t="s">
        <v>403</v>
      </c>
      <c r="J619" s="1" t="s">
        <v>2728</v>
      </c>
      <c r="K619" s="1" t="s">
        <v>3126</v>
      </c>
      <c r="L619" s="1" t="s">
        <v>3131</v>
      </c>
      <c r="M619" s="1">
        <v>2000</v>
      </c>
      <c r="N619" s="1">
        <v>1</v>
      </c>
      <c r="O619" s="1" t="str">
        <f t="shared" si="48"/>
        <v>"QuiltedJacket_Black": 1,</v>
      </c>
      <c r="P619" s="1" t="str">
        <f t="shared" si="49"/>
        <v>"QuiltedJacket_Black": 1,</v>
      </c>
      <c r="Q619" s="1" t="str">
        <f t="shared" si="50"/>
        <v>"QuiltedJacket_Black": 2000,</v>
      </c>
      <c r="R619" s="1" t="str">
        <f t="shared" si="51"/>
        <v>"QuiltedJacket_Black": 0,</v>
      </c>
    </row>
    <row r="620" spans="1:18" ht="15" customHeight="1" x14ac:dyDescent="0.25">
      <c r="A620" s="1" t="str">
        <f t="shared" si="52"/>
        <v>#tc_clothes#tc_civil#tc_tops</v>
      </c>
      <c r="B620" s="1">
        <f>VLOOKUP(A620,TraderCategory!$A$63:$E$556,2,FALSE)</f>
        <v>1</v>
      </c>
      <c r="C620" s="1">
        <f>VLOOKUP(A620,TraderCategory!$A$63:$F$556,6,FALSE)</f>
        <v>0</v>
      </c>
      <c r="D620" s="1" t="str">
        <f>VLOOKUP(C620,Tabulka5[],3,FALSE)</f>
        <v>Private</v>
      </c>
      <c r="E620" s="1">
        <v>0</v>
      </c>
      <c r="F620" s="1" t="str">
        <f>VLOOKUP(E620,Tabulka5[],3,FALSE)</f>
        <v>Private</v>
      </c>
      <c r="G620" s="1" t="s">
        <v>3115</v>
      </c>
      <c r="H620" s="1" t="s">
        <v>971</v>
      </c>
      <c r="I620" s="1" t="s">
        <v>403</v>
      </c>
      <c r="J620" s="1" t="s">
        <v>2728</v>
      </c>
      <c r="K620" s="1" t="s">
        <v>3126</v>
      </c>
      <c r="L620" s="1" t="s">
        <v>3131</v>
      </c>
      <c r="M620" s="1">
        <v>2000</v>
      </c>
      <c r="N620" s="1">
        <v>1</v>
      </c>
      <c r="O620" s="1" t="str">
        <f t="shared" si="48"/>
        <v>"QuiltedJacket_Blue": 1,</v>
      </c>
      <c r="P620" s="1" t="str">
        <f t="shared" si="49"/>
        <v>"QuiltedJacket_Blue": 1,</v>
      </c>
      <c r="Q620" s="1" t="str">
        <f t="shared" si="50"/>
        <v>"QuiltedJacket_Blue": 2000,</v>
      </c>
      <c r="R620" s="1" t="str">
        <f t="shared" si="51"/>
        <v>"QuiltedJacket_Blue": 0,</v>
      </c>
    </row>
    <row r="621" spans="1:18" ht="15" customHeight="1" x14ac:dyDescent="0.25">
      <c r="A621" s="1" t="str">
        <f t="shared" si="52"/>
        <v>#tc_clothes#tc_civil#tc_tops</v>
      </c>
      <c r="B621" s="1">
        <f>VLOOKUP(A621,TraderCategory!$A$63:$E$556,2,FALSE)</f>
        <v>1</v>
      </c>
      <c r="C621" s="1">
        <f>VLOOKUP(A621,TraderCategory!$A$63:$F$556,6,FALSE)</f>
        <v>0</v>
      </c>
      <c r="D621" s="1" t="str">
        <f>VLOOKUP(C621,Tabulka5[],3,FALSE)</f>
        <v>Private</v>
      </c>
      <c r="E621" s="1">
        <v>0</v>
      </c>
      <c r="F621" s="1" t="str">
        <f>VLOOKUP(E621,Tabulka5[],3,FALSE)</f>
        <v>Private</v>
      </c>
      <c r="G621" s="1" t="s">
        <v>3115</v>
      </c>
      <c r="H621" s="1" t="s">
        <v>972</v>
      </c>
      <c r="I621" s="1" t="s">
        <v>403</v>
      </c>
      <c r="J621" s="1" t="s">
        <v>2728</v>
      </c>
      <c r="K621" s="1" t="s">
        <v>3126</v>
      </c>
      <c r="L621" s="1" t="s">
        <v>3131</v>
      </c>
      <c r="M621" s="1">
        <v>2000</v>
      </c>
      <c r="N621" s="1">
        <v>1</v>
      </c>
      <c r="O621" s="1" t="str">
        <f t="shared" si="48"/>
        <v>"QuiltedJacket_Green": 1,</v>
      </c>
      <c r="P621" s="1" t="str">
        <f t="shared" si="49"/>
        <v>"QuiltedJacket_Green": 1,</v>
      </c>
      <c r="Q621" s="1" t="str">
        <f t="shared" si="50"/>
        <v>"QuiltedJacket_Green": 2000,</v>
      </c>
      <c r="R621" s="1" t="str">
        <f t="shared" si="51"/>
        <v>"QuiltedJacket_Green": 0,</v>
      </c>
    </row>
    <row r="622" spans="1:18" ht="15" customHeight="1" x14ac:dyDescent="0.25">
      <c r="A622" s="1" t="str">
        <f t="shared" si="52"/>
        <v>#tc_clothes#tc_civil#tc_tops</v>
      </c>
      <c r="B622" s="1">
        <f>VLOOKUP(A622,TraderCategory!$A$63:$E$556,2,FALSE)</f>
        <v>1</v>
      </c>
      <c r="C622" s="1">
        <f>VLOOKUP(A622,TraderCategory!$A$63:$F$556,6,FALSE)</f>
        <v>0</v>
      </c>
      <c r="D622" s="1" t="str">
        <f>VLOOKUP(C622,Tabulka5[],3,FALSE)</f>
        <v>Private</v>
      </c>
      <c r="E622" s="1">
        <v>0</v>
      </c>
      <c r="F622" s="1" t="str">
        <f>VLOOKUP(E622,Tabulka5[],3,FALSE)</f>
        <v>Private</v>
      </c>
      <c r="G622" s="1" t="s">
        <v>3115</v>
      </c>
      <c r="H622" s="1" t="s">
        <v>973</v>
      </c>
      <c r="I622" s="1" t="s">
        <v>403</v>
      </c>
      <c r="J622" s="1" t="s">
        <v>2728</v>
      </c>
      <c r="K622" s="1" t="s">
        <v>3126</v>
      </c>
      <c r="L622" s="1" t="s">
        <v>3131</v>
      </c>
      <c r="M622" s="1">
        <v>2000</v>
      </c>
      <c r="N622" s="1">
        <v>1</v>
      </c>
      <c r="O622" s="1" t="str">
        <f t="shared" si="48"/>
        <v>"QuiltedJacket_Grey": 1,</v>
      </c>
      <c r="P622" s="1" t="str">
        <f t="shared" si="49"/>
        <v>"QuiltedJacket_Grey": 1,</v>
      </c>
      <c r="Q622" s="1" t="str">
        <f t="shared" si="50"/>
        <v>"QuiltedJacket_Grey": 2000,</v>
      </c>
      <c r="R622" s="1" t="str">
        <f t="shared" si="51"/>
        <v>"QuiltedJacket_Grey": 0,</v>
      </c>
    </row>
    <row r="623" spans="1:18" ht="15" customHeight="1" x14ac:dyDescent="0.25">
      <c r="A623" s="1" t="str">
        <f t="shared" si="52"/>
        <v>#tc_clothes#tc_civil#tc_tops</v>
      </c>
      <c r="B623" s="1">
        <f>VLOOKUP(A623,TraderCategory!$A$63:$E$556,2,FALSE)</f>
        <v>1</v>
      </c>
      <c r="C623" s="1">
        <f>VLOOKUP(A623,TraderCategory!$A$63:$F$556,6,FALSE)</f>
        <v>0</v>
      </c>
      <c r="D623" s="1" t="str">
        <f>VLOOKUP(C623,Tabulka5[],3,FALSE)</f>
        <v>Private</v>
      </c>
      <c r="E623" s="1">
        <v>0</v>
      </c>
      <c r="F623" s="1" t="str">
        <f>VLOOKUP(E623,Tabulka5[],3,FALSE)</f>
        <v>Private</v>
      </c>
      <c r="G623" s="1" t="s">
        <v>3115</v>
      </c>
      <c r="H623" s="1" t="s">
        <v>974</v>
      </c>
      <c r="I623" s="1" t="s">
        <v>403</v>
      </c>
      <c r="J623" s="1" t="s">
        <v>2728</v>
      </c>
      <c r="K623" s="1" t="s">
        <v>3126</v>
      </c>
      <c r="L623" s="1" t="s">
        <v>3131</v>
      </c>
      <c r="M623" s="1">
        <v>2000</v>
      </c>
      <c r="N623" s="1">
        <v>1</v>
      </c>
      <c r="O623" s="1" t="str">
        <f t="shared" si="48"/>
        <v>"QuiltedJacket_Orange": 1,</v>
      </c>
      <c r="P623" s="1" t="str">
        <f t="shared" si="49"/>
        <v>"QuiltedJacket_Orange": 1,</v>
      </c>
      <c r="Q623" s="1" t="str">
        <f t="shared" si="50"/>
        <v>"QuiltedJacket_Orange": 2000,</v>
      </c>
      <c r="R623" s="1" t="str">
        <f t="shared" si="51"/>
        <v>"QuiltedJacket_Orange": 0,</v>
      </c>
    </row>
    <row r="624" spans="1:18" ht="15" customHeight="1" x14ac:dyDescent="0.25">
      <c r="A624" s="1" t="str">
        <f t="shared" si="52"/>
        <v>#tc_clothes#tc_civil#tc_tops</v>
      </c>
      <c r="B624" s="1">
        <f>VLOOKUP(A624,TraderCategory!$A$63:$E$556,2,FALSE)</f>
        <v>1</v>
      </c>
      <c r="C624" s="1">
        <f>VLOOKUP(A624,TraderCategory!$A$63:$F$556,6,FALSE)</f>
        <v>0</v>
      </c>
      <c r="D624" s="1" t="str">
        <f>VLOOKUP(C624,Tabulka5[],3,FALSE)</f>
        <v>Private</v>
      </c>
      <c r="E624" s="1">
        <v>0</v>
      </c>
      <c r="F624" s="1" t="str">
        <f>VLOOKUP(E624,Tabulka5[],3,FALSE)</f>
        <v>Private</v>
      </c>
      <c r="G624" s="1" t="s">
        <v>3115</v>
      </c>
      <c r="H624" s="1" t="s">
        <v>975</v>
      </c>
      <c r="I624" s="1" t="s">
        <v>403</v>
      </c>
      <c r="J624" s="1" t="s">
        <v>2728</v>
      </c>
      <c r="K624" s="1" t="s">
        <v>3126</v>
      </c>
      <c r="L624" s="1" t="s">
        <v>3131</v>
      </c>
      <c r="M624" s="1">
        <v>2000</v>
      </c>
      <c r="N624" s="1">
        <v>1</v>
      </c>
      <c r="O624" s="1" t="str">
        <f t="shared" si="48"/>
        <v>"QuiltedJacket_Red": 1,</v>
      </c>
      <c r="P624" s="1" t="str">
        <f t="shared" si="49"/>
        <v>"QuiltedJacket_Red": 1,</v>
      </c>
      <c r="Q624" s="1" t="str">
        <f t="shared" si="50"/>
        <v>"QuiltedJacket_Red": 2000,</v>
      </c>
      <c r="R624" s="1" t="str">
        <f t="shared" si="51"/>
        <v>"QuiltedJacket_Red": 0,</v>
      </c>
    </row>
    <row r="625" spans="1:18" ht="15" customHeight="1" x14ac:dyDescent="0.25">
      <c r="A625" s="1" t="str">
        <f t="shared" si="52"/>
        <v>#tc_clothes#tc_civil#tc_tops</v>
      </c>
      <c r="B625" s="1">
        <f>VLOOKUP(A625,TraderCategory!$A$63:$E$556,2,FALSE)</f>
        <v>1</v>
      </c>
      <c r="C625" s="1">
        <f>VLOOKUP(A625,TraderCategory!$A$63:$F$556,6,FALSE)</f>
        <v>0</v>
      </c>
      <c r="D625" s="1" t="str">
        <f>VLOOKUP(C625,Tabulka5[],3,FALSE)</f>
        <v>Private</v>
      </c>
      <c r="E625" s="1">
        <v>0</v>
      </c>
      <c r="F625" s="1" t="str">
        <f>VLOOKUP(E625,Tabulka5[],3,FALSE)</f>
        <v>Private</v>
      </c>
      <c r="G625" s="1" t="s">
        <v>3115</v>
      </c>
      <c r="H625" s="1" t="s">
        <v>976</v>
      </c>
      <c r="I625" s="1" t="s">
        <v>403</v>
      </c>
      <c r="J625" s="1" t="s">
        <v>2728</v>
      </c>
      <c r="K625" s="1" t="s">
        <v>3126</v>
      </c>
      <c r="L625" s="1" t="s">
        <v>3131</v>
      </c>
      <c r="M625" s="1">
        <v>2000</v>
      </c>
      <c r="N625" s="1">
        <v>1</v>
      </c>
      <c r="O625" s="1" t="str">
        <f t="shared" si="48"/>
        <v>"QuiltedJacket_Violet": 1,</v>
      </c>
      <c r="P625" s="1" t="str">
        <f t="shared" si="49"/>
        <v>"QuiltedJacket_Violet": 1,</v>
      </c>
      <c r="Q625" s="1" t="str">
        <f t="shared" si="50"/>
        <v>"QuiltedJacket_Violet": 2000,</v>
      </c>
      <c r="R625" s="1" t="str">
        <f t="shared" si="51"/>
        <v>"QuiltedJacket_Violet": 0,</v>
      </c>
    </row>
    <row r="626" spans="1:18" ht="15" customHeight="1" x14ac:dyDescent="0.25">
      <c r="A626" s="1" t="str">
        <f t="shared" si="52"/>
        <v>#tc_clothes#tc_civil#tc_tops</v>
      </c>
      <c r="B626" s="1">
        <f>VLOOKUP(A626,TraderCategory!$A$63:$E$556,2,FALSE)</f>
        <v>1</v>
      </c>
      <c r="C626" s="1">
        <f>VLOOKUP(A626,TraderCategory!$A$63:$F$556,6,FALSE)</f>
        <v>0</v>
      </c>
      <c r="D626" s="1" t="str">
        <f>VLOOKUP(C626,Tabulka5[],3,FALSE)</f>
        <v>Private</v>
      </c>
      <c r="E626" s="1">
        <v>0</v>
      </c>
      <c r="F626" s="1" t="str">
        <f>VLOOKUP(E626,Tabulka5[],3,FALSE)</f>
        <v>Private</v>
      </c>
      <c r="G626" s="1" t="s">
        <v>3115</v>
      </c>
      <c r="H626" s="1" t="s">
        <v>977</v>
      </c>
      <c r="I626" s="1" t="s">
        <v>403</v>
      </c>
      <c r="J626" s="1" t="s">
        <v>2728</v>
      </c>
      <c r="K626" s="1" t="s">
        <v>3126</v>
      </c>
      <c r="L626" s="1" t="s">
        <v>3131</v>
      </c>
      <c r="M626" s="1">
        <v>2000</v>
      </c>
      <c r="N626" s="1">
        <v>1</v>
      </c>
      <c r="O626" s="1" t="str">
        <f t="shared" si="48"/>
        <v>"QuiltedJacket_Yellow": 1,</v>
      </c>
      <c r="P626" s="1" t="str">
        <f t="shared" si="49"/>
        <v>"QuiltedJacket_Yellow": 1,</v>
      </c>
      <c r="Q626" s="1" t="str">
        <f t="shared" si="50"/>
        <v>"QuiltedJacket_Yellow": 2000,</v>
      </c>
      <c r="R626" s="1" t="str">
        <f t="shared" si="51"/>
        <v>"QuiltedJacket_Yellow": 0,</v>
      </c>
    </row>
    <row r="627" spans="1:18" ht="15" customHeight="1" x14ac:dyDescent="0.25">
      <c r="A627" s="1" t="str">
        <f t="shared" si="52"/>
        <v>#tc_military#tc_ammo#tc_grenade</v>
      </c>
      <c r="B627" s="1">
        <f>VLOOKUP(A627,TraderCategory!$A$63:$E$556,2,FALSE)</f>
        <v>46</v>
      </c>
      <c r="C627" s="1">
        <f>VLOOKUP(A627,TraderCategory!$A$63:$F$556,6,FALSE)</f>
        <v>3</v>
      </c>
      <c r="D627" s="1" t="str">
        <f>VLOOKUP(C627,Tabulka5[],3,FALSE)</f>
        <v>Sergeant</v>
      </c>
      <c r="E627" s="1">
        <v>3</v>
      </c>
      <c r="F627" s="1" t="str">
        <f>VLOOKUP(E627,Tabulka5[],3,FALSE)</f>
        <v>Sergeant</v>
      </c>
      <c r="G627" s="1" t="s">
        <v>3115</v>
      </c>
      <c r="H627" s="1" t="s">
        <v>978</v>
      </c>
      <c r="I627" s="1" t="s">
        <v>644</v>
      </c>
      <c r="J627" s="1" t="s">
        <v>2729</v>
      </c>
      <c r="K627" s="1" t="s">
        <v>2738</v>
      </c>
      <c r="L627" s="1" t="s">
        <v>3161</v>
      </c>
      <c r="M627" s="1">
        <v>1000</v>
      </c>
      <c r="N627" s="1">
        <v>1</v>
      </c>
      <c r="O627" s="1" t="str">
        <f t="shared" si="48"/>
        <v>"RDG2SmokeGrenade_Black": 1,</v>
      </c>
      <c r="P627" s="1" t="str">
        <f t="shared" si="49"/>
        <v>"RDG2SmokeGrenade_Black": 46,</v>
      </c>
      <c r="Q627" s="1" t="str">
        <f t="shared" si="50"/>
        <v>"RDG2SmokeGrenade_Black": 1000,</v>
      </c>
      <c r="R627" s="1" t="str">
        <f t="shared" si="51"/>
        <v>"RDG2SmokeGrenade_Black": 3,</v>
      </c>
    </row>
    <row r="628" spans="1:18" ht="15" customHeight="1" x14ac:dyDescent="0.25">
      <c r="A628" s="1" t="str">
        <f t="shared" si="52"/>
        <v>#tc_military#tc_ammo#tc_grenade</v>
      </c>
      <c r="B628" s="1">
        <f>VLOOKUP(A628,TraderCategory!$A$63:$E$556,2,FALSE)</f>
        <v>46</v>
      </c>
      <c r="C628" s="1">
        <f>VLOOKUP(A628,TraderCategory!$A$63:$F$556,6,FALSE)</f>
        <v>3</v>
      </c>
      <c r="D628" s="1" t="str">
        <f>VLOOKUP(C628,Tabulka5[],3,FALSE)</f>
        <v>Sergeant</v>
      </c>
      <c r="E628" s="1">
        <v>3</v>
      </c>
      <c r="F628" s="1" t="str">
        <f>VLOOKUP(E628,Tabulka5[],3,FALSE)</f>
        <v>Sergeant</v>
      </c>
      <c r="G628" s="1" t="s">
        <v>3115</v>
      </c>
      <c r="H628" s="1" t="s">
        <v>979</v>
      </c>
      <c r="I628" s="1" t="s">
        <v>644</v>
      </c>
      <c r="J628" s="1" t="s">
        <v>2729</v>
      </c>
      <c r="K628" s="1" t="s">
        <v>2738</v>
      </c>
      <c r="L628" s="1" t="s">
        <v>3161</v>
      </c>
      <c r="M628" s="1">
        <v>1000</v>
      </c>
      <c r="N628" s="1">
        <v>1</v>
      </c>
      <c r="O628" s="1" t="str">
        <f t="shared" si="48"/>
        <v>"RDG2SmokeGrenade_White": 1,</v>
      </c>
      <c r="P628" s="1" t="str">
        <f t="shared" si="49"/>
        <v>"RDG2SmokeGrenade_White": 46,</v>
      </c>
      <c r="Q628" s="1" t="str">
        <f t="shared" si="50"/>
        <v>"RDG2SmokeGrenade_White": 1000,</v>
      </c>
      <c r="R628" s="1" t="str">
        <f t="shared" si="51"/>
        <v>"RDG2SmokeGrenade_White": 3,</v>
      </c>
    </row>
    <row r="629" spans="1:18" ht="15" customHeight="1" x14ac:dyDescent="0.25">
      <c r="A629" s="1" t="str">
        <f t="shared" si="52"/>
        <v>#tc_military#tc_ammo#tc_grenade</v>
      </c>
      <c r="B629" s="1">
        <f>VLOOKUP(A629,TraderCategory!$A$63:$E$556,2,FALSE)</f>
        <v>46</v>
      </c>
      <c r="C629" s="1">
        <f>VLOOKUP(A629,TraderCategory!$A$63:$F$556,6,FALSE)</f>
        <v>3</v>
      </c>
      <c r="D629" s="1" t="str">
        <f>VLOOKUP(C629,Tabulka5[],3,FALSE)</f>
        <v>Sergeant</v>
      </c>
      <c r="E629" s="1">
        <v>8</v>
      </c>
      <c r="F629" s="1" t="str">
        <f>VLOOKUP(E629,Tabulka5[],3,FALSE)</f>
        <v>Command Sergeant Major</v>
      </c>
      <c r="G629" s="1" t="s">
        <v>3115</v>
      </c>
      <c r="H629" s="1" t="s">
        <v>980</v>
      </c>
      <c r="I629" s="1" t="s">
        <v>644</v>
      </c>
      <c r="J629" s="1" t="s">
        <v>2729</v>
      </c>
      <c r="K629" s="1" t="s">
        <v>2738</v>
      </c>
      <c r="L629" s="1" t="s">
        <v>3161</v>
      </c>
      <c r="M629" s="1">
        <v>6000</v>
      </c>
      <c r="N629" s="1">
        <v>1</v>
      </c>
      <c r="O629" s="1" t="str">
        <f t="shared" si="48"/>
        <v>"RGD5Grenade": 1,</v>
      </c>
      <c r="P629" s="1" t="str">
        <f t="shared" si="49"/>
        <v>"RGD5Grenade": 46,</v>
      </c>
      <c r="Q629" s="1" t="str">
        <f t="shared" si="50"/>
        <v>"RGD5Grenade": 6000,</v>
      </c>
      <c r="R629" s="1" t="str">
        <f t="shared" si="51"/>
        <v>"RGD5Grenade": 8,</v>
      </c>
    </row>
    <row r="630" spans="1:18" ht="15" customHeight="1" x14ac:dyDescent="0.25">
      <c r="A630" s="1" t="str">
        <f t="shared" si="52"/>
        <v>#tc_clothes#tc_civil#tc_head</v>
      </c>
      <c r="B630" s="1">
        <f>VLOOKUP(A630,TraderCategory!$A$63:$E$556,2,FALSE)</f>
        <v>0</v>
      </c>
      <c r="C630" s="1">
        <f>VLOOKUP(A630,TraderCategory!$A$63:$F$556,6,FALSE)</f>
        <v>0</v>
      </c>
      <c r="D630" s="1" t="str">
        <f>VLOOKUP(C630,Tabulka5[],3,FALSE)</f>
        <v>Private</v>
      </c>
      <c r="E630" s="1">
        <v>0</v>
      </c>
      <c r="F630" s="1" t="str">
        <f>VLOOKUP(E630,Tabulka5[],3,FALSE)</f>
        <v>Private</v>
      </c>
      <c r="G630" s="1" t="s">
        <v>3115</v>
      </c>
      <c r="H630" s="1" t="s">
        <v>981</v>
      </c>
      <c r="I630" s="1" t="s">
        <v>403</v>
      </c>
      <c r="J630" s="1" t="s">
        <v>2728</v>
      </c>
      <c r="K630" s="1" t="s">
        <v>3126</v>
      </c>
      <c r="L630" s="1" t="s">
        <v>3130</v>
      </c>
      <c r="M630" s="1">
        <v>300</v>
      </c>
      <c r="N630" s="1">
        <v>1</v>
      </c>
      <c r="O630" s="1" t="str">
        <f t="shared" si="48"/>
        <v>"RadarCap_Black": 1,</v>
      </c>
      <c r="P630" s="1" t="str">
        <f t="shared" si="49"/>
        <v>"RadarCap_Black": 0,</v>
      </c>
      <c r="Q630" s="1" t="str">
        <f t="shared" si="50"/>
        <v>"RadarCap_Black": 300,</v>
      </c>
      <c r="R630" s="1" t="str">
        <f t="shared" si="51"/>
        <v>"RadarCap_Black": 0,</v>
      </c>
    </row>
    <row r="631" spans="1:18" ht="15" customHeight="1" x14ac:dyDescent="0.25">
      <c r="A631" s="1" t="str">
        <f t="shared" si="52"/>
        <v>#tc_clothes#tc_civil#tc_head</v>
      </c>
      <c r="B631" s="1">
        <f>VLOOKUP(A631,TraderCategory!$A$63:$E$556,2,FALSE)</f>
        <v>0</v>
      </c>
      <c r="C631" s="1">
        <f>VLOOKUP(A631,TraderCategory!$A$63:$F$556,6,FALSE)</f>
        <v>0</v>
      </c>
      <c r="D631" s="1" t="str">
        <f>VLOOKUP(C631,Tabulka5[],3,FALSE)</f>
        <v>Private</v>
      </c>
      <c r="E631" s="1">
        <v>0</v>
      </c>
      <c r="F631" s="1" t="str">
        <f>VLOOKUP(E631,Tabulka5[],3,FALSE)</f>
        <v>Private</v>
      </c>
      <c r="G631" s="1" t="s">
        <v>3115</v>
      </c>
      <c r="H631" s="1" t="s">
        <v>982</v>
      </c>
      <c r="I631" s="1" t="s">
        <v>403</v>
      </c>
      <c r="J631" s="1" t="s">
        <v>2728</v>
      </c>
      <c r="K631" s="1" t="s">
        <v>3126</v>
      </c>
      <c r="L631" s="1" t="s">
        <v>3130</v>
      </c>
      <c r="M631" s="1">
        <v>300</v>
      </c>
      <c r="N631" s="1">
        <v>1</v>
      </c>
      <c r="O631" s="1" t="str">
        <f t="shared" si="48"/>
        <v>"RadarCap_Blue": 1,</v>
      </c>
      <c r="P631" s="1" t="str">
        <f t="shared" si="49"/>
        <v>"RadarCap_Blue": 0,</v>
      </c>
      <c r="Q631" s="1" t="str">
        <f t="shared" si="50"/>
        <v>"RadarCap_Blue": 300,</v>
      </c>
      <c r="R631" s="1" t="str">
        <f t="shared" si="51"/>
        <v>"RadarCap_Blue": 0,</v>
      </c>
    </row>
    <row r="632" spans="1:18" ht="15" customHeight="1" x14ac:dyDescent="0.25">
      <c r="A632" s="1" t="str">
        <f t="shared" si="52"/>
        <v>#tc_clothes#tc_civil#tc_head</v>
      </c>
      <c r="B632" s="1">
        <f>VLOOKUP(A632,TraderCategory!$A$63:$E$556,2,FALSE)</f>
        <v>0</v>
      </c>
      <c r="C632" s="1">
        <f>VLOOKUP(A632,TraderCategory!$A$63:$F$556,6,FALSE)</f>
        <v>0</v>
      </c>
      <c r="D632" s="1" t="str">
        <f>VLOOKUP(C632,Tabulka5[],3,FALSE)</f>
        <v>Private</v>
      </c>
      <c r="E632" s="1">
        <v>0</v>
      </c>
      <c r="F632" s="1" t="str">
        <f>VLOOKUP(E632,Tabulka5[],3,FALSE)</f>
        <v>Private</v>
      </c>
      <c r="G632" s="1" t="s">
        <v>3115</v>
      </c>
      <c r="H632" s="1" t="s">
        <v>983</v>
      </c>
      <c r="I632" s="1" t="s">
        <v>403</v>
      </c>
      <c r="J632" s="1" t="s">
        <v>2728</v>
      </c>
      <c r="K632" s="1" t="s">
        <v>3126</v>
      </c>
      <c r="L632" s="1" t="s">
        <v>3130</v>
      </c>
      <c r="M632" s="1">
        <v>300</v>
      </c>
      <c r="N632" s="1">
        <v>1</v>
      </c>
      <c r="O632" s="1" t="str">
        <f t="shared" si="48"/>
        <v>"RadarCap_Brown": 1,</v>
      </c>
      <c r="P632" s="1" t="str">
        <f t="shared" si="49"/>
        <v>"RadarCap_Brown": 0,</v>
      </c>
      <c r="Q632" s="1" t="str">
        <f t="shared" si="50"/>
        <v>"RadarCap_Brown": 300,</v>
      </c>
      <c r="R632" s="1" t="str">
        <f t="shared" si="51"/>
        <v>"RadarCap_Brown": 0,</v>
      </c>
    </row>
    <row r="633" spans="1:18" ht="15" customHeight="1" x14ac:dyDescent="0.25">
      <c r="A633" s="1" t="str">
        <f t="shared" si="52"/>
        <v>#tc_clothes#tc_civil#tc_head</v>
      </c>
      <c r="B633" s="1">
        <f>VLOOKUP(A633,TraderCategory!$A$63:$E$556,2,FALSE)</f>
        <v>0</v>
      </c>
      <c r="C633" s="1">
        <f>VLOOKUP(A633,TraderCategory!$A$63:$F$556,6,FALSE)</f>
        <v>0</v>
      </c>
      <c r="D633" s="1" t="str">
        <f>VLOOKUP(C633,Tabulka5[],3,FALSE)</f>
        <v>Private</v>
      </c>
      <c r="E633" s="1">
        <v>0</v>
      </c>
      <c r="F633" s="1" t="str">
        <f>VLOOKUP(E633,Tabulka5[],3,FALSE)</f>
        <v>Private</v>
      </c>
      <c r="G633" s="1" t="s">
        <v>3115</v>
      </c>
      <c r="H633" s="1" t="s">
        <v>984</v>
      </c>
      <c r="I633" s="1" t="s">
        <v>403</v>
      </c>
      <c r="J633" s="1" t="s">
        <v>2728</v>
      </c>
      <c r="K633" s="1" t="s">
        <v>3126</v>
      </c>
      <c r="L633" s="1" t="s">
        <v>3130</v>
      </c>
      <c r="M633" s="1">
        <v>300</v>
      </c>
      <c r="N633" s="1">
        <v>1</v>
      </c>
      <c r="O633" s="1" t="str">
        <f t="shared" si="48"/>
        <v>"RadarCap_Green": 1,</v>
      </c>
      <c r="P633" s="1" t="str">
        <f t="shared" si="49"/>
        <v>"RadarCap_Green": 0,</v>
      </c>
      <c r="Q633" s="1" t="str">
        <f t="shared" si="50"/>
        <v>"RadarCap_Green": 300,</v>
      </c>
      <c r="R633" s="1" t="str">
        <f t="shared" si="51"/>
        <v>"RadarCap_Green": 0,</v>
      </c>
    </row>
    <row r="634" spans="1:18" ht="15" customHeight="1" x14ac:dyDescent="0.25">
      <c r="A634" s="1" t="str">
        <f t="shared" si="52"/>
        <v>#tc_clothes#tc_civil#tc_head</v>
      </c>
      <c r="B634" s="1">
        <f>VLOOKUP(A634,TraderCategory!$A$63:$E$556,2,FALSE)</f>
        <v>0</v>
      </c>
      <c r="C634" s="1">
        <f>VLOOKUP(A634,TraderCategory!$A$63:$F$556,6,FALSE)</f>
        <v>0</v>
      </c>
      <c r="D634" s="1" t="str">
        <f>VLOOKUP(C634,Tabulka5[],3,FALSE)</f>
        <v>Private</v>
      </c>
      <c r="E634" s="1">
        <v>0</v>
      </c>
      <c r="F634" s="1" t="str">
        <f>VLOOKUP(E634,Tabulka5[],3,FALSE)</f>
        <v>Private</v>
      </c>
      <c r="G634" s="1" t="s">
        <v>3115</v>
      </c>
      <c r="H634" s="1" t="s">
        <v>985</v>
      </c>
      <c r="I634" s="1" t="s">
        <v>403</v>
      </c>
      <c r="J634" s="1" t="s">
        <v>2728</v>
      </c>
      <c r="K634" s="1" t="s">
        <v>3126</v>
      </c>
      <c r="L634" s="1" t="s">
        <v>3130</v>
      </c>
      <c r="M634" s="1">
        <v>300</v>
      </c>
      <c r="N634" s="1">
        <v>1</v>
      </c>
      <c r="O634" s="1" t="str">
        <f t="shared" si="48"/>
        <v>"RadarCap_Red": 1,</v>
      </c>
      <c r="P634" s="1" t="str">
        <f t="shared" si="49"/>
        <v>"RadarCap_Red": 0,</v>
      </c>
      <c r="Q634" s="1" t="str">
        <f t="shared" si="50"/>
        <v>"RadarCap_Red": 300,</v>
      </c>
      <c r="R634" s="1" t="str">
        <f t="shared" si="51"/>
        <v>"RadarCap_Red": 0,</v>
      </c>
    </row>
    <row r="635" spans="1:18" ht="15" customHeight="1" x14ac:dyDescent="0.25">
      <c r="A635" s="1" t="str">
        <f t="shared" si="52"/>
        <v>#tc_clothes#tc_civil#tc_tops</v>
      </c>
      <c r="B635" s="1">
        <f>VLOOKUP(A635,TraderCategory!$A$63:$E$556,2,FALSE)</f>
        <v>1</v>
      </c>
      <c r="C635" s="1">
        <f>VLOOKUP(A635,TraderCategory!$A$63:$F$556,6,FALSE)</f>
        <v>0</v>
      </c>
      <c r="D635" s="1" t="str">
        <f>VLOOKUP(C635,Tabulka5[],3,FALSE)</f>
        <v>Private</v>
      </c>
      <c r="E635" s="1">
        <v>0</v>
      </c>
      <c r="F635" s="1" t="str">
        <f>VLOOKUP(E635,Tabulka5[],3,FALSE)</f>
        <v>Private</v>
      </c>
      <c r="G635" s="1" t="s">
        <v>3115</v>
      </c>
      <c r="H635" s="1" t="s">
        <v>986</v>
      </c>
      <c r="I635" s="1" t="s">
        <v>403</v>
      </c>
      <c r="J635" s="1" t="s">
        <v>2728</v>
      </c>
      <c r="K635" s="1" t="s">
        <v>3126</v>
      </c>
      <c r="L635" s="1" t="s">
        <v>3131</v>
      </c>
      <c r="M635" s="1">
        <v>2000</v>
      </c>
      <c r="N635" s="1">
        <v>1</v>
      </c>
      <c r="O635" s="1" t="str">
        <f t="shared" si="48"/>
        <v>"Raincoat_Black": 1,</v>
      </c>
      <c r="P635" s="1" t="str">
        <f t="shared" si="49"/>
        <v>"Raincoat_Black": 1,</v>
      </c>
      <c r="Q635" s="1" t="str">
        <f t="shared" si="50"/>
        <v>"Raincoat_Black": 2000,</v>
      </c>
      <c r="R635" s="1" t="str">
        <f t="shared" si="51"/>
        <v>"Raincoat_Black": 0,</v>
      </c>
    </row>
    <row r="636" spans="1:18" ht="15" customHeight="1" x14ac:dyDescent="0.25">
      <c r="A636" s="1" t="str">
        <f t="shared" si="52"/>
        <v>#tc_clothes#tc_civil#tc_tops</v>
      </c>
      <c r="B636" s="1">
        <f>VLOOKUP(A636,TraderCategory!$A$63:$E$556,2,FALSE)</f>
        <v>1</v>
      </c>
      <c r="C636" s="1">
        <f>VLOOKUP(A636,TraderCategory!$A$63:$F$556,6,FALSE)</f>
        <v>0</v>
      </c>
      <c r="D636" s="1" t="str">
        <f>VLOOKUP(C636,Tabulka5[],3,FALSE)</f>
        <v>Private</v>
      </c>
      <c r="E636" s="1">
        <v>0</v>
      </c>
      <c r="F636" s="1" t="str">
        <f>VLOOKUP(E636,Tabulka5[],3,FALSE)</f>
        <v>Private</v>
      </c>
      <c r="G636" s="1" t="s">
        <v>3115</v>
      </c>
      <c r="H636" s="1" t="s">
        <v>987</v>
      </c>
      <c r="I636" s="1" t="s">
        <v>403</v>
      </c>
      <c r="J636" s="1" t="s">
        <v>2728</v>
      </c>
      <c r="K636" s="1" t="s">
        <v>3126</v>
      </c>
      <c r="L636" s="1" t="s">
        <v>3131</v>
      </c>
      <c r="M636" s="1">
        <v>2000</v>
      </c>
      <c r="N636" s="1">
        <v>1</v>
      </c>
      <c r="O636" s="1" t="str">
        <f t="shared" si="48"/>
        <v>"Raincoat_Blue": 1,</v>
      </c>
      <c r="P636" s="1" t="str">
        <f t="shared" si="49"/>
        <v>"Raincoat_Blue": 1,</v>
      </c>
      <c r="Q636" s="1" t="str">
        <f t="shared" si="50"/>
        <v>"Raincoat_Blue": 2000,</v>
      </c>
      <c r="R636" s="1" t="str">
        <f t="shared" si="51"/>
        <v>"Raincoat_Blue": 0,</v>
      </c>
    </row>
    <row r="637" spans="1:18" ht="15" customHeight="1" x14ac:dyDescent="0.25">
      <c r="A637" s="1" t="str">
        <f t="shared" si="52"/>
        <v>#tc_clothes#tc_civil#tc_tops</v>
      </c>
      <c r="B637" s="1">
        <f>VLOOKUP(A637,TraderCategory!$A$63:$E$556,2,FALSE)</f>
        <v>1</v>
      </c>
      <c r="C637" s="1">
        <f>VLOOKUP(A637,TraderCategory!$A$63:$F$556,6,FALSE)</f>
        <v>0</v>
      </c>
      <c r="D637" s="1" t="str">
        <f>VLOOKUP(C637,Tabulka5[],3,FALSE)</f>
        <v>Private</v>
      </c>
      <c r="E637" s="1">
        <v>0</v>
      </c>
      <c r="F637" s="1" t="str">
        <f>VLOOKUP(E637,Tabulka5[],3,FALSE)</f>
        <v>Private</v>
      </c>
      <c r="G637" s="1" t="s">
        <v>3115</v>
      </c>
      <c r="H637" s="1" t="s">
        <v>988</v>
      </c>
      <c r="I637" s="1" t="s">
        <v>403</v>
      </c>
      <c r="J637" s="1" t="s">
        <v>2728</v>
      </c>
      <c r="K637" s="1" t="s">
        <v>3126</v>
      </c>
      <c r="L637" s="1" t="s">
        <v>3131</v>
      </c>
      <c r="M637" s="1">
        <v>2000</v>
      </c>
      <c r="N637" s="1">
        <v>1</v>
      </c>
      <c r="O637" s="1" t="str">
        <f t="shared" si="48"/>
        <v>"Raincoat_Green": 1,</v>
      </c>
      <c r="P637" s="1" t="str">
        <f t="shared" si="49"/>
        <v>"Raincoat_Green": 1,</v>
      </c>
      <c r="Q637" s="1" t="str">
        <f t="shared" si="50"/>
        <v>"Raincoat_Green": 2000,</v>
      </c>
      <c r="R637" s="1" t="str">
        <f t="shared" si="51"/>
        <v>"Raincoat_Green": 0,</v>
      </c>
    </row>
    <row r="638" spans="1:18" ht="15" customHeight="1" x14ac:dyDescent="0.25">
      <c r="A638" s="1" t="str">
        <f t="shared" si="52"/>
        <v>#tc_clothes#tc_civil#tc_tops</v>
      </c>
      <c r="B638" s="1">
        <f>VLOOKUP(A638,TraderCategory!$A$63:$E$556,2,FALSE)</f>
        <v>1</v>
      </c>
      <c r="C638" s="1">
        <f>VLOOKUP(A638,TraderCategory!$A$63:$F$556,6,FALSE)</f>
        <v>0</v>
      </c>
      <c r="D638" s="1" t="str">
        <f>VLOOKUP(C638,Tabulka5[],3,FALSE)</f>
        <v>Private</v>
      </c>
      <c r="E638" s="1">
        <v>0</v>
      </c>
      <c r="F638" s="1" t="str">
        <f>VLOOKUP(E638,Tabulka5[],3,FALSE)</f>
        <v>Private</v>
      </c>
      <c r="G638" s="1" t="s">
        <v>3115</v>
      </c>
      <c r="H638" s="1" t="s">
        <v>989</v>
      </c>
      <c r="I638" s="1" t="s">
        <v>403</v>
      </c>
      <c r="J638" s="1" t="s">
        <v>2728</v>
      </c>
      <c r="K638" s="1" t="s">
        <v>3126</v>
      </c>
      <c r="L638" s="1" t="s">
        <v>3131</v>
      </c>
      <c r="M638" s="1">
        <v>2000</v>
      </c>
      <c r="N638" s="1">
        <v>1</v>
      </c>
      <c r="O638" s="1" t="str">
        <f t="shared" si="48"/>
        <v>"Raincoat_Orange": 1,</v>
      </c>
      <c r="P638" s="1" t="str">
        <f t="shared" si="49"/>
        <v>"Raincoat_Orange": 1,</v>
      </c>
      <c r="Q638" s="1" t="str">
        <f t="shared" si="50"/>
        <v>"Raincoat_Orange": 2000,</v>
      </c>
      <c r="R638" s="1" t="str">
        <f t="shared" si="51"/>
        <v>"Raincoat_Orange": 0,</v>
      </c>
    </row>
    <row r="639" spans="1:18" ht="15" customHeight="1" x14ac:dyDescent="0.25">
      <c r="A639" s="1" t="str">
        <f t="shared" si="52"/>
        <v>#tc_clothes#tc_civil#tc_tops</v>
      </c>
      <c r="B639" s="1">
        <f>VLOOKUP(A639,TraderCategory!$A$63:$E$556,2,FALSE)</f>
        <v>1</v>
      </c>
      <c r="C639" s="1">
        <f>VLOOKUP(A639,TraderCategory!$A$63:$F$556,6,FALSE)</f>
        <v>0</v>
      </c>
      <c r="D639" s="1" t="str">
        <f>VLOOKUP(C639,Tabulka5[],3,FALSE)</f>
        <v>Private</v>
      </c>
      <c r="E639" s="1">
        <v>0</v>
      </c>
      <c r="F639" s="1" t="str">
        <f>VLOOKUP(E639,Tabulka5[],3,FALSE)</f>
        <v>Private</v>
      </c>
      <c r="G639" s="1" t="s">
        <v>3115</v>
      </c>
      <c r="H639" s="1" t="s">
        <v>990</v>
      </c>
      <c r="I639" s="1" t="s">
        <v>403</v>
      </c>
      <c r="J639" s="1" t="s">
        <v>2728</v>
      </c>
      <c r="K639" s="1" t="s">
        <v>3126</v>
      </c>
      <c r="L639" s="1" t="s">
        <v>3131</v>
      </c>
      <c r="M639" s="1">
        <v>2000</v>
      </c>
      <c r="N639" s="1">
        <v>1</v>
      </c>
      <c r="O639" s="1" t="str">
        <f t="shared" si="48"/>
        <v>"Raincoat_Pink": 1,</v>
      </c>
      <c r="P639" s="1" t="str">
        <f t="shared" si="49"/>
        <v>"Raincoat_Pink": 1,</v>
      </c>
      <c r="Q639" s="1" t="str">
        <f t="shared" si="50"/>
        <v>"Raincoat_Pink": 2000,</v>
      </c>
      <c r="R639" s="1" t="str">
        <f t="shared" si="51"/>
        <v>"Raincoat_Pink": 0,</v>
      </c>
    </row>
    <row r="640" spans="1:18" ht="15" customHeight="1" x14ac:dyDescent="0.25">
      <c r="A640" s="1" t="str">
        <f t="shared" si="52"/>
        <v>#tc_clothes#tc_civil#tc_tops</v>
      </c>
      <c r="B640" s="1">
        <f>VLOOKUP(A640,TraderCategory!$A$63:$E$556,2,FALSE)</f>
        <v>1</v>
      </c>
      <c r="C640" s="1">
        <f>VLOOKUP(A640,TraderCategory!$A$63:$F$556,6,FALSE)</f>
        <v>0</v>
      </c>
      <c r="D640" s="1" t="str">
        <f>VLOOKUP(C640,Tabulka5[],3,FALSE)</f>
        <v>Private</v>
      </c>
      <c r="E640" s="1">
        <v>0</v>
      </c>
      <c r="F640" s="1" t="str">
        <f>VLOOKUP(E640,Tabulka5[],3,FALSE)</f>
        <v>Private</v>
      </c>
      <c r="G640" s="1" t="s">
        <v>3115</v>
      </c>
      <c r="H640" s="1" t="s">
        <v>991</v>
      </c>
      <c r="I640" s="1" t="s">
        <v>403</v>
      </c>
      <c r="J640" s="1" t="s">
        <v>2728</v>
      </c>
      <c r="K640" s="1" t="s">
        <v>3126</v>
      </c>
      <c r="L640" s="1" t="s">
        <v>3131</v>
      </c>
      <c r="M640" s="1">
        <v>2000</v>
      </c>
      <c r="N640" s="1">
        <v>1</v>
      </c>
      <c r="O640" s="1" t="str">
        <f t="shared" si="48"/>
        <v>"Raincoat_Red": 1,</v>
      </c>
      <c r="P640" s="1" t="str">
        <f t="shared" si="49"/>
        <v>"Raincoat_Red": 1,</v>
      </c>
      <c r="Q640" s="1" t="str">
        <f t="shared" si="50"/>
        <v>"Raincoat_Red": 2000,</v>
      </c>
      <c r="R640" s="1" t="str">
        <f t="shared" si="51"/>
        <v>"Raincoat_Red": 0,</v>
      </c>
    </row>
    <row r="641" spans="1:18" ht="15" customHeight="1" x14ac:dyDescent="0.25">
      <c r="A641" s="1" t="str">
        <f t="shared" si="52"/>
        <v>#tc_clothes#tc_civil#tc_tops</v>
      </c>
      <c r="B641" s="1">
        <f>VLOOKUP(A641,TraderCategory!$A$63:$E$556,2,FALSE)</f>
        <v>1</v>
      </c>
      <c r="C641" s="1">
        <f>VLOOKUP(A641,TraderCategory!$A$63:$F$556,6,FALSE)</f>
        <v>0</v>
      </c>
      <c r="D641" s="1" t="str">
        <f>VLOOKUP(C641,Tabulka5[],3,FALSE)</f>
        <v>Private</v>
      </c>
      <c r="E641" s="1">
        <v>0</v>
      </c>
      <c r="F641" s="1" t="str">
        <f>VLOOKUP(E641,Tabulka5[],3,FALSE)</f>
        <v>Private</v>
      </c>
      <c r="G641" s="1" t="s">
        <v>3115</v>
      </c>
      <c r="H641" s="1" t="s">
        <v>992</v>
      </c>
      <c r="I641" s="1" t="s">
        <v>403</v>
      </c>
      <c r="J641" s="1" t="s">
        <v>2728</v>
      </c>
      <c r="K641" s="1" t="s">
        <v>3126</v>
      </c>
      <c r="L641" s="1" t="s">
        <v>3131</v>
      </c>
      <c r="M641" s="1">
        <v>2000</v>
      </c>
      <c r="N641" s="1">
        <v>1</v>
      </c>
      <c r="O641" s="1" t="str">
        <f t="shared" si="48"/>
        <v>"Raincoat_Yellow": 1,</v>
      </c>
      <c r="P641" s="1" t="str">
        <f t="shared" si="49"/>
        <v>"Raincoat_Yellow": 1,</v>
      </c>
      <c r="Q641" s="1" t="str">
        <f t="shared" si="50"/>
        <v>"Raincoat_Yellow": 2000,</v>
      </c>
      <c r="R641" s="1" t="str">
        <f t="shared" si="51"/>
        <v>"Raincoat_Yellow": 0,</v>
      </c>
    </row>
    <row r="642" spans="1:18" ht="15" customHeight="1" x14ac:dyDescent="0.25">
      <c r="A642" s="1" t="str">
        <f t="shared" si="52"/>
        <v>#tc_military#tc_attachments#tc_optic</v>
      </c>
      <c r="B642" s="1">
        <f>VLOOKUP(A642,TraderCategory!$A$63:$E$556,2,FALSE)</f>
        <v>50</v>
      </c>
      <c r="C642" s="1">
        <f>VLOOKUP(A642,TraderCategory!$A$63:$F$556,6,FALSE)</f>
        <v>10</v>
      </c>
      <c r="D642" s="1" t="str">
        <f>VLOOKUP(C642,Tabulka5[],3,FALSE)</f>
        <v>Second Lieutenant</v>
      </c>
      <c r="E642" s="1">
        <v>10</v>
      </c>
      <c r="F642" s="1" t="str">
        <f>VLOOKUP(E642,Tabulka5[],3,FALSE)</f>
        <v>Second Lieutenant</v>
      </c>
      <c r="G642" s="1" t="s">
        <v>3115</v>
      </c>
      <c r="H642" s="1" t="s">
        <v>993</v>
      </c>
      <c r="I642" s="1" t="s">
        <v>426</v>
      </c>
      <c r="J642" s="1" t="s">
        <v>2729</v>
      </c>
      <c r="K642" s="1" t="s">
        <v>2736</v>
      </c>
      <c r="L642" s="1" t="s">
        <v>3163</v>
      </c>
      <c r="M642" s="1">
        <v>4000</v>
      </c>
      <c r="N642" s="1">
        <v>1</v>
      </c>
      <c r="O642" s="1" t="str">
        <f t="shared" si="48"/>
        <v>"Rangefinder": 1,</v>
      </c>
      <c r="P642" s="1" t="str">
        <f t="shared" si="49"/>
        <v>"Rangefinder": 50,</v>
      </c>
      <c r="Q642" s="1" t="str">
        <f t="shared" si="50"/>
        <v>"Rangefinder": 4000,</v>
      </c>
      <c r="R642" s="1" t="str">
        <f t="shared" si="51"/>
        <v>"Rangefinder": 10,</v>
      </c>
    </row>
    <row r="643" spans="1:18" x14ac:dyDescent="0.25">
      <c r="A643" s="1" t="str">
        <f t="shared" si="52"/>
        <v>#tc_military#tc_attachments#tc_optic</v>
      </c>
      <c r="B643" s="1">
        <f>VLOOKUP(A643,TraderCategory!$A$63:$E$556,2,FALSE)</f>
        <v>50</v>
      </c>
      <c r="C643" s="1">
        <f>VLOOKUP(A643,TraderCategory!$A$63:$F$556,6,FALSE)</f>
        <v>10</v>
      </c>
      <c r="D643" s="1" t="str">
        <f>VLOOKUP(C643,Tabulka5[],3,FALSE)</f>
        <v>Second Lieutenant</v>
      </c>
      <c r="E643" s="1">
        <v>10</v>
      </c>
      <c r="F643" s="1" t="str">
        <f>VLOOKUP(E643,Tabulka5[],3,FALSE)</f>
        <v>Second Lieutenant</v>
      </c>
      <c r="G643" s="1" t="s">
        <v>3115</v>
      </c>
      <c r="H643" s="1" t="s">
        <v>994</v>
      </c>
      <c r="I643" s="1" t="s">
        <v>8</v>
      </c>
      <c r="J643" s="1" t="s">
        <v>2729</v>
      </c>
      <c r="K643" s="1" t="s">
        <v>2736</v>
      </c>
      <c r="L643" s="1" t="s">
        <v>3163</v>
      </c>
      <c r="M643" s="1">
        <v>2000</v>
      </c>
      <c r="N643" s="1">
        <v>1</v>
      </c>
      <c r="O643" s="1" t="str">
        <f t="shared" ref="O643:O706" si="53">"""" &amp;H643 &amp; """: " &amp; N643 &amp; ","</f>
        <v>"ReflexOptic": 1,</v>
      </c>
      <c r="P643" s="1" t="str">
        <f t="shared" ref="P643:P706" si="54">"""" &amp;H643 &amp; """: " &amp; B643 &amp; ","</f>
        <v>"ReflexOptic": 50,</v>
      </c>
      <c r="Q643" s="1" t="str">
        <f t="shared" ref="Q643:Q706" si="55">"""" &amp;H643 &amp; """: " &amp; M643 &amp; ","</f>
        <v>"ReflexOptic": 2000,</v>
      </c>
      <c r="R643" s="1" t="str">
        <f t="shared" ref="R643:R706" si="56">"""" &amp;H643 &amp; """: " &amp; E643 &amp; ","</f>
        <v>"ReflexOptic": 10,</v>
      </c>
    </row>
    <row r="644" spans="1:18" ht="15" customHeight="1" x14ac:dyDescent="0.25">
      <c r="A644" s="1" t="str">
        <f t="shared" si="52"/>
        <v>#tc_groceries#tc_food#tc_packaged</v>
      </c>
      <c r="B644" s="1">
        <f>VLOOKUP(A644,TraderCategory!$A$63:$E$556,2,FALSE)</f>
        <v>19</v>
      </c>
      <c r="C644" s="1">
        <f>VLOOKUP(A644,TraderCategory!$A$63:$F$556,6,FALSE)</f>
        <v>3</v>
      </c>
      <c r="D644" s="1" t="str">
        <f>VLOOKUP(C644,Tabulka5[],3,FALSE)</f>
        <v>Sergeant</v>
      </c>
      <c r="E644" s="1">
        <v>3</v>
      </c>
      <c r="F644" s="1" t="str">
        <f>VLOOKUP(E644,Tabulka5[],3,FALSE)</f>
        <v>Sergeant</v>
      </c>
      <c r="G644" s="1" t="s">
        <v>3115</v>
      </c>
      <c r="H644" s="1" t="s">
        <v>995</v>
      </c>
      <c r="I644" s="1" t="s">
        <v>399</v>
      </c>
      <c r="J644" s="1" t="s">
        <v>3127</v>
      </c>
      <c r="K644" s="1" t="s">
        <v>2730</v>
      </c>
      <c r="L644" s="1" t="s">
        <v>3140</v>
      </c>
      <c r="M644" s="1">
        <v>3000</v>
      </c>
      <c r="N644" s="1">
        <v>1</v>
      </c>
      <c r="O644" s="1" t="str">
        <f t="shared" si="53"/>
        <v>"Rice": 1,</v>
      </c>
      <c r="P644" s="1" t="str">
        <f t="shared" si="54"/>
        <v>"Rice": 19,</v>
      </c>
      <c r="Q644" s="1" t="str">
        <f t="shared" si="55"/>
        <v>"Rice": 3000,</v>
      </c>
      <c r="R644" s="1" t="str">
        <f t="shared" si="56"/>
        <v>"Rice": 3,</v>
      </c>
    </row>
    <row r="645" spans="1:18" ht="15" customHeight="1" x14ac:dyDescent="0.25">
      <c r="A645" s="1" t="str">
        <f t="shared" si="52"/>
        <v>#tc_clothes#tc_civil#tc_tops</v>
      </c>
      <c r="B645" s="1">
        <f>VLOOKUP(A645,TraderCategory!$A$63:$E$556,2,FALSE)</f>
        <v>1</v>
      </c>
      <c r="C645" s="1">
        <f>VLOOKUP(A645,TraderCategory!$A$63:$F$556,6,FALSE)</f>
        <v>0</v>
      </c>
      <c r="D645" s="1" t="str">
        <f>VLOOKUP(C645,Tabulka5[],3,FALSE)</f>
        <v>Private</v>
      </c>
      <c r="E645" s="1">
        <v>0</v>
      </c>
      <c r="F645" s="1" t="str">
        <f>VLOOKUP(E645,Tabulka5[],3,FALSE)</f>
        <v>Private</v>
      </c>
      <c r="G645" s="1" t="s">
        <v>3115</v>
      </c>
      <c r="H645" s="1" t="s">
        <v>996</v>
      </c>
      <c r="I645" s="1" t="s">
        <v>403</v>
      </c>
      <c r="J645" s="1" t="s">
        <v>2728</v>
      </c>
      <c r="K645" s="1" t="s">
        <v>3126</v>
      </c>
      <c r="L645" s="1" t="s">
        <v>3131</v>
      </c>
      <c r="M645" s="1">
        <v>2000</v>
      </c>
      <c r="N645" s="1">
        <v>1</v>
      </c>
      <c r="O645" s="1" t="str">
        <f t="shared" si="53"/>
        <v>"RidersJacket_Black": 1,</v>
      </c>
      <c r="P645" s="1" t="str">
        <f t="shared" si="54"/>
        <v>"RidersJacket_Black": 1,</v>
      </c>
      <c r="Q645" s="1" t="str">
        <f t="shared" si="55"/>
        <v>"RidersJacket_Black": 2000,</v>
      </c>
      <c r="R645" s="1" t="str">
        <f t="shared" si="56"/>
        <v>"RidersJacket_Black": 0,</v>
      </c>
    </row>
    <row r="646" spans="1:18" ht="15" customHeight="1" x14ac:dyDescent="0.25">
      <c r="A646" s="1" t="str">
        <f t="shared" si="52"/>
        <v>#tc_groceries#tc_tools#tc_lights</v>
      </c>
      <c r="B646" s="1">
        <f>VLOOKUP(A646,TraderCategory!$A$63:$E$556,2,FALSE)</f>
        <v>37</v>
      </c>
      <c r="C646" s="1">
        <f>VLOOKUP(A646,TraderCategory!$A$63:$F$556,6,FALSE)</f>
        <v>0</v>
      </c>
      <c r="D646" s="1" t="str">
        <f>VLOOKUP(C646,Tabulka5[],3,FALSE)</f>
        <v>Private</v>
      </c>
      <c r="E646" s="1">
        <v>0</v>
      </c>
      <c r="F646" s="1" t="str">
        <f>VLOOKUP(E646,Tabulka5[],3,FALSE)</f>
        <v>Private</v>
      </c>
      <c r="G646" s="1" t="s">
        <v>3115</v>
      </c>
      <c r="H646" s="1" t="s">
        <v>997</v>
      </c>
      <c r="I646" s="1" t="s">
        <v>426</v>
      </c>
      <c r="J646" s="1" t="s">
        <v>3127</v>
      </c>
      <c r="K646" s="1" t="s">
        <v>2740</v>
      </c>
      <c r="L646" s="1" t="s">
        <v>3147</v>
      </c>
      <c r="M646" s="1">
        <v>400</v>
      </c>
      <c r="N646" s="1">
        <v>1</v>
      </c>
      <c r="O646" s="1" t="str">
        <f t="shared" si="53"/>
        <v>"Roadflare": 1,</v>
      </c>
      <c r="P646" s="1" t="str">
        <f t="shared" si="54"/>
        <v>"Roadflare": 37,</v>
      </c>
      <c r="Q646" s="1" t="str">
        <f t="shared" si="55"/>
        <v>"Roadflare": 400,</v>
      </c>
      <c r="R646" s="1" t="str">
        <f t="shared" si="56"/>
        <v>"Roadflare": 0,</v>
      </c>
    </row>
    <row r="647" spans="1:18" ht="15" customHeight="1" x14ac:dyDescent="0.25">
      <c r="A647" s="1" t="str">
        <f t="shared" si="52"/>
        <v>#tc_groceries#tc_tools#tc_materials</v>
      </c>
      <c r="B647" s="1">
        <f>VLOOKUP(A647,TraderCategory!$A$63:$E$556,2,FALSE)</f>
        <v>39</v>
      </c>
      <c r="C647" s="1">
        <f>VLOOKUP(A647,TraderCategory!$A$63:$F$556,6,FALSE)</f>
        <v>3</v>
      </c>
      <c r="D647" s="1" t="str">
        <f>VLOOKUP(C647,Tabulka5[],3,FALSE)</f>
        <v>Sergeant</v>
      </c>
      <c r="E647" s="1">
        <v>3</v>
      </c>
      <c r="F647" s="1" t="str">
        <f>VLOOKUP(E647,Tabulka5[],3,FALSE)</f>
        <v>Sergeant</v>
      </c>
      <c r="G647" s="1" t="s">
        <v>3115</v>
      </c>
      <c r="H647" s="1" t="s">
        <v>998</v>
      </c>
      <c r="I647" s="1" t="s">
        <v>426</v>
      </c>
      <c r="J647" s="1" t="s">
        <v>3127</v>
      </c>
      <c r="K647" s="1" t="s">
        <v>2740</v>
      </c>
      <c r="L647" s="1" t="s">
        <v>2741</v>
      </c>
      <c r="M647" s="1">
        <v>150</v>
      </c>
      <c r="N647" s="1">
        <v>1</v>
      </c>
      <c r="O647" s="1" t="str">
        <f t="shared" si="53"/>
        <v>"Rope": 1,</v>
      </c>
      <c r="P647" s="1" t="str">
        <f t="shared" si="54"/>
        <v>"Rope": 39,</v>
      </c>
      <c r="Q647" s="1" t="str">
        <f t="shared" si="55"/>
        <v>"Rope": 150,</v>
      </c>
      <c r="R647" s="1" t="str">
        <f t="shared" si="56"/>
        <v>"Rope": 3,</v>
      </c>
    </row>
    <row r="648" spans="1:18" x14ac:dyDescent="0.25">
      <c r="A648" s="1" t="str">
        <f t="shared" si="52"/>
        <v>#tc_military#tc_weapons#tc_pistols</v>
      </c>
      <c r="B648" s="1">
        <f>VLOOKUP(A648,TraderCategory!$A$63:$E$556,2,FALSE)</f>
        <v>61</v>
      </c>
      <c r="C648" s="1">
        <f>VLOOKUP(A648,TraderCategory!$A$63:$F$556,6,FALSE)</f>
        <v>0</v>
      </c>
      <c r="D648" s="1" t="str">
        <f>VLOOKUP(C648,Tabulka5[],3,FALSE)</f>
        <v>Private</v>
      </c>
      <c r="E648" s="1">
        <v>3</v>
      </c>
      <c r="F648" s="1" t="str">
        <f>VLOOKUP(E648,Tabulka5[],3,FALSE)</f>
        <v>Sergeant</v>
      </c>
      <c r="G648" s="1" t="s">
        <v>3116</v>
      </c>
      <c r="H648" s="1" t="s">
        <v>1393</v>
      </c>
      <c r="I648" s="1" t="s">
        <v>8</v>
      </c>
      <c r="J648" s="1" t="s">
        <v>2729</v>
      </c>
      <c r="K648" s="1" t="s">
        <v>3129</v>
      </c>
      <c r="L648" s="1" t="s">
        <v>3154</v>
      </c>
      <c r="M648" s="1">
        <v>12000</v>
      </c>
      <c r="N648" s="1">
        <v>1</v>
      </c>
      <c r="O648" s="1" t="str">
        <f t="shared" si="53"/>
        <v>"WE_M9": 1,</v>
      </c>
      <c r="P648" s="1" t="str">
        <f t="shared" si="54"/>
        <v>"WE_M9": 61,</v>
      </c>
      <c r="Q648" s="1" t="str">
        <f t="shared" si="55"/>
        <v>"WE_M9": 12000,</v>
      </c>
      <c r="R648" s="1" t="str">
        <f t="shared" si="56"/>
        <v>"WE_M9": 3,</v>
      </c>
    </row>
    <row r="649" spans="1:18" x14ac:dyDescent="0.25">
      <c r="A649" s="1" t="str">
        <f t="shared" si="52"/>
        <v>#tc_military#tc_attachments#tc_bayonets</v>
      </c>
      <c r="B649" s="1">
        <f>VLOOKUP(A649,TraderCategory!$A$63:$E$556,2,FALSE)</f>
        <v>49</v>
      </c>
      <c r="C649" s="1">
        <f>VLOOKUP(A649,TraderCategory!$A$63:$F$556,6,FALSE)</f>
        <v>1</v>
      </c>
      <c r="D649" s="1" t="str">
        <f>VLOOKUP(C649,Tabulka5[],3,FALSE)</f>
        <v>Private First Class</v>
      </c>
      <c r="E649" s="1">
        <v>1</v>
      </c>
      <c r="F649" s="1" t="str">
        <f>VLOOKUP(E649,Tabulka5[],3,FALSE)</f>
        <v>Private First Class</v>
      </c>
      <c r="G649" s="1" t="s">
        <v>3115</v>
      </c>
      <c r="H649" s="1" t="s">
        <v>1000</v>
      </c>
      <c r="I649" s="1" t="s">
        <v>8</v>
      </c>
      <c r="J649" s="1" t="s">
        <v>2729</v>
      </c>
      <c r="K649" s="1" t="s">
        <v>2736</v>
      </c>
      <c r="L649" s="1" t="s">
        <v>3164</v>
      </c>
      <c r="M649" s="1">
        <v>2500</v>
      </c>
      <c r="N649" s="1">
        <v>1</v>
      </c>
      <c r="O649" s="1" t="str">
        <f t="shared" si="53"/>
        <v>"SKS_Bayonet": 1,</v>
      </c>
      <c r="P649" s="1" t="str">
        <f t="shared" si="54"/>
        <v>"SKS_Bayonet": 49,</v>
      </c>
      <c r="Q649" s="1" t="str">
        <f t="shared" si="55"/>
        <v>"SKS_Bayonet": 2500,</v>
      </c>
      <c r="R649" s="1" t="str">
        <f t="shared" si="56"/>
        <v>"SKS_Bayonet": 1,</v>
      </c>
    </row>
    <row r="650" spans="1:18" x14ac:dyDescent="0.25">
      <c r="A650" s="1" t="str">
        <f t="shared" si="52"/>
        <v>#tc_military#tc_weapons#tc_rifles</v>
      </c>
      <c r="B650" s="1">
        <f>VLOOKUP(A650,TraderCategory!$A$63:$E$556,2,FALSE)</f>
        <v>64</v>
      </c>
      <c r="C650" s="1">
        <f>VLOOKUP(A650,TraderCategory!$A$63:$F$556,6,FALSE)</f>
        <v>0</v>
      </c>
      <c r="D650" s="1" t="str">
        <f>VLOOKUP(C650,Tabulka5[],3,FALSE)</f>
        <v>Private</v>
      </c>
      <c r="E650" s="1">
        <v>7</v>
      </c>
      <c r="F650" s="1" t="str">
        <f>VLOOKUP(E650,Tabulka5[],3,FALSE)</f>
        <v>First Sergeant</v>
      </c>
      <c r="G650" s="1" t="s">
        <v>3115</v>
      </c>
      <c r="H650" s="1" t="s">
        <v>409</v>
      </c>
      <c r="I650" s="1" t="s">
        <v>8</v>
      </c>
      <c r="J650" s="1" t="s">
        <v>2729</v>
      </c>
      <c r="K650" s="1" t="s">
        <v>3129</v>
      </c>
      <c r="L650" s="1" t="s">
        <v>3157</v>
      </c>
      <c r="M650" s="1">
        <v>25000</v>
      </c>
      <c r="N650" s="1">
        <v>1</v>
      </c>
      <c r="O650" s="1" t="str">
        <f t="shared" si="53"/>
        <v>"B95": 1,</v>
      </c>
      <c r="P650" s="1" t="str">
        <f t="shared" si="54"/>
        <v>"B95": 64,</v>
      </c>
      <c r="Q650" s="1" t="str">
        <f t="shared" si="55"/>
        <v>"B95": 25000,</v>
      </c>
      <c r="R650" s="1" t="str">
        <f t="shared" si="56"/>
        <v>"B95": 7,</v>
      </c>
    </row>
    <row r="651" spans="1:18" x14ac:dyDescent="0.25">
      <c r="A651" s="1" t="str">
        <f t="shared" si="52"/>
        <v>#tc_military#tc_weapons#tc_rifles</v>
      </c>
      <c r="B651" s="1">
        <f>VLOOKUP(A651,TraderCategory!$A$63:$E$556,2,FALSE)</f>
        <v>64</v>
      </c>
      <c r="C651" s="1">
        <f>VLOOKUP(A651,TraderCategory!$A$63:$F$556,6,FALSE)</f>
        <v>0</v>
      </c>
      <c r="D651" s="1" t="str">
        <f>VLOOKUP(C651,Tabulka5[],3,FALSE)</f>
        <v>Private</v>
      </c>
      <c r="E651" s="1">
        <v>1</v>
      </c>
      <c r="F651" s="1" t="str">
        <f>VLOOKUP(E651,Tabulka5[],3,FALSE)</f>
        <v>Private First Class</v>
      </c>
      <c r="G651" s="1" t="s">
        <v>3115</v>
      </c>
      <c r="H651" s="1" t="s">
        <v>503</v>
      </c>
      <c r="I651" s="1" t="s">
        <v>8</v>
      </c>
      <c r="J651" s="1" t="s">
        <v>2729</v>
      </c>
      <c r="K651" s="1" t="s">
        <v>3129</v>
      </c>
      <c r="L651" s="1" t="s">
        <v>3157</v>
      </c>
      <c r="M651" s="1">
        <v>15000</v>
      </c>
      <c r="N651" s="1">
        <v>1</v>
      </c>
      <c r="O651" s="1" t="str">
        <f t="shared" si="53"/>
        <v>"CZ527": 1,</v>
      </c>
      <c r="P651" s="1" t="str">
        <f t="shared" si="54"/>
        <v>"CZ527": 64,</v>
      </c>
      <c r="Q651" s="1" t="str">
        <f t="shared" si="55"/>
        <v>"CZ527": 15000,</v>
      </c>
      <c r="R651" s="1" t="str">
        <f t="shared" si="56"/>
        <v>"CZ527": 1,</v>
      </c>
    </row>
    <row r="652" spans="1:18" x14ac:dyDescent="0.25">
      <c r="A652" s="1" t="str">
        <f t="shared" ref="A652:A715" si="57">CONCATENATE(J652,K652,L652)</f>
        <v>#tc_military#tc_attachments#tc_attachments</v>
      </c>
      <c r="B652" s="1">
        <f>VLOOKUP(A652,TraderCategory!$A$63:$E$556,2,FALSE)</f>
        <v>48</v>
      </c>
      <c r="C652" s="1">
        <f>VLOOKUP(A652,TraderCategory!$A$63:$F$556,6,FALSE)</f>
        <v>0</v>
      </c>
      <c r="D652" s="1" t="str">
        <f>VLOOKUP(C652,Tabulka5[],3,FALSE)</f>
        <v>Private</v>
      </c>
      <c r="E652" s="1">
        <v>10</v>
      </c>
      <c r="F652" s="1" t="str">
        <f>VLOOKUP(E652,Tabulka5[],3,FALSE)</f>
        <v>Second Lieutenant</v>
      </c>
      <c r="G652" s="1" t="s">
        <v>3115</v>
      </c>
      <c r="H652" s="1" t="s">
        <v>1003</v>
      </c>
      <c r="I652" s="1" t="s">
        <v>8</v>
      </c>
      <c r="J652" s="1" t="s">
        <v>2729</v>
      </c>
      <c r="K652" s="1" t="s">
        <v>2736</v>
      </c>
      <c r="L652" s="1" t="s">
        <v>2736</v>
      </c>
      <c r="M652" s="1">
        <v>1000</v>
      </c>
      <c r="N652" s="1">
        <v>1</v>
      </c>
      <c r="O652" s="1" t="str">
        <f t="shared" si="53"/>
        <v>"Saiga_Bttstck": 1,</v>
      </c>
      <c r="P652" s="1" t="str">
        <f t="shared" si="54"/>
        <v>"Saiga_Bttstck": 48,</v>
      </c>
      <c r="Q652" s="1" t="str">
        <f t="shared" si="55"/>
        <v>"Saiga_Bttstck": 1000,</v>
      </c>
      <c r="R652" s="1" t="str">
        <f t="shared" si="56"/>
        <v>"Saiga_Bttstck": 10,</v>
      </c>
    </row>
    <row r="653" spans="1:18" ht="15" customHeight="1" x14ac:dyDescent="0.25">
      <c r="A653" s="1" t="str">
        <f t="shared" si="57"/>
        <v>#tc_groceries#tc_medic#tc_equipments</v>
      </c>
      <c r="B653" s="1">
        <f>VLOOKUP(A653,TraderCategory!$A$63:$E$556,2,FALSE)</f>
        <v>25</v>
      </c>
      <c r="C653" s="1">
        <f>VLOOKUP(A653,TraderCategory!$A$63:$F$556,6,FALSE)</f>
        <v>6</v>
      </c>
      <c r="D653" s="1" t="str">
        <f>VLOOKUP(C653,Tabulka5[],3,FALSE)</f>
        <v>Master Sergeant</v>
      </c>
      <c r="E653" s="1">
        <v>6</v>
      </c>
      <c r="F653" s="1" t="str">
        <f>VLOOKUP(E653,Tabulka5[],3,FALSE)</f>
        <v>Master Sergeant</v>
      </c>
      <c r="G653" s="1" t="s">
        <v>3115</v>
      </c>
      <c r="H653" s="1" t="s">
        <v>1004</v>
      </c>
      <c r="I653" s="1" t="s">
        <v>426</v>
      </c>
      <c r="J653" s="1" t="s">
        <v>3127</v>
      </c>
      <c r="K653" s="1" t="s">
        <v>2739</v>
      </c>
      <c r="L653" s="1" t="s">
        <v>3152</v>
      </c>
      <c r="M653" s="1">
        <v>2000</v>
      </c>
      <c r="N653" s="1">
        <v>1</v>
      </c>
      <c r="O653" s="1" t="str">
        <f t="shared" si="53"/>
        <v>"SalineBag": 1,</v>
      </c>
      <c r="P653" s="1" t="str">
        <f t="shared" si="54"/>
        <v>"SalineBag": 25,</v>
      </c>
      <c r="Q653" s="1" t="str">
        <f t="shared" si="55"/>
        <v>"SalineBag": 2000,</v>
      </c>
      <c r="R653" s="1" t="str">
        <f t="shared" si="56"/>
        <v>"SalineBag": 6,</v>
      </c>
    </row>
    <row r="654" spans="1:18" ht="15" customHeight="1" x14ac:dyDescent="0.25">
      <c r="A654" s="1" t="str">
        <f t="shared" si="57"/>
        <v>#tc_groceries#tc_food#tc_canned</v>
      </c>
      <c r="B654" s="1">
        <f>VLOOKUP(A654,TraderCategory!$A$63:$E$556,2,FALSE)</f>
        <v>18</v>
      </c>
      <c r="C654" s="1">
        <f>VLOOKUP(A654,TraderCategory!$A$63:$F$556,6,FALSE)</f>
        <v>3</v>
      </c>
      <c r="D654" s="1" t="str">
        <f>VLOOKUP(C654,Tabulka5[],3,FALSE)</f>
        <v>Sergeant</v>
      </c>
      <c r="E654" s="1">
        <v>3</v>
      </c>
      <c r="F654" s="1" t="str">
        <f>VLOOKUP(E654,Tabulka5[],3,FALSE)</f>
        <v>Sergeant</v>
      </c>
      <c r="G654" s="1" t="s">
        <v>3115</v>
      </c>
      <c r="H654" s="1" t="s">
        <v>1005</v>
      </c>
      <c r="I654" s="1" t="s">
        <v>399</v>
      </c>
      <c r="J654" s="1" t="s">
        <v>3127</v>
      </c>
      <c r="K654" s="1" t="s">
        <v>2730</v>
      </c>
      <c r="L654" s="1" t="s">
        <v>2732</v>
      </c>
      <c r="M654" s="1">
        <v>2000</v>
      </c>
      <c r="N654" s="1">
        <v>1</v>
      </c>
      <c r="O654" s="1" t="str">
        <f t="shared" si="53"/>
        <v>"SardinesCan": 1,</v>
      </c>
      <c r="P654" s="1" t="str">
        <f t="shared" si="54"/>
        <v>"SardinesCan": 18,</v>
      </c>
      <c r="Q654" s="1" t="str">
        <f t="shared" si="55"/>
        <v>"SardinesCan": 2000,</v>
      </c>
      <c r="R654" s="1" t="str">
        <f t="shared" si="56"/>
        <v>"SardinesCan": 3,</v>
      </c>
    </row>
    <row r="655" spans="1:18" ht="15" customHeight="1" x14ac:dyDescent="0.25">
      <c r="A655" s="1" t="str">
        <f t="shared" si="57"/>
        <v>#tc_groceries#tc_tools#tc_tools</v>
      </c>
      <c r="B655" s="1">
        <f>VLOOKUP(A655,TraderCategory!$A$63:$E$556,2,FALSE)</f>
        <v>30</v>
      </c>
      <c r="C655" s="1">
        <f>VLOOKUP(A655,TraderCategory!$A$63:$F$556,6,FALSE)</f>
        <v>0</v>
      </c>
      <c r="D655" s="1" t="str">
        <f>VLOOKUP(C655,Tabulka5[],3,FALSE)</f>
        <v>Private</v>
      </c>
      <c r="E655" s="1">
        <v>0</v>
      </c>
      <c r="F655" s="1" t="str">
        <f>VLOOKUP(E655,Tabulka5[],3,FALSE)</f>
        <v>Private</v>
      </c>
      <c r="G655" s="1" t="s">
        <v>3115</v>
      </c>
      <c r="H655" s="1" t="s">
        <v>1006</v>
      </c>
      <c r="I655" s="1" t="s">
        <v>426</v>
      </c>
      <c r="J655" s="1" t="s">
        <v>3127</v>
      </c>
      <c r="K655" s="1" t="s">
        <v>2740</v>
      </c>
      <c r="L655" s="1" t="s">
        <v>2740</v>
      </c>
      <c r="M655" s="1">
        <v>100</v>
      </c>
      <c r="N655" s="1">
        <v>1</v>
      </c>
      <c r="O655" s="1" t="str">
        <f t="shared" si="53"/>
        <v>"Screwdriver": 1,</v>
      </c>
      <c r="P655" s="1" t="str">
        <f t="shared" si="54"/>
        <v>"Screwdriver": 30,</v>
      </c>
      <c r="Q655" s="1" t="str">
        <f t="shared" si="55"/>
        <v>"Screwdriver": 100,</v>
      </c>
      <c r="R655" s="1" t="str">
        <f t="shared" si="56"/>
        <v>"Screwdriver": 0,</v>
      </c>
    </row>
    <row r="656" spans="1:18" ht="15" customHeight="1" x14ac:dyDescent="0.25">
      <c r="A656" s="1" t="str">
        <f t="shared" si="57"/>
        <v>#tc_groceries#tc_tools#tc_storages</v>
      </c>
      <c r="B656" s="1">
        <f>VLOOKUP(A656,TraderCategory!$A$63:$E$556,2,FALSE)</f>
        <v>41</v>
      </c>
      <c r="C656" s="1">
        <f>VLOOKUP(A656,TraderCategory!$A$63:$F$556,6,FALSE)</f>
        <v>3</v>
      </c>
      <c r="D656" s="1" t="str">
        <f>VLOOKUP(C656,Tabulka5[],3,FALSE)</f>
        <v>Sergeant</v>
      </c>
      <c r="E656" s="1">
        <v>3</v>
      </c>
      <c r="F656" s="1" t="str">
        <f>VLOOKUP(E656,Tabulka5[],3,FALSE)</f>
        <v>Sergeant</v>
      </c>
      <c r="G656" s="1" t="s">
        <v>3115</v>
      </c>
      <c r="H656" s="1" t="s">
        <v>1007</v>
      </c>
      <c r="I656" s="1" t="s">
        <v>426</v>
      </c>
      <c r="J656" s="1" t="s">
        <v>3127</v>
      </c>
      <c r="K656" s="1" t="s">
        <v>2740</v>
      </c>
      <c r="L656" s="1" t="s">
        <v>3227</v>
      </c>
      <c r="M656" s="1">
        <v>15000</v>
      </c>
      <c r="N656" s="1">
        <v>1</v>
      </c>
      <c r="O656" s="1" t="str">
        <f t="shared" si="53"/>
        <v>"SeaChest": 1,</v>
      </c>
      <c r="P656" s="1" t="str">
        <f t="shared" si="54"/>
        <v>"SeaChest": 41,</v>
      </c>
      <c r="Q656" s="1" t="str">
        <f t="shared" si="55"/>
        <v>"SeaChest": 15000,</v>
      </c>
      <c r="R656" s="1" t="str">
        <f t="shared" si="56"/>
        <v>"SeaChest": 3,</v>
      </c>
    </row>
    <row r="657" spans="1:18" ht="15" customHeight="1" x14ac:dyDescent="0.25">
      <c r="A657" s="1" t="str">
        <f t="shared" si="57"/>
        <v>#tc_vehicles#tc_parts#tc_doors</v>
      </c>
      <c r="B657" s="1">
        <f>VLOOKUP(A657,TraderCategory!$A$63:$E$556,2,FALSE)</f>
        <v>70</v>
      </c>
      <c r="C657" s="1">
        <f>VLOOKUP(A657,TraderCategory!$A$63:$F$556,6,FALSE)</f>
        <v>3</v>
      </c>
      <c r="D657" s="1" t="str">
        <f>VLOOKUP(C657,Tabulka5[],3,FALSE)</f>
        <v>Sergeant</v>
      </c>
      <c r="E657" s="1">
        <v>3</v>
      </c>
      <c r="F657" s="1" t="str">
        <f>VLOOKUP(E657,Tabulka5[],3,FALSE)</f>
        <v>Sergeant</v>
      </c>
      <c r="G657" s="1" t="s">
        <v>3115</v>
      </c>
      <c r="H657" s="1" t="s">
        <v>1009</v>
      </c>
      <c r="I657" s="1" t="s">
        <v>426</v>
      </c>
      <c r="J657" s="1" t="s">
        <v>2743</v>
      </c>
      <c r="K657" s="1" t="s">
        <v>2742</v>
      </c>
      <c r="L657" s="1" t="s">
        <v>3170</v>
      </c>
      <c r="M657" s="1">
        <v>4000</v>
      </c>
      <c r="N657" s="1">
        <v>1</v>
      </c>
      <c r="O657" s="1" t="str">
        <f t="shared" si="53"/>
        <v>"Sedan_02_Door_1_1": 1,</v>
      </c>
      <c r="P657" s="1" t="str">
        <f t="shared" si="54"/>
        <v>"Sedan_02_Door_1_1": 70,</v>
      </c>
      <c r="Q657" s="1" t="str">
        <f t="shared" si="55"/>
        <v>"Sedan_02_Door_1_1": 4000,</v>
      </c>
      <c r="R657" s="1" t="str">
        <f t="shared" si="56"/>
        <v>"Sedan_02_Door_1_1": 3,</v>
      </c>
    </row>
    <row r="658" spans="1:18" ht="15" customHeight="1" x14ac:dyDescent="0.25">
      <c r="A658" s="1" t="str">
        <f t="shared" si="57"/>
        <v>#tc_vehicles#tc_parts#tc_doors</v>
      </c>
      <c r="B658" s="1">
        <f>VLOOKUP(A658,TraderCategory!$A$63:$E$556,2,FALSE)</f>
        <v>70</v>
      </c>
      <c r="C658" s="1">
        <f>VLOOKUP(A658,TraderCategory!$A$63:$F$556,6,FALSE)</f>
        <v>3</v>
      </c>
      <c r="D658" s="1" t="str">
        <f>VLOOKUP(C658,Tabulka5[],3,FALSE)</f>
        <v>Sergeant</v>
      </c>
      <c r="E658" s="1">
        <v>3</v>
      </c>
      <c r="F658" s="1" t="str">
        <f>VLOOKUP(E658,Tabulka5[],3,FALSE)</f>
        <v>Sergeant</v>
      </c>
      <c r="G658" s="1" t="s">
        <v>3115</v>
      </c>
      <c r="H658" s="1" t="s">
        <v>1010</v>
      </c>
      <c r="I658" s="1" t="s">
        <v>426</v>
      </c>
      <c r="J658" s="1" t="s">
        <v>2743</v>
      </c>
      <c r="K658" s="1" t="s">
        <v>2742</v>
      </c>
      <c r="L658" s="1" t="s">
        <v>3170</v>
      </c>
      <c r="M658" s="1">
        <v>4000</v>
      </c>
      <c r="N658" s="1">
        <v>1</v>
      </c>
      <c r="O658" s="1" t="str">
        <f t="shared" si="53"/>
        <v>"Sedan_02_Door_1_1_Grey": 1,</v>
      </c>
      <c r="P658" s="1" t="str">
        <f t="shared" si="54"/>
        <v>"Sedan_02_Door_1_1_Grey": 70,</v>
      </c>
      <c r="Q658" s="1" t="str">
        <f t="shared" si="55"/>
        <v>"Sedan_02_Door_1_1_Grey": 4000,</v>
      </c>
      <c r="R658" s="1" t="str">
        <f t="shared" si="56"/>
        <v>"Sedan_02_Door_1_1_Grey": 3,</v>
      </c>
    </row>
    <row r="659" spans="1:18" ht="15" customHeight="1" x14ac:dyDescent="0.25">
      <c r="A659" s="1" t="str">
        <f t="shared" si="57"/>
        <v>#tc_vehicles#tc_parts#tc_doors</v>
      </c>
      <c r="B659" s="1">
        <f>VLOOKUP(A659,TraderCategory!$A$63:$E$556,2,FALSE)</f>
        <v>70</v>
      </c>
      <c r="C659" s="1">
        <f>VLOOKUP(A659,TraderCategory!$A$63:$F$556,6,FALSE)</f>
        <v>3</v>
      </c>
      <c r="D659" s="1" t="str">
        <f>VLOOKUP(C659,Tabulka5[],3,FALSE)</f>
        <v>Sergeant</v>
      </c>
      <c r="E659" s="1">
        <v>3</v>
      </c>
      <c r="F659" s="1" t="str">
        <f>VLOOKUP(E659,Tabulka5[],3,FALSE)</f>
        <v>Sergeant</v>
      </c>
      <c r="G659" s="1" t="s">
        <v>3115</v>
      </c>
      <c r="H659" s="1" t="s">
        <v>1011</v>
      </c>
      <c r="I659" s="1" t="s">
        <v>426</v>
      </c>
      <c r="J659" s="1" t="s">
        <v>2743</v>
      </c>
      <c r="K659" s="1" t="s">
        <v>2742</v>
      </c>
      <c r="L659" s="1" t="s">
        <v>3170</v>
      </c>
      <c r="M659" s="1">
        <v>4000</v>
      </c>
      <c r="N659" s="1">
        <v>1</v>
      </c>
      <c r="O659" s="1" t="str">
        <f t="shared" si="53"/>
        <v>"Sedan_02_Door_1_1_Red": 1,</v>
      </c>
      <c r="P659" s="1" t="str">
        <f t="shared" si="54"/>
        <v>"Sedan_02_Door_1_1_Red": 70,</v>
      </c>
      <c r="Q659" s="1" t="str">
        <f t="shared" si="55"/>
        <v>"Sedan_02_Door_1_1_Red": 4000,</v>
      </c>
      <c r="R659" s="1" t="str">
        <f t="shared" si="56"/>
        <v>"Sedan_02_Door_1_1_Red": 3,</v>
      </c>
    </row>
    <row r="660" spans="1:18" ht="15" customHeight="1" x14ac:dyDescent="0.25">
      <c r="A660" s="1" t="str">
        <f t="shared" si="57"/>
        <v>#tc_vehicles#tc_parts#tc_doors</v>
      </c>
      <c r="B660" s="1">
        <f>VLOOKUP(A660,TraderCategory!$A$63:$E$556,2,FALSE)</f>
        <v>70</v>
      </c>
      <c r="C660" s="1">
        <f>VLOOKUP(A660,TraderCategory!$A$63:$F$556,6,FALSE)</f>
        <v>3</v>
      </c>
      <c r="D660" s="1" t="str">
        <f>VLOOKUP(C660,Tabulka5[],3,FALSE)</f>
        <v>Sergeant</v>
      </c>
      <c r="E660" s="1">
        <v>3</v>
      </c>
      <c r="F660" s="1" t="str">
        <f>VLOOKUP(E660,Tabulka5[],3,FALSE)</f>
        <v>Sergeant</v>
      </c>
      <c r="G660" s="1" t="s">
        <v>3115</v>
      </c>
      <c r="H660" s="1" t="s">
        <v>1012</v>
      </c>
      <c r="I660" s="1" t="s">
        <v>426</v>
      </c>
      <c r="J660" s="1" t="s">
        <v>2743</v>
      </c>
      <c r="K660" s="1" t="s">
        <v>2742</v>
      </c>
      <c r="L660" s="1" t="s">
        <v>3170</v>
      </c>
      <c r="M660" s="1">
        <v>4000</v>
      </c>
      <c r="N660" s="1">
        <v>1</v>
      </c>
      <c r="O660" s="1" t="str">
        <f t="shared" si="53"/>
        <v>"Sedan_02_Door_1_2": 1,</v>
      </c>
      <c r="P660" s="1" t="str">
        <f t="shared" si="54"/>
        <v>"Sedan_02_Door_1_2": 70,</v>
      </c>
      <c r="Q660" s="1" t="str">
        <f t="shared" si="55"/>
        <v>"Sedan_02_Door_1_2": 4000,</v>
      </c>
      <c r="R660" s="1" t="str">
        <f t="shared" si="56"/>
        <v>"Sedan_02_Door_1_2": 3,</v>
      </c>
    </row>
    <row r="661" spans="1:18" ht="15" customHeight="1" x14ac:dyDescent="0.25">
      <c r="A661" s="1" t="str">
        <f t="shared" si="57"/>
        <v>#tc_vehicles#tc_parts#tc_doors</v>
      </c>
      <c r="B661" s="1">
        <f>VLOOKUP(A661,TraderCategory!$A$63:$E$556,2,FALSE)</f>
        <v>70</v>
      </c>
      <c r="C661" s="1">
        <f>VLOOKUP(A661,TraderCategory!$A$63:$F$556,6,FALSE)</f>
        <v>3</v>
      </c>
      <c r="D661" s="1" t="str">
        <f>VLOOKUP(C661,Tabulka5[],3,FALSE)</f>
        <v>Sergeant</v>
      </c>
      <c r="E661" s="1">
        <v>3</v>
      </c>
      <c r="F661" s="1" t="str">
        <f>VLOOKUP(E661,Tabulka5[],3,FALSE)</f>
        <v>Sergeant</v>
      </c>
      <c r="G661" s="1" t="s">
        <v>3115</v>
      </c>
      <c r="H661" s="1" t="s">
        <v>1013</v>
      </c>
      <c r="I661" s="1" t="s">
        <v>426</v>
      </c>
      <c r="J661" s="1" t="s">
        <v>2743</v>
      </c>
      <c r="K661" s="1" t="s">
        <v>2742</v>
      </c>
      <c r="L661" s="1" t="s">
        <v>3170</v>
      </c>
      <c r="M661" s="1">
        <v>4000</v>
      </c>
      <c r="N661" s="1">
        <v>1</v>
      </c>
      <c r="O661" s="1" t="str">
        <f t="shared" si="53"/>
        <v>"Sedan_02_Door_1_2_Grey": 1,</v>
      </c>
      <c r="P661" s="1" t="str">
        <f t="shared" si="54"/>
        <v>"Sedan_02_Door_1_2_Grey": 70,</v>
      </c>
      <c r="Q661" s="1" t="str">
        <f t="shared" si="55"/>
        <v>"Sedan_02_Door_1_2_Grey": 4000,</v>
      </c>
      <c r="R661" s="1" t="str">
        <f t="shared" si="56"/>
        <v>"Sedan_02_Door_1_2_Grey": 3,</v>
      </c>
    </row>
    <row r="662" spans="1:18" ht="15" customHeight="1" x14ac:dyDescent="0.25">
      <c r="A662" s="1" t="str">
        <f t="shared" si="57"/>
        <v>#tc_vehicles#tc_parts#tc_doors</v>
      </c>
      <c r="B662" s="1">
        <f>VLOOKUP(A662,TraderCategory!$A$63:$E$556,2,FALSE)</f>
        <v>70</v>
      </c>
      <c r="C662" s="1">
        <f>VLOOKUP(A662,TraderCategory!$A$63:$F$556,6,FALSE)</f>
        <v>3</v>
      </c>
      <c r="D662" s="1" t="str">
        <f>VLOOKUP(C662,Tabulka5[],3,FALSE)</f>
        <v>Sergeant</v>
      </c>
      <c r="E662" s="1">
        <v>3</v>
      </c>
      <c r="F662" s="1" t="str">
        <f>VLOOKUP(E662,Tabulka5[],3,FALSE)</f>
        <v>Sergeant</v>
      </c>
      <c r="G662" s="1" t="s">
        <v>3115</v>
      </c>
      <c r="H662" s="1" t="s">
        <v>1014</v>
      </c>
      <c r="I662" s="1" t="s">
        <v>426</v>
      </c>
      <c r="J662" s="1" t="s">
        <v>2743</v>
      </c>
      <c r="K662" s="1" t="s">
        <v>2742</v>
      </c>
      <c r="L662" s="1" t="s">
        <v>3170</v>
      </c>
      <c r="M662" s="1">
        <v>4000</v>
      </c>
      <c r="N662" s="1">
        <v>1</v>
      </c>
      <c r="O662" s="1" t="str">
        <f t="shared" si="53"/>
        <v>"Sedan_02_Door_1_2_Red": 1,</v>
      </c>
      <c r="P662" s="1" t="str">
        <f t="shared" si="54"/>
        <v>"Sedan_02_Door_1_2_Red": 70,</v>
      </c>
      <c r="Q662" s="1" t="str">
        <f t="shared" si="55"/>
        <v>"Sedan_02_Door_1_2_Red": 4000,</v>
      </c>
      <c r="R662" s="1" t="str">
        <f t="shared" si="56"/>
        <v>"Sedan_02_Door_1_2_Red": 3,</v>
      </c>
    </row>
    <row r="663" spans="1:18" ht="15" customHeight="1" x14ac:dyDescent="0.25">
      <c r="A663" s="1" t="str">
        <f t="shared" si="57"/>
        <v>#tc_vehicles#tc_parts#tc_doors</v>
      </c>
      <c r="B663" s="1">
        <f>VLOOKUP(A663,TraderCategory!$A$63:$E$556,2,FALSE)</f>
        <v>70</v>
      </c>
      <c r="C663" s="1">
        <f>VLOOKUP(A663,TraderCategory!$A$63:$F$556,6,FALSE)</f>
        <v>3</v>
      </c>
      <c r="D663" s="1" t="str">
        <f>VLOOKUP(C663,Tabulka5[],3,FALSE)</f>
        <v>Sergeant</v>
      </c>
      <c r="E663" s="1">
        <v>3</v>
      </c>
      <c r="F663" s="1" t="str">
        <f>VLOOKUP(E663,Tabulka5[],3,FALSE)</f>
        <v>Sergeant</v>
      </c>
      <c r="G663" s="1" t="s">
        <v>3115</v>
      </c>
      <c r="H663" s="1" t="s">
        <v>1015</v>
      </c>
      <c r="I663" s="1" t="s">
        <v>426</v>
      </c>
      <c r="J663" s="1" t="s">
        <v>2743</v>
      </c>
      <c r="K663" s="1" t="s">
        <v>2742</v>
      </c>
      <c r="L663" s="1" t="s">
        <v>3170</v>
      </c>
      <c r="M663" s="1">
        <v>4000</v>
      </c>
      <c r="N663" s="1">
        <v>1</v>
      </c>
      <c r="O663" s="1" t="str">
        <f t="shared" si="53"/>
        <v>"Sedan_02_Door_2_1": 1,</v>
      </c>
      <c r="P663" s="1" t="str">
        <f t="shared" si="54"/>
        <v>"Sedan_02_Door_2_1": 70,</v>
      </c>
      <c r="Q663" s="1" t="str">
        <f t="shared" si="55"/>
        <v>"Sedan_02_Door_2_1": 4000,</v>
      </c>
      <c r="R663" s="1" t="str">
        <f t="shared" si="56"/>
        <v>"Sedan_02_Door_2_1": 3,</v>
      </c>
    </row>
    <row r="664" spans="1:18" ht="15" customHeight="1" x14ac:dyDescent="0.25">
      <c r="A664" s="1" t="str">
        <f t="shared" si="57"/>
        <v>#tc_vehicles#tc_parts#tc_doors</v>
      </c>
      <c r="B664" s="1">
        <f>VLOOKUP(A664,TraderCategory!$A$63:$E$556,2,FALSE)</f>
        <v>70</v>
      </c>
      <c r="C664" s="1">
        <f>VLOOKUP(A664,TraderCategory!$A$63:$F$556,6,FALSE)</f>
        <v>3</v>
      </c>
      <c r="D664" s="1" t="str">
        <f>VLOOKUP(C664,Tabulka5[],3,FALSE)</f>
        <v>Sergeant</v>
      </c>
      <c r="E664" s="1">
        <v>3</v>
      </c>
      <c r="F664" s="1" t="str">
        <f>VLOOKUP(E664,Tabulka5[],3,FALSE)</f>
        <v>Sergeant</v>
      </c>
      <c r="G664" s="1" t="s">
        <v>3115</v>
      </c>
      <c r="H664" s="1" t="s">
        <v>1016</v>
      </c>
      <c r="I664" s="1" t="s">
        <v>426</v>
      </c>
      <c r="J664" s="1" t="s">
        <v>2743</v>
      </c>
      <c r="K664" s="1" t="s">
        <v>2742</v>
      </c>
      <c r="L664" s="1" t="s">
        <v>3170</v>
      </c>
      <c r="M664" s="1">
        <v>4000</v>
      </c>
      <c r="N664" s="1">
        <v>1</v>
      </c>
      <c r="O664" s="1" t="str">
        <f t="shared" si="53"/>
        <v>"Sedan_02_Door_2_1_Grey": 1,</v>
      </c>
      <c r="P664" s="1" t="str">
        <f t="shared" si="54"/>
        <v>"Sedan_02_Door_2_1_Grey": 70,</v>
      </c>
      <c r="Q664" s="1" t="str">
        <f t="shared" si="55"/>
        <v>"Sedan_02_Door_2_1_Grey": 4000,</v>
      </c>
      <c r="R664" s="1" t="str">
        <f t="shared" si="56"/>
        <v>"Sedan_02_Door_2_1_Grey": 3,</v>
      </c>
    </row>
    <row r="665" spans="1:18" ht="15" customHeight="1" x14ac:dyDescent="0.25">
      <c r="A665" s="1" t="str">
        <f t="shared" si="57"/>
        <v>#tc_vehicles#tc_parts#tc_doors</v>
      </c>
      <c r="B665" s="1">
        <f>VLOOKUP(A665,TraderCategory!$A$63:$E$556,2,FALSE)</f>
        <v>70</v>
      </c>
      <c r="C665" s="1">
        <f>VLOOKUP(A665,TraderCategory!$A$63:$F$556,6,FALSE)</f>
        <v>3</v>
      </c>
      <c r="D665" s="1" t="str">
        <f>VLOOKUP(C665,Tabulka5[],3,FALSE)</f>
        <v>Sergeant</v>
      </c>
      <c r="E665" s="1">
        <v>3</v>
      </c>
      <c r="F665" s="1" t="str">
        <f>VLOOKUP(E665,Tabulka5[],3,FALSE)</f>
        <v>Sergeant</v>
      </c>
      <c r="G665" s="1" t="s">
        <v>3115</v>
      </c>
      <c r="H665" s="1" t="s">
        <v>1017</v>
      </c>
      <c r="I665" s="1" t="s">
        <v>426</v>
      </c>
      <c r="J665" s="1" t="s">
        <v>2743</v>
      </c>
      <c r="K665" s="1" t="s">
        <v>2742</v>
      </c>
      <c r="L665" s="1" t="s">
        <v>3170</v>
      </c>
      <c r="M665" s="1">
        <v>4000</v>
      </c>
      <c r="N665" s="1">
        <v>1</v>
      </c>
      <c r="O665" s="1" t="str">
        <f t="shared" si="53"/>
        <v>"Sedan_02_Door_2_1_Red": 1,</v>
      </c>
      <c r="P665" s="1" t="str">
        <f t="shared" si="54"/>
        <v>"Sedan_02_Door_2_1_Red": 70,</v>
      </c>
      <c r="Q665" s="1" t="str">
        <f t="shared" si="55"/>
        <v>"Sedan_02_Door_2_1_Red": 4000,</v>
      </c>
      <c r="R665" s="1" t="str">
        <f t="shared" si="56"/>
        <v>"Sedan_02_Door_2_1_Red": 3,</v>
      </c>
    </row>
    <row r="666" spans="1:18" ht="15" customHeight="1" x14ac:dyDescent="0.25">
      <c r="A666" s="1" t="str">
        <f t="shared" si="57"/>
        <v>#tc_vehicles#tc_parts#tc_doors</v>
      </c>
      <c r="B666" s="1">
        <f>VLOOKUP(A666,TraderCategory!$A$63:$E$556,2,FALSE)</f>
        <v>70</v>
      </c>
      <c r="C666" s="1">
        <f>VLOOKUP(A666,TraderCategory!$A$63:$F$556,6,FALSE)</f>
        <v>3</v>
      </c>
      <c r="D666" s="1" t="str">
        <f>VLOOKUP(C666,Tabulka5[],3,FALSE)</f>
        <v>Sergeant</v>
      </c>
      <c r="E666" s="1">
        <v>3</v>
      </c>
      <c r="F666" s="1" t="str">
        <f>VLOOKUP(E666,Tabulka5[],3,FALSE)</f>
        <v>Sergeant</v>
      </c>
      <c r="G666" s="1" t="s">
        <v>3115</v>
      </c>
      <c r="H666" s="1" t="s">
        <v>1018</v>
      </c>
      <c r="I666" s="1" t="s">
        <v>426</v>
      </c>
      <c r="J666" s="1" t="s">
        <v>2743</v>
      </c>
      <c r="K666" s="1" t="s">
        <v>2742</v>
      </c>
      <c r="L666" s="1" t="s">
        <v>3170</v>
      </c>
      <c r="M666" s="1">
        <v>4000</v>
      </c>
      <c r="N666" s="1">
        <v>1</v>
      </c>
      <c r="O666" s="1" t="str">
        <f t="shared" si="53"/>
        <v>"Sedan_02_Door_2_2": 1,</v>
      </c>
      <c r="P666" s="1" t="str">
        <f t="shared" si="54"/>
        <v>"Sedan_02_Door_2_2": 70,</v>
      </c>
      <c r="Q666" s="1" t="str">
        <f t="shared" si="55"/>
        <v>"Sedan_02_Door_2_2": 4000,</v>
      </c>
      <c r="R666" s="1" t="str">
        <f t="shared" si="56"/>
        <v>"Sedan_02_Door_2_2": 3,</v>
      </c>
    </row>
    <row r="667" spans="1:18" ht="15" customHeight="1" x14ac:dyDescent="0.25">
      <c r="A667" s="1" t="str">
        <f t="shared" si="57"/>
        <v>#tc_vehicles#tc_parts#tc_doors</v>
      </c>
      <c r="B667" s="1">
        <f>VLOOKUP(A667,TraderCategory!$A$63:$E$556,2,FALSE)</f>
        <v>70</v>
      </c>
      <c r="C667" s="1">
        <f>VLOOKUP(A667,TraderCategory!$A$63:$F$556,6,FALSE)</f>
        <v>3</v>
      </c>
      <c r="D667" s="1" t="str">
        <f>VLOOKUP(C667,Tabulka5[],3,FALSE)</f>
        <v>Sergeant</v>
      </c>
      <c r="E667" s="1">
        <v>3</v>
      </c>
      <c r="F667" s="1" t="str">
        <f>VLOOKUP(E667,Tabulka5[],3,FALSE)</f>
        <v>Sergeant</v>
      </c>
      <c r="G667" s="1" t="s">
        <v>3115</v>
      </c>
      <c r="H667" s="1" t="s">
        <v>1019</v>
      </c>
      <c r="I667" s="1" t="s">
        <v>426</v>
      </c>
      <c r="J667" s="1" t="s">
        <v>2743</v>
      </c>
      <c r="K667" s="1" t="s">
        <v>2742</v>
      </c>
      <c r="L667" s="1" t="s">
        <v>3170</v>
      </c>
      <c r="M667" s="1">
        <v>4000</v>
      </c>
      <c r="N667" s="1">
        <v>1</v>
      </c>
      <c r="O667" s="1" t="str">
        <f t="shared" si="53"/>
        <v>"Sedan_02_Door_2_2_Grey": 1,</v>
      </c>
      <c r="P667" s="1" t="str">
        <f t="shared" si="54"/>
        <v>"Sedan_02_Door_2_2_Grey": 70,</v>
      </c>
      <c r="Q667" s="1" t="str">
        <f t="shared" si="55"/>
        <v>"Sedan_02_Door_2_2_Grey": 4000,</v>
      </c>
      <c r="R667" s="1" t="str">
        <f t="shared" si="56"/>
        <v>"Sedan_02_Door_2_2_Grey": 3,</v>
      </c>
    </row>
    <row r="668" spans="1:18" ht="15" customHeight="1" x14ac:dyDescent="0.25">
      <c r="A668" s="1" t="str">
        <f t="shared" si="57"/>
        <v>#tc_vehicles#tc_parts#tc_doors</v>
      </c>
      <c r="B668" s="1">
        <f>VLOOKUP(A668,TraderCategory!$A$63:$E$556,2,FALSE)</f>
        <v>70</v>
      </c>
      <c r="C668" s="1">
        <f>VLOOKUP(A668,TraderCategory!$A$63:$F$556,6,FALSE)</f>
        <v>3</v>
      </c>
      <c r="D668" s="1" t="str">
        <f>VLOOKUP(C668,Tabulka5[],3,FALSE)</f>
        <v>Sergeant</v>
      </c>
      <c r="E668" s="1">
        <v>3</v>
      </c>
      <c r="F668" s="1" t="str">
        <f>VLOOKUP(E668,Tabulka5[],3,FALSE)</f>
        <v>Sergeant</v>
      </c>
      <c r="G668" s="1" t="s">
        <v>3115</v>
      </c>
      <c r="H668" s="1" t="s">
        <v>1020</v>
      </c>
      <c r="I668" s="1" t="s">
        <v>426</v>
      </c>
      <c r="J668" s="1" t="s">
        <v>2743</v>
      </c>
      <c r="K668" s="1" t="s">
        <v>2742</v>
      </c>
      <c r="L668" s="1" t="s">
        <v>3170</v>
      </c>
      <c r="M668" s="1">
        <v>4000</v>
      </c>
      <c r="N668" s="1">
        <v>1</v>
      </c>
      <c r="O668" s="1" t="str">
        <f t="shared" si="53"/>
        <v>"Sedan_02_Door_2_2_Red": 1,</v>
      </c>
      <c r="P668" s="1" t="str">
        <f t="shared" si="54"/>
        <v>"Sedan_02_Door_2_2_Red": 70,</v>
      </c>
      <c r="Q668" s="1" t="str">
        <f t="shared" si="55"/>
        <v>"Sedan_02_Door_2_2_Red": 4000,</v>
      </c>
      <c r="R668" s="1" t="str">
        <f t="shared" si="56"/>
        <v>"Sedan_02_Door_2_2_Red": 3,</v>
      </c>
    </row>
    <row r="669" spans="1:18" ht="15" customHeight="1" x14ac:dyDescent="0.25">
      <c r="A669" s="1" t="str">
        <f t="shared" si="57"/>
        <v>#tc_vehicles#tc_parts#tc_hood</v>
      </c>
      <c r="B669" s="1">
        <f>VLOOKUP(A669,TraderCategory!$A$63:$E$556,2,FALSE)</f>
        <v>71</v>
      </c>
      <c r="C669" s="1">
        <f>VLOOKUP(A669,TraderCategory!$A$63:$F$556,6,FALSE)</f>
        <v>3</v>
      </c>
      <c r="D669" s="1" t="str">
        <f>VLOOKUP(C669,Tabulka5[],3,FALSE)</f>
        <v>Sergeant</v>
      </c>
      <c r="E669" s="1">
        <v>3</v>
      </c>
      <c r="F669" s="1" t="str">
        <f>VLOOKUP(E669,Tabulka5[],3,FALSE)</f>
        <v>Sergeant</v>
      </c>
      <c r="G669" s="1" t="s">
        <v>3115</v>
      </c>
      <c r="H669" s="1" t="s">
        <v>1022</v>
      </c>
      <c r="I669" s="1" t="s">
        <v>426</v>
      </c>
      <c r="J669" s="1" t="s">
        <v>2743</v>
      </c>
      <c r="K669" s="1" t="s">
        <v>2742</v>
      </c>
      <c r="L669" s="1" t="s">
        <v>3168</v>
      </c>
      <c r="M669" s="1">
        <v>4000</v>
      </c>
      <c r="N669" s="1">
        <v>1</v>
      </c>
      <c r="O669" s="1" t="str">
        <f t="shared" si="53"/>
        <v>"Sedan_02_Hood": 1,</v>
      </c>
      <c r="P669" s="1" t="str">
        <f t="shared" si="54"/>
        <v>"Sedan_02_Hood": 71,</v>
      </c>
      <c r="Q669" s="1" t="str">
        <f t="shared" si="55"/>
        <v>"Sedan_02_Hood": 4000,</v>
      </c>
      <c r="R669" s="1" t="str">
        <f t="shared" si="56"/>
        <v>"Sedan_02_Hood": 3,</v>
      </c>
    </row>
    <row r="670" spans="1:18" ht="15" customHeight="1" x14ac:dyDescent="0.25">
      <c r="A670" s="1" t="str">
        <f t="shared" si="57"/>
        <v>#tc_vehicles#tc_parts#tc_hood</v>
      </c>
      <c r="B670" s="1">
        <f>VLOOKUP(A670,TraderCategory!$A$63:$E$556,2,FALSE)</f>
        <v>71</v>
      </c>
      <c r="C670" s="1">
        <f>VLOOKUP(A670,TraderCategory!$A$63:$F$556,6,FALSE)</f>
        <v>3</v>
      </c>
      <c r="D670" s="1" t="str">
        <f>VLOOKUP(C670,Tabulka5[],3,FALSE)</f>
        <v>Sergeant</v>
      </c>
      <c r="E670" s="1">
        <v>3</v>
      </c>
      <c r="F670" s="1" t="str">
        <f>VLOOKUP(E670,Tabulka5[],3,FALSE)</f>
        <v>Sergeant</v>
      </c>
      <c r="G670" s="1" t="s">
        <v>3115</v>
      </c>
      <c r="H670" s="1" t="s">
        <v>1023</v>
      </c>
      <c r="I670" s="1" t="s">
        <v>426</v>
      </c>
      <c r="J670" s="1" t="s">
        <v>2743</v>
      </c>
      <c r="K670" s="1" t="s">
        <v>2742</v>
      </c>
      <c r="L670" s="1" t="s">
        <v>3168</v>
      </c>
      <c r="M670" s="1">
        <v>4000</v>
      </c>
      <c r="N670" s="1">
        <v>1</v>
      </c>
      <c r="O670" s="1" t="str">
        <f t="shared" si="53"/>
        <v>"Sedan_02_Hood_Grey": 1,</v>
      </c>
      <c r="P670" s="1" t="str">
        <f t="shared" si="54"/>
        <v>"Sedan_02_Hood_Grey": 71,</v>
      </c>
      <c r="Q670" s="1" t="str">
        <f t="shared" si="55"/>
        <v>"Sedan_02_Hood_Grey": 4000,</v>
      </c>
      <c r="R670" s="1" t="str">
        <f t="shared" si="56"/>
        <v>"Sedan_02_Hood_Grey": 3,</v>
      </c>
    </row>
    <row r="671" spans="1:18" ht="15" customHeight="1" x14ac:dyDescent="0.25">
      <c r="A671" s="1" t="str">
        <f t="shared" si="57"/>
        <v>#tc_vehicles#tc_parts#tc_hood</v>
      </c>
      <c r="B671" s="1">
        <f>VLOOKUP(A671,TraderCategory!$A$63:$E$556,2,FALSE)</f>
        <v>71</v>
      </c>
      <c r="C671" s="1">
        <f>VLOOKUP(A671,TraderCategory!$A$63:$F$556,6,FALSE)</f>
        <v>3</v>
      </c>
      <c r="D671" s="1" t="str">
        <f>VLOOKUP(C671,Tabulka5[],3,FALSE)</f>
        <v>Sergeant</v>
      </c>
      <c r="E671" s="1">
        <v>3</v>
      </c>
      <c r="F671" s="1" t="str">
        <f>VLOOKUP(E671,Tabulka5[],3,FALSE)</f>
        <v>Sergeant</v>
      </c>
      <c r="G671" s="1" t="s">
        <v>3115</v>
      </c>
      <c r="H671" s="1" t="s">
        <v>1024</v>
      </c>
      <c r="I671" s="1" t="s">
        <v>426</v>
      </c>
      <c r="J671" s="1" t="s">
        <v>2743</v>
      </c>
      <c r="K671" s="1" t="s">
        <v>2742</v>
      </c>
      <c r="L671" s="1" t="s">
        <v>3168</v>
      </c>
      <c r="M671" s="1">
        <v>4000</v>
      </c>
      <c r="N671" s="1">
        <v>1</v>
      </c>
      <c r="O671" s="1" t="str">
        <f t="shared" si="53"/>
        <v>"Sedan_02_Hood_Red": 1,</v>
      </c>
      <c r="P671" s="1" t="str">
        <f t="shared" si="54"/>
        <v>"Sedan_02_Hood_Red": 71,</v>
      </c>
      <c r="Q671" s="1" t="str">
        <f t="shared" si="55"/>
        <v>"Sedan_02_Hood_Red": 4000,</v>
      </c>
      <c r="R671" s="1" t="str">
        <f t="shared" si="56"/>
        <v>"Sedan_02_Hood_Red": 3,</v>
      </c>
    </row>
    <row r="672" spans="1:18" ht="15" customHeight="1" x14ac:dyDescent="0.25">
      <c r="A672" s="1" t="str">
        <f t="shared" si="57"/>
        <v>#tc_vehicles#tc_parts#tc_trunk</v>
      </c>
      <c r="B672" s="1">
        <f>VLOOKUP(A672,TraderCategory!$A$63:$E$556,2,FALSE)</f>
        <v>72</v>
      </c>
      <c r="C672" s="1">
        <f>VLOOKUP(A672,TraderCategory!$A$63:$F$556,6,FALSE)</f>
        <v>3</v>
      </c>
      <c r="D672" s="1" t="str">
        <f>VLOOKUP(C672,Tabulka5[],3,FALSE)</f>
        <v>Sergeant</v>
      </c>
      <c r="E672" s="1">
        <v>3</v>
      </c>
      <c r="F672" s="1" t="str">
        <f>VLOOKUP(E672,Tabulka5[],3,FALSE)</f>
        <v>Sergeant</v>
      </c>
      <c r="G672" s="1" t="s">
        <v>3115</v>
      </c>
      <c r="H672" s="1" t="s">
        <v>1026</v>
      </c>
      <c r="I672" s="1" t="s">
        <v>426</v>
      </c>
      <c r="J672" s="1" t="s">
        <v>2743</v>
      </c>
      <c r="K672" s="1" t="s">
        <v>2742</v>
      </c>
      <c r="L672" s="1" t="s">
        <v>3169</v>
      </c>
      <c r="M672" s="1">
        <v>4000</v>
      </c>
      <c r="N672" s="1">
        <v>1</v>
      </c>
      <c r="O672" s="1" t="str">
        <f t="shared" si="53"/>
        <v>"Sedan_02_Trunk": 1,</v>
      </c>
      <c r="P672" s="1" t="str">
        <f t="shared" si="54"/>
        <v>"Sedan_02_Trunk": 72,</v>
      </c>
      <c r="Q672" s="1" t="str">
        <f t="shared" si="55"/>
        <v>"Sedan_02_Trunk": 4000,</v>
      </c>
      <c r="R672" s="1" t="str">
        <f t="shared" si="56"/>
        <v>"Sedan_02_Trunk": 3,</v>
      </c>
    </row>
    <row r="673" spans="1:18" ht="15" customHeight="1" x14ac:dyDescent="0.25">
      <c r="A673" s="1" t="str">
        <f t="shared" si="57"/>
        <v>#tc_vehicles#tc_parts#tc_trunk</v>
      </c>
      <c r="B673" s="1">
        <f>VLOOKUP(A673,TraderCategory!$A$63:$E$556,2,FALSE)</f>
        <v>72</v>
      </c>
      <c r="C673" s="1">
        <f>VLOOKUP(A673,TraderCategory!$A$63:$F$556,6,FALSE)</f>
        <v>3</v>
      </c>
      <c r="D673" s="1" t="str">
        <f>VLOOKUP(C673,Tabulka5[],3,FALSE)</f>
        <v>Sergeant</v>
      </c>
      <c r="E673" s="1">
        <v>3</v>
      </c>
      <c r="F673" s="1" t="str">
        <f>VLOOKUP(E673,Tabulka5[],3,FALSE)</f>
        <v>Sergeant</v>
      </c>
      <c r="G673" s="1" t="s">
        <v>3115</v>
      </c>
      <c r="H673" s="1" t="s">
        <v>1027</v>
      </c>
      <c r="I673" s="1" t="s">
        <v>426</v>
      </c>
      <c r="J673" s="1" t="s">
        <v>2743</v>
      </c>
      <c r="K673" s="1" t="s">
        <v>2742</v>
      </c>
      <c r="L673" s="1" t="s">
        <v>3169</v>
      </c>
      <c r="M673" s="1">
        <v>4000</v>
      </c>
      <c r="N673" s="1">
        <v>1</v>
      </c>
      <c r="O673" s="1" t="str">
        <f t="shared" si="53"/>
        <v>"Sedan_02_Trunk_Grey": 1,</v>
      </c>
      <c r="P673" s="1" t="str">
        <f t="shared" si="54"/>
        <v>"Sedan_02_Trunk_Grey": 72,</v>
      </c>
      <c r="Q673" s="1" t="str">
        <f t="shared" si="55"/>
        <v>"Sedan_02_Trunk_Grey": 4000,</v>
      </c>
      <c r="R673" s="1" t="str">
        <f t="shared" si="56"/>
        <v>"Sedan_02_Trunk_Grey": 3,</v>
      </c>
    </row>
    <row r="674" spans="1:18" ht="15" customHeight="1" x14ac:dyDescent="0.25">
      <c r="A674" s="1" t="str">
        <f t="shared" si="57"/>
        <v>#tc_vehicles#tc_parts#tc_trunk</v>
      </c>
      <c r="B674" s="1">
        <f>VLOOKUP(A674,TraderCategory!$A$63:$E$556,2,FALSE)</f>
        <v>72</v>
      </c>
      <c r="C674" s="1">
        <f>VLOOKUP(A674,TraderCategory!$A$63:$F$556,6,FALSE)</f>
        <v>3</v>
      </c>
      <c r="D674" s="1" t="str">
        <f>VLOOKUP(C674,Tabulka5[],3,FALSE)</f>
        <v>Sergeant</v>
      </c>
      <c r="E674" s="1">
        <v>3</v>
      </c>
      <c r="F674" s="1" t="str">
        <f>VLOOKUP(E674,Tabulka5[],3,FALSE)</f>
        <v>Sergeant</v>
      </c>
      <c r="G674" s="1" t="s">
        <v>3115</v>
      </c>
      <c r="H674" s="1" t="s">
        <v>1028</v>
      </c>
      <c r="I674" s="1" t="s">
        <v>426</v>
      </c>
      <c r="J674" s="1" t="s">
        <v>2743</v>
      </c>
      <c r="K674" s="1" t="s">
        <v>2742</v>
      </c>
      <c r="L674" s="1" t="s">
        <v>3169</v>
      </c>
      <c r="M674" s="1">
        <v>4000</v>
      </c>
      <c r="N674" s="1">
        <v>1</v>
      </c>
      <c r="O674" s="1" t="str">
        <f t="shared" si="53"/>
        <v>"Sedan_02_Trunk_Red": 1,</v>
      </c>
      <c r="P674" s="1" t="str">
        <f t="shared" si="54"/>
        <v>"Sedan_02_Trunk_Red": 72,</v>
      </c>
      <c r="Q674" s="1" t="str">
        <f t="shared" si="55"/>
        <v>"Sedan_02_Trunk_Red": 4000,</v>
      </c>
      <c r="R674" s="1" t="str">
        <f t="shared" si="56"/>
        <v>"Sedan_02_Trunk_Red": 3,</v>
      </c>
    </row>
    <row r="675" spans="1:18" ht="15" customHeight="1" x14ac:dyDescent="0.25">
      <c r="A675" s="1" t="str">
        <f t="shared" si="57"/>
        <v>#tc_vehicles#tc_parts#tc_wheels</v>
      </c>
      <c r="B675" s="1">
        <f>VLOOKUP(A675,TraderCategory!$A$63:$E$556,2,FALSE)</f>
        <v>69</v>
      </c>
      <c r="C675" s="1">
        <f>VLOOKUP(A675,TraderCategory!$A$63:$F$556,6,FALSE)</f>
        <v>3</v>
      </c>
      <c r="D675" s="1" t="str">
        <f>VLOOKUP(C675,Tabulka5[],3,FALSE)</f>
        <v>Sergeant</v>
      </c>
      <c r="E675" s="1">
        <v>3</v>
      </c>
      <c r="F675" s="1" t="str">
        <f>VLOOKUP(E675,Tabulka5[],3,FALSE)</f>
        <v>Sergeant</v>
      </c>
      <c r="G675" s="1" t="s">
        <v>3115</v>
      </c>
      <c r="H675" s="1" t="s">
        <v>1029</v>
      </c>
      <c r="I675" s="1" t="s">
        <v>426</v>
      </c>
      <c r="J675" s="1" t="s">
        <v>2743</v>
      </c>
      <c r="K675" s="1" t="s">
        <v>2742</v>
      </c>
      <c r="L675" s="1" t="s">
        <v>3167</v>
      </c>
      <c r="M675" s="1">
        <v>4000</v>
      </c>
      <c r="N675" s="1">
        <v>1</v>
      </c>
      <c r="O675" s="1" t="str">
        <f t="shared" si="53"/>
        <v>"Sedan_02_Wheel": 1,</v>
      </c>
      <c r="P675" s="1" t="str">
        <f t="shared" si="54"/>
        <v>"Sedan_02_Wheel": 69,</v>
      </c>
      <c r="Q675" s="1" t="str">
        <f t="shared" si="55"/>
        <v>"Sedan_02_Wheel": 4000,</v>
      </c>
      <c r="R675" s="1" t="str">
        <f t="shared" si="56"/>
        <v>"Sedan_02_Wheel": 3,</v>
      </c>
    </row>
    <row r="676" spans="1:18" ht="15" customHeight="1" x14ac:dyDescent="0.25">
      <c r="A676" s="1" t="str">
        <f t="shared" si="57"/>
        <v>#tc_groceries#tc_tools#tc_repairs</v>
      </c>
      <c r="B676" s="1">
        <f>VLOOKUP(A676,TraderCategory!$A$63:$E$556,2,FALSE)</f>
        <v>31</v>
      </c>
      <c r="C676" s="1">
        <f>VLOOKUP(A676,TraderCategory!$A$63:$F$556,6,FALSE)</f>
        <v>3</v>
      </c>
      <c r="D676" s="1" t="str">
        <f>VLOOKUP(C676,Tabulka5[],3,FALSE)</f>
        <v>Sergeant</v>
      </c>
      <c r="E676" s="1">
        <v>3</v>
      </c>
      <c r="F676" s="1" t="str">
        <f>VLOOKUP(E676,Tabulka5[],3,FALSE)</f>
        <v>Sergeant</v>
      </c>
      <c r="G676" s="1" t="s">
        <v>3115</v>
      </c>
      <c r="H676" s="1" t="s">
        <v>1030</v>
      </c>
      <c r="I676" s="1" t="s">
        <v>426</v>
      </c>
      <c r="J676" s="1" t="s">
        <v>3127</v>
      </c>
      <c r="K676" s="1" t="s">
        <v>2740</v>
      </c>
      <c r="L676" s="1" t="s">
        <v>3146</v>
      </c>
      <c r="M676" s="1">
        <v>200</v>
      </c>
      <c r="N676" s="1">
        <v>1</v>
      </c>
      <c r="O676" s="1" t="str">
        <f t="shared" si="53"/>
        <v>"SewingKit": 1,</v>
      </c>
      <c r="P676" s="1" t="str">
        <f t="shared" si="54"/>
        <v>"SewingKit": 31,</v>
      </c>
      <c r="Q676" s="1" t="str">
        <f t="shared" si="55"/>
        <v>"SewingKit": 200,</v>
      </c>
      <c r="R676" s="1" t="str">
        <f t="shared" si="56"/>
        <v>"SewingKit": 3,</v>
      </c>
    </row>
    <row r="677" spans="1:18" ht="15" customHeight="1" x14ac:dyDescent="0.25">
      <c r="A677" s="1" t="str">
        <f t="shared" si="57"/>
        <v>#tc_clothes#tc_civil#tc_tops</v>
      </c>
      <c r="B677" s="1">
        <f>VLOOKUP(A677,TraderCategory!$A$63:$E$556,2,FALSE)</f>
        <v>1</v>
      </c>
      <c r="C677" s="1">
        <f>VLOOKUP(A677,TraderCategory!$A$63:$F$556,6,FALSE)</f>
        <v>0</v>
      </c>
      <c r="D677" s="1" t="str">
        <f>VLOOKUP(C677,Tabulka5[],3,FALSE)</f>
        <v>Private</v>
      </c>
      <c r="E677" s="1">
        <v>0</v>
      </c>
      <c r="F677" s="1" t="str">
        <f>VLOOKUP(E677,Tabulka5[],3,FALSE)</f>
        <v>Private</v>
      </c>
      <c r="G677" s="1" t="s">
        <v>3115</v>
      </c>
      <c r="H677" s="1" t="s">
        <v>1033</v>
      </c>
      <c r="I677" s="1" t="s">
        <v>403</v>
      </c>
      <c r="J677" s="1" t="s">
        <v>2728</v>
      </c>
      <c r="K677" s="1" t="s">
        <v>3126</v>
      </c>
      <c r="L677" s="1" t="s">
        <v>3131</v>
      </c>
      <c r="M677" s="1">
        <v>2000</v>
      </c>
      <c r="N677" s="1">
        <v>1</v>
      </c>
      <c r="O677" s="1" t="str">
        <f t="shared" si="53"/>
        <v>"Shirt_BlueCheck": 1,</v>
      </c>
      <c r="P677" s="1" t="str">
        <f t="shared" si="54"/>
        <v>"Shirt_BlueCheck": 1,</v>
      </c>
      <c r="Q677" s="1" t="str">
        <f t="shared" si="55"/>
        <v>"Shirt_BlueCheck": 2000,</v>
      </c>
      <c r="R677" s="1" t="str">
        <f t="shared" si="56"/>
        <v>"Shirt_BlueCheck": 0,</v>
      </c>
    </row>
    <row r="678" spans="1:18" ht="15" customHeight="1" x14ac:dyDescent="0.25">
      <c r="A678" s="1" t="str">
        <f t="shared" si="57"/>
        <v>#tc_clothes#tc_civil#tc_tops</v>
      </c>
      <c r="B678" s="1">
        <f>VLOOKUP(A678,TraderCategory!$A$63:$E$556,2,FALSE)</f>
        <v>1</v>
      </c>
      <c r="C678" s="1">
        <f>VLOOKUP(A678,TraderCategory!$A$63:$F$556,6,FALSE)</f>
        <v>0</v>
      </c>
      <c r="D678" s="1" t="str">
        <f>VLOOKUP(C678,Tabulka5[],3,FALSE)</f>
        <v>Private</v>
      </c>
      <c r="E678" s="1">
        <v>0</v>
      </c>
      <c r="F678" s="1" t="str">
        <f>VLOOKUP(E678,Tabulka5[],3,FALSE)</f>
        <v>Private</v>
      </c>
      <c r="G678" s="1" t="s">
        <v>3115</v>
      </c>
      <c r="H678" s="1" t="s">
        <v>1034</v>
      </c>
      <c r="I678" s="1" t="s">
        <v>403</v>
      </c>
      <c r="J678" s="1" t="s">
        <v>2728</v>
      </c>
      <c r="K678" s="1" t="s">
        <v>3126</v>
      </c>
      <c r="L678" s="1" t="s">
        <v>3131</v>
      </c>
      <c r="M678" s="1">
        <v>2000</v>
      </c>
      <c r="N678" s="1">
        <v>1</v>
      </c>
      <c r="O678" s="1" t="str">
        <f t="shared" si="53"/>
        <v>"Shirt_BlueCheckBright": 1,</v>
      </c>
      <c r="P678" s="1" t="str">
        <f t="shared" si="54"/>
        <v>"Shirt_BlueCheckBright": 1,</v>
      </c>
      <c r="Q678" s="1" t="str">
        <f t="shared" si="55"/>
        <v>"Shirt_BlueCheckBright": 2000,</v>
      </c>
      <c r="R678" s="1" t="str">
        <f t="shared" si="56"/>
        <v>"Shirt_BlueCheckBright": 0,</v>
      </c>
    </row>
    <row r="679" spans="1:18" ht="15" customHeight="1" x14ac:dyDescent="0.25">
      <c r="A679" s="1" t="str">
        <f t="shared" si="57"/>
        <v>#tc_clothes#tc_civil#tc_tops</v>
      </c>
      <c r="B679" s="1">
        <f>VLOOKUP(A679,TraderCategory!$A$63:$E$556,2,FALSE)</f>
        <v>1</v>
      </c>
      <c r="C679" s="1">
        <f>VLOOKUP(A679,TraderCategory!$A$63:$F$556,6,FALSE)</f>
        <v>0</v>
      </c>
      <c r="D679" s="1" t="str">
        <f>VLOOKUP(C679,Tabulka5[],3,FALSE)</f>
        <v>Private</v>
      </c>
      <c r="E679" s="1">
        <v>0</v>
      </c>
      <c r="F679" s="1" t="str">
        <f>VLOOKUP(E679,Tabulka5[],3,FALSE)</f>
        <v>Private</v>
      </c>
      <c r="G679" s="1" t="s">
        <v>3115</v>
      </c>
      <c r="H679" s="1" t="s">
        <v>1035</v>
      </c>
      <c r="I679" s="1" t="s">
        <v>403</v>
      </c>
      <c r="J679" s="1" t="s">
        <v>2728</v>
      </c>
      <c r="K679" s="1" t="s">
        <v>3126</v>
      </c>
      <c r="L679" s="1" t="s">
        <v>3131</v>
      </c>
      <c r="M679" s="1">
        <v>2000</v>
      </c>
      <c r="N679" s="1">
        <v>1</v>
      </c>
      <c r="O679" s="1" t="str">
        <f t="shared" si="53"/>
        <v>"Shirt_GreenCheck": 1,</v>
      </c>
      <c r="P679" s="1" t="str">
        <f t="shared" si="54"/>
        <v>"Shirt_GreenCheck": 1,</v>
      </c>
      <c r="Q679" s="1" t="str">
        <f t="shared" si="55"/>
        <v>"Shirt_GreenCheck": 2000,</v>
      </c>
      <c r="R679" s="1" t="str">
        <f t="shared" si="56"/>
        <v>"Shirt_GreenCheck": 0,</v>
      </c>
    </row>
    <row r="680" spans="1:18" ht="15" customHeight="1" x14ac:dyDescent="0.25">
      <c r="A680" s="1" t="str">
        <f t="shared" si="57"/>
        <v>#tc_clothes#tc_civil#tc_tops</v>
      </c>
      <c r="B680" s="1">
        <f>VLOOKUP(A680,TraderCategory!$A$63:$E$556,2,FALSE)</f>
        <v>1</v>
      </c>
      <c r="C680" s="1">
        <f>VLOOKUP(A680,TraderCategory!$A$63:$F$556,6,FALSE)</f>
        <v>0</v>
      </c>
      <c r="D680" s="1" t="str">
        <f>VLOOKUP(C680,Tabulka5[],3,FALSE)</f>
        <v>Private</v>
      </c>
      <c r="E680" s="1">
        <v>0</v>
      </c>
      <c r="F680" s="1" t="str">
        <f>VLOOKUP(E680,Tabulka5[],3,FALSE)</f>
        <v>Private</v>
      </c>
      <c r="G680" s="1" t="s">
        <v>3115</v>
      </c>
      <c r="H680" s="1" t="s">
        <v>1036</v>
      </c>
      <c r="I680" s="1" t="s">
        <v>403</v>
      </c>
      <c r="J680" s="1" t="s">
        <v>2728</v>
      </c>
      <c r="K680" s="1" t="s">
        <v>3126</v>
      </c>
      <c r="L680" s="1" t="s">
        <v>3131</v>
      </c>
      <c r="M680" s="1">
        <v>2000</v>
      </c>
      <c r="N680" s="1">
        <v>1</v>
      </c>
      <c r="O680" s="1" t="str">
        <f t="shared" si="53"/>
        <v>"Shirt_PlaneBlack": 1,</v>
      </c>
      <c r="P680" s="1" t="str">
        <f t="shared" si="54"/>
        <v>"Shirt_PlaneBlack": 1,</v>
      </c>
      <c r="Q680" s="1" t="str">
        <f t="shared" si="55"/>
        <v>"Shirt_PlaneBlack": 2000,</v>
      </c>
      <c r="R680" s="1" t="str">
        <f t="shared" si="56"/>
        <v>"Shirt_PlaneBlack": 0,</v>
      </c>
    </row>
    <row r="681" spans="1:18" ht="15" customHeight="1" x14ac:dyDescent="0.25">
      <c r="A681" s="1" t="str">
        <f t="shared" si="57"/>
        <v>#tc_clothes#tc_civil#tc_tops</v>
      </c>
      <c r="B681" s="1">
        <f>VLOOKUP(A681,TraderCategory!$A$63:$E$556,2,FALSE)</f>
        <v>1</v>
      </c>
      <c r="C681" s="1">
        <f>VLOOKUP(A681,TraderCategory!$A$63:$F$556,6,FALSE)</f>
        <v>0</v>
      </c>
      <c r="D681" s="1" t="str">
        <f>VLOOKUP(C681,Tabulka5[],3,FALSE)</f>
        <v>Private</v>
      </c>
      <c r="E681" s="1">
        <v>0</v>
      </c>
      <c r="F681" s="1" t="str">
        <f>VLOOKUP(E681,Tabulka5[],3,FALSE)</f>
        <v>Private</v>
      </c>
      <c r="G681" s="1" t="s">
        <v>3115</v>
      </c>
      <c r="H681" s="1" t="s">
        <v>1037</v>
      </c>
      <c r="I681" s="1" t="s">
        <v>403</v>
      </c>
      <c r="J681" s="1" t="s">
        <v>2728</v>
      </c>
      <c r="K681" s="1" t="s">
        <v>3126</v>
      </c>
      <c r="L681" s="1" t="s">
        <v>3131</v>
      </c>
      <c r="M681" s="1">
        <v>2000</v>
      </c>
      <c r="N681" s="1">
        <v>1</v>
      </c>
      <c r="O681" s="1" t="str">
        <f t="shared" si="53"/>
        <v>"Shirt_RedCheck": 1,</v>
      </c>
      <c r="P681" s="1" t="str">
        <f t="shared" si="54"/>
        <v>"Shirt_RedCheck": 1,</v>
      </c>
      <c r="Q681" s="1" t="str">
        <f t="shared" si="55"/>
        <v>"Shirt_RedCheck": 2000,</v>
      </c>
      <c r="R681" s="1" t="str">
        <f t="shared" si="56"/>
        <v>"Shirt_RedCheck": 0,</v>
      </c>
    </row>
    <row r="682" spans="1:18" ht="15" customHeight="1" x14ac:dyDescent="0.25">
      <c r="A682" s="1" t="str">
        <f t="shared" si="57"/>
        <v>#tc_clothes#tc_civil#tc_tops</v>
      </c>
      <c r="B682" s="1">
        <f>VLOOKUP(A682,TraderCategory!$A$63:$E$556,2,FALSE)</f>
        <v>1</v>
      </c>
      <c r="C682" s="1">
        <f>VLOOKUP(A682,TraderCategory!$A$63:$F$556,6,FALSE)</f>
        <v>0</v>
      </c>
      <c r="D682" s="1" t="str">
        <f>VLOOKUP(C682,Tabulka5[],3,FALSE)</f>
        <v>Private</v>
      </c>
      <c r="E682" s="1">
        <v>0</v>
      </c>
      <c r="F682" s="1" t="str">
        <f>VLOOKUP(E682,Tabulka5[],3,FALSE)</f>
        <v>Private</v>
      </c>
      <c r="G682" s="1" t="s">
        <v>3115</v>
      </c>
      <c r="H682" s="1" t="s">
        <v>1038</v>
      </c>
      <c r="I682" s="1" t="s">
        <v>403</v>
      </c>
      <c r="J682" s="1" t="s">
        <v>2728</v>
      </c>
      <c r="K682" s="1" t="s">
        <v>3126</v>
      </c>
      <c r="L682" s="1" t="s">
        <v>3131</v>
      </c>
      <c r="M682" s="1">
        <v>2000</v>
      </c>
      <c r="N682" s="1">
        <v>1</v>
      </c>
      <c r="O682" s="1" t="str">
        <f t="shared" si="53"/>
        <v>"Shirt_WhiteCheck": 1,</v>
      </c>
      <c r="P682" s="1" t="str">
        <f t="shared" si="54"/>
        <v>"Shirt_WhiteCheck": 1,</v>
      </c>
      <c r="Q682" s="1" t="str">
        <f t="shared" si="55"/>
        <v>"Shirt_WhiteCheck": 2000,</v>
      </c>
      <c r="R682" s="1" t="str">
        <f t="shared" si="56"/>
        <v>"Shirt_WhiteCheck": 0,</v>
      </c>
    </row>
    <row r="683" spans="1:18" ht="15" customHeight="1" x14ac:dyDescent="0.25">
      <c r="A683" s="1" t="str">
        <f t="shared" si="57"/>
        <v>#tc_clothes#tc_civil#tc_pants</v>
      </c>
      <c r="B683" s="1">
        <f>VLOOKUP(A683,TraderCategory!$A$63:$E$556,2,FALSE)</f>
        <v>4</v>
      </c>
      <c r="C683" s="1">
        <f>VLOOKUP(A683,TraderCategory!$A$63:$F$556,6,FALSE)</f>
        <v>0</v>
      </c>
      <c r="D683" s="1" t="str">
        <f>VLOOKUP(C683,Tabulka5[],3,FALSE)</f>
        <v>Private</v>
      </c>
      <c r="E683" s="1">
        <v>0</v>
      </c>
      <c r="F683" s="1" t="str">
        <f>VLOOKUP(E683,Tabulka5[],3,FALSE)</f>
        <v>Private</v>
      </c>
      <c r="G683" s="1" t="s">
        <v>3115</v>
      </c>
      <c r="H683" s="1" t="s">
        <v>1039</v>
      </c>
      <c r="I683" s="1" t="s">
        <v>403</v>
      </c>
      <c r="J683" s="1" t="s">
        <v>2728</v>
      </c>
      <c r="K683" s="1" t="s">
        <v>3126</v>
      </c>
      <c r="L683" s="1" t="s">
        <v>3133</v>
      </c>
      <c r="M683" s="1">
        <v>1200</v>
      </c>
      <c r="N683" s="1">
        <v>1</v>
      </c>
      <c r="O683" s="1" t="str">
        <f t="shared" si="53"/>
        <v>"ShortJeans_Black": 1,</v>
      </c>
      <c r="P683" s="1" t="str">
        <f t="shared" si="54"/>
        <v>"ShortJeans_Black": 4,</v>
      </c>
      <c r="Q683" s="1" t="str">
        <f t="shared" si="55"/>
        <v>"ShortJeans_Black": 1200,</v>
      </c>
      <c r="R683" s="1" t="str">
        <f t="shared" si="56"/>
        <v>"ShortJeans_Black": 0,</v>
      </c>
    </row>
    <row r="684" spans="1:18" ht="15" customHeight="1" x14ac:dyDescent="0.25">
      <c r="A684" s="1" t="str">
        <f t="shared" si="57"/>
        <v>#tc_clothes#tc_civil#tc_pants</v>
      </c>
      <c r="B684" s="1">
        <f>VLOOKUP(A684,TraderCategory!$A$63:$E$556,2,FALSE)</f>
        <v>4</v>
      </c>
      <c r="C684" s="1">
        <f>VLOOKUP(A684,TraderCategory!$A$63:$F$556,6,FALSE)</f>
        <v>0</v>
      </c>
      <c r="D684" s="1" t="str">
        <f>VLOOKUP(C684,Tabulka5[],3,FALSE)</f>
        <v>Private</v>
      </c>
      <c r="E684" s="1">
        <v>0</v>
      </c>
      <c r="F684" s="1" t="str">
        <f>VLOOKUP(E684,Tabulka5[],3,FALSE)</f>
        <v>Private</v>
      </c>
      <c r="G684" s="1" t="s">
        <v>3115</v>
      </c>
      <c r="H684" s="1" t="s">
        <v>1040</v>
      </c>
      <c r="I684" s="1" t="s">
        <v>403</v>
      </c>
      <c r="J684" s="1" t="s">
        <v>2728</v>
      </c>
      <c r="K684" s="1" t="s">
        <v>3126</v>
      </c>
      <c r="L684" s="1" t="s">
        <v>3133</v>
      </c>
      <c r="M684" s="1">
        <v>1200</v>
      </c>
      <c r="N684" s="1">
        <v>1</v>
      </c>
      <c r="O684" s="1" t="str">
        <f t="shared" si="53"/>
        <v>"ShortJeans_Blue": 1,</v>
      </c>
      <c r="P684" s="1" t="str">
        <f t="shared" si="54"/>
        <v>"ShortJeans_Blue": 4,</v>
      </c>
      <c r="Q684" s="1" t="str">
        <f t="shared" si="55"/>
        <v>"ShortJeans_Blue": 1200,</v>
      </c>
      <c r="R684" s="1" t="str">
        <f t="shared" si="56"/>
        <v>"ShortJeans_Blue": 0,</v>
      </c>
    </row>
    <row r="685" spans="1:18" ht="15" customHeight="1" x14ac:dyDescent="0.25">
      <c r="A685" s="1" t="str">
        <f t="shared" si="57"/>
        <v>#tc_clothes#tc_civil#tc_pants</v>
      </c>
      <c r="B685" s="1">
        <f>VLOOKUP(A685,TraderCategory!$A$63:$E$556,2,FALSE)</f>
        <v>4</v>
      </c>
      <c r="C685" s="1">
        <f>VLOOKUP(A685,TraderCategory!$A$63:$F$556,6,FALSE)</f>
        <v>0</v>
      </c>
      <c r="D685" s="1" t="str">
        <f>VLOOKUP(C685,Tabulka5[],3,FALSE)</f>
        <v>Private</v>
      </c>
      <c r="E685" s="1">
        <v>0</v>
      </c>
      <c r="F685" s="1" t="str">
        <f>VLOOKUP(E685,Tabulka5[],3,FALSE)</f>
        <v>Private</v>
      </c>
      <c r="G685" s="1" t="s">
        <v>3115</v>
      </c>
      <c r="H685" s="1" t="s">
        <v>1041</v>
      </c>
      <c r="I685" s="1" t="s">
        <v>403</v>
      </c>
      <c r="J685" s="1" t="s">
        <v>2728</v>
      </c>
      <c r="K685" s="1" t="s">
        <v>3126</v>
      </c>
      <c r="L685" s="1" t="s">
        <v>3133</v>
      </c>
      <c r="M685" s="1">
        <v>1200</v>
      </c>
      <c r="N685" s="1">
        <v>1</v>
      </c>
      <c r="O685" s="1" t="str">
        <f t="shared" si="53"/>
        <v>"ShortJeans_Brown": 1,</v>
      </c>
      <c r="P685" s="1" t="str">
        <f t="shared" si="54"/>
        <v>"ShortJeans_Brown": 4,</v>
      </c>
      <c r="Q685" s="1" t="str">
        <f t="shared" si="55"/>
        <v>"ShortJeans_Brown": 1200,</v>
      </c>
      <c r="R685" s="1" t="str">
        <f t="shared" si="56"/>
        <v>"ShortJeans_Brown": 0,</v>
      </c>
    </row>
    <row r="686" spans="1:18" ht="15" customHeight="1" x14ac:dyDescent="0.25">
      <c r="A686" s="1" t="str">
        <f t="shared" si="57"/>
        <v>#tc_clothes#tc_civil#tc_pants</v>
      </c>
      <c r="B686" s="1">
        <f>VLOOKUP(A686,TraderCategory!$A$63:$E$556,2,FALSE)</f>
        <v>4</v>
      </c>
      <c r="C686" s="1">
        <f>VLOOKUP(A686,TraderCategory!$A$63:$F$556,6,FALSE)</f>
        <v>0</v>
      </c>
      <c r="D686" s="1" t="str">
        <f>VLOOKUP(C686,Tabulka5[],3,FALSE)</f>
        <v>Private</v>
      </c>
      <c r="E686" s="1">
        <v>0</v>
      </c>
      <c r="F686" s="1" t="str">
        <f>VLOOKUP(E686,Tabulka5[],3,FALSE)</f>
        <v>Private</v>
      </c>
      <c r="G686" s="1" t="s">
        <v>3115</v>
      </c>
      <c r="H686" s="1" t="s">
        <v>1042</v>
      </c>
      <c r="I686" s="1" t="s">
        <v>403</v>
      </c>
      <c r="J686" s="1" t="s">
        <v>2728</v>
      </c>
      <c r="K686" s="1" t="s">
        <v>3126</v>
      </c>
      <c r="L686" s="1" t="s">
        <v>3133</v>
      </c>
      <c r="M686" s="1">
        <v>1200</v>
      </c>
      <c r="N686" s="1">
        <v>1</v>
      </c>
      <c r="O686" s="1" t="str">
        <f t="shared" si="53"/>
        <v>"ShortJeans_Darkblue": 1,</v>
      </c>
      <c r="P686" s="1" t="str">
        <f t="shared" si="54"/>
        <v>"ShortJeans_Darkblue": 4,</v>
      </c>
      <c r="Q686" s="1" t="str">
        <f t="shared" si="55"/>
        <v>"ShortJeans_Darkblue": 1200,</v>
      </c>
      <c r="R686" s="1" t="str">
        <f t="shared" si="56"/>
        <v>"ShortJeans_Darkblue": 0,</v>
      </c>
    </row>
    <row r="687" spans="1:18" ht="15" customHeight="1" x14ac:dyDescent="0.25">
      <c r="A687" s="1" t="str">
        <f t="shared" si="57"/>
        <v>#tc_clothes#tc_civil#tc_pants</v>
      </c>
      <c r="B687" s="1">
        <f>VLOOKUP(A687,TraderCategory!$A$63:$E$556,2,FALSE)</f>
        <v>4</v>
      </c>
      <c r="C687" s="1">
        <f>VLOOKUP(A687,TraderCategory!$A$63:$F$556,6,FALSE)</f>
        <v>0</v>
      </c>
      <c r="D687" s="1" t="str">
        <f>VLOOKUP(C687,Tabulka5[],3,FALSE)</f>
        <v>Private</v>
      </c>
      <c r="E687" s="1">
        <v>0</v>
      </c>
      <c r="F687" s="1" t="str">
        <f>VLOOKUP(E687,Tabulka5[],3,FALSE)</f>
        <v>Private</v>
      </c>
      <c r="G687" s="1" t="s">
        <v>3115</v>
      </c>
      <c r="H687" s="1" t="s">
        <v>1043</v>
      </c>
      <c r="I687" s="1" t="s">
        <v>403</v>
      </c>
      <c r="J687" s="1" t="s">
        <v>2728</v>
      </c>
      <c r="K687" s="1" t="s">
        <v>3126</v>
      </c>
      <c r="L687" s="1" t="s">
        <v>3133</v>
      </c>
      <c r="M687" s="1">
        <v>1200</v>
      </c>
      <c r="N687" s="1">
        <v>1</v>
      </c>
      <c r="O687" s="1" t="str">
        <f t="shared" si="53"/>
        <v>"ShortJeans_Green": 1,</v>
      </c>
      <c r="P687" s="1" t="str">
        <f t="shared" si="54"/>
        <v>"ShortJeans_Green": 4,</v>
      </c>
      <c r="Q687" s="1" t="str">
        <f t="shared" si="55"/>
        <v>"ShortJeans_Green": 1200,</v>
      </c>
      <c r="R687" s="1" t="str">
        <f t="shared" si="56"/>
        <v>"ShortJeans_Green": 0,</v>
      </c>
    </row>
    <row r="688" spans="1:18" ht="15" customHeight="1" x14ac:dyDescent="0.25">
      <c r="A688" s="1" t="str">
        <f t="shared" si="57"/>
        <v>#tc_clothes#tc_civil#tc_pants</v>
      </c>
      <c r="B688" s="1">
        <f>VLOOKUP(A688,TraderCategory!$A$63:$E$556,2,FALSE)</f>
        <v>4</v>
      </c>
      <c r="C688" s="1">
        <f>VLOOKUP(A688,TraderCategory!$A$63:$F$556,6,FALSE)</f>
        <v>0</v>
      </c>
      <c r="D688" s="1" t="str">
        <f>VLOOKUP(C688,Tabulka5[],3,FALSE)</f>
        <v>Private</v>
      </c>
      <c r="E688" s="1">
        <v>0</v>
      </c>
      <c r="F688" s="1" t="str">
        <f>VLOOKUP(E688,Tabulka5[],3,FALSE)</f>
        <v>Private</v>
      </c>
      <c r="G688" s="1" t="s">
        <v>3115</v>
      </c>
      <c r="H688" s="1" t="s">
        <v>1044</v>
      </c>
      <c r="I688" s="1" t="s">
        <v>403</v>
      </c>
      <c r="J688" s="1" t="s">
        <v>2728</v>
      </c>
      <c r="K688" s="1" t="s">
        <v>3126</v>
      </c>
      <c r="L688" s="1" t="s">
        <v>3133</v>
      </c>
      <c r="M688" s="1">
        <v>1200</v>
      </c>
      <c r="N688" s="1">
        <v>1</v>
      </c>
      <c r="O688" s="1" t="str">
        <f t="shared" si="53"/>
        <v>"ShortJeans_Red": 1,</v>
      </c>
      <c r="P688" s="1" t="str">
        <f t="shared" si="54"/>
        <v>"ShortJeans_Red": 4,</v>
      </c>
      <c r="Q688" s="1" t="str">
        <f t="shared" si="55"/>
        <v>"ShortJeans_Red": 1200,</v>
      </c>
      <c r="R688" s="1" t="str">
        <f t="shared" si="56"/>
        <v>"ShortJeans_Red": 0,</v>
      </c>
    </row>
    <row r="689" spans="1:18" ht="15" customHeight="1" x14ac:dyDescent="0.25">
      <c r="A689" s="1" t="str">
        <f t="shared" si="57"/>
        <v>#tc_groceries#tc_tools#tc_tools</v>
      </c>
      <c r="B689" s="1">
        <f>VLOOKUP(A689,TraderCategory!$A$63:$E$556,2,FALSE)</f>
        <v>30</v>
      </c>
      <c r="C689" s="1">
        <f>VLOOKUP(A689,TraderCategory!$A$63:$F$556,6,FALSE)</f>
        <v>0</v>
      </c>
      <c r="D689" s="1" t="str">
        <f>VLOOKUP(C689,Tabulka5[],3,FALSE)</f>
        <v>Private</v>
      </c>
      <c r="E689" s="1">
        <v>0</v>
      </c>
      <c r="F689" s="1" t="str">
        <f>VLOOKUP(E689,Tabulka5[],3,FALSE)</f>
        <v>Private</v>
      </c>
      <c r="G689" s="1" t="s">
        <v>3115</v>
      </c>
      <c r="H689" s="1" t="s">
        <v>1045</v>
      </c>
      <c r="I689" s="1" t="s">
        <v>426</v>
      </c>
      <c r="J689" s="1" t="s">
        <v>3127</v>
      </c>
      <c r="K689" s="1" t="s">
        <v>2740</v>
      </c>
      <c r="L689" s="1" t="s">
        <v>2740</v>
      </c>
      <c r="M689" s="1">
        <v>1200</v>
      </c>
      <c r="N689" s="1">
        <v>1</v>
      </c>
      <c r="O689" s="1" t="str">
        <f t="shared" si="53"/>
        <v>"Shovel": 1,</v>
      </c>
      <c r="P689" s="1" t="str">
        <f t="shared" si="54"/>
        <v>"Shovel": 30,</v>
      </c>
      <c r="Q689" s="1" t="str">
        <f t="shared" si="55"/>
        <v>"Shovel": 1200,</v>
      </c>
      <c r="R689" s="1" t="str">
        <f t="shared" si="56"/>
        <v>"Shovel": 0,</v>
      </c>
    </row>
    <row r="690" spans="1:18" ht="15" customHeight="1" x14ac:dyDescent="0.25">
      <c r="A690" s="1" t="str">
        <f t="shared" si="57"/>
        <v>#tc_clothes#tc_civil#tc_head</v>
      </c>
      <c r="B690" s="1">
        <f>VLOOKUP(A690,TraderCategory!$A$63:$E$556,2,FALSE)</f>
        <v>0</v>
      </c>
      <c r="C690" s="1">
        <f>VLOOKUP(A690,TraderCategory!$A$63:$F$556,6,FALSE)</f>
        <v>0</v>
      </c>
      <c r="D690" s="1" t="str">
        <f>VLOOKUP(C690,Tabulka5[],3,FALSE)</f>
        <v>Private</v>
      </c>
      <c r="E690" s="1">
        <v>0</v>
      </c>
      <c r="F690" s="1" t="str">
        <f>VLOOKUP(E690,Tabulka5[],3,FALSE)</f>
        <v>Private</v>
      </c>
      <c r="G690" s="1" t="s">
        <v>3115</v>
      </c>
      <c r="H690" s="1" t="s">
        <v>1046</v>
      </c>
      <c r="I690" s="1" t="s">
        <v>403</v>
      </c>
      <c r="J690" s="1" t="s">
        <v>2728</v>
      </c>
      <c r="K690" s="1" t="s">
        <v>3126</v>
      </c>
      <c r="L690" s="1" t="s">
        <v>3130</v>
      </c>
      <c r="M690" s="1">
        <v>600</v>
      </c>
      <c r="N690" s="1">
        <v>1</v>
      </c>
      <c r="O690" s="1" t="str">
        <f t="shared" si="53"/>
        <v>"SkateHelmet_Black": 1,</v>
      </c>
      <c r="P690" s="1" t="str">
        <f t="shared" si="54"/>
        <v>"SkateHelmet_Black": 0,</v>
      </c>
      <c r="Q690" s="1" t="str">
        <f t="shared" si="55"/>
        <v>"SkateHelmet_Black": 600,</v>
      </c>
      <c r="R690" s="1" t="str">
        <f t="shared" si="56"/>
        <v>"SkateHelmet_Black": 0,</v>
      </c>
    </row>
    <row r="691" spans="1:18" ht="15" customHeight="1" x14ac:dyDescent="0.25">
      <c r="A691" s="1" t="str">
        <f t="shared" si="57"/>
        <v>#tc_clothes#tc_civil#tc_head</v>
      </c>
      <c r="B691" s="1">
        <f>VLOOKUP(A691,TraderCategory!$A$63:$E$556,2,FALSE)</f>
        <v>0</v>
      </c>
      <c r="C691" s="1">
        <f>VLOOKUP(A691,TraderCategory!$A$63:$F$556,6,FALSE)</f>
        <v>0</v>
      </c>
      <c r="D691" s="1" t="str">
        <f>VLOOKUP(C691,Tabulka5[],3,FALSE)</f>
        <v>Private</v>
      </c>
      <c r="E691" s="1">
        <v>0</v>
      </c>
      <c r="F691" s="1" t="str">
        <f>VLOOKUP(E691,Tabulka5[],3,FALSE)</f>
        <v>Private</v>
      </c>
      <c r="G691" s="1" t="s">
        <v>3115</v>
      </c>
      <c r="H691" s="1" t="s">
        <v>1047</v>
      </c>
      <c r="I691" s="1" t="s">
        <v>403</v>
      </c>
      <c r="J691" s="1" t="s">
        <v>2728</v>
      </c>
      <c r="K691" s="1" t="s">
        <v>3126</v>
      </c>
      <c r="L691" s="1" t="s">
        <v>3130</v>
      </c>
      <c r="M691" s="1">
        <v>600</v>
      </c>
      <c r="N691" s="1">
        <v>1</v>
      </c>
      <c r="O691" s="1" t="str">
        <f t="shared" si="53"/>
        <v>"SkateHelmet_Blue": 1,</v>
      </c>
      <c r="P691" s="1" t="str">
        <f t="shared" si="54"/>
        <v>"SkateHelmet_Blue": 0,</v>
      </c>
      <c r="Q691" s="1" t="str">
        <f t="shared" si="55"/>
        <v>"SkateHelmet_Blue": 600,</v>
      </c>
      <c r="R691" s="1" t="str">
        <f t="shared" si="56"/>
        <v>"SkateHelmet_Blue": 0,</v>
      </c>
    </row>
    <row r="692" spans="1:18" ht="15" customHeight="1" x14ac:dyDescent="0.25">
      <c r="A692" s="1" t="str">
        <f t="shared" si="57"/>
        <v>#tc_clothes#tc_civil#tc_head</v>
      </c>
      <c r="B692" s="1">
        <f>VLOOKUP(A692,TraderCategory!$A$63:$E$556,2,FALSE)</f>
        <v>0</v>
      </c>
      <c r="C692" s="1">
        <f>VLOOKUP(A692,TraderCategory!$A$63:$F$556,6,FALSE)</f>
        <v>0</v>
      </c>
      <c r="D692" s="1" t="str">
        <f>VLOOKUP(C692,Tabulka5[],3,FALSE)</f>
        <v>Private</v>
      </c>
      <c r="E692" s="1">
        <v>0</v>
      </c>
      <c r="F692" s="1" t="str">
        <f>VLOOKUP(E692,Tabulka5[],3,FALSE)</f>
        <v>Private</v>
      </c>
      <c r="G692" s="1" t="s">
        <v>3115</v>
      </c>
      <c r="H692" s="1" t="s">
        <v>1048</v>
      </c>
      <c r="I692" s="1" t="s">
        <v>403</v>
      </c>
      <c r="J692" s="1" t="s">
        <v>2728</v>
      </c>
      <c r="K692" s="1" t="s">
        <v>3126</v>
      </c>
      <c r="L692" s="1" t="s">
        <v>3130</v>
      </c>
      <c r="M692" s="1">
        <v>600</v>
      </c>
      <c r="N692" s="1">
        <v>1</v>
      </c>
      <c r="O692" s="1" t="str">
        <f t="shared" si="53"/>
        <v>"SkateHelmet_Gray": 1,</v>
      </c>
      <c r="P692" s="1" t="str">
        <f t="shared" si="54"/>
        <v>"SkateHelmet_Gray": 0,</v>
      </c>
      <c r="Q692" s="1" t="str">
        <f t="shared" si="55"/>
        <v>"SkateHelmet_Gray": 600,</v>
      </c>
      <c r="R692" s="1" t="str">
        <f t="shared" si="56"/>
        <v>"SkateHelmet_Gray": 0,</v>
      </c>
    </row>
    <row r="693" spans="1:18" ht="15" customHeight="1" x14ac:dyDescent="0.25">
      <c r="A693" s="1" t="str">
        <f t="shared" si="57"/>
        <v>#tc_clothes#tc_civil#tc_head</v>
      </c>
      <c r="B693" s="1">
        <f>VLOOKUP(A693,TraderCategory!$A$63:$E$556,2,FALSE)</f>
        <v>0</v>
      </c>
      <c r="C693" s="1">
        <f>VLOOKUP(A693,TraderCategory!$A$63:$F$556,6,FALSE)</f>
        <v>0</v>
      </c>
      <c r="D693" s="1" t="str">
        <f>VLOOKUP(C693,Tabulka5[],3,FALSE)</f>
        <v>Private</v>
      </c>
      <c r="E693" s="1">
        <v>0</v>
      </c>
      <c r="F693" s="1" t="str">
        <f>VLOOKUP(E693,Tabulka5[],3,FALSE)</f>
        <v>Private</v>
      </c>
      <c r="G693" s="1" t="s">
        <v>3115</v>
      </c>
      <c r="H693" s="1" t="s">
        <v>1049</v>
      </c>
      <c r="I693" s="1" t="s">
        <v>403</v>
      </c>
      <c r="J693" s="1" t="s">
        <v>2728</v>
      </c>
      <c r="K693" s="1" t="s">
        <v>3126</v>
      </c>
      <c r="L693" s="1" t="s">
        <v>3130</v>
      </c>
      <c r="M693" s="1">
        <v>600</v>
      </c>
      <c r="N693" s="1">
        <v>1</v>
      </c>
      <c r="O693" s="1" t="str">
        <f t="shared" si="53"/>
        <v>"SkateHelmet_Green": 1,</v>
      </c>
      <c r="P693" s="1" t="str">
        <f t="shared" si="54"/>
        <v>"SkateHelmet_Green": 0,</v>
      </c>
      <c r="Q693" s="1" t="str">
        <f t="shared" si="55"/>
        <v>"SkateHelmet_Green": 600,</v>
      </c>
      <c r="R693" s="1" t="str">
        <f t="shared" si="56"/>
        <v>"SkateHelmet_Green": 0,</v>
      </c>
    </row>
    <row r="694" spans="1:18" ht="15" customHeight="1" x14ac:dyDescent="0.25">
      <c r="A694" s="1" t="str">
        <f t="shared" si="57"/>
        <v>#tc_clothes#tc_civil#tc_head</v>
      </c>
      <c r="B694" s="1">
        <f>VLOOKUP(A694,TraderCategory!$A$63:$E$556,2,FALSE)</f>
        <v>0</v>
      </c>
      <c r="C694" s="1">
        <f>VLOOKUP(A694,TraderCategory!$A$63:$F$556,6,FALSE)</f>
        <v>0</v>
      </c>
      <c r="D694" s="1" t="str">
        <f>VLOOKUP(C694,Tabulka5[],3,FALSE)</f>
        <v>Private</v>
      </c>
      <c r="E694" s="1">
        <v>0</v>
      </c>
      <c r="F694" s="1" t="str">
        <f>VLOOKUP(E694,Tabulka5[],3,FALSE)</f>
        <v>Private</v>
      </c>
      <c r="G694" s="1" t="s">
        <v>3115</v>
      </c>
      <c r="H694" s="1" t="s">
        <v>1050</v>
      </c>
      <c r="I694" s="1" t="s">
        <v>403</v>
      </c>
      <c r="J694" s="1" t="s">
        <v>2728</v>
      </c>
      <c r="K694" s="1" t="s">
        <v>3126</v>
      </c>
      <c r="L694" s="1" t="s">
        <v>3130</v>
      </c>
      <c r="M694" s="1">
        <v>600</v>
      </c>
      <c r="N694" s="1">
        <v>1</v>
      </c>
      <c r="O694" s="1" t="str">
        <f t="shared" si="53"/>
        <v>"SkateHelmet_Red": 1,</v>
      </c>
      <c r="P694" s="1" t="str">
        <f t="shared" si="54"/>
        <v>"SkateHelmet_Red": 0,</v>
      </c>
      <c r="Q694" s="1" t="str">
        <f t="shared" si="55"/>
        <v>"SkateHelmet_Red": 600,</v>
      </c>
      <c r="R694" s="1" t="str">
        <f t="shared" si="56"/>
        <v>"SkateHelmet_Red": 0,</v>
      </c>
    </row>
    <row r="695" spans="1:18" ht="15" customHeight="1" x14ac:dyDescent="0.25">
      <c r="A695" s="1" t="str">
        <f t="shared" si="57"/>
        <v>#tc_clothes#tc_civil#tc_pants</v>
      </c>
      <c r="B695" s="1">
        <f>VLOOKUP(A695,TraderCategory!$A$63:$E$556,2,FALSE)</f>
        <v>4</v>
      </c>
      <c r="C695" s="1">
        <f>VLOOKUP(A695,TraderCategory!$A$63:$F$556,6,FALSE)</f>
        <v>0</v>
      </c>
      <c r="D695" s="1" t="str">
        <f>VLOOKUP(C695,Tabulka5[],3,FALSE)</f>
        <v>Private</v>
      </c>
      <c r="E695" s="1">
        <v>0</v>
      </c>
      <c r="F695" s="1" t="str">
        <f>VLOOKUP(E695,Tabulka5[],3,FALSE)</f>
        <v>Private</v>
      </c>
      <c r="G695" s="1" t="s">
        <v>3115</v>
      </c>
      <c r="H695" s="1" t="s">
        <v>1051</v>
      </c>
      <c r="I695" s="1" t="s">
        <v>403</v>
      </c>
      <c r="J695" s="1" t="s">
        <v>2728</v>
      </c>
      <c r="K695" s="1" t="s">
        <v>3126</v>
      </c>
      <c r="L695" s="1" t="s">
        <v>3133</v>
      </c>
      <c r="M695" s="1">
        <v>1200</v>
      </c>
      <c r="N695" s="1">
        <v>1</v>
      </c>
      <c r="O695" s="1" t="str">
        <f t="shared" si="53"/>
        <v>"Skirt_Blue": 1,</v>
      </c>
      <c r="P695" s="1" t="str">
        <f t="shared" si="54"/>
        <v>"Skirt_Blue": 4,</v>
      </c>
      <c r="Q695" s="1" t="str">
        <f t="shared" si="55"/>
        <v>"Skirt_Blue": 1200,</v>
      </c>
      <c r="R695" s="1" t="str">
        <f t="shared" si="56"/>
        <v>"Skirt_Blue": 0,</v>
      </c>
    </row>
    <row r="696" spans="1:18" ht="15" customHeight="1" x14ac:dyDescent="0.25">
      <c r="A696" s="1" t="str">
        <f t="shared" si="57"/>
        <v>#tc_clothes#tc_civil#tc_pants</v>
      </c>
      <c r="B696" s="1">
        <f>VLOOKUP(A696,TraderCategory!$A$63:$E$556,2,FALSE)</f>
        <v>4</v>
      </c>
      <c r="C696" s="1">
        <f>VLOOKUP(A696,TraderCategory!$A$63:$F$556,6,FALSE)</f>
        <v>0</v>
      </c>
      <c r="D696" s="1" t="str">
        <f>VLOOKUP(C696,Tabulka5[],3,FALSE)</f>
        <v>Private</v>
      </c>
      <c r="E696" s="1">
        <v>0</v>
      </c>
      <c r="F696" s="1" t="str">
        <f>VLOOKUP(E696,Tabulka5[],3,FALSE)</f>
        <v>Private</v>
      </c>
      <c r="G696" s="1" t="s">
        <v>3115</v>
      </c>
      <c r="H696" s="1" t="s">
        <v>1052</v>
      </c>
      <c r="I696" s="1" t="s">
        <v>403</v>
      </c>
      <c r="J696" s="1" t="s">
        <v>2728</v>
      </c>
      <c r="K696" s="1" t="s">
        <v>3126</v>
      </c>
      <c r="L696" s="1" t="s">
        <v>3133</v>
      </c>
      <c r="M696" s="1">
        <v>1200</v>
      </c>
      <c r="N696" s="1">
        <v>1</v>
      </c>
      <c r="O696" s="1" t="str">
        <f t="shared" si="53"/>
        <v>"Skirt_Red": 1,</v>
      </c>
      <c r="P696" s="1" t="str">
        <f t="shared" si="54"/>
        <v>"Skirt_Red": 4,</v>
      </c>
      <c r="Q696" s="1" t="str">
        <f t="shared" si="55"/>
        <v>"Skirt_Red": 1200,</v>
      </c>
      <c r="R696" s="1" t="str">
        <f t="shared" si="56"/>
        <v>"Skirt_Red": 0,</v>
      </c>
    </row>
    <row r="697" spans="1:18" ht="15" customHeight="1" x14ac:dyDescent="0.25">
      <c r="A697" s="1" t="str">
        <f t="shared" si="57"/>
        <v>#tc_clothes#tc_civil#tc_pants</v>
      </c>
      <c r="B697" s="1">
        <f>VLOOKUP(A697,TraderCategory!$A$63:$E$556,2,FALSE)</f>
        <v>4</v>
      </c>
      <c r="C697" s="1">
        <f>VLOOKUP(A697,TraderCategory!$A$63:$F$556,6,FALSE)</f>
        <v>0</v>
      </c>
      <c r="D697" s="1" t="str">
        <f>VLOOKUP(C697,Tabulka5[],3,FALSE)</f>
        <v>Private</v>
      </c>
      <c r="E697" s="1">
        <v>0</v>
      </c>
      <c r="F697" s="1" t="str">
        <f>VLOOKUP(E697,Tabulka5[],3,FALSE)</f>
        <v>Private</v>
      </c>
      <c r="G697" s="1" t="s">
        <v>3115</v>
      </c>
      <c r="H697" s="1" t="s">
        <v>1053</v>
      </c>
      <c r="I697" s="1" t="s">
        <v>403</v>
      </c>
      <c r="J697" s="1" t="s">
        <v>2728</v>
      </c>
      <c r="K697" s="1" t="s">
        <v>3126</v>
      </c>
      <c r="L697" s="1" t="s">
        <v>3133</v>
      </c>
      <c r="M697" s="1">
        <v>1200</v>
      </c>
      <c r="N697" s="1">
        <v>1</v>
      </c>
      <c r="O697" s="1" t="str">
        <f t="shared" si="53"/>
        <v>"Skirt_White": 1,</v>
      </c>
      <c r="P697" s="1" t="str">
        <f t="shared" si="54"/>
        <v>"Skirt_White": 4,</v>
      </c>
      <c r="Q697" s="1" t="str">
        <f t="shared" si="55"/>
        <v>"Skirt_White": 1200,</v>
      </c>
      <c r="R697" s="1" t="str">
        <f t="shared" si="56"/>
        <v>"Skirt_White": 0,</v>
      </c>
    </row>
    <row r="698" spans="1:18" ht="15" customHeight="1" x14ac:dyDescent="0.25">
      <c r="A698" s="1" t="str">
        <f t="shared" si="57"/>
        <v>#tc_clothes#tc_civil#tc_pants</v>
      </c>
      <c r="B698" s="1">
        <f>VLOOKUP(A698,TraderCategory!$A$63:$E$556,2,FALSE)</f>
        <v>4</v>
      </c>
      <c r="C698" s="1">
        <f>VLOOKUP(A698,TraderCategory!$A$63:$F$556,6,FALSE)</f>
        <v>0</v>
      </c>
      <c r="D698" s="1" t="str">
        <f>VLOOKUP(C698,Tabulka5[],3,FALSE)</f>
        <v>Private</v>
      </c>
      <c r="E698" s="1">
        <v>0</v>
      </c>
      <c r="F698" s="1" t="str">
        <f>VLOOKUP(E698,Tabulka5[],3,FALSE)</f>
        <v>Private</v>
      </c>
      <c r="G698" s="1" t="s">
        <v>3115</v>
      </c>
      <c r="H698" s="1" t="s">
        <v>1054</v>
      </c>
      <c r="I698" s="1" t="s">
        <v>403</v>
      </c>
      <c r="J698" s="1" t="s">
        <v>2728</v>
      </c>
      <c r="K698" s="1" t="s">
        <v>3126</v>
      </c>
      <c r="L698" s="1" t="s">
        <v>3133</v>
      </c>
      <c r="M698" s="1">
        <v>1200</v>
      </c>
      <c r="N698" s="1">
        <v>1</v>
      </c>
      <c r="O698" s="1" t="str">
        <f t="shared" si="53"/>
        <v>"Skirt_Yellow": 1,</v>
      </c>
      <c r="P698" s="1" t="str">
        <f t="shared" si="54"/>
        <v>"Skirt_Yellow": 4,</v>
      </c>
      <c r="Q698" s="1" t="str">
        <f t="shared" si="55"/>
        <v>"Skirt_Yellow": 1200,</v>
      </c>
      <c r="R698" s="1" t="str">
        <f t="shared" si="56"/>
        <v>"Skirt_Yellow": 0,</v>
      </c>
    </row>
    <row r="699" spans="1:18" ht="15" customHeight="1" x14ac:dyDescent="0.25">
      <c r="A699" s="1" t="str">
        <f t="shared" si="57"/>
        <v>#tc_clothes#tc_civil#tc_pants</v>
      </c>
      <c r="B699" s="1">
        <f>VLOOKUP(A699,TraderCategory!$A$63:$E$556,2,FALSE)</f>
        <v>4</v>
      </c>
      <c r="C699" s="1">
        <f>VLOOKUP(A699,TraderCategory!$A$63:$F$556,6,FALSE)</f>
        <v>0</v>
      </c>
      <c r="D699" s="1" t="str">
        <f>VLOOKUP(C699,Tabulka5[],3,FALSE)</f>
        <v>Private</v>
      </c>
      <c r="E699" s="1">
        <v>0</v>
      </c>
      <c r="F699" s="1" t="str">
        <f>VLOOKUP(E699,Tabulka5[],3,FALSE)</f>
        <v>Private</v>
      </c>
      <c r="G699" s="1" t="s">
        <v>3115</v>
      </c>
      <c r="H699" s="1" t="s">
        <v>1055</v>
      </c>
      <c r="I699" s="1" t="s">
        <v>403</v>
      </c>
      <c r="J699" s="1" t="s">
        <v>2728</v>
      </c>
      <c r="K699" s="1" t="s">
        <v>3126</v>
      </c>
      <c r="L699" s="1" t="s">
        <v>3133</v>
      </c>
      <c r="M699" s="1">
        <v>1200</v>
      </c>
      <c r="N699" s="1">
        <v>1</v>
      </c>
      <c r="O699" s="1" t="str">
        <f t="shared" si="53"/>
        <v>"SlacksPants_Beige": 1,</v>
      </c>
      <c r="P699" s="1" t="str">
        <f t="shared" si="54"/>
        <v>"SlacksPants_Beige": 4,</v>
      </c>
      <c r="Q699" s="1" t="str">
        <f t="shared" si="55"/>
        <v>"SlacksPants_Beige": 1200,</v>
      </c>
      <c r="R699" s="1" t="str">
        <f t="shared" si="56"/>
        <v>"SlacksPants_Beige": 0,</v>
      </c>
    </row>
    <row r="700" spans="1:18" ht="15" customHeight="1" x14ac:dyDescent="0.25">
      <c r="A700" s="1" t="str">
        <f t="shared" si="57"/>
        <v>#tc_clothes#tc_civil#tc_pants</v>
      </c>
      <c r="B700" s="1">
        <f>VLOOKUP(A700,TraderCategory!$A$63:$E$556,2,FALSE)</f>
        <v>4</v>
      </c>
      <c r="C700" s="1">
        <f>VLOOKUP(A700,TraderCategory!$A$63:$F$556,6,FALSE)</f>
        <v>0</v>
      </c>
      <c r="D700" s="1" t="str">
        <f>VLOOKUP(C700,Tabulka5[],3,FALSE)</f>
        <v>Private</v>
      </c>
      <c r="E700" s="1">
        <v>0</v>
      </c>
      <c r="F700" s="1" t="str">
        <f>VLOOKUP(E700,Tabulka5[],3,FALSE)</f>
        <v>Private</v>
      </c>
      <c r="G700" s="1" t="s">
        <v>3115</v>
      </c>
      <c r="H700" s="1" t="s">
        <v>1056</v>
      </c>
      <c r="I700" s="1" t="s">
        <v>403</v>
      </c>
      <c r="J700" s="1" t="s">
        <v>2728</v>
      </c>
      <c r="K700" s="1" t="s">
        <v>3126</v>
      </c>
      <c r="L700" s="1" t="s">
        <v>3133</v>
      </c>
      <c r="M700" s="1">
        <v>1200</v>
      </c>
      <c r="N700" s="1">
        <v>1</v>
      </c>
      <c r="O700" s="1" t="str">
        <f t="shared" si="53"/>
        <v>"SlacksPants_Black": 1,</v>
      </c>
      <c r="P700" s="1" t="str">
        <f t="shared" si="54"/>
        <v>"SlacksPants_Black": 4,</v>
      </c>
      <c r="Q700" s="1" t="str">
        <f t="shared" si="55"/>
        <v>"SlacksPants_Black": 1200,</v>
      </c>
      <c r="R700" s="1" t="str">
        <f t="shared" si="56"/>
        <v>"SlacksPants_Black": 0,</v>
      </c>
    </row>
    <row r="701" spans="1:18" ht="15" customHeight="1" x14ac:dyDescent="0.25">
      <c r="A701" s="1" t="str">
        <f t="shared" si="57"/>
        <v>#tc_clothes#tc_civil#tc_pants</v>
      </c>
      <c r="B701" s="1">
        <f>VLOOKUP(A701,TraderCategory!$A$63:$E$556,2,FALSE)</f>
        <v>4</v>
      </c>
      <c r="C701" s="1">
        <f>VLOOKUP(A701,TraderCategory!$A$63:$F$556,6,FALSE)</f>
        <v>0</v>
      </c>
      <c r="D701" s="1" t="str">
        <f>VLOOKUP(C701,Tabulka5[],3,FALSE)</f>
        <v>Private</v>
      </c>
      <c r="E701" s="1">
        <v>0</v>
      </c>
      <c r="F701" s="1" t="str">
        <f>VLOOKUP(E701,Tabulka5[],3,FALSE)</f>
        <v>Private</v>
      </c>
      <c r="G701" s="1" t="s">
        <v>3115</v>
      </c>
      <c r="H701" s="1" t="s">
        <v>1057</v>
      </c>
      <c r="I701" s="1" t="s">
        <v>403</v>
      </c>
      <c r="J701" s="1" t="s">
        <v>2728</v>
      </c>
      <c r="K701" s="1" t="s">
        <v>3126</v>
      </c>
      <c r="L701" s="1" t="s">
        <v>3133</v>
      </c>
      <c r="M701" s="1">
        <v>1200</v>
      </c>
      <c r="N701" s="1">
        <v>1</v>
      </c>
      <c r="O701" s="1" t="str">
        <f t="shared" si="53"/>
        <v>"SlacksPants_Blue": 1,</v>
      </c>
      <c r="P701" s="1" t="str">
        <f t="shared" si="54"/>
        <v>"SlacksPants_Blue": 4,</v>
      </c>
      <c r="Q701" s="1" t="str">
        <f t="shared" si="55"/>
        <v>"SlacksPants_Blue": 1200,</v>
      </c>
      <c r="R701" s="1" t="str">
        <f t="shared" si="56"/>
        <v>"SlacksPants_Blue": 0,</v>
      </c>
    </row>
    <row r="702" spans="1:18" ht="15" customHeight="1" x14ac:dyDescent="0.25">
      <c r="A702" s="1" t="str">
        <f t="shared" si="57"/>
        <v>#tc_clothes#tc_civil#tc_pants</v>
      </c>
      <c r="B702" s="1">
        <f>VLOOKUP(A702,TraderCategory!$A$63:$E$556,2,FALSE)</f>
        <v>4</v>
      </c>
      <c r="C702" s="1">
        <f>VLOOKUP(A702,TraderCategory!$A$63:$F$556,6,FALSE)</f>
        <v>0</v>
      </c>
      <c r="D702" s="1" t="str">
        <f>VLOOKUP(C702,Tabulka5[],3,FALSE)</f>
        <v>Private</v>
      </c>
      <c r="E702" s="1">
        <v>0</v>
      </c>
      <c r="F702" s="1" t="str">
        <f>VLOOKUP(E702,Tabulka5[],3,FALSE)</f>
        <v>Private</v>
      </c>
      <c r="G702" s="1" t="s">
        <v>3115</v>
      </c>
      <c r="H702" s="1" t="s">
        <v>1058</v>
      </c>
      <c r="I702" s="1" t="s">
        <v>403</v>
      </c>
      <c r="J702" s="1" t="s">
        <v>2728</v>
      </c>
      <c r="K702" s="1" t="s">
        <v>3126</v>
      </c>
      <c r="L702" s="1" t="s">
        <v>3133</v>
      </c>
      <c r="M702" s="1">
        <v>1200</v>
      </c>
      <c r="N702" s="1">
        <v>1</v>
      </c>
      <c r="O702" s="1" t="str">
        <f t="shared" si="53"/>
        <v>"SlacksPants_Brown": 1,</v>
      </c>
      <c r="P702" s="1" t="str">
        <f t="shared" si="54"/>
        <v>"SlacksPants_Brown": 4,</v>
      </c>
      <c r="Q702" s="1" t="str">
        <f t="shared" si="55"/>
        <v>"SlacksPants_Brown": 1200,</v>
      </c>
      <c r="R702" s="1" t="str">
        <f t="shared" si="56"/>
        <v>"SlacksPants_Brown": 0,</v>
      </c>
    </row>
    <row r="703" spans="1:18" ht="15" customHeight="1" x14ac:dyDescent="0.25">
      <c r="A703" s="1" t="str">
        <f t="shared" si="57"/>
        <v>#tc_clothes#tc_civil#tc_pants</v>
      </c>
      <c r="B703" s="1">
        <f>VLOOKUP(A703,TraderCategory!$A$63:$E$556,2,FALSE)</f>
        <v>4</v>
      </c>
      <c r="C703" s="1">
        <f>VLOOKUP(A703,TraderCategory!$A$63:$F$556,6,FALSE)</f>
        <v>0</v>
      </c>
      <c r="D703" s="1" t="str">
        <f>VLOOKUP(C703,Tabulka5[],3,FALSE)</f>
        <v>Private</v>
      </c>
      <c r="E703" s="1">
        <v>0</v>
      </c>
      <c r="F703" s="1" t="str">
        <f>VLOOKUP(E703,Tabulka5[],3,FALSE)</f>
        <v>Private</v>
      </c>
      <c r="G703" s="1" t="s">
        <v>3115</v>
      </c>
      <c r="H703" s="1" t="s">
        <v>1059</v>
      </c>
      <c r="I703" s="1" t="s">
        <v>403</v>
      </c>
      <c r="J703" s="1" t="s">
        <v>2728</v>
      </c>
      <c r="K703" s="1" t="s">
        <v>3126</v>
      </c>
      <c r="L703" s="1" t="s">
        <v>3133</v>
      </c>
      <c r="M703" s="1">
        <v>1200</v>
      </c>
      <c r="N703" s="1">
        <v>1</v>
      </c>
      <c r="O703" s="1" t="str">
        <f t="shared" si="53"/>
        <v>"SlacksPants_DarkGrey": 1,</v>
      </c>
      <c r="P703" s="1" t="str">
        <f t="shared" si="54"/>
        <v>"SlacksPants_DarkGrey": 4,</v>
      </c>
      <c r="Q703" s="1" t="str">
        <f t="shared" si="55"/>
        <v>"SlacksPants_DarkGrey": 1200,</v>
      </c>
      <c r="R703" s="1" t="str">
        <f t="shared" si="56"/>
        <v>"SlacksPants_DarkGrey": 0,</v>
      </c>
    </row>
    <row r="704" spans="1:18" ht="15" customHeight="1" x14ac:dyDescent="0.25">
      <c r="A704" s="1" t="str">
        <f t="shared" si="57"/>
        <v>#tc_clothes#tc_civil#tc_pants</v>
      </c>
      <c r="B704" s="1">
        <f>VLOOKUP(A704,TraderCategory!$A$63:$E$556,2,FALSE)</f>
        <v>4</v>
      </c>
      <c r="C704" s="1">
        <f>VLOOKUP(A704,TraderCategory!$A$63:$F$556,6,FALSE)</f>
        <v>0</v>
      </c>
      <c r="D704" s="1" t="str">
        <f>VLOOKUP(C704,Tabulka5[],3,FALSE)</f>
        <v>Private</v>
      </c>
      <c r="E704" s="1">
        <v>0</v>
      </c>
      <c r="F704" s="1" t="str">
        <f>VLOOKUP(E704,Tabulka5[],3,FALSE)</f>
        <v>Private</v>
      </c>
      <c r="G704" s="1" t="s">
        <v>3115</v>
      </c>
      <c r="H704" s="1" t="s">
        <v>1060</v>
      </c>
      <c r="I704" s="1" t="s">
        <v>403</v>
      </c>
      <c r="J704" s="1" t="s">
        <v>2728</v>
      </c>
      <c r="K704" s="1" t="s">
        <v>3126</v>
      </c>
      <c r="L704" s="1" t="s">
        <v>3133</v>
      </c>
      <c r="M704" s="1">
        <v>1200</v>
      </c>
      <c r="N704" s="1">
        <v>1</v>
      </c>
      <c r="O704" s="1" t="str">
        <f t="shared" si="53"/>
        <v>"SlacksPants_Khaki": 1,</v>
      </c>
      <c r="P704" s="1" t="str">
        <f t="shared" si="54"/>
        <v>"SlacksPants_Khaki": 4,</v>
      </c>
      <c r="Q704" s="1" t="str">
        <f t="shared" si="55"/>
        <v>"SlacksPants_Khaki": 1200,</v>
      </c>
      <c r="R704" s="1" t="str">
        <f t="shared" si="56"/>
        <v>"SlacksPants_Khaki": 0,</v>
      </c>
    </row>
    <row r="705" spans="1:18" ht="15" customHeight="1" x14ac:dyDescent="0.25">
      <c r="A705" s="1" t="str">
        <f t="shared" si="57"/>
        <v>#tc_clothes#tc_civil#tc_pants</v>
      </c>
      <c r="B705" s="1">
        <f>VLOOKUP(A705,TraderCategory!$A$63:$E$556,2,FALSE)</f>
        <v>4</v>
      </c>
      <c r="C705" s="1">
        <f>VLOOKUP(A705,TraderCategory!$A$63:$F$556,6,FALSE)</f>
        <v>0</v>
      </c>
      <c r="D705" s="1" t="str">
        <f>VLOOKUP(C705,Tabulka5[],3,FALSE)</f>
        <v>Private</v>
      </c>
      <c r="E705" s="1">
        <v>0</v>
      </c>
      <c r="F705" s="1" t="str">
        <f>VLOOKUP(E705,Tabulka5[],3,FALSE)</f>
        <v>Private</v>
      </c>
      <c r="G705" s="1" t="s">
        <v>3115</v>
      </c>
      <c r="H705" s="1" t="s">
        <v>1061</v>
      </c>
      <c r="I705" s="1" t="s">
        <v>403</v>
      </c>
      <c r="J705" s="1" t="s">
        <v>2728</v>
      </c>
      <c r="K705" s="1" t="s">
        <v>3126</v>
      </c>
      <c r="L705" s="1" t="s">
        <v>3133</v>
      </c>
      <c r="M705" s="1">
        <v>1200</v>
      </c>
      <c r="N705" s="1">
        <v>1</v>
      </c>
      <c r="O705" s="1" t="str">
        <f t="shared" si="53"/>
        <v>"SlacksPants_LightGrey": 1,</v>
      </c>
      <c r="P705" s="1" t="str">
        <f t="shared" si="54"/>
        <v>"SlacksPants_LightGrey": 4,</v>
      </c>
      <c r="Q705" s="1" t="str">
        <f t="shared" si="55"/>
        <v>"SlacksPants_LightGrey": 1200,</v>
      </c>
      <c r="R705" s="1" t="str">
        <f t="shared" si="56"/>
        <v>"SlacksPants_LightGrey": 0,</v>
      </c>
    </row>
    <row r="706" spans="1:18" ht="15" customHeight="1" x14ac:dyDescent="0.25">
      <c r="A706" s="1" t="str">
        <f t="shared" si="57"/>
        <v>#tc_clothes#tc_civil#tc_pants</v>
      </c>
      <c r="B706" s="1">
        <f>VLOOKUP(A706,TraderCategory!$A$63:$E$556,2,FALSE)</f>
        <v>4</v>
      </c>
      <c r="C706" s="1">
        <f>VLOOKUP(A706,TraderCategory!$A$63:$F$556,6,FALSE)</f>
        <v>0</v>
      </c>
      <c r="D706" s="1" t="str">
        <f>VLOOKUP(C706,Tabulka5[],3,FALSE)</f>
        <v>Private</v>
      </c>
      <c r="E706" s="1">
        <v>0</v>
      </c>
      <c r="F706" s="1" t="str">
        <f>VLOOKUP(E706,Tabulka5[],3,FALSE)</f>
        <v>Private</v>
      </c>
      <c r="G706" s="1" t="s">
        <v>3115</v>
      </c>
      <c r="H706" s="1" t="s">
        <v>1062</v>
      </c>
      <c r="I706" s="1" t="s">
        <v>403</v>
      </c>
      <c r="J706" s="1" t="s">
        <v>2728</v>
      </c>
      <c r="K706" s="1" t="s">
        <v>3126</v>
      </c>
      <c r="L706" s="1" t="s">
        <v>3133</v>
      </c>
      <c r="M706" s="1">
        <v>1200</v>
      </c>
      <c r="N706" s="1">
        <v>1</v>
      </c>
      <c r="O706" s="1" t="str">
        <f t="shared" si="53"/>
        <v>"SlacksPants_White": 1,</v>
      </c>
      <c r="P706" s="1" t="str">
        <f t="shared" si="54"/>
        <v>"SlacksPants_White": 4,</v>
      </c>
      <c r="Q706" s="1" t="str">
        <f t="shared" si="55"/>
        <v>"SlacksPants_White": 1200,</v>
      </c>
      <c r="R706" s="1" t="str">
        <f t="shared" si="56"/>
        <v>"SlacksPants_White": 0,</v>
      </c>
    </row>
    <row r="707" spans="1:18" ht="15" customHeight="1" x14ac:dyDescent="0.25">
      <c r="A707" s="1" t="str">
        <f t="shared" si="57"/>
        <v>#tc_groceries#tc_tools#tc_tools</v>
      </c>
      <c r="B707" s="1">
        <f>VLOOKUP(A707,TraderCategory!$A$63:$E$556,2,FALSE)</f>
        <v>30</v>
      </c>
      <c r="C707" s="1">
        <f>VLOOKUP(A707,TraderCategory!$A$63:$F$556,6,FALSE)</f>
        <v>0</v>
      </c>
      <c r="D707" s="1" t="str">
        <f>VLOOKUP(C707,Tabulka5[],3,FALSE)</f>
        <v>Private</v>
      </c>
      <c r="E707" s="1">
        <v>0</v>
      </c>
      <c r="F707" s="1" t="str">
        <f>VLOOKUP(E707,Tabulka5[],3,FALSE)</f>
        <v>Private</v>
      </c>
      <c r="G707" s="1" t="s">
        <v>3115</v>
      </c>
      <c r="H707" s="1" t="s">
        <v>1063</v>
      </c>
      <c r="I707" s="1" t="s">
        <v>426</v>
      </c>
      <c r="J707" s="1" t="s">
        <v>3127</v>
      </c>
      <c r="K707" s="1" t="s">
        <v>2740</v>
      </c>
      <c r="L707" s="1" t="s">
        <v>2740</v>
      </c>
      <c r="M707" s="1">
        <v>1500</v>
      </c>
      <c r="N707" s="1">
        <v>1</v>
      </c>
      <c r="O707" s="1" t="str">
        <f t="shared" ref="O707:O770" si="58">"""" &amp;H707 &amp; """: " &amp; N707 &amp; ","</f>
        <v>"SledgeHammer": 1,</v>
      </c>
      <c r="P707" s="1" t="str">
        <f t="shared" ref="P707:P770" si="59">"""" &amp;H707 &amp; """: " &amp; B707 &amp; ","</f>
        <v>"SledgeHammer": 30,</v>
      </c>
      <c r="Q707" s="1" t="str">
        <f t="shared" ref="Q707:Q770" si="60">"""" &amp;H707 &amp; """: " &amp; M707 &amp; ","</f>
        <v>"SledgeHammer": 1500,</v>
      </c>
      <c r="R707" s="1" t="str">
        <f t="shared" ref="R707:R770" si="61">"""" &amp;H707 &amp; """: " &amp; E707 &amp; ","</f>
        <v>"SledgeHammer": 0,</v>
      </c>
    </row>
    <row r="708" spans="1:18" ht="15" customHeight="1" x14ac:dyDescent="0.25">
      <c r="A708" s="1" t="str">
        <f t="shared" si="57"/>
        <v>#tc_groceries#tc_tools#tc_camping</v>
      </c>
      <c r="B708" s="1">
        <f>VLOOKUP(A708,TraderCategory!$A$63:$E$556,2,FALSE)</f>
        <v>33</v>
      </c>
      <c r="C708" s="1">
        <f>VLOOKUP(A708,TraderCategory!$A$63:$F$556,6,FALSE)</f>
        <v>3</v>
      </c>
      <c r="D708" s="1" t="str">
        <f>VLOOKUP(C708,Tabulka5[],3,FALSE)</f>
        <v>Sergeant</v>
      </c>
      <c r="E708" s="1">
        <v>3</v>
      </c>
      <c r="F708" s="1" t="str">
        <f>VLOOKUP(E708,Tabulka5[],3,FALSE)</f>
        <v>Sergeant</v>
      </c>
      <c r="G708" s="1" t="s">
        <v>3115</v>
      </c>
      <c r="H708" s="1" t="s">
        <v>1064</v>
      </c>
      <c r="I708" s="1" t="s">
        <v>426</v>
      </c>
      <c r="J708" s="1" t="s">
        <v>3127</v>
      </c>
      <c r="K708" s="1" t="s">
        <v>2740</v>
      </c>
      <c r="L708" s="1" t="s">
        <v>3150</v>
      </c>
      <c r="M708" s="1">
        <v>500</v>
      </c>
      <c r="N708" s="1">
        <v>1</v>
      </c>
      <c r="O708" s="1" t="str">
        <f t="shared" si="58"/>
        <v>"SmallGasCanister": 1,</v>
      </c>
      <c r="P708" s="1" t="str">
        <f t="shared" si="59"/>
        <v>"SmallGasCanister": 33,</v>
      </c>
      <c r="Q708" s="1" t="str">
        <f t="shared" si="60"/>
        <v>"SmallGasCanister": 500,</v>
      </c>
      <c r="R708" s="1" t="str">
        <f t="shared" si="61"/>
        <v>"SmallGasCanister": 3,</v>
      </c>
    </row>
    <row r="709" spans="1:18" ht="15" customHeight="1" x14ac:dyDescent="0.25">
      <c r="A709" s="1" t="str">
        <f t="shared" si="57"/>
        <v>#tc_groceries#tc_tools#tc_storages</v>
      </c>
      <c r="B709" s="1">
        <f>VLOOKUP(A709,TraderCategory!$A$63:$E$556,2,FALSE)</f>
        <v>41</v>
      </c>
      <c r="C709" s="1">
        <f>VLOOKUP(A709,TraderCategory!$A$63:$F$556,6,FALSE)</f>
        <v>3</v>
      </c>
      <c r="D709" s="1" t="str">
        <f>VLOOKUP(C709,Tabulka5[],3,FALSE)</f>
        <v>Sergeant</v>
      </c>
      <c r="E709" s="1">
        <v>3</v>
      </c>
      <c r="F709" s="1" t="str">
        <f>VLOOKUP(E709,Tabulka5[],3,FALSE)</f>
        <v>Sergeant</v>
      </c>
      <c r="G709" s="1" t="s">
        <v>3115</v>
      </c>
      <c r="H709" s="1" t="s">
        <v>1065</v>
      </c>
      <c r="I709" s="1" t="s">
        <v>363</v>
      </c>
      <c r="J709" s="1" t="s">
        <v>3127</v>
      </c>
      <c r="K709" s="1" t="s">
        <v>2740</v>
      </c>
      <c r="L709" s="1" t="s">
        <v>3227</v>
      </c>
      <c r="M709" s="1">
        <v>5000</v>
      </c>
      <c r="N709" s="1">
        <v>1</v>
      </c>
      <c r="O709" s="1" t="str">
        <f t="shared" si="58"/>
        <v>"SmallProtectorCase": 1,</v>
      </c>
      <c r="P709" s="1" t="str">
        <f t="shared" si="59"/>
        <v>"SmallProtectorCase": 41,</v>
      </c>
      <c r="Q709" s="1" t="str">
        <f t="shared" si="60"/>
        <v>"SmallProtectorCase": 5000,</v>
      </c>
      <c r="R709" s="1" t="str">
        <f t="shared" si="61"/>
        <v>"SmallProtectorCase": 3,</v>
      </c>
    </row>
    <row r="710" spans="1:18" ht="15" customHeight="1" x14ac:dyDescent="0.25">
      <c r="A710" s="1" t="str">
        <f t="shared" si="57"/>
        <v>#tc_clothes#tc_military#tc_bags</v>
      </c>
      <c r="B710" s="1">
        <f>VLOOKUP(A710,TraderCategory!$A$63:$E$556,2,FALSE)</f>
        <v>15</v>
      </c>
      <c r="C710" s="1">
        <f>VLOOKUP(A710,TraderCategory!$A$63:$F$556,6,FALSE)</f>
        <v>1</v>
      </c>
      <c r="D710" s="1" t="str">
        <f>VLOOKUP(C710,Tabulka5[],3,FALSE)</f>
        <v>Private First Class</v>
      </c>
      <c r="E710" s="1">
        <v>1</v>
      </c>
      <c r="F710" s="1" t="str">
        <f>VLOOKUP(E710,Tabulka5[],3,FALSE)</f>
        <v>Private First Class</v>
      </c>
      <c r="G710" s="1" t="s">
        <v>3115</v>
      </c>
      <c r="H710" s="1" t="s">
        <v>1066</v>
      </c>
      <c r="I710" s="1" t="s">
        <v>363</v>
      </c>
      <c r="J710" s="1" t="s">
        <v>2728</v>
      </c>
      <c r="K710" s="1" t="s">
        <v>2729</v>
      </c>
      <c r="L710" s="1" t="s">
        <v>3138</v>
      </c>
      <c r="M710" s="1">
        <v>6000</v>
      </c>
      <c r="N710" s="1">
        <v>1</v>
      </c>
      <c r="O710" s="1" t="str">
        <f t="shared" si="58"/>
        <v>"SmershBag": 1,</v>
      </c>
      <c r="P710" s="1" t="str">
        <f t="shared" si="59"/>
        <v>"SmershBag": 15,</v>
      </c>
      <c r="Q710" s="1" t="str">
        <f t="shared" si="60"/>
        <v>"SmershBag": 6000,</v>
      </c>
      <c r="R710" s="1" t="str">
        <f t="shared" si="61"/>
        <v>"SmershBag": 1,</v>
      </c>
    </row>
    <row r="711" spans="1:18" ht="15" customHeight="1" x14ac:dyDescent="0.25">
      <c r="A711" s="1" t="str">
        <f t="shared" si="57"/>
        <v>#tc_clothes#tc_military#tc_vests</v>
      </c>
      <c r="B711" s="1">
        <f>VLOOKUP(A711,TraderCategory!$A$63:$E$556,2,FALSE)</f>
        <v>14</v>
      </c>
      <c r="C711" s="1">
        <f>VLOOKUP(A711,TraderCategory!$A$63:$F$556,6,FALSE)</f>
        <v>1</v>
      </c>
      <c r="D711" s="1" t="str">
        <f>VLOOKUP(C711,Tabulka5[],3,FALSE)</f>
        <v>Private First Class</v>
      </c>
      <c r="E711" s="1">
        <v>1</v>
      </c>
      <c r="F711" s="1" t="str">
        <f>VLOOKUP(E711,Tabulka5[],3,FALSE)</f>
        <v>Private First Class</v>
      </c>
      <c r="G711" s="1" t="s">
        <v>3115</v>
      </c>
      <c r="H711" s="1" t="s">
        <v>1067</v>
      </c>
      <c r="I711" s="1" t="s">
        <v>403</v>
      </c>
      <c r="J711" s="1" t="s">
        <v>2728</v>
      </c>
      <c r="K711" s="1" t="s">
        <v>2729</v>
      </c>
      <c r="L711" s="1" t="s">
        <v>3136</v>
      </c>
      <c r="M711" s="1">
        <v>15000</v>
      </c>
      <c r="N711" s="1">
        <v>1</v>
      </c>
      <c r="O711" s="1" t="str">
        <f t="shared" si="58"/>
        <v>"SmershVest": 1,</v>
      </c>
      <c r="P711" s="1" t="str">
        <f t="shared" si="59"/>
        <v>"SmershVest": 14,</v>
      </c>
      <c r="Q711" s="1" t="str">
        <f t="shared" si="60"/>
        <v>"SmershVest": 15000,</v>
      </c>
      <c r="R711" s="1" t="str">
        <f t="shared" si="61"/>
        <v>"SmershVest": 1,</v>
      </c>
    </row>
    <row r="712" spans="1:18" ht="15" customHeight="1" x14ac:dyDescent="0.25">
      <c r="A712" s="1" t="str">
        <f t="shared" si="57"/>
        <v>#tc_clothes#tc_civil#tc_boots</v>
      </c>
      <c r="B712" s="1">
        <f>VLOOKUP(A712,TraderCategory!$A$63:$E$556,2,FALSE)</f>
        <v>5</v>
      </c>
      <c r="C712" s="1">
        <f>VLOOKUP(A712,TraderCategory!$A$63:$F$556,6,FALSE)</f>
        <v>0</v>
      </c>
      <c r="D712" s="1" t="str">
        <f>VLOOKUP(C712,Tabulka5[],3,FALSE)</f>
        <v>Private</v>
      </c>
      <c r="E712" s="1">
        <v>0</v>
      </c>
      <c r="F712" s="1" t="str">
        <f>VLOOKUP(E712,Tabulka5[],3,FALSE)</f>
        <v>Private</v>
      </c>
      <c r="G712" s="1" t="s">
        <v>3115</v>
      </c>
      <c r="H712" s="1" t="s">
        <v>1068</v>
      </c>
      <c r="I712" s="1" t="s">
        <v>403</v>
      </c>
      <c r="J712" s="1" t="s">
        <v>2728</v>
      </c>
      <c r="K712" s="1" t="s">
        <v>3126</v>
      </c>
      <c r="L712" s="1" t="s">
        <v>3134</v>
      </c>
      <c r="M712" s="1">
        <v>500</v>
      </c>
      <c r="N712" s="1">
        <v>1</v>
      </c>
      <c r="O712" s="1" t="str">
        <f t="shared" si="58"/>
        <v>"Sneakers_Black": 1,</v>
      </c>
      <c r="P712" s="1" t="str">
        <f t="shared" si="59"/>
        <v>"Sneakers_Black": 5,</v>
      </c>
      <c r="Q712" s="1" t="str">
        <f t="shared" si="60"/>
        <v>"Sneakers_Black": 500,</v>
      </c>
      <c r="R712" s="1" t="str">
        <f t="shared" si="61"/>
        <v>"Sneakers_Black": 0,</v>
      </c>
    </row>
    <row r="713" spans="1:18" ht="15" customHeight="1" x14ac:dyDescent="0.25">
      <c r="A713" s="1" t="str">
        <f t="shared" si="57"/>
        <v>#tc_clothes#tc_civil#tc_boots</v>
      </c>
      <c r="B713" s="1">
        <f>VLOOKUP(A713,TraderCategory!$A$63:$E$556,2,FALSE)</f>
        <v>5</v>
      </c>
      <c r="C713" s="1">
        <f>VLOOKUP(A713,TraderCategory!$A$63:$F$556,6,FALSE)</f>
        <v>0</v>
      </c>
      <c r="D713" s="1" t="str">
        <f>VLOOKUP(C713,Tabulka5[],3,FALSE)</f>
        <v>Private</v>
      </c>
      <c r="E713" s="1">
        <v>0</v>
      </c>
      <c r="F713" s="1" t="str">
        <f>VLOOKUP(E713,Tabulka5[],3,FALSE)</f>
        <v>Private</v>
      </c>
      <c r="G713" s="1" t="s">
        <v>3115</v>
      </c>
      <c r="H713" s="1" t="s">
        <v>1069</v>
      </c>
      <c r="I713" s="1" t="s">
        <v>403</v>
      </c>
      <c r="J713" s="1" t="s">
        <v>2728</v>
      </c>
      <c r="K713" s="1" t="s">
        <v>3126</v>
      </c>
      <c r="L713" s="1" t="s">
        <v>3134</v>
      </c>
      <c r="M713" s="1">
        <v>500</v>
      </c>
      <c r="N713" s="1">
        <v>1</v>
      </c>
      <c r="O713" s="1" t="str">
        <f t="shared" si="58"/>
        <v>"Sneakers_Gray": 1,</v>
      </c>
      <c r="P713" s="1" t="str">
        <f t="shared" si="59"/>
        <v>"Sneakers_Gray": 5,</v>
      </c>
      <c r="Q713" s="1" t="str">
        <f t="shared" si="60"/>
        <v>"Sneakers_Gray": 500,</v>
      </c>
      <c r="R713" s="1" t="str">
        <f t="shared" si="61"/>
        <v>"Sneakers_Gray": 0,</v>
      </c>
    </row>
    <row r="714" spans="1:18" ht="15" customHeight="1" x14ac:dyDescent="0.25">
      <c r="A714" s="1" t="str">
        <f t="shared" si="57"/>
        <v>#tc_clothes#tc_civil#tc_boots</v>
      </c>
      <c r="B714" s="1">
        <f>VLOOKUP(A714,TraderCategory!$A$63:$E$556,2,FALSE)</f>
        <v>5</v>
      </c>
      <c r="C714" s="1">
        <f>VLOOKUP(A714,TraderCategory!$A$63:$F$556,6,FALSE)</f>
        <v>0</v>
      </c>
      <c r="D714" s="1" t="str">
        <f>VLOOKUP(C714,Tabulka5[],3,FALSE)</f>
        <v>Private</v>
      </c>
      <c r="E714" s="1">
        <v>0</v>
      </c>
      <c r="F714" s="1" t="str">
        <f>VLOOKUP(E714,Tabulka5[],3,FALSE)</f>
        <v>Private</v>
      </c>
      <c r="G714" s="1" t="s">
        <v>3115</v>
      </c>
      <c r="H714" s="1" t="s">
        <v>1070</v>
      </c>
      <c r="I714" s="1" t="s">
        <v>403</v>
      </c>
      <c r="J714" s="1" t="s">
        <v>2728</v>
      </c>
      <c r="K714" s="1" t="s">
        <v>3126</v>
      </c>
      <c r="L714" s="1" t="s">
        <v>3134</v>
      </c>
      <c r="M714" s="1">
        <v>500</v>
      </c>
      <c r="N714" s="1">
        <v>1</v>
      </c>
      <c r="O714" s="1" t="str">
        <f t="shared" si="58"/>
        <v>"Sneakers_Green": 1,</v>
      </c>
      <c r="P714" s="1" t="str">
        <f t="shared" si="59"/>
        <v>"Sneakers_Green": 5,</v>
      </c>
      <c r="Q714" s="1" t="str">
        <f t="shared" si="60"/>
        <v>"Sneakers_Green": 500,</v>
      </c>
      <c r="R714" s="1" t="str">
        <f t="shared" si="61"/>
        <v>"Sneakers_Green": 0,</v>
      </c>
    </row>
    <row r="715" spans="1:18" ht="15" customHeight="1" x14ac:dyDescent="0.25">
      <c r="A715" s="1" t="str">
        <f t="shared" si="57"/>
        <v>#tc_clothes#tc_civil#tc_boots</v>
      </c>
      <c r="B715" s="1">
        <f>VLOOKUP(A715,TraderCategory!$A$63:$E$556,2,FALSE)</f>
        <v>5</v>
      </c>
      <c r="C715" s="1">
        <f>VLOOKUP(A715,TraderCategory!$A$63:$F$556,6,FALSE)</f>
        <v>0</v>
      </c>
      <c r="D715" s="1" t="str">
        <f>VLOOKUP(C715,Tabulka5[],3,FALSE)</f>
        <v>Private</v>
      </c>
      <c r="E715" s="1">
        <v>0</v>
      </c>
      <c r="F715" s="1" t="str">
        <f>VLOOKUP(E715,Tabulka5[],3,FALSE)</f>
        <v>Private</v>
      </c>
      <c r="G715" s="1" t="s">
        <v>3115</v>
      </c>
      <c r="H715" s="1" t="s">
        <v>1071</v>
      </c>
      <c r="I715" s="1" t="s">
        <v>403</v>
      </c>
      <c r="J715" s="1" t="s">
        <v>2728</v>
      </c>
      <c r="K715" s="1" t="s">
        <v>3126</v>
      </c>
      <c r="L715" s="1" t="s">
        <v>3134</v>
      </c>
      <c r="M715" s="1">
        <v>500</v>
      </c>
      <c r="N715" s="1">
        <v>1</v>
      </c>
      <c r="O715" s="1" t="str">
        <f t="shared" si="58"/>
        <v>"Sneakers_Red": 1,</v>
      </c>
      <c r="P715" s="1" t="str">
        <f t="shared" si="59"/>
        <v>"Sneakers_Red": 5,</v>
      </c>
      <c r="Q715" s="1" t="str">
        <f t="shared" si="60"/>
        <v>"Sneakers_Red": 500,</v>
      </c>
      <c r="R715" s="1" t="str">
        <f t="shared" si="61"/>
        <v>"Sneakers_Red": 0,</v>
      </c>
    </row>
    <row r="716" spans="1:18" ht="15" customHeight="1" x14ac:dyDescent="0.25">
      <c r="A716" s="1" t="str">
        <f t="shared" ref="A716:A779" si="62">CONCATENATE(J716,K716,L716)</f>
        <v>#tc_clothes#tc_civil#tc_boots</v>
      </c>
      <c r="B716" s="1">
        <f>VLOOKUP(A716,TraderCategory!$A$63:$E$556,2,FALSE)</f>
        <v>5</v>
      </c>
      <c r="C716" s="1">
        <f>VLOOKUP(A716,TraderCategory!$A$63:$F$556,6,FALSE)</f>
        <v>0</v>
      </c>
      <c r="D716" s="1" t="str">
        <f>VLOOKUP(C716,Tabulka5[],3,FALSE)</f>
        <v>Private</v>
      </c>
      <c r="E716" s="1">
        <v>0</v>
      </c>
      <c r="F716" s="1" t="str">
        <f>VLOOKUP(E716,Tabulka5[],3,FALSE)</f>
        <v>Private</v>
      </c>
      <c r="G716" s="1" t="s">
        <v>3115</v>
      </c>
      <c r="H716" s="1" t="s">
        <v>1072</v>
      </c>
      <c r="I716" s="1" t="s">
        <v>403</v>
      </c>
      <c r="J716" s="1" t="s">
        <v>2728</v>
      </c>
      <c r="K716" s="1" t="s">
        <v>3126</v>
      </c>
      <c r="L716" s="1" t="s">
        <v>3134</v>
      </c>
      <c r="M716" s="1">
        <v>500</v>
      </c>
      <c r="N716" s="1">
        <v>1</v>
      </c>
      <c r="O716" s="1" t="str">
        <f t="shared" si="58"/>
        <v>"Sneakers_White": 1,</v>
      </c>
      <c r="P716" s="1" t="str">
        <f t="shared" si="59"/>
        <v>"Sneakers_White": 5,</v>
      </c>
      <c r="Q716" s="1" t="str">
        <f t="shared" si="60"/>
        <v>"Sneakers_White": 500,</v>
      </c>
      <c r="R716" s="1" t="str">
        <f t="shared" si="61"/>
        <v>"Sneakers_White": 0,</v>
      </c>
    </row>
    <row r="717" spans="1:18" ht="15" customHeight="1" x14ac:dyDescent="0.25">
      <c r="A717" s="1" t="str">
        <f t="shared" si="62"/>
        <v>#tc_groceries#tc_food#tc_drinks</v>
      </c>
      <c r="B717" s="1">
        <f>VLOOKUP(A717,TraderCategory!$A$63:$E$556,2,FALSE)</f>
        <v>17</v>
      </c>
      <c r="C717" s="1">
        <f>VLOOKUP(A717,TraderCategory!$A$63:$F$556,6,FALSE)</f>
        <v>3</v>
      </c>
      <c r="D717" s="1" t="str">
        <f>VLOOKUP(C717,Tabulka5[],3,FALSE)</f>
        <v>Sergeant</v>
      </c>
      <c r="E717" s="1">
        <v>3</v>
      </c>
      <c r="F717" s="1" t="str">
        <f>VLOOKUP(E717,Tabulka5[],3,FALSE)</f>
        <v>Sergeant</v>
      </c>
      <c r="G717" s="1" t="s">
        <v>3115</v>
      </c>
      <c r="H717" s="1" t="s">
        <v>1073</v>
      </c>
      <c r="I717" s="1" t="s">
        <v>399</v>
      </c>
      <c r="J717" s="1" t="s">
        <v>3127</v>
      </c>
      <c r="K717" s="1" t="s">
        <v>2730</v>
      </c>
      <c r="L717" s="1" t="s">
        <v>2733</v>
      </c>
      <c r="M717" s="1">
        <v>2000</v>
      </c>
      <c r="N717" s="1">
        <v>1</v>
      </c>
      <c r="O717" s="1" t="str">
        <f t="shared" si="58"/>
        <v>"SodaCan_Cola": 1,</v>
      </c>
      <c r="P717" s="1" t="str">
        <f t="shared" si="59"/>
        <v>"SodaCan_Cola": 17,</v>
      </c>
      <c r="Q717" s="1" t="str">
        <f t="shared" si="60"/>
        <v>"SodaCan_Cola": 2000,</v>
      </c>
      <c r="R717" s="1" t="str">
        <f t="shared" si="61"/>
        <v>"SodaCan_Cola": 3,</v>
      </c>
    </row>
    <row r="718" spans="1:18" ht="15" customHeight="1" x14ac:dyDescent="0.25">
      <c r="A718" s="1" t="str">
        <f t="shared" si="62"/>
        <v>#tc_groceries#tc_food#tc_drinks</v>
      </c>
      <c r="B718" s="1">
        <f>VLOOKUP(A718,TraderCategory!$A$63:$E$556,2,FALSE)</f>
        <v>17</v>
      </c>
      <c r="C718" s="1">
        <f>VLOOKUP(A718,TraderCategory!$A$63:$F$556,6,FALSE)</f>
        <v>3</v>
      </c>
      <c r="D718" s="1" t="str">
        <f>VLOOKUP(C718,Tabulka5[],3,FALSE)</f>
        <v>Sergeant</v>
      </c>
      <c r="E718" s="1">
        <v>3</v>
      </c>
      <c r="F718" s="1" t="str">
        <f>VLOOKUP(E718,Tabulka5[],3,FALSE)</f>
        <v>Sergeant</v>
      </c>
      <c r="G718" s="1" t="s">
        <v>3115</v>
      </c>
      <c r="H718" s="1" t="s">
        <v>1074</v>
      </c>
      <c r="I718" s="1" t="s">
        <v>399</v>
      </c>
      <c r="J718" s="1" t="s">
        <v>3127</v>
      </c>
      <c r="K718" s="1" t="s">
        <v>2730</v>
      </c>
      <c r="L718" s="1" t="s">
        <v>2733</v>
      </c>
      <c r="M718" s="1">
        <v>4000</v>
      </c>
      <c r="N718" s="1">
        <v>1</v>
      </c>
      <c r="O718" s="1" t="str">
        <f t="shared" si="58"/>
        <v>"SodaCan_Kvass": 1,</v>
      </c>
      <c r="P718" s="1" t="str">
        <f t="shared" si="59"/>
        <v>"SodaCan_Kvass": 17,</v>
      </c>
      <c r="Q718" s="1" t="str">
        <f t="shared" si="60"/>
        <v>"SodaCan_Kvass": 4000,</v>
      </c>
      <c r="R718" s="1" t="str">
        <f t="shared" si="61"/>
        <v>"SodaCan_Kvass": 3,</v>
      </c>
    </row>
    <row r="719" spans="1:18" ht="15" customHeight="1" x14ac:dyDescent="0.25">
      <c r="A719" s="1" t="str">
        <f t="shared" si="62"/>
        <v>#tc_groceries#tc_food#tc_drinks</v>
      </c>
      <c r="B719" s="1">
        <f>VLOOKUP(A719,TraderCategory!$A$63:$E$556,2,FALSE)</f>
        <v>17</v>
      </c>
      <c r="C719" s="1">
        <f>VLOOKUP(A719,TraderCategory!$A$63:$F$556,6,FALSE)</f>
        <v>3</v>
      </c>
      <c r="D719" s="1" t="str">
        <f>VLOOKUP(C719,Tabulka5[],3,FALSE)</f>
        <v>Sergeant</v>
      </c>
      <c r="E719" s="1">
        <v>3</v>
      </c>
      <c r="F719" s="1" t="str">
        <f>VLOOKUP(E719,Tabulka5[],3,FALSE)</f>
        <v>Sergeant</v>
      </c>
      <c r="G719" s="1" t="s">
        <v>3115</v>
      </c>
      <c r="H719" s="1" t="s">
        <v>1075</v>
      </c>
      <c r="I719" s="1" t="s">
        <v>399</v>
      </c>
      <c r="J719" s="1" t="s">
        <v>3127</v>
      </c>
      <c r="K719" s="1" t="s">
        <v>2730</v>
      </c>
      <c r="L719" s="1" t="s">
        <v>2733</v>
      </c>
      <c r="M719" s="1">
        <v>2000</v>
      </c>
      <c r="N719" s="1">
        <v>1</v>
      </c>
      <c r="O719" s="1" t="str">
        <f t="shared" si="58"/>
        <v>"SodaCan_Pipsi": 1,</v>
      </c>
      <c r="P719" s="1" t="str">
        <f t="shared" si="59"/>
        <v>"SodaCan_Pipsi": 17,</v>
      </c>
      <c r="Q719" s="1" t="str">
        <f t="shared" si="60"/>
        <v>"SodaCan_Pipsi": 2000,</v>
      </c>
      <c r="R719" s="1" t="str">
        <f t="shared" si="61"/>
        <v>"SodaCan_Pipsi": 3,</v>
      </c>
    </row>
    <row r="720" spans="1:18" ht="15" customHeight="1" x14ac:dyDescent="0.25">
      <c r="A720" s="1" t="str">
        <f t="shared" si="62"/>
        <v>#tc_groceries#tc_food#tc_drinks</v>
      </c>
      <c r="B720" s="1">
        <f>VLOOKUP(A720,TraderCategory!$A$63:$E$556,2,FALSE)</f>
        <v>17</v>
      </c>
      <c r="C720" s="1">
        <f>VLOOKUP(A720,TraderCategory!$A$63:$F$556,6,FALSE)</f>
        <v>3</v>
      </c>
      <c r="D720" s="1" t="str">
        <f>VLOOKUP(C720,Tabulka5[],3,FALSE)</f>
        <v>Sergeant</v>
      </c>
      <c r="E720" s="1">
        <v>3</v>
      </c>
      <c r="F720" s="1" t="str">
        <f>VLOOKUP(E720,Tabulka5[],3,FALSE)</f>
        <v>Sergeant</v>
      </c>
      <c r="G720" s="1" t="s">
        <v>3115</v>
      </c>
      <c r="H720" s="1" t="s">
        <v>1076</v>
      </c>
      <c r="I720" s="1" t="s">
        <v>399</v>
      </c>
      <c r="J720" s="1" t="s">
        <v>3127</v>
      </c>
      <c r="K720" s="1" t="s">
        <v>2730</v>
      </c>
      <c r="L720" s="1" t="s">
        <v>2733</v>
      </c>
      <c r="M720" s="1">
        <v>2000</v>
      </c>
      <c r="N720" s="1">
        <v>1</v>
      </c>
      <c r="O720" s="1" t="str">
        <f t="shared" si="58"/>
        <v>"SodaCan_Spite": 1,</v>
      </c>
      <c r="P720" s="1" t="str">
        <f t="shared" si="59"/>
        <v>"SodaCan_Spite": 17,</v>
      </c>
      <c r="Q720" s="1" t="str">
        <f t="shared" si="60"/>
        <v>"SodaCan_Spite": 2000,</v>
      </c>
      <c r="R720" s="1" t="str">
        <f t="shared" si="61"/>
        <v>"SodaCan_Spite": 3,</v>
      </c>
    </row>
    <row r="721" spans="1:18" ht="15" customHeight="1" x14ac:dyDescent="0.25">
      <c r="A721" s="1" t="str">
        <f t="shared" si="62"/>
        <v>#tc_groceries#tc_food#tc_canned</v>
      </c>
      <c r="B721" s="1">
        <f>VLOOKUP(A721,TraderCategory!$A$63:$E$556,2,FALSE)</f>
        <v>18</v>
      </c>
      <c r="C721" s="1">
        <f>VLOOKUP(A721,TraderCategory!$A$63:$F$556,6,FALSE)</f>
        <v>3</v>
      </c>
      <c r="D721" s="1" t="str">
        <f>VLOOKUP(C721,Tabulka5[],3,FALSE)</f>
        <v>Sergeant</v>
      </c>
      <c r="E721" s="1">
        <v>3</v>
      </c>
      <c r="F721" s="1" t="str">
        <f>VLOOKUP(E721,Tabulka5[],3,FALSE)</f>
        <v>Sergeant</v>
      </c>
      <c r="G721" s="1" t="s">
        <v>3115</v>
      </c>
      <c r="H721" s="1" t="s">
        <v>1077</v>
      </c>
      <c r="I721" s="1" t="s">
        <v>399</v>
      </c>
      <c r="J721" s="1" t="s">
        <v>3127</v>
      </c>
      <c r="K721" s="1" t="s">
        <v>2730</v>
      </c>
      <c r="L721" s="1" t="s">
        <v>2732</v>
      </c>
      <c r="M721" s="1">
        <v>2000</v>
      </c>
      <c r="N721" s="1">
        <v>1</v>
      </c>
      <c r="O721" s="1" t="str">
        <f t="shared" si="58"/>
        <v>"SpaghettiCan": 1,</v>
      </c>
      <c r="P721" s="1" t="str">
        <f t="shared" si="59"/>
        <v>"SpaghettiCan": 18,</v>
      </c>
      <c r="Q721" s="1" t="str">
        <f t="shared" si="60"/>
        <v>"SpaghettiCan": 2000,</v>
      </c>
      <c r="R721" s="1" t="str">
        <f t="shared" si="61"/>
        <v>"SpaghettiCan": 3,</v>
      </c>
    </row>
    <row r="722" spans="1:18" ht="15" customHeight="1" x14ac:dyDescent="0.25">
      <c r="A722" s="1" t="str">
        <f t="shared" si="62"/>
        <v>#tc_vehicles#tc_parts#tc_parts</v>
      </c>
      <c r="B722" s="1">
        <f>VLOOKUP(A722,TraderCategory!$A$63:$E$556,2,FALSE)</f>
        <v>68</v>
      </c>
      <c r="C722" s="1">
        <f>VLOOKUP(A722,TraderCategory!$A$63:$F$556,6,FALSE)</f>
        <v>3</v>
      </c>
      <c r="D722" s="1" t="str">
        <f>VLOOKUP(C722,Tabulka5[],3,FALSE)</f>
        <v>Sergeant</v>
      </c>
      <c r="E722" s="1">
        <v>3</v>
      </c>
      <c r="F722" s="1" t="str">
        <f>VLOOKUP(E722,Tabulka5[],3,FALSE)</f>
        <v>Sergeant</v>
      </c>
      <c r="G722" s="1" t="s">
        <v>3115</v>
      </c>
      <c r="H722" s="1" t="s">
        <v>1078</v>
      </c>
      <c r="I722" s="1" t="s">
        <v>426</v>
      </c>
      <c r="J722" s="1" t="s">
        <v>2743</v>
      </c>
      <c r="K722" s="1" t="s">
        <v>2742</v>
      </c>
      <c r="L722" s="1" t="s">
        <v>2742</v>
      </c>
      <c r="M722" s="1">
        <v>400</v>
      </c>
      <c r="N722" s="1">
        <v>1</v>
      </c>
      <c r="O722" s="1" t="str">
        <f t="shared" si="58"/>
        <v>"SparkPlug": 1,</v>
      </c>
      <c r="P722" s="1" t="str">
        <f t="shared" si="59"/>
        <v>"SparkPlug": 68,</v>
      </c>
      <c r="Q722" s="1" t="str">
        <f t="shared" si="60"/>
        <v>"SparkPlug": 400,</v>
      </c>
      <c r="R722" s="1" t="str">
        <f t="shared" si="61"/>
        <v>"SparkPlug": 3,</v>
      </c>
    </row>
    <row r="723" spans="1:18" ht="15" customHeight="1" x14ac:dyDescent="0.25">
      <c r="A723" s="1" t="str">
        <f t="shared" si="62"/>
        <v>#tc_clothes#tc_civil#tc_head</v>
      </c>
      <c r="B723" s="1">
        <f>VLOOKUP(A723,TraderCategory!$A$63:$E$556,2,FALSE)</f>
        <v>0</v>
      </c>
      <c r="C723" s="1">
        <f>VLOOKUP(A723,TraderCategory!$A$63:$F$556,6,FALSE)</f>
        <v>0</v>
      </c>
      <c r="D723" s="1" t="str">
        <f>VLOOKUP(C723,Tabulka5[],3,FALSE)</f>
        <v>Private</v>
      </c>
      <c r="E723" s="1">
        <v>0</v>
      </c>
      <c r="F723" s="1" t="str">
        <f>VLOOKUP(E723,Tabulka5[],3,FALSE)</f>
        <v>Private</v>
      </c>
      <c r="G723" s="1" t="s">
        <v>3115</v>
      </c>
      <c r="H723" s="1" t="s">
        <v>1079</v>
      </c>
      <c r="I723" s="1" t="s">
        <v>403</v>
      </c>
      <c r="J723" s="1" t="s">
        <v>2728</v>
      </c>
      <c r="K723" s="1" t="s">
        <v>3126</v>
      </c>
      <c r="L723" s="1" t="s">
        <v>3130</v>
      </c>
      <c r="M723" s="1">
        <v>300</v>
      </c>
      <c r="N723" s="1">
        <v>1</v>
      </c>
      <c r="O723" s="1" t="str">
        <f t="shared" si="58"/>
        <v>"SportGlasses_Black": 1,</v>
      </c>
      <c r="P723" s="1" t="str">
        <f t="shared" si="59"/>
        <v>"SportGlasses_Black": 0,</v>
      </c>
      <c r="Q723" s="1" t="str">
        <f t="shared" si="60"/>
        <v>"SportGlasses_Black": 300,</v>
      </c>
      <c r="R723" s="1" t="str">
        <f t="shared" si="61"/>
        <v>"SportGlasses_Black": 0,</v>
      </c>
    </row>
    <row r="724" spans="1:18" ht="15" customHeight="1" x14ac:dyDescent="0.25">
      <c r="A724" s="1" t="str">
        <f t="shared" si="62"/>
        <v>#tc_clothes#tc_civil#tc_head</v>
      </c>
      <c r="B724" s="1">
        <f>VLOOKUP(A724,TraderCategory!$A$63:$E$556,2,FALSE)</f>
        <v>0</v>
      </c>
      <c r="C724" s="1">
        <f>VLOOKUP(A724,TraderCategory!$A$63:$F$556,6,FALSE)</f>
        <v>0</v>
      </c>
      <c r="D724" s="1" t="str">
        <f>VLOOKUP(C724,Tabulka5[],3,FALSE)</f>
        <v>Private</v>
      </c>
      <c r="E724" s="1">
        <v>0</v>
      </c>
      <c r="F724" s="1" t="str">
        <f>VLOOKUP(E724,Tabulka5[],3,FALSE)</f>
        <v>Private</v>
      </c>
      <c r="G724" s="1" t="s">
        <v>3115</v>
      </c>
      <c r="H724" s="1" t="s">
        <v>1080</v>
      </c>
      <c r="I724" s="1" t="s">
        <v>403</v>
      </c>
      <c r="J724" s="1" t="s">
        <v>2728</v>
      </c>
      <c r="K724" s="1" t="s">
        <v>3126</v>
      </c>
      <c r="L724" s="1" t="s">
        <v>3130</v>
      </c>
      <c r="M724" s="1">
        <v>300</v>
      </c>
      <c r="N724" s="1">
        <v>1</v>
      </c>
      <c r="O724" s="1" t="str">
        <f t="shared" si="58"/>
        <v>"SportGlasses_Blue": 1,</v>
      </c>
      <c r="P724" s="1" t="str">
        <f t="shared" si="59"/>
        <v>"SportGlasses_Blue": 0,</v>
      </c>
      <c r="Q724" s="1" t="str">
        <f t="shared" si="60"/>
        <v>"SportGlasses_Blue": 300,</v>
      </c>
      <c r="R724" s="1" t="str">
        <f t="shared" si="61"/>
        <v>"SportGlasses_Blue": 0,</v>
      </c>
    </row>
    <row r="725" spans="1:18" ht="15" customHeight="1" x14ac:dyDescent="0.25">
      <c r="A725" s="1" t="str">
        <f t="shared" si="62"/>
        <v>#tc_clothes#tc_civil#tc_head</v>
      </c>
      <c r="B725" s="1">
        <f>VLOOKUP(A725,TraderCategory!$A$63:$E$556,2,FALSE)</f>
        <v>0</v>
      </c>
      <c r="C725" s="1">
        <f>VLOOKUP(A725,TraderCategory!$A$63:$F$556,6,FALSE)</f>
        <v>0</v>
      </c>
      <c r="D725" s="1" t="str">
        <f>VLOOKUP(C725,Tabulka5[],3,FALSE)</f>
        <v>Private</v>
      </c>
      <c r="E725" s="1">
        <v>0</v>
      </c>
      <c r="F725" s="1" t="str">
        <f>VLOOKUP(E725,Tabulka5[],3,FALSE)</f>
        <v>Private</v>
      </c>
      <c r="G725" s="1" t="s">
        <v>3115</v>
      </c>
      <c r="H725" s="1" t="s">
        <v>1081</v>
      </c>
      <c r="I725" s="1" t="s">
        <v>403</v>
      </c>
      <c r="J725" s="1" t="s">
        <v>2728</v>
      </c>
      <c r="K725" s="1" t="s">
        <v>3126</v>
      </c>
      <c r="L725" s="1" t="s">
        <v>3130</v>
      </c>
      <c r="M725" s="1">
        <v>300</v>
      </c>
      <c r="N725" s="1">
        <v>1</v>
      </c>
      <c r="O725" s="1" t="str">
        <f t="shared" si="58"/>
        <v>"SportGlasses_Green": 1,</v>
      </c>
      <c r="P725" s="1" t="str">
        <f t="shared" si="59"/>
        <v>"SportGlasses_Green": 0,</v>
      </c>
      <c r="Q725" s="1" t="str">
        <f t="shared" si="60"/>
        <v>"SportGlasses_Green": 300,</v>
      </c>
      <c r="R725" s="1" t="str">
        <f t="shared" si="61"/>
        <v>"SportGlasses_Green": 0,</v>
      </c>
    </row>
    <row r="726" spans="1:18" ht="15" customHeight="1" x14ac:dyDescent="0.25">
      <c r="A726" s="1" t="str">
        <f t="shared" si="62"/>
        <v>#tc_clothes#tc_civil#tc_head</v>
      </c>
      <c r="B726" s="1">
        <f>VLOOKUP(A726,TraderCategory!$A$63:$E$556,2,FALSE)</f>
        <v>0</v>
      </c>
      <c r="C726" s="1">
        <f>VLOOKUP(A726,TraderCategory!$A$63:$F$556,6,FALSE)</f>
        <v>0</v>
      </c>
      <c r="D726" s="1" t="str">
        <f>VLOOKUP(C726,Tabulka5[],3,FALSE)</f>
        <v>Private</v>
      </c>
      <c r="E726" s="1">
        <v>0</v>
      </c>
      <c r="F726" s="1" t="str">
        <f>VLOOKUP(E726,Tabulka5[],3,FALSE)</f>
        <v>Private</v>
      </c>
      <c r="G726" s="1" t="s">
        <v>3115</v>
      </c>
      <c r="H726" s="1" t="s">
        <v>1082</v>
      </c>
      <c r="I726" s="1" t="s">
        <v>403</v>
      </c>
      <c r="J726" s="1" t="s">
        <v>2728</v>
      </c>
      <c r="K726" s="1" t="s">
        <v>3126</v>
      </c>
      <c r="L726" s="1" t="s">
        <v>3130</v>
      </c>
      <c r="M726" s="1">
        <v>300</v>
      </c>
      <c r="N726" s="1">
        <v>1</v>
      </c>
      <c r="O726" s="1" t="str">
        <f t="shared" si="58"/>
        <v>"SportGlasses_Orange": 1,</v>
      </c>
      <c r="P726" s="1" t="str">
        <f t="shared" si="59"/>
        <v>"SportGlasses_Orange": 0,</v>
      </c>
      <c r="Q726" s="1" t="str">
        <f t="shared" si="60"/>
        <v>"SportGlasses_Orange": 300,</v>
      </c>
      <c r="R726" s="1" t="str">
        <f t="shared" si="61"/>
        <v>"SportGlasses_Orange": 0,</v>
      </c>
    </row>
    <row r="727" spans="1:18" ht="15" customHeight="1" x14ac:dyDescent="0.25">
      <c r="A727" s="1" t="str">
        <f t="shared" si="62"/>
        <v>#tc_groceries#tc_tools#tc_lights</v>
      </c>
      <c r="B727" s="1">
        <f>VLOOKUP(A727,TraderCategory!$A$63:$E$556,2,FALSE)</f>
        <v>37</v>
      </c>
      <c r="C727" s="1">
        <f>VLOOKUP(A727,TraderCategory!$A$63:$F$556,6,FALSE)</f>
        <v>0</v>
      </c>
      <c r="D727" s="1" t="str">
        <f>VLOOKUP(C727,Tabulka5[],3,FALSE)</f>
        <v>Private</v>
      </c>
      <c r="E727" s="1">
        <v>1</v>
      </c>
      <c r="F727" s="1" t="str">
        <f>VLOOKUP(E727,Tabulka5[],3,FALSE)</f>
        <v>Private First Class</v>
      </c>
      <c r="G727" s="1" t="s">
        <v>3115</v>
      </c>
      <c r="H727" s="1" t="s">
        <v>1083</v>
      </c>
      <c r="I727" s="1" t="s">
        <v>426</v>
      </c>
      <c r="J727" s="1" t="s">
        <v>3127</v>
      </c>
      <c r="K727" s="1" t="s">
        <v>2740</v>
      </c>
      <c r="L727" s="1" t="s">
        <v>3147</v>
      </c>
      <c r="M727" s="1">
        <v>2500</v>
      </c>
      <c r="N727" s="1">
        <v>1</v>
      </c>
      <c r="O727" s="1" t="str">
        <f t="shared" si="58"/>
        <v>"Spotlight": 1,</v>
      </c>
      <c r="P727" s="1" t="str">
        <f t="shared" si="59"/>
        <v>"Spotlight": 37,</v>
      </c>
      <c r="Q727" s="1" t="str">
        <f t="shared" si="60"/>
        <v>"Spotlight": 2500,</v>
      </c>
      <c r="R727" s="1" t="str">
        <f t="shared" si="61"/>
        <v>"Spotlight": 1,</v>
      </c>
    </row>
    <row r="728" spans="1:18" ht="15" customHeight="1" x14ac:dyDescent="0.25">
      <c r="A728" s="1" t="str">
        <f t="shared" si="62"/>
        <v>#tc_clothes#tc_military#tc_head</v>
      </c>
      <c r="B728" s="1">
        <f>VLOOKUP(A728,TraderCategory!$A$63:$E$556,2,FALSE)</f>
        <v>8</v>
      </c>
      <c r="C728" s="1">
        <f>VLOOKUP(A728,TraderCategory!$A$63:$F$556,6,FALSE)</f>
        <v>1</v>
      </c>
      <c r="D728" s="1" t="str">
        <f>VLOOKUP(C728,Tabulka5[],3,FALSE)</f>
        <v>Private First Class</v>
      </c>
      <c r="E728" s="1">
        <v>1</v>
      </c>
      <c r="F728" s="1" t="str">
        <f>VLOOKUP(E728,Tabulka5[],3,FALSE)</f>
        <v>Private First Class</v>
      </c>
      <c r="G728" s="1" t="s">
        <v>3115</v>
      </c>
      <c r="H728" s="1" t="s">
        <v>1084</v>
      </c>
      <c r="I728" s="1" t="s">
        <v>403</v>
      </c>
      <c r="J728" s="1" t="s">
        <v>2728</v>
      </c>
      <c r="K728" s="1" t="s">
        <v>2729</v>
      </c>
      <c r="L728" s="1" t="s">
        <v>3130</v>
      </c>
      <c r="M728" s="1">
        <v>5000</v>
      </c>
      <c r="N728" s="1">
        <v>1</v>
      </c>
      <c r="O728" s="1" t="str">
        <f t="shared" si="58"/>
        <v>"Ssh68Helmet": 1,</v>
      </c>
      <c r="P728" s="1" t="str">
        <f t="shared" si="59"/>
        <v>"Ssh68Helmet": 8,</v>
      </c>
      <c r="Q728" s="1" t="str">
        <f t="shared" si="60"/>
        <v>"Ssh68Helmet": 5000,</v>
      </c>
      <c r="R728" s="1" t="str">
        <f t="shared" si="61"/>
        <v>"Ssh68Helmet": 1,</v>
      </c>
    </row>
    <row r="729" spans="1:18" ht="15" customHeight="1" x14ac:dyDescent="0.25">
      <c r="A729" s="1" t="str">
        <f t="shared" si="62"/>
        <v>#tc_groceries#tc_medic#tc_equipments</v>
      </c>
      <c r="B729" s="1">
        <f>VLOOKUP(A729,TraderCategory!$A$63:$E$556,2,FALSE)</f>
        <v>25</v>
      </c>
      <c r="C729" s="1">
        <f>VLOOKUP(A729,TraderCategory!$A$63:$F$556,6,FALSE)</f>
        <v>6</v>
      </c>
      <c r="D729" s="1" t="str">
        <f>VLOOKUP(C729,Tabulka5[],3,FALSE)</f>
        <v>Master Sergeant</v>
      </c>
      <c r="E729" s="1">
        <v>6</v>
      </c>
      <c r="F729" s="1" t="str">
        <f>VLOOKUP(E729,Tabulka5[],3,FALSE)</f>
        <v>Master Sergeant</v>
      </c>
      <c r="G729" s="1" t="s">
        <v>3115</v>
      </c>
      <c r="H729" s="1" t="s">
        <v>1085</v>
      </c>
      <c r="I729" s="1" t="s">
        <v>426</v>
      </c>
      <c r="J729" s="1" t="s">
        <v>3127</v>
      </c>
      <c r="K729" s="1" t="s">
        <v>2739</v>
      </c>
      <c r="L729" s="1" t="s">
        <v>3152</v>
      </c>
      <c r="M729" s="1">
        <v>500</v>
      </c>
      <c r="N729" s="1">
        <v>1</v>
      </c>
      <c r="O729" s="1" t="str">
        <f t="shared" si="58"/>
        <v>"StartKitIV": 1,</v>
      </c>
      <c r="P729" s="1" t="str">
        <f t="shared" si="59"/>
        <v>"StartKitIV": 25,</v>
      </c>
      <c r="Q729" s="1" t="str">
        <f t="shared" si="60"/>
        <v>"StartKitIV": 500,</v>
      </c>
      <c r="R729" s="1" t="str">
        <f t="shared" si="61"/>
        <v>"StartKitIV": 6,</v>
      </c>
    </row>
    <row r="730" spans="1:18" ht="15" customHeight="1" x14ac:dyDescent="0.25">
      <c r="A730" s="1" t="str">
        <f t="shared" si="62"/>
        <v>#tc_groceries#tc_tools#tc_knifes</v>
      </c>
      <c r="B730" s="1">
        <f>VLOOKUP(A730,TraderCategory!$A$63:$E$556,2,FALSE)</f>
        <v>28</v>
      </c>
      <c r="C730" s="1">
        <f>VLOOKUP(A730,TraderCategory!$A$63:$F$556,6,FALSE)</f>
        <v>0</v>
      </c>
      <c r="D730" s="1" t="str">
        <f>VLOOKUP(C730,Tabulka5[],3,FALSE)</f>
        <v>Private</v>
      </c>
      <c r="E730" s="1">
        <v>0</v>
      </c>
      <c r="F730" s="1" t="str">
        <f>VLOOKUP(E730,Tabulka5[],3,FALSE)</f>
        <v>Private</v>
      </c>
      <c r="G730" s="1" t="s">
        <v>3115</v>
      </c>
      <c r="H730" s="1" t="s">
        <v>1086</v>
      </c>
      <c r="I730" s="1" t="s">
        <v>426</v>
      </c>
      <c r="J730" s="1" t="s">
        <v>3127</v>
      </c>
      <c r="K730" s="1" t="s">
        <v>2740</v>
      </c>
      <c r="L730" s="1" t="s">
        <v>3143</v>
      </c>
      <c r="M730" s="1">
        <v>200</v>
      </c>
      <c r="N730" s="1">
        <v>1</v>
      </c>
      <c r="O730" s="1" t="str">
        <f t="shared" si="58"/>
        <v>"SteakKnife": 1,</v>
      </c>
      <c r="P730" s="1" t="str">
        <f t="shared" si="59"/>
        <v>"SteakKnife": 28,</v>
      </c>
      <c r="Q730" s="1" t="str">
        <f t="shared" si="60"/>
        <v>"SteakKnife": 200,</v>
      </c>
      <c r="R730" s="1" t="str">
        <f t="shared" si="61"/>
        <v>"SteakKnife": 0,</v>
      </c>
    </row>
    <row r="731" spans="1:18" ht="15" customHeight="1" x14ac:dyDescent="0.25">
      <c r="A731" s="1" t="str">
        <f t="shared" si="62"/>
        <v>#tc_clothes#tc_civil#tc_gloves</v>
      </c>
      <c r="B731" s="1">
        <f>VLOOKUP(A731,TraderCategory!$A$63:$E$556,2,FALSE)</f>
        <v>2</v>
      </c>
      <c r="C731" s="1">
        <f>VLOOKUP(A731,TraderCategory!$A$63:$F$556,6,FALSE)</f>
        <v>0</v>
      </c>
      <c r="D731" s="1" t="str">
        <f>VLOOKUP(C731,Tabulka5[],3,FALSE)</f>
        <v>Private</v>
      </c>
      <c r="E731" s="1">
        <v>0</v>
      </c>
      <c r="F731" s="1" t="str">
        <f>VLOOKUP(E731,Tabulka5[],3,FALSE)</f>
        <v>Private</v>
      </c>
      <c r="G731" s="1" t="s">
        <v>3115</v>
      </c>
      <c r="H731" s="1" t="s">
        <v>1087</v>
      </c>
      <c r="I731" s="1" t="s">
        <v>403</v>
      </c>
      <c r="J731" s="1" t="s">
        <v>2728</v>
      </c>
      <c r="K731" s="1" t="s">
        <v>3126</v>
      </c>
      <c r="L731" s="1" t="s">
        <v>3132</v>
      </c>
      <c r="M731" s="1">
        <v>100</v>
      </c>
      <c r="N731" s="1">
        <v>1</v>
      </c>
      <c r="O731" s="1" t="str">
        <f t="shared" si="58"/>
        <v>"SurgicalGloves_Blue": 1,</v>
      </c>
      <c r="P731" s="1" t="str">
        <f t="shared" si="59"/>
        <v>"SurgicalGloves_Blue": 2,</v>
      </c>
      <c r="Q731" s="1" t="str">
        <f t="shared" si="60"/>
        <v>"SurgicalGloves_Blue": 100,</v>
      </c>
      <c r="R731" s="1" t="str">
        <f t="shared" si="61"/>
        <v>"SurgicalGloves_Blue": 0,</v>
      </c>
    </row>
    <row r="732" spans="1:18" ht="15" customHeight="1" x14ac:dyDescent="0.25">
      <c r="A732" s="1" t="str">
        <f t="shared" si="62"/>
        <v>#tc_clothes#tc_civil#tc_gloves</v>
      </c>
      <c r="B732" s="1">
        <f>VLOOKUP(A732,TraderCategory!$A$63:$E$556,2,FALSE)</f>
        <v>2</v>
      </c>
      <c r="C732" s="1">
        <f>VLOOKUP(A732,TraderCategory!$A$63:$F$556,6,FALSE)</f>
        <v>0</v>
      </c>
      <c r="D732" s="1" t="str">
        <f>VLOOKUP(C732,Tabulka5[],3,FALSE)</f>
        <v>Private</v>
      </c>
      <c r="E732" s="1">
        <v>0</v>
      </c>
      <c r="F732" s="1" t="str">
        <f>VLOOKUP(E732,Tabulka5[],3,FALSE)</f>
        <v>Private</v>
      </c>
      <c r="G732" s="1" t="s">
        <v>3115</v>
      </c>
      <c r="H732" s="1" t="s">
        <v>1088</v>
      </c>
      <c r="I732" s="1" t="s">
        <v>403</v>
      </c>
      <c r="J732" s="1" t="s">
        <v>2728</v>
      </c>
      <c r="K732" s="1" t="s">
        <v>3126</v>
      </c>
      <c r="L732" s="1" t="s">
        <v>3132</v>
      </c>
      <c r="M732" s="1">
        <v>100</v>
      </c>
      <c r="N732" s="1">
        <v>1</v>
      </c>
      <c r="O732" s="1" t="str">
        <f t="shared" si="58"/>
        <v>"SurgicalGloves_Green": 1,</v>
      </c>
      <c r="P732" s="1" t="str">
        <f t="shared" si="59"/>
        <v>"SurgicalGloves_Green": 2,</v>
      </c>
      <c r="Q732" s="1" t="str">
        <f t="shared" si="60"/>
        <v>"SurgicalGloves_Green": 100,</v>
      </c>
      <c r="R732" s="1" t="str">
        <f t="shared" si="61"/>
        <v>"SurgicalGloves_Green": 0,</v>
      </c>
    </row>
    <row r="733" spans="1:18" ht="15" customHeight="1" x14ac:dyDescent="0.25">
      <c r="A733" s="1" t="str">
        <f t="shared" si="62"/>
        <v>#tc_clothes#tc_civil#tc_gloves</v>
      </c>
      <c r="B733" s="1">
        <f>VLOOKUP(A733,TraderCategory!$A$63:$E$556,2,FALSE)</f>
        <v>2</v>
      </c>
      <c r="C733" s="1">
        <f>VLOOKUP(A733,TraderCategory!$A$63:$F$556,6,FALSE)</f>
        <v>0</v>
      </c>
      <c r="D733" s="1" t="str">
        <f>VLOOKUP(C733,Tabulka5[],3,FALSE)</f>
        <v>Private</v>
      </c>
      <c r="E733" s="1">
        <v>0</v>
      </c>
      <c r="F733" s="1" t="str">
        <f>VLOOKUP(E733,Tabulka5[],3,FALSE)</f>
        <v>Private</v>
      </c>
      <c r="G733" s="1" t="s">
        <v>3115</v>
      </c>
      <c r="H733" s="1" t="s">
        <v>1089</v>
      </c>
      <c r="I733" s="1" t="s">
        <v>403</v>
      </c>
      <c r="J733" s="1" t="s">
        <v>2728</v>
      </c>
      <c r="K733" s="1" t="s">
        <v>3126</v>
      </c>
      <c r="L733" s="1" t="s">
        <v>3132</v>
      </c>
      <c r="M733" s="1">
        <v>100</v>
      </c>
      <c r="N733" s="1">
        <v>1</v>
      </c>
      <c r="O733" s="1" t="str">
        <f t="shared" si="58"/>
        <v>"SurgicalGloves_LightBlue": 1,</v>
      </c>
      <c r="P733" s="1" t="str">
        <f t="shared" si="59"/>
        <v>"SurgicalGloves_LightBlue": 2,</v>
      </c>
      <c r="Q733" s="1" t="str">
        <f t="shared" si="60"/>
        <v>"SurgicalGloves_LightBlue": 100,</v>
      </c>
      <c r="R733" s="1" t="str">
        <f t="shared" si="61"/>
        <v>"SurgicalGloves_LightBlue": 0,</v>
      </c>
    </row>
    <row r="734" spans="1:18" ht="15" customHeight="1" x14ac:dyDescent="0.25">
      <c r="A734" s="1" t="str">
        <f t="shared" si="62"/>
        <v>#tc_clothes#tc_civil#tc_gloves</v>
      </c>
      <c r="B734" s="1">
        <f>VLOOKUP(A734,TraderCategory!$A$63:$E$556,2,FALSE)</f>
        <v>2</v>
      </c>
      <c r="C734" s="1">
        <f>VLOOKUP(A734,TraderCategory!$A$63:$F$556,6,FALSE)</f>
        <v>0</v>
      </c>
      <c r="D734" s="1" t="str">
        <f>VLOOKUP(C734,Tabulka5[],3,FALSE)</f>
        <v>Private</v>
      </c>
      <c r="E734" s="1">
        <v>0</v>
      </c>
      <c r="F734" s="1" t="str">
        <f>VLOOKUP(E734,Tabulka5[],3,FALSE)</f>
        <v>Private</v>
      </c>
      <c r="G734" s="1" t="s">
        <v>3115</v>
      </c>
      <c r="H734" s="1" t="s">
        <v>1090</v>
      </c>
      <c r="I734" s="1" t="s">
        <v>403</v>
      </c>
      <c r="J734" s="1" t="s">
        <v>2728</v>
      </c>
      <c r="K734" s="1" t="s">
        <v>3126</v>
      </c>
      <c r="L734" s="1" t="s">
        <v>3132</v>
      </c>
      <c r="M734" s="1">
        <v>100</v>
      </c>
      <c r="N734" s="1">
        <v>1</v>
      </c>
      <c r="O734" s="1" t="str">
        <f t="shared" si="58"/>
        <v>"SurgicalGloves_White": 1,</v>
      </c>
      <c r="P734" s="1" t="str">
        <f t="shared" si="59"/>
        <v>"SurgicalGloves_White": 2,</v>
      </c>
      <c r="Q734" s="1" t="str">
        <f t="shared" si="60"/>
        <v>"SurgicalGloves_White": 100,</v>
      </c>
      <c r="R734" s="1" t="str">
        <f t="shared" si="61"/>
        <v>"SurgicalGloves_White": 0,</v>
      </c>
    </row>
    <row r="735" spans="1:18" ht="15" customHeight="1" x14ac:dyDescent="0.25">
      <c r="A735" s="1" t="str">
        <f t="shared" si="62"/>
        <v>#tc_clothes#tc_civil#tc_head</v>
      </c>
      <c r="B735" s="1">
        <f>VLOOKUP(A735,TraderCategory!$A$63:$E$556,2,FALSE)</f>
        <v>0</v>
      </c>
      <c r="C735" s="1">
        <f>VLOOKUP(A735,TraderCategory!$A$63:$F$556,6,FALSE)</f>
        <v>0</v>
      </c>
      <c r="D735" s="1" t="str">
        <f>VLOOKUP(C735,Tabulka5[],3,FALSE)</f>
        <v>Private</v>
      </c>
      <c r="E735" s="1">
        <v>0</v>
      </c>
      <c r="F735" s="1" t="str">
        <f>VLOOKUP(E735,Tabulka5[],3,FALSE)</f>
        <v>Private</v>
      </c>
      <c r="G735" s="1" t="s">
        <v>3115</v>
      </c>
      <c r="H735" s="1" t="s">
        <v>1091</v>
      </c>
      <c r="I735" s="1" t="s">
        <v>403</v>
      </c>
      <c r="J735" s="1" t="s">
        <v>2728</v>
      </c>
      <c r="K735" s="1" t="s">
        <v>3126</v>
      </c>
      <c r="L735" s="1" t="s">
        <v>3130</v>
      </c>
      <c r="M735" s="1">
        <v>150</v>
      </c>
      <c r="N735" s="1">
        <v>1</v>
      </c>
      <c r="O735" s="1" t="str">
        <f t="shared" si="58"/>
        <v>"SurgicalMask": 1,</v>
      </c>
      <c r="P735" s="1" t="str">
        <f t="shared" si="59"/>
        <v>"SurgicalMask": 0,</v>
      </c>
      <c r="Q735" s="1" t="str">
        <f t="shared" si="60"/>
        <v>"SurgicalMask": 150,</v>
      </c>
      <c r="R735" s="1" t="str">
        <f t="shared" si="61"/>
        <v>"SurgicalMask": 0,</v>
      </c>
    </row>
    <row r="736" spans="1:18" ht="15" customHeight="1" x14ac:dyDescent="0.25">
      <c r="A736" s="1" t="str">
        <f t="shared" si="62"/>
        <v>#tc_clothes#tc_civil#tc_tops</v>
      </c>
      <c r="B736" s="1">
        <f>VLOOKUP(A736,TraderCategory!$A$63:$E$556,2,FALSE)</f>
        <v>1</v>
      </c>
      <c r="C736" s="1">
        <f>VLOOKUP(A736,TraderCategory!$A$63:$F$556,6,FALSE)</f>
        <v>0</v>
      </c>
      <c r="D736" s="1" t="str">
        <f>VLOOKUP(C736,Tabulka5[],3,FALSE)</f>
        <v>Private</v>
      </c>
      <c r="E736" s="1">
        <v>0</v>
      </c>
      <c r="F736" s="1" t="str">
        <f>VLOOKUP(E736,Tabulka5[],3,FALSE)</f>
        <v>Private</v>
      </c>
      <c r="G736" s="1" t="s">
        <v>3115</v>
      </c>
      <c r="H736" s="1" t="s">
        <v>1092</v>
      </c>
      <c r="I736" s="1" t="s">
        <v>403</v>
      </c>
      <c r="J736" s="1" t="s">
        <v>2728</v>
      </c>
      <c r="K736" s="1" t="s">
        <v>3126</v>
      </c>
      <c r="L736" s="1" t="s">
        <v>3131</v>
      </c>
      <c r="M736" s="1">
        <v>2000</v>
      </c>
      <c r="N736" s="1">
        <v>1</v>
      </c>
      <c r="O736" s="1" t="str">
        <f t="shared" si="58"/>
        <v>"Sweater_Blue": 1,</v>
      </c>
      <c r="P736" s="1" t="str">
        <f t="shared" si="59"/>
        <v>"Sweater_Blue": 1,</v>
      </c>
      <c r="Q736" s="1" t="str">
        <f t="shared" si="60"/>
        <v>"Sweater_Blue": 2000,</v>
      </c>
      <c r="R736" s="1" t="str">
        <f t="shared" si="61"/>
        <v>"Sweater_Blue": 0,</v>
      </c>
    </row>
    <row r="737" spans="1:18" ht="15" customHeight="1" x14ac:dyDescent="0.25">
      <c r="A737" s="1" t="str">
        <f t="shared" si="62"/>
        <v>#tc_clothes#tc_civil#tc_tops</v>
      </c>
      <c r="B737" s="1">
        <f>VLOOKUP(A737,TraderCategory!$A$63:$E$556,2,FALSE)</f>
        <v>1</v>
      </c>
      <c r="C737" s="1">
        <f>VLOOKUP(A737,TraderCategory!$A$63:$F$556,6,FALSE)</f>
        <v>0</v>
      </c>
      <c r="D737" s="1" t="str">
        <f>VLOOKUP(C737,Tabulka5[],3,FALSE)</f>
        <v>Private</v>
      </c>
      <c r="E737" s="1">
        <v>0</v>
      </c>
      <c r="F737" s="1" t="str">
        <f>VLOOKUP(E737,Tabulka5[],3,FALSE)</f>
        <v>Private</v>
      </c>
      <c r="G737" s="1" t="s">
        <v>3115</v>
      </c>
      <c r="H737" s="1" t="s">
        <v>1093</v>
      </c>
      <c r="I737" s="1" t="s">
        <v>403</v>
      </c>
      <c r="J737" s="1" t="s">
        <v>2728</v>
      </c>
      <c r="K737" s="1" t="s">
        <v>3126</v>
      </c>
      <c r="L737" s="1" t="s">
        <v>3131</v>
      </c>
      <c r="M737" s="1">
        <v>2000</v>
      </c>
      <c r="N737" s="1">
        <v>1</v>
      </c>
      <c r="O737" s="1" t="str">
        <f t="shared" si="58"/>
        <v>"Sweater_Gray": 1,</v>
      </c>
      <c r="P737" s="1" t="str">
        <f t="shared" si="59"/>
        <v>"Sweater_Gray": 1,</v>
      </c>
      <c r="Q737" s="1" t="str">
        <f t="shared" si="60"/>
        <v>"Sweater_Gray": 2000,</v>
      </c>
      <c r="R737" s="1" t="str">
        <f t="shared" si="61"/>
        <v>"Sweater_Gray": 0,</v>
      </c>
    </row>
    <row r="738" spans="1:18" ht="15" customHeight="1" x14ac:dyDescent="0.25">
      <c r="A738" s="1" t="str">
        <f t="shared" si="62"/>
        <v>#tc_clothes#tc_civil#tc_tops</v>
      </c>
      <c r="B738" s="1">
        <f>VLOOKUP(A738,TraderCategory!$A$63:$E$556,2,FALSE)</f>
        <v>1</v>
      </c>
      <c r="C738" s="1">
        <f>VLOOKUP(A738,TraderCategory!$A$63:$F$556,6,FALSE)</f>
        <v>0</v>
      </c>
      <c r="D738" s="1" t="str">
        <f>VLOOKUP(C738,Tabulka5[],3,FALSE)</f>
        <v>Private</v>
      </c>
      <c r="E738" s="1">
        <v>0</v>
      </c>
      <c r="F738" s="1" t="str">
        <f>VLOOKUP(E738,Tabulka5[],3,FALSE)</f>
        <v>Private</v>
      </c>
      <c r="G738" s="1" t="s">
        <v>3115</v>
      </c>
      <c r="H738" s="1" t="s">
        <v>1094</v>
      </c>
      <c r="I738" s="1" t="s">
        <v>403</v>
      </c>
      <c r="J738" s="1" t="s">
        <v>2728</v>
      </c>
      <c r="K738" s="1" t="s">
        <v>3126</v>
      </c>
      <c r="L738" s="1" t="s">
        <v>3131</v>
      </c>
      <c r="M738" s="1">
        <v>2000</v>
      </c>
      <c r="N738" s="1">
        <v>1</v>
      </c>
      <c r="O738" s="1" t="str">
        <f t="shared" si="58"/>
        <v>"Sweater_Green": 1,</v>
      </c>
      <c r="P738" s="1" t="str">
        <f t="shared" si="59"/>
        <v>"Sweater_Green": 1,</v>
      </c>
      <c r="Q738" s="1" t="str">
        <f t="shared" si="60"/>
        <v>"Sweater_Green": 2000,</v>
      </c>
      <c r="R738" s="1" t="str">
        <f t="shared" si="61"/>
        <v>"Sweater_Green": 0,</v>
      </c>
    </row>
    <row r="739" spans="1:18" ht="15" customHeight="1" x14ac:dyDescent="0.25">
      <c r="A739" s="1" t="str">
        <f t="shared" si="62"/>
        <v>#tc_clothes#tc_civil#tc_tops</v>
      </c>
      <c r="B739" s="1">
        <f>VLOOKUP(A739,TraderCategory!$A$63:$E$556,2,FALSE)</f>
        <v>1</v>
      </c>
      <c r="C739" s="1">
        <f>VLOOKUP(A739,TraderCategory!$A$63:$F$556,6,FALSE)</f>
        <v>0</v>
      </c>
      <c r="D739" s="1" t="str">
        <f>VLOOKUP(C739,Tabulka5[],3,FALSE)</f>
        <v>Private</v>
      </c>
      <c r="E739" s="1">
        <v>0</v>
      </c>
      <c r="F739" s="1" t="str">
        <f>VLOOKUP(E739,Tabulka5[],3,FALSE)</f>
        <v>Private</v>
      </c>
      <c r="G739" s="1" t="s">
        <v>3115</v>
      </c>
      <c r="H739" s="1" t="s">
        <v>1095</v>
      </c>
      <c r="I739" s="1" t="s">
        <v>403</v>
      </c>
      <c r="J739" s="1" t="s">
        <v>2728</v>
      </c>
      <c r="K739" s="1" t="s">
        <v>3126</v>
      </c>
      <c r="L739" s="1" t="s">
        <v>3131</v>
      </c>
      <c r="M739" s="1">
        <v>2000</v>
      </c>
      <c r="N739" s="1">
        <v>1</v>
      </c>
      <c r="O739" s="1" t="str">
        <f t="shared" si="58"/>
        <v>"Sweater_Red": 1,</v>
      </c>
      <c r="P739" s="1" t="str">
        <f t="shared" si="59"/>
        <v>"Sweater_Red": 1,</v>
      </c>
      <c r="Q739" s="1" t="str">
        <f t="shared" si="60"/>
        <v>"Sweater_Red": 2000,</v>
      </c>
      <c r="R739" s="1" t="str">
        <f t="shared" si="61"/>
        <v>"Sweater_Red": 0,</v>
      </c>
    </row>
    <row r="740" spans="1:18" x14ac:dyDescent="0.25">
      <c r="A740" s="1" t="str">
        <f t="shared" si="62"/>
        <v>#tc_military#tc_attachments#tc_attachments</v>
      </c>
      <c r="B740" s="1">
        <f>VLOOKUP(A740,TraderCategory!$A$63:$E$556,2,FALSE)</f>
        <v>48</v>
      </c>
      <c r="C740" s="1">
        <f>VLOOKUP(A740,TraderCategory!$A$63:$F$556,6,FALSE)</f>
        <v>0</v>
      </c>
      <c r="D740" s="1" t="str">
        <f>VLOOKUP(C740,Tabulka5[],3,FALSE)</f>
        <v>Private</v>
      </c>
      <c r="E740" s="1">
        <v>0</v>
      </c>
      <c r="F740" s="1" t="str">
        <f>VLOOKUP(E740,Tabulka5[],3,FALSE)</f>
        <v>Private</v>
      </c>
      <c r="G740" s="1" t="s">
        <v>3115</v>
      </c>
      <c r="H740" s="1" t="s">
        <v>1096</v>
      </c>
      <c r="I740" s="1" t="s">
        <v>8</v>
      </c>
      <c r="J740" s="1" t="s">
        <v>2729</v>
      </c>
      <c r="K740" s="1" t="s">
        <v>2736</v>
      </c>
      <c r="L740" s="1" t="s">
        <v>2736</v>
      </c>
      <c r="M740" s="1">
        <v>800</v>
      </c>
      <c r="N740" s="1">
        <v>1</v>
      </c>
      <c r="O740" s="1" t="str">
        <f t="shared" si="58"/>
        <v>"TLRLight": 1,</v>
      </c>
      <c r="P740" s="1" t="str">
        <f t="shared" si="59"/>
        <v>"TLRLight": 48,</v>
      </c>
      <c r="Q740" s="1" t="str">
        <f t="shared" si="60"/>
        <v>"TLRLight": 800,</v>
      </c>
      <c r="R740" s="1" t="str">
        <f t="shared" si="61"/>
        <v>"TLRLight": 0,</v>
      </c>
    </row>
    <row r="741" spans="1:18" ht="15" customHeight="1" x14ac:dyDescent="0.25">
      <c r="A741" s="1" t="str">
        <f t="shared" si="62"/>
        <v>#tc_clothes#tc_civil#tc_tops</v>
      </c>
      <c r="B741" s="1">
        <f>VLOOKUP(A741,TraderCategory!$A$63:$E$556,2,FALSE)</f>
        <v>1</v>
      </c>
      <c r="C741" s="1">
        <f>VLOOKUP(A741,TraderCategory!$A$63:$F$556,6,FALSE)</f>
        <v>0</v>
      </c>
      <c r="D741" s="1" t="str">
        <f>VLOOKUP(C741,Tabulka5[],3,FALSE)</f>
        <v>Private</v>
      </c>
      <c r="E741" s="1">
        <v>0</v>
      </c>
      <c r="F741" s="1" t="str">
        <f>VLOOKUP(E741,Tabulka5[],3,FALSE)</f>
        <v>Private</v>
      </c>
      <c r="G741" s="1" t="s">
        <v>3115</v>
      </c>
      <c r="H741" s="1" t="s">
        <v>1097</v>
      </c>
      <c r="I741" s="1" t="s">
        <v>403</v>
      </c>
      <c r="J741" s="1" t="s">
        <v>2728</v>
      </c>
      <c r="K741" s="1" t="s">
        <v>3126</v>
      </c>
      <c r="L741" s="1" t="s">
        <v>3131</v>
      </c>
      <c r="M741" s="1">
        <v>2000</v>
      </c>
      <c r="N741" s="1">
        <v>1</v>
      </c>
      <c r="O741" s="1" t="str">
        <f t="shared" si="58"/>
        <v>"TShirt_Beige": 1,</v>
      </c>
      <c r="P741" s="1" t="str">
        <f t="shared" si="59"/>
        <v>"TShirt_Beige": 1,</v>
      </c>
      <c r="Q741" s="1" t="str">
        <f t="shared" si="60"/>
        <v>"TShirt_Beige": 2000,</v>
      </c>
      <c r="R741" s="1" t="str">
        <f t="shared" si="61"/>
        <v>"TShirt_Beige": 0,</v>
      </c>
    </row>
    <row r="742" spans="1:18" ht="15" customHeight="1" x14ac:dyDescent="0.25">
      <c r="A742" s="1" t="str">
        <f t="shared" si="62"/>
        <v>#tc_clothes#tc_civil#tc_tops</v>
      </c>
      <c r="B742" s="1">
        <f>VLOOKUP(A742,TraderCategory!$A$63:$E$556,2,FALSE)</f>
        <v>1</v>
      </c>
      <c r="C742" s="1">
        <f>VLOOKUP(A742,TraderCategory!$A$63:$F$556,6,FALSE)</f>
        <v>0</v>
      </c>
      <c r="D742" s="1" t="str">
        <f>VLOOKUP(C742,Tabulka5[],3,FALSE)</f>
        <v>Private</v>
      </c>
      <c r="E742" s="1">
        <v>0</v>
      </c>
      <c r="F742" s="1" t="str">
        <f>VLOOKUP(E742,Tabulka5[],3,FALSE)</f>
        <v>Private</v>
      </c>
      <c r="G742" s="1" t="s">
        <v>3115</v>
      </c>
      <c r="H742" s="1" t="s">
        <v>1098</v>
      </c>
      <c r="I742" s="1" t="s">
        <v>403</v>
      </c>
      <c r="J742" s="1" t="s">
        <v>2728</v>
      </c>
      <c r="K742" s="1" t="s">
        <v>3126</v>
      </c>
      <c r="L742" s="1" t="s">
        <v>3131</v>
      </c>
      <c r="M742" s="1">
        <v>2000</v>
      </c>
      <c r="N742" s="1">
        <v>1</v>
      </c>
      <c r="O742" s="1" t="str">
        <f t="shared" si="58"/>
        <v>"TShirt_Black": 1,</v>
      </c>
      <c r="P742" s="1" t="str">
        <f t="shared" si="59"/>
        <v>"TShirt_Black": 1,</v>
      </c>
      <c r="Q742" s="1" t="str">
        <f t="shared" si="60"/>
        <v>"TShirt_Black": 2000,</v>
      </c>
      <c r="R742" s="1" t="str">
        <f t="shared" si="61"/>
        <v>"TShirt_Black": 0,</v>
      </c>
    </row>
    <row r="743" spans="1:18" ht="15" customHeight="1" x14ac:dyDescent="0.25">
      <c r="A743" s="1" t="str">
        <f t="shared" si="62"/>
        <v>#tc_clothes#tc_civil#tc_tops</v>
      </c>
      <c r="B743" s="1">
        <f>VLOOKUP(A743,TraderCategory!$A$63:$E$556,2,FALSE)</f>
        <v>1</v>
      </c>
      <c r="C743" s="1">
        <f>VLOOKUP(A743,TraderCategory!$A$63:$F$556,6,FALSE)</f>
        <v>0</v>
      </c>
      <c r="D743" s="1" t="str">
        <f>VLOOKUP(C743,Tabulka5[],3,FALSE)</f>
        <v>Private</v>
      </c>
      <c r="E743" s="1">
        <v>0</v>
      </c>
      <c r="F743" s="1" t="str">
        <f>VLOOKUP(E743,Tabulka5[],3,FALSE)</f>
        <v>Private</v>
      </c>
      <c r="G743" s="1" t="s">
        <v>3115</v>
      </c>
      <c r="H743" s="1" t="s">
        <v>1099</v>
      </c>
      <c r="I743" s="1" t="s">
        <v>403</v>
      </c>
      <c r="J743" s="1" t="s">
        <v>2728</v>
      </c>
      <c r="K743" s="1" t="s">
        <v>3126</v>
      </c>
      <c r="L743" s="1" t="s">
        <v>3131</v>
      </c>
      <c r="M743" s="1">
        <v>2000</v>
      </c>
      <c r="N743" s="1">
        <v>1</v>
      </c>
      <c r="O743" s="1" t="str">
        <f t="shared" si="58"/>
        <v>"TShirt_Blue": 1,</v>
      </c>
      <c r="P743" s="1" t="str">
        <f t="shared" si="59"/>
        <v>"TShirt_Blue": 1,</v>
      </c>
      <c r="Q743" s="1" t="str">
        <f t="shared" si="60"/>
        <v>"TShirt_Blue": 2000,</v>
      </c>
      <c r="R743" s="1" t="str">
        <f t="shared" si="61"/>
        <v>"TShirt_Blue": 0,</v>
      </c>
    </row>
    <row r="744" spans="1:18" ht="15" customHeight="1" x14ac:dyDescent="0.25">
      <c r="A744" s="1" t="str">
        <f t="shared" si="62"/>
        <v>#tc_clothes#tc_civil#tc_tops</v>
      </c>
      <c r="B744" s="1">
        <f>VLOOKUP(A744,TraderCategory!$A$63:$E$556,2,FALSE)</f>
        <v>1</v>
      </c>
      <c r="C744" s="1">
        <f>VLOOKUP(A744,TraderCategory!$A$63:$F$556,6,FALSE)</f>
        <v>0</v>
      </c>
      <c r="D744" s="1" t="str">
        <f>VLOOKUP(C744,Tabulka5[],3,FALSE)</f>
        <v>Private</v>
      </c>
      <c r="E744" s="1">
        <v>0</v>
      </c>
      <c r="F744" s="1" t="str">
        <f>VLOOKUP(E744,Tabulka5[],3,FALSE)</f>
        <v>Private</v>
      </c>
      <c r="G744" s="1" t="s">
        <v>3115</v>
      </c>
      <c r="H744" s="1" t="s">
        <v>1100</v>
      </c>
      <c r="I744" s="1" t="s">
        <v>403</v>
      </c>
      <c r="J744" s="1" t="s">
        <v>2728</v>
      </c>
      <c r="K744" s="1" t="s">
        <v>3126</v>
      </c>
      <c r="L744" s="1" t="s">
        <v>3131</v>
      </c>
      <c r="M744" s="1">
        <v>2000</v>
      </c>
      <c r="N744" s="1">
        <v>1</v>
      </c>
      <c r="O744" s="1" t="str">
        <f t="shared" si="58"/>
        <v>"TShirt_Green": 1,</v>
      </c>
      <c r="P744" s="1" t="str">
        <f t="shared" si="59"/>
        <v>"TShirt_Green": 1,</v>
      </c>
      <c r="Q744" s="1" t="str">
        <f t="shared" si="60"/>
        <v>"TShirt_Green": 2000,</v>
      </c>
      <c r="R744" s="1" t="str">
        <f t="shared" si="61"/>
        <v>"TShirt_Green": 0,</v>
      </c>
    </row>
    <row r="745" spans="1:18" ht="15" customHeight="1" x14ac:dyDescent="0.25">
      <c r="A745" s="1" t="str">
        <f t="shared" si="62"/>
        <v>#tc_clothes#tc_civil#tc_tops</v>
      </c>
      <c r="B745" s="1">
        <f>VLOOKUP(A745,TraderCategory!$A$63:$E$556,2,FALSE)</f>
        <v>1</v>
      </c>
      <c r="C745" s="1">
        <f>VLOOKUP(A745,TraderCategory!$A$63:$F$556,6,FALSE)</f>
        <v>0</v>
      </c>
      <c r="D745" s="1" t="str">
        <f>VLOOKUP(C745,Tabulka5[],3,FALSE)</f>
        <v>Private</v>
      </c>
      <c r="E745" s="1">
        <v>0</v>
      </c>
      <c r="F745" s="1" t="str">
        <f>VLOOKUP(E745,Tabulka5[],3,FALSE)</f>
        <v>Private</v>
      </c>
      <c r="G745" s="1" t="s">
        <v>3115</v>
      </c>
      <c r="H745" s="1" t="s">
        <v>1101</v>
      </c>
      <c r="I745" s="1" t="s">
        <v>403</v>
      </c>
      <c r="J745" s="1" t="s">
        <v>2728</v>
      </c>
      <c r="K745" s="1" t="s">
        <v>3126</v>
      </c>
      <c r="L745" s="1" t="s">
        <v>3131</v>
      </c>
      <c r="M745" s="1">
        <v>2000</v>
      </c>
      <c r="N745" s="1">
        <v>1</v>
      </c>
      <c r="O745" s="1" t="str">
        <f t="shared" si="58"/>
        <v>"TShirt_Grey": 1,</v>
      </c>
      <c r="P745" s="1" t="str">
        <f t="shared" si="59"/>
        <v>"TShirt_Grey": 1,</v>
      </c>
      <c r="Q745" s="1" t="str">
        <f t="shared" si="60"/>
        <v>"TShirt_Grey": 2000,</v>
      </c>
      <c r="R745" s="1" t="str">
        <f t="shared" si="61"/>
        <v>"TShirt_Grey": 0,</v>
      </c>
    </row>
    <row r="746" spans="1:18" ht="15" customHeight="1" x14ac:dyDescent="0.25">
      <c r="A746" s="1" t="str">
        <f t="shared" si="62"/>
        <v>#tc_clothes#tc_civil#tc_tops</v>
      </c>
      <c r="B746" s="1">
        <f>VLOOKUP(A746,TraderCategory!$A$63:$E$556,2,FALSE)</f>
        <v>1</v>
      </c>
      <c r="C746" s="1">
        <f>VLOOKUP(A746,TraderCategory!$A$63:$F$556,6,FALSE)</f>
        <v>0</v>
      </c>
      <c r="D746" s="1" t="str">
        <f>VLOOKUP(C746,Tabulka5[],3,FALSE)</f>
        <v>Private</v>
      </c>
      <c r="E746" s="1">
        <v>0</v>
      </c>
      <c r="F746" s="1" t="str">
        <f>VLOOKUP(E746,Tabulka5[],3,FALSE)</f>
        <v>Private</v>
      </c>
      <c r="G746" s="1" t="s">
        <v>3115</v>
      </c>
      <c r="H746" s="1" t="s">
        <v>1102</v>
      </c>
      <c r="I746" s="1" t="s">
        <v>403</v>
      </c>
      <c r="J746" s="1" t="s">
        <v>2728</v>
      </c>
      <c r="K746" s="1" t="s">
        <v>3126</v>
      </c>
      <c r="L746" s="1" t="s">
        <v>3131</v>
      </c>
      <c r="M746" s="1">
        <v>2000</v>
      </c>
      <c r="N746" s="1">
        <v>1</v>
      </c>
      <c r="O746" s="1" t="str">
        <f t="shared" si="58"/>
        <v>"TShirt_OrangeWhiteStripes": 1,</v>
      </c>
      <c r="P746" s="1" t="str">
        <f t="shared" si="59"/>
        <v>"TShirt_OrangeWhiteStripes": 1,</v>
      </c>
      <c r="Q746" s="1" t="str">
        <f t="shared" si="60"/>
        <v>"TShirt_OrangeWhiteStripes": 2000,</v>
      </c>
      <c r="R746" s="1" t="str">
        <f t="shared" si="61"/>
        <v>"TShirt_OrangeWhiteStripes": 0,</v>
      </c>
    </row>
    <row r="747" spans="1:18" ht="15" customHeight="1" x14ac:dyDescent="0.25">
      <c r="A747" s="1" t="str">
        <f t="shared" si="62"/>
        <v>#tc_clothes#tc_civil#tc_tops</v>
      </c>
      <c r="B747" s="1">
        <f>VLOOKUP(A747,TraderCategory!$A$63:$E$556,2,FALSE)</f>
        <v>1</v>
      </c>
      <c r="C747" s="1">
        <f>VLOOKUP(A747,TraderCategory!$A$63:$F$556,6,FALSE)</f>
        <v>0</v>
      </c>
      <c r="D747" s="1" t="str">
        <f>VLOOKUP(C747,Tabulka5[],3,FALSE)</f>
        <v>Private</v>
      </c>
      <c r="E747" s="1">
        <v>0</v>
      </c>
      <c r="F747" s="1" t="str">
        <f>VLOOKUP(E747,Tabulka5[],3,FALSE)</f>
        <v>Private</v>
      </c>
      <c r="G747" s="1" t="s">
        <v>3115</v>
      </c>
      <c r="H747" s="1" t="s">
        <v>1103</v>
      </c>
      <c r="I747" s="1" t="s">
        <v>403</v>
      </c>
      <c r="J747" s="1" t="s">
        <v>2728</v>
      </c>
      <c r="K747" s="1" t="s">
        <v>3126</v>
      </c>
      <c r="L747" s="1" t="s">
        <v>3131</v>
      </c>
      <c r="M747" s="1">
        <v>2000</v>
      </c>
      <c r="N747" s="1">
        <v>1</v>
      </c>
      <c r="O747" s="1" t="str">
        <f t="shared" si="58"/>
        <v>"TShirt_Red": 1,</v>
      </c>
      <c r="P747" s="1" t="str">
        <f t="shared" si="59"/>
        <v>"TShirt_Red": 1,</v>
      </c>
      <c r="Q747" s="1" t="str">
        <f t="shared" si="60"/>
        <v>"TShirt_Red": 2000,</v>
      </c>
      <c r="R747" s="1" t="str">
        <f t="shared" si="61"/>
        <v>"TShirt_Red": 0,</v>
      </c>
    </row>
    <row r="748" spans="1:18" ht="15" customHeight="1" x14ac:dyDescent="0.25">
      <c r="A748" s="1" t="str">
        <f t="shared" si="62"/>
        <v>#tc_clothes#tc_civil#tc_tops</v>
      </c>
      <c r="B748" s="1">
        <f>VLOOKUP(A748,TraderCategory!$A$63:$E$556,2,FALSE)</f>
        <v>1</v>
      </c>
      <c r="C748" s="1">
        <f>VLOOKUP(A748,TraderCategory!$A$63:$F$556,6,FALSE)</f>
        <v>0</v>
      </c>
      <c r="D748" s="1" t="str">
        <f>VLOOKUP(C748,Tabulka5[],3,FALSE)</f>
        <v>Private</v>
      </c>
      <c r="E748" s="1">
        <v>0</v>
      </c>
      <c r="F748" s="1" t="str">
        <f>VLOOKUP(E748,Tabulka5[],3,FALSE)</f>
        <v>Private</v>
      </c>
      <c r="G748" s="1" t="s">
        <v>3115</v>
      </c>
      <c r="H748" s="1" t="s">
        <v>1104</v>
      </c>
      <c r="I748" s="1" t="s">
        <v>403</v>
      </c>
      <c r="J748" s="1" t="s">
        <v>2728</v>
      </c>
      <c r="K748" s="1" t="s">
        <v>3126</v>
      </c>
      <c r="L748" s="1" t="s">
        <v>3131</v>
      </c>
      <c r="M748" s="1">
        <v>2000</v>
      </c>
      <c r="N748" s="1">
        <v>1</v>
      </c>
      <c r="O748" s="1" t="str">
        <f t="shared" si="58"/>
        <v>"TShirt_RedBlackStripes": 1,</v>
      </c>
      <c r="P748" s="1" t="str">
        <f t="shared" si="59"/>
        <v>"TShirt_RedBlackStripes": 1,</v>
      </c>
      <c r="Q748" s="1" t="str">
        <f t="shared" si="60"/>
        <v>"TShirt_RedBlackStripes": 2000,</v>
      </c>
      <c r="R748" s="1" t="str">
        <f t="shared" si="61"/>
        <v>"TShirt_RedBlackStripes": 0,</v>
      </c>
    </row>
    <row r="749" spans="1:18" ht="15" customHeight="1" x14ac:dyDescent="0.25">
      <c r="A749" s="1" t="str">
        <f t="shared" si="62"/>
        <v>#tc_clothes#tc_civil#tc_tops</v>
      </c>
      <c r="B749" s="1">
        <f>VLOOKUP(A749,TraderCategory!$A$63:$E$556,2,FALSE)</f>
        <v>1</v>
      </c>
      <c r="C749" s="1">
        <f>VLOOKUP(A749,TraderCategory!$A$63:$F$556,6,FALSE)</f>
        <v>0</v>
      </c>
      <c r="D749" s="1" t="str">
        <f>VLOOKUP(C749,Tabulka5[],3,FALSE)</f>
        <v>Private</v>
      </c>
      <c r="E749" s="1">
        <v>0</v>
      </c>
      <c r="F749" s="1" t="str">
        <f>VLOOKUP(E749,Tabulka5[],3,FALSE)</f>
        <v>Private</v>
      </c>
      <c r="G749" s="1" t="s">
        <v>3115</v>
      </c>
      <c r="H749" s="1" t="s">
        <v>1105</v>
      </c>
      <c r="I749" s="1" t="s">
        <v>403</v>
      </c>
      <c r="J749" s="1" t="s">
        <v>2728</v>
      </c>
      <c r="K749" s="1" t="s">
        <v>3126</v>
      </c>
      <c r="L749" s="1" t="s">
        <v>3131</v>
      </c>
      <c r="M749" s="1">
        <v>2000</v>
      </c>
      <c r="N749" s="1">
        <v>1</v>
      </c>
      <c r="O749" s="1" t="str">
        <f t="shared" si="58"/>
        <v>"TShirt_White": 1,</v>
      </c>
      <c r="P749" s="1" t="str">
        <f t="shared" si="59"/>
        <v>"TShirt_White": 1,</v>
      </c>
      <c r="Q749" s="1" t="str">
        <f t="shared" si="60"/>
        <v>"TShirt_White": 2000,</v>
      </c>
      <c r="R749" s="1" t="str">
        <f t="shared" si="61"/>
        <v>"TShirt_White": 0,</v>
      </c>
    </row>
    <row r="750" spans="1:18" ht="15" customHeight="1" x14ac:dyDescent="0.25">
      <c r="A750" s="1" t="str">
        <f t="shared" si="62"/>
        <v>#tc_clothes#tc_military#tc_boots</v>
      </c>
      <c r="B750" s="1">
        <f>VLOOKUP(A750,TraderCategory!$A$63:$E$556,2,FALSE)</f>
        <v>13</v>
      </c>
      <c r="C750" s="1">
        <f>VLOOKUP(A750,TraderCategory!$A$63:$F$556,6,FALSE)</f>
        <v>1</v>
      </c>
      <c r="D750" s="1" t="str">
        <f>VLOOKUP(C750,Tabulka5[],3,FALSE)</f>
        <v>Private First Class</v>
      </c>
      <c r="E750" s="1">
        <v>1</v>
      </c>
      <c r="F750" s="1" t="str">
        <f>VLOOKUP(E750,Tabulka5[],3,FALSE)</f>
        <v>Private First Class</v>
      </c>
      <c r="G750" s="1" t="s">
        <v>3115</v>
      </c>
      <c r="H750" s="1" t="s">
        <v>1106</v>
      </c>
      <c r="I750" s="1" t="s">
        <v>403</v>
      </c>
      <c r="J750" s="1" t="s">
        <v>2728</v>
      </c>
      <c r="K750" s="1" t="s">
        <v>2729</v>
      </c>
      <c r="L750" s="1" t="s">
        <v>3134</v>
      </c>
      <c r="M750" s="1">
        <v>2000</v>
      </c>
      <c r="N750" s="1">
        <v>1</v>
      </c>
      <c r="O750" s="1" t="str">
        <f t="shared" si="58"/>
        <v>"TTSKOBoots": 1,</v>
      </c>
      <c r="P750" s="1" t="str">
        <f t="shared" si="59"/>
        <v>"TTSKOBoots": 13,</v>
      </c>
      <c r="Q750" s="1" t="str">
        <f t="shared" si="60"/>
        <v>"TTSKOBoots": 2000,</v>
      </c>
      <c r="R750" s="1" t="str">
        <f t="shared" si="61"/>
        <v>"TTSKOBoots": 1,</v>
      </c>
    </row>
    <row r="751" spans="1:18" ht="15" customHeight="1" x14ac:dyDescent="0.25">
      <c r="A751" s="1" t="str">
        <f t="shared" si="62"/>
        <v>#tc_clothes#tc_military#tc_pants</v>
      </c>
      <c r="B751" s="1">
        <f>VLOOKUP(A751,TraderCategory!$A$63:$E$556,2,FALSE)</f>
        <v>12</v>
      </c>
      <c r="C751" s="1">
        <f>VLOOKUP(A751,TraderCategory!$A$63:$F$556,6,FALSE)</f>
        <v>1</v>
      </c>
      <c r="D751" s="1" t="str">
        <f>VLOOKUP(C751,Tabulka5[],3,FALSE)</f>
        <v>Private First Class</v>
      </c>
      <c r="E751" s="1">
        <v>1</v>
      </c>
      <c r="F751" s="1" t="str">
        <f>VLOOKUP(E751,Tabulka5[],3,FALSE)</f>
        <v>Private First Class</v>
      </c>
      <c r="G751" s="1" t="s">
        <v>3115</v>
      </c>
      <c r="H751" s="1" t="s">
        <v>1107</v>
      </c>
      <c r="I751" s="1" t="s">
        <v>403</v>
      </c>
      <c r="J751" s="1" t="s">
        <v>2728</v>
      </c>
      <c r="K751" s="1" t="s">
        <v>2729</v>
      </c>
      <c r="L751" s="1" t="s">
        <v>3133</v>
      </c>
      <c r="M751" s="1">
        <v>5000</v>
      </c>
      <c r="N751" s="1">
        <v>1</v>
      </c>
      <c r="O751" s="1" t="str">
        <f t="shared" si="58"/>
        <v>"TTSKOPants": 1,</v>
      </c>
      <c r="P751" s="1" t="str">
        <f t="shared" si="59"/>
        <v>"TTSKOPants": 12,</v>
      </c>
      <c r="Q751" s="1" t="str">
        <f t="shared" si="60"/>
        <v>"TTSKOPants": 5000,</v>
      </c>
      <c r="R751" s="1" t="str">
        <f t="shared" si="61"/>
        <v>"TTSKOPants": 1,</v>
      </c>
    </row>
    <row r="752" spans="1:18" ht="15" customHeight="1" x14ac:dyDescent="0.25">
      <c r="A752" s="1" t="str">
        <f t="shared" si="62"/>
        <v>#tc_clothes#tc_military#tc_tops</v>
      </c>
      <c r="B752" s="1">
        <f>VLOOKUP(A752,TraderCategory!$A$63:$E$556,2,FALSE)</f>
        <v>9</v>
      </c>
      <c r="C752" s="1">
        <f>VLOOKUP(A752,TraderCategory!$A$63:$F$556,6,FALSE)</f>
        <v>1</v>
      </c>
      <c r="D752" s="1" t="str">
        <f>VLOOKUP(C752,Tabulka5[],3,FALSE)</f>
        <v>Private First Class</v>
      </c>
      <c r="E752" s="1">
        <v>1</v>
      </c>
      <c r="F752" s="1" t="str">
        <f>VLOOKUP(E752,Tabulka5[],3,FALSE)</f>
        <v>Private First Class</v>
      </c>
      <c r="G752" s="1" t="s">
        <v>3115</v>
      </c>
      <c r="H752" s="1" t="s">
        <v>1108</v>
      </c>
      <c r="I752" s="1" t="s">
        <v>403</v>
      </c>
      <c r="J752" s="1" t="s">
        <v>2728</v>
      </c>
      <c r="K752" s="1" t="s">
        <v>2729</v>
      </c>
      <c r="L752" s="1" t="s">
        <v>3131</v>
      </c>
      <c r="M752" s="1">
        <v>10000</v>
      </c>
      <c r="N752" s="1">
        <v>1</v>
      </c>
      <c r="O752" s="1" t="str">
        <f t="shared" si="58"/>
        <v>"TTsKOJacket_Camo": 1,</v>
      </c>
      <c r="P752" s="1" t="str">
        <f t="shared" si="59"/>
        <v>"TTsKOJacket_Camo": 9,</v>
      </c>
      <c r="Q752" s="1" t="str">
        <f t="shared" si="60"/>
        <v>"TTsKOJacket_Camo": 10000,</v>
      </c>
      <c r="R752" s="1" t="str">
        <f t="shared" si="61"/>
        <v>"TTsKOJacket_Camo": 1,</v>
      </c>
    </row>
    <row r="753" spans="1:18" ht="15" customHeight="1" x14ac:dyDescent="0.25">
      <c r="A753" s="1" t="str">
        <f t="shared" si="62"/>
        <v>#tc_groceries#tc_food#tc_canned</v>
      </c>
      <c r="B753" s="1">
        <f>VLOOKUP(A753,TraderCategory!$A$63:$E$556,2,FALSE)</f>
        <v>18</v>
      </c>
      <c r="C753" s="1">
        <f>VLOOKUP(A753,TraderCategory!$A$63:$F$556,6,FALSE)</f>
        <v>3</v>
      </c>
      <c r="D753" s="1" t="str">
        <f>VLOOKUP(C753,Tabulka5[],3,FALSE)</f>
        <v>Sergeant</v>
      </c>
      <c r="E753" s="1">
        <v>3</v>
      </c>
      <c r="F753" s="1" t="str">
        <f>VLOOKUP(E753,Tabulka5[],3,FALSE)</f>
        <v>Sergeant</v>
      </c>
      <c r="G753" s="1" t="s">
        <v>3115</v>
      </c>
      <c r="H753" s="1" t="s">
        <v>1109</v>
      </c>
      <c r="I753" s="1" t="s">
        <v>399</v>
      </c>
      <c r="J753" s="1" t="s">
        <v>3127</v>
      </c>
      <c r="K753" s="1" t="s">
        <v>2730</v>
      </c>
      <c r="L753" s="1" t="s">
        <v>2732</v>
      </c>
      <c r="M753" s="1">
        <v>5000</v>
      </c>
      <c r="N753" s="1">
        <v>1</v>
      </c>
      <c r="O753" s="1" t="str">
        <f t="shared" si="58"/>
        <v>"TacticalBaconCan": 1,</v>
      </c>
      <c r="P753" s="1" t="str">
        <f t="shared" si="59"/>
        <v>"TacticalBaconCan": 18,</v>
      </c>
      <c r="Q753" s="1" t="str">
        <f t="shared" si="60"/>
        <v>"TacticalBaconCan": 5000,</v>
      </c>
      <c r="R753" s="1" t="str">
        <f t="shared" si="61"/>
        <v>"TacticalBaconCan": 3,</v>
      </c>
    </row>
    <row r="754" spans="1:18" ht="15" customHeight="1" x14ac:dyDescent="0.25">
      <c r="A754" s="1" t="str">
        <f t="shared" si="62"/>
        <v>#tc_clothes#tc_military#tc_gloves</v>
      </c>
      <c r="B754" s="1">
        <f>VLOOKUP(A754,TraderCategory!$A$63:$E$556,2,FALSE)</f>
        <v>10</v>
      </c>
      <c r="C754" s="1">
        <f>VLOOKUP(A754,TraderCategory!$A$63:$F$556,6,FALSE)</f>
        <v>1</v>
      </c>
      <c r="D754" s="1" t="str">
        <f>VLOOKUP(C754,Tabulka5[],3,FALSE)</f>
        <v>Private First Class</v>
      </c>
      <c r="E754" s="1">
        <v>1</v>
      </c>
      <c r="F754" s="1" t="str">
        <f>VLOOKUP(E754,Tabulka5[],3,FALSE)</f>
        <v>Private First Class</v>
      </c>
      <c r="G754" s="1" t="s">
        <v>3115</v>
      </c>
      <c r="H754" s="1" t="s">
        <v>1110</v>
      </c>
      <c r="I754" s="1" t="s">
        <v>403</v>
      </c>
      <c r="J754" s="1" t="s">
        <v>2728</v>
      </c>
      <c r="K754" s="1" t="s">
        <v>2729</v>
      </c>
      <c r="L754" s="1" t="s">
        <v>3132</v>
      </c>
      <c r="M754" s="1">
        <v>1000</v>
      </c>
      <c r="N754" s="1">
        <v>1</v>
      </c>
      <c r="O754" s="1" t="str">
        <f t="shared" si="58"/>
        <v>"TacticalGloves_Beige": 1,</v>
      </c>
      <c r="P754" s="1" t="str">
        <f t="shared" si="59"/>
        <v>"TacticalGloves_Beige": 10,</v>
      </c>
      <c r="Q754" s="1" t="str">
        <f t="shared" si="60"/>
        <v>"TacticalGloves_Beige": 1000,</v>
      </c>
      <c r="R754" s="1" t="str">
        <f t="shared" si="61"/>
        <v>"TacticalGloves_Beige": 1,</v>
      </c>
    </row>
    <row r="755" spans="1:18" ht="15" customHeight="1" x14ac:dyDescent="0.25">
      <c r="A755" s="1" t="str">
        <f t="shared" si="62"/>
        <v>#tc_clothes#tc_military#tc_gloves</v>
      </c>
      <c r="B755" s="1">
        <f>VLOOKUP(A755,TraderCategory!$A$63:$E$556,2,FALSE)</f>
        <v>10</v>
      </c>
      <c r="C755" s="1">
        <f>VLOOKUP(A755,TraderCategory!$A$63:$F$556,6,FALSE)</f>
        <v>1</v>
      </c>
      <c r="D755" s="1" t="str">
        <f>VLOOKUP(C755,Tabulka5[],3,FALSE)</f>
        <v>Private First Class</v>
      </c>
      <c r="E755" s="1">
        <v>1</v>
      </c>
      <c r="F755" s="1" t="str">
        <f>VLOOKUP(E755,Tabulka5[],3,FALSE)</f>
        <v>Private First Class</v>
      </c>
      <c r="G755" s="1" t="s">
        <v>3115</v>
      </c>
      <c r="H755" s="1" t="s">
        <v>1111</v>
      </c>
      <c r="I755" s="1" t="s">
        <v>403</v>
      </c>
      <c r="J755" s="1" t="s">
        <v>2728</v>
      </c>
      <c r="K755" s="1" t="s">
        <v>2729</v>
      </c>
      <c r="L755" s="1" t="s">
        <v>3132</v>
      </c>
      <c r="M755" s="1">
        <v>1000</v>
      </c>
      <c r="N755" s="1">
        <v>1</v>
      </c>
      <c r="O755" s="1" t="str">
        <f t="shared" si="58"/>
        <v>"TacticalGloves_Black": 1,</v>
      </c>
      <c r="P755" s="1" t="str">
        <f t="shared" si="59"/>
        <v>"TacticalGloves_Black": 10,</v>
      </c>
      <c r="Q755" s="1" t="str">
        <f t="shared" si="60"/>
        <v>"TacticalGloves_Black": 1000,</v>
      </c>
      <c r="R755" s="1" t="str">
        <f t="shared" si="61"/>
        <v>"TacticalGloves_Black": 1,</v>
      </c>
    </row>
    <row r="756" spans="1:18" ht="15" customHeight="1" x14ac:dyDescent="0.25">
      <c r="A756" s="1" t="str">
        <f t="shared" si="62"/>
        <v>#tc_clothes#tc_military#tc_gloves</v>
      </c>
      <c r="B756" s="1">
        <f>VLOOKUP(A756,TraderCategory!$A$63:$E$556,2,FALSE)</f>
        <v>10</v>
      </c>
      <c r="C756" s="1">
        <f>VLOOKUP(A756,TraderCategory!$A$63:$F$556,6,FALSE)</f>
        <v>1</v>
      </c>
      <c r="D756" s="1" t="str">
        <f>VLOOKUP(C756,Tabulka5[],3,FALSE)</f>
        <v>Private First Class</v>
      </c>
      <c r="E756" s="1">
        <v>1</v>
      </c>
      <c r="F756" s="1" t="str">
        <f>VLOOKUP(E756,Tabulka5[],3,FALSE)</f>
        <v>Private First Class</v>
      </c>
      <c r="G756" s="1" t="s">
        <v>3115</v>
      </c>
      <c r="H756" s="1" t="s">
        <v>1112</v>
      </c>
      <c r="I756" s="1" t="s">
        <v>403</v>
      </c>
      <c r="J756" s="1" t="s">
        <v>2728</v>
      </c>
      <c r="K756" s="1" t="s">
        <v>2729</v>
      </c>
      <c r="L756" s="1" t="s">
        <v>3132</v>
      </c>
      <c r="M756" s="1">
        <v>1000</v>
      </c>
      <c r="N756" s="1">
        <v>1</v>
      </c>
      <c r="O756" s="1" t="str">
        <f t="shared" si="58"/>
        <v>"TacticalGloves_Green": 1,</v>
      </c>
      <c r="P756" s="1" t="str">
        <f t="shared" si="59"/>
        <v>"TacticalGloves_Green": 10,</v>
      </c>
      <c r="Q756" s="1" t="str">
        <f t="shared" si="60"/>
        <v>"TacticalGloves_Green": 1000,</v>
      </c>
      <c r="R756" s="1" t="str">
        <f t="shared" si="61"/>
        <v>"TacticalGloves_Green": 1,</v>
      </c>
    </row>
    <row r="757" spans="1:18" ht="15" customHeight="1" x14ac:dyDescent="0.25">
      <c r="A757" s="1" t="str">
        <f t="shared" si="62"/>
        <v>#tc_clothes#tc_military#tc_head</v>
      </c>
      <c r="B757" s="1">
        <f>VLOOKUP(A757,TraderCategory!$A$63:$E$556,2,FALSE)</f>
        <v>8</v>
      </c>
      <c r="C757" s="1">
        <f>VLOOKUP(A757,TraderCategory!$A$63:$F$556,6,FALSE)</f>
        <v>1</v>
      </c>
      <c r="D757" s="1" t="str">
        <f>VLOOKUP(C757,Tabulka5[],3,FALSE)</f>
        <v>Private First Class</v>
      </c>
      <c r="E757" s="1">
        <v>1</v>
      </c>
      <c r="F757" s="1" t="str">
        <f>VLOOKUP(E757,Tabulka5[],3,FALSE)</f>
        <v>Private First Class</v>
      </c>
      <c r="G757" s="1" t="s">
        <v>3115</v>
      </c>
      <c r="H757" s="1" t="s">
        <v>1113</v>
      </c>
      <c r="I757" s="1" t="s">
        <v>403</v>
      </c>
      <c r="J757" s="1" t="s">
        <v>2728</v>
      </c>
      <c r="K757" s="1" t="s">
        <v>2729</v>
      </c>
      <c r="L757" s="1" t="s">
        <v>3130</v>
      </c>
      <c r="M757" s="1">
        <v>1000</v>
      </c>
      <c r="N757" s="1">
        <v>1</v>
      </c>
      <c r="O757" s="1" t="str">
        <f t="shared" si="58"/>
        <v>"TacticalGoggles": 1,</v>
      </c>
      <c r="P757" s="1" t="str">
        <f t="shared" si="59"/>
        <v>"TacticalGoggles": 8,</v>
      </c>
      <c r="Q757" s="1" t="str">
        <f t="shared" si="60"/>
        <v>"TacticalGoggles": 1000,</v>
      </c>
      <c r="R757" s="1" t="str">
        <f t="shared" si="61"/>
        <v>"TacticalGoggles": 1,</v>
      </c>
    </row>
    <row r="758" spans="1:18" ht="15" customHeight="1" x14ac:dyDescent="0.25">
      <c r="A758" s="1" t="str">
        <f t="shared" si="62"/>
        <v>#tc_clothes#tc_military#tc_tops</v>
      </c>
      <c r="B758" s="1">
        <f>VLOOKUP(A758,TraderCategory!$A$63:$E$556,2,FALSE)</f>
        <v>9</v>
      </c>
      <c r="C758" s="1">
        <f>VLOOKUP(A758,TraderCategory!$A$63:$F$556,6,FALSE)</f>
        <v>1</v>
      </c>
      <c r="D758" s="1" t="str">
        <f>VLOOKUP(C758,Tabulka5[],3,FALSE)</f>
        <v>Private First Class</v>
      </c>
      <c r="E758" s="1">
        <v>1</v>
      </c>
      <c r="F758" s="1" t="str">
        <f>VLOOKUP(E758,Tabulka5[],3,FALSE)</f>
        <v>Private First Class</v>
      </c>
      <c r="G758" s="1" t="s">
        <v>3115</v>
      </c>
      <c r="H758" s="1" t="s">
        <v>1114</v>
      </c>
      <c r="I758" s="1" t="s">
        <v>403</v>
      </c>
      <c r="J758" s="1" t="s">
        <v>2728</v>
      </c>
      <c r="K758" s="1" t="s">
        <v>2729</v>
      </c>
      <c r="L758" s="1" t="s">
        <v>3131</v>
      </c>
      <c r="M758" s="1">
        <v>10000</v>
      </c>
      <c r="N758" s="1">
        <v>1</v>
      </c>
      <c r="O758" s="1" t="str">
        <f t="shared" si="58"/>
        <v>"TacticalShirt_Black": 1,</v>
      </c>
      <c r="P758" s="1" t="str">
        <f t="shared" si="59"/>
        <v>"TacticalShirt_Black": 9,</v>
      </c>
      <c r="Q758" s="1" t="str">
        <f t="shared" si="60"/>
        <v>"TacticalShirt_Black": 10000,</v>
      </c>
      <c r="R758" s="1" t="str">
        <f t="shared" si="61"/>
        <v>"TacticalShirt_Black": 1,</v>
      </c>
    </row>
    <row r="759" spans="1:18" ht="15" customHeight="1" x14ac:dyDescent="0.25">
      <c r="A759" s="1" t="str">
        <f t="shared" si="62"/>
        <v>#tc_clothes#tc_military#tc_tops</v>
      </c>
      <c r="B759" s="1">
        <f>VLOOKUP(A759,TraderCategory!$A$63:$E$556,2,FALSE)</f>
        <v>9</v>
      </c>
      <c r="C759" s="1">
        <f>VLOOKUP(A759,TraderCategory!$A$63:$F$556,6,FALSE)</f>
        <v>1</v>
      </c>
      <c r="D759" s="1" t="str">
        <f>VLOOKUP(C759,Tabulka5[],3,FALSE)</f>
        <v>Private First Class</v>
      </c>
      <c r="E759" s="1">
        <v>1</v>
      </c>
      <c r="F759" s="1" t="str">
        <f>VLOOKUP(E759,Tabulka5[],3,FALSE)</f>
        <v>Private First Class</v>
      </c>
      <c r="G759" s="1" t="s">
        <v>3115</v>
      </c>
      <c r="H759" s="1" t="s">
        <v>1115</v>
      </c>
      <c r="I759" s="1" t="s">
        <v>403</v>
      </c>
      <c r="J759" s="1" t="s">
        <v>2728</v>
      </c>
      <c r="K759" s="1" t="s">
        <v>2729</v>
      </c>
      <c r="L759" s="1" t="s">
        <v>3131</v>
      </c>
      <c r="M759" s="1">
        <v>10000</v>
      </c>
      <c r="N759" s="1">
        <v>1</v>
      </c>
      <c r="O759" s="1" t="str">
        <f t="shared" si="58"/>
        <v>"TacticalShirt_Grey": 1,</v>
      </c>
      <c r="P759" s="1" t="str">
        <f t="shared" si="59"/>
        <v>"TacticalShirt_Grey": 9,</v>
      </c>
      <c r="Q759" s="1" t="str">
        <f t="shared" si="60"/>
        <v>"TacticalShirt_Grey": 10000,</v>
      </c>
      <c r="R759" s="1" t="str">
        <f t="shared" si="61"/>
        <v>"TacticalShirt_Grey": 1,</v>
      </c>
    </row>
    <row r="760" spans="1:18" ht="15" customHeight="1" x14ac:dyDescent="0.25">
      <c r="A760" s="1" t="str">
        <f t="shared" si="62"/>
        <v>#tc_clothes#tc_military#tc_tops</v>
      </c>
      <c r="B760" s="1">
        <f>VLOOKUP(A760,TraderCategory!$A$63:$E$556,2,FALSE)</f>
        <v>9</v>
      </c>
      <c r="C760" s="1">
        <f>VLOOKUP(A760,TraderCategory!$A$63:$F$556,6,FALSE)</f>
        <v>1</v>
      </c>
      <c r="D760" s="1" t="str">
        <f>VLOOKUP(C760,Tabulka5[],3,FALSE)</f>
        <v>Private First Class</v>
      </c>
      <c r="E760" s="1">
        <v>1</v>
      </c>
      <c r="F760" s="1" t="str">
        <f>VLOOKUP(E760,Tabulka5[],3,FALSE)</f>
        <v>Private First Class</v>
      </c>
      <c r="G760" s="1" t="s">
        <v>3115</v>
      </c>
      <c r="H760" s="1" t="s">
        <v>1116</v>
      </c>
      <c r="I760" s="1" t="s">
        <v>403</v>
      </c>
      <c r="J760" s="1" t="s">
        <v>2728</v>
      </c>
      <c r="K760" s="1" t="s">
        <v>2729</v>
      </c>
      <c r="L760" s="1" t="s">
        <v>3131</v>
      </c>
      <c r="M760" s="1">
        <v>10000</v>
      </c>
      <c r="N760" s="1">
        <v>1</v>
      </c>
      <c r="O760" s="1" t="str">
        <f t="shared" si="58"/>
        <v>"TacticalShirt_Olive": 1,</v>
      </c>
      <c r="P760" s="1" t="str">
        <f t="shared" si="59"/>
        <v>"TacticalShirt_Olive": 9,</v>
      </c>
      <c r="Q760" s="1" t="str">
        <f t="shared" si="60"/>
        <v>"TacticalShirt_Olive": 10000,</v>
      </c>
      <c r="R760" s="1" t="str">
        <f t="shared" si="61"/>
        <v>"TacticalShirt_Olive": 1,</v>
      </c>
    </row>
    <row r="761" spans="1:18" ht="15" customHeight="1" x14ac:dyDescent="0.25">
      <c r="A761" s="1" t="str">
        <f t="shared" si="62"/>
        <v>#tc_clothes#tc_military#tc_tops</v>
      </c>
      <c r="B761" s="1">
        <f>VLOOKUP(A761,TraderCategory!$A$63:$E$556,2,FALSE)</f>
        <v>9</v>
      </c>
      <c r="C761" s="1">
        <f>VLOOKUP(A761,TraderCategory!$A$63:$F$556,6,FALSE)</f>
        <v>1</v>
      </c>
      <c r="D761" s="1" t="str">
        <f>VLOOKUP(C761,Tabulka5[],3,FALSE)</f>
        <v>Private First Class</v>
      </c>
      <c r="E761" s="1">
        <v>1</v>
      </c>
      <c r="F761" s="1" t="str">
        <f>VLOOKUP(E761,Tabulka5[],3,FALSE)</f>
        <v>Private First Class</v>
      </c>
      <c r="G761" s="1" t="s">
        <v>3115</v>
      </c>
      <c r="H761" s="1" t="s">
        <v>1117</v>
      </c>
      <c r="I761" s="1" t="s">
        <v>403</v>
      </c>
      <c r="J761" s="1" t="s">
        <v>2728</v>
      </c>
      <c r="K761" s="1" t="s">
        <v>2729</v>
      </c>
      <c r="L761" s="1" t="s">
        <v>3131</v>
      </c>
      <c r="M761" s="1">
        <v>10000</v>
      </c>
      <c r="N761" s="1">
        <v>1</v>
      </c>
      <c r="O761" s="1" t="str">
        <f t="shared" si="58"/>
        <v>"TacticalShirt_Tan": 1,</v>
      </c>
      <c r="P761" s="1" t="str">
        <f t="shared" si="59"/>
        <v>"TacticalShirt_Tan": 9,</v>
      </c>
      <c r="Q761" s="1" t="str">
        <f t="shared" si="60"/>
        <v>"TacticalShirt_Tan": 10000,</v>
      </c>
      <c r="R761" s="1" t="str">
        <f t="shared" si="61"/>
        <v>"TacticalShirt_Tan": 1,</v>
      </c>
    </row>
    <row r="762" spans="1:18" ht="15" customHeight="1" x14ac:dyDescent="0.25">
      <c r="A762" s="1" t="str">
        <f t="shared" si="62"/>
        <v>#tc_clothes#tc_civil#tc_bags</v>
      </c>
      <c r="B762" s="1">
        <f>VLOOKUP(A762,TraderCategory!$A$63:$E$556,2,FALSE)</f>
        <v>7</v>
      </c>
      <c r="C762" s="1">
        <f>VLOOKUP(A762,TraderCategory!$A$63:$F$556,6,FALSE)</f>
        <v>0</v>
      </c>
      <c r="D762" s="1" t="str">
        <f>VLOOKUP(C762,Tabulka5[],3,FALSE)</f>
        <v>Private</v>
      </c>
      <c r="E762" s="1">
        <v>0</v>
      </c>
      <c r="F762" s="1" t="str">
        <f>VLOOKUP(E762,Tabulka5[],3,FALSE)</f>
        <v>Private</v>
      </c>
      <c r="G762" s="1" t="s">
        <v>3115</v>
      </c>
      <c r="H762" s="1" t="s">
        <v>1118</v>
      </c>
      <c r="I762" s="1" t="s">
        <v>363</v>
      </c>
      <c r="J762" s="1" t="s">
        <v>2728</v>
      </c>
      <c r="K762" s="1" t="s">
        <v>3126</v>
      </c>
      <c r="L762" s="1" t="s">
        <v>3138</v>
      </c>
      <c r="M762" s="1">
        <v>2200</v>
      </c>
      <c r="N762" s="1">
        <v>1</v>
      </c>
      <c r="O762" s="1" t="str">
        <f t="shared" si="58"/>
        <v>"TaloonBag_Blue": 1,</v>
      </c>
      <c r="P762" s="1" t="str">
        <f t="shared" si="59"/>
        <v>"TaloonBag_Blue": 7,</v>
      </c>
      <c r="Q762" s="1" t="str">
        <f t="shared" si="60"/>
        <v>"TaloonBag_Blue": 2200,</v>
      </c>
      <c r="R762" s="1" t="str">
        <f t="shared" si="61"/>
        <v>"TaloonBag_Blue": 0,</v>
      </c>
    </row>
    <row r="763" spans="1:18" ht="15" customHeight="1" x14ac:dyDescent="0.25">
      <c r="A763" s="1" t="str">
        <f t="shared" si="62"/>
        <v>#tc_clothes#tc_civil#tc_bags</v>
      </c>
      <c r="B763" s="1">
        <f>VLOOKUP(A763,TraderCategory!$A$63:$E$556,2,FALSE)</f>
        <v>7</v>
      </c>
      <c r="C763" s="1">
        <f>VLOOKUP(A763,TraderCategory!$A$63:$F$556,6,FALSE)</f>
        <v>0</v>
      </c>
      <c r="D763" s="1" t="str">
        <f>VLOOKUP(C763,Tabulka5[],3,FALSE)</f>
        <v>Private</v>
      </c>
      <c r="E763" s="1">
        <v>0</v>
      </c>
      <c r="F763" s="1" t="str">
        <f>VLOOKUP(E763,Tabulka5[],3,FALSE)</f>
        <v>Private</v>
      </c>
      <c r="G763" s="1" t="s">
        <v>3115</v>
      </c>
      <c r="H763" s="1" t="s">
        <v>1119</v>
      </c>
      <c r="I763" s="1" t="s">
        <v>363</v>
      </c>
      <c r="J763" s="1" t="s">
        <v>2728</v>
      </c>
      <c r="K763" s="1" t="s">
        <v>3126</v>
      </c>
      <c r="L763" s="1" t="s">
        <v>3138</v>
      </c>
      <c r="M763" s="1">
        <v>2200</v>
      </c>
      <c r="N763" s="1">
        <v>1</v>
      </c>
      <c r="O763" s="1" t="str">
        <f t="shared" si="58"/>
        <v>"TaloonBag_Green": 1,</v>
      </c>
      <c r="P763" s="1" t="str">
        <f t="shared" si="59"/>
        <v>"TaloonBag_Green": 7,</v>
      </c>
      <c r="Q763" s="1" t="str">
        <f t="shared" si="60"/>
        <v>"TaloonBag_Green": 2200,</v>
      </c>
      <c r="R763" s="1" t="str">
        <f t="shared" si="61"/>
        <v>"TaloonBag_Green": 0,</v>
      </c>
    </row>
    <row r="764" spans="1:18" ht="15" customHeight="1" x14ac:dyDescent="0.25">
      <c r="A764" s="1" t="str">
        <f t="shared" si="62"/>
        <v>#tc_clothes#tc_civil#tc_bags</v>
      </c>
      <c r="B764" s="1">
        <f>VLOOKUP(A764,TraderCategory!$A$63:$E$556,2,FALSE)</f>
        <v>7</v>
      </c>
      <c r="C764" s="1">
        <f>VLOOKUP(A764,TraderCategory!$A$63:$F$556,6,FALSE)</f>
        <v>0</v>
      </c>
      <c r="D764" s="1" t="str">
        <f>VLOOKUP(C764,Tabulka5[],3,FALSE)</f>
        <v>Private</v>
      </c>
      <c r="E764" s="1">
        <v>0</v>
      </c>
      <c r="F764" s="1" t="str">
        <f>VLOOKUP(E764,Tabulka5[],3,FALSE)</f>
        <v>Private</v>
      </c>
      <c r="G764" s="1" t="s">
        <v>3115</v>
      </c>
      <c r="H764" s="1" t="s">
        <v>1120</v>
      </c>
      <c r="I764" s="1" t="s">
        <v>363</v>
      </c>
      <c r="J764" s="1" t="s">
        <v>2728</v>
      </c>
      <c r="K764" s="1" t="s">
        <v>3126</v>
      </c>
      <c r="L764" s="1" t="s">
        <v>3138</v>
      </c>
      <c r="M764" s="1">
        <v>2200</v>
      </c>
      <c r="N764" s="1">
        <v>1</v>
      </c>
      <c r="O764" s="1" t="str">
        <f t="shared" si="58"/>
        <v>"TaloonBag_Orange": 1,</v>
      </c>
      <c r="P764" s="1" t="str">
        <f t="shared" si="59"/>
        <v>"TaloonBag_Orange": 7,</v>
      </c>
      <c r="Q764" s="1" t="str">
        <f t="shared" si="60"/>
        <v>"TaloonBag_Orange": 2200,</v>
      </c>
      <c r="R764" s="1" t="str">
        <f t="shared" si="61"/>
        <v>"TaloonBag_Orange": 0,</v>
      </c>
    </row>
    <row r="765" spans="1:18" ht="15" customHeight="1" x14ac:dyDescent="0.25">
      <c r="A765" s="1" t="str">
        <f t="shared" si="62"/>
        <v>#tc_clothes#tc_civil#tc_bags</v>
      </c>
      <c r="B765" s="1">
        <f>VLOOKUP(A765,TraderCategory!$A$63:$E$556,2,FALSE)</f>
        <v>7</v>
      </c>
      <c r="C765" s="1">
        <f>VLOOKUP(A765,TraderCategory!$A$63:$F$556,6,FALSE)</f>
        <v>0</v>
      </c>
      <c r="D765" s="1" t="str">
        <f>VLOOKUP(C765,Tabulka5[],3,FALSE)</f>
        <v>Private</v>
      </c>
      <c r="E765" s="1">
        <v>0</v>
      </c>
      <c r="F765" s="1" t="str">
        <f>VLOOKUP(E765,Tabulka5[],3,FALSE)</f>
        <v>Private</v>
      </c>
      <c r="G765" s="1" t="s">
        <v>3115</v>
      </c>
      <c r="H765" s="1" t="s">
        <v>1121</v>
      </c>
      <c r="I765" s="1" t="s">
        <v>363</v>
      </c>
      <c r="J765" s="1" t="s">
        <v>2728</v>
      </c>
      <c r="K765" s="1" t="s">
        <v>3126</v>
      </c>
      <c r="L765" s="1" t="s">
        <v>3138</v>
      </c>
      <c r="M765" s="1">
        <v>2200</v>
      </c>
      <c r="N765" s="1">
        <v>1</v>
      </c>
      <c r="O765" s="1" t="str">
        <f t="shared" si="58"/>
        <v>"TaloonBag_Violet": 1,</v>
      </c>
      <c r="P765" s="1" t="str">
        <f t="shared" si="59"/>
        <v>"TaloonBag_Violet": 7,</v>
      </c>
      <c r="Q765" s="1" t="str">
        <f t="shared" si="60"/>
        <v>"TaloonBag_Violet": 2200,</v>
      </c>
      <c r="R765" s="1" t="str">
        <f t="shared" si="61"/>
        <v>"TaloonBag_Violet": 0,</v>
      </c>
    </row>
    <row r="766" spans="1:18" ht="15" customHeight="1" x14ac:dyDescent="0.25">
      <c r="A766" s="1" t="str">
        <f t="shared" si="62"/>
        <v>#tc_clothes#tc_military#tc_head</v>
      </c>
      <c r="B766" s="1">
        <f>VLOOKUP(A766,TraderCategory!$A$63:$E$556,2,FALSE)</f>
        <v>8</v>
      </c>
      <c r="C766" s="1">
        <f>VLOOKUP(A766,TraderCategory!$A$63:$F$556,6,FALSE)</f>
        <v>1</v>
      </c>
      <c r="D766" s="1" t="str">
        <f>VLOOKUP(C766,Tabulka5[],3,FALSE)</f>
        <v>Private First Class</v>
      </c>
      <c r="E766" s="1">
        <v>1</v>
      </c>
      <c r="F766" s="1" t="str">
        <f>VLOOKUP(E766,Tabulka5[],3,FALSE)</f>
        <v>Private First Class</v>
      </c>
      <c r="G766" s="1" t="s">
        <v>3115</v>
      </c>
      <c r="H766" s="1" t="s">
        <v>1122</v>
      </c>
      <c r="I766" s="1" t="s">
        <v>403</v>
      </c>
      <c r="J766" s="1" t="s">
        <v>2728</v>
      </c>
      <c r="K766" s="1" t="s">
        <v>2729</v>
      </c>
      <c r="L766" s="1" t="s">
        <v>3130</v>
      </c>
      <c r="M766" s="1">
        <v>2000</v>
      </c>
      <c r="N766" s="1">
        <v>1</v>
      </c>
      <c r="O766" s="1" t="str">
        <f t="shared" si="58"/>
        <v>"TankerHelmet": 1,</v>
      </c>
      <c r="P766" s="1" t="str">
        <f t="shared" si="59"/>
        <v>"TankerHelmet": 8,</v>
      </c>
      <c r="Q766" s="1" t="str">
        <f t="shared" si="60"/>
        <v>"TankerHelmet": 2000,</v>
      </c>
      <c r="R766" s="1" t="str">
        <f t="shared" si="61"/>
        <v>"TankerHelmet": 1,</v>
      </c>
    </row>
    <row r="767" spans="1:18" ht="15" customHeight="1" x14ac:dyDescent="0.25">
      <c r="A767" s="1" t="str">
        <f t="shared" si="62"/>
        <v>#tc_clothes#tc_civil#tc_tops</v>
      </c>
      <c r="B767" s="1">
        <f>VLOOKUP(A767,TraderCategory!$A$63:$E$556,2,FALSE)</f>
        <v>1</v>
      </c>
      <c r="C767" s="1">
        <f>VLOOKUP(A767,TraderCategory!$A$63:$F$556,6,FALSE)</f>
        <v>0</v>
      </c>
      <c r="D767" s="1" t="str">
        <f>VLOOKUP(C767,Tabulka5[],3,FALSE)</f>
        <v>Private</v>
      </c>
      <c r="E767" s="1">
        <v>0</v>
      </c>
      <c r="F767" s="1" t="str">
        <f>VLOOKUP(E767,Tabulka5[],3,FALSE)</f>
        <v>Private</v>
      </c>
      <c r="G767" s="1" t="s">
        <v>3115</v>
      </c>
      <c r="H767" s="1" t="s">
        <v>1123</v>
      </c>
      <c r="I767" s="1" t="s">
        <v>403</v>
      </c>
      <c r="J767" s="1" t="s">
        <v>2728</v>
      </c>
      <c r="K767" s="1" t="s">
        <v>3126</v>
      </c>
      <c r="L767" s="1" t="s">
        <v>3131</v>
      </c>
      <c r="M767" s="1">
        <v>2000</v>
      </c>
      <c r="N767" s="1">
        <v>1</v>
      </c>
      <c r="O767" s="1" t="str">
        <f t="shared" si="58"/>
        <v>"TelnyashkaShirt": 1,</v>
      </c>
      <c r="P767" s="1" t="str">
        <f t="shared" si="59"/>
        <v>"TelnyashkaShirt": 1,</v>
      </c>
      <c r="Q767" s="1" t="str">
        <f t="shared" si="60"/>
        <v>"TelnyashkaShirt": 2000,</v>
      </c>
      <c r="R767" s="1" t="str">
        <f t="shared" si="61"/>
        <v>"TelnyashkaShirt": 0,</v>
      </c>
    </row>
    <row r="768" spans="1:18" ht="15" customHeight="1" x14ac:dyDescent="0.25">
      <c r="A768" s="1" t="str">
        <f t="shared" si="62"/>
        <v>#tc_groceries#tc_medic#tc_medicaments</v>
      </c>
      <c r="B768" s="1">
        <f>VLOOKUP(A768,TraderCategory!$A$63:$E$556,2,FALSE)</f>
        <v>24</v>
      </c>
      <c r="C768" s="1">
        <f>VLOOKUP(A768,TraderCategory!$A$63:$F$556,6,FALSE)</f>
        <v>6</v>
      </c>
      <c r="D768" s="1" t="str">
        <f>VLOOKUP(C768,Tabulka5[],3,FALSE)</f>
        <v>Master Sergeant</v>
      </c>
      <c r="E768" s="1">
        <v>10</v>
      </c>
      <c r="F768" s="1" t="str">
        <f>VLOOKUP(E768,Tabulka5[],3,FALSE)</f>
        <v>Second Lieutenant</v>
      </c>
      <c r="G768" s="1" t="s">
        <v>3115</v>
      </c>
      <c r="H768" s="1" t="s">
        <v>1124</v>
      </c>
      <c r="I768" s="1" t="s">
        <v>426</v>
      </c>
      <c r="J768" s="1" t="s">
        <v>3127</v>
      </c>
      <c r="K768" s="1" t="s">
        <v>2739</v>
      </c>
      <c r="L768" s="1" t="s">
        <v>3153</v>
      </c>
      <c r="M768" s="1">
        <v>4000</v>
      </c>
      <c r="N768" s="1">
        <v>1</v>
      </c>
      <c r="O768" s="1" t="str">
        <f t="shared" si="58"/>
        <v>"TetracyclineAntibiotics": 1,</v>
      </c>
      <c r="P768" s="1" t="str">
        <f t="shared" si="59"/>
        <v>"TetracyclineAntibiotics": 24,</v>
      </c>
      <c r="Q768" s="1" t="str">
        <f t="shared" si="60"/>
        <v>"TetracyclineAntibiotics": 4000,</v>
      </c>
      <c r="R768" s="1" t="str">
        <f t="shared" si="61"/>
        <v>"TetracyclineAntibiotics": 10,</v>
      </c>
    </row>
    <row r="769" spans="1:18" ht="15" customHeight="1" x14ac:dyDescent="0.25">
      <c r="A769" s="1" t="str">
        <f t="shared" si="62"/>
        <v>#tc_groceries#tc_medic#tc_tools</v>
      </c>
      <c r="B769" s="1">
        <f>VLOOKUP(A769,TraderCategory!$A$63:$E$556,2,FALSE)</f>
        <v>26</v>
      </c>
      <c r="C769" s="1">
        <f>VLOOKUP(A769,TraderCategory!$A$63:$F$556,6,FALSE)</f>
        <v>6</v>
      </c>
      <c r="D769" s="1" t="str">
        <f>VLOOKUP(C769,Tabulka5[],3,FALSE)</f>
        <v>Master Sergeant</v>
      </c>
      <c r="E769" s="1">
        <v>6</v>
      </c>
      <c r="F769" s="1" t="str">
        <f>VLOOKUP(E769,Tabulka5[],3,FALSE)</f>
        <v>Master Sergeant</v>
      </c>
      <c r="G769" s="1" t="s">
        <v>3115</v>
      </c>
      <c r="H769" s="1" t="s">
        <v>1125</v>
      </c>
      <c r="I769" s="1" t="s">
        <v>426</v>
      </c>
      <c r="J769" s="1" t="s">
        <v>3127</v>
      </c>
      <c r="K769" s="1" t="s">
        <v>2739</v>
      </c>
      <c r="L769" s="1" t="s">
        <v>2740</v>
      </c>
      <c r="M769" s="1">
        <v>800</v>
      </c>
      <c r="N769" s="1">
        <v>1</v>
      </c>
      <c r="O769" s="1" t="str">
        <f t="shared" si="58"/>
        <v>"Thermometer": 1,</v>
      </c>
      <c r="P769" s="1" t="str">
        <f t="shared" si="59"/>
        <v>"Thermometer": 26,</v>
      </c>
      <c r="Q769" s="1" t="str">
        <f t="shared" si="60"/>
        <v>"Thermometer": 800,</v>
      </c>
      <c r="R769" s="1" t="str">
        <f t="shared" si="61"/>
        <v>"Thermometer": 6,</v>
      </c>
    </row>
    <row r="770" spans="1:18" ht="15" customHeight="1" x14ac:dyDescent="0.25">
      <c r="A770" s="1" t="str">
        <f t="shared" si="62"/>
        <v>#tc_clothes#tc_civil#tc_head</v>
      </c>
      <c r="B770" s="1">
        <f>VLOOKUP(A770,TraderCategory!$A$63:$E$556,2,FALSE)</f>
        <v>0</v>
      </c>
      <c r="C770" s="1">
        <f>VLOOKUP(A770,TraderCategory!$A$63:$F$556,6,FALSE)</f>
        <v>0</v>
      </c>
      <c r="D770" s="1" t="str">
        <f>VLOOKUP(C770,Tabulka5[],3,FALSE)</f>
        <v>Private</v>
      </c>
      <c r="E770" s="1">
        <v>0</v>
      </c>
      <c r="F770" s="1" t="str">
        <f>VLOOKUP(E770,Tabulka5[],3,FALSE)</f>
        <v>Private</v>
      </c>
      <c r="G770" s="1" t="s">
        <v>3115</v>
      </c>
      <c r="H770" s="1" t="s">
        <v>1126</v>
      </c>
      <c r="I770" s="1" t="s">
        <v>403</v>
      </c>
      <c r="J770" s="1" t="s">
        <v>2728</v>
      </c>
      <c r="K770" s="1" t="s">
        <v>3126</v>
      </c>
      <c r="L770" s="1" t="s">
        <v>3130</v>
      </c>
      <c r="M770" s="1">
        <v>300</v>
      </c>
      <c r="N770" s="1">
        <v>1</v>
      </c>
      <c r="O770" s="1" t="str">
        <f t="shared" si="58"/>
        <v>"ThickFramesGlasses": 1,</v>
      </c>
      <c r="P770" s="1" t="str">
        <f t="shared" si="59"/>
        <v>"ThickFramesGlasses": 0,</v>
      </c>
      <c r="Q770" s="1" t="str">
        <f t="shared" si="60"/>
        <v>"ThickFramesGlasses": 300,</v>
      </c>
      <c r="R770" s="1" t="str">
        <f t="shared" si="61"/>
        <v>"ThickFramesGlasses": 0,</v>
      </c>
    </row>
    <row r="771" spans="1:18" ht="15" customHeight="1" x14ac:dyDescent="0.25">
      <c r="A771" s="1" t="str">
        <f t="shared" si="62"/>
        <v>#tc_clothes#tc_civil#tc_head</v>
      </c>
      <c r="B771" s="1">
        <f>VLOOKUP(A771,TraderCategory!$A$63:$E$556,2,FALSE)</f>
        <v>0</v>
      </c>
      <c r="C771" s="1">
        <f>VLOOKUP(A771,TraderCategory!$A$63:$F$556,6,FALSE)</f>
        <v>0</v>
      </c>
      <c r="D771" s="1" t="str">
        <f>VLOOKUP(C771,Tabulka5[],3,FALSE)</f>
        <v>Private</v>
      </c>
      <c r="E771" s="1">
        <v>0</v>
      </c>
      <c r="F771" s="1" t="str">
        <f>VLOOKUP(E771,Tabulka5[],3,FALSE)</f>
        <v>Private</v>
      </c>
      <c r="G771" s="1" t="s">
        <v>3115</v>
      </c>
      <c r="H771" s="1" t="s">
        <v>1127</v>
      </c>
      <c r="I771" s="1" t="s">
        <v>403</v>
      </c>
      <c r="J771" s="1" t="s">
        <v>2728</v>
      </c>
      <c r="K771" s="1" t="s">
        <v>3126</v>
      </c>
      <c r="L771" s="1" t="s">
        <v>3130</v>
      </c>
      <c r="M771" s="1">
        <v>300</v>
      </c>
      <c r="N771" s="1">
        <v>1</v>
      </c>
      <c r="O771" s="1" t="str">
        <f t="shared" ref="O771:O834" si="63">"""" &amp;H771 &amp; """: " &amp; N771 &amp; ","</f>
        <v>"ThinFramesGlasses": 1,</v>
      </c>
      <c r="P771" s="1" t="str">
        <f t="shared" ref="P771:P834" si="64">"""" &amp;H771 &amp; """: " &amp; B771 &amp; ","</f>
        <v>"ThinFramesGlasses": 0,</v>
      </c>
      <c r="Q771" s="1" t="str">
        <f t="shared" ref="Q771:Q834" si="65">"""" &amp;H771 &amp; """: " &amp; M771 &amp; ","</f>
        <v>"ThinFramesGlasses": 300,</v>
      </c>
      <c r="R771" s="1" t="str">
        <f t="shared" ref="R771:R834" si="66">"""" &amp;H771 &amp; """: " &amp; E771 &amp; ","</f>
        <v>"ThinFramesGlasses": 0,</v>
      </c>
    </row>
    <row r="772" spans="1:18" ht="15" customHeight="1" x14ac:dyDescent="0.25">
      <c r="A772" s="1" t="str">
        <f t="shared" si="62"/>
        <v>#tc_groceries#tc_tools#tc_repairs</v>
      </c>
      <c r="B772" s="1">
        <f>VLOOKUP(A772,TraderCategory!$A$63:$E$556,2,FALSE)</f>
        <v>31</v>
      </c>
      <c r="C772" s="1">
        <f>VLOOKUP(A772,TraderCategory!$A$63:$F$556,6,FALSE)</f>
        <v>3</v>
      </c>
      <c r="D772" s="1" t="str">
        <f>VLOOKUP(C772,Tabulka5[],3,FALSE)</f>
        <v>Sergeant</v>
      </c>
      <c r="E772" s="1">
        <v>3</v>
      </c>
      <c r="F772" s="1" t="str">
        <f>VLOOKUP(E772,Tabulka5[],3,FALSE)</f>
        <v>Sergeant</v>
      </c>
      <c r="G772" s="1" t="s">
        <v>3115</v>
      </c>
      <c r="H772" s="1" t="s">
        <v>1128</v>
      </c>
      <c r="I772" s="1" t="s">
        <v>426</v>
      </c>
      <c r="J772" s="1" t="s">
        <v>3127</v>
      </c>
      <c r="K772" s="1" t="s">
        <v>2740</v>
      </c>
      <c r="L772" s="1" t="s">
        <v>3146</v>
      </c>
      <c r="M772" s="1">
        <v>500</v>
      </c>
      <c r="N772" s="1">
        <v>1</v>
      </c>
      <c r="O772" s="1" t="str">
        <f t="shared" si="63"/>
        <v>"TireRepairKit": 1,</v>
      </c>
      <c r="P772" s="1" t="str">
        <f t="shared" si="64"/>
        <v>"TireRepairKit": 31,</v>
      </c>
      <c r="Q772" s="1" t="str">
        <f t="shared" si="65"/>
        <v>"TireRepairKit": 500,</v>
      </c>
      <c r="R772" s="1" t="str">
        <f t="shared" si="66"/>
        <v>"TireRepairKit": 3,</v>
      </c>
    </row>
    <row r="773" spans="1:18" ht="15" customHeight="1" x14ac:dyDescent="0.25">
      <c r="A773" s="1" t="str">
        <f t="shared" si="62"/>
        <v>#tc_groceries#tc_food#tc_fruits</v>
      </c>
      <c r="B773" s="1">
        <f>VLOOKUP(A773,TraderCategory!$A$63:$E$556,2,FALSE)</f>
        <v>20</v>
      </c>
      <c r="C773" s="1">
        <f>VLOOKUP(A773,TraderCategory!$A$63:$F$556,6,FALSE)</f>
        <v>3</v>
      </c>
      <c r="D773" s="1" t="str">
        <f>VLOOKUP(C773,Tabulka5[],3,FALSE)</f>
        <v>Sergeant</v>
      </c>
      <c r="E773" s="1">
        <v>3</v>
      </c>
      <c r="F773" s="1" t="str">
        <f>VLOOKUP(E773,Tabulka5[],3,FALSE)</f>
        <v>Sergeant</v>
      </c>
      <c r="G773" s="1" t="s">
        <v>3115</v>
      </c>
      <c r="H773" s="1" t="s">
        <v>1129</v>
      </c>
      <c r="I773" s="1" t="s">
        <v>399</v>
      </c>
      <c r="J773" s="1" t="s">
        <v>3127</v>
      </c>
      <c r="K773" s="1" t="s">
        <v>2730</v>
      </c>
      <c r="L773" s="1" t="s">
        <v>3142</v>
      </c>
      <c r="M773" s="1">
        <v>300</v>
      </c>
      <c r="N773" s="1">
        <v>1</v>
      </c>
      <c r="O773" s="1" t="str">
        <f t="shared" si="63"/>
        <v>"Tomato": 1,</v>
      </c>
      <c r="P773" s="1" t="str">
        <f t="shared" si="64"/>
        <v>"Tomato": 20,</v>
      </c>
      <c r="Q773" s="1" t="str">
        <f t="shared" si="65"/>
        <v>"Tomato": 300,</v>
      </c>
      <c r="R773" s="1" t="str">
        <f t="shared" si="66"/>
        <v>"Tomato": 3,</v>
      </c>
    </row>
    <row r="774" spans="1:18" ht="15" customHeight="1" x14ac:dyDescent="0.25">
      <c r="A774" s="1" t="str">
        <f t="shared" si="62"/>
        <v>#tc_groceries#tc_tools#tc_seeds</v>
      </c>
      <c r="B774" s="1">
        <f>VLOOKUP(A774,TraderCategory!$A$63:$E$556,2,FALSE)</f>
        <v>34</v>
      </c>
      <c r="C774" s="1">
        <f>VLOOKUP(A774,TraderCategory!$A$63:$F$556,6,FALSE)</f>
        <v>3</v>
      </c>
      <c r="D774" s="1" t="str">
        <f>VLOOKUP(C774,Tabulka5[],3,FALSE)</f>
        <v>Sergeant</v>
      </c>
      <c r="E774" s="1">
        <v>3</v>
      </c>
      <c r="F774" s="1" t="str">
        <f>VLOOKUP(E774,Tabulka5[],3,FALSE)</f>
        <v>Sergeant</v>
      </c>
      <c r="G774" s="1" t="s">
        <v>3115</v>
      </c>
      <c r="H774" s="1" t="s">
        <v>1130</v>
      </c>
      <c r="I774" s="1" t="s">
        <v>399</v>
      </c>
      <c r="J774" s="1" t="s">
        <v>3127</v>
      </c>
      <c r="K774" s="1" t="s">
        <v>2740</v>
      </c>
      <c r="L774" s="1" t="s">
        <v>2735</v>
      </c>
      <c r="M774" s="1">
        <v>600</v>
      </c>
      <c r="N774" s="1">
        <v>1</v>
      </c>
      <c r="O774" s="1" t="str">
        <f t="shared" si="63"/>
        <v>"TomatoSeedsPack": 1,</v>
      </c>
      <c r="P774" s="1" t="str">
        <f t="shared" si="64"/>
        <v>"TomatoSeedsPack": 34,</v>
      </c>
      <c r="Q774" s="1" t="str">
        <f t="shared" si="65"/>
        <v>"TomatoSeedsPack": 600,</v>
      </c>
      <c r="R774" s="1" t="str">
        <f t="shared" si="66"/>
        <v>"TomatoSeedsPack": 3,</v>
      </c>
    </row>
    <row r="775" spans="1:18" ht="15" customHeight="1" x14ac:dyDescent="0.25">
      <c r="A775" s="1" t="str">
        <f t="shared" si="62"/>
        <v>#tc_clothes#tc_military#tc_bags</v>
      </c>
      <c r="B775" s="1">
        <f>VLOOKUP(A775,TraderCategory!$A$63:$E$556,2,FALSE)</f>
        <v>15</v>
      </c>
      <c r="C775" s="1">
        <f>VLOOKUP(A775,TraderCategory!$A$63:$F$556,6,FALSE)</f>
        <v>1</v>
      </c>
      <c r="D775" s="1" t="str">
        <f>VLOOKUP(C775,Tabulka5[],3,FALSE)</f>
        <v>Private First Class</v>
      </c>
      <c r="E775" s="1">
        <v>2</v>
      </c>
      <c r="F775" s="1" t="str">
        <f>VLOOKUP(E775,Tabulka5[],3,FALSE)</f>
        <v>Corporal</v>
      </c>
      <c r="G775" s="1" t="s">
        <v>3115</v>
      </c>
      <c r="H775" s="1" t="s">
        <v>1131</v>
      </c>
      <c r="I775" s="1" t="s">
        <v>363</v>
      </c>
      <c r="J775" s="1" t="s">
        <v>2728</v>
      </c>
      <c r="K775" s="1" t="s">
        <v>2729</v>
      </c>
      <c r="L775" s="1" t="s">
        <v>3138</v>
      </c>
      <c r="M775" s="1">
        <v>12000</v>
      </c>
      <c r="N775" s="1">
        <v>1</v>
      </c>
      <c r="O775" s="1" t="str">
        <f t="shared" si="63"/>
        <v>"TortillaBag": 1,</v>
      </c>
      <c r="P775" s="1" t="str">
        <f t="shared" si="64"/>
        <v>"TortillaBag": 15,</v>
      </c>
      <c r="Q775" s="1" t="str">
        <f t="shared" si="65"/>
        <v>"TortillaBag": 12000,</v>
      </c>
      <c r="R775" s="1" t="str">
        <f t="shared" si="66"/>
        <v>"TortillaBag": 2,</v>
      </c>
    </row>
    <row r="776" spans="1:18" ht="15" customHeight="1" x14ac:dyDescent="0.25">
      <c r="A776" s="1" t="str">
        <f t="shared" si="62"/>
        <v>#tc_clothes#tc_civil#tc_tops</v>
      </c>
      <c r="B776" s="1">
        <f>VLOOKUP(A776,TraderCategory!$A$63:$E$556,2,FALSE)</f>
        <v>1</v>
      </c>
      <c r="C776" s="1">
        <f>VLOOKUP(A776,TraderCategory!$A$63:$F$556,6,FALSE)</f>
        <v>0</v>
      </c>
      <c r="D776" s="1" t="str">
        <f>VLOOKUP(C776,Tabulka5[],3,FALSE)</f>
        <v>Private</v>
      </c>
      <c r="E776" s="1">
        <v>0</v>
      </c>
      <c r="F776" s="1" t="str">
        <f>VLOOKUP(E776,Tabulka5[],3,FALSE)</f>
        <v>Private</v>
      </c>
      <c r="G776" s="1" t="s">
        <v>3115</v>
      </c>
      <c r="H776" s="1" t="s">
        <v>1132</v>
      </c>
      <c r="I776" s="1" t="s">
        <v>403</v>
      </c>
      <c r="J776" s="1" t="s">
        <v>2728</v>
      </c>
      <c r="K776" s="1" t="s">
        <v>3126</v>
      </c>
      <c r="L776" s="1" t="s">
        <v>3131</v>
      </c>
      <c r="M776" s="1">
        <v>2000</v>
      </c>
      <c r="N776" s="1">
        <v>1</v>
      </c>
      <c r="O776" s="1" t="str">
        <f t="shared" si="63"/>
        <v>"TrackSuitJacket_Black": 1,</v>
      </c>
      <c r="P776" s="1" t="str">
        <f t="shared" si="64"/>
        <v>"TrackSuitJacket_Black": 1,</v>
      </c>
      <c r="Q776" s="1" t="str">
        <f t="shared" si="65"/>
        <v>"TrackSuitJacket_Black": 2000,</v>
      </c>
      <c r="R776" s="1" t="str">
        <f t="shared" si="66"/>
        <v>"TrackSuitJacket_Black": 0,</v>
      </c>
    </row>
    <row r="777" spans="1:18" ht="15" customHeight="1" x14ac:dyDescent="0.25">
      <c r="A777" s="1" t="str">
        <f t="shared" si="62"/>
        <v>#tc_clothes#tc_civil#tc_tops</v>
      </c>
      <c r="B777" s="1">
        <f>VLOOKUP(A777,TraderCategory!$A$63:$E$556,2,FALSE)</f>
        <v>1</v>
      </c>
      <c r="C777" s="1">
        <f>VLOOKUP(A777,TraderCategory!$A$63:$F$556,6,FALSE)</f>
        <v>0</v>
      </c>
      <c r="D777" s="1" t="str">
        <f>VLOOKUP(C777,Tabulka5[],3,FALSE)</f>
        <v>Private</v>
      </c>
      <c r="E777" s="1">
        <v>0</v>
      </c>
      <c r="F777" s="1" t="str">
        <f>VLOOKUP(E777,Tabulka5[],3,FALSE)</f>
        <v>Private</v>
      </c>
      <c r="G777" s="1" t="s">
        <v>3115</v>
      </c>
      <c r="H777" s="1" t="s">
        <v>1133</v>
      </c>
      <c r="I777" s="1" t="s">
        <v>403</v>
      </c>
      <c r="J777" s="1" t="s">
        <v>2728</v>
      </c>
      <c r="K777" s="1" t="s">
        <v>3126</v>
      </c>
      <c r="L777" s="1" t="s">
        <v>3131</v>
      </c>
      <c r="M777" s="1">
        <v>2000</v>
      </c>
      <c r="N777" s="1">
        <v>1</v>
      </c>
      <c r="O777" s="1" t="str">
        <f t="shared" si="63"/>
        <v>"TrackSuitJacket_Blue": 1,</v>
      </c>
      <c r="P777" s="1" t="str">
        <f t="shared" si="64"/>
        <v>"TrackSuitJacket_Blue": 1,</v>
      </c>
      <c r="Q777" s="1" t="str">
        <f t="shared" si="65"/>
        <v>"TrackSuitJacket_Blue": 2000,</v>
      </c>
      <c r="R777" s="1" t="str">
        <f t="shared" si="66"/>
        <v>"TrackSuitJacket_Blue": 0,</v>
      </c>
    </row>
    <row r="778" spans="1:18" ht="15" customHeight="1" x14ac:dyDescent="0.25">
      <c r="A778" s="1" t="str">
        <f t="shared" si="62"/>
        <v>#tc_clothes#tc_civil#tc_tops</v>
      </c>
      <c r="B778" s="1">
        <f>VLOOKUP(A778,TraderCategory!$A$63:$E$556,2,FALSE)</f>
        <v>1</v>
      </c>
      <c r="C778" s="1">
        <f>VLOOKUP(A778,TraderCategory!$A$63:$F$556,6,FALSE)</f>
        <v>0</v>
      </c>
      <c r="D778" s="1" t="str">
        <f>VLOOKUP(C778,Tabulka5[],3,FALSE)</f>
        <v>Private</v>
      </c>
      <c r="E778" s="1">
        <v>0</v>
      </c>
      <c r="F778" s="1" t="str">
        <f>VLOOKUP(E778,Tabulka5[],3,FALSE)</f>
        <v>Private</v>
      </c>
      <c r="G778" s="1" t="s">
        <v>3115</v>
      </c>
      <c r="H778" s="1" t="s">
        <v>1134</v>
      </c>
      <c r="I778" s="1" t="s">
        <v>403</v>
      </c>
      <c r="J778" s="1" t="s">
        <v>2728</v>
      </c>
      <c r="K778" s="1" t="s">
        <v>3126</v>
      </c>
      <c r="L778" s="1" t="s">
        <v>3131</v>
      </c>
      <c r="M778" s="1">
        <v>2000</v>
      </c>
      <c r="N778" s="1">
        <v>1</v>
      </c>
      <c r="O778" s="1" t="str">
        <f t="shared" si="63"/>
        <v>"TrackSuitJacket_Green": 1,</v>
      </c>
      <c r="P778" s="1" t="str">
        <f t="shared" si="64"/>
        <v>"TrackSuitJacket_Green": 1,</v>
      </c>
      <c r="Q778" s="1" t="str">
        <f t="shared" si="65"/>
        <v>"TrackSuitJacket_Green": 2000,</v>
      </c>
      <c r="R778" s="1" t="str">
        <f t="shared" si="66"/>
        <v>"TrackSuitJacket_Green": 0,</v>
      </c>
    </row>
    <row r="779" spans="1:18" ht="15" customHeight="1" x14ac:dyDescent="0.25">
      <c r="A779" s="1" t="str">
        <f t="shared" si="62"/>
        <v>#tc_clothes#tc_civil#tc_tops</v>
      </c>
      <c r="B779" s="1">
        <f>VLOOKUP(A779,TraderCategory!$A$63:$E$556,2,FALSE)</f>
        <v>1</v>
      </c>
      <c r="C779" s="1">
        <f>VLOOKUP(A779,TraderCategory!$A$63:$F$556,6,FALSE)</f>
        <v>0</v>
      </c>
      <c r="D779" s="1" t="str">
        <f>VLOOKUP(C779,Tabulka5[],3,FALSE)</f>
        <v>Private</v>
      </c>
      <c r="E779" s="1">
        <v>0</v>
      </c>
      <c r="F779" s="1" t="str">
        <f>VLOOKUP(E779,Tabulka5[],3,FALSE)</f>
        <v>Private</v>
      </c>
      <c r="G779" s="1" t="s">
        <v>3115</v>
      </c>
      <c r="H779" s="1" t="s">
        <v>1135</v>
      </c>
      <c r="I779" s="1" t="s">
        <v>403</v>
      </c>
      <c r="J779" s="1" t="s">
        <v>2728</v>
      </c>
      <c r="K779" s="1" t="s">
        <v>3126</v>
      </c>
      <c r="L779" s="1" t="s">
        <v>3131</v>
      </c>
      <c r="M779" s="1">
        <v>2000</v>
      </c>
      <c r="N779" s="1">
        <v>1</v>
      </c>
      <c r="O779" s="1" t="str">
        <f t="shared" si="63"/>
        <v>"TrackSuitJacket_LightBlue": 1,</v>
      </c>
      <c r="P779" s="1" t="str">
        <f t="shared" si="64"/>
        <v>"TrackSuitJacket_LightBlue": 1,</v>
      </c>
      <c r="Q779" s="1" t="str">
        <f t="shared" si="65"/>
        <v>"TrackSuitJacket_LightBlue": 2000,</v>
      </c>
      <c r="R779" s="1" t="str">
        <f t="shared" si="66"/>
        <v>"TrackSuitJacket_LightBlue": 0,</v>
      </c>
    </row>
    <row r="780" spans="1:18" ht="15" customHeight="1" x14ac:dyDescent="0.25">
      <c r="A780" s="1" t="str">
        <f t="shared" ref="A780:A843" si="67">CONCATENATE(J780,K780,L780)</f>
        <v>#tc_clothes#tc_civil#tc_tops</v>
      </c>
      <c r="B780" s="1">
        <f>VLOOKUP(A780,TraderCategory!$A$63:$E$556,2,FALSE)</f>
        <v>1</v>
      </c>
      <c r="C780" s="1">
        <f>VLOOKUP(A780,TraderCategory!$A$63:$F$556,6,FALSE)</f>
        <v>0</v>
      </c>
      <c r="D780" s="1" t="str">
        <f>VLOOKUP(C780,Tabulka5[],3,FALSE)</f>
        <v>Private</v>
      </c>
      <c r="E780" s="1">
        <v>0</v>
      </c>
      <c r="F780" s="1" t="str">
        <f>VLOOKUP(E780,Tabulka5[],3,FALSE)</f>
        <v>Private</v>
      </c>
      <c r="G780" s="1" t="s">
        <v>3115</v>
      </c>
      <c r="H780" s="1" t="s">
        <v>1136</v>
      </c>
      <c r="I780" s="1" t="s">
        <v>403</v>
      </c>
      <c r="J780" s="1" t="s">
        <v>2728</v>
      </c>
      <c r="K780" s="1" t="s">
        <v>3126</v>
      </c>
      <c r="L780" s="1" t="s">
        <v>3131</v>
      </c>
      <c r="M780" s="1">
        <v>2000</v>
      </c>
      <c r="N780" s="1">
        <v>1</v>
      </c>
      <c r="O780" s="1" t="str">
        <f t="shared" si="63"/>
        <v>"TrackSuitJacket_Red": 1,</v>
      </c>
      <c r="P780" s="1" t="str">
        <f t="shared" si="64"/>
        <v>"TrackSuitJacket_Red": 1,</v>
      </c>
      <c r="Q780" s="1" t="str">
        <f t="shared" si="65"/>
        <v>"TrackSuitJacket_Red": 2000,</v>
      </c>
      <c r="R780" s="1" t="str">
        <f t="shared" si="66"/>
        <v>"TrackSuitJacket_Red": 0,</v>
      </c>
    </row>
    <row r="781" spans="1:18" ht="15" customHeight="1" x14ac:dyDescent="0.25">
      <c r="A781" s="1" t="str">
        <f t="shared" si="67"/>
        <v>#tc_clothes#tc_civil#tc_pants</v>
      </c>
      <c r="B781" s="1">
        <f>VLOOKUP(A781,TraderCategory!$A$63:$E$556,2,FALSE)</f>
        <v>4</v>
      </c>
      <c r="C781" s="1">
        <f>VLOOKUP(A781,TraderCategory!$A$63:$F$556,6,FALSE)</f>
        <v>0</v>
      </c>
      <c r="D781" s="1" t="str">
        <f>VLOOKUP(C781,Tabulka5[],3,FALSE)</f>
        <v>Private</v>
      </c>
      <c r="E781" s="1">
        <v>0</v>
      </c>
      <c r="F781" s="1" t="str">
        <f>VLOOKUP(E781,Tabulka5[],3,FALSE)</f>
        <v>Private</v>
      </c>
      <c r="G781" s="1" t="s">
        <v>3115</v>
      </c>
      <c r="H781" s="1" t="s">
        <v>1137</v>
      </c>
      <c r="I781" s="1" t="s">
        <v>403</v>
      </c>
      <c r="J781" s="1" t="s">
        <v>2728</v>
      </c>
      <c r="K781" s="1" t="s">
        <v>3126</v>
      </c>
      <c r="L781" s="1" t="s">
        <v>3133</v>
      </c>
      <c r="M781" s="1">
        <v>1200</v>
      </c>
      <c r="N781" s="1">
        <v>1</v>
      </c>
      <c r="O781" s="1" t="str">
        <f t="shared" si="63"/>
        <v>"TrackSuitPants_Black": 1,</v>
      </c>
      <c r="P781" s="1" t="str">
        <f t="shared" si="64"/>
        <v>"TrackSuitPants_Black": 4,</v>
      </c>
      <c r="Q781" s="1" t="str">
        <f t="shared" si="65"/>
        <v>"TrackSuitPants_Black": 1200,</v>
      </c>
      <c r="R781" s="1" t="str">
        <f t="shared" si="66"/>
        <v>"TrackSuitPants_Black": 0,</v>
      </c>
    </row>
    <row r="782" spans="1:18" ht="15" customHeight="1" x14ac:dyDescent="0.25">
      <c r="A782" s="1" t="str">
        <f t="shared" si="67"/>
        <v>#tc_clothes#tc_civil#tc_pants</v>
      </c>
      <c r="B782" s="1">
        <f>VLOOKUP(A782,TraderCategory!$A$63:$E$556,2,FALSE)</f>
        <v>4</v>
      </c>
      <c r="C782" s="1">
        <f>VLOOKUP(A782,TraderCategory!$A$63:$F$556,6,FALSE)</f>
        <v>0</v>
      </c>
      <c r="D782" s="1" t="str">
        <f>VLOOKUP(C782,Tabulka5[],3,FALSE)</f>
        <v>Private</v>
      </c>
      <c r="E782" s="1">
        <v>0</v>
      </c>
      <c r="F782" s="1" t="str">
        <f>VLOOKUP(E782,Tabulka5[],3,FALSE)</f>
        <v>Private</v>
      </c>
      <c r="G782" s="1" t="s">
        <v>3115</v>
      </c>
      <c r="H782" s="1" t="s">
        <v>1138</v>
      </c>
      <c r="I782" s="1" t="s">
        <v>403</v>
      </c>
      <c r="J782" s="1" t="s">
        <v>2728</v>
      </c>
      <c r="K782" s="1" t="s">
        <v>3126</v>
      </c>
      <c r="L782" s="1" t="s">
        <v>3133</v>
      </c>
      <c r="M782" s="1">
        <v>1200</v>
      </c>
      <c r="N782" s="1">
        <v>1</v>
      </c>
      <c r="O782" s="1" t="str">
        <f t="shared" si="63"/>
        <v>"TrackSuitPants_Blue": 1,</v>
      </c>
      <c r="P782" s="1" t="str">
        <f t="shared" si="64"/>
        <v>"TrackSuitPants_Blue": 4,</v>
      </c>
      <c r="Q782" s="1" t="str">
        <f t="shared" si="65"/>
        <v>"TrackSuitPants_Blue": 1200,</v>
      </c>
      <c r="R782" s="1" t="str">
        <f t="shared" si="66"/>
        <v>"TrackSuitPants_Blue": 0,</v>
      </c>
    </row>
    <row r="783" spans="1:18" ht="15" customHeight="1" x14ac:dyDescent="0.25">
      <c r="A783" s="1" t="str">
        <f t="shared" si="67"/>
        <v>#tc_clothes#tc_civil#tc_pants</v>
      </c>
      <c r="B783" s="1">
        <f>VLOOKUP(A783,TraderCategory!$A$63:$E$556,2,FALSE)</f>
        <v>4</v>
      </c>
      <c r="C783" s="1">
        <f>VLOOKUP(A783,TraderCategory!$A$63:$F$556,6,FALSE)</f>
        <v>0</v>
      </c>
      <c r="D783" s="1" t="str">
        <f>VLOOKUP(C783,Tabulka5[],3,FALSE)</f>
        <v>Private</v>
      </c>
      <c r="E783" s="1">
        <v>0</v>
      </c>
      <c r="F783" s="1" t="str">
        <f>VLOOKUP(E783,Tabulka5[],3,FALSE)</f>
        <v>Private</v>
      </c>
      <c r="G783" s="1" t="s">
        <v>3115</v>
      </c>
      <c r="H783" s="1" t="s">
        <v>1139</v>
      </c>
      <c r="I783" s="1" t="s">
        <v>403</v>
      </c>
      <c r="J783" s="1" t="s">
        <v>2728</v>
      </c>
      <c r="K783" s="1" t="s">
        <v>3126</v>
      </c>
      <c r="L783" s="1" t="s">
        <v>3133</v>
      </c>
      <c r="M783" s="1">
        <v>1200</v>
      </c>
      <c r="N783" s="1">
        <v>1</v>
      </c>
      <c r="O783" s="1" t="str">
        <f t="shared" si="63"/>
        <v>"TrackSuitPants_Green": 1,</v>
      </c>
      <c r="P783" s="1" t="str">
        <f t="shared" si="64"/>
        <v>"TrackSuitPants_Green": 4,</v>
      </c>
      <c r="Q783" s="1" t="str">
        <f t="shared" si="65"/>
        <v>"TrackSuitPants_Green": 1200,</v>
      </c>
      <c r="R783" s="1" t="str">
        <f t="shared" si="66"/>
        <v>"TrackSuitPants_Green": 0,</v>
      </c>
    </row>
    <row r="784" spans="1:18" ht="15" customHeight="1" x14ac:dyDescent="0.25">
      <c r="A784" s="1" t="str">
        <f t="shared" si="67"/>
        <v>#tc_clothes#tc_civil#tc_pants</v>
      </c>
      <c r="B784" s="1">
        <f>VLOOKUP(A784,TraderCategory!$A$63:$E$556,2,FALSE)</f>
        <v>4</v>
      </c>
      <c r="C784" s="1">
        <f>VLOOKUP(A784,TraderCategory!$A$63:$F$556,6,FALSE)</f>
        <v>0</v>
      </c>
      <c r="D784" s="1" t="str">
        <f>VLOOKUP(C784,Tabulka5[],3,FALSE)</f>
        <v>Private</v>
      </c>
      <c r="E784" s="1">
        <v>0</v>
      </c>
      <c r="F784" s="1" t="str">
        <f>VLOOKUP(E784,Tabulka5[],3,FALSE)</f>
        <v>Private</v>
      </c>
      <c r="G784" s="1" t="s">
        <v>3115</v>
      </c>
      <c r="H784" s="1" t="s">
        <v>1140</v>
      </c>
      <c r="I784" s="1" t="s">
        <v>403</v>
      </c>
      <c r="J784" s="1" t="s">
        <v>2728</v>
      </c>
      <c r="K784" s="1" t="s">
        <v>3126</v>
      </c>
      <c r="L784" s="1" t="s">
        <v>3133</v>
      </c>
      <c r="M784" s="1">
        <v>1200</v>
      </c>
      <c r="N784" s="1">
        <v>1</v>
      </c>
      <c r="O784" s="1" t="str">
        <f t="shared" si="63"/>
        <v>"TrackSuitPants_LightBlue": 1,</v>
      </c>
      <c r="P784" s="1" t="str">
        <f t="shared" si="64"/>
        <v>"TrackSuitPants_LightBlue": 4,</v>
      </c>
      <c r="Q784" s="1" t="str">
        <f t="shared" si="65"/>
        <v>"TrackSuitPants_LightBlue": 1200,</v>
      </c>
      <c r="R784" s="1" t="str">
        <f t="shared" si="66"/>
        <v>"TrackSuitPants_LightBlue": 0,</v>
      </c>
    </row>
    <row r="785" spans="1:18" ht="15" customHeight="1" x14ac:dyDescent="0.25">
      <c r="A785" s="1" t="str">
        <f t="shared" si="67"/>
        <v>#tc_clothes#tc_civil#tc_pants</v>
      </c>
      <c r="B785" s="1">
        <f>VLOOKUP(A785,TraderCategory!$A$63:$E$556,2,FALSE)</f>
        <v>4</v>
      </c>
      <c r="C785" s="1">
        <f>VLOOKUP(A785,TraderCategory!$A$63:$F$556,6,FALSE)</f>
        <v>0</v>
      </c>
      <c r="D785" s="1" t="str">
        <f>VLOOKUP(C785,Tabulka5[],3,FALSE)</f>
        <v>Private</v>
      </c>
      <c r="E785" s="1">
        <v>0</v>
      </c>
      <c r="F785" s="1" t="str">
        <f>VLOOKUP(E785,Tabulka5[],3,FALSE)</f>
        <v>Private</v>
      </c>
      <c r="G785" s="1" t="s">
        <v>3115</v>
      </c>
      <c r="H785" s="1" t="s">
        <v>1141</v>
      </c>
      <c r="I785" s="1" t="s">
        <v>403</v>
      </c>
      <c r="J785" s="1" t="s">
        <v>2728</v>
      </c>
      <c r="K785" s="1" t="s">
        <v>3126</v>
      </c>
      <c r="L785" s="1" t="s">
        <v>3133</v>
      </c>
      <c r="M785" s="1">
        <v>1200</v>
      </c>
      <c r="N785" s="1">
        <v>1</v>
      </c>
      <c r="O785" s="1" t="str">
        <f t="shared" si="63"/>
        <v>"TrackSuitPants_Red": 1,</v>
      </c>
      <c r="P785" s="1" t="str">
        <f t="shared" si="64"/>
        <v>"TrackSuitPants_Red": 4,</v>
      </c>
      <c r="Q785" s="1" t="str">
        <f t="shared" si="65"/>
        <v>"TrackSuitPants_Red": 1200,</v>
      </c>
      <c r="R785" s="1" t="str">
        <f t="shared" si="66"/>
        <v>"TrackSuitPants_Red": 0,</v>
      </c>
    </row>
    <row r="786" spans="1:18" ht="15" customHeight="1" x14ac:dyDescent="0.25">
      <c r="A786" s="1" t="str">
        <f t="shared" si="67"/>
        <v>#tc_groceries#tc_tools#tc_camping</v>
      </c>
      <c r="B786" s="1">
        <f>VLOOKUP(A786,TraderCategory!$A$63:$E$556,2,FALSE)</f>
        <v>33</v>
      </c>
      <c r="C786" s="1">
        <f>VLOOKUP(A786,TraderCategory!$A$63:$F$556,6,FALSE)</f>
        <v>3</v>
      </c>
      <c r="D786" s="1" t="str">
        <f>VLOOKUP(C786,Tabulka5[],3,FALSE)</f>
        <v>Sergeant</v>
      </c>
      <c r="E786" s="1">
        <v>3</v>
      </c>
      <c r="F786" s="1" t="str">
        <f>VLOOKUP(E786,Tabulka5[],3,FALSE)</f>
        <v>Sergeant</v>
      </c>
      <c r="G786" s="1" t="s">
        <v>3115</v>
      </c>
      <c r="H786" s="1" t="s">
        <v>1143</v>
      </c>
      <c r="I786" s="1" t="s">
        <v>426</v>
      </c>
      <c r="J786" s="1" t="s">
        <v>3127</v>
      </c>
      <c r="K786" s="1" t="s">
        <v>2740</v>
      </c>
      <c r="L786" s="1" t="s">
        <v>3150</v>
      </c>
      <c r="M786" s="1">
        <v>1800</v>
      </c>
      <c r="N786" s="1">
        <v>1</v>
      </c>
      <c r="O786" s="1" t="str">
        <f t="shared" si="63"/>
        <v>"Tripod": 1,</v>
      </c>
      <c r="P786" s="1" t="str">
        <f t="shared" si="64"/>
        <v>"Tripod": 33,</v>
      </c>
      <c r="Q786" s="1" t="str">
        <f t="shared" si="65"/>
        <v>"Tripod": 1800,</v>
      </c>
      <c r="R786" s="1" t="str">
        <f t="shared" si="66"/>
        <v>"Tripod": 3,</v>
      </c>
    </row>
    <row r="787" spans="1:18" ht="15" customHeight="1" x14ac:dyDescent="0.25">
      <c r="A787" s="1" t="str">
        <f t="shared" si="67"/>
        <v>#tc_vehicles#tc_parts#tc_parts</v>
      </c>
      <c r="B787" s="1">
        <f>VLOOKUP(A787,TraderCategory!$A$63:$E$556,2,FALSE)</f>
        <v>68</v>
      </c>
      <c r="C787" s="1">
        <f>VLOOKUP(A787,TraderCategory!$A$63:$F$556,6,FALSE)</f>
        <v>3</v>
      </c>
      <c r="D787" s="1" t="str">
        <f>VLOOKUP(C787,Tabulka5[],3,FALSE)</f>
        <v>Sergeant</v>
      </c>
      <c r="E787" s="1">
        <v>3</v>
      </c>
      <c r="F787" s="1" t="str">
        <f>VLOOKUP(E787,Tabulka5[],3,FALSE)</f>
        <v>Sergeant</v>
      </c>
      <c r="G787" s="1" t="s">
        <v>3115</v>
      </c>
      <c r="H787" s="1" t="s">
        <v>1144</v>
      </c>
      <c r="I787" s="1" t="s">
        <v>426</v>
      </c>
      <c r="J787" s="1" t="s">
        <v>2743</v>
      </c>
      <c r="K787" s="1" t="s">
        <v>2742</v>
      </c>
      <c r="L787" s="1" t="s">
        <v>2742</v>
      </c>
      <c r="M787" s="1">
        <v>4500</v>
      </c>
      <c r="N787" s="1">
        <v>1</v>
      </c>
      <c r="O787" s="1" t="str">
        <f t="shared" si="63"/>
        <v>"TruckBattery": 1,</v>
      </c>
      <c r="P787" s="1" t="str">
        <f t="shared" si="64"/>
        <v>"TruckBattery": 68,</v>
      </c>
      <c r="Q787" s="1" t="str">
        <f t="shared" si="65"/>
        <v>"TruckBattery": 4500,</v>
      </c>
      <c r="R787" s="1" t="str">
        <f t="shared" si="66"/>
        <v>"TruckBattery": 3,</v>
      </c>
    </row>
    <row r="788" spans="1:18" ht="15" customHeight="1" x14ac:dyDescent="0.25">
      <c r="A788" s="1" t="str">
        <f t="shared" si="67"/>
        <v>#tc_groceries#tc_food#tc_canned</v>
      </c>
      <c r="B788" s="1">
        <f>VLOOKUP(A788,TraderCategory!$A$63:$E$556,2,FALSE)</f>
        <v>18</v>
      </c>
      <c r="C788" s="1">
        <f>VLOOKUP(A788,TraderCategory!$A$63:$F$556,6,FALSE)</f>
        <v>3</v>
      </c>
      <c r="D788" s="1" t="str">
        <f>VLOOKUP(C788,Tabulka5[],3,FALSE)</f>
        <v>Sergeant</v>
      </c>
      <c r="E788" s="1">
        <v>3</v>
      </c>
      <c r="F788" s="1" t="str">
        <f>VLOOKUP(E788,Tabulka5[],3,FALSE)</f>
        <v>Sergeant</v>
      </c>
      <c r="G788" s="1" t="s">
        <v>3115</v>
      </c>
      <c r="H788" s="1" t="s">
        <v>1145</v>
      </c>
      <c r="I788" s="1" t="s">
        <v>399</v>
      </c>
      <c r="J788" s="1" t="s">
        <v>3127</v>
      </c>
      <c r="K788" s="1" t="s">
        <v>2730</v>
      </c>
      <c r="L788" s="1" t="s">
        <v>2732</v>
      </c>
      <c r="M788" s="1">
        <v>3000</v>
      </c>
      <c r="N788" s="1">
        <v>1</v>
      </c>
      <c r="O788" s="1" t="str">
        <f t="shared" si="63"/>
        <v>"TunaCan": 1,</v>
      </c>
      <c r="P788" s="1" t="str">
        <f t="shared" si="64"/>
        <v>"TunaCan": 18,</v>
      </c>
      <c r="Q788" s="1" t="str">
        <f t="shared" si="65"/>
        <v>"TunaCan": 3000,</v>
      </c>
      <c r="R788" s="1" t="str">
        <f t="shared" si="66"/>
        <v>"TunaCan": 3,</v>
      </c>
    </row>
    <row r="789" spans="1:18" ht="15" customHeight="1" x14ac:dyDescent="0.25">
      <c r="A789" s="1" t="str">
        <f t="shared" si="67"/>
        <v>#tc_clothes#tc_military#tc_vests</v>
      </c>
      <c r="B789" s="1">
        <f>VLOOKUP(A789,TraderCategory!$A$63:$E$556,2,FALSE)</f>
        <v>14</v>
      </c>
      <c r="C789" s="1">
        <f>VLOOKUP(A789,TraderCategory!$A$63:$F$556,6,FALSE)</f>
        <v>1</v>
      </c>
      <c r="D789" s="1" t="str">
        <f>VLOOKUP(C789,Tabulka5[],3,FALSE)</f>
        <v>Private First Class</v>
      </c>
      <c r="E789" s="1">
        <v>1</v>
      </c>
      <c r="F789" s="1" t="str">
        <f>VLOOKUP(E789,Tabulka5[],3,FALSE)</f>
        <v>Private First Class</v>
      </c>
      <c r="G789" s="1" t="s">
        <v>3115</v>
      </c>
      <c r="H789" s="1" t="s">
        <v>1146</v>
      </c>
      <c r="I789" s="1" t="s">
        <v>403</v>
      </c>
      <c r="J789" s="1" t="s">
        <v>2728</v>
      </c>
      <c r="K789" s="1" t="s">
        <v>2729</v>
      </c>
      <c r="L789" s="1" t="s">
        <v>3136</v>
      </c>
      <c r="M789" s="1">
        <v>15000</v>
      </c>
      <c r="N789" s="1">
        <v>1</v>
      </c>
      <c r="O789" s="1" t="str">
        <f t="shared" si="63"/>
        <v>"UKAssVest_Black": 1,</v>
      </c>
      <c r="P789" s="1" t="str">
        <f t="shared" si="64"/>
        <v>"UKAssVest_Black": 14,</v>
      </c>
      <c r="Q789" s="1" t="str">
        <f t="shared" si="65"/>
        <v>"UKAssVest_Black": 15000,</v>
      </c>
      <c r="R789" s="1" t="str">
        <f t="shared" si="66"/>
        <v>"UKAssVest_Black": 1,</v>
      </c>
    </row>
    <row r="790" spans="1:18" ht="15" customHeight="1" x14ac:dyDescent="0.25">
      <c r="A790" s="1" t="str">
        <f t="shared" si="67"/>
        <v>#tc_clothes#tc_military#tc_vests</v>
      </c>
      <c r="B790" s="1">
        <f>VLOOKUP(A790,TraderCategory!$A$63:$E$556,2,FALSE)</f>
        <v>14</v>
      </c>
      <c r="C790" s="1">
        <f>VLOOKUP(A790,TraderCategory!$A$63:$F$556,6,FALSE)</f>
        <v>1</v>
      </c>
      <c r="D790" s="1" t="str">
        <f>VLOOKUP(C790,Tabulka5[],3,FALSE)</f>
        <v>Private First Class</v>
      </c>
      <c r="E790" s="1">
        <v>1</v>
      </c>
      <c r="F790" s="1" t="str">
        <f>VLOOKUP(E790,Tabulka5[],3,FALSE)</f>
        <v>Private First Class</v>
      </c>
      <c r="G790" s="1" t="s">
        <v>3115</v>
      </c>
      <c r="H790" s="1" t="s">
        <v>1147</v>
      </c>
      <c r="I790" s="1" t="s">
        <v>403</v>
      </c>
      <c r="J790" s="1" t="s">
        <v>2728</v>
      </c>
      <c r="K790" s="1" t="s">
        <v>2729</v>
      </c>
      <c r="L790" s="1" t="s">
        <v>3136</v>
      </c>
      <c r="M790" s="1">
        <v>15000</v>
      </c>
      <c r="N790" s="1">
        <v>1</v>
      </c>
      <c r="O790" s="1" t="str">
        <f t="shared" si="63"/>
        <v>"UKAssVest_Camo": 1,</v>
      </c>
      <c r="P790" s="1" t="str">
        <f t="shared" si="64"/>
        <v>"UKAssVest_Camo": 14,</v>
      </c>
      <c r="Q790" s="1" t="str">
        <f t="shared" si="65"/>
        <v>"UKAssVest_Camo": 15000,</v>
      </c>
      <c r="R790" s="1" t="str">
        <f t="shared" si="66"/>
        <v>"UKAssVest_Camo": 1,</v>
      </c>
    </row>
    <row r="791" spans="1:18" ht="15" customHeight="1" x14ac:dyDescent="0.25">
      <c r="A791" s="1" t="str">
        <f t="shared" si="67"/>
        <v>#tc_clothes#tc_military#tc_vests</v>
      </c>
      <c r="B791" s="1">
        <f>VLOOKUP(A791,TraderCategory!$A$63:$E$556,2,FALSE)</f>
        <v>14</v>
      </c>
      <c r="C791" s="1">
        <f>VLOOKUP(A791,TraderCategory!$A$63:$F$556,6,FALSE)</f>
        <v>1</v>
      </c>
      <c r="D791" s="1" t="str">
        <f>VLOOKUP(C791,Tabulka5[],3,FALSE)</f>
        <v>Private First Class</v>
      </c>
      <c r="E791" s="1">
        <v>1</v>
      </c>
      <c r="F791" s="1" t="str">
        <f>VLOOKUP(E791,Tabulka5[],3,FALSE)</f>
        <v>Private First Class</v>
      </c>
      <c r="G791" s="1" t="s">
        <v>3115</v>
      </c>
      <c r="H791" s="1" t="s">
        <v>1148</v>
      </c>
      <c r="I791" s="1" t="s">
        <v>403</v>
      </c>
      <c r="J791" s="1" t="s">
        <v>2728</v>
      </c>
      <c r="K791" s="1" t="s">
        <v>2729</v>
      </c>
      <c r="L791" s="1" t="s">
        <v>3136</v>
      </c>
      <c r="M791" s="1">
        <v>15000</v>
      </c>
      <c r="N791" s="1">
        <v>1</v>
      </c>
      <c r="O791" s="1" t="str">
        <f t="shared" si="63"/>
        <v>"UKAssVest_Khaki": 1,</v>
      </c>
      <c r="P791" s="1" t="str">
        <f t="shared" si="64"/>
        <v>"UKAssVest_Khaki": 14,</v>
      </c>
      <c r="Q791" s="1" t="str">
        <f t="shared" si="65"/>
        <v>"UKAssVest_Khaki": 15000,</v>
      </c>
      <c r="R791" s="1" t="str">
        <f t="shared" si="66"/>
        <v>"UKAssVest_Khaki": 1,</v>
      </c>
    </row>
    <row r="792" spans="1:18" ht="15" customHeight="1" x14ac:dyDescent="0.25">
      <c r="A792" s="1" t="str">
        <f t="shared" si="67"/>
        <v>#tc_clothes#tc_military#tc_vests</v>
      </c>
      <c r="B792" s="1">
        <f>VLOOKUP(A792,TraderCategory!$A$63:$E$556,2,FALSE)</f>
        <v>14</v>
      </c>
      <c r="C792" s="1">
        <f>VLOOKUP(A792,TraderCategory!$A$63:$F$556,6,FALSE)</f>
        <v>1</v>
      </c>
      <c r="D792" s="1" t="str">
        <f>VLOOKUP(C792,Tabulka5[],3,FALSE)</f>
        <v>Private First Class</v>
      </c>
      <c r="E792" s="1">
        <v>1</v>
      </c>
      <c r="F792" s="1" t="str">
        <f>VLOOKUP(E792,Tabulka5[],3,FALSE)</f>
        <v>Private First Class</v>
      </c>
      <c r="G792" s="1" t="s">
        <v>3115</v>
      </c>
      <c r="H792" s="1" t="s">
        <v>1149</v>
      </c>
      <c r="I792" s="1" t="s">
        <v>403</v>
      </c>
      <c r="J792" s="1" t="s">
        <v>2728</v>
      </c>
      <c r="K792" s="1" t="s">
        <v>2729</v>
      </c>
      <c r="L792" s="1" t="s">
        <v>3136</v>
      </c>
      <c r="M792" s="1">
        <v>15000</v>
      </c>
      <c r="N792" s="1">
        <v>1</v>
      </c>
      <c r="O792" s="1" t="str">
        <f t="shared" si="63"/>
        <v>"UKAssVest_Olive": 1,</v>
      </c>
      <c r="P792" s="1" t="str">
        <f t="shared" si="64"/>
        <v>"UKAssVest_Olive": 14,</v>
      </c>
      <c r="Q792" s="1" t="str">
        <f t="shared" si="65"/>
        <v>"UKAssVest_Olive": 15000,</v>
      </c>
      <c r="R792" s="1" t="str">
        <f t="shared" si="66"/>
        <v>"UKAssVest_Olive": 1,</v>
      </c>
    </row>
    <row r="793" spans="1:18" x14ac:dyDescent="0.25">
      <c r="A793" s="1" t="str">
        <f t="shared" si="67"/>
        <v>#tc_military#tc_weapons#tc_rifles</v>
      </c>
      <c r="B793" s="1">
        <f>VLOOKUP(A793,TraderCategory!$A$63:$E$556,2,FALSE)</f>
        <v>64</v>
      </c>
      <c r="C793" s="1">
        <f>VLOOKUP(A793,TraderCategory!$A$63:$F$556,6,FALSE)</f>
        <v>0</v>
      </c>
      <c r="D793" s="1" t="str">
        <f>VLOOKUP(C793,Tabulka5[],3,FALSE)</f>
        <v>Private</v>
      </c>
      <c r="E793" s="1">
        <v>0</v>
      </c>
      <c r="F793" s="1" t="str">
        <f>VLOOKUP(E793,Tabulka5[],3,FALSE)</f>
        <v>Private</v>
      </c>
      <c r="G793" s="1" t="s">
        <v>3115</v>
      </c>
      <c r="H793" s="1" t="s">
        <v>766</v>
      </c>
      <c r="I793" s="1" t="s">
        <v>8</v>
      </c>
      <c r="J793" s="1" t="s">
        <v>2729</v>
      </c>
      <c r="K793" s="1" t="s">
        <v>3129</v>
      </c>
      <c r="L793" s="1" t="s">
        <v>3157</v>
      </c>
      <c r="M793" s="1">
        <v>12000</v>
      </c>
      <c r="N793" s="1">
        <v>1</v>
      </c>
      <c r="O793" s="1" t="str">
        <f t="shared" si="63"/>
        <v>"Izh18": 1,</v>
      </c>
      <c r="P793" s="1" t="str">
        <f t="shared" si="64"/>
        <v>"Izh18": 64,</v>
      </c>
      <c r="Q793" s="1" t="str">
        <f t="shared" si="65"/>
        <v>"Izh18": 12000,</v>
      </c>
      <c r="R793" s="1" t="str">
        <f t="shared" si="66"/>
        <v>"Izh18": 0,</v>
      </c>
    </row>
    <row r="794" spans="1:18" x14ac:dyDescent="0.25">
      <c r="A794" s="1" t="str">
        <f t="shared" si="67"/>
        <v>#tc_military#tc_weapons#tc_rifles</v>
      </c>
      <c r="B794" s="1">
        <f>VLOOKUP(A794,TraderCategory!$A$63:$E$556,2,FALSE)</f>
        <v>64</v>
      </c>
      <c r="C794" s="1">
        <f>VLOOKUP(A794,TraderCategory!$A$63:$F$556,6,FALSE)</f>
        <v>0</v>
      </c>
      <c r="D794" s="1" t="str">
        <f>VLOOKUP(C794,Tabulka5[],3,FALSE)</f>
        <v>Private</v>
      </c>
      <c r="E794" s="1">
        <v>3</v>
      </c>
      <c r="F794" s="1" t="str">
        <f>VLOOKUP(E794,Tabulka5[],3,FALSE)</f>
        <v>Sergeant</v>
      </c>
      <c r="G794" s="1" t="s">
        <v>3115</v>
      </c>
      <c r="H794" s="1" t="s">
        <v>893</v>
      </c>
      <c r="I794" s="1" t="s">
        <v>8</v>
      </c>
      <c r="J794" s="1" t="s">
        <v>2729</v>
      </c>
      <c r="K794" s="1" t="s">
        <v>3129</v>
      </c>
      <c r="L794" s="1" t="s">
        <v>3157</v>
      </c>
      <c r="M794" s="1">
        <v>20000</v>
      </c>
      <c r="N794" s="1">
        <v>1</v>
      </c>
      <c r="O794" s="1" t="str">
        <f t="shared" si="63"/>
        <v>"Mosin9130": 1,</v>
      </c>
      <c r="P794" s="1" t="str">
        <f t="shared" si="64"/>
        <v>"Mosin9130": 64,</v>
      </c>
      <c r="Q794" s="1" t="str">
        <f t="shared" si="65"/>
        <v>"Mosin9130": 20000,</v>
      </c>
      <c r="R794" s="1" t="str">
        <f t="shared" si="66"/>
        <v>"Mosin9130": 3,</v>
      </c>
    </row>
    <row r="795" spans="1:18" x14ac:dyDescent="0.25">
      <c r="A795" s="1" t="str">
        <f t="shared" si="67"/>
        <v>#tc_military#tc_weapons#tc_rifles</v>
      </c>
      <c r="B795" s="1">
        <f>VLOOKUP(A795,TraderCategory!$A$63:$E$556,2,FALSE)</f>
        <v>64</v>
      </c>
      <c r="C795" s="1">
        <f>VLOOKUP(A795,TraderCategory!$A$63:$F$556,6,FALSE)</f>
        <v>0</v>
      </c>
      <c r="D795" s="1" t="str">
        <f>VLOOKUP(C795,Tabulka5[],3,FALSE)</f>
        <v>Private</v>
      </c>
      <c r="E795" s="1">
        <v>1</v>
      </c>
      <c r="F795" s="1" t="str">
        <f>VLOOKUP(E795,Tabulka5[],3,FALSE)</f>
        <v>Private First Class</v>
      </c>
      <c r="G795" s="1" t="s">
        <v>3115</v>
      </c>
      <c r="H795" s="1" t="s">
        <v>999</v>
      </c>
      <c r="I795" s="1" t="s">
        <v>8</v>
      </c>
      <c r="J795" s="1" t="s">
        <v>2729</v>
      </c>
      <c r="K795" s="1" t="s">
        <v>3129</v>
      </c>
      <c r="L795" s="1" t="s">
        <v>3157</v>
      </c>
      <c r="M795" s="1">
        <v>20000</v>
      </c>
      <c r="N795" s="1">
        <v>1</v>
      </c>
      <c r="O795" s="1" t="str">
        <f t="shared" si="63"/>
        <v>"SKS": 1,</v>
      </c>
      <c r="P795" s="1" t="str">
        <f t="shared" si="64"/>
        <v>"SKS": 64,</v>
      </c>
      <c r="Q795" s="1" t="str">
        <f t="shared" si="65"/>
        <v>"SKS": 20000,</v>
      </c>
      <c r="R795" s="1" t="str">
        <f t="shared" si="66"/>
        <v>"SKS": 1,</v>
      </c>
    </row>
    <row r="796" spans="1:18" x14ac:dyDescent="0.25">
      <c r="A796" s="1" t="str">
        <f t="shared" si="67"/>
        <v>#tc_military#tc_weapons#tc_rifles</v>
      </c>
      <c r="B796" s="1">
        <f>VLOOKUP(A796,TraderCategory!$A$63:$E$556,2,FALSE)</f>
        <v>64</v>
      </c>
      <c r="C796" s="1">
        <f>VLOOKUP(A796,TraderCategory!$A$63:$F$556,6,FALSE)</f>
        <v>0</v>
      </c>
      <c r="D796" s="1" t="str">
        <f>VLOOKUP(C796,Tabulka5[],3,FALSE)</f>
        <v>Private</v>
      </c>
      <c r="E796" s="1">
        <v>3</v>
      </c>
      <c r="F796" s="1" t="str">
        <f>VLOOKUP(E796,Tabulka5[],3,FALSE)</f>
        <v>Sergeant</v>
      </c>
      <c r="G796" s="1" t="s">
        <v>3115</v>
      </c>
      <c r="H796" s="1" t="s">
        <v>1181</v>
      </c>
      <c r="I796" s="1" t="s">
        <v>8</v>
      </c>
      <c r="J796" s="1" t="s">
        <v>2729</v>
      </c>
      <c r="K796" s="1" t="s">
        <v>3129</v>
      </c>
      <c r="L796" s="1" t="s">
        <v>3157</v>
      </c>
      <c r="M796" s="1">
        <v>25000</v>
      </c>
      <c r="N796" s="1">
        <v>1</v>
      </c>
      <c r="O796" s="1" t="str">
        <f t="shared" si="63"/>
        <v>"Winchester70": 1,</v>
      </c>
      <c r="P796" s="1" t="str">
        <f t="shared" si="64"/>
        <v>"Winchester70": 64,</v>
      </c>
      <c r="Q796" s="1" t="str">
        <f t="shared" si="65"/>
        <v>"Winchester70": 25000,</v>
      </c>
      <c r="R796" s="1" t="str">
        <f t="shared" si="66"/>
        <v>"Winchester70": 3,</v>
      </c>
    </row>
    <row r="797" spans="1:18" ht="15" customHeight="1" x14ac:dyDescent="0.25">
      <c r="A797" s="1" t="str">
        <f t="shared" si="67"/>
        <v>#tc_clothes#tc_military#tc_tops</v>
      </c>
      <c r="B797" s="1">
        <f>VLOOKUP(A797,TraderCategory!$A$63:$E$556,2,FALSE)</f>
        <v>9</v>
      </c>
      <c r="C797" s="1">
        <f>VLOOKUP(A797,TraderCategory!$A$63:$F$556,6,FALSE)</f>
        <v>1</v>
      </c>
      <c r="D797" s="1" t="str">
        <f>VLOOKUP(C797,Tabulka5[],3,FALSE)</f>
        <v>Private First Class</v>
      </c>
      <c r="E797" s="1">
        <v>1</v>
      </c>
      <c r="F797" s="1" t="str">
        <f>VLOOKUP(E797,Tabulka5[],3,FALSE)</f>
        <v>Private First Class</v>
      </c>
      <c r="G797" s="1" t="s">
        <v>3115</v>
      </c>
      <c r="H797" s="1" t="s">
        <v>1151</v>
      </c>
      <c r="I797" s="1" t="s">
        <v>403</v>
      </c>
      <c r="J797" s="1" t="s">
        <v>2728</v>
      </c>
      <c r="K797" s="1" t="s">
        <v>2729</v>
      </c>
      <c r="L797" s="1" t="s">
        <v>3131</v>
      </c>
      <c r="M797" s="1">
        <v>10000</v>
      </c>
      <c r="N797" s="1">
        <v>1</v>
      </c>
      <c r="O797" s="1" t="str">
        <f t="shared" si="63"/>
        <v>"USMCJacket_Desert": 1,</v>
      </c>
      <c r="P797" s="1" t="str">
        <f t="shared" si="64"/>
        <v>"USMCJacket_Desert": 9,</v>
      </c>
      <c r="Q797" s="1" t="str">
        <f t="shared" si="65"/>
        <v>"USMCJacket_Desert": 10000,</v>
      </c>
      <c r="R797" s="1" t="str">
        <f t="shared" si="66"/>
        <v>"USMCJacket_Desert": 1,</v>
      </c>
    </row>
    <row r="798" spans="1:18" ht="15" customHeight="1" x14ac:dyDescent="0.25">
      <c r="A798" s="1" t="str">
        <f t="shared" si="67"/>
        <v>#tc_clothes#tc_military#tc_tops</v>
      </c>
      <c r="B798" s="1">
        <f>VLOOKUP(A798,TraderCategory!$A$63:$E$556,2,FALSE)</f>
        <v>9</v>
      </c>
      <c r="C798" s="1">
        <f>VLOOKUP(A798,TraderCategory!$A$63:$F$556,6,FALSE)</f>
        <v>1</v>
      </c>
      <c r="D798" s="1" t="str">
        <f>VLOOKUP(C798,Tabulka5[],3,FALSE)</f>
        <v>Private First Class</v>
      </c>
      <c r="E798" s="1">
        <v>1</v>
      </c>
      <c r="F798" s="1" t="str">
        <f>VLOOKUP(E798,Tabulka5[],3,FALSE)</f>
        <v>Private First Class</v>
      </c>
      <c r="G798" s="1" t="s">
        <v>3115</v>
      </c>
      <c r="H798" s="1" t="s">
        <v>1152</v>
      </c>
      <c r="I798" s="1" t="s">
        <v>403</v>
      </c>
      <c r="J798" s="1" t="s">
        <v>2728</v>
      </c>
      <c r="K798" s="1" t="s">
        <v>2729</v>
      </c>
      <c r="L798" s="1" t="s">
        <v>3131</v>
      </c>
      <c r="M798" s="1">
        <v>10000</v>
      </c>
      <c r="N798" s="1">
        <v>1</v>
      </c>
      <c r="O798" s="1" t="str">
        <f t="shared" si="63"/>
        <v>"USMCJacket_Woodland": 1,</v>
      </c>
      <c r="P798" s="1" t="str">
        <f t="shared" si="64"/>
        <v>"USMCJacket_Woodland": 9,</v>
      </c>
      <c r="Q798" s="1" t="str">
        <f t="shared" si="65"/>
        <v>"USMCJacket_Woodland": 10000,</v>
      </c>
      <c r="R798" s="1" t="str">
        <f t="shared" si="66"/>
        <v>"USMCJacket_Woodland": 1,</v>
      </c>
    </row>
    <row r="799" spans="1:18" ht="15" customHeight="1" x14ac:dyDescent="0.25">
      <c r="A799" s="1" t="str">
        <f t="shared" si="67"/>
        <v>#tc_clothes#tc_military#tc_pants</v>
      </c>
      <c r="B799" s="1">
        <f>VLOOKUP(A799,TraderCategory!$A$63:$E$556,2,FALSE)</f>
        <v>12</v>
      </c>
      <c r="C799" s="1">
        <f>VLOOKUP(A799,TraderCategory!$A$63:$F$556,6,FALSE)</f>
        <v>1</v>
      </c>
      <c r="D799" s="1" t="str">
        <f>VLOOKUP(C799,Tabulka5[],3,FALSE)</f>
        <v>Private First Class</v>
      </c>
      <c r="E799" s="1">
        <v>1</v>
      </c>
      <c r="F799" s="1" t="str">
        <f>VLOOKUP(E799,Tabulka5[],3,FALSE)</f>
        <v>Private First Class</v>
      </c>
      <c r="G799" s="1" t="s">
        <v>3115</v>
      </c>
      <c r="H799" s="1" t="s">
        <v>1153</v>
      </c>
      <c r="I799" s="1" t="s">
        <v>403</v>
      </c>
      <c r="J799" s="1" t="s">
        <v>2728</v>
      </c>
      <c r="K799" s="1" t="s">
        <v>2729</v>
      </c>
      <c r="L799" s="1" t="s">
        <v>3133</v>
      </c>
      <c r="M799" s="1">
        <v>5000</v>
      </c>
      <c r="N799" s="1">
        <v>1</v>
      </c>
      <c r="O799" s="1" t="str">
        <f t="shared" si="63"/>
        <v>"USMCPants_Desert": 1,</v>
      </c>
      <c r="P799" s="1" t="str">
        <f t="shared" si="64"/>
        <v>"USMCPants_Desert": 12,</v>
      </c>
      <c r="Q799" s="1" t="str">
        <f t="shared" si="65"/>
        <v>"USMCPants_Desert": 5000,</v>
      </c>
      <c r="R799" s="1" t="str">
        <f t="shared" si="66"/>
        <v>"USMCPants_Desert": 1,</v>
      </c>
    </row>
    <row r="800" spans="1:18" ht="15" customHeight="1" x14ac:dyDescent="0.25">
      <c r="A800" s="1" t="str">
        <f t="shared" si="67"/>
        <v>#tc_clothes#tc_military#tc_pants</v>
      </c>
      <c r="B800" s="1">
        <f>VLOOKUP(A800,TraderCategory!$A$63:$E$556,2,FALSE)</f>
        <v>12</v>
      </c>
      <c r="C800" s="1">
        <f>VLOOKUP(A800,TraderCategory!$A$63:$F$556,6,FALSE)</f>
        <v>1</v>
      </c>
      <c r="D800" s="1" t="str">
        <f>VLOOKUP(C800,Tabulka5[],3,FALSE)</f>
        <v>Private First Class</v>
      </c>
      <c r="E800" s="1">
        <v>1</v>
      </c>
      <c r="F800" s="1" t="str">
        <f>VLOOKUP(E800,Tabulka5[],3,FALSE)</f>
        <v>Private First Class</v>
      </c>
      <c r="G800" s="1" t="s">
        <v>3115</v>
      </c>
      <c r="H800" s="1" t="s">
        <v>1154</v>
      </c>
      <c r="I800" s="1" t="s">
        <v>403</v>
      </c>
      <c r="J800" s="1" t="s">
        <v>2728</v>
      </c>
      <c r="K800" s="1" t="s">
        <v>2729</v>
      </c>
      <c r="L800" s="1" t="s">
        <v>3133</v>
      </c>
      <c r="M800" s="1">
        <v>5000</v>
      </c>
      <c r="N800" s="1">
        <v>1</v>
      </c>
      <c r="O800" s="1" t="str">
        <f t="shared" si="63"/>
        <v>"USMCPants_Woodland": 1,</v>
      </c>
      <c r="P800" s="1" t="str">
        <f t="shared" si="64"/>
        <v>"USMCPants_Woodland": 12,</v>
      </c>
      <c r="Q800" s="1" t="str">
        <f t="shared" si="65"/>
        <v>"USMCPants_Woodland": 5000,</v>
      </c>
      <c r="R800" s="1" t="str">
        <f t="shared" si="66"/>
        <v>"USMCPants_Woodland": 1,</v>
      </c>
    </row>
    <row r="801" spans="1:18" x14ac:dyDescent="0.25">
      <c r="A801" s="1" t="str">
        <f t="shared" si="67"/>
        <v>#tc_military#tc_attachments#tc_attachments</v>
      </c>
      <c r="B801" s="1">
        <f>VLOOKUP(A801,TraderCategory!$A$63:$E$556,2,FALSE)</f>
        <v>48</v>
      </c>
      <c r="C801" s="1">
        <f>VLOOKUP(A801,TraderCategory!$A$63:$F$556,6,FALSE)</f>
        <v>0</v>
      </c>
      <c r="D801" s="1" t="str">
        <f>VLOOKUP(C801,Tabulka5[],3,FALSE)</f>
        <v>Private</v>
      </c>
      <c r="E801" s="1">
        <v>0</v>
      </c>
      <c r="F801" s="1" t="str">
        <f>VLOOKUP(E801,Tabulka5[],3,FALSE)</f>
        <v>Private</v>
      </c>
      <c r="G801" s="1" t="s">
        <v>3115</v>
      </c>
      <c r="H801" s="1" t="s">
        <v>1155</v>
      </c>
      <c r="I801" s="1" t="s">
        <v>8</v>
      </c>
      <c r="J801" s="1" t="s">
        <v>2729</v>
      </c>
      <c r="K801" s="1" t="s">
        <v>2736</v>
      </c>
      <c r="L801" s="1" t="s">
        <v>2736</v>
      </c>
      <c r="M801" s="1">
        <v>900</v>
      </c>
      <c r="N801" s="1">
        <v>1</v>
      </c>
      <c r="O801" s="1" t="str">
        <f t="shared" si="63"/>
        <v>"UniversalLight": 1,</v>
      </c>
      <c r="P801" s="1" t="str">
        <f t="shared" si="64"/>
        <v>"UniversalLight": 48,</v>
      </c>
      <c r="Q801" s="1" t="str">
        <f t="shared" si="65"/>
        <v>"UniversalLight": 900,</v>
      </c>
      <c r="R801" s="1" t="str">
        <f t="shared" si="66"/>
        <v>"UniversalLight": 0,</v>
      </c>
    </row>
    <row r="802" spans="1:18" ht="15" customHeight="1" x14ac:dyDescent="0.25">
      <c r="A802" s="1" t="str">
        <f t="shared" si="67"/>
        <v>#tc_clothes#tc_civil#tc_head</v>
      </c>
      <c r="B802" s="1">
        <f>VLOOKUP(A802,TraderCategory!$A$63:$E$556,2,FALSE)</f>
        <v>0</v>
      </c>
      <c r="C802" s="1">
        <f>VLOOKUP(A802,TraderCategory!$A$63:$F$556,6,FALSE)</f>
        <v>0</v>
      </c>
      <c r="D802" s="1" t="str">
        <f>VLOOKUP(C802,Tabulka5[],3,FALSE)</f>
        <v>Private</v>
      </c>
      <c r="E802" s="1">
        <v>0</v>
      </c>
      <c r="F802" s="1" t="str">
        <f>VLOOKUP(E802,Tabulka5[],3,FALSE)</f>
        <v>Private</v>
      </c>
      <c r="G802" s="1" t="s">
        <v>3115</v>
      </c>
      <c r="H802" s="1" t="s">
        <v>1156</v>
      </c>
      <c r="I802" s="1" t="s">
        <v>403</v>
      </c>
      <c r="J802" s="1" t="s">
        <v>2728</v>
      </c>
      <c r="K802" s="1" t="s">
        <v>3126</v>
      </c>
      <c r="L802" s="1" t="s">
        <v>3130</v>
      </c>
      <c r="M802" s="1">
        <v>300</v>
      </c>
      <c r="N802" s="1">
        <v>1</v>
      </c>
      <c r="O802" s="1" t="str">
        <f t="shared" si="63"/>
        <v>"Ushanka_Black": 1,</v>
      </c>
      <c r="P802" s="1" t="str">
        <f t="shared" si="64"/>
        <v>"Ushanka_Black": 0,</v>
      </c>
      <c r="Q802" s="1" t="str">
        <f t="shared" si="65"/>
        <v>"Ushanka_Black": 300,</v>
      </c>
      <c r="R802" s="1" t="str">
        <f t="shared" si="66"/>
        <v>"Ushanka_Black": 0,</v>
      </c>
    </row>
    <row r="803" spans="1:18" ht="15" customHeight="1" x14ac:dyDescent="0.25">
      <c r="A803" s="1" t="str">
        <f t="shared" si="67"/>
        <v>#tc_clothes#tc_civil#tc_head</v>
      </c>
      <c r="B803" s="1">
        <f>VLOOKUP(A803,TraderCategory!$A$63:$E$556,2,FALSE)</f>
        <v>0</v>
      </c>
      <c r="C803" s="1">
        <f>VLOOKUP(A803,TraderCategory!$A$63:$F$556,6,FALSE)</f>
        <v>0</v>
      </c>
      <c r="D803" s="1" t="str">
        <f>VLOOKUP(C803,Tabulka5[],3,FALSE)</f>
        <v>Private</v>
      </c>
      <c r="E803" s="1">
        <v>0</v>
      </c>
      <c r="F803" s="1" t="str">
        <f>VLOOKUP(E803,Tabulka5[],3,FALSE)</f>
        <v>Private</v>
      </c>
      <c r="G803" s="1" t="s">
        <v>3115</v>
      </c>
      <c r="H803" s="1" t="s">
        <v>1157</v>
      </c>
      <c r="I803" s="1" t="s">
        <v>403</v>
      </c>
      <c r="J803" s="1" t="s">
        <v>2728</v>
      </c>
      <c r="K803" s="1" t="s">
        <v>3126</v>
      </c>
      <c r="L803" s="1" t="s">
        <v>3130</v>
      </c>
      <c r="M803" s="1">
        <v>300</v>
      </c>
      <c r="N803" s="1">
        <v>1</v>
      </c>
      <c r="O803" s="1" t="str">
        <f t="shared" si="63"/>
        <v>"Ushanka_Blue": 1,</v>
      </c>
      <c r="P803" s="1" t="str">
        <f t="shared" si="64"/>
        <v>"Ushanka_Blue": 0,</v>
      </c>
      <c r="Q803" s="1" t="str">
        <f t="shared" si="65"/>
        <v>"Ushanka_Blue": 300,</v>
      </c>
      <c r="R803" s="1" t="str">
        <f t="shared" si="66"/>
        <v>"Ushanka_Blue": 0,</v>
      </c>
    </row>
    <row r="804" spans="1:18" ht="15" customHeight="1" x14ac:dyDescent="0.25">
      <c r="A804" s="1" t="str">
        <f t="shared" si="67"/>
        <v>#tc_clothes#tc_civil#tc_head</v>
      </c>
      <c r="B804" s="1">
        <f>VLOOKUP(A804,TraderCategory!$A$63:$E$556,2,FALSE)</f>
        <v>0</v>
      </c>
      <c r="C804" s="1">
        <f>VLOOKUP(A804,TraderCategory!$A$63:$F$556,6,FALSE)</f>
        <v>0</v>
      </c>
      <c r="D804" s="1" t="str">
        <f>VLOOKUP(C804,Tabulka5[],3,FALSE)</f>
        <v>Private</v>
      </c>
      <c r="E804" s="1">
        <v>0</v>
      </c>
      <c r="F804" s="1" t="str">
        <f>VLOOKUP(E804,Tabulka5[],3,FALSE)</f>
        <v>Private</v>
      </c>
      <c r="G804" s="1" t="s">
        <v>3115</v>
      </c>
      <c r="H804" s="1" t="s">
        <v>1158</v>
      </c>
      <c r="I804" s="1" t="s">
        <v>403</v>
      </c>
      <c r="J804" s="1" t="s">
        <v>2728</v>
      </c>
      <c r="K804" s="1" t="s">
        <v>3126</v>
      </c>
      <c r="L804" s="1" t="s">
        <v>3130</v>
      </c>
      <c r="M804" s="1">
        <v>300</v>
      </c>
      <c r="N804" s="1">
        <v>1</v>
      </c>
      <c r="O804" s="1" t="str">
        <f t="shared" si="63"/>
        <v>"Ushanka_Green": 1,</v>
      </c>
      <c r="P804" s="1" t="str">
        <f t="shared" si="64"/>
        <v>"Ushanka_Green": 0,</v>
      </c>
      <c r="Q804" s="1" t="str">
        <f t="shared" si="65"/>
        <v>"Ushanka_Green": 300,</v>
      </c>
      <c r="R804" s="1" t="str">
        <f t="shared" si="66"/>
        <v>"Ushanka_Green": 0,</v>
      </c>
    </row>
    <row r="805" spans="1:18" x14ac:dyDescent="0.25">
      <c r="A805" s="1" t="str">
        <f t="shared" si="67"/>
        <v>#tc_military#tc_weapons#tc_rifles</v>
      </c>
      <c r="B805" s="1">
        <f>VLOOKUP(A805,TraderCategory!$A$63:$E$556,2,FALSE)</f>
        <v>64</v>
      </c>
      <c r="C805" s="1">
        <f>VLOOKUP(A805,TraderCategory!$A$63:$F$556,6,FALSE)</f>
        <v>0</v>
      </c>
      <c r="D805" s="1" t="str">
        <f>VLOOKUP(C805,Tabulka5[],3,FALSE)</f>
        <v>Private</v>
      </c>
      <c r="E805" s="1">
        <v>5</v>
      </c>
      <c r="F805" s="1" t="str">
        <f>VLOOKUP(E805,Tabulka5[],3,FALSE)</f>
        <v>Sergeant First Class</v>
      </c>
      <c r="G805" s="1" t="s">
        <v>3119</v>
      </c>
      <c r="H805" s="1" t="s">
        <v>1282</v>
      </c>
      <c r="I805" s="1" t="s">
        <v>8</v>
      </c>
      <c r="J805" s="1" t="s">
        <v>2729</v>
      </c>
      <c r="K805" s="1" t="s">
        <v>3129</v>
      </c>
      <c r="L805" s="1" t="s">
        <v>3157</v>
      </c>
      <c r="M805" s="1">
        <v>20000</v>
      </c>
      <c r="N805" s="1">
        <v>1</v>
      </c>
      <c r="O805" s="1" t="str">
        <f t="shared" si="63"/>
        <v>"Gewehr43_mung": 1,</v>
      </c>
      <c r="P805" s="1" t="str">
        <f t="shared" si="64"/>
        <v>"Gewehr43_mung": 64,</v>
      </c>
      <c r="Q805" s="1" t="str">
        <f t="shared" si="65"/>
        <v>"Gewehr43_mung": 20000,</v>
      </c>
      <c r="R805" s="1" t="str">
        <f t="shared" si="66"/>
        <v>"Gewehr43_mung": 5,</v>
      </c>
    </row>
    <row r="806" spans="1:18" ht="15" customHeight="1" x14ac:dyDescent="0.25">
      <c r="A806" s="1" t="str">
        <f t="shared" si="67"/>
        <v>#tc_groceries#tc_medic#tc_medicaments</v>
      </c>
      <c r="B806" s="1">
        <f>VLOOKUP(A806,TraderCategory!$A$63:$E$556,2,FALSE)</f>
        <v>24</v>
      </c>
      <c r="C806" s="1">
        <f>VLOOKUP(A806,TraderCategory!$A$63:$F$556,6,FALSE)</f>
        <v>6</v>
      </c>
      <c r="D806" s="1" t="str">
        <f>VLOOKUP(C806,Tabulka5[],3,FALSE)</f>
        <v>Master Sergeant</v>
      </c>
      <c r="E806" s="1">
        <v>6</v>
      </c>
      <c r="F806" s="1" t="str">
        <f>VLOOKUP(E806,Tabulka5[],3,FALSE)</f>
        <v>Master Sergeant</v>
      </c>
      <c r="G806" s="1" t="s">
        <v>3115</v>
      </c>
      <c r="H806" s="1" t="s">
        <v>1168</v>
      </c>
      <c r="I806" s="1" t="s">
        <v>426</v>
      </c>
      <c r="J806" s="1" t="s">
        <v>3127</v>
      </c>
      <c r="K806" s="1" t="s">
        <v>2739</v>
      </c>
      <c r="L806" s="1" t="s">
        <v>3153</v>
      </c>
      <c r="M806" s="1">
        <v>1000</v>
      </c>
      <c r="N806" s="1">
        <v>1</v>
      </c>
      <c r="O806" s="1" t="str">
        <f t="shared" si="63"/>
        <v>"VitaminBottle": 1,</v>
      </c>
      <c r="P806" s="1" t="str">
        <f t="shared" si="64"/>
        <v>"VitaminBottle": 24,</v>
      </c>
      <c r="Q806" s="1" t="str">
        <f t="shared" si="65"/>
        <v>"VitaminBottle": 1000,</v>
      </c>
      <c r="R806" s="1" t="str">
        <f t="shared" si="66"/>
        <v>"VitaminBottle": 6,</v>
      </c>
    </row>
    <row r="807" spans="1:18" ht="15" customHeight="1" x14ac:dyDescent="0.25">
      <c r="A807" s="1" t="str">
        <f t="shared" si="67"/>
        <v>#tc_groceries#tc_food#tc_drinks</v>
      </c>
      <c r="B807" s="1">
        <f>VLOOKUP(A807,TraderCategory!$A$63:$E$556,2,FALSE)</f>
        <v>17</v>
      </c>
      <c r="C807" s="1">
        <f>VLOOKUP(A807,TraderCategory!$A$63:$F$556,6,FALSE)</f>
        <v>3</v>
      </c>
      <c r="D807" s="1" t="str">
        <f>VLOOKUP(C807,Tabulka5[],3,FALSE)</f>
        <v>Sergeant</v>
      </c>
      <c r="E807" s="1">
        <v>3</v>
      </c>
      <c r="F807" s="1" t="str">
        <f>VLOOKUP(E807,Tabulka5[],3,FALSE)</f>
        <v>Sergeant</v>
      </c>
      <c r="G807" s="1" t="s">
        <v>3115</v>
      </c>
      <c r="H807" s="1" t="s">
        <v>1169</v>
      </c>
      <c r="J807" s="1" t="s">
        <v>3127</v>
      </c>
      <c r="K807" s="1" t="s">
        <v>2730</v>
      </c>
      <c r="L807" s="1" t="s">
        <v>2733</v>
      </c>
      <c r="M807" s="1">
        <v>1000</v>
      </c>
      <c r="N807" s="1">
        <v>1</v>
      </c>
      <c r="O807" s="1" t="str">
        <f t="shared" si="63"/>
        <v>"WaterBottle": 1,</v>
      </c>
      <c r="P807" s="1" t="str">
        <f t="shared" si="64"/>
        <v>"WaterBottle": 17,</v>
      </c>
      <c r="Q807" s="1" t="str">
        <f t="shared" si="65"/>
        <v>"WaterBottle": 1000,</v>
      </c>
      <c r="R807" s="1" t="str">
        <f t="shared" si="66"/>
        <v>"WaterBottle": 3,</v>
      </c>
    </row>
    <row r="808" spans="1:18" ht="15" customHeight="1" x14ac:dyDescent="0.25">
      <c r="A808" s="1" t="str">
        <f t="shared" si="67"/>
        <v>#tc_clothes#tc_civil#tc_bags</v>
      </c>
      <c r="B808" s="1">
        <f>VLOOKUP(A808,TraderCategory!$A$63:$E$556,2,FALSE)</f>
        <v>7</v>
      </c>
      <c r="C808" s="1">
        <f>VLOOKUP(A808,TraderCategory!$A$63:$F$556,6,FALSE)</f>
        <v>0</v>
      </c>
      <c r="D808" s="1" t="str">
        <f>VLOOKUP(C808,Tabulka5[],3,FALSE)</f>
        <v>Private</v>
      </c>
      <c r="E808" s="1">
        <v>0</v>
      </c>
      <c r="F808" s="1" t="str">
        <f>VLOOKUP(E808,Tabulka5[],3,FALSE)</f>
        <v>Private</v>
      </c>
      <c r="G808" s="1" t="s">
        <v>3115</v>
      </c>
      <c r="H808" s="1" t="s">
        <v>1170</v>
      </c>
      <c r="I808" s="1" t="s">
        <v>363</v>
      </c>
      <c r="J808" s="1" t="s">
        <v>2728</v>
      </c>
      <c r="K808" s="1" t="s">
        <v>3126</v>
      </c>
      <c r="L808" s="1" t="s">
        <v>3138</v>
      </c>
      <c r="M808" s="1">
        <v>900</v>
      </c>
      <c r="N808" s="1">
        <v>1</v>
      </c>
      <c r="O808" s="1" t="str">
        <f t="shared" si="63"/>
        <v>"WaterproofBag_Green": 1,</v>
      </c>
      <c r="P808" s="1" t="str">
        <f t="shared" si="64"/>
        <v>"WaterproofBag_Green": 7,</v>
      </c>
      <c r="Q808" s="1" t="str">
        <f t="shared" si="65"/>
        <v>"WaterproofBag_Green": 900,</v>
      </c>
      <c r="R808" s="1" t="str">
        <f t="shared" si="66"/>
        <v>"WaterproofBag_Green": 0,</v>
      </c>
    </row>
    <row r="809" spans="1:18" ht="15" customHeight="1" x14ac:dyDescent="0.25">
      <c r="A809" s="1" t="str">
        <f t="shared" si="67"/>
        <v>#tc_clothes#tc_civil#tc_bags</v>
      </c>
      <c r="B809" s="1">
        <f>VLOOKUP(A809,TraderCategory!$A$63:$E$556,2,FALSE)</f>
        <v>7</v>
      </c>
      <c r="C809" s="1">
        <f>VLOOKUP(A809,TraderCategory!$A$63:$F$556,6,FALSE)</f>
        <v>0</v>
      </c>
      <c r="D809" s="1" t="str">
        <f>VLOOKUP(C809,Tabulka5[],3,FALSE)</f>
        <v>Private</v>
      </c>
      <c r="E809" s="1">
        <v>0</v>
      </c>
      <c r="F809" s="1" t="str">
        <f>VLOOKUP(E809,Tabulka5[],3,FALSE)</f>
        <v>Private</v>
      </c>
      <c r="G809" s="1" t="s">
        <v>3115</v>
      </c>
      <c r="H809" s="1" t="s">
        <v>1171</v>
      </c>
      <c r="I809" s="1" t="s">
        <v>363</v>
      </c>
      <c r="J809" s="1" t="s">
        <v>2728</v>
      </c>
      <c r="K809" s="1" t="s">
        <v>3126</v>
      </c>
      <c r="L809" s="1" t="s">
        <v>3138</v>
      </c>
      <c r="M809" s="1">
        <v>900</v>
      </c>
      <c r="N809" s="1">
        <v>1</v>
      </c>
      <c r="O809" s="1" t="str">
        <f t="shared" si="63"/>
        <v>"WaterproofBag_Orange": 1,</v>
      </c>
      <c r="P809" s="1" t="str">
        <f t="shared" si="64"/>
        <v>"WaterproofBag_Orange": 7,</v>
      </c>
      <c r="Q809" s="1" t="str">
        <f t="shared" si="65"/>
        <v>"WaterproofBag_Orange": 900,</v>
      </c>
      <c r="R809" s="1" t="str">
        <f t="shared" si="66"/>
        <v>"WaterproofBag_Orange": 0,</v>
      </c>
    </row>
    <row r="810" spans="1:18" ht="15" customHeight="1" x14ac:dyDescent="0.25">
      <c r="A810" s="1" t="str">
        <f t="shared" si="67"/>
        <v>#tc_clothes#tc_civil#tc_bags</v>
      </c>
      <c r="B810" s="1">
        <f>VLOOKUP(A810,TraderCategory!$A$63:$E$556,2,FALSE)</f>
        <v>7</v>
      </c>
      <c r="C810" s="1">
        <f>VLOOKUP(A810,TraderCategory!$A$63:$F$556,6,FALSE)</f>
        <v>0</v>
      </c>
      <c r="D810" s="1" t="str">
        <f>VLOOKUP(C810,Tabulka5[],3,FALSE)</f>
        <v>Private</v>
      </c>
      <c r="E810" s="1">
        <v>0</v>
      </c>
      <c r="F810" s="1" t="str">
        <f>VLOOKUP(E810,Tabulka5[],3,FALSE)</f>
        <v>Private</v>
      </c>
      <c r="G810" s="1" t="s">
        <v>3115</v>
      </c>
      <c r="H810" s="1" t="s">
        <v>1172</v>
      </c>
      <c r="I810" s="1" t="s">
        <v>363</v>
      </c>
      <c r="J810" s="1" t="s">
        <v>2728</v>
      </c>
      <c r="K810" s="1" t="s">
        <v>3126</v>
      </c>
      <c r="L810" s="1" t="s">
        <v>3138</v>
      </c>
      <c r="M810" s="1">
        <v>900</v>
      </c>
      <c r="N810" s="1">
        <v>1</v>
      </c>
      <c r="O810" s="1" t="str">
        <f t="shared" si="63"/>
        <v>"WaterproofBag_Yellow": 1,</v>
      </c>
      <c r="P810" s="1" t="str">
        <f t="shared" si="64"/>
        <v>"WaterproofBag_Yellow": 7,</v>
      </c>
      <c r="Q810" s="1" t="str">
        <f t="shared" si="65"/>
        <v>"WaterproofBag_Yellow": 900,</v>
      </c>
      <c r="R810" s="1" t="str">
        <f t="shared" si="66"/>
        <v>"WaterproofBag_Yellow": 0,</v>
      </c>
    </row>
    <row r="811" spans="1:18" ht="15" customHeight="1" x14ac:dyDescent="0.25">
      <c r="A811" s="1" t="str">
        <f t="shared" si="67"/>
        <v>#tc_groceries#tc_tools#tc_repairs</v>
      </c>
      <c r="B811" s="1">
        <f>VLOOKUP(A811,TraderCategory!$A$63:$E$556,2,FALSE)</f>
        <v>31</v>
      </c>
      <c r="C811" s="1">
        <f>VLOOKUP(A811,TraderCategory!$A$63:$F$556,6,FALSE)</f>
        <v>3</v>
      </c>
      <c r="D811" s="1" t="str">
        <f>VLOOKUP(C811,Tabulka5[],3,FALSE)</f>
        <v>Sergeant</v>
      </c>
      <c r="E811" s="1">
        <v>3</v>
      </c>
      <c r="F811" s="1" t="str">
        <f>VLOOKUP(E811,Tabulka5[],3,FALSE)</f>
        <v>Sergeant</v>
      </c>
      <c r="G811" s="1" t="s">
        <v>3115</v>
      </c>
      <c r="H811" s="1" t="s">
        <v>1173</v>
      </c>
      <c r="I811" s="1" t="s">
        <v>426</v>
      </c>
      <c r="J811" s="1" t="s">
        <v>3127</v>
      </c>
      <c r="K811" s="1" t="s">
        <v>2740</v>
      </c>
      <c r="L811" s="1" t="s">
        <v>3146</v>
      </c>
      <c r="M811" s="1">
        <v>1200</v>
      </c>
      <c r="N811" s="1">
        <v>1</v>
      </c>
      <c r="O811" s="1" t="str">
        <f t="shared" si="63"/>
        <v>"WeaponCleaningKit": 1,</v>
      </c>
      <c r="P811" s="1" t="str">
        <f t="shared" si="64"/>
        <v>"WeaponCleaningKit": 31,</v>
      </c>
      <c r="Q811" s="1" t="str">
        <f t="shared" si="65"/>
        <v>"WeaponCleaningKit": 1200,</v>
      </c>
      <c r="R811" s="1" t="str">
        <f t="shared" si="66"/>
        <v>"WeaponCleaningKit": 3,</v>
      </c>
    </row>
    <row r="812" spans="1:18" ht="15" customHeight="1" x14ac:dyDescent="0.25">
      <c r="A812" s="1" t="str">
        <f t="shared" si="67"/>
        <v>#tc_clothes#tc_civil#tc_head</v>
      </c>
      <c r="B812" s="1">
        <f>VLOOKUP(A812,TraderCategory!$A$63:$E$556,2,FALSE)</f>
        <v>0</v>
      </c>
      <c r="C812" s="1">
        <f>VLOOKUP(A812,TraderCategory!$A$63:$F$556,6,FALSE)</f>
        <v>0</v>
      </c>
      <c r="D812" s="1" t="str">
        <f>VLOOKUP(C812,Tabulka5[],3,FALSE)</f>
        <v>Private</v>
      </c>
      <c r="E812" s="1">
        <v>0</v>
      </c>
      <c r="F812" s="1" t="str">
        <f>VLOOKUP(E812,Tabulka5[],3,FALSE)</f>
        <v>Private</v>
      </c>
      <c r="G812" s="1" t="s">
        <v>3115</v>
      </c>
      <c r="H812" s="1" t="s">
        <v>1174</v>
      </c>
      <c r="I812" s="1" t="s">
        <v>403</v>
      </c>
      <c r="J812" s="1" t="s">
        <v>2728</v>
      </c>
      <c r="K812" s="1" t="s">
        <v>3126</v>
      </c>
      <c r="L812" s="1" t="s">
        <v>3130</v>
      </c>
      <c r="M812" s="1">
        <v>300</v>
      </c>
      <c r="N812" s="1">
        <v>1</v>
      </c>
      <c r="O812" s="1" t="str">
        <f t="shared" si="63"/>
        <v>"WeldingMask": 1,</v>
      </c>
      <c r="P812" s="1" t="str">
        <f t="shared" si="64"/>
        <v>"WeldingMask": 0,</v>
      </c>
      <c r="Q812" s="1" t="str">
        <f t="shared" si="65"/>
        <v>"WeldingMask": 300,</v>
      </c>
      <c r="R812" s="1" t="str">
        <f t="shared" si="66"/>
        <v>"WeldingMask": 0,</v>
      </c>
    </row>
    <row r="813" spans="1:18" ht="15" customHeight="1" x14ac:dyDescent="0.25">
      <c r="A813" s="1" t="str">
        <f t="shared" si="67"/>
        <v>#tc_clothes#tc_civil#tc_boots</v>
      </c>
      <c r="B813" s="1">
        <f>VLOOKUP(A813,TraderCategory!$A$63:$E$556,2,FALSE)</f>
        <v>5</v>
      </c>
      <c r="C813" s="1">
        <f>VLOOKUP(A813,TraderCategory!$A$63:$F$556,6,FALSE)</f>
        <v>0</v>
      </c>
      <c r="D813" s="1" t="str">
        <f>VLOOKUP(C813,Tabulka5[],3,FALSE)</f>
        <v>Private</v>
      </c>
      <c r="E813" s="1">
        <v>0</v>
      </c>
      <c r="F813" s="1" t="str">
        <f>VLOOKUP(E813,Tabulka5[],3,FALSE)</f>
        <v>Private</v>
      </c>
      <c r="G813" s="1" t="s">
        <v>3115</v>
      </c>
      <c r="H813" s="1" t="s">
        <v>1175</v>
      </c>
      <c r="I813" s="1" t="s">
        <v>403</v>
      </c>
      <c r="J813" s="1" t="s">
        <v>2728</v>
      </c>
      <c r="K813" s="1" t="s">
        <v>3126</v>
      </c>
      <c r="L813" s="1" t="s">
        <v>3134</v>
      </c>
      <c r="M813" s="1">
        <v>500</v>
      </c>
      <c r="N813" s="1">
        <v>1</v>
      </c>
      <c r="O813" s="1" t="str">
        <f t="shared" si="63"/>
        <v>"Wellies_Black": 1,</v>
      </c>
      <c r="P813" s="1" t="str">
        <f t="shared" si="64"/>
        <v>"Wellies_Black": 5,</v>
      </c>
      <c r="Q813" s="1" t="str">
        <f t="shared" si="65"/>
        <v>"Wellies_Black": 500,</v>
      </c>
      <c r="R813" s="1" t="str">
        <f t="shared" si="66"/>
        <v>"Wellies_Black": 0,</v>
      </c>
    </row>
    <row r="814" spans="1:18" ht="15" customHeight="1" x14ac:dyDescent="0.25">
      <c r="A814" s="1" t="str">
        <f t="shared" si="67"/>
        <v>#tc_clothes#tc_civil#tc_boots</v>
      </c>
      <c r="B814" s="1">
        <f>VLOOKUP(A814,TraderCategory!$A$63:$E$556,2,FALSE)</f>
        <v>5</v>
      </c>
      <c r="C814" s="1">
        <f>VLOOKUP(A814,TraderCategory!$A$63:$F$556,6,FALSE)</f>
        <v>0</v>
      </c>
      <c r="D814" s="1" t="str">
        <f>VLOOKUP(C814,Tabulka5[],3,FALSE)</f>
        <v>Private</v>
      </c>
      <c r="E814" s="1">
        <v>0</v>
      </c>
      <c r="F814" s="1" t="str">
        <f>VLOOKUP(E814,Tabulka5[],3,FALSE)</f>
        <v>Private</v>
      </c>
      <c r="G814" s="1" t="s">
        <v>3115</v>
      </c>
      <c r="H814" s="1" t="s">
        <v>1176</v>
      </c>
      <c r="I814" s="1" t="s">
        <v>403</v>
      </c>
      <c r="J814" s="1" t="s">
        <v>2728</v>
      </c>
      <c r="K814" s="1" t="s">
        <v>3126</v>
      </c>
      <c r="L814" s="1" t="s">
        <v>3134</v>
      </c>
      <c r="M814" s="1">
        <v>500</v>
      </c>
      <c r="N814" s="1">
        <v>1</v>
      </c>
      <c r="O814" s="1" t="str">
        <f t="shared" si="63"/>
        <v>"Wellies_Brown": 1,</v>
      </c>
      <c r="P814" s="1" t="str">
        <f t="shared" si="64"/>
        <v>"Wellies_Brown": 5,</v>
      </c>
      <c r="Q814" s="1" t="str">
        <f t="shared" si="65"/>
        <v>"Wellies_Brown": 500,</v>
      </c>
      <c r="R814" s="1" t="str">
        <f t="shared" si="66"/>
        <v>"Wellies_Brown": 0,</v>
      </c>
    </row>
    <row r="815" spans="1:18" ht="15" customHeight="1" x14ac:dyDescent="0.25">
      <c r="A815" s="1" t="str">
        <f t="shared" si="67"/>
        <v>#tc_clothes#tc_civil#tc_boots</v>
      </c>
      <c r="B815" s="1">
        <f>VLOOKUP(A815,TraderCategory!$A$63:$E$556,2,FALSE)</f>
        <v>5</v>
      </c>
      <c r="C815" s="1">
        <f>VLOOKUP(A815,TraderCategory!$A$63:$F$556,6,FALSE)</f>
        <v>0</v>
      </c>
      <c r="D815" s="1" t="str">
        <f>VLOOKUP(C815,Tabulka5[],3,FALSE)</f>
        <v>Private</v>
      </c>
      <c r="E815" s="1">
        <v>0</v>
      </c>
      <c r="F815" s="1" t="str">
        <f>VLOOKUP(E815,Tabulka5[],3,FALSE)</f>
        <v>Private</v>
      </c>
      <c r="G815" s="1" t="s">
        <v>3115</v>
      </c>
      <c r="H815" s="1" t="s">
        <v>1177</v>
      </c>
      <c r="I815" s="1" t="s">
        <v>403</v>
      </c>
      <c r="J815" s="1" t="s">
        <v>2728</v>
      </c>
      <c r="K815" s="1" t="s">
        <v>3126</v>
      </c>
      <c r="L815" s="1" t="s">
        <v>3134</v>
      </c>
      <c r="M815" s="1">
        <v>500</v>
      </c>
      <c r="N815" s="1">
        <v>1</v>
      </c>
      <c r="O815" s="1" t="str">
        <f t="shared" si="63"/>
        <v>"Wellies_Green": 1,</v>
      </c>
      <c r="P815" s="1" t="str">
        <f t="shared" si="64"/>
        <v>"Wellies_Green": 5,</v>
      </c>
      <c r="Q815" s="1" t="str">
        <f t="shared" si="65"/>
        <v>"Wellies_Green": 500,</v>
      </c>
      <c r="R815" s="1" t="str">
        <f t="shared" si="66"/>
        <v>"Wellies_Green": 0,</v>
      </c>
    </row>
    <row r="816" spans="1:18" ht="15" customHeight="1" x14ac:dyDescent="0.25">
      <c r="A816" s="1" t="str">
        <f t="shared" si="67"/>
        <v>#tc_clothes#tc_civil#tc_boots</v>
      </c>
      <c r="B816" s="1">
        <f>VLOOKUP(A816,TraderCategory!$A$63:$E$556,2,FALSE)</f>
        <v>5</v>
      </c>
      <c r="C816" s="1">
        <f>VLOOKUP(A816,TraderCategory!$A$63:$F$556,6,FALSE)</f>
        <v>0</v>
      </c>
      <c r="D816" s="1" t="str">
        <f>VLOOKUP(C816,Tabulka5[],3,FALSE)</f>
        <v>Private</v>
      </c>
      <c r="E816" s="1">
        <v>0</v>
      </c>
      <c r="F816" s="1" t="str">
        <f>VLOOKUP(E816,Tabulka5[],3,FALSE)</f>
        <v>Private</v>
      </c>
      <c r="G816" s="1" t="s">
        <v>3115</v>
      </c>
      <c r="H816" s="1" t="s">
        <v>1178</v>
      </c>
      <c r="I816" s="1" t="s">
        <v>403</v>
      </c>
      <c r="J816" s="1" t="s">
        <v>2728</v>
      </c>
      <c r="K816" s="1" t="s">
        <v>3126</v>
      </c>
      <c r="L816" s="1" t="s">
        <v>3134</v>
      </c>
      <c r="M816" s="1">
        <v>500</v>
      </c>
      <c r="N816" s="1">
        <v>1</v>
      </c>
      <c r="O816" s="1" t="str">
        <f t="shared" si="63"/>
        <v>"Wellies_Grey": 1,</v>
      </c>
      <c r="P816" s="1" t="str">
        <f t="shared" si="64"/>
        <v>"Wellies_Grey": 5,</v>
      </c>
      <c r="Q816" s="1" t="str">
        <f t="shared" si="65"/>
        <v>"Wellies_Grey": 500,</v>
      </c>
      <c r="R816" s="1" t="str">
        <f t="shared" si="66"/>
        <v>"Wellies_Grey": 0,</v>
      </c>
    </row>
    <row r="817" spans="1:18" ht="15" customHeight="1" x14ac:dyDescent="0.25">
      <c r="A817" s="1" t="str">
        <f t="shared" si="67"/>
        <v>#tc_groceries#tc_tools#tc_repairs</v>
      </c>
      <c r="B817" s="1">
        <f>VLOOKUP(A817,TraderCategory!$A$63:$E$556,2,FALSE)</f>
        <v>31</v>
      </c>
      <c r="C817" s="1">
        <f>VLOOKUP(A817,TraderCategory!$A$63:$F$556,6,FALSE)</f>
        <v>3</v>
      </c>
      <c r="D817" s="1" t="str">
        <f>VLOOKUP(C817,Tabulka5[],3,FALSE)</f>
        <v>Sergeant</v>
      </c>
      <c r="E817" s="1">
        <v>3</v>
      </c>
      <c r="F817" s="1" t="str">
        <f>VLOOKUP(E817,Tabulka5[],3,FALSE)</f>
        <v>Sergeant</v>
      </c>
      <c r="G817" s="1" t="s">
        <v>3115</v>
      </c>
      <c r="H817" s="1" t="s">
        <v>1179</v>
      </c>
      <c r="I817" s="1" t="s">
        <v>426</v>
      </c>
      <c r="J817" s="1" t="s">
        <v>3127</v>
      </c>
      <c r="K817" s="1" t="s">
        <v>2740</v>
      </c>
      <c r="L817" s="1" t="s">
        <v>3146</v>
      </c>
      <c r="M817" s="1">
        <v>400</v>
      </c>
      <c r="N817" s="1">
        <v>1</v>
      </c>
      <c r="O817" s="1" t="str">
        <f t="shared" si="63"/>
        <v>"Whetstone": 1,</v>
      </c>
      <c r="P817" s="1" t="str">
        <f t="shared" si="64"/>
        <v>"Whetstone": 31,</v>
      </c>
      <c r="Q817" s="1" t="str">
        <f t="shared" si="65"/>
        <v>"Whetstone": 400,</v>
      </c>
      <c r="R817" s="1" t="str">
        <f t="shared" si="66"/>
        <v>"Whetstone": 3,</v>
      </c>
    </row>
    <row r="818" spans="1:18" x14ac:dyDescent="0.25">
      <c r="A818" s="1" t="str">
        <f t="shared" si="67"/>
        <v>#tc_military#tc_weapons#tc_rifles</v>
      </c>
      <c r="B818" s="1">
        <f>VLOOKUP(A818,TraderCategory!$A$63:$E$556,2,FALSE)</f>
        <v>64</v>
      </c>
      <c r="C818" s="1">
        <f>VLOOKUP(A818,TraderCategory!$A$63:$F$556,6,FALSE)</f>
        <v>0</v>
      </c>
      <c r="D818" s="1" t="str">
        <f>VLOOKUP(C818,Tabulka5[],3,FALSE)</f>
        <v>Private</v>
      </c>
      <c r="E818" s="1">
        <v>10</v>
      </c>
      <c r="F818" s="1" t="str">
        <f>VLOOKUP(E818,Tabulka5[],3,FALSE)</f>
        <v>Second Lieutenant</v>
      </c>
      <c r="G818" s="1" t="s">
        <v>3116</v>
      </c>
      <c r="H818" s="1" t="s">
        <v>2816</v>
      </c>
      <c r="I818" s="1" t="s">
        <v>8</v>
      </c>
      <c r="J818" s="1" t="s">
        <v>2729</v>
      </c>
      <c r="K818" s="1" t="s">
        <v>3129</v>
      </c>
      <c r="L818" s="1" t="s">
        <v>3157</v>
      </c>
      <c r="M818" s="1">
        <v>20000</v>
      </c>
      <c r="N818" s="1">
        <v>1</v>
      </c>
      <c r="O818" s="1" t="str">
        <f t="shared" si="63"/>
        <v>"WE_M1Garand": 1,</v>
      </c>
      <c r="P818" s="1" t="str">
        <f t="shared" si="64"/>
        <v>"WE_M1Garand": 64,</v>
      </c>
      <c r="Q818" s="1" t="str">
        <f t="shared" si="65"/>
        <v>"WE_M1Garand": 20000,</v>
      </c>
      <c r="R818" s="1" t="str">
        <f t="shared" si="66"/>
        <v>"WE_M1Garand": 10,</v>
      </c>
    </row>
    <row r="819" spans="1:18" ht="15" customHeight="1" x14ac:dyDescent="0.25">
      <c r="A819" s="1" t="str">
        <f t="shared" si="67"/>
        <v>#tc_clothes#tc_civil#tc_tops</v>
      </c>
      <c r="B819" s="1">
        <f>VLOOKUP(A819,TraderCategory!$A$63:$E$556,2,FALSE)</f>
        <v>1</v>
      </c>
      <c r="C819" s="1">
        <f>VLOOKUP(A819,TraderCategory!$A$63:$F$556,6,FALSE)</f>
        <v>0</v>
      </c>
      <c r="D819" s="1" t="str">
        <f>VLOOKUP(C819,Tabulka5[],3,FALSE)</f>
        <v>Private</v>
      </c>
      <c r="E819" s="1">
        <v>0</v>
      </c>
      <c r="F819" s="1" t="str">
        <f>VLOOKUP(E819,Tabulka5[],3,FALSE)</f>
        <v>Private</v>
      </c>
      <c r="G819" s="1" t="s">
        <v>3115</v>
      </c>
      <c r="H819" s="1" t="s">
        <v>1184</v>
      </c>
      <c r="I819" s="1" t="s">
        <v>403</v>
      </c>
      <c r="J819" s="1" t="s">
        <v>2728</v>
      </c>
      <c r="K819" s="1" t="s">
        <v>3126</v>
      </c>
      <c r="L819" s="1" t="s">
        <v>3131</v>
      </c>
      <c r="M819" s="1">
        <v>2000</v>
      </c>
      <c r="N819" s="1">
        <v>1</v>
      </c>
      <c r="O819" s="1" t="str">
        <f t="shared" si="63"/>
        <v>"WomanSuit_Beige": 1,</v>
      </c>
      <c r="P819" s="1" t="str">
        <f t="shared" si="64"/>
        <v>"WomanSuit_Beige": 1,</v>
      </c>
      <c r="Q819" s="1" t="str">
        <f t="shared" si="65"/>
        <v>"WomanSuit_Beige": 2000,</v>
      </c>
      <c r="R819" s="1" t="str">
        <f t="shared" si="66"/>
        <v>"WomanSuit_Beige": 0,</v>
      </c>
    </row>
    <row r="820" spans="1:18" ht="15" customHeight="1" x14ac:dyDescent="0.25">
      <c r="A820" s="1" t="str">
        <f t="shared" si="67"/>
        <v>#tc_clothes#tc_civil#tc_tops</v>
      </c>
      <c r="B820" s="1">
        <f>VLOOKUP(A820,TraderCategory!$A$63:$E$556,2,FALSE)</f>
        <v>1</v>
      </c>
      <c r="C820" s="1">
        <f>VLOOKUP(A820,TraderCategory!$A$63:$F$556,6,FALSE)</f>
        <v>0</v>
      </c>
      <c r="D820" s="1" t="str">
        <f>VLOOKUP(C820,Tabulka5[],3,FALSE)</f>
        <v>Private</v>
      </c>
      <c r="E820" s="1">
        <v>0</v>
      </c>
      <c r="F820" s="1" t="str">
        <f>VLOOKUP(E820,Tabulka5[],3,FALSE)</f>
        <v>Private</v>
      </c>
      <c r="G820" s="1" t="s">
        <v>3115</v>
      </c>
      <c r="H820" s="1" t="s">
        <v>1185</v>
      </c>
      <c r="I820" s="1" t="s">
        <v>403</v>
      </c>
      <c r="J820" s="1" t="s">
        <v>2728</v>
      </c>
      <c r="K820" s="1" t="s">
        <v>3126</v>
      </c>
      <c r="L820" s="1" t="s">
        <v>3131</v>
      </c>
      <c r="M820" s="1">
        <v>2000</v>
      </c>
      <c r="N820" s="1">
        <v>1</v>
      </c>
      <c r="O820" s="1" t="str">
        <f t="shared" si="63"/>
        <v>"WomanSuit_Black": 1,</v>
      </c>
      <c r="P820" s="1" t="str">
        <f t="shared" si="64"/>
        <v>"WomanSuit_Black": 1,</v>
      </c>
      <c r="Q820" s="1" t="str">
        <f t="shared" si="65"/>
        <v>"WomanSuit_Black": 2000,</v>
      </c>
      <c r="R820" s="1" t="str">
        <f t="shared" si="66"/>
        <v>"WomanSuit_Black": 0,</v>
      </c>
    </row>
    <row r="821" spans="1:18" ht="15" customHeight="1" x14ac:dyDescent="0.25">
      <c r="A821" s="1" t="str">
        <f t="shared" si="67"/>
        <v>#tc_clothes#tc_civil#tc_tops</v>
      </c>
      <c r="B821" s="1">
        <f>VLOOKUP(A821,TraderCategory!$A$63:$E$556,2,FALSE)</f>
        <v>1</v>
      </c>
      <c r="C821" s="1">
        <f>VLOOKUP(A821,TraderCategory!$A$63:$F$556,6,FALSE)</f>
        <v>0</v>
      </c>
      <c r="D821" s="1" t="str">
        <f>VLOOKUP(C821,Tabulka5[],3,FALSE)</f>
        <v>Private</v>
      </c>
      <c r="E821" s="1">
        <v>0</v>
      </c>
      <c r="F821" s="1" t="str">
        <f>VLOOKUP(E821,Tabulka5[],3,FALSE)</f>
        <v>Private</v>
      </c>
      <c r="G821" s="1" t="s">
        <v>3115</v>
      </c>
      <c r="H821" s="1" t="s">
        <v>1186</v>
      </c>
      <c r="I821" s="1" t="s">
        <v>403</v>
      </c>
      <c r="J821" s="1" t="s">
        <v>2728</v>
      </c>
      <c r="K821" s="1" t="s">
        <v>3126</v>
      </c>
      <c r="L821" s="1" t="s">
        <v>3131</v>
      </c>
      <c r="M821" s="1">
        <v>2000</v>
      </c>
      <c r="N821" s="1">
        <v>1</v>
      </c>
      <c r="O821" s="1" t="str">
        <f t="shared" si="63"/>
        <v>"WomanSuit_Blue": 1,</v>
      </c>
      <c r="P821" s="1" t="str">
        <f t="shared" si="64"/>
        <v>"WomanSuit_Blue": 1,</v>
      </c>
      <c r="Q821" s="1" t="str">
        <f t="shared" si="65"/>
        <v>"WomanSuit_Blue": 2000,</v>
      </c>
      <c r="R821" s="1" t="str">
        <f t="shared" si="66"/>
        <v>"WomanSuit_Blue": 0,</v>
      </c>
    </row>
    <row r="822" spans="1:18" ht="15" customHeight="1" x14ac:dyDescent="0.25">
      <c r="A822" s="1" t="str">
        <f t="shared" si="67"/>
        <v>#tc_clothes#tc_civil#tc_tops</v>
      </c>
      <c r="B822" s="1">
        <f>VLOOKUP(A822,TraderCategory!$A$63:$E$556,2,FALSE)</f>
        <v>1</v>
      </c>
      <c r="C822" s="1">
        <f>VLOOKUP(A822,TraderCategory!$A$63:$F$556,6,FALSE)</f>
        <v>0</v>
      </c>
      <c r="D822" s="1" t="str">
        <f>VLOOKUP(C822,Tabulka5[],3,FALSE)</f>
        <v>Private</v>
      </c>
      <c r="E822" s="1">
        <v>0</v>
      </c>
      <c r="F822" s="1" t="str">
        <f>VLOOKUP(E822,Tabulka5[],3,FALSE)</f>
        <v>Private</v>
      </c>
      <c r="G822" s="1" t="s">
        <v>3115</v>
      </c>
      <c r="H822" s="1" t="s">
        <v>1187</v>
      </c>
      <c r="I822" s="1" t="s">
        <v>403</v>
      </c>
      <c r="J822" s="1" t="s">
        <v>2728</v>
      </c>
      <c r="K822" s="1" t="s">
        <v>3126</v>
      </c>
      <c r="L822" s="1" t="s">
        <v>3131</v>
      </c>
      <c r="M822" s="1">
        <v>2000</v>
      </c>
      <c r="N822" s="1">
        <v>1</v>
      </c>
      <c r="O822" s="1" t="str">
        <f t="shared" si="63"/>
        <v>"WomanSuit_Brown": 1,</v>
      </c>
      <c r="P822" s="1" t="str">
        <f t="shared" si="64"/>
        <v>"WomanSuit_Brown": 1,</v>
      </c>
      <c r="Q822" s="1" t="str">
        <f t="shared" si="65"/>
        <v>"WomanSuit_Brown": 2000,</v>
      </c>
      <c r="R822" s="1" t="str">
        <f t="shared" si="66"/>
        <v>"WomanSuit_Brown": 0,</v>
      </c>
    </row>
    <row r="823" spans="1:18" ht="15" customHeight="1" x14ac:dyDescent="0.25">
      <c r="A823" s="1" t="str">
        <f t="shared" si="67"/>
        <v>#tc_clothes#tc_civil#tc_tops</v>
      </c>
      <c r="B823" s="1">
        <f>VLOOKUP(A823,TraderCategory!$A$63:$E$556,2,FALSE)</f>
        <v>1</v>
      </c>
      <c r="C823" s="1">
        <f>VLOOKUP(A823,TraderCategory!$A$63:$F$556,6,FALSE)</f>
        <v>0</v>
      </c>
      <c r="D823" s="1" t="str">
        <f>VLOOKUP(C823,Tabulka5[],3,FALSE)</f>
        <v>Private</v>
      </c>
      <c r="E823" s="1">
        <v>0</v>
      </c>
      <c r="F823" s="1" t="str">
        <f>VLOOKUP(E823,Tabulka5[],3,FALSE)</f>
        <v>Private</v>
      </c>
      <c r="G823" s="1" t="s">
        <v>3115</v>
      </c>
      <c r="H823" s="1" t="s">
        <v>1188</v>
      </c>
      <c r="I823" s="1" t="s">
        <v>403</v>
      </c>
      <c r="J823" s="1" t="s">
        <v>2728</v>
      </c>
      <c r="K823" s="1" t="s">
        <v>3126</v>
      </c>
      <c r="L823" s="1" t="s">
        <v>3131</v>
      </c>
      <c r="M823" s="1">
        <v>2000</v>
      </c>
      <c r="N823" s="1">
        <v>1</v>
      </c>
      <c r="O823" s="1" t="str">
        <f t="shared" si="63"/>
        <v>"WomanSuit_DarkGrey": 1,</v>
      </c>
      <c r="P823" s="1" t="str">
        <f t="shared" si="64"/>
        <v>"WomanSuit_DarkGrey": 1,</v>
      </c>
      <c r="Q823" s="1" t="str">
        <f t="shared" si="65"/>
        <v>"WomanSuit_DarkGrey": 2000,</v>
      </c>
      <c r="R823" s="1" t="str">
        <f t="shared" si="66"/>
        <v>"WomanSuit_DarkGrey": 0,</v>
      </c>
    </row>
    <row r="824" spans="1:18" ht="15" customHeight="1" x14ac:dyDescent="0.25">
      <c r="A824" s="1" t="str">
        <f t="shared" si="67"/>
        <v>#tc_clothes#tc_civil#tc_tops</v>
      </c>
      <c r="B824" s="1">
        <f>VLOOKUP(A824,TraderCategory!$A$63:$E$556,2,FALSE)</f>
        <v>1</v>
      </c>
      <c r="C824" s="1">
        <f>VLOOKUP(A824,TraderCategory!$A$63:$F$556,6,FALSE)</f>
        <v>0</v>
      </c>
      <c r="D824" s="1" t="str">
        <f>VLOOKUP(C824,Tabulka5[],3,FALSE)</f>
        <v>Private</v>
      </c>
      <c r="E824" s="1">
        <v>0</v>
      </c>
      <c r="F824" s="1" t="str">
        <f>VLOOKUP(E824,Tabulka5[],3,FALSE)</f>
        <v>Private</v>
      </c>
      <c r="G824" s="1" t="s">
        <v>3115</v>
      </c>
      <c r="H824" s="1" t="s">
        <v>1189</v>
      </c>
      <c r="I824" s="1" t="s">
        <v>403</v>
      </c>
      <c r="J824" s="1" t="s">
        <v>2728</v>
      </c>
      <c r="K824" s="1" t="s">
        <v>3126</v>
      </c>
      <c r="L824" s="1" t="s">
        <v>3131</v>
      </c>
      <c r="M824" s="1">
        <v>2000</v>
      </c>
      <c r="N824" s="1">
        <v>1</v>
      </c>
      <c r="O824" s="1" t="str">
        <f t="shared" si="63"/>
        <v>"WomanSuit_Khaki": 1,</v>
      </c>
      <c r="P824" s="1" t="str">
        <f t="shared" si="64"/>
        <v>"WomanSuit_Khaki": 1,</v>
      </c>
      <c r="Q824" s="1" t="str">
        <f t="shared" si="65"/>
        <v>"WomanSuit_Khaki": 2000,</v>
      </c>
      <c r="R824" s="1" t="str">
        <f t="shared" si="66"/>
        <v>"WomanSuit_Khaki": 0,</v>
      </c>
    </row>
    <row r="825" spans="1:18" ht="15" customHeight="1" x14ac:dyDescent="0.25">
      <c r="A825" s="1" t="str">
        <f t="shared" si="67"/>
        <v>#tc_clothes#tc_civil#tc_tops</v>
      </c>
      <c r="B825" s="1">
        <f>VLOOKUP(A825,TraderCategory!$A$63:$E$556,2,FALSE)</f>
        <v>1</v>
      </c>
      <c r="C825" s="1">
        <f>VLOOKUP(A825,TraderCategory!$A$63:$F$556,6,FALSE)</f>
        <v>0</v>
      </c>
      <c r="D825" s="1" t="str">
        <f>VLOOKUP(C825,Tabulka5[],3,FALSE)</f>
        <v>Private</v>
      </c>
      <c r="E825" s="1">
        <v>0</v>
      </c>
      <c r="F825" s="1" t="str">
        <f>VLOOKUP(E825,Tabulka5[],3,FALSE)</f>
        <v>Private</v>
      </c>
      <c r="G825" s="1" t="s">
        <v>3115</v>
      </c>
      <c r="H825" s="1" t="s">
        <v>1190</v>
      </c>
      <c r="I825" s="1" t="s">
        <v>403</v>
      </c>
      <c r="J825" s="1" t="s">
        <v>2728</v>
      </c>
      <c r="K825" s="1" t="s">
        <v>3126</v>
      </c>
      <c r="L825" s="1" t="s">
        <v>3131</v>
      </c>
      <c r="M825" s="1">
        <v>2000</v>
      </c>
      <c r="N825" s="1">
        <v>1</v>
      </c>
      <c r="O825" s="1" t="str">
        <f t="shared" si="63"/>
        <v>"WomanSuit_LightGrey": 1,</v>
      </c>
      <c r="P825" s="1" t="str">
        <f t="shared" si="64"/>
        <v>"WomanSuit_LightGrey": 1,</v>
      </c>
      <c r="Q825" s="1" t="str">
        <f t="shared" si="65"/>
        <v>"WomanSuit_LightGrey": 2000,</v>
      </c>
      <c r="R825" s="1" t="str">
        <f t="shared" si="66"/>
        <v>"WomanSuit_LightGrey": 0,</v>
      </c>
    </row>
    <row r="826" spans="1:18" ht="15" customHeight="1" x14ac:dyDescent="0.25">
      <c r="A826" s="1" t="str">
        <f t="shared" si="67"/>
        <v>#tc_clothes#tc_civil#tc_tops</v>
      </c>
      <c r="B826" s="1">
        <f>VLOOKUP(A826,TraderCategory!$A$63:$E$556,2,FALSE)</f>
        <v>1</v>
      </c>
      <c r="C826" s="1">
        <f>VLOOKUP(A826,TraderCategory!$A$63:$F$556,6,FALSE)</f>
        <v>0</v>
      </c>
      <c r="D826" s="1" t="str">
        <f>VLOOKUP(C826,Tabulka5[],3,FALSE)</f>
        <v>Private</v>
      </c>
      <c r="E826" s="1">
        <v>0</v>
      </c>
      <c r="F826" s="1" t="str">
        <f>VLOOKUP(E826,Tabulka5[],3,FALSE)</f>
        <v>Private</v>
      </c>
      <c r="G826" s="1" t="s">
        <v>3115</v>
      </c>
      <c r="H826" s="1" t="s">
        <v>1191</v>
      </c>
      <c r="I826" s="1" t="s">
        <v>403</v>
      </c>
      <c r="J826" s="1" t="s">
        <v>2728</v>
      </c>
      <c r="K826" s="1" t="s">
        <v>3126</v>
      </c>
      <c r="L826" s="1" t="s">
        <v>3131</v>
      </c>
      <c r="M826" s="1">
        <v>2000</v>
      </c>
      <c r="N826" s="1">
        <v>1</v>
      </c>
      <c r="O826" s="1" t="str">
        <f t="shared" si="63"/>
        <v>"WomanSuit_White": 1,</v>
      </c>
      <c r="P826" s="1" t="str">
        <f t="shared" si="64"/>
        <v>"WomanSuit_White": 1,</v>
      </c>
      <c r="Q826" s="1" t="str">
        <f t="shared" si="65"/>
        <v>"WomanSuit_White": 2000,</v>
      </c>
      <c r="R826" s="1" t="str">
        <f t="shared" si="66"/>
        <v>"WomanSuit_White": 0,</v>
      </c>
    </row>
    <row r="827" spans="1:18" ht="15" customHeight="1" x14ac:dyDescent="0.25">
      <c r="A827" s="1" t="str">
        <f t="shared" si="67"/>
        <v>#tc_groceries#tc_tools#tc_axes</v>
      </c>
      <c r="B827" s="1">
        <f>VLOOKUP(A827,TraderCategory!$A$63:$E$556,2,FALSE)</f>
        <v>29</v>
      </c>
      <c r="C827" s="1">
        <f>VLOOKUP(A827,TraderCategory!$A$63:$F$556,6,FALSE)</f>
        <v>0</v>
      </c>
      <c r="D827" s="1" t="str">
        <f>VLOOKUP(C827,Tabulka5[],3,FALSE)</f>
        <v>Private</v>
      </c>
      <c r="E827" s="1">
        <v>0</v>
      </c>
      <c r="F827" s="1" t="str">
        <f>VLOOKUP(E827,Tabulka5[],3,FALSE)</f>
        <v>Private</v>
      </c>
      <c r="G827" s="1" t="s">
        <v>3115</v>
      </c>
      <c r="H827" s="1" t="s">
        <v>1192</v>
      </c>
      <c r="I827" s="1" t="s">
        <v>426</v>
      </c>
      <c r="J827" s="1" t="s">
        <v>3127</v>
      </c>
      <c r="K827" s="1" t="s">
        <v>2740</v>
      </c>
      <c r="L827" s="1" t="s">
        <v>3145</v>
      </c>
      <c r="M827" s="1">
        <v>1200</v>
      </c>
      <c r="N827" s="1">
        <v>1</v>
      </c>
      <c r="O827" s="1" t="str">
        <f t="shared" si="63"/>
        <v>"WoodAxe": 1,</v>
      </c>
      <c r="P827" s="1" t="str">
        <f t="shared" si="64"/>
        <v>"WoodAxe": 29,</v>
      </c>
      <c r="Q827" s="1" t="str">
        <f t="shared" si="65"/>
        <v>"WoodAxe": 1200,</v>
      </c>
      <c r="R827" s="1" t="str">
        <f t="shared" si="66"/>
        <v>"WoodAxe": 0,</v>
      </c>
    </row>
    <row r="828" spans="1:18" ht="15" customHeight="1" x14ac:dyDescent="0.25">
      <c r="A828" s="1" t="str">
        <f t="shared" si="67"/>
        <v>#tc_clothes#tc_civil#tc_tops</v>
      </c>
      <c r="B828" s="1">
        <f>VLOOKUP(A828,TraderCategory!$A$63:$E$556,2,FALSE)</f>
        <v>1</v>
      </c>
      <c r="C828" s="1">
        <f>VLOOKUP(A828,TraderCategory!$A$63:$F$556,6,FALSE)</f>
        <v>0</v>
      </c>
      <c r="D828" s="1" t="str">
        <f>VLOOKUP(C828,Tabulka5[],3,FALSE)</f>
        <v>Private</v>
      </c>
      <c r="E828" s="1">
        <v>0</v>
      </c>
      <c r="F828" s="1" t="str">
        <f>VLOOKUP(E828,Tabulka5[],3,FALSE)</f>
        <v>Private</v>
      </c>
      <c r="G828" s="1" t="s">
        <v>3115</v>
      </c>
      <c r="H828" s="1" t="s">
        <v>1193</v>
      </c>
      <c r="I828" s="1" t="s">
        <v>403</v>
      </c>
      <c r="J828" s="1" t="s">
        <v>2728</v>
      </c>
      <c r="K828" s="1" t="s">
        <v>3126</v>
      </c>
      <c r="L828" s="1" t="s">
        <v>3131</v>
      </c>
      <c r="M828" s="1">
        <v>2000</v>
      </c>
      <c r="N828" s="1">
        <v>1</v>
      </c>
      <c r="O828" s="1" t="str">
        <f t="shared" si="63"/>
        <v>"WoolCoat_Beige": 1,</v>
      </c>
      <c r="P828" s="1" t="str">
        <f t="shared" si="64"/>
        <v>"WoolCoat_Beige": 1,</v>
      </c>
      <c r="Q828" s="1" t="str">
        <f t="shared" si="65"/>
        <v>"WoolCoat_Beige": 2000,</v>
      </c>
      <c r="R828" s="1" t="str">
        <f t="shared" si="66"/>
        <v>"WoolCoat_Beige": 0,</v>
      </c>
    </row>
    <row r="829" spans="1:18" ht="15" customHeight="1" x14ac:dyDescent="0.25">
      <c r="A829" s="1" t="str">
        <f t="shared" si="67"/>
        <v>#tc_clothes#tc_civil#tc_tops</v>
      </c>
      <c r="B829" s="1">
        <f>VLOOKUP(A829,TraderCategory!$A$63:$E$556,2,FALSE)</f>
        <v>1</v>
      </c>
      <c r="C829" s="1">
        <f>VLOOKUP(A829,TraderCategory!$A$63:$F$556,6,FALSE)</f>
        <v>0</v>
      </c>
      <c r="D829" s="1" t="str">
        <f>VLOOKUP(C829,Tabulka5[],3,FALSE)</f>
        <v>Private</v>
      </c>
      <c r="E829" s="1">
        <v>0</v>
      </c>
      <c r="F829" s="1" t="str">
        <f>VLOOKUP(E829,Tabulka5[],3,FALSE)</f>
        <v>Private</v>
      </c>
      <c r="G829" s="1" t="s">
        <v>3115</v>
      </c>
      <c r="H829" s="1" t="s">
        <v>1194</v>
      </c>
      <c r="I829" s="1" t="s">
        <v>403</v>
      </c>
      <c r="J829" s="1" t="s">
        <v>2728</v>
      </c>
      <c r="K829" s="1" t="s">
        <v>3126</v>
      </c>
      <c r="L829" s="1" t="s">
        <v>3131</v>
      </c>
      <c r="M829" s="1">
        <v>2000</v>
      </c>
      <c r="N829" s="1">
        <v>1</v>
      </c>
      <c r="O829" s="1" t="str">
        <f t="shared" si="63"/>
        <v>"WoolCoat_Black": 1,</v>
      </c>
      <c r="P829" s="1" t="str">
        <f t="shared" si="64"/>
        <v>"WoolCoat_Black": 1,</v>
      </c>
      <c r="Q829" s="1" t="str">
        <f t="shared" si="65"/>
        <v>"WoolCoat_Black": 2000,</v>
      </c>
      <c r="R829" s="1" t="str">
        <f t="shared" si="66"/>
        <v>"WoolCoat_Black": 0,</v>
      </c>
    </row>
    <row r="830" spans="1:18" ht="15" customHeight="1" x14ac:dyDescent="0.25">
      <c r="A830" s="1" t="str">
        <f t="shared" si="67"/>
        <v>#tc_clothes#tc_civil#tc_tops</v>
      </c>
      <c r="B830" s="1">
        <f>VLOOKUP(A830,TraderCategory!$A$63:$E$556,2,FALSE)</f>
        <v>1</v>
      </c>
      <c r="C830" s="1">
        <f>VLOOKUP(A830,TraderCategory!$A$63:$F$556,6,FALSE)</f>
        <v>0</v>
      </c>
      <c r="D830" s="1" t="str">
        <f>VLOOKUP(C830,Tabulka5[],3,FALSE)</f>
        <v>Private</v>
      </c>
      <c r="E830" s="1">
        <v>0</v>
      </c>
      <c r="F830" s="1" t="str">
        <f>VLOOKUP(E830,Tabulka5[],3,FALSE)</f>
        <v>Private</v>
      </c>
      <c r="G830" s="1" t="s">
        <v>3115</v>
      </c>
      <c r="H830" s="1" t="s">
        <v>1195</v>
      </c>
      <c r="I830" s="1" t="s">
        <v>403</v>
      </c>
      <c r="J830" s="1" t="s">
        <v>2728</v>
      </c>
      <c r="K830" s="1" t="s">
        <v>3126</v>
      </c>
      <c r="L830" s="1" t="s">
        <v>3131</v>
      </c>
      <c r="M830" s="1">
        <v>2000</v>
      </c>
      <c r="N830" s="1">
        <v>1</v>
      </c>
      <c r="O830" s="1" t="str">
        <f t="shared" si="63"/>
        <v>"WoolCoat_BlackCheck": 1,</v>
      </c>
      <c r="P830" s="1" t="str">
        <f t="shared" si="64"/>
        <v>"WoolCoat_BlackCheck": 1,</v>
      </c>
      <c r="Q830" s="1" t="str">
        <f t="shared" si="65"/>
        <v>"WoolCoat_BlackCheck": 2000,</v>
      </c>
      <c r="R830" s="1" t="str">
        <f t="shared" si="66"/>
        <v>"WoolCoat_BlackCheck": 0,</v>
      </c>
    </row>
    <row r="831" spans="1:18" ht="15" customHeight="1" x14ac:dyDescent="0.25">
      <c r="A831" s="1" t="str">
        <f t="shared" si="67"/>
        <v>#tc_clothes#tc_civil#tc_tops</v>
      </c>
      <c r="B831" s="1">
        <f>VLOOKUP(A831,TraderCategory!$A$63:$E$556,2,FALSE)</f>
        <v>1</v>
      </c>
      <c r="C831" s="1">
        <f>VLOOKUP(A831,TraderCategory!$A$63:$F$556,6,FALSE)</f>
        <v>0</v>
      </c>
      <c r="D831" s="1" t="str">
        <f>VLOOKUP(C831,Tabulka5[],3,FALSE)</f>
        <v>Private</v>
      </c>
      <c r="E831" s="1">
        <v>0</v>
      </c>
      <c r="F831" s="1" t="str">
        <f>VLOOKUP(E831,Tabulka5[],3,FALSE)</f>
        <v>Private</v>
      </c>
      <c r="G831" s="1" t="s">
        <v>3115</v>
      </c>
      <c r="H831" s="1" t="s">
        <v>1196</v>
      </c>
      <c r="I831" s="1" t="s">
        <v>403</v>
      </c>
      <c r="J831" s="1" t="s">
        <v>2728</v>
      </c>
      <c r="K831" s="1" t="s">
        <v>3126</v>
      </c>
      <c r="L831" s="1" t="s">
        <v>3131</v>
      </c>
      <c r="M831" s="1">
        <v>2000</v>
      </c>
      <c r="N831" s="1">
        <v>1</v>
      </c>
      <c r="O831" s="1" t="str">
        <f t="shared" si="63"/>
        <v>"WoolCoat_Blue": 1,</v>
      </c>
      <c r="P831" s="1" t="str">
        <f t="shared" si="64"/>
        <v>"WoolCoat_Blue": 1,</v>
      </c>
      <c r="Q831" s="1" t="str">
        <f t="shared" si="65"/>
        <v>"WoolCoat_Blue": 2000,</v>
      </c>
      <c r="R831" s="1" t="str">
        <f t="shared" si="66"/>
        <v>"WoolCoat_Blue": 0,</v>
      </c>
    </row>
    <row r="832" spans="1:18" ht="15" customHeight="1" x14ac:dyDescent="0.25">
      <c r="A832" s="1" t="str">
        <f t="shared" si="67"/>
        <v>#tc_clothes#tc_civil#tc_tops</v>
      </c>
      <c r="B832" s="1">
        <f>VLOOKUP(A832,TraderCategory!$A$63:$E$556,2,FALSE)</f>
        <v>1</v>
      </c>
      <c r="C832" s="1">
        <f>VLOOKUP(A832,TraderCategory!$A$63:$F$556,6,FALSE)</f>
        <v>0</v>
      </c>
      <c r="D832" s="1" t="str">
        <f>VLOOKUP(C832,Tabulka5[],3,FALSE)</f>
        <v>Private</v>
      </c>
      <c r="E832" s="1">
        <v>0</v>
      </c>
      <c r="F832" s="1" t="str">
        <f>VLOOKUP(E832,Tabulka5[],3,FALSE)</f>
        <v>Private</v>
      </c>
      <c r="G832" s="1" t="s">
        <v>3115</v>
      </c>
      <c r="H832" s="1" t="s">
        <v>1197</v>
      </c>
      <c r="I832" s="1" t="s">
        <v>403</v>
      </c>
      <c r="J832" s="1" t="s">
        <v>2728</v>
      </c>
      <c r="K832" s="1" t="s">
        <v>3126</v>
      </c>
      <c r="L832" s="1" t="s">
        <v>3131</v>
      </c>
      <c r="M832" s="1">
        <v>2000</v>
      </c>
      <c r="N832" s="1">
        <v>1</v>
      </c>
      <c r="O832" s="1" t="str">
        <f t="shared" si="63"/>
        <v>"WoolCoat_BlueCheck": 1,</v>
      </c>
      <c r="P832" s="1" t="str">
        <f t="shared" si="64"/>
        <v>"WoolCoat_BlueCheck": 1,</v>
      </c>
      <c r="Q832" s="1" t="str">
        <f t="shared" si="65"/>
        <v>"WoolCoat_BlueCheck": 2000,</v>
      </c>
      <c r="R832" s="1" t="str">
        <f t="shared" si="66"/>
        <v>"WoolCoat_BlueCheck": 0,</v>
      </c>
    </row>
    <row r="833" spans="1:18" ht="15" customHeight="1" x14ac:dyDescent="0.25">
      <c r="A833" s="1" t="str">
        <f t="shared" si="67"/>
        <v>#tc_clothes#tc_civil#tc_tops</v>
      </c>
      <c r="B833" s="1">
        <f>VLOOKUP(A833,TraderCategory!$A$63:$E$556,2,FALSE)</f>
        <v>1</v>
      </c>
      <c r="C833" s="1">
        <f>VLOOKUP(A833,TraderCategory!$A$63:$F$556,6,FALSE)</f>
        <v>0</v>
      </c>
      <c r="D833" s="1" t="str">
        <f>VLOOKUP(C833,Tabulka5[],3,FALSE)</f>
        <v>Private</v>
      </c>
      <c r="E833" s="1">
        <v>0</v>
      </c>
      <c r="F833" s="1" t="str">
        <f>VLOOKUP(E833,Tabulka5[],3,FALSE)</f>
        <v>Private</v>
      </c>
      <c r="G833" s="1" t="s">
        <v>3115</v>
      </c>
      <c r="H833" s="1" t="s">
        <v>1198</v>
      </c>
      <c r="I833" s="1" t="s">
        <v>403</v>
      </c>
      <c r="J833" s="1" t="s">
        <v>2728</v>
      </c>
      <c r="K833" s="1" t="s">
        <v>3126</v>
      </c>
      <c r="L833" s="1" t="s">
        <v>3131</v>
      </c>
      <c r="M833" s="1">
        <v>2000</v>
      </c>
      <c r="N833" s="1">
        <v>1</v>
      </c>
      <c r="O833" s="1" t="str">
        <f t="shared" si="63"/>
        <v>"WoolCoat_BrownCheck": 1,</v>
      </c>
      <c r="P833" s="1" t="str">
        <f t="shared" si="64"/>
        <v>"WoolCoat_BrownCheck": 1,</v>
      </c>
      <c r="Q833" s="1" t="str">
        <f t="shared" si="65"/>
        <v>"WoolCoat_BrownCheck": 2000,</v>
      </c>
      <c r="R833" s="1" t="str">
        <f t="shared" si="66"/>
        <v>"WoolCoat_BrownCheck": 0,</v>
      </c>
    </row>
    <row r="834" spans="1:18" ht="15" customHeight="1" x14ac:dyDescent="0.25">
      <c r="A834" s="1" t="str">
        <f t="shared" si="67"/>
        <v>#tc_clothes#tc_civil#tc_tops</v>
      </c>
      <c r="B834" s="1">
        <f>VLOOKUP(A834,TraderCategory!$A$63:$E$556,2,FALSE)</f>
        <v>1</v>
      </c>
      <c r="C834" s="1">
        <f>VLOOKUP(A834,TraderCategory!$A$63:$F$556,6,FALSE)</f>
        <v>0</v>
      </c>
      <c r="D834" s="1" t="str">
        <f>VLOOKUP(C834,Tabulka5[],3,FALSE)</f>
        <v>Private</v>
      </c>
      <c r="E834" s="1">
        <v>0</v>
      </c>
      <c r="F834" s="1" t="str">
        <f>VLOOKUP(E834,Tabulka5[],3,FALSE)</f>
        <v>Private</v>
      </c>
      <c r="G834" s="1" t="s">
        <v>3115</v>
      </c>
      <c r="H834" s="1" t="s">
        <v>1199</v>
      </c>
      <c r="I834" s="1" t="s">
        <v>403</v>
      </c>
      <c r="J834" s="1" t="s">
        <v>2728</v>
      </c>
      <c r="K834" s="1" t="s">
        <v>3126</v>
      </c>
      <c r="L834" s="1" t="s">
        <v>3131</v>
      </c>
      <c r="M834" s="1">
        <v>2000</v>
      </c>
      <c r="N834" s="1">
        <v>1</v>
      </c>
      <c r="O834" s="1" t="str">
        <f t="shared" si="63"/>
        <v>"WoolCoat_Green": 1,</v>
      </c>
      <c r="P834" s="1" t="str">
        <f t="shared" si="64"/>
        <v>"WoolCoat_Green": 1,</v>
      </c>
      <c r="Q834" s="1" t="str">
        <f t="shared" si="65"/>
        <v>"WoolCoat_Green": 2000,</v>
      </c>
      <c r="R834" s="1" t="str">
        <f t="shared" si="66"/>
        <v>"WoolCoat_Green": 0,</v>
      </c>
    </row>
    <row r="835" spans="1:18" ht="15" customHeight="1" x14ac:dyDescent="0.25">
      <c r="A835" s="1" t="str">
        <f t="shared" si="67"/>
        <v>#tc_clothes#tc_civil#tc_tops</v>
      </c>
      <c r="B835" s="1">
        <f>VLOOKUP(A835,TraderCategory!$A$63:$E$556,2,FALSE)</f>
        <v>1</v>
      </c>
      <c r="C835" s="1">
        <f>VLOOKUP(A835,TraderCategory!$A$63:$F$556,6,FALSE)</f>
        <v>0</v>
      </c>
      <c r="D835" s="1" t="str">
        <f>VLOOKUP(C835,Tabulka5[],3,FALSE)</f>
        <v>Private</v>
      </c>
      <c r="E835" s="1">
        <v>0</v>
      </c>
      <c r="F835" s="1" t="str">
        <f>VLOOKUP(E835,Tabulka5[],3,FALSE)</f>
        <v>Private</v>
      </c>
      <c r="G835" s="1" t="s">
        <v>3115</v>
      </c>
      <c r="H835" s="1" t="s">
        <v>1200</v>
      </c>
      <c r="I835" s="1" t="s">
        <v>403</v>
      </c>
      <c r="J835" s="1" t="s">
        <v>2728</v>
      </c>
      <c r="K835" s="1" t="s">
        <v>3126</v>
      </c>
      <c r="L835" s="1" t="s">
        <v>3131</v>
      </c>
      <c r="M835" s="1">
        <v>2000</v>
      </c>
      <c r="N835" s="1">
        <v>1</v>
      </c>
      <c r="O835" s="1" t="str">
        <f t="shared" ref="O835:O898" si="68">"""" &amp;H835 &amp; """: " &amp; N835 &amp; ","</f>
        <v>"WoolCoat_GreyCheck": 1,</v>
      </c>
      <c r="P835" s="1" t="str">
        <f t="shared" ref="P835:P898" si="69">"""" &amp;H835 &amp; """: " &amp; B835 &amp; ","</f>
        <v>"WoolCoat_GreyCheck": 1,</v>
      </c>
      <c r="Q835" s="1" t="str">
        <f t="shared" ref="Q835:Q898" si="70">"""" &amp;H835 &amp; """: " &amp; M835 &amp; ","</f>
        <v>"WoolCoat_GreyCheck": 2000,</v>
      </c>
      <c r="R835" s="1" t="str">
        <f t="shared" ref="R835:R898" si="71">"""" &amp;H835 &amp; """: " &amp; E835 &amp; ","</f>
        <v>"WoolCoat_GreyCheck": 0,</v>
      </c>
    </row>
    <row r="836" spans="1:18" ht="15" customHeight="1" x14ac:dyDescent="0.25">
      <c r="A836" s="1" t="str">
        <f t="shared" si="67"/>
        <v>#tc_clothes#tc_civil#tc_tops</v>
      </c>
      <c r="B836" s="1">
        <f>VLOOKUP(A836,TraderCategory!$A$63:$E$556,2,FALSE)</f>
        <v>1</v>
      </c>
      <c r="C836" s="1">
        <f>VLOOKUP(A836,TraderCategory!$A$63:$F$556,6,FALSE)</f>
        <v>0</v>
      </c>
      <c r="D836" s="1" t="str">
        <f>VLOOKUP(C836,Tabulka5[],3,FALSE)</f>
        <v>Private</v>
      </c>
      <c r="E836" s="1">
        <v>0</v>
      </c>
      <c r="F836" s="1" t="str">
        <f>VLOOKUP(E836,Tabulka5[],3,FALSE)</f>
        <v>Private</v>
      </c>
      <c r="G836" s="1" t="s">
        <v>3115</v>
      </c>
      <c r="H836" s="1" t="s">
        <v>1201</v>
      </c>
      <c r="I836" s="1" t="s">
        <v>403</v>
      </c>
      <c r="J836" s="1" t="s">
        <v>2728</v>
      </c>
      <c r="K836" s="1" t="s">
        <v>3126</v>
      </c>
      <c r="L836" s="1" t="s">
        <v>3131</v>
      </c>
      <c r="M836" s="1">
        <v>2000</v>
      </c>
      <c r="N836" s="1">
        <v>1</v>
      </c>
      <c r="O836" s="1" t="str">
        <f t="shared" si="68"/>
        <v>"WoolCoat_Red": 1,</v>
      </c>
      <c r="P836" s="1" t="str">
        <f t="shared" si="69"/>
        <v>"WoolCoat_Red": 1,</v>
      </c>
      <c r="Q836" s="1" t="str">
        <f t="shared" si="70"/>
        <v>"WoolCoat_Red": 2000,</v>
      </c>
      <c r="R836" s="1" t="str">
        <f t="shared" si="71"/>
        <v>"WoolCoat_Red": 0,</v>
      </c>
    </row>
    <row r="837" spans="1:18" ht="15" customHeight="1" x14ac:dyDescent="0.25">
      <c r="A837" s="1" t="str">
        <f t="shared" si="67"/>
        <v>#tc_clothes#tc_civil#tc_tops</v>
      </c>
      <c r="B837" s="1">
        <f>VLOOKUP(A837,TraderCategory!$A$63:$E$556,2,FALSE)</f>
        <v>1</v>
      </c>
      <c r="C837" s="1">
        <f>VLOOKUP(A837,TraderCategory!$A$63:$F$556,6,FALSE)</f>
        <v>0</v>
      </c>
      <c r="D837" s="1" t="str">
        <f>VLOOKUP(C837,Tabulka5[],3,FALSE)</f>
        <v>Private</v>
      </c>
      <c r="E837" s="1">
        <v>0</v>
      </c>
      <c r="F837" s="1" t="str">
        <f>VLOOKUP(E837,Tabulka5[],3,FALSE)</f>
        <v>Private</v>
      </c>
      <c r="G837" s="1" t="s">
        <v>3115</v>
      </c>
      <c r="H837" s="1" t="s">
        <v>1202</v>
      </c>
      <c r="I837" s="1" t="s">
        <v>403</v>
      </c>
      <c r="J837" s="1" t="s">
        <v>2728</v>
      </c>
      <c r="K837" s="1" t="s">
        <v>3126</v>
      </c>
      <c r="L837" s="1" t="s">
        <v>3131</v>
      </c>
      <c r="M837" s="1">
        <v>2000</v>
      </c>
      <c r="N837" s="1">
        <v>1</v>
      </c>
      <c r="O837" s="1" t="str">
        <f t="shared" si="68"/>
        <v>"WoolCoat_RedCheck": 1,</v>
      </c>
      <c r="P837" s="1" t="str">
        <f t="shared" si="69"/>
        <v>"WoolCoat_RedCheck": 1,</v>
      </c>
      <c r="Q837" s="1" t="str">
        <f t="shared" si="70"/>
        <v>"WoolCoat_RedCheck": 2000,</v>
      </c>
      <c r="R837" s="1" t="str">
        <f t="shared" si="71"/>
        <v>"WoolCoat_RedCheck": 0,</v>
      </c>
    </row>
    <row r="838" spans="1:18" ht="15" customHeight="1" x14ac:dyDescent="0.25">
      <c r="A838" s="1" t="str">
        <f t="shared" si="67"/>
        <v>#tc_clothes#tc_civil#tc_boots</v>
      </c>
      <c r="B838" s="1">
        <f>VLOOKUP(A838,TraderCategory!$A$63:$E$556,2,FALSE)</f>
        <v>5</v>
      </c>
      <c r="C838" s="1">
        <f>VLOOKUP(A838,TraderCategory!$A$63:$F$556,6,FALSE)</f>
        <v>0</v>
      </c>
      <c r="D838" s="1" t="str">
        <f>VLOOKUP(C838,Tabulka5[],3,FALSE)</f>
        <v>Private</v>
      </c>
      <c r="E838" s="1">
        <v>0</v>
      </c>
      <c r="F838" s="1" t="str">
        <f>VLOOKUP(E838,Tabulka5[],3,FALSE)</f>
        <v>Private</v>
      </c>
      <c r="G838" s="1" t="s">
        <v>3115</v>
      </c>
      <c r="H838" s="1" t="s">
        <v>1203</v>
      </c>
      <c r="I838" s="1" t="s">
        <v>403</v>
      </c>
      <c r="J838" s="1" t="s">
        <v>2728</v>
      </c>
      <c r="K838" s="1" t="s">
        <v>3126</v>
      </c>
      <c r="L838" s="1" t="s">
        <v>3134</v>
      </c>
      <c r="M838" s="1">
        <v>1000</v>
      </c>
      <c r="N838" s="1">
        <v>1</v>
      </c>
      <c r="O838" s="1" t="str">
        <f t="shared" si="68"/>
        <v>"WorkingBoots_Beige": 1,</v>
      </c>
      <c r="P838" s="1" t="str">
        <f t="shared" si="69"/>
        <v>"WorkingBoots_Beige": 5,</v>
      </c>
      <c r="Q838" s="1" t="str">
        <f t="shared" si="70"/>
        <v>"WorkingBoots_Beige": 1000,</v>
      </c>
      <c r="R838" s="1" t="str">
        <f t="shared" si="71"/>
        <v>"WorkingBoots_Beige": 0,</v>
      </c>
    </row>
    <row r="839" spans="1:18" ht="15" customHeight="1" x14ac:dyDescent="0.25">
      <c r="A839" s="1" t="str">
        <f t="shared" si="67"/>
        <v>#tc_clothes#tc_civil#tc_boots</v>
      </c>
      <c r="B839" s="1">
        <f>VLOOKUP(A839,TraderCategory!$A$63:$E$556,2,FALSE)</f>
        <v>5</v>
      </c>
      <c r="C839" s="1">
        <f>VLOOKUP(A839,TraderCategory!$A$63:$F$556,6,FALSE)</f>
        <v>0</v>
      </c>
      <c r="D839" s="1" t="str">
        <f>VLOOKUP(C839,Tabulka5[],3,FALSE)</f>
        <v>Private</v>
      </c>
      <c r="E839" s="1">
        <v>0</v>
      </c>
      <c r="F839" s="1" t="str">
        <f>VLOOKUP(E839,Tabulka5[],3,FALSE)</f>
        <v>Private</v>
      </c>
      <c r="G839" s="1" t="s">
        <v>3115</v>
      </c>
      <c r="H839" s="1" t="s">
        <v>1204</v>
      </c>
      <c r="I839" s="1" t="s">
        <v>403</v>
      </c>
      <c r="J839" s="1" t="s">
        <v>2728</v>
      </c>
      <c r="K839" s="1" t="s">
        <v>3126</v>
      </c>
      <c r="L839" s="1" t="s">
        <v>3134</v>
      </c>
      <c r="M839" s="1">
        <v>1000</v>
      </c>
      <c r="N839" s="1">
        <v>1</v>
      </c>
      <c r="O839" s="1" t="str">
        <f t="shared" si="68"/>
        <v>"WorkingBoots_Brown": 1,</v>
      </c>
      <c r="P839" s="1" t="str">
        <f t="shared" si="69"/>
        <v>"WorkingBoots_Brown": 5,</v>
      </c>
      <c r="Q839" s="1" t="str">
        <f t="shared" si="70"/>
        <v>"WorkingBoots_Brown": 1000,</v>
      </c>
      <c r="R839" s="1" t="str">
        <f t="shared" si="71"/>
        <v>"WorkingBoots_Brown": 0,</v>
      </c>
    </row>
    <row r="840" spans="1:18" ht="15" customHeight="1" x14ac:dyDescent="0.25">
      <c r="A840" s="1" t="str">
        <f t="shared" si="67"/>
        <v>#tc_clothes#tc_civil#tc_boots</v>
      </c>
      <c r="B840" s="1">
        <f>VLOOKUP(A840,TraderCategory!$A$63:$E$556,2,FALSE)</f>
        <v>5</v>
      </c>
      <c r="C840" s="1">
        <f>VLOOKUP(A840,TraderCategory!$A$63:$F$556,6,FALSE)</f>
        <v>0</v>
      </c>
      <c r="D840" s="1" t="str">
        <f>VLOOKUP(C840,Tabulka5[],3,FALSE)</f>
        <v>Private</v>
      </c>
      <c r="E840" s="1">
        <v>0</v>
      </c>
      <c r="F840" s="1" t="str">
        <f>VLOOKUP(E840,Tabulka5[],3,FALSE)</f>
        <v>Private</v>
      </c>
      <c r="G840" s="1" t="s">
        <v>3115</v>
      </c>
      <c r="H840" s="1" t="s">
        <v>1205</v>
      </c>
      <c r="I840" s="1" t="s">
        <v>403</v>
      </c>
      <c r="J840" s="1" t="s">
        <v>2728</v>
      </c>
      <c r="K840" s="1" t="s">
        <v>3126</v>
      </c>
      <c r="L840" s="1" t="s">
        <v>3134</v>
      </c>
      <c r="M840" s="1">
        <v>1000</v>
      </c>
      <c r="N840" s="1">
        <v>1</v>
      </c>
      <c r="O840" s="1" t="str">
        <f t="shared" si="68"/>
        <v>"WorkingBoots_Green": 1,</v>
      </c>
      <c r="P840" s="1" t="str">
        <f t="shared" si="69"/>
        <v>"WorkingBoots_Green": 5,</v>
      </c>
      <c r="Q840" s="1" t="str">
        <f t="shared" si="70"/>
        <v>"WorkingBoots_Green": 1000,</v>
      </c>
      <c r="R840" s="1" t="str">
        <f t="shared" si="71"/>
        <v>"WorkingBoots_Green": 0,</v>
      </c>
    </row>
    <row r="841" spans="1:18" ht="15" customHeight="1" x14ac:dyDescent="0.25">
      <c r="A841" s="1" t="str">
        <f t="shared" si="67"/>
        <v>#tc_clothes#tc_civil#tc_boots</v>
      </c>
      <c r="B841" s="1">
        <f>VLOOKUP(A841,TraderCategory!$A$63:$E$556,2,FALSE)</f>
        <v>5</v>
      </c>
      <c r="C841" s="1">
        <f>VLOOKUP(A841,TraderCategory!$A$63:$F$556,6,FALSE)</f>
        <v>0</v>
      </c>
      <c r="D841" s="1" t="str">
        <f>VLOOKUP(C841,Tabulka5[],3,FALSE)</f>
        <v>Private</v>
      </c>
      <c r="E841" s="1">
        <v>0</v>
      </c>
      <c r="F841" s="1" t="str">
        <f>VLOOKUP(E841,Tabulka5[],3,FALSE)</f>
        <v>Private</v>
      </c>
      <c r="G841" s="1" t="s">
        <v>3115</v>
      </c>
      <c r="H841" s="1" t="s">
        <v>1206</v>
      </c>
      <c r="I841" s="1" t="s">
        <v>403</v>
      </c>
      <c r="J841" s="1" t="s">
        <v>2728</v>
      </c>
      <c r="K841" s="1" t="s">
        <v>3126</v>
      </c>
      <c r="L841" s="1" t="s">
        <v>3134</v>
      </c>
      <c r="M841" s="1">
        <v>1000</v>
      </c>
      <c r="N841" s="1">
        <v>1</v>
      </c>
      <c r="O841" s="1" t="str">
        <f t="shared" si="68"/>
        <v>"WorkingBoots_Grey": 1,</v>
      </c>
      <c r="P841" s="1" t="str">
        <f t="shared" si="69"/>
        <v>"WorkingBoots_Grey": 5,</v>
      </c>
      <c r="Q841" s="1" t="str">
        <f t="shared" si="70"/>
        <v>"WorkingBoots_Grey": 1000,</v>
      </c>
      <c r="R841" s="1" t="str">
        <f t="shared" si="71"/>
        <v>"WorkingBoots_Grey": 0,</v>
      </c>
    </row>
    <row r="842" spans="1:18" ht="15" customHeight="1" x14ac:dyDescent="0.25">
      <c r="A842" s="1" t="str">
        <f t="shared" si="67"/>
        <v>#tc_clothes#tc_civil#tc_boots</v>
      </c>
      <c r="B842" s="1">
        <f>VLOOKUP(A842,TraderCategory!$A$63:$E$556,2,FALSE)</f>
        <v>5</v>
      </c>
      <c r="C842" s="1">
        <f>VLOOKUP(A842,TraderCategory!$A$63:$F$556,6,FALSE)</f>
        <v>0</v>
      </c>
      <c r="D842" s="1" t="str">
        <f>VLOOKUP(C842,Tabulka5[],3,FALSE)</f>
        <v>Private</v>
      </c>
      <c r="E842" s="1">
        <v>0</v>
      </c>
      <c r="F842" s="1" t="str">
        <f>VLOOKUP(E842,Tabulka5[],3,FALSE)</f>
        <v>Private</v>
      </c>
      <c r="G842" s="1" t="s">
        <v>3115</v>
      </c>
      <c r="H842" s="1" t="s">
        <v>1207</v>
      </c>
      <c r="I842" s="1" t="s">
        <v>403</v>
      </c>
      <c r="J842" s="1" t="s">
        <v>2728</v>
      </c>
      <c r="K842" s="1" t="s">
        <v>3126</v>
      </c>
      <c r="L842" s="1" t="s">
        <v>3134</v>
      </c>
      <c r="M842" s="1">
        <v>1000</v>
      </c>
      <c r="N842" s="1">
        <v>1</v>
      </c>
      <c r="O842" s="1" t="str">
        <f t="shared" si="68"/>
        <v>"WorkingBoots_Yellow": 1,</v>
      </c>
      <c r="P842" s="1" t="str">
        <f t="shared" si="69"/>
        <v>"WorkingBoots_Yellow": 5,</v>
      </c>
      <c r="Q842" s="1" t="str">
        <f t="shared" si="70"/>
        <v>"WorkingBoots_Yellow": 1000,</v>
      </c>
      <c r="R842" s="1" t="str">
        <f t="shared" si="71"/>
        <v>"WorkingBoots_Yellow": 0,</v>
      </c>
    </row>
    <row r="843" spans="1:18" ht="15" customHeight="1" x14ac:dyDescent="0.25">
      <c r="A843" s="1" t="str">
        <f t="shared" si="67"/>
        <v>#tc_clothes#tc_civil#tc_gloves</v>
      </c>
      <c r="B843" s="1">
        <f>VLOOKUP(A843,TraderCategory!$A$63:$E$556,2,FALSE)</f>
        <v>2</v>
      </c>
      <c r="C843" s="1">
        <f>VLOOKUP(A843,TraderCategory!$A$63:$F$556,6,FALSE)</f>
        <v>0</v>
      </c>
      <c r="D843" s="1" t="str">
        <f>VLOOKUP(C843,Tabulka5[],3,FALSE)</f>
        <v>Private</v>
      </c>
      <c r="E843" s="1">
        <v>0</v>
      </c>
      <c r="F843" s="1" t="str">
        <f>VLOOKUP(E843,Tabulka5[],3,FALSE)</f>
        <v>Private</v>
      </c>
      <c r="G843" s="1" t="s">
        <v>3115</v>
      </c>
      <c r="H843" s="1" t="s">
        <v>1208</v>
      </c>
      <c r="I843" s="1" t="s">
        <v>403</v>
      </c>
      <c r="J843" s="1" t="s">
        <v>2728</v>
      </c>
      <c r="K843" s="1" t="s">
        <v>3126</v>
      </c>
      <c r="L843" s="1" t="s">
        <v>3132</v>
      </c>
      <c r="M843" s="1">
        <v>200</v>
      </c>
      <c r="N843" s="1">
        <v>1</v>
      </c>
      <c r="O843" s="1" t="str">
        <f t="shared" si="68"/>
        <v>"WorkingGloves_Beige": 1,</v>
      </c>
      <c r="P843" s="1" t="str">
        <f t="shared" si="69"/>
        <v>"WorkingGloves_Beige": 2,</v>
      </c>
      <c r="Q843" s="1" t="str">
        <f t="shared" si="70"/>
        <v>"WorkingGloves_Beige": 200,</v>
      </c>
      <c r="R843" s="1" t="str">
        <f t="shared" si="71"/>
        <v>"WorkingGloves_Beige": 0,</v>
      </c>
    </row>
    <row r="844" spans="1:18" ht="15" customHeight="1" x14ac:dyDescent="0.25">
      <c r="A844" s="1" t="str">
        <f t="shared" ref="A844:A905" si="72">CONCATENATE(J844,K844,L844)</f>
        <v>#tc_clothes#tc_civil#tc_gloves</v>
      </c>
      <c r="B844" s="1">
        <f>VLOOKUP(A844,TraderCategory!$A$63:$E$556,2,FALSE)</f>
        <v>2</v>
      </c>
      <c r="C844" s="1">
        <f>VLOOKUP(A844,TraderCategory!$A$63:$F$556,6,FALSE)</f>
        <v>0</v>
      </c>
      <c r="D844" s="1" t="str">
        <f>VLOOKUP(C844,Tabulka5[],3,FALSE)</f>
        <v>Private</v>
      </c>
      <c r="E844" s="1">
        <v>0</v>
      </c>
      <c r="F844" s="1" t="str">
        <f>VLOOKUP(E844,Tabulka5[],3,FALSE)</f>
        <v>Private</v>
      </c>
      <c r="G844" s="1" t="s">
        <v>3115</v>
      </c>
      <c r="H844" s="1" t="s">
        <v>1209</v>
      </c>
      <c r="I844" s="1" t="s">
        <v>403</v>
      </c>
      <c r="J844" s="1" t="s">
        <v>2728</v>
      </c>
      <c r="K844" s="1" t="s">
        <v>3126</v>
      </c>
      <c r="L844" s="1" t="s">
        <v>3132</v>
      </c>
      <c r="M844" s="1">
        <v>200</v>
      </c>
      <c r="N844" s="1">
        <v>1</v>
      </c>
      <c r="O844" s="1" t="str">
        <f t="shared" si="68"/>
        <v>"WorkingGloves_Black": 1,</v>
      </c>
      <c r="P844" s="1" t="str">
        <f t="shared" si="69"/>
        <v>"WorkingGloves_Black": 2,</v>
      </c>
      <c r="Q844" s="1" t="str">
        <f t="shared" si="70"/>
        <v>"WorkingGloves_Black": 200,</v>
      </c>
      <c r="R844" s="1" t="str">
        <f t="shared" si="71"/>
        <v>"WorkingGloves_Black": 0,</v>
      </c>
    </row>
    <row r="845" spans="1:18" ht="15" customHeight="1" x14ac:dyDescent="0.25">
      <c r="A845" s="1" t="str">
        <f t="shared" si="72"/>
        <v>#tc_clothes#tc_civil#tc_gloves</v>
      </c>
      <c r="B845" s="1">
        <f>VLOOKUP(A845,TraderCategory!$A$63:$E$556,2,FALSE)</f>
        <v>2</v>
      </c>
      <c r="C845" s="1">
        <f>VLOOKUP(A845,TraderCategory!$A$63:$F$556,6,FALSE)</f>
        <v>0</v>
      </c>
      <c r="D845" s="1" t="str">
        <f>VLOOKUP(C845,Tabulka5[],3,FALSE)</f>
        <v>Private</v>
      </c>
      <c r="E845" s="1">
        <v>0</v>
      </c>
      <c r="F845" s="1" t="str">
        <f>VLOOKUP(E845,Tabulka5[],3,FALSE)</f>
        <v>Private</v>
      </c>
      <c r="G845" s="1" t="s">
        <v>3115</v>
      </c>
      <c r="H845" s="1" t="s">
        <v>1210</v>
      </c>
      <c r="I845" s="1" t="s">
        <v>403</v>
      </c>
      <c r="J845" s="1" t="s">
        <v>2728</v>
      </c>
      <c r="K845" s="1" t="s">
        <v>3126</v>
      </c>
      <c r="L845" s="1" t="s">
        <v>3132</v>
      </c>
      <c r="M845" s="1">
        <v>200</v>
      </c>
      <c r="N845" s="1">
        <v>1</v>
      </c>
      <c r="O845" s="1" t="str">
        <f t="shared" si="68"/>
        <v>"WorkingGloves_Brown": 1,</v>
      </c>
      <c r="P845" s="1" t="str">
        <f t="shared" si="69"/>
        <v>"WorkingGloves_Brown": 2,</v>
      </c>
      <c r="Q845" s="1" t="str">
        <f t="shared" si="70"/>
        <v>"WorkingGloves_Brown": 200,</v>
      </c>
      <c r="R845" s="1" t="str">
        <f t="shared" si="71"/>
        <v>"WorkingGloves_Brown": 0,</v>
      </c>
    </row>
    <row r="846" spans="1:18" ht="15" customHeight="1" x14ac:dyDescent="0.25">
      <c r="A846" s="1" t="str">
        <f t="shared" si="72"/>
        <v>#tc_clothes#tc_civil#tc_gloves</v>
      </c>
      <c r="B846" s="1">
        <f>VLOOKUP(A846,TraderCategory!$A$63:$E$556,2,FALSE)</f>
        <v>2</v>
      </c>
      <c r="C846" s="1">
        <f>VLOOKUP(A846,TraderCategory!$A$63:$F$556,6,FALSE)</f>
        <v>0</v>
      </c>
      <c r="D846" s="1" t="str">
        <f>VLOOKUP(C846,Tabulka5[],3,FALSE)</f>
        <v>Private</v>
      </c>
      <c r="E846" s="1">
        <v>0</v>
      </c>
      <c r="F846" s="1" t="str">
        <f>VLOOKUP(E846,Tabulka5[],3,FALSE)</f>
        <v>Private</v>
      </c>
      <c r="G846" s="1" t="s">
        <v>3115</v>
      </c>
      <c r="H846" s="1" t="s">
        <v>1211</v>
      </c>
      <c r="I846" s="1" t="s">
        <v>403</v>
      </c>
      <c r="J846" s="1" t="s">
        <v>2728</v>
      </c>
      <c r="K846" s="1" t="s">
        <v>3126</v>
      </c>
      <c r="L846" s="1" t="s">
        <v>3132</v>
      </c>
      <c r="M846" s="1">
        <v>200</v>
      </c>
      <c r="N846" s="1">
        <v>1</v>
      </c>
      <c r="O846" s="1" t="str">
        <f t="shared" si="68"/>
        <v>"WorkingGloves_Yellow": 1,</v>
      </c>
      <c r="P846" s="1" t="str">
        <f t="shared" si="69"/>
        <v>"WorkingGloves_Yellow": 2,</v>
      </c>
      <c r="Q846" s="1" t="str">
        <f t="shared" si="70"/>
        <v>"WorkingGloves_Yellow": 200,</v>
      </c>
      <c r="R846" s="1" t="str">
        <f t="shared" si="71"/>
        <v>"WorkingGloves_Yellow": 0,</v>
      </c>
    </row>
    <row r="847" spans="1:18" ht="15" customHeight="1" x14ac:dyDescent="0.25">
      <c r="A847" s="1" t="str">
        <f t="shared" si="72"/>
        <v>#tc_groceries#tc_tools#tc_tools</v>
      </c>
      <c r="B847" s="1">
        <f>VLOOKUP(A847,TraderCategory!$A$63:$E$556,2,FALSE)</f>
        <v>30</v>
      </c>
      <c r="C847" s="1">
        <f>VLOOKUP(A847,TraderCategory!$A$63:$F$556,6,FALSE)</f>
        <v>0</v>
      </c>
      <c r="D847" s="1" t="str">
        <f>VLOOKUP(C847,Tabulka5[],3,FALSE)</f>
        <v>Private</v>
      </c>
      <c r="E847" s="1">
        <v>0</v>
      </c>
      <c r="F847" s="1" t="str">
        <f>VLOOKUP(E847,Tabulka5[],3,FALSE)</f>
        <v>Private</v>
      </c>
      <c r="G847" s="1" t="s">
        <v>3115</v>
      </c>
      <c r="H847" s="1" t="s">
        <v>1212</v>
      </c>
      <c r="I847" s="1" t="s">
        <v>426</v>
      </c>
      <c r="J847" s="1" t="s">
        <v>3127</v>
      </c>
      <c r="K847" s="1" t="s">
        <v>2740</v>
      </c>
      <c r="L847" s="1" t="s">
        <v>2740</v>
      </c>
      <c r="M847" s="1">
        <v>200</v>
      </c>
      <c r="N847" s="1">
        <v>1</v>
      </c>
      <c r="O847" s="1" t="str">
        <f t="shared" si="68"/>
        <v>"Wrench": 1,</v>
      </c>
      <c r="P847" s="1" t="str">
        <f t="shared" si="69"/>
        <v>"Wrench": 30,</v>
      </c>
      <c r="Q847" s="1" t="str">
        <f t="shared" si="70"/>
        <v>"Wrench": 200,</v>
      </c>
      <c r="R847" s="1" t="str">
        <f t="shared" si="71"/>
        <v>"Wrench": 0,</v>
      </c>
    </row>
    <row r="848" spans="1:18" ht="15" customHeight="1" x14ac:dyDescent="0.25">
      <c r="A848" s="1" t="str">
        <f t="shared" si="72"/>
        <v>#tc_groceries#tc_tools#tc_lights</v>
      </c>
      <c r="B848" s="1">
        <f>VLOOKUP(A848,TraderCategory!$A$63:$E$556,2,FALSE)</f>
        <v>37</v>
      </c>
      <c r="C848" s="1">
        <f>VLOOKUP(A848,TraderCategory!$A$63:$F$556,6,FALSE)</f>
        <v>0</v>
      </c>
      <c r="D848" s="1" t="str">
        <f>VLOOKUP(C848,Tabulka5[],3,FALSE)</f>
        <v>Private</v>
      </c>
      <c r="E848" s="1">
        <v>1</v>
      </c>
      <c r="F848" s="1" t="str">
        <f>VLOOKUP(E848,Tabulka5[],3,FALSE)</f>
        <v>Private First Class</v>
      </c>
      <c r="G848" s="1" t="s">
        <v>3115</v>
      </c>
      <c r="H848" s="1" t="s">
        <v>1213</v>
      </c>
      <c r="I848" s="1" t="s">
        <v>426</v>
      </c>
      <c r="J848" s="1" t="s">
        <v>3127</v>
      </c>
      <c r="K848" s="1" t="s">
        <v>2740</v>
      </c>
      <c r="L848" s="1" t="s">
        <v>3147</v>
      </c>
      <c r="M848" s="1">
        <v>2000</v>
      </c>
      <c r="N848" s="1">
        <v>1</v>
      </c>
      <c r="O848" s="1" t="str">
        <f t="shared" si="68"/>
        <v>"XmasLights": 1,</v>
      </c>
      <c r="P848" s="1" t="str">
        <f t="shared" si="69"/>
        <v>"XmasLights": 37,</v>
      </c>
      <c r="Q848" s="1" t="str">
        <f t="shared" si="70"/>
        <v>"XmasLights": 2000,</v>
      </c>
      <c r="R848" s="1" t="str">
        <f t="shared" si="71"/>
        <v>"XmasLights": 1,</v>
      </c>
    </row>
    <row r="849" spans="1:18" ht="15" customHeight="1" x14ac:dyDescent="0.25">
      <c r="A849" s="1" t="str">
        <f t="shared" si="72"/>
        <v>#tc_clothes#tc_military#tc_head</v>
      </c>
      <c r="B849" s="1">
        <f>VLOOKUP(A849,TraderCategory!$A$63:$E$556,2,FALSE)</f>
        <v>8</v>
      </c>
      <c r="C849" s="1">
        <f>VLOOKUP(A849,TraderCategory!$A$63:$F$556,6,FALSE)</f>
        <v>1</v>
      </c>
      <c r="D849" s="1" t="str">
        <f>VLOOKUP(C849,Tabulka5[],3,FALSE)</f>
        <v>Private First Class</v>
      </c>
      <c r="E849" s="1">
        <v>1</v>
      </c>
      <c r="F849" s="1" t="str">
        <f>VLOOKUP(E849,Tabulka5[],3,FALSE)</f>
        <v>Private First Class</v>
      </c>
      <c r="G849" s="1" t="s">
        <v>3115</v>
      </c>
      <c r="H849" s="1" t="s">
        <v>1214</v>
      </c>
      <c r="I849" s="1" t="s">
        <v>403</v>
      </c>
      <c r="J849" s="1" t="s">
        <v>2728</v>
      </c>
      <c r="K849" s="1" t="s">
        <v>2729</v>
      </c>
      <c r="L849" s="1" t="s">
        <v>3130</v>
      </c>
      <c r="M849" s="1">
        <v>5000</v>
      </c>
      <c r="N849" s="1">
        <v>1</v>
      </c>
      <c r="O849" s="1" t="str">
        <f t="shared" si="68"/>
        <v>"ZSh3PilotHelmet": 1,</v>
      </c>
      <c r="P849" s="1" t="str">
        <f t="shared" si="69"/>
        <v>"ZSh3PilotHelmet": 8,</v>
      </c>
      <c r="Q849" s="1" t="str">
        <f t="shared" si="70"/>
        <v>"ZSh3PilotHelmet": 5000,</v>
      </c>
      <c r="R849" s="1" t="str">
        <f t="shared" si="71"/>
        <v>"ZSh3PilotHelmet": 1,</v>
      </c>
    </row>
    <row r="850" spans="1:18" ht="15" customHeight="1" x14ac:dyDescent="0.25">
      <c r="A850" s="1" t="str">
        <f t="shared" si="72"/>
        <v>#tc_clothes#tc_civil#tc_head</v>
      </c>
      <c r="B850" s="1">
        <f>VLOOKUP(A850,TraderCategory!$A$63:$E$556,2,FALSE)</f>
        <v>0</v>
      </c>
      <c r="C850" s="1">
        <f>VLOOKUP(A850,TraderCategory!$A$63:$F$556,6,FALSE)</f>
        <v>0</v>
      </c>
      <c r="D850" s="1" t="str">
        <f>VLOOKUP(C850,Tabulka5[],3,FALSE)</f>
        <v>Private</v>
      </c>
      <c r="E850" s="1">
        <v>0</v>
      </c>
      <c r="F850" s="1" t="str">
        <f>VLOOKUP(E850,Tabulka5[],3,FALSE)</f>
        <v>Private</v>
      </c>
      <c r="G850" s="1" t="s">
        <v>3115</v>
      </c>
      <c r="H850" s="1" t="s">
        <v>1215</v>
      </c>
      <c r="I850" s="1" t="s">
        <v>403</v>
      </c>
      <c r="J850" s="1" t="s">
        <v>2728</v>
      </c>
      <c r="K850" s="1" t="s">
        <v>3126</v>
      </c>
      <c r="L850" s="1" t="s">
        <v>3130</v>
      </c>
      <c r="M850" s="1">
        <v>300</v>
      </c>
      <c r="N850" s="1">
        <v>1</v>
      </c>
      <c r="O850" s="1" t="str">
        <f t="shared" si="68"/>
        <v>"ZmijovkaCap_Black": 1,</v>
      </c>
      <c r="P850" s="1" t="str">
        <f t="shared" si="69"/>
        <v>"ZmijovkaCap_Black": 0,</v>
      </c>
      <c r="Q850" s="1" t="str">
        <f t="shared" si="70"/>
        <v>"ZmijovkaCap_Black": 300,</v>
      </c>
      <c r="R850" s="1" t="str">
        <f t="shared" si="71"/>
        <v>"ZmijovkaCap_Black": 0,</v>
      </c>
    </row>
    <row r="851" spans="1:18" ht="15" customHeight="1" x14ac:dyDescent="0.25">
      <c r="A851" s="1" t="str">
        <f t="shared" si="72"/>
        <v>#tc_clothes#tc_civil#tc_head</v>
      </c>
      <c r="B851" s="1">
        <f>VLOOKUP(A851,TraderCategory!$A$63:$E$556,2,FALSE)</f>
        <v>0</v>
      </c>
      <c r="C851" s="1">
        <f>VLOOKUP(A851,TraderCategory!$A$63:$F$556,6,FALSE)</f>
        <v>0</v>
      </c>
      <c r="D851" s="1" t="str">
        <f>VLOOKUP(C851,Tabulka5[],3,FALSE)</f>
        <v>Private</v>
      </c>
      <c r="E851" s="1">
        <v>0</v>
      </c>
      <c r="F851" s="1" t="str">
        <f>VLOOKUP(E851,Tabulka5[],3,FALSE)</f>
        <v>Private</v>
      </c>
      <c r="G851" s="1" t="s">
        <v>3115</v>
      </c>
      <c r="H851" s="1" t="s">
        <v>1216</v>
      </c>
      <c r="I851" s="1" t="s">
        <v>403</v>
      </c>
      <c r="J851" s="1" t="s">
        <v>2728</v>
      </c>
      <c r="K851" s="1" t="s">
        <v>3126</v>
      </c>
      <c r="L851" s="1" t="s">
        <v>3130</v>
      </c>
      <c r="M851" s="1">
        <v>300</v>
      </c>
      <c r="N851" s="1">
        <v>1</v>
      </c>
      <c r="O851" s="1" t="str">
        <f t="shared" si="68"/>
        <v>"ZmijovkaCap_Blue": 1,</v>
      </c>
      <c r="P851" s="1" t="str">
        <f t="shared" si="69"/>
        <v>"ZmijovkaCap_Blue": 0,</v>
      </c>
      <c r="Q851" s="1" t="str">
        <f t="shared" si="70"/>
        <v>"ZmijovkaCap_Blue": 300,</v>
      </c>
      <c r="R851" s="1" t="str">
        <f t="shared" si="71"/>
        <v>"ZmijovkaCap_Blue": 0,</v>
      </c>
    </row>
    <row r="852" spans="1:18" ht="15" customHeight="1" x14ac:dyDescent="0.25">
      <c r="A852" s="1" t="str">
        <f t="shared" si="72"/>
        <v>#tc_clothes#tc_civil#tc_head</v>
      </c>
      <c r="B852" s="1">
        <f>VLOOKUP(A852,TraderCategory!$A$63:$E$556,2,FALSE)</f>
        <v>0</v>
      </c>
      <c r="C852" s="1">
        <f>VLOOKUP(A852,TraderCategory!$A$63:$F$556,6,FALSE)</f>
        <v>0</v>
      </c>
      <c r="D852" s="1" t="str">
        <f>VLOOKUP(C852,Tabulka5[],3,FALSE)</f>
        <v>Private</v>
      </c>
      <c r="E852" s="1">
        <v>0</v>
      </c>
      <c r="F852" s="1" t="str">
        <f>VLOOKUP(E852,Tabulka5[],3,FALSE)</f>
        <v>Private</v>
      </c>
      <c r="G852" s="1" t="s">
        <v>3115</v>
      </c>
      <c r="H852" s="1" t="s">
        <v>1217</v>
      </c>
      <c r="I852" s="1" t="s">
        <v>403</v>
      </c>
      <c r="J852" s="1" t="s">
        <v>2728</v>
      </c>
      <c r="K852" s="1" t="s">
        <v>3126</v>
      </c>
      <c r="L852" s="1" t="s">
        <v>3130</v>
      </c>
      <c r="M852" s="1">
        <v>300</v>
      </c>
      <c r="N852" s="1">
        <v>1</v>
      </c>
      <c r="O852" s="1" t="str">
        <f t="shared" si="68"/>
        <v>"ZmijovkaCap_Brown": 1,</v>
      </c>
      <c r="P852" s="1" t="str">
        <f t="shared" si="69"/>
        <v>"ZmijovkaCap_Brown": 0,</v>
      </c>
      <c r="Q852" s="1" t="str">
        <f t="shared" si="70"/>
        <v>"ZmijovkaCap_Brown": 300,</v>
      </c>
      <c r="R852" s="1" t="str">
        <f t="shared" si="71"/>
        <v>"ZmijovkaCap_Brown": 0,</v>
      </c>
    </row>
    <row r="853" spans="1:18" ht="15" customHeight="1" x14ac:dyDescent="0.25">
      <c r="A853" s="1" t="str">
        <f t="shared" si="72"/>
        <v>#tc_clothes#tc_civil#tc_head</v>
      </c>
      <c r="B853" s="1">
        <f>VLOOKUP(A853,TraderCategory!$A$63:$E$556,2,FALSE)</f>
        <v>0</v>
      </c>
      <c r="C853" s="1">
        <f>VLOOKUP(A853,TraderCategory!$A$63:$F$556,6,FALSE)</f>
        <v>0</v>
      </c>
      <c r="D853" s="1" t="str">
        <f>VLOOKUP(C853,Tabulka5[],3,FALSE)</f>
        <v>Private</v>
      </c>
      <c r="E853" s="1">
        <v>0</v>
      </c>
      <c r="F853" s="1" t="str">
        <f>VLOOKUP(E853,Tabulka5[],3,FALSE)</f>
        <v>Private</v>
      </c>
      <c r="G853" s="1" t="s">
        <v>3115</v>
      </c>
      <c r="H853" s="1" t="s">
        <v>1218</v>
      </c>
      <c r="I853" s="1" t="s">
        <v>403</v>
      </c>
      <c r="J853" s="1" t="s">
        <v>2728</v>
      </c>
      <c r="K853" s="1" t="s">
        <v>3126</v>
      </c>
      <c r="L853" s="1" t="s">
        <v>3130</v>
      </c>
      <c r="M853" s="1">
        <v>300</v>
      </c>
      <c r="N853" s="1">
        <v>1</v>
      </c>
      <c r="O853" s="1" t="str">
        <f t="shared" si="68"/>
        <v>"ZmijovkaCap_Green": 1,</v>
      </c>
      <c r="P853" s="1" t="str">
        <f t="shared" si="69"/>
        <v>"ZmijovkaCap_Green": 0,</v>
      </c>
      <c r="Q853" s="1" t="str">
        <f t="shared" si="70"/>
        <v>"ZmijovkaCap_Green": 300,</v>
      </c>
      <c r="R853" s="1" t="str">
        <f t="shared" si="71"/>
        <v>"ZmijovkaCap_Green": 0,</v>
      </c>
    </row>
    <row r="854" spans="1:18" ht="15" customHeight="1" x14ac:dyDescent="0.25">
      <c r="A854" s="1" t="str">
        <f t="shared" si="72"/>
        <v>#tc_clothes#tc_civil#tc_head</v>
      </c>
      <c r="B854" s="1">
        <f>VLOOKUP(A854,TraderCategory!$A$63:$E$556,2,FALSE)</f>
        <v>0</v>
      </c>
      <c r="C854" s="1">
        <f>VLOOKUP(A854,TraderCategory!$A$63:$F$556,6,FALSE)</f>
        <v>0</v>
      </c>
      <c r="D854" s="1" t="str">
        <f>VLOOKUP(C854,Tabulka5[],3,FALSE)</f>
        <v>Private</v>
      </c>
      <c r="E854" s="1">
        <v>0</v>
      </c>
      <c r="F854" s="1" t="str">
        <f>VLOOKUP(E854,Tabulka5[],3,FALSE)</f>
        <v>Private</v>
      </c>
      <c r="G854" s="1" t="s">
        <v>3115</v>
      </c>
      <c r="H854" s="1" t="s">
        <v>1219</v>
      </c>
      <c r="I854" s="1" t="s">
        <v>403</v>
      </c>
      <c r="J854" s="1" t="s">
        <v>2728</v>
      </c>
      <c r="K854" s="1" t="s">
        <v>3126</v>
      </c>
      <c r="L854" s="1" t="s">
        <v>3130</v>
      </c>
      <c r="M854" s="1">
        <v>300</v>
      </c>
      <c r="N854" s="1">
        <v>1</v>
      </c>
      <c r="O854" s="1" t="str">
        <f t="shared" si="68"/>
        <v>"ZmijovkaCap_Red": 1,</v>
      </c>
      <c r="P854" s="1" t="str">
        <f t="shared" si="69"/>
        <v>"ZmijovkaCap_Red": 0,</v>
      </c>
      <c r="Q854" s="1" t="str">
        <f t="shared" si="70"/>
        <v>"ZmijovkaCap_Red": 300,</v>
      </c>
      <c r="R854" s="1" t="str">
        <f t="shared" si="71"/>
        <v>"ZmijovkaCap_Red": 0,</v>
      </c>
    </row>
    <row r="855" spans="1:18" ht="15" customHeight="1" x14ac:dyDescent="0.25">
      <c r="A855" s="1" t="str">
        <f t="shared" si="72"/>
        <v>#tc_groceries#tc_food#tc_fruits</v>
      </c>
      <c r="B855" s="1">
        <f>VLOOKUP(A855,TraderCategory!$A$63:$E$556,2,FALSE)</f>
        <v>20</v>
      </c>
      <c r="C855" s="1">
        <f>VLOOKUP(A855,TraderCategory!$A$63:$F$556,6,FALSE)</f>
        <v>3</v>
      </c>
      <c r="D855" s="1" t="str">
        <f>VLOOKUP(C855,Tabulka5[],3,FALSE)</f>
        <v>Sergeant</v>
      </c>
      <c r="E855" s="1">
        <v>3</v>
      </c>
      <c r="F855" s="1" t="str">
        <f>VLOOKUP(E855,Tabulka5[],3,FALSE)</f>
        <v>Sergeant</v>
      </c>
      <c r="G855" s="1" t="s">
        <v>3115</v>
      </c>
      <c r="H855" s="1" t="s">
        <v>1220</v>
      </c>
      <c r="I855" s="1" t="s">
        <v>399</v>
      </c>
      <c r="J855" s="1" t="s">
        <v>3127</v>
      </c>
      <c r="K855" s="1" t="s">
        <v>2730</v>
      </c>
      <c r="L855" s="1" t="s">
        <v>3142</v>
      </c>
      <c r="M855" s="1">
        <v>600</v>
      </c>
      <c r="N855" s="1">
        <v>1</v>
      </c>
      <c r="O855" s="1" t="str">
        <f t="shared" si="68"/>
        <v>"Zucchini": 1,</v>
      </c>
      <c r="P855" s="1" t="str">
        <f t="shared" si="69"/>
        <v>"Zucchini": 20,</v>
      </c>
      <c r="Q855" s="1" t="str">
        <f t="shared" si="70"/>
        <v>"Zucchini": 600,</v>
      </c>
      <c r="R855" s="1" t="str">
        <f t="shared" si="71"/>
        <v>"Zucchini": 3,</v>
      </c>
    </row>
    <row r="856" spans="1:18" ht="15" customHeight="1" x14ac:dyDescent="0.25">
      <c r="A856" s="1" t="str">
        <f t="shared" si="72"/>
        <v>#tc_groceries#tc_tools#tc_seeds</v>
      </c>
      <c r="B856" s="1">
        <f>VLOOKUP(A856,TraderCategory!$A$63:$E$556,2,FALSE)</f>
        <v>34</v>
      </c>
      <c r="C856" s="1">
        <f>VLOOKUP(A856,TraderCategory!$A$63:$F$556,6,FALSE)</f>
        <v>3</v>
      </c>
      <c r="D856" s="1" t="str">
        <f>VLOOKUP(C856,Tabulka5[],3,FALSE)</f>
        <v>Sergeant</v>
      </c>
      <c r="E856" s="1">
        <v>3</v>
      </c>
      <c r="F856" s="1" t="str">
        <f>VLOOKUP(E856,Tabulka5[],3,FALSE)</f>
        <v>Sergeant</v>
      </c>
      <c r="G856" s="1" t="s">
        <v>3115</v>
      </c>
      <c r="H856" s="1" t="s">
        <v>1221</v>
      </c>
      <c r="I856" s="1" t="s">
        <v>399</v>
      </c>
      <c r="J856" s="1" t="s">
        <v>3127</v>
      </c>
      <c r="K856" s="1" t="s">
        <v>2740</v>
      </c>
      <c r="L856" s="1" t="s">
        <v>2735</v>
      </c>
      <c r="M856" s="1">
        <v>600</v>
      </c>
      <c r="N856" s="1">
        <v>1</v>
      </c>
      <c r="O856" s="1" t="str">
        <f t="shared" si="68"/>
        <v>"ZucchiniSeedsPack": 1,</v>
      </c>
      <c r="P856" s="1" t="str">
        <f t="shared" si="69"/>
        <v>"ZucchiniSeedsPack": 34,</v>
      </c>
      <c r="Q856" s="1" t="str">
        <f t="shared" si="70"/>
        <v>"ZucchiniSeedsPack": 600,</v>
      </c>
      <c r="R856" s="1" t="str">
        <f t="shared" si="71"/>
        <v>"ZucchiniSeedsPack": 3,</v>
      </c>
    </row>
    <row r="857" spans="1:18" ht="15" customHeight="1" x14ac:dyDescent="0.25">
      <c r="A857" s="1" t="str">
        <f t="shared" si="72"/>
        <v>#tc_clothes#tc_civil#tc_pants</v>
      </c>
      <c r="B857" s="1">
        <f>VLOOKUP(A857,TraderCategory!$A$63:$E$556,2,FALSE)</f>
        <v>4</v>
      </c>
      <c r="C857" s="1">
        <f>VLOOKUP(A857,TraderCategory!$A$63:$F$556,6,FALSE)</f>
        <v>0</v>
      </c>
      <c r="D857" s="1" t="str">
        <f>VLOOKUP(C857,Tabulka5[],3,FALSE)</f>
        <v>Private</v>
      </c>
      <c r="E857" s="1">
        <v>0</v>
      </c>
      <c r="F857" s="1" t="str">
        <f>VLOOKUP(E857,Tabulka5[],3,FALSE)</f>
        <v>Private</v>
      </c>
      <c r="G857" s="1" t="s">
        <v>3117</v>
      </c>
      <c r="H857" s="1" t="s">
        <v>1222</v>
      </c>
      <c r="I857" s="1" t="s">
        <v>403</v>
      </c>
      <c r="J857" s="1" t="s">
        <v>2728</v>
      </c>
      <c r="K857" s="1" t="s">
        <v>3126</v>
      </c>
      <c r="L857" s="1" t="s">
        <v>3133</v>
      </c>
      <c r="M857" s="1">
        <v>1200</v>
      </c>
      <c r="N857" s="1">
        <v>1</v>
      </c>
      <c r="O857" s="1" t="str">
        <f t="shared" si="68"/>
        <v>"Blue_Leggings": 1,</v>
      </c>
      <c r="P857" s="1" t="str">
        <f t="shared" si="69"/>
        <v>"Blue_Leggings": 4,</v>
      </c>
      <c r="Q857" s="1" t="str">
        <f t="shared" si="70"/>
        <v>"Blue_Leggings": 1200,</v>
      </c>
      <c r="R857" s="1" t="str">
        <f t="shared" si="71"/>
        <v>"Blue_Leggings": 0,</v>
      </c>
    </row>
    <row r="858" spans="1:18" ht="15" customHeight="1" x14ac:dyDescent="0.25">
      <c r="A858" s="1" t="str">
        <f t="shared" si="72"/>
        <v>#tc_clothes#tc_civil#tc_pants</v>
      </c>
      <c r="B858" s="1">
        <f>VLOOKUP(A858,TraderCategory!$A$63:$E$556,2,FALSE)</f>
        <v>4</v>
      </c>
      <c r="C858" s="1">
        <f>VLOOKUP(A858,TraderCategory!$A$63:$F$556,6,FALSE)</f>
        <v>0</v>
      </c>
      <c r="D858" s="1" t="str">
        <f>VLOOKUP(C858,Tabulka5[],3,FALSE)</f>
        <v>Private</v>
      </c>
      <c r="E858" s="1">
        <v>0</v>
      </c>
      <c r="F858" s="1" t="str">
        <f>VLOOKUP(E858,Tabulka5[],3,FALSE)</f>
        <v>Private</v>
      </c>
      <c r="G858" s="1" t="s">
        <v>3117</v>
      </c>
      <c r="H858" s="1" t="s">
        <v>1223</v>
      </c>
      <c r="I858" s="1" t="s">
        <v>403</v>
      </c>
      <c r="J858" s="1" t="s">
        <v>2728</v>
      </c>
      <c r="K858" s="1" t="s">
        <v>3126</v>
      </c>
      <c r="L858" s="1" t="s">
        <v>3133</v>
      </c>
      <c r="M858" s="1">
        <v>1200</v>
      </c>
      <c r="N858" s="1">
        <v>1</v>
      </c>
      <c r="O858" s="1" t="str">
        <f t="shared" si="68"/>
        <v>"Latex_Leggings": 1,</v>
      </c>
      <c r="P858" s="1" t="str">
        <f t="shared" si="69"/>
        <v>"Latex_Leggings": 4,</v>
      </c>
      <c r="Q858" s="1" t="str">
        <f t="shared" si="70"/>
        <v>"Latex_Leggings": 1200,</v>
      </c>
      <c r="R858" s="1" t="str">
        <f t="shared" si="71"/>
        <v>"Latex_Leggings": 0,</v>
      </c>
    </row>
    <row r="859" spans="1:18" ht="15" customHeight="1" x14ac:dyDescent="0.25">
      <c r="A859" s="1" t="str">
        <f t="shared" si="72"/>
        <v>#tc_clothes#tc_civil#tc_pants</v>
      </c>
      <c r="B859" s="1">
        <f>VLOOKUP(A859,TraderCategory!$A$63:$E$556,2,FALSE)</f>
        <v>4</v>
      </c>
      <c r="C859" s="1">
        <f>VLOOKUP(A859,TraderCategory!$A$63:$F$556,6,FALSE)</f>
        <v>0</v>
      </c>
      <c r="D859" s="1" t="str">
        <f>VLOOKUP(C859,Tabulka5[],3,FALSE)</f>
        <v>Private</v>
      </c>
      <c r="E859" s="1">
        <v>0</v>
      </c>
      <c r="F859" s="1" t="str">
        <f>VLOOKUP(E859,Tabulka5[],3,FALSE)</f>
        <v>Private</v>
      </c>
      <c r="G859" s="1" t="s">
        <v>3117</v>
      </c>
      <c r="H859" s="1" t="s">
        <v>1224</v>
      </c>
      <c r="I859" s="1" t="s">
        <v>403</v>
      </c>
      <c r="J859" s="1" t="s">
        <v>2728</v>
      </c>
      <c r="K859" s="1" t="s">
        <v>3126</v>
      </c>
      <c r="L859" s="1" t="s">
        <v>3133</v>
      </c>
      <c r="M859" s="1">
        <v>1200</v>
      </c>
      <c r="N859" s="1">
        <v>1</v>
      </c>
      <c r="O859" s="1" t="str">
        <f t="shared" si="68"/>
        <v>"Adidas_Leggings": 1,</v>
      </c>
      <c r="P859" s="1" t="str">
        <f t="shared" si="69"/>
        <v>"Adidas_Leggings": 4,</v>
      </c>
      <c r="Q859" s="1" t="str">
        <f t="shared" si="70"/>
        <v>"Adidas_Leggings": 1200,</v>
      </c>
      <c r="R859" s="1" t="str">
        <f t="shared" si="71"/>
        <v>"Adidas_Leggings": 0,</v>
      </c>
    </row>
    <row r="860" spans="1:18" ht="15" customHeight="1" x14ac:dyDescent="0.25">
      <c r="A860" s="1" t="str">
        <f t="shared" si="72"/>
        <v>#tc_clothes#tc_civil#tc_pants</v>
      </c>
      <c r="B860" s="1">
        <f>VLOOKUP(A860,TraderCategory!$A$63:$E$556,2,FALSE)</f>
        <v>4</v>
      </c>
      <c r="C860" s="1">
        <f>VLOOKUP(A860,TraderCategory!$A$63:$F$556,6,FALSE)</f>
        <v>0</v>
      </c>
      <c r="D860" s="1" t="str">
        <f>VLOOKUP(C860,Tabulka5[],3,FALSE)</f>
        <v>Private</v>
      </c>
      <c r="E860" s="1">
        <v>0</v>
      </c>
      <c r="F860" s="1" t="str">
        <f>VLOOKUP(E860,Tabulka5[],3,FALSE)</f>
        <v>Private</v>
      </c>
      <c r="G860" s="1" t="s">
        <v>3117</v>
      </c>
      <c r="H860" s="1" t="s">
        <v>1225</v>
      </c>
      <c r="I860" s="1" t="s">
        <v>403</v>
      </c>
      <c r="J860" s="1" t="s">
        <v>2728</v>
      </c>
      <c r="K860" s="1" t="s">
        <v>3126</v>
      </c>
      <c r="L860" s="1" t="s">
        <v>3133</v>
      </c>
      <c r="M860" s="1">
        <v>1200</v>
      </c>
      <c r="N860" s="1">
        <v>1</v>
      </c>
      <c r="O860" s="1" t="str">
        <f t="shared" si="68"/>
        <v>"Red_Leggings": 1,</v>
      </c>
      <c r="P860" s="1" t="str">
        <f t="shared" si="69"/>
        <v>"Red_Leggings": 4,</v>
      </c>
      <c r="Q860" s="1" t="str">
        <f t="shared" si="70"/>
        <v>"Red_Leggings": 1200,</v>
      </c>
      <c r="R860" s="1" t="str">
        <f t="shared" si="71"/>
        <v>"Red_Leggings": 0,</v>
      </c>
    </row>
    <row r="861" spans="1:18" ht="15" customHeight="1" x14ac:dyDescent="0.25">
      <c r="A861" s="1" t="str">
        <f t="shared" si="72"/>
        <v>#tc_clothes#tc_civil#tc_pants</v>
      </c>
      <c r="B861" s="1">
        <f>VLOOKUP(A861,TraderCategory!$A$63:$E$556,2,FALSE)</f>
        <v>4</v>
      </c>
      <c r="C861" s="1">
        <f>VLOOKUP(A861,TraderCategory!$A$63:$F$556,6,FALSE)</f>
        <v>0</v>
      </c>
      <c r="D861" s="1" t="str">
        <f>VLOOKUP(C861,Tabulka5[],3,FALSE)</f>
        <v>Private</v>
      </c>
      <c r="E861" s="1">
        <v>0</v>
      </c>
      <c r="F861" s="1" t="str">
        <f>VLOOKUP(E861,Tabulka5[],3,FALSE)</f>
        <v>Private</v>
      </c>
      <c r="G861" s="1" t="s">
        <v>3117</v>
      </c>
      <c r="H861" s="1" t="s">
        <v>1226</v>
      </c>
      <c r="I861" s="1" t="s">
        <v>403</v>
      </c>
      <c r="J861" s="1" t="s">
        <v>2728</v>
      </c>
      <c r="K861" s="1" t="s">
        <v>3126</v>
      </c>
      <c r="L861" s="1" t="s">
        <v>3133</v>
      </c>
      <c r="M861" s="1">
        <v>1200</v>
      </c>
      <c r="N861" s="1">
        <v>1</v>
      </c>
      <c r="O861" s="1" t="str">
        <f t="shared" si="68"/>
        <v>"Purple_Leggings": 1,</v>
      </c>
      <c r="P861" s="1" t="str">
        <f t="shared" si="69"/>
        <v>"Purple_Leggings": 4,</v>
      </c>
      <c r="Q861" s="1" t="str">
        <f t="shared" si="70"/>
        <v>"Purple_Leggings": 1200,</v>
      </c>
      <c r="R861" s="1" t="str">
        <f t="shared" si="71"/>
        <v>"Purple_Leggings": 0,</v>
      </c>
    </row>
    <row r="862" spans="1:18" ht="15" customHeight="1" x14ac:dyDescent="0.25">
      <c r="A862" s="1" t="str">
        <f t="shared" si="72"/>
        <v>#tc_clothes#tc_civil#tc_pants</v>
      </c>
      <c r="B862" s="1">
        <f>VLOOKUP(A862,TraderCategory!$A$63:$E$556,2,FALSE)</f>
        <v>4</v>
      </c>
      <c r="C862" s="1">
        <f>VLOOKUP(A862,TraderCategory!$A$63:$F$556,6,FALSE)</f>
        <v>0</v>
      </c>
      <c r="D862" s="1" t="str">
        <f>VLOOKUP(C862,Tabulka5[],3,FALSE)</f>
        <v>Private</v>
      </c>
      <c r="E862" s="1">
        <v>0</v>
      </c>
      <c r="F862" s="1" t="str">
        <f>VLOOKUP(E862,Tabulka5[],3,FALSE)</f>
        <v>Private</v>
      </c>
      <c r="G862" s="1" t="s">
        <v>3117</v>
      </c>
      <c r="H862" s="1" t="s">
        <v>1227</v>
      </c>
      <c r="I862" s="1" t="s">
        <v>403</v>
      </c>
      <c r="J862" s="1" t="s">
        <v>2728</v>
      </c>
      <c r="K862" s="1" t="s">
        <v>3126</v>
      </c>
      <c r="L862" s="1" t="s">
        <v>3133</v>
      </c>
      <c r="M862" s="1">
        <v>1200</v>
      </c>
      <c r="N862" s="1">
        <v>1</v>
      </c>
      <c r="O862" s="1" t="str">
        <f t="shared" si="68"/>
        <v>"White_Leggings": 1,</v>
      </c>
      <c r="P862" s="1" t="str">
        <f t="shared" si="69"/>
        <v>"White_Leggings": 4,</v>
      </c>
      <c r="Q862" s="1" t="str">
        <f t="shared" si="70"/>
        <v>"White_Leggings": 1200,</v>
      </c>
      <c r="R862" s="1" t="str">
        <f t="shared" si="71"/>
        <v>"White_Leggings": 0,</v>
      </c>
    </row>
    <row r="863" spans="1:18" ht="15" customHeight="1" x14ac:dyDescent="0.25">
      <c r="A863" s="1" t="str">
        <f t="shared" si="72"/>
        <v>#tc_clothes#tc_military#tc_head</v>
      </c>
      <c r="B863" s="1">
        <f>VLOOKUP(A863,TraderCategory!$A$63:$E$556,2,FALSE)</f>
        <v>8</v>
      </c>
      <c r="C863" s="1">
        <f>VLOOKUP(A863,TraderCategory!$A$63:$F$556,6,FALSE)</f>
        <v>1</v>
      </c>
      <c r="D863" s="1" t="str">
        <f>VLOOKUP(C863,Tabulka5[],3,FALSE)</f>
        <v>Private First Class</v>
      </c>
      <c r="E863" s="1">
        <v>3</v>
      </c>
      <c r="F863" s="1" t="str">
        <f>VLOOKUP(E863,Tabulka5[],3,FALSE)</f>
        <v>Sergeant</v>
      </c>
      <c r="G863" s="1" t="s">
        <v>3117</v>
      </c>
      <c r="H863" s="1" t="s">
        <v>1228</v>
      </c>
      <c r="I863" s="1" t="s">
        <v>403</v>
      </c>
      <c r="J863" s="1" t="s">
        <v>2728</v>
      </c>
      <c r="K863" s="1" t="s">
        <v>2729</v>
      </c>
      <c r="L863" s="1" t="s">
        <v>3130</v>
      </c>
      <c r="M863" s="1">
        <v>10000</v>
      </c>
      <c r="N863" s="1">
        <v>1</v>
      </c>
      <c r="O863" s="1" t="str">
        <f t="shared" si="68"/>
        <v>"PMK_5A_Gas_Mask": 1,</v>
      </c>
      <c r="P863" s="1" t="str">
        <f t="shared" si="69"/>
        <v>"PMK_5A_Gas_Mask": 8,</v>
      </c>
      <c r="Q863" s="1" t="str">
        <f t="shared" si="70"/>
        <v>"PMK_5A_Gas_Mask": 10000,</v>
      </c>
      <c r="R863" s="1" t="str">
        <f t="shared" si="71"/>
        <v>"PMK_5A_Gas_Mask": 3,</v>
      </c>
    </row>
    <row r="864" spans="1:18" ht="15" customHeight="1" x14ac:dyDescent="0.25">
      <c r="A864" s="1" t="str">
        <f t="shared" si="72"/>
        <v>#tc_clothes#tc_civil#tc_head</v>
      </c>
      <c r="B864" s="1">
        <f>VLOOKUP(A864,TraderCategory!$A$63:$E$556,2,FALSE)</f>
        <v>0</v>
      </c>
      <c r="C864" s="1">
        <f>VLOOKUP(A864,TraderCategory!$A$63:$F$556,6,FALSE)</f>
        <v>0</v>
      </c>
      <c r="D864" s="1" t="str">
        <f>VLOOKUP(C864,Tabulka5[],3,FALSE)</f>
        <v>Private</v>
      </c>
      <c r="E864" s="1">
        <v>3</v>
      </c>
      <c r="F864" s="1" t="str">
        <f>VLOOKUP(E864,Tabulka5[],3,FALSE)</f>
        <v>Sergeant</v>
      </c>
      <c r="G864" s="1" t="s">
        <v>3117</v>
      </c>
      <c r="H864" s="1" t="s">
        <v>1229</v>
      </c>
      <c r="I864" s="1" t="s">
        <v>403</v>
      </c>
      <c r="J864" s="1" t="s">
        <v>2728</v>
      </c>
      <c r="K864" s="1" t="s">
        <v>3126</v>
      </c>
      <c r="L864" s="1" t="s">
        <v>3130</v>
      </c>
      <c r="M864" s="1">
        <v>1200</v>
      </c>
      <c r="N864" s="1">
        <v>1</v>
      </c>
      <c r="O864" s="1" t="str">
        <f t="shared" si="68"/>
        <v>"Poncho_Red_Checkered": 1,</v>
      </c>
      <c r="P864" s="1" t="str">
        <f t="shared" si="69"/>
        <v>"Poncho_Red_Checkered": 0,</v>
      </c>
      <c r="Q864" s="1" t="str">
        <f t="shared" si="70"/>
        <v>"Poncho_Red_Checkered": 1200,</v>
      </c>
      <c r="R864" s="1" t="str">
        <f t="shared" si="71"/>
        <v>"Poncho_Red_Checkered": 3,</v>
      </c>
    </row>
    <row r="865" spans="1:18" ht="15" customHeight="1" x14ac:dyDescent="0.25">
      <c r="A865" s="1" t="str">
        <f t="shared" si="72"/>
        <v>#tc_clothes#tc_civil#tc_head</v>
      </c>
      <c r="B865" s="1">
        <f>VLOOKUP(A865,TraderCategory!$A$63:$E$556,2,FALSE)</f>
        <v>0</v>
      </c>
      <c r="C865" s="1">
        <f>VLOOKUP(A865,TraderCategory!$A$63:$F$556,6,FALSE)</f>
        <v>0</v>
      </c>
      <c r="D865" s="1" t="str">
        <f>VLOOKUP(C865,Tabulka5[],3,FALSE)</f>
        <v>Private</v>
      </c>
      <c r="E865" s="1">
        <v>3</v>
      </c>
      <c r="F865" s="1" t="str">
        <f>VLOOKUP(E865,Tabulka5[],3,FALSE)</f>
        <v>Sergeant</v>
      </c>
      <c r="G865" s="1" t="s">
        <v>3117</v>
      </c>
      <c r="H865" s="1" t="s">
        <v>1230</v>
      </c>
      <c r="I865" s="1" t="s">
        <v>403</v>
      </c>
      <c r="J865" s="1" t="s">
        <v>2728</v>
      </c>
      <c r="K865" s="1" t="s">
        <v>3126</v>
      </c>
      <c r="L865" s="1" t="s">
        <v>3130</v>
      </c>
      <c r="M865" s="1">
        <v>1200</v>
      </c>
      <c r="N865" s="1">
        <v>1</v>
      </c>
      <c r="O865" s="1" t="str">
        <f t="shared" si="68"/>
        <v>"Poncho_Blue_Checkered": 1,</v>
      </c>
      <c r="P865" s="1" t="str">
        <f t="shared" si="69"/>
        <v>"Poncho_Blue_Checkered": 0,</v>
      </c>
      <c r="Q865" s="1" t="str">
        <f t="shared" si="70"/>
        <v>"Poncho_Blue_Checkered": 1200,</v>
      </c>
      <c r="R865" s="1" t="str">
        <f t="shared" si="71"/>
        <v>"Poncho_Blue_Checkered": 3,</v>
      </c>
    </row>
    <row r="866" spans="1:18" ht="15" customHeight="1" x14ac:dyDescent="0.25">
      <c r="A866" s="1" t="str">
        <f t="shared" si="72"/>
        <v>#tc_clothes#tc_civil#tc_head</v>
      </c>
      <c r="B866" s="1">
        <f>VLOOKUP(A866,TraderCategory!$A$63:$E$556,2,FALSE)</f>
        <v>0</v>
      </c>
      <c r="C866" s="1">
        <f>VLOOKUP(A866,TraderCategory!$A$63:$F$556,6,FALSE)</f>
        <v>0</v>
      </c>
      <c r="D866" s="1" t="str">
        <f>VLOOKUP(C866,Tabulka5[],3,FALSE)</f>
        <v>Private</v>
      </c>
      <c r="E866" s="1">
        <v>3</v>
      </c>
      <c r="F866" s="1" t="str">
        <f>VLOOKUP(E866,Tabulka5[],3,FALSE)</f>
        <v>Sergeant</v>
      </c>
      <c r="G866" s="1" t="s">
        <v>3117</v>
      </c>
      <c r="H866" s="1" t="s">
        <v>1231</v>
      </c>
      <c r="I866" s="1" t="s">
        <v>403</v>
      </c>
      <c r="J866" s="1" t="s">
        <v>2728</v>
      </c>
      <c r="K866" s="1" t="s">
        <v>3126</v>
      </c>
      <c r="L866" s="1" t="s">
        <v>3130</v>
      </c>
      <c r="M866" s="1">
        <v>1200</v>
      </c>
      <c r="N866" s="1">
        <v>1</v>
      </c>
      <c r="O866" s="1" t="str">
        <f t="shared" si="68"/>
        <v>"Poncho_Yellow_Checkered": 1,</v>
      </c>
      <c r="P866" s="1" t="str">
        <f t="shared" si="69"/>
        <v>"Poncho_Yellow_Checkered": 0,</v>
      </c>
      <c r="Q866" s="1" t="str">
        <f t="shared" si="70"/>
        <v>"Poncho_Yellow_Checkered": 1200,</v>
      </c>
      <c r="R866" s="1" t="str">
        <f t="shared" si="71"/>
        <v>"Poncho_Yellow_Checkered": 3,</v>
      </c>
    </row>
    <row r="867" spans="1:18" ht="15" customHeight="1" x14ac:dyDescent="0.25">
      <c r="A867" s="1" t="str">
        <f t="shared" si="72"/>
        <v>#tc_clothes#tc_civil#tc_head</v>
      </c>
      <c r="B867" s="1">
        <f>VLOOKUP(A867,TraderCategory!$A$63:$E$556,2,FALSE)</f>
        <v>0</v>
      </c>
      <c r="C867" s="1">
        <f>VLOOKUP(A867,TraderCategory!$A$63:$F$556,6,FALSE)</f>
        <v>0</v>
      </c>
      <c r="D867" s="1" t="str">
        <f>VLOOKUP(C867,Tabulka5[],3,FALSE)</f>
        <v>Private</v>
      </c>
      <c r="E867" s="1">
        <v>3</v>
      </c>
      <c r="F867" s="1" t="str">
        <f>VLOOKUP(E867,Tabulka5[],3,FALSE)</f>
        <v>Sergeant</v>
      </c>
      <c r="G867" s="1" t="s">
        <v>3117</v>
      </c>
      <c r="H867" s="1" t="s">
        <v>1232</v>
      </c>
      <c r="I867" s="1" t="s">
        <v>403</v>
      </c>
      <c r="J867" s="1" t="s">
        <v>2728</v>
      </c>
      <c r="K867" s="1" t="s">
        <v>3126</v>
      </c>
      <c r="L867" s="1" t="s">
        <v>3130</v>
      </c>
      <c r="M867" s="1">
        <v>1200</v>
      </c>
      <c r="N867" s="1">
        <v>1</v>
      </c>
      <c r="O867" s="1" t="str">
        <f t="shared" si="68"/>
        <v>"Poncho_Brown": 1,</v>
      </c>
      <c r="P867" s="1" t="str">
        <f t="shared" si="69"/>
        <v>"Poncho_Brown": 0,</v>
      </c>
      <c r="Q867" s="1" t="str">
        <f t="shared" si="70"/>
        <v>"Poncho_Brown": 1200,</v>
      </c>
      <c r="R867" s="1" t="str">
        <f t="shared" si="71"/>
        <v>"Poncho_Brown": 3,</v>
      </c>
    </row>
    <row r="868" spans="1:18" ht="15" customHeight="1" x14ac:dyDescent="0.25">
      <c r="A868" s="1" t="str">
        <f t="shared" si="72"/>
        <v>#tc_clothes#tc_civil#tc_head</v>
      </c>
      <c r="B868" s="1">
        <f>VLOOKUP(A868,TraderCategory!$A$63:$E$556,2,FALSE)</f>
        <v>0</v>
      </c>
      <c r="C868" s="1">
        <f>VLOOKUP(A868,TraderCategory!$A$63:$F$556,6,FALSE)</f>
        <v>0</v>
      </c>
      <c r="D868" s="1" t="str">
        <f>VLOOKUP(C868,Tabulka5[],3,FALSE)</f>
        <v>Private</v>
      </c>
      <c r="E868" s="1">
        <v>3</v>
      </c>
      <c r="F868" s="1" t="str">
        <f>VLOOKUP(E868,Tabulka5[],3,FALSE)</f>
        <v>Sergeant</v>
      </c>
      <c r="G868" s="1" t="s">
        <v>3117</v>
      </c>
      <c r="H868" s="1" t="s">
        <v>1233</v>
      </c>
      <c r="I868" s="1" t="s">
        <v>403</v>
      </c>
      <c r="J868" s="1" t="s">
        <v>2728</v>
      </c>
      <c r="K868" s="1" t="s">
        <v>3126</v>
      </c>
      <c r="L868" s="1" t="s">
        <v>3130</v>
      </c>
      <c r="M868" s="1">
        <v>1200</v>
      </c>
      <c r="N868" s="1">
        <v>1</v>
      </c>
      <c r="O868" s="1" t="str">
        <f t="shared" si="68"/>
        <v>"Poncho_Green": 1,</v>
      </c>
      <c r="P868" s="1" t="str">
        <f t="shared" si="69"/>
        <v>"Poncho_Green": 0,</v>
      </c>
      <c r="Q868" s="1" t="str">
        <f t="shared" si="70"/>
        <v>"Poncho_Green": 1200,</v>
      </c>
      <c r="R868" s="1" t="str">
        <f t="shared" si="71"/>
        <v>"Poncho_Green": 3,</v>
      </c>
    </row>
    <row r="869" spans="1:18" ht="15" customHeight="1" x14ac:dyDescent="0.25">
      <c r="A869" s="1" t="str">
        <f t="shared" si="72"/>
        <v>#tc_clothes#tc_civil#tc_head</v>
      </c>
      <c r="B869" s="1">
        <f>VLOOKUP(A869,TraderCategory!$A$63:$E$556,2,FALSE)</f>
        <v>0</v>
      </c>
      <c r="C869" s="1">
        <f>VLOOKUP(A869,TraderCategory!$A$63:$F$556,6,FALSE)</f>
        <v>0</v>
      </c>
      <c r="D869" s="1" t="str">
        <f>VLOOKUP(C869,Tabulka5[],3,FALSE)</f>
        <v>Private</v>
      </c>
      <c r="E869" s="1">
        <v>3</v>
      </c>
      <c r="F869" s="1" t="str">
        <f>VLOOKUP(E869,Tabulka5[],3,FALSE)</f>
        <v>Sergeant</v>
      </c>
      <c r="G869" s="1" t="s">
        <v>3117</v>
      </c>
      <c r="H869" s="1" t="s">
        <v>1234</v>
      </c>
      <c r="I869" s="1" t="s">
        <v>403</v>
      </c>
      <c r="J869" s="1" t="s">
        <v>2728</v>
      </c>
      <c r="K869" s="1" t="s">
        <v>3126</v>
      </c>
      <c r="L869" s="1" t="s">
        <v>3130</v>
      </c>
      <c r="M869" s="1">
        <v>1200</v>
      </c>
      <c r="N869" s="1">
        <v>1</v>
      </c>
      <c r="O869" s="1" t="str">
        <f t="shared" si="68"/>
        <v>"Poncho_White": 1,</v>
      </c>
      <c r="P869" s="1" t="str">
        <f t="shared" si="69"/>
        <v>"Poncho_White": 0,</v>
      </c>
      <c r="Q869" s="1" t="str">
        <f t="shared" si="70"/>
        <v>"Poncho_White": 1200,</v>
      </c>
      <c r="R869" s="1" t="str">
        <f t="shared" si="71"/>
        <v>"Poncho_White": 3,</v>
      </c>
    </row>
    <row r="870" spans="1:18" ht="15" customHeight="1" x14ac:dyDescent="0.25">
      <c r="A870" s="1" t="str">
        <f t="shared" si="72"/>
        <v>#tc_clothes#tc_civil#tc_head</v>
      </c>
      <c r="B870" s="1">
        <f>VLOOKUP(A870,TraderCategory!$A$63:$E$556,2,FALSE)</f>
        <v>0</v>
      </c>
      <c r="C870" s="1">
        <f>VLOOKUP(A870,TraderCategory!$A$63:$F$556,6,FALSE)</f>
        <v>0</v>
      </c>
      <c r="D870" s="1" t="str">
        <f>VLOOKUP(C870,Tabulka5[],3,FALSE)</f>
        <v>Private</v>
      </c>
      <c r="E870" s="1">
        <v>3</v>
      </c>
      <c r="F870" s="1" t="str">
        <f>VLOOKUP(E870,Tabulka5[],3,FALSE)</f>
        <v>Sergeant</v>
      </c>
      <c r="G870" s="1" t="s">
        <v>3117</v>
      </c>
      <c r="H870" s="1" t="s">
        <v>1235</v>
      </c>
      <c r="I870" s="1" t="s">
        <v>403</v>
      </c>
      <c r="J870" s="1" t="s">
        <v>2728</v>
      </c>
      <c r="K870" s="1" t="s">
        <v>3126</v>
      </c>
      <c r="L870" s="1" t="s">
        <v>3130</v>
      </c>
      <c r="M870" s="1">
        <v>1200</v>
      </c>
      <c r="N870" s="1">
        <v>1</v>
      </c>
      <c r="O870" s="1" t="str">
        <f t="shared" si="68"/>
        <v>"Poncho_Red": 1,</v>
      </c>
      <c r="P870" s="1" t="str">
        <f t="shared" si="69"/>
        <v>"Poncho_Red": 0,</v>
      </c>
      <c r="Q870" s="1" t="str">
        <f t="shared" si="70"/>
        <v>"Poncho_Red": 1200,</v>
      </c>
      <c r="R870" s="1" t="str">
        <f t="shared" si="71"/>
        <v>"Poncho_Red": 3,</v>
      </c>
    </row>
    <row r="871" spans="1:18" ht="15" customHeight="1" x14ac:dyDescent="0.25">
      <c r="A871" s="1" t="str">
        <f t="shared" si="72"/>
        <v>#tc_clothes#tc_civil#tc_head</v>
      </c>
      <c r="B871" s="1">
        <f>VLOOKUP(A871,TraderCategory!$A$63:$E$556,2,FALSE)</f>
        <v>0</v>
      </c>
      <c r="C871" s="1">
        <f>VLOOKUP(A871,TraderCategory!$A$63:$F$556,6,FALSE)</f>
        <v>0</v>
      </c>
      <c r="D871" s="1" t="str">
        <f>VLOOKUP(C871,Tabulka5[],3,FALSE)</f>
        <v>Private</v>
      </c>
      <c r="E871" s="1">
        <v>3</v>
      </c>
      <c r="F871" s="1" t="str">
        <f>VLOOKUP(E871,Tabulka5[],3,FALSE)</f>
        <v>Sergeant</v>
      </c>
      <c r="G871" s="1" t="s">
        <v>3117</v>
      </c>
      <c r="H871" s="1" t="s">
        <v>1236</v>
      </c>
      <c r="I871" s="1" t="s">
        <v>403</v>
      </c>
      <c r="J871" s="1" t="s">
        <v>2728</v>
      </c>
      <c r="K871" s="1" t="s">
        <v>3126</v>
      </c>
      <c r="L871" s="1" t="s">
        <v>3130</v>
      </c>
      <c r="M871" s="1">
        <v>1200</v>
      </c>
      <c r="N871" s="1">
        <v>1</v>
      </c>
      <c r="O871" s="1" t="str">
        <f t="shared" si="68"/>
        <v>"Poncho_Black": 1,</v>
      </c>
      <c r="P871" s="1" t="str">
        <f t="shared" si="69"/>
        <v>"Poncho_Black": 0,</v>
      </c>
      <c r="Q871" s="1" t="str">
        <f t="shared" si="70"/>
        <v>"Poncho_Black": 1200,</v>
      </c>
      <c r="R871" s="1" t="str">
        <f t="shared" si="71"/>
        <v>"Poncho_Black": 3,</v>
      </c>
    </row>
    <row r="872" spans="1:18" ht="15" customHeight="1" x14ac:dyDescent="0.25">
      <c r="A872" s="1" t="str">
        <f t="shared" si="72"/>
        <v>#tc_clothes#tc_civil#tc_head</v>
      </c>
      <c r="B872" s="1">
        <f>VLOOKUP(A872,TraderCategory!$A$63:$E$556,2,FALSE)</f>
        <v>0</v>
      </c>
      <c r="C872" s="1">
        <f>VLOOKUP(A872,TraderCategory!$A$63:$F$556,6,FALSE)</f>
        <v>0</v>
      </c>
      <c r="D872" s="1" t="str">
        <f>VLOOKUP(C872,Tabulka5[],3,FALSE)</f>
        <v>Private</v>
      </c>
      <c r="E872" s="1">
        <v>3</v>
      </c>
      <c r="F872" s="1" t="str">
        <f>VLOOKUP(E872,Tabulka5[],3,FALSE)</f>
        <v>Sergeant</v>
      </c>
      <c r="G872" s="1" t="s">
        <v>3117</v>
      </c>
      <c r="H872" s="1" t="s">
        <v>1237</v>
      </c>
      <c r="I872" s="1" t="s">
        <v>403</v>
      </c>
      <c r="J872" s="1" t="s">
        <v>2728</v>
      </c>
      <c r="K872" s="1" t="s">
        <v>3126</v>
      </c>
      <c r="L872" s="1" t="s">
        <v>3130</v>
      </c>
      <c r="M872" s="1">
        <v>1200</v>
      </c>
      <c r="N872" s="1">
        <v>1</v>
      </c>
      <c r="O872" s="1" t="str">
        <f t="shared" si="68"/>
        <v>"Poncho_BlackAndWhite": 1,</v>
      </c>
      <c r="P872" s="1" t="str">
        <f t="shared" si="69"/>
        <v>"Poncho_BlackAndWhite": 0,</v>
      </c>
      <c r="Q872" s="1" t="str">
        <f t="shared" si="70"/>
        <v>"Poncho_BlackAndWhite": 1200,</v>
      </c>
      <c r="R872" s="1" t="str">
        <f t="shared" si="71"/>
        <v>"Poncho_BlackAndWhite": 3,</v>
      </c>
    </row>
    <row r="873" spans="1:18" ht="15" customHeight="1" x14ac:dyDescent="0.25">
      <c r="A873" s="1" t="str">
        <f t="shared" si="72"/>
        <v>#tc_clothes#tc_civil#tc_head</v>
      </c>
      <c r="B873" s="1">
        <f>VLOOKUP(A873,TraderCategory!$A$63:$E$556,2,FALSE)</f>
        <v>0</v>
      </c>
      <c r="C873" s="1">
        <f>VLOOKUP(A873,TraderCategory!$A$63:$F$556,6,FALSE)</f>
        <v>0</v>
      </c>
      <c r="D873" s="1" t="str">
        <f>VLOOKUP(C873,Tabulka5[],3,FALSE)</f>
        <v>Private</v>
      </c>
      <c r="E873" s="1">
        <v>3</v>
      </c>
      <c r="F873" s="1" t="str">
        <f>VLOOKUP(E873,Tabulka5[],3,FALSE)</f>
        <v>Sergeant</v>
      </c>
      <c r="G873" s="1" t="s">
        <v>3117</v>
      </c>
      <c r="H873" s="1" t="s">
        <v>1238</v>
      </c>
      <c r="I873" s="1" t="s">
        <v>403</v>
      </c>
      <c r="J873" s="1" t="s">
        <v>2728</v>
      </c>
      <c r="K873" s="1" t="s">
        <v>3126</v>
      </c>
      <c r="L873" s="1" t="s">
        <v>3130</v>
      </c>
      <c r="M873" s="1">
        <v>1200</v>
      </c>
      <c r="N873" s="1">
        <v>1</v>
      </c>
      <c r="O873" s="1" t="str">
        <f t="shared" si="68"/>
        <v>"Poncho_BlackAndWhite2": 1,</v>
      </c>
      <c r="P873" s="1" t="str">
        <f t="shared" si="69"/>
        <v>"Poncho_BlackAndWhite2": 0,</v>
      </c>
      <c r="Q873" s="1" t="str">
        <f t="shared" si="70"/>
        <v>"Poncho_BlackAndWhite2": 1200,</v>
      </c>
      <c r="R873" s="1" t="str">
        <f t="shared" si="71"/>
        <v>"Poncho_BlackAndWhite2": 3,</v>
      </c>
    </row>
    <row r="874" spans="1:18" ht="15" customHeight="1" x14ac:dyDescent="0.25">
      <c r="A874" s="1" t="str">
        <f t="shared" si="72"/>
        <v>#tc_clothes#tc_civil#tc_head</v>
      </c>
      <c r="B874" s="1">
        <f>VLOOKUP(A874,TraderCategory!$A$63:$E$556,2,FALSE)</f>
        <v>0</v>
      </c>
      <c r="C874" s="1">
        <f>VLOOKUP(A874,TraderCategory!$A$63:$F$556,6,FALSE)</f>
        <v>0</v>
      </c>
      <c r="D874" s="1" t="str">
        <f>VLOOKUP(C874,Tabulka5[],3,FALSE)</f>
        <v>Private</v>
      </c>
      <c r="E874" s="1">
        <v>0</v>
      </c>
      <c r="F874" s="1" t="str">
        <f>VLOOKUP(E874,Tabulka5[],3,FALSE)</f>
        <v>Private</v>
      </c>
      <c r="G874" s="1" t="s">
        <v>3117</v>
      </c>
      <c r="H874" s="1" t="s">
        <v>1239</v>
      </c>
      <c r="I874" s="1" t="s">
        <v>403</v>
      </c>
      <c r="J874" s="1" t="s">
        <v>2728</v>
      </c>
      <c r="K874" s="1" t="s">
        <v>3126</v>
      </c>
      <c r="L874" s="1" t="s">
        <v>3130</v>
      </c>
      <c r="M874" s="1">
        <v>600</v>
      </c>
      <c r="N874" s="1">
        <v>1</v>
      </c>
      <c r="O874" s="1" t="str">
        <f t="shared" si="68"/>
        <v>"Fingerless_Gloves": 1,</v>
      </c>
      <c r="P874" s="1" t="str">
        <f t="shared" si="69"/>
        <v>"Fingerless_Gloves": 0,</v>
      </c>
      <c r="Q874" s="1" t="str">
        <f t="shared" si="70"/>
        <v>"Fingerless_Gloves": 600,</v>
      </c>
      <c r="R874" s="1" t="str">
        <f t="shared" si="71"/>
        <v>"Fingerless_Gloves": 0,</v>
      </c>
    </row>
    <row r="875" spans="1:18" ht="15" customHeight="1" x14ac:dyDescent="0.25">
      <c r="A875" s="1" t="str">
        <f t="shared" si="72"/>
        <v>#tc_clothes#tc_civil#tc_tops</v>
      </c>
      <c r="B875" s="1">
        <f>VLOOKUP(A875,TraderCategory!$A$63:$E$556,2,FALSE)</f>
        <v>1</v>
      </c>
      <c r="C875" s="1">
        <f>VLOOKUP(A875,TraderCategory!$A$63:$F$556,6,FALSE)</f>
        <v>0</v>
      </c>
      <c r="D875" s="1" t="str">
        <f>VLOOKUP(C875,Tabulka5[],3,FALSE)</f>
        <v>Private</v>
      </c>
      <c r="E875" s="1">
        <v>0</v>
      </c>
      <c r="F875" s="1" t="str">
        <f>VLOOKUP(E875,Tabulka5[],3,FALSE)</f>
        <v>Private</v>
      </c>
      <c r="G875" s="1" t="s">
        <v>3117</v>
      </c>
      <c r="H875" s="1" t="s">
        <v>1240</v>
      </c>
      <c r="I875" s="1" t="s">
        <v>403</v>
      </c>
      <c r="J875" s="1" t="s">
        <v>2728</v>
      </c>
      <c r="K875" s="1" t="s">
        <v>3126</v>
      </c>
      <c r="L875" s="1" t="s">
        <v>3131</v>
      </c>
      <c r="M875" s="1">
        <v>2000</v>
      </c>
      <c r="N875" s="1">
        <v>1</v>
      </c>
      <c r="O875" s="1" t="str">
        <f t="shared" si="68"/>
        <v>"Military_Sweater": 1,</v>
      </c>
      <c r="P875" s="1" t="str">
        <f t="shared" si="69"/>
        <v>"Military_Sweater": 1,</v>
      </c>
      <c r="Q875" s="1" t="str">
        <f t="shared" si="70"/>
        <v>"Military_Sweater": 2000,</v>
      </c>
      <c r="R875" s="1" t="str">
        <f t="shared" si="71"/>
        <v>"Military_Sweater": 0,</v>
      </c>
    </row>
    <row r="876" spans="1:18" ht="15" customHeight="1" x14ac:dyDescent="0.25">
      <c r="A876" s="1" t="str">
        <f t="shared" si="72"/>
        <v>#tc_clothes#tc_civil#tc_tops</v>
      </c>
      <c r="B876" s="1">
        <f>VLOOKUP(A876,TraderCategory!$A$63:$E$556,2,FALSE)</f>
        <v>1</v>
      </c>
      <c r="C876" s="1">
        <f>VLOOKUP(A876,TraderCategory!$A$63:$F$556,6,FALSE)</f>
        <v>0</v>
      </c>
      <c r="D876" s="1" t="str">
        <f>VLOOKUP(C876,Tabulka5[],3,FALSE)</f>
        <v>Private</v>
      </c>
      <c r="E876" s="1">
        <v>0</v>
      </c>
      <c r="F876" s="1" t="str">
        <f>VLOOKUP(E876,Tabulka5[],3,FALSE)</f>
        <v>Private</v>
      </c>
      <c r="G876" s="1" t="s">
        <v>3117</v>
      </c>
      <c r="H876" s="1" t="s">
        <v>1241</v>
      </c>
      <c r="I876" s="1" t="s">
        <v>403</v>
      </c>
      <c r="J876" s="1" t="s">
        <v>2728</v>
      </c>
      <c r="K876" s="1" t="s">
        <v>3126</v>
      </c>
      <c r="L876" s="1" t="s">
        <v>3131</v>
      </c>
      <c r="M876" s="1">
        <v>2000</v>
      </c>
      <c r="N876" s="1">
        <v>1</v>
      </c>
      <c r="O876" s="1" t="str">
        <f t="shared" si="68"/>
        <v>"Military_Sweater_Red": 1,</v>
      </c>
      <c r="P876" s="1" t="str">
        <f t="shared" si="69"/>
        <v>"Military_Sweater_Red": 1,</v>
      </c>
      <c r="Q876" s="1" t="str">
        <f t="shared" si="70"/>
        <v>"Military_Sweater_Red": 2000,</v>
      </c>
      <c r="R876" s="1" t="str">
        <f t="shared" si="71"/>
        <v>"Military_Sweater_Red": 0,</v>
      </c>
    </row>
    <row r="877" spans="1:18" ht="15" customHeight="1" x14ac:dyDescent="0.25">
      <c r="A877" s="1" t="str">
        <f t="shared" si="72"/>
        <v>#tc_clothes#tc_civil#tc_tops</v>
      </c>
      <c r="B877" s="1">
        <f>VLOOKUP(A877,TraderCategory!$A$63:$E$556,2,FALSE)</f>
        <v>1</v>
      </c>
      <c r="C877" s="1">
        <f>VLOOKUP(A877,TraderCategory!$A$63:$F$556,6,FALSE)</f>
        <v>0</v>
      </c>
      <c r="D877" s="1" t="str">
        <f>VLOOKUP(C877,Tabulka5[],3,FALSE)</f>
        <v>Private</v>
      </c>
      <c r="E877" s="1">
        <v>0</v>
      </c>
      <c r="F877" s="1" t="str">
        <f>VLOOKUP(E877,Tabulka5[],3,FALSE)</f>
        <v>Private</v>
      </c>
      <c r="G877" s="1" t="s">
        <v>3117</v>
      </c>
      <c r="H877" s="1" t="s">
        <v>1242</v>
      </c>
      <c r="I877" s="1" t="s">
        <v>403</v>
      </c>
      <c r="J877" s="1" t="s">
        <v>2728</v>
      </c>
      <c r="K877" s="1" t="s">
        <v>3126</v>
      </c>
      <c r="L877" s="1" t="s">
        <v>3131</v>
      </c>
      <c r="M877" s="1">
        <v>2000</v>
      </c>
      <c r="N877" s="1">
        <v>1</v>
      </c>
      <c r="O877" s="1" t="str">
        <f t="shared" si="68"/>
        <v>"Military_Sweater_Blue": 1,</v>
      </c>
      <c r="P877" s="1" t="str">
        <f t="shared" si="69"/>
        <v>"Military_Sweater_Blue": 1,</v>
      </c>
      <c r="Q877" s="1" t="str">
        <f t="shared" si="70"/>
        <v>"Military_Sweater_Blue": 2000,</v>
      </c>
      <c r="R877" s="1" t="str">
        <f t="shared" si="71"/>
        <v>"Military_Sweater_Blue": 0,</v>
      </c>
    </row>
    <row r="878" spans="1:18" ht="15" customHeight="1" x14ac:dyDescent="0.25">
      <c r="A878" s="1" t="str">
        <f t="shared" si="72"/>
        <v>#tc_clothes#tc_civil#tc_tops</v>
      </c>
      <c r="B878" s="1">
        <f>VLOOKUP(A878,TraderCategory!$A$63:$E$556,2,FALSE)</f>
        <v>1</v>
      </c>
      <c r="C878" s="1">
        <f>VLOOKUP(A878,TraderCategory!$A$63:$F$556,6,FALSE)</f>
        <v>0</v>
      </c>
      <c r="D878" s="1" t="str">
        <f>VLOOKUP(C878,Tabulka5[],3,FALSE)</f>
        <v>Private</v>
      </c>
      <c r="E878" s="1">
        <v>0</v>
      </c>
      <c r="F878" s="1" t="str">
        <f>VLOOKUP(E878,Tabulka5[],3,FALSE)</f>
        <v>Private</v>
      </c>
      <c r="G878" s="1" t="s">
        <v>3117</v>
      </c>
      <c r="H878" s="1" t="s">
        <v>1243</v>
      </c>
      <c r="I878" s="1" t="s">
        <v>403</v>
      </c>
      <c r="J878" s="1" t="s">
        <v>2728</v>
      </c>
      <c r="K878" s="1" t="s">
        <v>3126</v>
      </c>
      <c r="L878" s="1" t="s">
        <v>3131</v>
      </c>
      <c r="M878" s="1">
        <v>2000</v>
      </c>
      <c r="N878" s="1">
        <v>1</v>
      </c>
      <c r="O878" s="1" t="str">
        <f t="shared" si="68"/>
        <v>"Military_Sweater_Green": 1,</v>
      </c>
      <c r="P878" s="1" t="str">
        <f t="shared" si="69"/>
        <v>"Military_Sweater_Green": 1,</v>
      </c>
      <c r="Q878" s="1" t="str">
        <f t="shared" si="70"/>
        <v>"Military_Sweater_Green": 2000,</v>
      </c>
      <c r="R878" s="1" t="str">
        <f t="shared" si="71"/>
        <v>"Military_Sweater_Green": 0,</v>
      </c>
    </row>
    <row r="879" spans="1:18" ht="15" customHeight="1" x14ac:dyDescent="0.25">
      <c r="A879" s="1" t="str">
        <f t="shared" si="72"/>
        <v>#tc_clothes#tc_civil#tc_tops</v>
      </c>
      <c r="B879" s="1">
        <f>VLOOKUP(A879,TraderCategory!$A$63:$E$556,2,FALSE)</f>
        <v>1</v>
      </c>
      <c r="C879" s="1">
        <f>VLOOKUP(A879,TraderCategory!$A$63:$F$556,6,FALSE)</f>
        <v>0</v>
      </c>
      <c r="D879" s="1" t="str">
        <f>VLOOKUP(C879,Tabulka5[],3,FALSE)</f>
        <v>Private</v>
      </c>
      <c r="E879" s="1">
        <v>0</v>
      </c>
      <c r="F879" s="1" t="str">
        <f>VLOOKUP(E879,Tabulka5[],3,FALSE)</f>
        <v>Private</v>
      </c>
      <c r="G879" s="1" t="s">
        <v>3117</v>
      </c>
      <c r="H879" s="1" t="s">
        <v>1244</v>
      </c>
      <c r="I879" s="1" t="s">
        <v>403</v>
      </c>
      <c r="J879" s="1" t="s">
        <v>2728</v>
      </c>
      <c r="K879" s="1" t="s">
        <v>3126</v>
      </c>
      <c r="L879" s="1" t="s">
        <v>3131</v>
      </c>
      <c r="M879" s="1">
        <v>2000</v>
      </c>
      <c r="N879" s="1">
        <v>1</v>
      </c>
      <c r="O879" s="1" t="str">
        <f t="shared" si="68"/>
        <v>"Military_Sweater_Black": 1,</v>
      </c>
      <c r="P879" s="1" t="str">
        <f t="shared" si="69"/>
        <v>"Military_Sweater_Black": 1,</v>
      </c>
      <c r="Q879" s="1" t="str">
        <f t="shared" si="70"/>
        <v>"Military_Sweater_Black": 2000,</v>
      </c>
      <c r="R879" s="1" t="str">
        <f t="shared" si="71"/>
        <v>"Military_Sweater_Black": 0,</v>
      </c>
    </row>
    <row r="880" spans="1:18" ht="15" customHeight="1" x14ac:dyDescent="0.25">
      <c r="A880" s="1" t="str">
        <f t="shared" si="72"/>
        <v>#tc_clothes#tc_civil#tc_tops</v>
      </c>
      <c r="B880" s="1">
        <f>VLOOKUP(A880,TraderCategory!$A$63:$E$556,2,FALSE)</f>
        <v>1</v>
      </c>
      <c r="C880" s="1">
        <f>VLOOKUP(A880,TraderCategory!$A$63:$F$556,6,FALSE)</f>
        <v>0</v>
      </c>
      <c r="D880" s="1" t="str">
        <f>VLOOKUP(C880,Tabulka5[],3,FALSE)</f>
        <v>Private</v>
      </c>
      <c r="E880" s="1">
        <v>0</v>
      </c>
      <c r="F880" s="1" t="str">
        <f>VLOOKUP(E880,Tabulka5[],3,FALSE)</f>
        <v>Private</v>
      </c>
      <c r="G880" s="1" t="s">
        <v>3117</v>
      </c>
      <c r="H880" s="1" t="s">
        <v>1245</v>
      </c>
      <c r="I880" s="1" t="s">
        <v>403</v>
      </c>
      <c r="J880" s="1" t="s">
        <v>2728</v>
      </c>
      <c r="K880" s="1" t="s">
        <v>3126</v>
      </c>
      <c r="L880" s="1" t="s">
        <v>3131</v>
      </c>
      <c r="M880" s="1">
        <v>2000</v>
      </c>
      <c r="N880" s="1">
        <v>1</v>
      </c>
      <c r="O880" s="1" t="str">
        <f t="shared" si="68"/>
        <v>"Military_Sweater_White": 1,</v>
      </c>
      <c r="P880" s="1" t="str">
        <f t="shared" si="69"/>
        <v>"Military_Sweater_White": 1,</v>
      </c>
      <c r="Q880" s="1" t="str">
        <f t="shared" si="70"/>
        <v>"Military_Sweater_White": 2000,</v>
      </c>
      <c r="R880" s="1" t="str">
        <f t="shared" si="71"/>
        <v>"Military_Sweater_White": 0,</v>
      </c>
    </row>
    <row r="881" spans="1:18" ht="15" customHeight="1" x14ac:dyDescent="0.25">
      <c r="A881" s="1" t="str">
        <f t="shared" si="72"/>
        <v>#tc_clothes#tc_civil#tc_boots</v>
      </c>
      <c r="B881" s="1">
        <f>VLOOKUP(A881,TraderCategory!$A$63:$E$556,2,FALSE)</f>
        <v>5</v>
      </c>
      <c r="C881" s="1">
        <f>VLOOKUP(A881,TraderCategory!$A$63:$F$556,6,FALSE)</f>
        <v>0</v>
      </c>
      <c r="D881" s="1" t="str">
        <f>VLOOKUP(C881,Tabulka5[],3,FALSE)</f>
        <v>Private</v>
      </c>
      <c r="E881" s="1">
        <v>3</v>
      </c>
      <c r="F881" s="1" t="str">
        <f>VLOOKUP(E881,Tabulka5[],3,FALSE)</f>
        <v>Sergeant</v>
      </c>
      <c r="G881" s="1" t="s">
        <v>3117</v>
      </c>
      <c r="H881" s="1" t="s">
        <v>1246</v>
      </c>
      <c r="I881" s="1" t="s">
        <v>403</v>
      </c>
      <c r="J881" s="1" t="s">
        <v>2728</v>
      </c>
      <c r="K881" s="1" t="s">
        <v>3126</v>
      </c>
      <c r="L881" s="1" t="s">
        <v>3134</v>
      </c>
      <c r="M881" s="1">
        <v>2000</v>
      </c>
      <c r="N881" s="1">
        <v>1</v>
      </c>
      <c r="O881" s="1" t="str">
        <f t="shared" si="68"/>
        <v>"High_Knee_Sneakers": 1,</v>
      </c>
      <c r="P881" s="1" t="str">
        <f t="shared" si="69"/>
        <v>"High_Knee_Sneakers": 5,</v>
      </c>
      <c r="Q881" s="1" t="str">
        <f t="shared" si="70"/>
        <v>"High_Knee_Sneakers": 2000,</v>
      </c>
      <c r="R881" s="1" t="str">
        <f t="shared" si="71"/>
        <v>"High_Knee_Sneakers": 3,</v>
      </c>
    </row>
    <row r="882" spans="1:18" ht="15" customHeight="1" x14ac:dyDescent="0.25">
      <c r="A882" s="1" t="str">
        <f t="shared" si="72"/>
        <v>#tc_clothes#tc_civil#tc_head</v>
      </c>
      <c r="B882" s="1">
        <f>VLOOKUP(A882,TraderCategory!$A$63:$E$556,2,FALSE)</f>
        <v>0</v>
      </c>
      <c r="C882" s="1">
        <f>VLOOKUP(A882,TraderCategory!$A$63:$F$556,6,FALSE)</f>
        <v>0</v>
      </c>
      <c r="D882" s="1" t="str">
        <f>VLOOKUP(C882,Tabulka5[],3,FALSE)</f>
        <v>Private</v>
      </c>
      <c r="E882" s="1">
        <v>0</v>
      </c>
      <c r="F882" s="1" t="str">
        <f>VLOOKUP(E882,Tabulka5[],3,FALSE)</f>
        <v>Private</v>
      </c>
      <c r="G882" s="1" t="s">
        <v>3117</v>
      </c>
      <c r="H882" s="1" t="s">
        <v>1247</v>
      </c>
      <c r="I882" s="1" t="s">
        <v>403</v>
      </c>
      <c r="J882" s="1" t="s">
        <v>2728</v>
      </c>
      <c r="K882" s="1" t="s">
        <v>3126</v>
      </c>
      <c r="L882" s="1" t="s">
        <v>3130</v>
      </c>
      <c r="M882" s="1">
        <v>1200</v>
      </c>
      <c r="N882" s="1">
        <v>1</v>
      </c>
      <c r="O882" s="1" t="str">
        <f t="shared" si="68"/>
        <v>"Shemagh_Brown": 1,</v>
      </c>
      <c r="P882" s="1" t="str">
        <f t="shared" si="69"/>
        <v>"Shemagh_Brown": 0,</v>
      </c>
      <c r="Q882" s="1" t="str">
        <f t="shared" si="70"/>
        <v>"Shemagh_Brown": 1200,</v>
      </c>
      <c r="R882" s="1" t="str">
        <f t="shared" si="71"/>
        <v>"Shemagh_Brown": 0,</v>
      </c>
    </row>
    <row r="883" spans="1:18" ht="15" customHeight="1" x14ac:dyDescent="0.25">
      <c r="A883" s="1" t="str">
        <f t="shared" si="72"/>
        <v>#tc_clothes#tc_civil#tc_head</v>
      </c>
      <c r="B883" s="1">
        <f>VLOOKUP(A883,TraderCategory!$A$63:$E$556,2,FALSE)</f>
        <v>0</v>
      </c>
      <c r="C883" s="1">
        <f>VLOOKUP(A883,TraderCategory!$A$63:$F$556,6,FALSE)</f>
        <v>0</v>
      </c>
      <c r="D883" s="1" t="str">
        <f>VLOOKUP(C883,Tabulka5[],3,FALSE)</f>
        <v>Private</v>
      </c>
      <c r="E883" s="1">
        <v>0</v>
      </c>
      <c r="F883" s="1" t="str">
        <f>VLOOKUP(E883,Tabulka5[],3,FALSE)</f>
        <v>Private</v>
      </c>
      <c r="G883" s="1" t="s">
        <v>3117</v>
      </c>
      <c r="H883" s="1" t="s">
        <v>1248</v>
      </c>
      <c r="I883" s="1" t="s">
        <v>403</v>
      </c>
      <c r="J883" s="1" t="s">
        <v>2728</v>
      </c>
      <c r="K883" s="1" t="s">
        <v>3126</v>
      </c>
      <c r="L883" s="1" t="s">
        <v>3130</v>
      </c>
      <c r="M883" s="1">
        <v>1200</v>
      </c>
      <c r="N883" s="1">
        <v>1</v>
      </c>
      <c r="O883" s="1" t="str">
        <f t="shared" si="68"/>
        <v>"Shemagh_Green": 1,</v>
      </c>
      <c r="P883" s="1" t="str">
        <f t="shared" si="69"/>
        <v>"Shemagh_Green": 0,</v>
      </c>
      <c r="Q883" s="1" t="str">
        <f t="shared" si="70"/>
        <v>"Shemagh_Green": 1200,</v>
      </c>
      <c r="R883" s="1" t="str">
        <f t="shared" si="71"/>
        <v>"Shemagh_Green": 0,</v>
      </c>
    </row>
    <row r="884" spans="1:18" ht="15" customHeight="1" x14ac:dyDescent="0.25">
      <c r="A884" s="1" t="str">
        <f t="shared" si="72"/>
        <v>#tc_clothes#tc_civil#tc_head</v>
      </c>
      <c r="B884" s="1">
        <f>VLOOKUP(A884,TraderCategory!$A$63:$E$556,2,FALSE)</f>
        <v>0</v>
      </c>
      <c r="C884" s="1">
        <f>VLOOKUP(A884,TraderCategory!$A$63:$F$556,6,FALSE)</f>
        <v>0</v>
      </c>
      <c r="D884" s="1" t="str">
        <f>VLOOKUP(C884,Tabulka5[],3,FALSE)</f>
        <v>Private</v>
      </c>
      <c r="E884" s="1">
        <v>0</v>
      </c>
      <c r="F884" s="1" t="str">
        <f>VLOOKUP(E884,Tabulka5[],3,FALSE)</f>
        <v>Private</v>
      </c>
      <c r="G884" s="1" t="s">
        <v>3117</v>
      </c>
      <c r="H884" s="1" t="s">
        <v>1249</v>
      </c>
      <c r="I884" s="1" t="s">
        <v>403</v>
      </c>
      <c r="J884" s="1" t="s">
        <v>2728</v>
      </c>
      <c r="K884" s="1" t="s">
        <v>3126</v>
      </c>
      <c r="L884" s="1" t="s">
        <v>3130</v>
      </c>
      <c r="M884" s="1">
        <v>1200</v>
      </c>
      <c r="N884" s="1">
        <v>1</v>
      </c>
      <c r="O884" s="1" t="str">
        <f t="shared" si="68"/>
        <v>"Shemagh_Red": 1,</v>
      </c>
      <c r="P884" s="1" t="str">
        <f t="shared" si="69"/>
        <v>"Shemagh_Red": 0,</v>
      </c>
      <c r="Q884" s="1" t="str">
        <f t="shared" si="70"/>
        <v>"Shemagh_Red": 1200,</v>
      </c>
      <c r="R884" s="1" t="str">
        <f t="shared" si="71"/>
        <v>"Shemagh_Red": 0,</v>
      </c>
    </row>
    <row r="885" spans="1:18" ht="15" customHeight="1" x14ac:dyDescent="0.25">
      <c r="A885" s="1" t="str">
        <f t="shared" si="72"/>
        <v>#tc_clothes#tc_civil#tc_head</v>
      </c>
      <c r="B885" s="1">
        <f>VLOOKUP(A885,TraderCategory!$A$63:$E$556,2,FALSE)</f>
        <v>0</v>
      </c>
      <c r="C885" s="1">
        <f>VLOOKUP(A885,TraderCategory!$A$63:$F$556,6,FALSE)</f>
        <v>0</v>
      </c>
      <c r="D885" s="1" t="str">
        <f>VLOOKUP(C885,Tabulka5[],3,FALSE)</f>
        <v>Private</v>
      </c>
      <c r="E885" s="1">
        <v>0</v>
      </c>
      <c r="F885" s="1" t="str">
        <f>VLOOKUP(E885,Tabulka5[],3,FALSE)</f>
        <v>Private</v>
      </c>
      <c r="G885" s="1" t="s">
        <v>3117</v>
      </c>
      <c r="H885" s="1" t="s">
        <v>1250</v>
      </c>
      <c r="I885" s="1" t="s">
        <v>403</v>
      </c>
      <c r="J885" s="1" t="s">
        <v>2728</v>
      </c>
      <c r="K885" s="1" t="s">
        <v>3126</v>
      </c>
      <c r="L885" s="1" t="s">
        <v>3130</v>
      </c>
      <c r="M885" s="1">
        <v>1200</v>
      </c>
      <c r="N885" s="1">
        <v>1</v>
      </c>
      <c r="O885" s="1" t="str">
        <f t="shared" si="68"/>
        <v>"Shemagh_White": 1,</v>
      </c>
      <c r="P885" s="1" t="str">
        <f t="shared" si="69"/>
        <v>"Shemagh_White": 0,</v>
      </c>
      <c r="Q885" s="1" t="str">
        <f t="shared" si="70"/>
        <v>"Shemagh_White": 1200,</v>
      </c>
      <c r="R885" s="1" t="str">
        <f t="shared" si="71"/>
        <v>"Shemagh_White": 0,</v>
      </c>
    </row>
    <row r="886" spans="1:18" ht="15" customHeight="1" x14ac:dyDescent="0.25">
      <c r="A886" s="1" t="str">
        <f t="shared" si="72"/>
        <v>#tc_clothes#tc_civil#tc_tops</v>
      </c>
      <c r="B886" s="1">
        <f>VLOOKUP(A886,TraderCategory!$A$63:$E$556,2,FALSE)</f>
        <v>1</v>
      </c>
      <c r="C886" s="1">
        <f>VLOOKUP(A886,TraderCategory!$A$63:$F$556,6,FALSE)</f>
        <v>0</v>
      </c>
      <c r="D886" s="1" t="str">
        <f>VLOOKUP(C886,Tabulka5[],3,FALSE)</f>
        <v>Private</v>
      </c>
      <c r="E886" s="1">
        <v>0</v>
      </c>
      <c r="F886" s="1" t="str">
        <f>VLOOKUP(E886,Tabulka5[],3,FALSE)</f>
        <v>Private</v>
      </c>
      <c r="G886" s="1" t="s">
        <v>3117</v>
      </c>
      <c r="H886" s="1" t="s">
        <v>1251</v>
      </c>
      <c r="I886" s="1" t="s">
        <v>403</v>
      </c>
      <c r="J886" s="1" t="s">
        <v>2728</v>
      </c>
      <c r="K886" s="1" t="s">
        <v>3126</v>
      </c>
      <c r="L886" s="1" t="s">
        <v>3131</v>
      </c>
      <c r="M886" s="1">
        <v>2000</v>
      </c>
      <c r="N886" s="1">
        <v>1</v>
      </c>
      <c r="O886" s="1" t="str">
        <f t="shared" si="68"/>
        <v>"Layered_Shirt_Base": 1,</v>
      </c>
      <c r="P886" s="1" t="str">
        <f t="shared" si="69"/>
        <v>"Layered_Shirt_Base": 1,</v>
      </c>
      <c r="Q886" s="1" t="str">
        <f t="shared" si="70"/>
        <v>"Layered_Shirt_Base": 2000,</v>
      </c>
      <c r="R886" s="1" t="str">
        <f t="shared" si="71"/>
        <v>"Layered_Shirt_Base": 0,</v>
      </c>
    </row>
    <row r="887" spans="1:18" ht="15" customHeight="1" x14ac:dyDescent="0.25">
      <c r="A887" s="1" t="str">
        <f t="shared" si="72"/>
        <v>#tc_clothes#tc_civil#tc_tops</v>
      </c>
      <c r="B887" s="1">
        <f>VLOOKUP(A887,TraderCategory!$A$63:$E$556,2,FALSE)</f>
        <v>1</v>
      </c>
      <c r="C887" s="1">
        <f>VLOOKUP(A887,TraderCategory!$A$63:$F$556,6,FALSE)</f>
        <v>0</v>
      </c>
      <c r="D887" s="1" t="str">
        <f>VLOOKUP(C887,Tabulka5[],3,FALSE)</f>
        <v>Private</v>
      </c>
      <c r="E887" s="1">
        <v>0</v>
      </c>
      <c r="F887" s="1" t="str">
        <f>VLOOKUP(E887,Tabulka5[],3,FALSE)</f>
        <v>Private</v>
      </c>
      <c r="G887" s="1" t="s">
        <v>3117</v>
      </c>
      <c r="H887" s="1" t="s">
        <v>1252</v>
      </c>
      <c r="I887" s="1" t="s">
        <v>403</v>
      </c>
      <c r="J887" s="1" t="s">
        <v>2728</v>
      </c>
      <c r="K887" s="1" t="s">
        <v>3126</v>
      </c>
      <c r="L887" s="1" t="s">
        <v>3131</v>
      </c>
      <c r="M887" s="1">
        <v>2000</v>
      </c>
      <c r="N887" s="1">
        <v>1</v>
      </c>
      <c r="O887" s="1" t="str">
        <f t="shared" si="68"/>
        <v>"Layered_Shirt_White": 1,</v>
      </c>
      <c r="P887" s="1" t="str">
        <f t="shared" si="69"/>
        <v>"Layered_Shirt_White": 1,</v>
      </c>
      <c r="Q887" s="1" t="str">
        <f t="shared" si="70"/>
        <v>"Layered_Shirt_White": 2000,</v>
      </c>
      <c r="R887" s="1" t="str">
        <f t="shared" si="71"/>
        <v>"Layered_Shirt_White": 0,</v>
      </c>
    </row>
    <row r="888" spans="1:18" ht="15" customHeight="1" x14ac:dyDescent="0.25">
      <c r="A888" s="1" t="str">
        <f t="shared" si="72"/>
        <v>#tc_clothes#tc_civil#tc_tops</v>
      </c>
      <c r="B888" s="1">
        <f>VLOOKUP(A888,TraderCategory!$A$63:$E$556,2,FALSE)</f>
        <v>1</v>
      </c>
      <c r="C888" s="1">
        <f>VLOOKUP(A888,TraderCategory!$A$63:$F$556,6,FALSE)</f>
        <v>0</v>
      </c>
      <c r="D888" s="1" t="str">
        <f>VLOOKUP(C888,Tabulka5[],3,FALSE)</f>
        <v>Private</v>
      </c>
      <c r="E888" s="1">
        <v>0</v>
      </c>
      <c r="F888" s="1" t="str">
        <f>VLOOKUP(E888,Tabulka5[],3,FALSE)</f>
        <v>Private</v>
      </c>
      <c r="G888" s="1" t="s">
        <v>3117</v>
      </c>
      <c r="H888" s="1" t="s">
        <v>1253</v>
      </c>
      <c r="I888" s="1" t="s">
        <v>403</v>
      </c>
      <c r="J888" s="1" t="s">
        <v>2728</v>
      </c>
      <c r="K888" s="1" t="s">
        <v>3126</v>
      </c>
      <c r="L888" s="1" t="s">
        <v>3131</v>
      </c>
      <c r="M888" s="1">
        <v>2000</v>
      </c>
      <c r="N888" s="1">
        <v>1</v>
      </c>
      <c r="O888" s="1" t="str">
        <f t="shared" si="68"/>
        <v>"Layered_Shirt_Cheburashka": 1,</v>
      </c>
      <c r="P888" s="1" t="str">
        <f t="shared" si="69"/>
        <v>"Layered_Shirt_Cheburashka": 1,</v>
      </c>
      <c r="Q888" s="1" t="str">
        <f t="shared" si="70"/>
        <v>"Layered_Shirt_Cheburashka": 2000,</v>
      </c>
      <c r="R888" s="1" t="str">
        <f t="shared" si="71"/>
        <v>"Layered_Shirt_Cheburashka": 0,</v>
      </c>
    </row>
    <row r="889" spans="1:18" ht="15" customHeight="1" x14ac:dyDescent="0.25">
      <c r="A889" s="1" t="str">
        <f t="shared" si="72"/>
        <v>#tc_clothes#tc_civil#tc_bags</v>
      </c>
      <c r="B889" s="1">
        <f>VLOOKUP(A889,TraderCategory!$A$63:$E$556,2,FALSE)</f>
        <v>7</v>
      </c>
      <c r="C889" s="1">
        <f>VLOOKUP(A889,TraderCategory!$A$63:$F$556,6,FALSE)</f>
        <v>0</v>
      </c>
      <c r="D889" s="1" t="str">
        <f>VLOOKUP(C889,Tabulka5[],3,FALSE)</f>
        <v>Private</v>
      </c>
      <c r="E889" s="1">
        <v>0</v>
      </c>
      <c r="F889" s="1" t="str">
        <f>VLOOKUP(E889,Tabulka5[],3,FALSE)</f>
        <v>Private</v>
      </c>
      <c r="G889" s="1" t="s">
        <v>3117</v>
      </c>
      <c r="H889" s="1" t="s">
        <v>3022</v>
      </c>
      <c r="I889" s="1" t="s">
        <v>363</v>
      </c>
      <c r="J889" s="1" t="s">
        <v>2728</v>
      </c>
      <c r="K889" s="1" t="s">
        <v>3126</v>
      </c>
      <c r="L889" s="1" t="s">
        <v>3138</v>
      </c>
      <c r="M889" s="1">
        <v>4000</v>
      </c>
      <c r="N889" s="1">
        <v>1</v>
      </c>
      <c r="O889" s="1" t="str">
        <f t="shared" si="68"/>
        <v>"Canvas_Backpack_Base": 1,</v>
      </c>
      <c r="P889" s="1" t="str">
        <f t="shared" si="69"/>
        <v>"Canvas_Backpack_Base": 7,</v>
      </c>
      <c r="Q889" s="1" t="str">
        <f t="shared" si="70"/>
        <v>"Canvas_Backpack_Base": 4000,</v>
      </c>
      <c r="R889" s="1" t="str">
        <f t="shared" si="71"/>
        <v>"Canvas_Backpack_Base": 0,</v>
      </c>
    </row>
    <row r="890" spans="1:18" ht="15" customHeight="1" x14ac:dyDescent="0.25">
      <c r="A890" s="1" t="str">
        <f t="shared" si="72"/>
        <v>#tc_clothes#tc_civil#tc_bags</v>
      </c>
      <c r="B890" s="1">
        <f>VLOOKUP(A890,TraderCategory!$A$63:$E$556,2,FALSE)</f>
        <v>7</v>
      </c>
      <c r="C890" s="1">
        <f>VLOOKUP(A890,TraderCategory!$A$63:$F$556,6,FALSE)</f>
        <v>0</v>
      </c>
      <c r="D890" s="1" t="str">
        <f>VLOOKUP(C890,Tabulka5[],3,FALSE)</f>
        <v>Private</v>
      </c>
      <c r="E890" s="1">
        <v>0</v>
      </c>
      <c r="F890" s="1" t="str">
        <f>VLOOKUP(E890,Tabulka5[],3,FALSE)</f>
        <v>Private</v>
      </c>
      <c r="G890" s="1" t="s">
        <v>3117</v>
      </c>
      <c r="H890" s="1" t="s">
        <v>3023</v>
      </c>
      <c r="I890" s="1" t="s">
        <v>363</v>
      </c>
      <c r="J890" s="1" t="s">
        <v>2728</v>
      </c>
      <c r="K890" s="1" t="s">
        <v>3126</v>
      </c>
      <c r="L890" s="1" t="s">
        <v>3138</v>
      </c>
      <c r="M890" s="1">
        <v>4000</v>
      </c>
      <c r="N890" s="1">
        <v>1</v>
      </c>
      <c r="O890" s="1" t="str">
        <f t="shared" si="68"/>
        <v>"Canvas_Backpack_Black": 1,</v>
      </c>
      <c r="P890" s="1" t="str">
        <f t="shared" si="69"/>
        <v>"Canvas_Backpack_Black": 7,</v>
      </c>
      <c r="Q890" s="1" t="str">
        <f t="shared" si="70"/>
        <v>"Canvas_Backpack_Black": 4000,</v>
      </c>
      <c r="R890" s="1" t="str">
        <f t="shared" si="71"/>
        <v>"Canvas_Backpack_Black": 0,</v>
      </c>
    </row>
    <row r="891" spans="1:18" ht="15" customHeight="1" x14ac:dyDescent="0.25">
      <c r="A891" s="1" t="str">
        <f t="shared" si="72"/>
        <v>#tc_clothes#tc_civil#tc_bags</v>
      </c>
      <c r="B891" s="1">
        <f>VLOOKUP(A891,TraderCategory!$A$63:$E$556,2,FALSE)</f>
        <v>7</v>
      </c>
      <c r="C891" s="1">
        <f>VLOOKUP(A891,TraderCategory!$A$63:$F$556,6,FALSE)</f>
        <v>0</v>
      </c>
      <c r="D891" s="1" t="str">
        <f>VLOOKUP(C891,Tabulka5[],3,FALSE)</f>
        <v>Private</v>
      </c>
      <c r="E891" s="1">
        <v>0</v>
      </c>
      <c r="F891" s="1" t="str">
        <f>VLOOKUP(E891,Tabulka5[],3,FALSE)</f>
        <v>Private</v>
      </c>
      <c r="G891" s="1" t="s">
        <v>3117</v>
      </c>
      <c r="H891" s="1" t="s">
        <v>3024</v>
      </c>
      <c r="I891" s="1" t="s">
        <v>363</v>
      </c>
      <c r="J891" s="1" t="s">
        <v>2728</v>
      </c>
      <c r="K891" s="1" t="s">
        <v>3126</v>
      </c>
      <c r="L891" s="1" t="s">
        <v>3138</v>
      </c>
      <c r="M891" s="1">
        <v>4000</v>
      </c>
      <c r="N891" s="1">
        <v>1</v>
      </c>
      <c r="O891" s="1" t="str">
        <f t="shared" si="68"/>
        <v>"Canvas_Backpack_White": 1,</v>
      </c>
      <c r="P891" s="1" t="str">
        <f t="shared" si="69"/>
        <v>"Canvas_Backpack_White": 7,</v>
      </c>
      <c r="Q891" s="1" t="str">
        <f t="shared" si="70"/>
        <v>"Canvas_Backpack_White": 4000,</v>
      </c>
      <c r="R891" s="1" t="str">
        <f t="shared" si="71"/>
        <v>"Canvas_Backpack_White": 0,</v>
      </c>
    </row>
    <row r="892" spans="1:18" ht="15" customHeight="1" x14ac:dyDescent="0.25">
      <c r="A892" s="1" t="str">
        <f t="shared" si="72"/>
        <v>#tc_clothes#tc_civil#tc_bags</v>
      </c>
      <c r="B892" s="1">
        <f>VLOOKUP(A892,TraderCategory!$A$63:$E$556,2,FALSE)</f>
        <v>7</v>
      </c>
      <c r="C892" s="1">
        <f>VLOOKUP(A892,TraderCategory!$A$63:$F$556,6,FALSE)</f>
        <v>0</v>
      </c>
      <c r="D892" s="1" t="str">
        <f>VLOOKUP(C892,Tabulka5[],3,FALSE)</f>
        <v>Private</v>
      </c>
      <c r="E892" s="1">
        <v>0</v>
      </c>
      <c r="F892" s="1" t="str">
        <f>VLOOKUP(E892,Tabulka5[],3,FALSE)</f>
        <v>Private</v>
      </c>
      <c r="G892" s="1" t="s">
        <v>3117</v>
      </c>
      <c r="H892" s="1" t="s">
        <v>3025</v>
      </c>
      <c r="I892" s="1" t="s">
        <v>363</v>
      </c>
      <c r="J892" s="1" t="s">
        <v>2728</v>
      </c>
      <c r="K892" s="1" t="s">
        <v>3126</v>
      </c>
      <c r="L892" s="1" t="s">
        <v>3138</v>
      </c>
      <c r="M892" s="1">
        <v>4000</v>
      </c>
      <c r="N892" s="1">
        <v>1</v>
      </c>
      <c r="O892" s="1" t="str">
        <f t="shared" si="68"/>
        <v>"Canvas_Backpack_Red": 1,</v>
      </c>
      <c r="P892" s="1" t="str">
        <f t="shared" si="69"/>
        <v>"Canvas_Backpack_Red": 7,</v>
      </c>
      <c r="Q892" s="1" t="str">
        <f t="shared" si="70"/>
        <v>"Canvas_Backpack_Red": 4000,</v>
      </c>
      <c r="R892" s="1" t="str">
        <f t="shared" si="71"/>
        <v>"Canvas_Backpack_Red": 0,</v>
      </c>
    </row>
    <row r="893" spans="1:18" ht="15" customHeight="1" x14ac:dyDescent="0.25">
      <c r="A893" s="1" t="str">
        <f t="shared" si="72"/>
        <v>#tc_clothes#tc_civil#tc_bags</v>
      </c>
      <c r="B893" s="1">
        <f>VLOOKUP(A893,TraderCategory!$A$63:$E$556,2,FALSE)</f>
        <v>7</v>
      </c>
      <c r="C893" s="1">
        <f>VLOOKUP(A893,TraderCategory!$A$63:$F$556,6,FALSE)</f>
        <v>0</v>
      </c>
      <c r="D893" s="1" t="str">
        <f>VLOOKUP(C893,Tabulka5[],3,FALSE)</f>
        <v>Private</v>
      </c>
      <c r="E893" s="1">
        <v>0</v>
      </c>
      <c r="F893" s="1" t="str">
        <f>VLOOKUP(E893,Tabulka5[],3,FALSE)</f>
        <v>Private</v>
      </c>
      <c r="G893" s="1" t="s">
        <v>3117</v>
      </c>
      <c r="H893" s="1" t="s">
        <v>3026</v>
      </c>
      <c r="I893" s="1" t="s">
        <v>363</v>
      </c>
      <c r="J893" s="1" t="s">
        <v>2728</v>
      </c>
      <c r="K893" s="1" t="s">
        <v>3126</v>
      </c>
      <c r="L893" s="1" t="s">
        <v>3138</v>
      </c>
      <c r="M893" s="1">
        <v>4000</v>
      </c>
      <c r="N893" s="1">
        <v>1</v>
      </c>
      <c r="O893" s="1" t="str">
        <f t="shared" si="68"/>
        <v>"Canvas_Backpack_Blue": 1,</v>
      </c>
      <c r="P893" s="1" t="str">
        <f t="shared" si="69"/>
        <v>"Canvas_Backpack_Blue": 7,</v>
      </c>
      <c r="Q893" s="1" t="str">
        <f t="shared" si="70"/>
        <v>"Canvas_Backpack_Blue": 4000,</v>
      </c>
      <c r="R893" s="1" t="str">
        <f t="shared" si="71"/>
        <v>"Canvas_Backpack_Blue": 0,</v>
      </c>
    </row>
    <row r="894" spans="1:18" ht="15" customHeight="1" x14ac:dyDescent="0.25">
      <c r="A894" s="1" t="str">
        <f t="shared" si="72"/>
        <v>#tc_clothes#tc_civil#tc_bags</v>
      </c>
      <c r="B894" s="1">
        <f>VLOOKUP(A894,TraderCategory!$A$63:$E$556,2,FALSE)</f>
        <v>7</v>
      </c>
      <c r="C894" s="1">
        <f>VLOOKUP(A894,TraderCategory!$A$63:$F$556,6,FALSE)</f>
        <v>0</v>
      </c>
      <c r="D894" s="1" t="str">
        <f>VLOOKUP(C894,Tabulka5[],3,FALSE)</f>
        <v>Private</v>
      </c>
      <c r="E894" s="1">
        <v>0</v>
      </c>
      <c r="F894" s="1" t="str">
        <f>VLOOKUP(E894,Tabulka5[],3,FALSE)</f>
        <v>Private</v>
      </c>
      <c r="G894" s="1" t="s">
        <v>3117</v>
      </c>
      <c r="H894" s="1" t="s">
        <v>3027</v>
      </c>
      <c r="I894" s="1" t="s">
        <v>363</v>
      </c>
      <c r="J894" s="1" t="s">
        <v>2728</v>
      </c>
      <c r="K894" s="1" t="s">
        <v>3126</v>
      </c>
      <c r="L894" s="1" t="s">
        <v>3138</v>
      </c>
      <c r="M894" s="1">
        <v>4000</v>
      </c>
      <c r="N894" s="1">
        <v>1</v>
      </c>
      <c r="O894" s="1" t="str">
        <f t="shared" si="68"/>
        <v>"Canvas_Backpack_Purple": 1,</v>
      </c>
      <c r="P894" s="1" t="str">
        <f t="shared" si="69"/>
        <v>"Canvas_Backpack_Purple": 7,</v>
      </c>
      <c r="Q894" s="1" t="str">
        <f t="shared" si="70"/>
        <v>"Canvas_Backpack_Purple": 4000,</v>
      </c>
      <c r="R894" s="1" t="str">
        <f t="shared" si="71"/>
        <v>"Canvas_Backpack_Purple": 0,</v>
      </c>
    </row>
    <row r="895" spans="1:18" ht="15" customHeight="1" x14ac:dyDescent="0.25">
      <c r="A895" s="1" t="str">
        <f t="shared" si="72"/>
        <v>#tc_groceries#tc_tools#tc_toys</v>
      </c>
      <c r="B895" s="1">
        <f>VLOOKUP(A895,TraderCategory!$A$63:$E$556,2,FALSE)</f>
        <v>35</v>
      </c>
      <c r="C895" s="1">
        <f>VLOOKUP(A895,TraderCategory!$A$63:$F$556,6,FALSE)</f>
        <v>0</v>
      </c>
      <c r="D895" s="1" t="str">
        <f>VLOOKUP(C895,Tabulka5[],3,FALSE)</f>
        <v>Private</v>
      </c>
      <c r="E895" s="1">
        <v>0</v>
      </c>
      <c r="F895" s="1" t="str">
        <f>VLOOKUP(E895,Tabulka5[],3,FALSE)</f>
        <v>Private</v>
      </c>
      <c r="G895" s="1" t="s">
        <v>3117</v>
      </c>
      <c r="H895" s="1" t="s">
        <v>3028</v>
      </c>
      <c r="I895" s="1" t="s">
        <v>363</v>
      </c>
      <c r="J895" s="1" t="s">
        <v>3127</v>
      </c>
      <c r="K895" s="1" t="s">
        <v>2740</v>
      </c>
      <c r="L895" s="1" t="s">
        <v>3128</v>
      </c>
      <c r="M895" s="1">
        <v>100</v>
      </c>
      <c r="N895" s="1">
        <v>1</v>
      </c>
      <c r="O895" s="1" t="str">
        <f t="shared" si="68"/>
        <v>"Golden_Winged_Pin": 1,</v>
      </c>
      <c r="P895" s="1" t="str">
        <f t="shared" si="69"/>
        <v>"Golden_Winged_Pin": 35,</v>
      </c>
      <c r="Q895" s="1" t="str">
        <f t="shared" si="70"/>
        <v>"Golden_Winged_Pin": 100,</v>
      </c>
      <c r="R895" s="1" t="str">
        <f t="shared" si="71"/>
        <v>"Golden_Winged_Pin": 0,</v>
      </c>
    </row>
    <row r="896" spans="1:18" ht="15" customHeight="1" x14ac:dyDescent="0.25">
      <c r="A896" s="1" t="str">
        <f t="shared" si="72"/>
        <v>#tc_groceries#tc_tools#tc_toys</v>
      </c>
      <c r="B896" s="1">
        <f>VLOOKUP(A896,TraderCategory!$A$63:$E$556,2,FALSE)</f>
        <v>35</v>
      </c>
      <c r="C896" s="1">
        <f>VLOOKUP(A896,TraderCategory!$A$63:$F$556,6,FALSE)</f>
        <v>0</v>
      </c>
      <c r="D896" s="1" t="str">
        <f>VLOOKUP(C896,Tabulka5[],3,FALSE)</f>
        <v>Private</v>
      </c>
      <c r="E896" s="1">
        <v>0</v>
      </c>
      <c r="F896" s="1" t="str">
        <f>VLOOKUP(E896,Tabulka5[],3,FALSE)</f>
        <v>Private</v>
      </c>
      <c r="G896" s="1" t="s">
        <v>3117</v>
      </c>
      <c r="H896" s="1" t="s">
        <v>3029</v>
      </c>
      <c r="I896" s="1" t="s">
        <v>363</v>
      </c>
      <c r="J896" s="1" t="s">
        <v>3127</v>
      </c>
      <c r="K896" s="1" t="s">
        <v>2740</v>
      </c>
      <c r="L896" s="1" t="s">
        <v>3128</v>
      </c>
      <c r="M896" s="1">
        <v>100</v>
      </c>
      <c r="N896" s="1">
        <v>1</v>
      </c>
      <c r="O896" s="1" t="str">
        <f t="shared" si="68"/>
        <v>"Button_Pin_Radioactive": 1,</v>
      </c>
      <c r="P896" s="1" t="str">
        <f t="shared" si="69"/>
        <v>"Button_Pin_Radioactive": 35,</v>
      </c>
      <c r="Q896" s="1" t="str">
        <f t="shared" si="70"/>
        <v>"Button_Pin_Radioactive": 100,</v>
      </c>
      <c r="R896" s="1" t="str">
        <f t="shared" si="71"/>
        <v>"Button_Pin_Radioactive": 0,</v>
      </c>
    </row>
    <row r="897" spans="1:18" ht="15" customHeight="1" x14ac:dyDescent="0.25">
      <c r="A897" s="1" t="str">
        <f t="shared" si="72"/>
        <v>#tc_groceries#tc_tools#tc_toys</v>
      </c>
      <c r="B897" s="1">
        <f>VLOOKUP(A897,TraderCategory!$A$63:$E$556,2,FALSE)</f>
        <v>35</v>
      </c>
      <c r="C897" s="1">
        <f>VLOOKUP(A897,TraderCategory!$A$63:$F$556,6,FALSE)</f>
        <v>0</v>
      </c>
      <c r="D897" s="1" t="str">
        <f>VLOOKUP(C897,Tabulka5[],3,FALSE)</f>
        <v>Private</v>
      </c>
      <c r="E897" s="1">
        <v>0</v>
      </c>
      <c r="F897" s="1" t="str">
        <f>VLOOKUP(E897,Tabulka5[],3,FALSE)</f>
        <v>Private</v>
      </c>
      <c r="G897" s="1" t="s">
        <v>3117</v>
      </c>
      <c r="H897" s="1" t="s">
        <v>3030</v>
      </c>
      <c r="I897" s="1" t="s">
        <v>363</v>
      </c>
      <c r="J897" s="1" t="s">
        <v>3127</v>
      </c>
      <c r="K897" s="1" t="s">
        <v>2740</v>
      </c>
      <c r="L897" s="1" t="s">
        <v>3128</v>
      </c>
      <c r="M897" s="1">
        <v>100</v>
      </c>
      <c r="N897" s="1">
        <v>1</v>
      </c>
      <c r="O897" s="1" t="str">
        <f t="shared" si="68"/>
        <v>"Button_Pin_Daisy": 1,</v>
      </c>
      <c r="P897" s="1" t="str">
        <f t="shared" si="69"/>
        <v>"Button_Pin_Daisy": 35,</v>
      </c>
      <c r="Q897" s="1" t="str">
        <f t="shared" si="70"/>
        <v>"Button_Pin_Daisy": 100,</v>
      </c>
      <c r="R897" s="1" t="str">
        <f t="shared" si="71"/>
        <v>"Button_Pin_Daisy": 0,</v>
      </c>
    </row>
    <row r="898" spans="1:18" ht="15" customHeight="1" x14ac:dyDescent="0.25">
      <c r="A898" s="1" t="str">
        <f t="shared" si="72"/>
        <v>#tc_groceries#tc_medic#tc_medicaments</v>
      </c>
      <c r="B898" s="1">
        <f>VLOOKUP(A898,TraderCategory!$A$63:$E$556,2,FALSE)</f>
        <v>24</v>
      </c>
      <c r="C898" s="1">
        <f>VLOOKUP(A898,TraderCategory!$A$63:$F$556,6,FALSE)</f>
        <v>6</v>
      </c>
      <c r="D898" s="1" t="str">
        <f>VLOOKUP(C898,Tabulka5[],3,FALSE)</f>
        <v>Master Sergeant</v>
      </c>
      <c r="E898" s="1">
        <v>10</v>
      </c>
      <c r="F898" s="1" t="str">
        <f>VLOOKUP(E898,Tabulka5[],3,FALSE)</f>
        <v>Second Lieutenant</v>
      </c>
      <c r="G898" s="1" t="s">
        <v>3120</v>
      </c>
      <c r="H898" s="1" t="s">
        <v>1254</v>
      </c>
      <c r="I898" s="1" t="s">
        <v>426</v>
      </c>
      <c r="J898" s="1" t="s">
        <v>3127</v>
      </c>
      <c r="K898" s="1" t="s">
        <v>2739</v>
      </c>
      <c r="L898" s="1" t="s">
        <v>3153</v>
      </c>
      <c r="M898" s="1">
        <v>4000</v>
      </c>
      <c r="N898" s="1">
        <v>1</v>
      </c>
      <c r="O898" s="1" t="str">
        <f t="shared" si="68"/>
        <v>"alp_radboxtablets": 1,</v>
      </c>
      <c r="P898" s="1" t="str">
        <f t="shared" si="69"/>
        <v>"alp_radboxtablets": 24,</v>
      </c>
      <c r="Q898" s="1" t="str">
        <f t="shared" si="70"/>
        <v>"alp_radboxtablets": 4000,</v>
      </c>
      <c r="R898" s="1" t="str">
        <f t="shared" si="71"/>
        <v>"alp_radboxtablets": 10,</v>
      </c>
    </row>
    <row r="899" spans="1:18" ht="15" customHeight="1" x14ac:dyDescent="0.25">
      <c r="A899" s="1" t="str">
        <f t="shared" si="72"/>
        <v>#tc_groceries#tc_medic#tc_tools</v>
      </c>
      <c r="B899" s="1">
        <f>VLOOKUP(A899,TraderCategory!$A$63:$E$556,2,FALSE)</f>
        <v>26</v>
      </c>
      <c r="C899" s="1">
        <f>VLOOKUP(A899,TraderCategory!$A$63:$F$556,6,FALSE)</f>
        <v>6</v>
      </c>
      <c r="D899" s="1" t="str">
        <f>VLOOKUP(C899,Tabulka5[],3,FALSE)</f>
        <v>Master Sergeant</v>
      </c>
      <c r="E899" s="1">
        <v>10</v>
      </c>
      <c r="F899" s="1" t="str">
        <f>VLOOKUP(E899,Tabulka5[],3,FALSE)</f>
        <v>Second Lieutenant</v>
      </c>
      <c r="G899" s="1" t="s">
        <v>3120</v>
      </c>
      <c r="H899" s="1" t="s">
        <v>1255</v>
      </c>
      <c r="I899" s="1" t="s">
        <v>426</v>
      </c>
      <c r="J899" s="1" t="s">
        <v>3127</v>
      </c>
      <c r="K899" s="1" t="s">
        <v>2739</v>
      </c>
      <c r="L899" s="1" t="s">
        <v>2740</v>
      </c>
      <c r="M899" s="1">
        <v>8000</v>
      </c>
      <c r="N899" s="1">
        <v>1</v>
      </c>
      <c r="O899" s="1" t="str">
        <f t="shared" ref="O899:O956" si="73">"""" &amp;H899 &amp; """: " &amp; N899 &amp; ","</f>
        <v>"alp_geiger_counter": 1,</v>
      </c>
      <c r="P899" s="1" t="str">
        <f t="shared" ref="P899:P956" si="74">"""" &amp;H899 &amp; """: " &amp; B899 &amp; ","</f>
        <v>"alp_geiger_counter": 26,</v>
      </c>
      <c r="Q899" s="1" t="str">
        <f t="shared" ref="Q899:Q956" si="75">"""" &amp;H899 &amp; """: " &amp; M899 &amp; ","</f>
        <v>"alp_geiger_counter": 8000,</v>
      </c>
      <c r="R899" s="1" t="str">
        <f t="shared" ref="R899:R956" si="76">"""" &amp;H899 &amp; """: " &amp; E899 &amp; ","</f>
        <v>"alp_geiger_counter": 10,</v>
      </c>
    </row>
    <row r="900" spans="1:18" ht="15" customHeight="1" x14ac:dyDescent="0.25">
      <c r="A900" s="1" t="str">
        <f t="shared" si="72"/>
        <v>#tc_clothes#tc_military#tc_tops</v>
      </c>
      <c r="B900" s="1">
        <f>VLOOKUP(A900,TraderCategory!$A$63:$E$556,2,FALSE)</f>
        <v>9</v>
      </c>
      <c r="C900" s="1">
        <f>VLOOKUP(A900,TraderCategory!$A$63:$F$556,6,FALSE)</f>
        <v>1</v>
      </c>
      <c r="D900" s="1" t="str">
        <f>VLOOKUP(C900,Tabulka5[],3,FALSE)</f>
        <v>Private First Class</v>
      </c>
      <c r="E900" s="1">
        <v>10</v>
      </c>
      <c r="F900" s="1" t="str">
        <f>VLOOKUP(E900,Tabulka5[],3,FALSE)</f>
        <v>Second Lieutenant</v>
      </c>
      <c r="G900" s="1" t="s">
        <v>3120</v>
      </c>
      <c r="H900" s="1" t="s">
        <v>1256</v>
      </c>
      <c r="I900" s="1" t="s">
        <v>403</v>
      </c>
      <c r="J900" s="1" t="s">
        <v>2728</v>
      </c>
      <c r="K900" s="1" t="s">
        <v>2729</v>
      </c>
      <c r="L900" s="1" t="s">
        <v>3131</v>
      </c>
      <c r="M900" s="1">
        <v>30000</v>
      </c>
      <c r="N900" s="1">
        <v>1</v>
      </c>
      <c r="O900" s="1" t="str">
        <f t="shared" si="73"/>
        <v>"alp_NBCJacketCamo": 1,</v>
      </c>
      <c r="P900" s="1" t="str">
        <f t="shared" si="74"/>
        <v>"alp_NBCJacketCamo": 9,</v>
      </c>
      <c r="Q900" s="1" t="str">
        <f t="shared" si="75"/>
        <v>"alp_NBCJacketCamo": 30000,</v>
      </c>
      <c r="R900" s="1" t="str">
        <f t="shared" si="76"/>
        <v>"alp_NBCJacketCamo": 10,</v>
      </c>
    </row>
    <row r="901" spans="1:18" ht="15" customHeight="1" x14ac:dyDescent="0.25">
      <c r="A901" s="1" t="str">
        <f t="shared" si="72"/>
        <v>#tc_clothes#tc_military#tc_pants</v>
      </c>
      <c r="B901" s="1">
        <f>VLOOKUP(A901,TraderCategory!$A$63:$E$556,2,FALSE)</f>
        <v>12</v>
      </c>
      <c r="C901" s="1">
        <f>VLOOKUP(A901,TraderCategory!$A$63:$F$556,6,FALSE)</f>
        <v>1</v>
      </c>
      <c r="D901" s="1" t="str">
        <f>VLOOKUP(C901,Tabulka5[],3,FALSE)</f>
        <v>Private First Class</v>
      </c>
      <c r="E901" s="1">
        <v>10</v>
      </c>
      <c r="F901" s="1" t="str">
        <f>VLOOKUP(E901,Tabulka5[],3,FALSE)</f>
        <v>Second Lieutenant</v>
      </c>
      <c r="G901" s="1" t="s">
        <v>3120</v>
      </c>
      <c r="H901" s="1" t="s">
        <v>1257</v>
      </c>
      <c r="I901" s="1" t="s">
        <v>403</v>
      </c>
      <c r="J901" s="1" t="s">
        <v>2728</v>
      </c>
      <c r="K901" s="1" t="s">
        <v>2729</v>
      </c>
      <c r="L901" s="1" t="s">
        <v>3133</v>
      </c>
      <c r="M901" s="1">
        <v>20000</v>
      </c>
      <c r="N901" s="1">
        <v>1</v>
      </c>
      <c r="O901" s="1" t="str">
        <f t="shared" si="73"/>
        <v>"alp_NBCPantsCamo": 1,</v>
      </c>
      <c r="P901" s="1" t="str">
        <f t="shared" si="74"/>
        <v>"alp_NBCPantsCamo": 12,</v>
      </c>
      <c r="Q901" s="1" t="str">
        <f t="shared" si="75"/>
        <v>"alp_NBCPantsCamo": 20000,</v>
      </c>
      <c r="R901" s="1" t="str">
        <f t="shared" si="76"/>
        <v>"alp_NBCPantsCamo": 10,</v>
      </c>
    </row>
    <row r="902" spans="1:18" ht="15" customHeight="1" x14ac:dyDescent="0.25">
      <c r="A902" s="1" t="str">
        <f t="shared" si="72"/>
        <v>#tc_clothes#tc_military#tc_head</v>
      </c>
      <c r="B902" s="1">
        <f>VLOOKUP(A902,TraderCategory!$A$63:$E$556,2,FALSE)</f>
        <v>8</v>
      </c>
      <c r="C902" s="1">
        <f>VLOOKUP(A902,TraderCategory!$A$63:$F$556,6,FALSE)</f>
        <v>1</v>
      </c>
      <c r="D902" s="1" t="str">
        <f>VLOOKUP(C902,Tabulka5[],3,FALSE)</f>
        <v>Private First Class</v>
      </c>
      <c r="E902" s="1">
        <v>10</v>
      </c>
      <c r="F902" s="1" t="str">
        <f>VLOOKUP(E902,Tabulka5[],3,FALSE)</f>
        <v>Second Lieutenant</v>
      </c>
      <c r="G902" s="1" t="s">
        <v>3120</v>
      </c>
      <c r="H902" s="1" t="s">
        <v>1258</v>
      </c>
      <c r="I902" s="1" t="s">
        <v>403</v>
      </c>
      <c r="J902" s="1" t="s">
        <v>2728</v>
      </c>
      <c r="K902" s="1" t="s">
        <v>2729</v>
      </c>
      <c r="L902" s="1" t="s">
        <v>3130</v>
      </c>
      <c r="M902" s="1">
        <v>7000</v>
      </c>
      <c r="N902" s="1">
        <v>1</v>
      </c>
      <c r="O902" s="1" t="str">
        <f t="shared" si="73"/>
        <v>"alp_NBCHoodCamo": 1,</v>
      </c>
      <c r="P902" s="1" t="str">
        <f t="shared" si="74"/>
        <v>"alp_NBCHoodCamo": 8,</v>
      </c>
      <c r="Q902" s="1" t="str">
        <f t="shared" si="75"/>
        <v>"alp_NBCHoodCamo": 7000,</v>
      </c>
      <c r="R902" s="1" t="str">
        <f t="shared" si="76"/>
        <v>"alp_NBCHoodCamo": 10,</v>
      </c>
    </row>
    <row r="903" spans="1:18" ht="15" customHeight="1" x14ac:dyDescent="0.25">
      <c r="A903" s="1" t="str">
        <f t="shared" si="72"/>
        <v>#tc_clothes#tc_military#tc_boots</v>
      </c>
      <c r="B903" s="1">
        <f>VLOOKUP(A903,TraderCategory!$A$63:$E$556,2,FALSE)</f>
        <v>13</v>
      </c>
      <c r="C903" s="1">
        <f>VLOOKUP(A903,TraderCategory!$A$63:$F$556,6,FALSE)</f>
        <v>1</v>
      </c>
      <c r="D903" s="1" t="str">
        <f>VLOOKUP(C903,Tabulka5[],3,FALSE)</f>
        <v>Private First Class</v>
      </c>
      <c r="E903" s="1">
        <v>10</v>
      </c>
      <c r="F903" s="1" t="str">
        <f>VLOOKUP(E903,Tabulka5[],3,FALSE)</f>
        <v>Second Lieutenant</v>
      </c>
      <c r="G903" s="1" t="s">
        <v>3120</v>
      </c>
      <c r="H903" s="1" t="s">
        <v>1259</v>
      </c>
      <c r="I903" s="1" t="s">
        <v>403</v>
      </c>
      <c r="J903" s="1" t="s">
        <v>2728</v>
      </c>
      <c r="K903" s="1" t="s">
        <v>2729</v>
      </c>
      <c r="L903" s="1" t="s">
        <v>3134</v>
      </c>
      <c r="M903" s="1">
        <v>7000</v>
      </c>
      <c r="N903" s="1">
        <v>1</v>
      </c>
      <c r="O903" s="1" t="str">
        <f t="shared" si="73"/>
        <v>"alp_NBCBootsCamo": 1,</v>
      </c>
      <c r="P903" s="1" t="str">
        <f t="shared" si="74"/>
        <v>"alp_NBCBootsCamo": 13,</v>
      </c>
      <c r="Q903" s="1" t="str">
        <f t="shared" si="75"/>
        <v>"alp_NBCBootsCamo": 7000,</v>
      </c>
      <c r="R903" s="1" t="str">
        <f t="shared" si="76"/>
        <v>"alp_NBCBootsCamo": 10,</v>
      </c>
    </row>
    <row r="904" spans="1:18" ht="15" customHeight="1" x14ac:dyDescent="0.25">
      <c r="A904" s="1" t="str">
        <f t="shared" si="72"/>
        <v>#tc_clothes#tc_military#tc_gloves</v>
      </c>
      <c r="B904" s="1">
        <f>VLOOKUP(A904,TraderCategory!$A$63:$E$556,2,FALSE)</f>
        <v>10</v>
      </c>
      <c r="C904" s="1">
        <f>VLOOKUP(A904,TraderCategory!$A$63:$F$556,6,FALSE)</f>
        <v>1</v>
      </c>
      <c r="D904" s="1" t="str">
        <f>VLOOKUP(C904,Tabulka5[],3,FALSE)</f>
        <v>Private First Class</v>
      </c>
      <c r="E904" s="1">
        <v>10</v>
      </c>
      <c r="F904" s="1" t="str">
        <f>VLOOKUP(E904,Tabulka5[],3,FALSE)</f>
        <v>Second Lieutenant</v>
      </c>
      <c r="G904" s="1" t="s">
        <v>3120</v>
      </c>
      <c r="H904" s="1" t="s">
        <v>1260</v>
      </c>
      <c r="I904" s="1" t="s">
        <v>403</v>
      </c>
      <c r="J904" s="1" t="s">
        <v>2728</v>
      </c>
      <c r="K904" s="1" t="s">
        <v>2729</v>
      </c>
      <c r="L904" s="1" t="s">
        <v>3132</v>
      </c>
      <c r="M904" s="1">
        <v>3000</v>
      </c>
      <c r="N904" s="1">
        <v>1</v>
      </c>
      <c r="O904" s="1" t="str">
        <f t="shared" si="73"/>
        <v>"alp_NBCGlovesCamo": 1,</v>
      </c>
      <c r="P904" s="1" t="str">
        <f t="shared" si="74"/>
        <v>"alp_NBCGlovesCamo": 10,</v>
      </c>
      <c r="Q904" s="1" t="str">
        <f t="shared" si="75"/>
        <v>"alp_NBCGlovesCamo": 3000,</v>
      </c>
      <c r="R904" s="1" t="str">
        <f t="shared" si="76"/>
        <v>"alp_NBCGlovesCamo": 10,</v>
      </c>
    </row>
    <row r="905" spans="1:18" ht="15" customHeight="1" x14ac:dyDescent="0.25">
      <c r="A905" s="1" t="str">
        <f t="shared" si="72"/>
        <v>#tc_clothes#tc_military#tc_head</v>
      </c>
      <c r="B905" s="1">
        <f>VLOOKUP(A905,TraderCategory!$A$63:$E$556,2,FALSE)</f>
        <v>8</v>
      </c>
      <c r="C905" s="1">
        <f>VLOOKUP(A905,TraderCategory!$A$63:$F$556,6,FALSE)</f>
        <v>1</v>
      </c>
      <c r="D905" s="1" t="str">
        <f>VLOOKUP(C905,Tabulka5[],3,FALSE)</f>
        <v>Private First Class</v>
      </c>
      <c r="E905" s="1">
        <v>10</v>
      </c>
      <c r="F905" s="1" t="str">
        <f>VLOOKUP(E905,Tabulka5[],3,FALSE)</f>
        <v>Second Lieutenant</v>
      </c>
      <c r="G905" s="1" t="s">
        <v>3120</v>
      </c>
      <c r="H905" s="1" t="s">
        <v>1261</v>
      </c>
      <c r="I905" s="1" t="s">
        <v>403</v>
      </c>
      <c r="J905" s="1" t="s">
        <v>2728</v>
      </c>
      <c r="K905" s="1" t="s">
        <v>2729</v>
      </c>
      <c r="L905" s="1" t="s">
        <v>3130</v>
      </c>
      <c r="M905" s="1">
        <v>15000</v>
      </c>
      <c r="N905" s="1">
        <v>1</v>
      </c>
      <c r="O905" s="1" t="str">
        <f t="shared" si="73"/>
        <v>"alp_GasMaskCamo": 1,</v>
      </c>
      <c r="P905" s="1" t="str">
        <f t="shared" si="74"/>
        <v>"alp_GasMaskCamo": 8,</v>
      </c>
      <c r="Q905" s="1" t="str">
        <f t="shared" si="75"/>
        <v>"alp_GasMaskCamo": 15000,</v>
      </c>
      <c r="R905" s="1" t="str">
        <f t="shared" si="76"/>
        <v>"alp_GasMaskCamo": 10,</v>
      </c>
    </row>
    <row r="906" spans="1:18" ht="15" customHeight="1" x14ac:dyDescent="0.25">
      <c r="A906" s="1" t="str">
        <f t="shared" ref="A906:A965" si="77">CONCATENATE(J906,K906,L906)</f>
        <v>#tc_groceries#tc_currency#tc_rareitems</v>
      </c>
      <c r="B906" s="1">
        <f>VLOOKUP(A906,TraderCategory!$A$63:$E$556,2,FALSE)</f>
        <v>16</v>
      </c>
      <c r="C906" s="1">
        <f>VLOOKUP(A906,TraderCategory!$A$63:$F$556,6,FALSE)</f>
        <v>3</v>
      </c>
      <c r="D906" s="1" t="str">
        <f>VLOOKUP(C906,Tabulka5[],3,FALSE)</f>
        <v>Sergeant</v>
      </c>
      <c r="E906" s="1">
        <v>3</v>
      </c>
      <c r="F906" s="1" t="str">
        <f>VLOOKUP(E906,Tabulka5[],3,FALSE)</f>
        <v>Sergeant</v>
      </c>
      <c r="G906" s="1" t="s">
        <v>3120</v>
      </c>
      <c r="H906" s="1" t="s">
        <v>1262</v>
      </c>
      <c r="I906" s="1" t="s">
        <v>426</v>
      </c>
      <c r="J906" s="1" t="s">
        <v>3127</v>
      </c>
      <c r="K906" s="1" t="s">
        <v>2731</v>
      </c>
      <c r="L906" s="1" t="s">
        <v>3171</v>
      </c>
      <c r="M906" s="1">
        <v>100000</v>
      </c>
      <c r="N906" s="1">
        <v>1</v>
      </c>
      <c r="O906" s="1" t="str">
        <f t="shared" si="73"/>
        <v>"alp_CoinRare1": 1,</v>
      </c>
      <c r="P906" s="1" t="str">
        <f t="shared" si="74"/>
        <v>"alp_CoinRare1": 16,</v>
      </c>
      <c r="Q906" s="1" t="str">
        <f t="shared" si="75"/>
        <v>"alp_CoinRare1": 100000,</v>
      </c>
      <c r="R906" s="1" t="str">
        <f t="shared" si="76"/>
        <v>"alp_CoinRare1": 3,</v>
      </c>
    </row>
    <row r="907" spans="1:18" ht="15" customHeight="1" x14ac:dyDescent="0.25">
      <c r="A907" s="1" t="str">
        <f t="shared" si="77"/>
        <v>#tc_clothes#tc_military#tc_tops</v>
      </c>
      <c r="B907" s="1">
        <f>VLOOKUP(A907,TraderCategory!$A$63:$E$556,2,FALSE)</f>
        <v>9</v>
      </c>
      <c r="C907" s="1">
        <f>VLOOKUP(A907,TraderCategory!$A$63:$F$556,6,FALSE)</f>
        <v>1</v>
      </c>
      <c r="D907" s="1" t="str">
        <f>VLOOKUP(C907,Tabulka5[],3,FALSE)</f>
        <v>Private First Class</v>
      </c>
      <c r="E907" s="1">
        <v>6</v>
      </c>
      <c r="F907" s="1" t="str">
        <f>VLOOKUP(E907,Tabulka5[],3,FALSE)</f>
        <v>Master Sergeant</v>
      </c>
      <c r="G907" s="1" t="s">
        <v>3119</v>
      </c>
      <c r="H907" s="1" t="s">
        <v>3031</v>
      </c>
      <c r="I907" s="1" t="s">
        <v>403</v>
      </c>
      <c r="J907" s="1" t="s">
        <v>2728</v>
      </c>
      <c r="K907" s="1" t="s">
        <v>2729</v>
      </c>
      <c r="L907" s="1" t="s">
        <v>3131</v>
      </c>
      <c r="M907" s="1">
        <v>15000</v>
      </c>
      <c r="N907" s="1">
        <v>1</v>
      </c>
      <c r="O907" s="1" t="str">
        <f t="shared" si="73"/>
        <v>"poncho_camo_mung": 1,</v>
      </c>
      <c r="P907" s="1" t="str">
        <f t="shared" si="74"/>
        <v>"poncho_camo_mung": 9,</v>
      </c>
      <c r="Q907" s="1" t="str">
        <f t="shared" si="75"/>
        <v>"poncho_camo_mung": 15000,</v>
      </c>
      <c r="R907" s="1" t="str">
        <f t="shared" si="76"/>
        <v>"poncho_camo_mung": 6,</v>
      </c>
    </row>
    <row r="908" spans="1:18" ht="15" customHeight="1" x14ac:dyDescent="0.25">
      <c r="A908" s="1" t="str">
        <f t="shared" si="77"/>
        <v>#tc_military#tc_ammo#tc_grenade</v>
      </c>
      <c r="B908" s="1">
        <f>VLOOKUP(A908,TraderCategory!$A$63:$E$556,2,FALSE)</f>
        <v>46</v>
      </c>
      <c r="C908" s="1">
        <f>VLOOKUP(A908,TraderCategory!$A$63:$F$556,6,FALSE)</f>
        <v>3</v>
      </c>
      <c r="D908" s="1" t="str">
        <f>VLOOKUP(C908,Tabulka5[],3,FALSE)</f>
        <v>Sergeant</v>
      </c>
      <c r="E908" s="1">
        <v>5</v>
      </c>
      <c r="F908" s="1" t="str">
        <f>VLOOKUP(E908,Tabulka5[],3,FALSE)</f>
        <v>Sergeant First Class</v>
      </c>
      <c r="G908" s="1" t="s">
        <v>3119</v>
      </c>
      <c r="H908" s="1" t="s">
        <v>1263</v>
      </c>
      <c r="I908" s="1" t="s">
        <v>644</v>
      </c>
      <c r="J908" s="1" t="s">
        <v>2729</v>
      </c>
      <c r="K908" s="1" t="s">
        <v>2738</v>
      </c>
      <c r="L908" s="1" t="s">
        <v>3161</v>
      </c>
      <c r="M908" s="1">
        <v>5000</v>
      </c>
      <c r="N908" s="1">
        <v>1</v>
      </c>
      <c r="O908" s="1" t="str">
        <f t="shared" si="73"/>
        <v>"dynamitestick_Mung": 1,</v>
      </c>
      <c r="P908" s="1" t="str">
        <f t="shared" si="74"/>
        <v>"dynamitestick_Mung": 46,</v>
      </c>
      <c r="Q908" s="1" t="str">
        <f t="shared" si="75"/>
        <v>"dynamitestick_Mung": 5000,</v>
      </c>
      <c r="R908" s="1" t="str">
        <f t="shared" si="76"/>
        <v>"dynamitestick_Mung": 5,</v>
      </c>
    </row>
    <row r="909" spans="1:18" ht="15" customHeight="1" x14ac:dyDescent="0.25">
      <c r="A909" s="1" t="str">
        <f t="shared" si="77"/>
        <v>#tc_military#tc_ammo#tc_grenade</v>
      </c>
      <c r="B909" s="1">
        <f>VLOOKUP(A909,TraderCategory!$A$63:$E$556,2,FALSE)</f>
        <v>46</v>
      </c>
      <c r="C909" s="1">
        <f>VLOOKUP(A909,TraderCategory!$A$63:$F$556,6,FALSE)</f>
        <v>3</v>
      </c>
      <c r="D909" s="1" t="str">
        <f>VLOOKUP(C909,Tabulka5[],3,FALSE)</f>
        <v>Sergeant</v>
      </c>
      <c r="E909" s="1">
        <v>10</v>
      </c>
      <c r="F909" s="1" t="str">
        <f>VLOOKUP(E909,Tabulka5[],3,FALSE)</f>
        <v>Second Lieutenant</v>
      </c>
      <c r="G909" s="1" t="s">
        <v>3119</v>
      </c>
      <c r="H909" s="1" t="s">
        <v>1264</v>
      </c>
      <c r="I909" s="1" t="s">
        <v>644</v>
      </c>
      <c r="J909" s="1" t="s">
        <v>2729</v>
      </c>
      <c r="K909" s="1" t="s">
        <v>2738</v>
      </c>
      <c r="L909" s="1" t="s">
        <v>3161</v>
      </c>
      <c r="M909" s="1">
        <v>7000</v>
      </c>
      <c r="N909" s="1">
        <v>1</v>
      </c>
      <c r="O909" s="1" t="str">
        <f t="shared" si="73"/>
        <v>"stielhandgranate_mung": 1,</v>
      </c>
      <c r="P909" s="1" t="str">
        <f t="shared" si="74"/>
        <v>"stielhandgranate_mung": 46,</v>
      </c>
      <c r="Q909" s="1" t="str">
        <f t="shared" si="75"/>
        <v>"stielhandgranate_mung": 7000,</v>
      </c>
      <c r="R909" s="1" t="str">
        <f t="shared" si="76"/>
        <v>"stielhandgranate_mung": 10,</v>
      </c>
    </row>
    <row r="910" spans="1:18" x14ac:dyDescent="0.25">
      <c r="A910" s="1" t="str">
        <f t="shared" si="77"/>
        <v>#tc_military#tc_attachments#tc_optic</v>
      </c>
      <c r="B910" s="1">
        <f>VLOOKUP(A910,TraderCategory!$A$63:$E$556,2,FALSE)</f>
        <v>50</v>
      </c>
      <c r="C910" s="1">
        <f>VLOOKUP(A910,TraderCategory!$A$63:$F$556,6,FALSE)</f>
        <v>10</v>
      </c>
      <c r="D910" s="1" t="str">
        <f>VLOOKUP(C910,Tabulka5[],3,FALSE)</f>
        <v>Second Lieutenant</v>
      </c>
      <c r="E910" s="1">
        <v>16</v>
      </c>
      <c r="F910" s="1" t="str">
        <f>VLOOKUP(E910,Tabulka5[],3,FALSE)</f>
        <v>Brigadier General</v>
      </c>
      <c r="G910" s="1" t="s">
        <v>3119</v>
      </c>
      <c r="H910" s="1" t="s">
        <v>1265</v>
      </c>
      <c r="I910" s="1" t="s">
        <v>8</v>
      </c>
      <c r="J910" s="1" t="s">
        <v>2729</v>
      </c>
      <c r="K910" s="1" t="s">
        <v>2736</v>
      </c>
      <c r="L910" s="1" t="s">
        <v>3163</v>
      </c>
      <c r="M910" s="1">
        <v>25000</v>
      </c>
      <c r="N910" s="1">
        <v>1</v>
      </c>
      <c r="O910" s="1" t="str">
        <f t="shared" si="73"/>
        <v>"Leupold_mung": 1,</v>
      </c>
      <c r="P910" s="1" t="str">
        <f t="shared" si="74"/>
        <v>"Leupold_mung": 50,</v>
      </c>
      <c r="Q910" s="1" t="str">
        <f t="shared" si="75"/>
        <v>"Leupold_mung": 25000,</v>
      </c>
      <c r="R910" s="1" t="str">
        <f t="shared" si="76"/>
        <v>"Leupold_mung": 16,</v>
      </c>
    </row>
    <row r="911" spans="1:18" ht="15" customHeight="1" x14ac:dyDescent="0.25">
      <c r="A911" s="1" t="str">
        <f t="shared" si="77"/>
        <v>#tc_groceries#tc_tools#tc_knifes</v>
      </c>
      <c r="B911" s="1">
        <f>VLOOKUP(A911,TraderCategory!$A$63:$E$556,2,FALSE)</f>
        <v>28</v>
      </c>
      <c r="C911" s="1">
        <f>VLOOKUP(A911,TraderCategory!$A$63:$F$556,6,FALSE)</f>
        <v>0</v>
      </c>
      <c r="D911" s="1" t="str">
        <f>VLOOKUP(C911,Tabulka5[],3,FALSE)</f>
        <v>Private</v>
      </c>
      <c r="E911" s="1">
        <v>3</v>
      </c>
      <c r="F911" s="1" t="str">
        <f>VLOOKUP(E911,Tabulka5[],3,FALSE)</f>
        <v>Sergeant</v>
      </c>
      <c r="G911" s="1" t="s">
        <v>3119</v>
      </c>
      <c r="H911" s="1" t="s">
        <v>1266</v>
      </c>
      <c r="I911" s="1" t="s">
        <v>426</v>
      </c>
      <c r="J911" s="1" t="s">
        <v>3127</v>
      </c>
      <c r="K911" s="1" t="s">
        <v>2740</v>
      </c>
      <c r="L911" s="1" t="s">
        <v>3143</v>
      </c>
      <c r="M911" s="1">
        <v>2500</v>
      </c>
      <c r="N911" s="1">
        <v>1</v>
      </c>
      <c r="O911" s="1" t="str">
        <f t="shared" si="73"/>
        <v>"bowieknife_mung": 1,</v>
      </c>
      <c r="P911" s="1" t="str">
        <f t="shared" si="74"/>
        <v>"bowieknife_mung": 28,</v>
      </c>
      <c r="Q911" s="1" t="str">
        <f t="shared" si="75"/>
        <v>"bowieknife_mung": 2500,</v>
      </c>
      <c r="R911" s="1" t="str">
        <f t="shared" si="76"/>
        <v>"bowieknife_mung": 3,</v>
      </c>
    </row>
    <row r="912" spans="1:18" x14ac:dyDescent="0.25">
      <c r="A912" s="1" t="str">
        <f t="shared" si="77"/>
        <v>#tc_military#tc_weapons#tc_rifles</v>
      </c>
      <c r="B912" s="1">
        <f>VLOOKUP(A912,TraderCategory!$A$63:$E$556,2,FALSE)</f>
        <v>64</v>
      </c>
      <c r="C912" s="1">
        <f>VLOOKUP(A912,TraderCategory!$A$63:$F$556,6,FALSE)</f>
        <v>0</v>
      </c>
      <c r="D912" s="1" t="str">
        <f>VLOOKUP(C912,Tabulka5[],3,FALSE)</f>
        <v>Private</v>
      </c>
      <c r="E912" s="1">
        <v>0</v>
      </c>
      <c r="F912" s="1" t="str">
        <f>VLOOKUP(E912,Tabulka5[],3,FALSE)</f>
        <v>Private</v>
      </c>
      <c r="G912" s="1" t="s">
        <v>3115</v>
      </c>
      <c r="H912" s="1" t="s">
        <v>2804</v>
      </c>
      <c r="I912" s="1" t="s">
        <v>8</v>
      </c>
      <c r="J912" s="1" t="s">
        <v>2729</v>
      </c>
      <c r="K912" s="1" t="s">
        <v>3129</v>
      </c>
      <c r="L912" s="1" t="s">
        <v>3157</v>
      </c>
      <c r="M912" s="1">
        <v>20000</v>
      </c>
      <c r="N912" s="1">
        <v>1</v>
      </c>
      <c r="O912" s="1" t="str">
        <f t="shared" si="73"/>
        <v>"Repeater": 1,</v>
      </c>
      <c r="P912" s="1" t="str">
        <f t="shared" si="74"/>
        <v>"Repeater": 64,</v>
      </c>
      <c r="Q912" s="1" t="str">
        <f t="shared" si="75"/>
        <v>"Repeater": 20000,</v>
      </c>
      <c r="R912" s="1" t="str">
        <f t="shared" si="76"/>
        <v>"Repeater": 0,</v>
      </c>
    </row>
    <row r="913" spans="1:18" ht="15" customHeight="1" x14ac:dyDescent="0.25">
      <c r="A913" s="1" t="str">
        <f t="shared" si="77"/>
        <v>#tc_clothes#tc_military#tc_bags</v>
      </c>
      <c r="B913" s="1">
        <f>VLOOKUP(A913,TraderCategory!$A$63:$E$556,2,FALSE)</f>
        <v>15</v>
      </c>
      <c r="C913" s="1">
        <f>VLOOKUP(A913,TraderCategory!$A$63:$F$556,6,FALSE)</f>
        <v>1</v>
      </c>
      <c r="D913" s="1" t="str">
        <f>VLOOKUP(C913,Tabulka5[],3,FALSE)</f>
        <v>Private First Class</v>
      </c>
      <c r="E913" s="1">
        <v>1</v>
      </c>
      <c r="F913" s="1" t="str">
        <f>VLOOKUP(E913,Tabulka5[],3,FALSE)</f>
        <v>Private First Class</v>
      </c>
      <c r="G913" s="1" t="s">
        <v>3119</v>
      </c>
      <c r="H913" s="1" t="s">
        <v>1268</v>
      </c>
      <c r="I913" s="1" t="s">
        <v>426</v>
      </c>
      <c r="J913" s="1" t="s">
        <v>2728</v>
      </c>
      <c r="K913" s="1" t="s">
        <v>2729</v>
      </c>
      <c r="L913" s="1" t="s">
        <v>3138</v>
      </c>
      <c r="M913" s="1">
        <v>5000</v>
      </c>
      <c r="N913" s="1">
        <v>1</v>
      </c>
      <c r="O913" s="1" t="str">
        <f t="shared" si="73"/>
        <v>"rifleholster_tan_mung": 1,</v>
      </c>
      <c r="P913" s="1" t="str">
        <f t="shared" si="74"/>
        <v>"rifleholster_tan_mung": 15,</v>
      </c>
      <c r="Q913" s="1" t="str">
        <f t="shared" si="75"/>
        <v>"rifleholster_tan_mung": 5000,</v>
      </c>
      <c r="R913" s="1" t="str">
        <f t="shared" si="76"/>
        <v>"rifleholster_tan_mung": 1,</v>
      </c>
    </row>
    <row r="914" spans="1:18" ht="15" customHeight="1" x14ac:dyDescent="0.25">
      <c r="A914" s="1" t="str">
        <f t="shared" si="77"/>
        <v>#tc_clothes#tc_military#tc_bags</v>
      </c>
      <c r="B914" s="1">
        <f>VLOOKUP(A914,TraderCategory!$A$63:$E$556,2,FALSE)</f>
        <v>15</v>
      </c>
      <c r="C914" s="1">
        <f>VLOOKUP(A914,TraderCategory!$A$63:$F$556,6,FALSE)</f>
        <v>1</v>
      </c>
      <c r="D914" s="1" t="str">
        <f>VLOOKUP(C914,Tabulka5[],3,FALSE)</f>
        <v>Private First Class</v>
      </c>
      <c r="E914" s="1">
        <v>1</v>
      </c>
      <c r="F914" s="1" t="str">
        <f>VLOOKUP(E914,Tabulka5[],3,FALSE)</f>
        <v>Private First Class</v>
      </c>
      <c r="G914" s="1" t="s">
        <v>3119</v>
      </c>
      <c r="H914" s="1" t="s">
        <v>1269</v>
      </c>
      <c r="I914" s="1" t="s">
        <v>426</v>
      </c>
      <c r="J914" s="1" t="s">
        <v>2728</v>
      </c>
      <c r="K914" s="1" t="s">
        <v>2729</v>
      </c>
      <c r="L914" s="1" t="s">
        <v>3138</v>
      </c>
      <c r="M914" s="1">
        <v>5000</v>
      </c>
      <c r="N914" s="1">
        <v>1</v>
      </c>
      <c r="O914" s="1" t="str">
        <f t="shared" si="73"/>
        <v>"rifleholster_TTsKO_mung": 1,</v>
      </c>
      <c r="P914" s="1" t="str">
        <f t="shared" si="74"/>
        <v>"rifleholster_TTsKO_mung": 15,</v>
      </c>
      <c r="Q914" s="1" t="str">
        <f t="shared" si="75"/>
        <v>"rifleholster_TTsKO_mung": 5000,</v>
      </c>
      <c r="R914" s="1" t="str">
        <f t="shared" si="76"/>
        <v>"rifleholster_TTsKO_mung": 1,</v>
      </c>
    </row>
    <row r="915" spans="1:18" ht="15" customHeight="1" x14ac:dyDescent="0.25">
      <c r="A915" s="1" t="str">
        <f t="shared" si="77"/>
        <v>#tc_clothes#tc_military#tc_bags</v>
      </c>
      <c r="B915" s="1">
        <f>VLOOKUP(A915,TraderCategory!$A$63:$E$556,2,FALSE)</f>
        <v>15</v>
      </c>
      <c r="C915" s="1">
        <f>VLOOKUP(A915,TraderCategory!$A$63:$F$556,6,FALSE)</f>
        <v>1</v>
      </c>
      <c r="D915" s="1" t="str">
        <f>VLOOKUP(C915,Tabulka5[],3,FALSE)</f>
        <v>Private First Class</v>
      </c>
      <c r="E915" s="1">
        <v>1</v>
      </c>
      <c r="F915" s="1" t="str">
        <f>VLOOKUP(E915,Tabulka5[],3,FALSE)</f>
        <v>Private First Class</v>
      </c>
      <c r="G915" s="1" t="s">
        <v>3119</v>
      </c>
      <c r="H915" s="1" t="s">
        <v>1270</v>
      </c>
      <c r="I915" s="1" t="s">
        <v>426</v>
      </c>
      <c r="J915" s="1" t="s">
        <v>2728</v>
      </c>
      <c r="K915" s="1" t="s">
        <v>2729</v>
      </c>
      <c r="L915" s="1" t="s">
        <v>3138</v>
      </c>
      <c r="M915" s="1">
        <v>5000</v>
      </c>
      <c r="N915" s="1">
        <v>1</v>
      </c>
      <c r="O915" s="1" t="str">
        <f t="shared" si="73"/>
        <v>"rifleholster_leatherengraved_mung": 1,</v>
      </c>
      <c r="P915" s="1" t="str">
        <f t="shared" si="74"/>
        <v>"rifleholster_leatherengraved_mung": 15,</v>
      </c>
      <c r="Q915" s="1" t="str">
        <f t="shared" si="75"/>
        <v>"rifleholster_leatherengraved_mung": 5000,</v>
      </c>
      <c r="R915" s="1" t="str">
        <f t="shared" si="76"/>
        <v>"rifleholster_leatherengraved_mung": 1,</v>
      </c>
    </row>
    <row r="916" spans="1:18" ht="15" customHeight="1" x14ac:dyDescent="0.25">
      <c r="A916" s="1" t="str">
        <f t="shared" si="77"/>
        <v>#tc_clothes#tc_civil#tc_bags</v>
      </c>
      <c r="B916" s="1">
        <f>VLOOKUP(A916,TraderCategory!$A$63:$E$556,2,FALSE)</f>
        <v>7</v>
      </c>
      <c r="C916" s="1">
        <f>VLOOKUP(A916,TraderCategory!$A$63:$F$556,6,FALSE)</f>
        <v>0</v>
      </c>
      <c r="D916" s="1" t="str">
        <f>VLOOKUP(C916,Tabulka5[],3,FALSE)</f>
        <v>Private</v>
      </c>
      <c r="E916" s="1">
        <v>6</v>
      </c>
      <c r="F916" s="1" t="str">
        <f>VLOOKUP(E916,Tabulka5[],3,FALSE)</f>
        <v>Master Sergeant</v>
      </c>
      <c r="G916" s="1" t="s">
        <v>3119</v>
      </c>
      <c r="H916" s="1" t="s">
        <v>1271</v>
      </c>
      <c r="I916" s="1" t="s">
        <v>363</v>
      </c>
      <c r="J916" s="1" t="s">
        <v>2728</v>
      </c>
      <c r="K916" s="1" t="s">
        <v>3126</v>
      </c>
      <c r="L916" s="1" t="s">
        <v>3138</v>
      </c>
      <c r="M916" s="1">
        <v>20000</v>
      </c>
      <c r="N916" s="1">
        <v>1</v>
      </c>
      <c r="O916" s="1" t="str">
        <f t="shared" si="73"/>
        <v>"Hikingbagmung_yellow": 1,</v>
      </c>
      <c r="P916" s="1" t="str">
        <f t="shared" si="74"/>
        <v>"Hikingbagmung_yellow": 7,</v>
      </c>
      <c r="Q916" s="1" t="str">
        <f t="shared" si="75"/>
        <v>"Hikingbagmung_yellow": 20000,</v>
      </c>
      <c r="R916" s="1" t="str">
        <f t="shared" si="76"/>
        <v>"Hikingbagmung_yellow": 6,</v>
      </c>
    </row>
    <row r="917" spans="1:18" ht="15" customHeight="1" x14ac:dyDescent="0.25">
      <c r="A917" s="1" t="str">
        <f t="shared" si="77"/>
        <v>#tc_clothes#tc_civil#tc_bags</v>
      </c>
      <c r="B917" s="1">
        <f>VLOOKUP(A917,TraderCategory!$A$63:$E$556,2,FALSE)</f>
        <v>7</v>
      </c>
      <c r="C917" s="1">
        <f>VLOOKUP(A917,TraderCategory!$A$63:$F$556,6,FALSE)</f>
        <v>0</v>
      </c>
      <c r="D917" s="1" t="str">
        <f>VLOOKUP(C917,Tabulka5[],3,FALSE)</f>
        <v>Private</v>
      </c>
      <c r="E917" s="1">
        <v>6</v>
      </c>
      <c r="F917" s="1" t="str">
        <f>VLOOKUP(E917,Tabulka5[],3,FALSE)</f>
        <v>Master Sergeant</v>
      </c>
      <c r="G917" s="1" t="s">
        <v>3119</v>
      </c>
      <c r="H917" s="1" t="s">
        <v>1272</v>
      </c>
      <c r="I917" s="1" t="s">
        <v>363</v>
      </c>
      <c r="J917" s="1" t="s">
        <v>2728</v>
      </c>
      <c r="K917" s="1" t="s">
        <v>3126</v>
      </c>
      <c r="L917" s="1" t="s">
        <v>3138</v>
      </c>
      <c r="M917" s="1">
        <v>20000</v>
      </c>
      <c r="N917" s="1">
        <v>1</v>
      </c>
      <c r="O917" s="1" t="str">
        <f t="shared" si="73"/>
        <v>"Hikingbagmung_red": 1,</v>
      </c>
      <c r="P917" s="1" t="str">
        <f t="shared" si="74"/>
        <v>"Hikingbagmung_red": 7,</v>
      </c>
      <c r="Q917" s="1" t="str">
        <f t="shared" si="75"/>
        <v>"Hikingbagmung_red": 20000,</v>
      </c>
      <c r="R917" s="1" t="str">
        <f t="shared" si="76"/>
        <v>"Hikingbagmung_red": 6,</v>
      </c>
    </row>
    <row r="918" spans="1:18" ht="15" customHeight="1" x14ac:dyDescent="0.25">
      <c r="A918" s="1" t="str">
        <f t="shared" si="77"/>
        <v>#tc_clothes#tc_civil#tc_bags</v>
      </c>
      <c r="B918" s="1">
        <f>VLOOKUP(A918,TraderCategory!$A$63:$E$556,2,FALSE)</f>
        <v>7</v>
      </c>
      <c r="C918" s="1">
        <f>VLOOKUP(A918,TraderCategory!$A$63:$F$556,6,FALSE)</f>
        <v>0</v>
      </c>
      <c r="D918" s="1" t="str">
        <f>VLOOKUP(C918,Tabulka5[],3,FALSE)</f>
        <v>Private</v>
      </c>
      <c r="E918" s="1">
        <v>6</v>
      </c>
      <c r="F918" s="1" t="str">
        <f>VLOOKUP(E918,Tabulka5[],3,FALSE)</f>
        <v>Master Sergeant</v>
      </c>
      <c r="G918" s="1" t="s">
        <v>3119</v>
      </c>
      <c r="H918" s="1" t="s">
        <v>1273</v>
      </c>
      <c r="I918" s="1" t="s">
        <v>363</v>
      </c>
      <c r="J918" s="1" t="s">
        <v>2728</v>
      </c>
      <c r="K918" s="1" t="s">
        <v>3126</v>
      </c>
      <c r="L918" s="1" t="s">
        <v>3138</v>
      </c>
      <c r="M918" s="1">
        <v>20000</v>
      </c>
      <c r="N918" s="1">
        <v>1</v>
      </c>
      <c r="O918" s="1" t="str">
        <f t="shared" si="73"/>
        <v>"Hikingbagmung_blue": 1,</v>
      </c>
      <c r="P918" s="1" t="str">
        <f t="shared" si="74"/>
        <v>"Hikingbagmung_blue": 7,</v>
      </c>
      <c r="Q918" s="1" t="str">
        <f t="shared" si="75"/>
        <v>"Hikingbagmung_blue": 20000,</v>
      </c>
      <c r="R918" s="1" t="str">
        <f t="shared" si="76"/>
        <v>"Hikingbagmung_blue": 6,</v>
      </c>
    </row>
    <row r="919" spans="1:18" ht="15" customHeight="1" x14ac:dyDescent="0.25">
      <c r="A919" s="1" t="str">
        <f t="shared" si="77"/>
        <v>#tc_clothes#tc_civil#tc_bags</v>
      </c>
      <c r="B919" s="1">
        <f>VLOOKUP(A919,TraderCategory!$A$63:$E$556,2,FALSE)</f>
        <v>7</v>
      </c>
      <c r="C919" s="1">
        <f>VLOOKUP(A919,TraderCategory!$A$63:$F$556,6,FALSE)</f>
        <v>0</v>
      </c>
      <c r="D919" s="1" t="str">
        <f>VLOOKUP(C919,Tabulka5[],3,FALSE)</f>
        <v>Private</v>
      </c>
      <c r="E919" s="1">
        <v>6</v>
      </c>
      <c r="F919" s="1" t="str">
        <f>VLOOKUP(E919,Tabulka5[],3,FALSE)</f>
        <v>Master Sergeant</v>
      </c>
      <c r="G919" s="1" t="s">
        <v>3119</v>
      </c>
      <c r="H919" s="1" t="s">
        <v>1274</v>
      </c>
      <c r="I919" s="1" t="s">
        <v>363</v>
      </c>
      <c r="J919" s="1" t="s">
        <v>2728</v>
      </c>
      <c r="K919" s="1" t="s">
        <v>3126</v>
      </c>
      <c r="L919" s="1" t="s">
        <v>3138</v>
      </c>
      <c r="M919" s="1">
        <v>20000</v>
      </c>
      <c r="N919" s="1">
        <v>1</v>
      </c>
      <c r="O919" s="1" t="str">
        <f t="shared" si="73"/>
        <v>"Hikingbagmung_green": 1,</v>
      </c>
      <c r="P919" s="1" t="str">
        <f t="shared" si="74"/>
        <v>"Hikingbagmung_green": 7,</v>
      </c>
      <c r="Q919" s="1" t="str">
        <f t="shared" si="75"/>
        <v>"Hikingbagmung_green": 20000,</v>
      </c>
      <c r="R919" s="1" t="str">
        <f t="shared" si="76"/>
        <v>"Hikingbagmung_green": 6,</v>
      </c>
    </row>
    <row r="920" spans="1:18" ht="15" customHeight="1" x14ac:dyDescent="0.25">
      <c r="A920" s="1" t="str">
        <f t="shared" si="77"/>
        <v>#tc_clothes#tc_civil#tc_bags</v>
      </c>
      <c r="B920" s="1">
        <f>VLOOKUP(A920,TraderCategory!$A$63:$E$556,2,FALSE)</f>
        <v>7</v>
      </c>
      <c r="C920" s="1">
        <f>VLOOKUP(A920,TraderCategory!$A$63:$F$556,6,FALSE)</f>
        <v>0</v>
      </c>
      <c r="D920" s="1" t="str">
        <f>VLOOKUP(C920,Tabulka5[],3,FALSE)</f>
        <v>Private</v>
      </c>
      <c r="E920" s="1">
        <v>6</v>
      </c>
      <c r="F920" s="1" t="str">
        <f>VLOOKUP(E920,Tabulka5[],3,FALSE)</f>
        <v>Master Sergeant</v>
      </c>
      <c r="G920" s="1" t="s">
        <v>3119</v>
      </c>
      <c r="H920" s="1" t="s">
        <v>1275</v>
      </c>
      <c r="I920" s="1" t="s">
        <v>363</v>
      </c>
      <c r="J920" s="1" t="s">
        <v>2728</v>
      </c>
      <c r="K920" s="1" t="s">
        <v>3126</v>
      </c>
      <c r="L920" s="1" t="s">
        <v>3138</v>
      </c>
      <c r="M920" s="1">
        <v>20000</v>
      </c>
      <c r="N920" s="1">
        <v>1</v>
      </c>
      <c r="O920" s="1" t="str">
        <f t="shared" si="73"/>
        <v>"Hikingbagmung_black": 1,</v>
      </c>
      <c r="P920" s="1" t="str">
        <f t="shared" si="74"/>
        <v>"Hikingbagmung_black": 7,</v>
      </c>
      <c r="Q920" s="1" t="str">
        <f t="shared" si="75"/>
        <v>"Hikingbagmung_black": 20000,</v>
      </c>
      <c r="R920" s="1" t="str">
        <f t="shared" si="76"/>
        <v>"Hikingbagmung_black": 6,</v>
      </c>
    </row>
    <row r="921" spans="1:18" ht="15" customHeight="1" x14ac:dyDescent="0.25">
      <c r="A921" s="1" t="str">
        <f t="shared" si="77"/>
        <v>#tc_clothes#tc_civil#tc_bags</v>
      </c>
      <c r="B921" s="1">
        <f>VLOOKUP(A921,TraderCategory!$A$63:$E$556,2,FALSE)</f>
        <v>7</v>
      </c>
      <c r="C921" s="1">
        <f>VLOOKUP(A921,TraderCategory!$A$63:$F$556,6,FALSE)</f>
        <v>0</v>
      </c>
      <c r="D921" s="1" t="str">
        <f>VLOOKUP(C921,Tabulka5[],3,FALSE)</f>
        <v>Private</v>
      </c>
      <c r="E921" s="1">
        <v>6</v>
      </c>
      <c r="F921" s="1" t="str">
        <f>VLOOKUP(E921,Tabulka5[],3,FALSE)</f>
        <v>Master Sergeant</v>
      </c>
      <c r="G921" s="1" t="s">
        <v>3119</v>
      </c>
      <c r="H921" s="1" t="s">
        <v>1276</v>
      </c>
      <c r="I921" s="1" t="s">
        <v>363</v>
      </c>
      <c r="J921" s="1" t="s">
        <v>2728</v>
      </c>
      <c r="K921" s="1" t="s">
        <v>3126</v>
      </c>
      <c r="L921" s="1" t="s">
        <v>3138</v>
      </c>
      <c r="M921" s="1">
        <v>20000</v>
      </c>
      <c r="N921" s="1">
        <v>1</v>
      </c>
      <c r="O921" s="1" t="str">
        <f t="shared" si="73"/>
        <v>"Hikingbagmung_camo": 1,</v>
      </c>
      <c r="P921" s="1" t="str">
        <f t="shared" si="74"/>
        <v>"Hikingbagmung_camo": 7,</v>
      </c>
      <c r="Q921" s="1" t="str">
        <f t="shared" si="75"/>
        <v>"Hikingbagmung_camo": 20000,</v>
      </c>
      <c r="R921" s="1" t="str">
        <f t="shared" si="76"/>
        <v>"Hikingbagmung_camo": 6,</v>
      </c>
    </row>
    <row r="922" spans="1:18" ht="15" customHeight="1" x14ac:dyDescent="0.25">
      <c r="A922" s="1" t="str">
        <f t="shared" si="77"/>
        <v>#tc_clothes#tc_military#tc_bags</v>
      </c>
      <c r="B922" s="1">
        <f>VLOOKUP(A922,TraderCategory!$A$63:$E$556,2,FALSE)</f>
        <v>15</v>
      </c>
      <c r="C922" s="1">
        <f>VLOOKUP(A922,TraderCategory!$A$63:$F$556,6,FALSE)</f>
        <v>1</v>
      </c>
      <c r="D922" s="1" t="str">
        <f>VLOOKUP(C922,Tabulka5[],3,FALSE)</f>
        <v>Private First Class</v>
      </c>
      <c r="E922" s="1">
        <v>12</v>
      </c>
      <c r="F922" s="1" t="str">
        <f>VLOOKUP(E922,Tabulka5[],3,FALSE)</f>
        <v>Captain</v>
      </c>
      <c r="G922" s="1" t="s">
        <v>3119</v>
      </c>
      <c r="H922" s="1" t="s">
        <v>1277</v>
      </c>
      <c r="I922" s="1" t="s">
        <v>363</v>
      </c>
      <c r="J922" s="1" t="s">
        <v>2728</v>
      </c>
      <c r="K922" s="1" t="s">
        <v>2729</v>
      </c>
      <c r="L922" s="1" t="s">
        <v>3138</v>
      </c>
      <c r="M922" s="1">
        <v>25000</v>
      </c>
      <c r="N922" s="1">
        <v>1</v>
      </c>
      <c r="O922" s="1" t="str">
        <f t="shared" si="73"/>
        <v>"bag_6B38_camo_mung": 1,</v>
      </c>
      <c r="P922" s="1" t="str">
        <f t="shared" si="74"/>
        <v>"bag_6B38_camo_mung": 15,</v>
      </c>
      <c r="Q922" s="1" t="str">
        <f t="shared" si="75"/>
        <v>"bag_6B38_camo_mung": 25000,</v>
      </c>
      <c r="R922" s="1" t="str">
        <f t="shared" si="76"/>
        <v>"bag_6B38_camo_mung": 12,</v>
      </c>
    </row>
    <row r="923" spans="1:18" ht="15" customHeight="1" x14ac:dyDescent="0.25">
      <c r="A923" s="1" t="str">
        <f t="shared" si="77"/>
        <v>#tc_clothes#tc_military#tc_bags</v>
      </c>
      <c r="B923" s="1">
        <f>VLOOKUP(A923,TraderCategory!$A$63:$E$556,2,FALSE)</f>
        <v>15</v>
      </c>
      <c r="C923" s="1">
        <f>VLOOKUP(A923,TraderCategory!$A$63:$F$556,6,FALSE)</f>
        <v>1</v>
      </c>
      <c r="D923" s="1" t="str">
        <f>VLOOKUP(C923,Tabulka5[],3,FALSE)</f>
        <v>Private First Class</v>
      </c>
      <c r="E923" s="1">
        <v>12</v>
      </c>
      <c r="F923" s="1" t="str">
        <f>VLOOKUP(E923,Tabulka5[],3,FALSE)</f>
        <v>Captain</v>
      </c>
      <c r="G923" s="1" t="s">
        <v>3119</v>
      </c>
      <c r="H923" s="1" t="s">
        <v>1278</v>
      </c>
      <c r="I923" s="1" t="s">
        <v>363</v>
      </c>
      <c r="J923" s="1" t="s">
        <v>2728</v>
      </c>
      <c r="K923" s="1" t="s">
        <v>2729</v>
      </c>
      <c r="L923" s="1" t="s">
        <v>3138</v>
      </c>
      <c r="M923" s="1">
        <v>25000</v>
      </c>
      <c r="N923" s="1">
        <v>1</v>
      </c>
      <c r="O923" s="1" t="str">
        <f t="shared" si="73"/>
        <v>"bag_6B38_black_mung": 1,</v>
      </c>
      <c r="P923" s="1" t="str">
        <f t="shared" si="74"/>
        <v>"bag_6B38_black_mung": 15,</v>
      </c>
      <c r="Q923" s="1" t="str">
        <f t="shared" si="75"/>
        <v>"bag_6B38_black_mung": 25000,</v>
      </c>
      <c r="R923" s="1" t="str">
        <f t="shared" si="76"/>
        <v>"bag_6B38_black_mung": 12,</v>
      </c>
    </row>
    <row r="924" spans="1:18" ht="15" customHeight="1" x14ac:dyDescent="0.25">
      <c r="A924" s="1" t="str">
        <f t="shared" si="77"/>
        <v>#tc_clothes#tc_military#tc_bags</v>
      </c>
      <c r="B924" s="1">
        <f>VLOOKUP(A924,TraderCategory!$A$63:$E$556,2,FALSE)</f>
        <v>15</v>
      </c>
      <c r="C924" s="1">
        <f>VLOOKUP(A924,TraderCategory!$A$63:$F$556,6,FALSE)</f>
        <v>1</v>
      </c>
      <c r="D924" s="1" t="str">
        <f>VLOOKUP(C924,Tabulka5[],3,FALSE)</f>
        <v>Private First Class</v>
      </c>
      <c r="E924" s="1">
        <v>12</v>
      </c>
      <c r="F924" s="1" t="str">
        <f>VLOOKUP(E924,Tabulka5[],3,FALSE)</f>
        <v>Captain</v>
      </c>
      <c r="G924" s="1" t="s">
        <v>3119</v>
      </c>
      <c r="H924" s="1" t="s">
        <v>1279</v>
      </c>
      <c r="I924" s="1" t="s">
        <v>363</v>
      </c>
      <c r="J924" s="1" t="s">
        <v>2728</v>
      </c>
      <c r="K924" s="1" t="s">
        <v>2729</v>
      </c>
      <c r="L924" s="1" t="s">
        <v>3138</v>
      </c>
      <c r="M924" s="1">
        <v>25000</v>
      </c>
      <c r="N924" s="1">
        <v>1</v>
      </c>
      <c r="O924" s="1" t="str">
        <f t="shared" si="73"/>
        <v>"bag_6B38_LETO_mung": 1,</v>
      </c>
      <c r="P924" s="1" t="str">
        <f t="shared" si="74"/>
        <v>"bag_6B38_LETO_mung": 15,</v>
      </c>
      <c r="Q924" s="1" t="str">
        <f t="shared" si="75"/>
        <v>"bag_6B38_LETO_mung": 25000,</v>
      </c>
      <c r="R924" s="1" t="str">
        <f t="shared" si="76"/>
        <v>"bag_6B38_LETO_mung": 12,</v>
      </c>
    </row>
    <row r="925" spans="1:18" ht="15" customHeight="1" x14ac:dyDescent="0.25">
      <c r="A925" s="1" t="str">
        <f t="shared" si="77"/>
        <v>#tc_clothes#tc_military#tc_head</v>
      </c>
      <c r="B925" s="1">
        <f>VLOOKUP(A925,TraderCategory!$A$63:$E$556,2,FALSE)</f>
        <v>8</v>
      </c>
      <c r="C925" s="1">
        <f>VLOOKUP(A925,TraderCategory!$A$63:$F$556,6,FALSE)</f>
        <v>1</v>
      </c>
      <c r="D925" s="1" t="str">
        <f>VLOOKUP(C925,Tabulka5[],3,FALSE)</f>
        <v>Private First Class</v>
      </c>
      <c r="E925" s="1">
        <v>18</v>
      </c>
      <c r="F925" s="1" t="str">
        <f>VLOOKUP(E925,Tabulka5[],3,FALSE)</f>
        <v>Lieutenant General</v>
      </c>
      <c r="G925" s="1" t="s">
        <v>3119</v>
      </c>
      <c r="H925" s="1" t="s">
        <v>1280</v>
      </c>
      <c r="I925" s="1" t="s">
        <v>403</v>
      </c>
      <c r="J925" s="1" t="s">
        <v>2728</v>
      </c>
      <c r="K925" s="1" t="s">
        <v>2729</v>
      </c>
      <c r="L925" s="1" t="s">
        <v>3130</v>
      </c>
      <c r="M925" s="1">
        <v>20000</v>
      </c>
      <c r="N925" s="1">
        <v>1</v>
      </c>
      <c r="O925" s="1" t="str">
        <f t="shared" si="73"/>
        <v>"stalker_gasmask_black_mung": 1,</v>
      </c>
      <c r="P925" s="1" t="str">
        <f t="shared" si="74"/>
        <v>"stalker_gasmask_black_mung": 8,</v>
      </c>
      <c r="Q925" s="1" t="str">
        <f t="shared" si="75"/>
        <v>"stalker_gasmask_black_mung": 20000,</v>
      </c>
      <c r="R925" s="1" t="str">
        <f t="shared" si="76"/>
        <v>"stalker_gasmask_black_mung": 18,</v>
      </c>
    </row>
    <row r="926" spans="1:18" x14ac:dyDescent="0.25">
      <c r="A926" s="1" t="str">
        <f t="shared" si="77"/>
        <v>#tc_military#tc_weapons#tc_shotguns</v>
      </c>
      <c r="B926" s="1">
        <f>VLOOKUP(A926,TraderCategory!$A$63:$E$556,2,FALSE)</f>
        <v>62</v>
      </c>
      <c r="C926" s="1">
        <f>VLOOKUP(A926,TraderCategory!$A$63:$F$556,6,FALSE)</f>
        <v>3</v>
      </c>
      <c r="D926" s="1" t="str">
        <f>VLOOKUP(C926,Tabulka5[],3,FALSE)</f>
        <v>Sergeant</v>
      </c>
      <c r="E926" s="1">
        <v>3</v>
      </c>
      <c r="F926" s="1" t="str">
        <f>VLOOKUP(E926,Tabulka5[],3,FALSE)</f>
        <v>Sergeant</v>
      </c>
      <c r="G926" s="1" t="s">
        <v>3115</v>
      </c>
      <c r="H926" s="1" t="s">
        <v>767</v>
      </c>
      <c r="I926" s="1" t="s">
        <v>8</v>
      </c>
      <c r="J926" s="1" t="s">
        <v>2729</v>
      </c>
      <c r="K926" s="1" t="s">
        <v>3129</v>
      </c>
      <c r="L926" s="1" t="s">
        <v>3155</v>
      </c>
      <c r="M926" s="1">
        <v>15000</v>
      </c>
      <c r="N926" s="1">
        <v>1</v>
      </c>
      <c r="O926" s="1" t="str">
        <f t="shared" si="73"/>
        <v>"Izh43Shotgun": 1,</v>
      </c>
      <c r="P926" s="1" t="str">
        <f t="shared" si="74"/>
        <v>"Izh43Shotgun": 62,</v>
      </c>
      <c r="Q926" s="1" t="str">
        <f t="shared" si="75"/>
        <v>"Izh43Shotgun": 15000,</v>
      </c>
      <c r="R926" s="1" t="str">
        <f t="shared" si="76"/>
        <v>"Izh43Shotgun": 3,</v>
      </c>
    </row>
    <row r="927" spans="1:18" x14ac:dyDescent="0.25">
      <c r="A927" s="1" t="str">
        <f t="shared" si="77"/>
        <v>#tc_military#tc_weapons#tc_shotguns</v>
      </c>
      <c r="B927" s="1">
        <f>VLOOKUP(A927,TraderCategory!$A$63:$E$556,2,FALSE)</f>
        <v>62</v>
      </c>
      <c r="C927" s="1">
        <f>VLOOKUP(A927,TraderCategory!$A$63:$F$556,6,FALSE)</f>
        <v>3</v>
      </c>
      <c r="D927" s="1" t="str">
        <f>VLOOKUP(C927,Tabulka5[],3,FALSE)</f>
        <v>Sergeant</v>
      </c>
      <c r="E927" s="1">
        <v>5</v>
      </c>
      <c r="F927" s="1" t="str">
        <f>VLOOKUP(E927,Tabulka5[],3,FALSE)</f>
        <v>Sergeant First Class</v>
      </c>
      <c r="G927" s="1" t="s">
        <v>3115</v>
      </c>
      <c r="H927" s="1" t="s">
        <v>907</v>
      </c>
      <c r="I927" s="1" t="s">
        <v>8</v>
      </c>
      <c r="J927" s="1" t="s">
        <v>2729</v>
      </c>
      <c r="K927" s="1" t="s">
        <v>3129</v>
      </c>
      <c r="L927" s="1" t="s">
        <v>3155</v>
      </c>
      <c r="M927" s="1">
        <v>25000</v>
      </c>
      <c r="N927" s="1">
        <v>1</v>
      </c>
      <c r="O927" s="1" t="str">
        <f t="shared" si="73"/>
        <v>"Mp133Shotgun": 1,</v>
      </c>
      <c r="P927" s="1" t="str">
        <f t="shared" si="74"/>
        <v>"Mp133Shotgun": 62,</v>
      </c>
      <c r="Q927" s="1" t="str">
        <f t="shared" si="75"/>
        <v>"Mp133Shotgun": 25000,</v>
      </c>
      <c r="R927" s="1" t="str">
        <f t="shared" si="76"/>
        <v>"Mp133Shotgun": 5,</v>
      </c>
    </row>
    <row r="928" spans="1:18" x14ac:dyDescent="0.25">
      <c r="A928" s="1" t="str">
        <f t="shared" si="77"/>
        <v>#tc_military#tc_magazines#tc_rifles</v>
      </c>
      <c r="B928" s="1">
        <f>VLOOKUP(A928,TraderCategory!$A$63:$E$556,2,FALSE)</f>
        <v>56</v>
      </c>
      <c r="C928" s="1">
        <f>VLOOKUP(A928,TraderCategory!$A$63:$F$556,6,FALSE)</f>
        <v>0</v>
      </c>
      <c r="D928" s="1" t="str">
        <f>VLOOKUP(C928,Tabulka5[],3,FALSE)</f>
        <v>Private</v>
      </c>
      <c r="E928" s="1">
        <v>5</v>
      </c>
      <c r="F928" s="1" t="str">
        <f>VLOOKUP(E928,Tabulka5[],3,FALSE)</f>
        <v>Sergeant First Class</v>
      </c>
      <c r="G928" s="1" t="s">
        <v>3119</v>
      </c>
      <c r="H928" s="1" t="s">
        <v>1283</v>
      </c>
      <c r="I928" s="1" t="s">
        <v>8</v>
      </c>
      <c r="J928" s="1" t="s">
        <v>2729</v>
      </c>
      <c r="K928" s="1" t="s">
        <v>2737</v>
      </c>
      <c r="L928" s="1" t="s">
        <v>3157</v>
      </c>
      <c r="M928" s="1">
        <v>3200</v>
      </c>
      <c r="N928" s="1">
        <v>1</v>
      </c>
      <c r="O928" s="1" t="str">
        <f t="shared" si="73"/>
        <v>"Mag_gewehr43_10Rnd_mung": 1,</v>
      </c>
      <c r="P928" s="1" t="str">
        <f t="shared" si="74"/>
        <v>"Mag_gewehr43_10Rnd_mung": 56,</v>
      </c>
      <c r="Q928" s="1" t="str">
        <f t="shared" si="75"/>
        <v>"Mag_gewehr43_10Rnd_mung": 3200,</v>
      </c>
      <c r="R928" s="1" t="str">
        <f t="shared" si="76"/>
        <v>"Mag_gewehr43_10Rnd_mung": 5,</v>
      </c>
    </row>
    <row r="929" spans="1:18" x14ac:dyDescent="0.25">
      <c r="A929" s="1" t="str">
        <f t="shared" si="77"/>
        <v>#tc_military#tc_weapons#tc_shotguns</v>
      </c>
      <c r="B929" s="1">
        <f>VLOOKUP(A929,TraderCategory!$A$63:$E$556,2,FALSE)</f>
        <v>62</v>
      </c>
      <c r="C929" s="1">
        <f>VLOOKUP(A929,TraderCategory!$A$63:$F$556,6,FALSE)</f>
        <v>3</v>
      </c>
      <c r="D929" s="1" t="str">
        <f>VLOOKUP(C929,Tabulka5[],3,FALSE)</f>
        <v>Sergeant</v>
      </c>
      <c r="E929" s="1">
        <v>6</v>
      </c>
      <c r="F929" s="1" t="str">
        <f>VLOOKUP(E929,Tabulka5[],3,FALSE)</f>
        <v>Master Sergeant</v>
      </c>
      <c r="G929" s="1" t="s">
        <v>3116</v>
      </c>
      <c r="H929" s="1" t="s">
        <v>2813</v>
      </c>
      <c r="I929" s="1" t="s">
        <v>8</v>
      </c>
      <c r="J929" s="1" t="s">
        <v>2729</v>
      </c>
      <c r="K929" s="1" t="s">
        <v>3129</v>
      </c>
      <c r="L929" s="1" t="s">
        <v>3155</v>
      </c>
      <c r="M929" s="1">
        <v>30000</v>
      </c>
      <c r="N929" s="1">
        <v>1</v>
      </c>
      <c r="O929" s="1" t="str">
        <f t="shared" si="73"/>
        <v>"WE_M1014": 1,</v>
      </c>
      <c r="P929" s="1" t="str">
        <f t="shared" si="74"/>
        <v>"WE_M1014": 62,</v>
      </c>
      <c r="Q929" s="1" t="str">
        <f t="shared" si="75"/>
        <v>"WE_M1014": 30000,</v>
      </c>
      <c r="R929" s="1" t="str">
        <f t="shared" si="76"/>
        <v>"WE_M1014": 6,</v>
      </c>
    </row>
    <row r="930" spans="1:18" x14ac:dyDescent="0.25">
      <c r="A930" s="1" t="str">
        <f t="shared" si="77"/>
        <v>#tc_military#tc_magazines#tc_snipers</v>
      </c>
      <c r="B930" s="1">
        <f>VLOOKUP(A930,TraderCategory!$A$63:$E$556,2,FALSE)</f>
        <v>59</v>
      </c>
      <c r="C930" s="1">
        <f>VLOOKUP(A930,TraderCategory!$A$63:$F$556,6,FALSE)</f>
        <v>12</v>
      </c>
      <c r="D930" s="1" t="str">
        <f>VLOOKUP(C930,Tabulka5[],3,FALSE)</f>
        <v>Captain</v>
      </c>
      <c r="E930" s="1">
        <v>13</v>
      </c>
      <c r="F930" s="1" t="str">
        <f>VLOOKUP(E930,Tabulka5[],3,FALSE)</f>
        <v>Major</v>
      </c>
      <c r="G930" s="1" t="s">
        <v>3119</v>
      </c>
      <c r="H930" s="1" t="s">
        <v>1285</v>
      </c>
      <c r="I930" s="1" t="s">
        <v>8</v>
      </c>
      <c r="J930" s="1" t="s">
        <v>2729</v>
      </c>
      <c r="K930" s="1" t="s">
        <v>2737</v>
      </c>
      <c r="L930" s="1" t="s">
        <v>3160</v>
      </c>
      <c r="M930" s="1">
        <v>4800</v>
      </c>
      <c r="N930" s="1">
        <v>1</v>
      </c>
      <c r="O930" s="1" t="str">
        <f t="shared" si="73"/>
        <v>"Mag_cs5_10Rnd_mung": 1,</v>
      </c>
      <c r="P930" s="1" t="str">
        <f t="shared" si="74"/>
        <v>"Mag_cs5_10Rnd_mung": 59,</v>
      </c>
      <c r="Q930" s="1" t="str">
        <f t="shared" si="75"/>
        <v>"Mag_cs5_10Rnd_mung": 4800,</v>
      </c>
      <c r="R930" s="1" t="str">
        <f t="shared" si="76"/>
        <v>"Mag_cs5_10Rnd_mung": 13,</v>
      </c>
    </row>
    <row r="931" spans="1:18" ht="15" customHeight="1" x14ac:dyDescent="0.25">
      <c r="A931" s="1" t="str">
        <f t="shared" si="77"/>
        <v>#tc_groceries#tc_tools#tc_storages</v>
      </c>
      <c r="B931" s="1">
        <f>VLOOKUP(A931,TraderCategory!$A$63:$E$556,2,FALSE)</f>
        <v>41</v>
      </c>
      <c r="C931" s="1">
        <f>VLOOKUP(A931,TraderCategory!$A$63:$F$556,6,FALSE)</f>
        <v>3</v>
      </c>
      <c r="D931" s="1" t="str">
        <f>VLOOKUP(C931,Tabulka5[],3,FALSE)</f>
        <v>Sergeant</v>
      </c>
      <c r="E931" s="1">
        <v>10</v>
      </c>
      <c r="F931" s="1" t="str">
        <f>VLOOKUP(E931,Tabulka5[],3,FALSE)</f>
        <v>Second Lieutenant</v>
      </c>
      <c r="G931" s="1" t="s">
        <v>3119</v>
      </c>
      <c r="H931" s="1" t="s">
        <v>1286</v>
      </c>
      <c r="I931" s="1" t="s">
        <v>426</v>
      </c>
      <c r="J931" s="1" t="s">
        <v>3127</v>
      </c>
      <c r="K931" s="1" t="s">
        <v>2740</v>
      </c>
      <c r="L931" s="1" t="s">
        <v>3227</v>
      </c>
      <c r="M931" s="1">
        <v>40000</v>
      </c>
      <c r="N931" s="1">
        <v>1</v>
      </c>
      <c r="O931" s="1" t="str">
        <f t="shared" si="73"/>
        <v>"hardigg_Mung": 1,</v>
      </c>
      <c r="P931" s="1" t="str">
        <f t="shared" si="74"/>
        <v>"hardigg_Mung": 41,</v>
      </c>
      <c r="Q931" s="1" t="str">
        <f t="shared" si="75"/>
        <v>"hardigg_Mung": 40000,</v>
      </c>
      <c r="R931" s="1" t="str">
        <f t="shared" si="76"/>
        <v>"hardigg_Mung": 10,</v>
      </c>
    </row>
    <row r="932" spans="1:18" ht="15" customHeight="1" x14ac:dyDescent="0.25">
      <c r="A932" s="1" t="str">
        <f t="shared" si="77"/>
        <v>#tc_groceries#tc_tools#tc_storages</v>
      </c>
      <c r="B932" s="1">
        <f>VLOOKUP(A932,TraderCategory!$A$63:$E$556,2,FALSE)</f>
        <v>41</v>
      </c>
      <c r="C932" s="1">
        <f>VLOOKUP(A932,TraderCategory!$A$63:$F$556,6,FALSE)</f>
        <v>3</v>
      </c>
      <c r="D932" s="1" t="str">
        <f>VLOOKUP(C932,Tabulka5[],3,FALSE)</f>
        <v>Sergeant</v>
      </c>
      <c r="E932" s="1">
        <v>8</v>
      </c>
      <c r="F932" s="1" t="str">
        <f>VLOOKUP(E932,Tabulka5[],3,FALSE)</f>
        <v>Command Sergeant Major</v>
      </c>
      <c r="G932" s="1" t="s">
        <v>3119</v>
      </c>
      <c r="H932" s="1" t="s">
        <v>1287</v>
      </c>
      <c r="I932" s="1" t="s">
        <v>426</v>
      </c>
      <c r="J932" s="1" t="s">
        <v>3127</v>
      </c>
      <c r="K932" s="1" t="s">
        <v>2740</v>
      </c>
      <c r="L932" s="1" t="s">
        <v>3227</v>
      </c>
      <c r="M932" s="1">
        <v>30000</v>
      </c>
      <c r="N932" s="1">
        <v>1</v>
      </c>
      <c r="O932" s="1" t="str">
        <f t="shared" si="73"/>
        <v>"hardigg2_Mung": 1,</v>
      </c>
      <c r="P932" s="1" t="str">
        <f t="shared" si="74"/>
        <v>"hardigg2_Mung": 41,</v>
      </c>
      <c r="Q932" s="1" t="str">
        <f t="shared" si="75"/>
        <v>"hardigg2_Mung": 30000,</v>
      </c>
      <c r="R932" s="1" t="str">
        <f t="shared" si="76"/>
        <v>"hardigg2_Mung": 8,</v>
      </c>
    </row>
    <row r="933" spans="1:18" ht="15" customHeight="1" x14ac:dyDescent="0.25">
      <c r="A933" s="1" t="str">
        <f t="shared" si="77"/>
        <v>#tc_groceries#tc_tools#tc_storages</v>
      </c>
      <c r="B933" s="1">
        <f>VLOOKUP(A933,TraderCategory!$A$63:$E$556,2,FALSE)</f>
        <v>41</v>
      </c>
      <c r="C933" s="1">
        <f>VLOOKUP(A933,TraderCategory!$A$63:$F$556,6,FALSE)</f>
        <v>3</v>
      </c>
      <c r="D933" s="1" t="str">
        <f>VLOOKUP(C933,Tabulka5[],3,FALSE)</f>
        <v>Sergeant</v>
      </c>
      <c r="E933" s="1">
        <v>8</v>
      </c>
      <c r="F933" s="1" t="str">
        <f>VLOOKUP(E933,Tabulka5[],3,FALSE)</f>
        <v>Command Sergeant Major</v>
      </c>
      <c r="G933" s="1" t="s">
        <v>3119</v>
      </c>
      <c r="H933" s="1" t="s">
        <v>1288</v>
      </c>
      <c r="I933" s="1" t="s">
        <v>426</v>
      </c>
      <c r="J933" s="1" t="s">
        <v>3127</v>
      </c>
      <c r="K933" s="1" t="s">
        <v>2740</v>
      </c>
      <c r="L933" s="1" t="s">
        <v>3227</v>
      </c>
      <c r="M933" s="1">
        <v>30000</v>
      </c>
      <c r="N933" s="1">
        <v>1</v>
      </c>
      <c r="O933" s="1" t="str">
        <f t="shared" si="73"/>
        <v>"hardigg2_Mung_camo": 1,</v>
      </c>
      <c r="P933" s="1" t="str">
        <f t="shared" si="74"/>
        <v>"hardigg2_Mung_camo": 41,</v>
      </c>
      <c r="Q933" s="1" t="str">
        <f t="shared" si="75"/>
        <v>"hardigg2_Mung_camo": 30000,</v>
      </c>
      <c r="R933" s="1" t="str">
        <f t="shared" si="76"/>
        <v>"hardigg2_Mung_camo": 8,</v>
      </c>
    </row>
    <row r="934" spans="1:18" ht="15" customHeight="1" x14ac:dyDescent="0.25">
      <c r="A934" s="1" t="str">
        <f t="shared" si="77"/>
        <v>#tc_groceries#tc_tools#tc_storages</v>
      </c>
      <c r="B934" s="1">
        <f>VLOOKUP(A934,TraderCategory!$A$63:$E$556,2,FALSE)</f>
        <v>41</v>
      </c>
      <c r="C934" s="1">
        <f>VLOOKUP(A934,TraderCategory!$A$63:$F$556,6,FALSE)</f>
        <v>3</v>
      </c>
      <c r="D934" s="1" t="str">
        <f>VLOOKUP(C934,Tabulka5[],3,FALSE)</f>
        <v>Sergeant</v>
      </c>
      <c r="E934" s="1">
        <v>6</v>
      </c>
      <c r="F934" s="1" t="str">
        <f>VLOOKUP(E934,Tabulka5[],3,FALSE)</f>
        <v>Master Sergeant</v>
      </c>
      <c r="G934" s="1" t="s">
        <v>3119</v>
      </c>
      <c r="H934" s="1" t="s">
        <v>1289</v>
      </c>
      <c r="I934" s="1" t="s">
        <v>426</v>
      </c>
      <c r="J934" s="1" t="s">
        <v>3127</v>
      </c>
      <c r="K934" s="1" t="s">
        <v>2740</v>
      </c>
      <c r="L934" s="1" t="s">
        <v>3227</v>
      </c>
      <c r="M934" s="1">
        <v>25000</v>
      </c>
      <c r="N934" s="1">
        <v>1</v>
      </c>
      <c r="O934" s="1" t="str">
        <f t="shared" si="73"/>
        <v>"hardigg3_mung": 1,</v>
      </c>
      <c r="P934" s="1" t="str">
        <f t="shared" si="74"/>
        <v>"hardigg3_mung": 41,</v>
      </c>
      <c r="Q934" s="1" t="str">
        <f t="shared" si="75"/>
        <v>"hardigg3_mung": 25000,</v>
      </c>
      <c r="R934" s="1" t="str">
        <f t="shared" si="76"/>
        <v>"hardigg3_mung": 6,</v>
      </c>
    </row>
    <row r="935" spans="1:18" ht="15" customHeight="1" x14ac:dyDescent="0.25">
      <c r="A935" s="1" t="str">
        <f t="shared" si="77"/>
        <v>#tc_clothes#tc_civil#tc_bags</v>
      </c>
      <c r="B935" s="1">
        <f>VLOOKUP(A935,TraderCategory!$A$63:$E$556,2,FALSE)</f>
        <v>7</v>
      </c>
      <c r="C935" s="1">
        <f>VLOOKUP(A935,TraderCategory!$A$63:$F$556,6,FALSE)</f>
        <v>0</v>
      </c>
      <c r="D935" s="1" t="str">
        <f>VLOOKUP(C935,Tabulka5[],3,FALSE)</f>
        <v>Private</v>
      </c>
      <c r="E935" s="1">
        <v>0</v>
      </c>
      <c r="F935" s="1" t="str">
        <f>VLOOKUP(E935,Tabulka5[],3,FALSE)</f>
        <v>Private</v>
      </c>
      <c r="G935" s="1" t="s">
        <v>3119</v>
      </c>
      <c r="H935" s="1" t="s">
        <v>1290</v>
      </c>
      <c r="I935" s="1" t="s">
        <v>363</v>
      </c>
      <c r="J935" s="1" t="s">
        <v>2728</v>
      </c>
      <c r="K935" s="1" t="s">
        <v>3126</v>
      </c>
      <c r="L935" s="1" t="s">
        <v>3138</v>
      </c>
      <c r="M935" s="1">
        <v>6000</v>
      </c>
      <c r="N935" s="1">
        <v>1</v>
      </c>
      <c r="O935" s="1" t="str">
        <f t="shared" si="73"/>
        <v>"simplebackpack_blue_mung": 1,</v>
      </c>
      <c r="P935" s="1" t="str">
        <f t="shared" si="74"/>
        <v>"simplebackpack_blue_mung": 7,</v>
      </c>
      <c r="Q935" s="1" t="str">
        <f t="shared" si="75"/>
        <v>"simplebackpack_blue_mung": 6000,</v>
      </c>
      <c r="R935" s="1" t="str">
        <f t="shared" si="76"/>
        <v>"simplebackpack_blue_mung": 0,</v>
      </c>
    </row>
    <row r="936" spans="1:18" ht="15" customHeight="1" x14ac:dyDescent="0.25">
      <c r="A936" s="1" t="str">
        <f t="shared" si="77"/>
        <v>#tc_clothes#tc_civil#tc_bags</v>
      </c>
      <c r="B936" s="1">
        <f>VLOOKUP(A936,TraderCategory!$A$63:$E$556,2,FALSE)</f>
        <v>7</v>
      </c>
      <c r="C936" s="1">
        <f>VLOOKUP(A936,TraderCategory!$A$63:$F$556,6,FALSE)</f>
        <v>0</v>
      </c>
      <c r="D936" s="1" t="str">
        <f>VLOOKUP(C936,Tabulka5[],3,FALSE)</f>
        <v>Private</v>
      </c>
      <c r="E936" s="1">
        <v>0</v>
      </c>
      <c r="F936" s="1" t="str">
        <f>VLOOKUP(E936,Tabulka5[],3,FALSE)</f>
        <v>Private</v>
      </c>
      <c r="G936" s="1" t="s">
        <v>3119</v>
      </c>
      <c r="H936" s="1" t="s">
        <v>1291</v>
      </c>
      <c r="I936" s="1" t="s">
        <v>363</v>
      </c>
      <c r="J936" s="1" t="s">
        <v>2728</v>
      </c>
      <c r="K936" s="1" t="s">
        <v>3126</v>
      </c>
      <c r="L936" s="1" t="s">
        <v>3138</v>
      </c>
      <c r="M936" s="1">
        <v>6000</v>
      </c>
      <c r="N936" s="1">
        <v>1</v>
      </c>
      <c r="O936" s="1" t="str">
        <f t="shared" si="73"/>
        <v>"simplebackpack_camoblack_mung": 1,</v>
      </c>
      <c r="P936" s="1" t="str">
        <f t="shared" si="74"/>
        <v>"simplebackpack_camoblack_mung": 7,</v>
      </c>
      <c r="Q936" s="1" t="str">
        <f t="shared" si="75"/>
        <v>"simplebackpack_camoblack_mung": 6000,</v>
      </c>
      <c r="R936" s="1" t="str">
        <f t="shared" si="76"/>
        <v>"simplebackpack_camoblack_mung": 0,</v>
      </c>
    </row>
    <row r="937" spans="1:18" ht="15" customHeight="1" x14ac:dyDescent="0.25">
      <c r="A937" s="1" t="str">
        <f t="shared" si="77"/>
        <v>#tc_clothes#tc_civil#tc_bags</v>
      </c>
      <c r="B937" s="1">
        <f>VLOOKUP(A937,TraderCategory!$A$63:$E$556,2,FALSE)</f>
        <v>7</v>
      </c>
      <c r="C937" s="1">
        <f>VLOOKUP(A937,TraderCategory!$A$63:$F$556,6,FALSE)</f>
        <v>0</v>
      </c>
      <c r="D937" s="1" t="str">
        <f>VLOOKUP(C937,Tabulka5[],3,FALSE)</f>
        <v>Private</v>
      </c>
      <c r="E937" s="1">
        <v>0</v>
      </c>
      <c r="F937" s="1" t="str">
        <f>VLOOKUP(E937,Tabulka5[],3,FALSE)</f>
        <v>Private</v>
      </c>
      <c r="G937" s="1" t="s">
        <v>3119</v>
      </c>
      <c r="H937" s="1" t="s">
        <v>1292</v>
      </c>
      <c r="I937" s="1" t="s">
        <v>363</v>
      </c>
      <c r="J937" s="1" t="s">
        <v>2728</v>
      </c>
      <c r="K937" s="1" t="s">
        <v>3126</v>
      </c>
      <c r="L937" s="1" t="s">
        <v>3138</v>
      </c>
      <c r="M937" s="1">
        <v>6000</v>
      </c>
      <c r="N937" s="1">
        <v>1</v>
      </c>
      <c r="O937" s="1" t="str">
        <f t="shared" si="73"/>
        <v>"simplebackpack_green_mung": 1,</v>
      </c>
      <c r="P937" s="1" t="str">
        <f t="shared" si="74"/>
        <v>"simplebackpack_green_mung": 7,</v>
      </c>
      <c r="Q937" s="1" t="str">
        <f t="shared" si="75"/>
        <v>"simplebackpack_green_mung": 6000,</v>
      </c>
      <c r="R937" s="1" t="str">
        <f t="shared" si="76"/>
        <v>"simplebackpack_green_mung": 0,</v>
      </c>
    </row>
    <row r="938" spans="1:18" ht="15" customHeight="1" x14ac:dyDescent="0.25">
      <c r="A938" s="1" t="str">
        <f t="shared" si="77"/>
        <v>#tc_clothes#tc_civil#tc_bags</v>
      </c>
      <c r="B938" s="1">
        <f>VLOOKUP(A938,TraderCategory!$A$63:$E$556,2,FALSE)</f>
        <v>7</v>
      </c>
      <c r="C938" s="1">
        <f>VLOOKUP(A938,TraderCategory!$A$63:$F$556,6,FALSE)</f>
        <v>0</v>
      </c>
      <c r="D938" s="1" t="str">
        <f>VLOOKUP(C938,Tabulka5[],3,FALSE)</f>
        <v>Private</v>
      </c>
      <c r="E938" s="1">
        <v>0</v>
      </c>
      <c r="F938" s="1" t="str">
        <f>VLOOKUP(E938,Tabulka5[],3,FALSE)</f>
        <v>Private</v>
      </c>
      <c r="G938" s="1" t="s">
        <v>3119</v>
      </c>
      <c r="H938" s="1" t="s">
        <v>1293</v>
      </c>
      <c r="I938" s="1" t="s">
        <v>363</v>
      </c>
      <c r="J938" s="1" t="s">
        <v>2728</v>
      </c>
      <c r="K938" s="1" t="s">
        <v>3126</v>
      </c>
      <c r="L938" s="1" t="s">
        <v>3138</v>
      </c>
      <c r="M938" s="1">
        <v>6000</v>
      </c>
      <c r="N938" s="1">
        <v>1</v>
      </c>
      <c r="O938" s="1" t="str">
        <f t="shared" si="73"/>
        <v>"simplebackpack_redpink_mung": 1,</v>
      </c>
      <c r="P938" s="1" t="str">
        <f t="shared" si="74"/>
        <v>"simplebackpack_redpink_mung": 7,</v>
      </c>
      <c r="Q938" s="1" t="str">
        <f t="shared" si="75"/>
        <v>"simplebackpack_redpink_mung": 6000,</v>
      </c>
      <c r="R938" s="1" t="str">
        <f t="shared" si="76"/>
        <v>"simplebackpack_redpink_mung": 0,</v>
      </c>
    </row>
    <row r="939" spans="1:18" ht="15" customHeight="1" x14ac:dyDescent="0.25">
      <c r="A939" s="1" t="str">
        <f t="shared" si="77"/>
        <v>#tc_clothes#tc_civil#tc_bags</v>
      </c>
      <c r="B939" s="1">
        <f>VLOOKUP(A939,TraderCategory!$A$63:$E$556,2,FALSE)</f>
        <v>7</v>
      </c>
      <c r="C939" s="1">
        <f>VLOOKUP(A939,TraderCategory!$A$63:$F$556,6,FALSE)</f>
        <v>0</v>
      </c>
      <c r="D939" s="1" t="str">
        <f>VLOOKUP(C939,Tabulka5[],3,FALSE)</f>
        <v>Private</v>
      </c>
      <c r="E939" s="1">
        <v>0</v>
      </c>
      <c r="F939" s="1" t="str">
        <f>VLOOKUP(E939,Tabulka5[],3,FALSE)</f>
        <v>Private</v>
      </c>
      <c r="G939" s="1" t="s">
        <v>3119</v>
      </c>
      <c r="H939" s="1" t="s">
        <v>1294</v>
      </c>
      <c r="I939" s="1" t="s">
        <v>363</v>
      </c>
      <c r="J939" s="1" t="s">
        <v>2728</v>
      </c>
      <c r="K939" s="1" t="s">
        <v>3126</v>
      </c>
      <c r="L939" s="1" t="s">
        <v>3138</v>
      </c>
      <c r="M939" s="1">
        <v>6000</v>
      </c>
      <c r="N939" s="1">
        <v>1</v>
      </c>
      <c r="O939" s="1" t="str">
        <f t="shared" si="73"/>
        <v>"simplebackpack_redyellow_mung": 1,</v>
      </c>
      <c r="P939" s="1" t="str">
        <f t="shared" si="74"/>
        <v>"simplebackpack_redyellow_mung": 7,</v>
      </c>
      <c r="Q939" s="1" t="str">
        <f t="shared" si="75"/>
        <v>"simplebackpack_redyellow_mung": 6000,</v>
      </c>
      <c r="R939" s="1" t="str">
        <f t="shared" si="76"/>
        <v>"simplebackpack_redyellow_mung": 0,</v>
      </c>
    </row>
    <row r="940" spans="1:18" ht="15" customHeight="1" x14ac:dyDescent="0.25">
      <c r="A940" s="1" t="str">
        <f t="shared" si="77"/>
        <v>#tc_groceries#tc_tools#tc_camping</v>
      </c>
      <c r="B940" s="1">
        <f>VLOOKUP(A940,TraderCategory!$A$63:$E$556,2,FALSE)</f>
        <v>33</v>
      </c>
      <c r="C940" s="1">
        <f>VLOOKUP(A940,TraderCategory!$A$63:$F$556,6,FALSE)</f>
        <v>3</v>
      </c>
      <c r="D940" s="1" t="str">
        <f>VLOOKUP(C940,Tabulka5[],3,FALSE)</f>
        <v>Sergeant</v>
      </c>
      <c r="E940" s="1">
        <v>7</v>
      </c>
      <c r="F940" s="1" t="str">
        <f>VLOOKUP(E940,Tabulka5[],3,FALSE)</f>
        <v>First Sergeant</v>
      </c>
      <c r="G940" s="1" t="s">
        <v>3119</v>
      </c>
      <c r="H940" s="1" t="s">
        <v>1295</v>
      </c>
      <c r="I940" s="1" t="s">
        <v>426</v>
      </c>
      <c r="J940" s="1" t="s">
        <v>3127</v>
      </c>
      <c r="K940" s="1" t="s">
        <v>2740</v>
      </c>
      <c r="L940" s="1" t="s">
        <v>3150</v>
      </c>
      <c r="M940" s="1">
        <v>4000</v>
      </c>
      <c r="N940" s="1">
        <v>1</v>
      </c>
      <c r="O940" s="1" t="str">
        <f t="shared" si="73"/>
        <v>"ballgrill_mung": 1,</v>
      </c>
      <c r="P940" s="1" t="str">
        <f t="shared" si="74"/>
        <v>"ballgrill_mung": 33,</v>
      </c>
      <c r="Q940" s="1" t="str">
        <f t="shared" si="75"/>
        <v>"ballgrill_mung": 4000,</v>
      </c>
      <c r="R940" s="1" t="str">
        <f t="shared" si="76"/>
        <v>"ballgrill_mung": 7,</v>
      </c>
    </row>
    <row r="941" spans="1:18" ht="15" customHeight="1" x14ac:dyDescent="0.25">
      <c r="A941" s="1" t="str">
        <f t="shared" si="77"/>
        <v>#tc_groceries#tc_tools#tc_toys</v>
      </c>
      <c r="B941" s="1">
        <f>VLOOKUP(A941,TraderCategory!$A$63:$E$556,2,FALSE)</f>
        <v>35</v>
      </c>
      <c r="C941" s="1">
        <f>VLOOKUP(A941,TraderCategory!$A$63:$F$556,6,FALSE)</f>
        <v>0</v>
      </c>
      <c r="D941" s="1" t="str">
        <f>VLOOKUP(C941,Tabulka5[],3,FALSE)</f>
        <v>Private</v>
      </c>
      <c r="E941" s="1">
        <v>3</v>
      </c>
      <c r="F941" s="1" t="str">
        <f>VLOOKUP(E941,Tabulka5[],3,FALSE)</f>
        <v>Sergeant</v>
      </c>
      <c r="G941" s="1" t="s">
        <v>3119</v>
      </c>
      <c r="H941" s="1" t="s">
        <v>1296</v>
      </c>
      <c r="I941" s="1" t="s">
        <v>426</v>
      </c>
      <c r="J941" s="1" t="s">
        <v>3127</v>
      </c>
      <c r="K941" s="1" t="s">
        <v>2740</v>
      </c>
      <c r="L941" s="1" t="s">
        <v>3128</v>
      </c>
      <c r="M941" s="1">
        <v>4500</v>
      </c>
      <c r="N941" s="1">
        <v>1</v>
      </c>
      <c r="O941" s="1" t="str">
        <f t="shared" si="73"/>
        <v>"sherlockpipe_mung": 1,</v>
      </c>
      <c r="P941" s="1" t="str">
        <f t="shared" si="74"/>
        <v>"sherlockpipe_mung": 35,</v>
      </c>
      <c r="Q941" s="1" t="str">
        <f t="shared" si="75"/>
        <v>"sherlockpipe_mung": 4500,</v>
      </c>
      <c r="R941" s="1" t="str">
        <f t="shared" si="76"/>
        <v>"sherlockpipe_mung": 3,</v>
      </c>
    </row>
    <row r="942" spans="1:18" ht="15" customHeight="1" x14ac:dyDescent="0.25">
      <c r="A942" s="1" t="str">
        <f t="shared" si="77"/>
        <v>#tc_groceries#tc_tools#tc_toys</v>
      </c>
      <c r="B942" s="1">
        <f>VLOOKUP(A942,TraderCategory!$A$63:$E$556,2,FALSE)</f>
        <v>35</v>
      </c>
      <c r="C942" s="1">
        <f>VLOOKUP(A942,TraderCategory!$A$63:$F$556,6,FALSE)</f>
        <v>0</v>
      </c>
      <c r="D942" s="1" t="str">
        <f>VLOOKUP(C942,Tabulka5[],3,FALSE)</f>
        <v>Private</v>
      </c>
      <c r="E942" s="1">
        <v>3</v>
      </c>
      <c r="F942" s="1" t="str">
        <f>VLOOKUP(E942,Tabulka5[],3,FALSE)</f>
        <v>Sergeant</v>
      </c>
      <c r="G942" s="1" t="s">
        <v>3119</v>
      </c>
      <c r="H942" s="1" t="s">
        <v>1297</v>
      </c>
      <c r="I942" s="1" t="s">
        <v>426</v>
      </c>
      <c r="J942" s="1" t="s">
        <v>3127</v>
      </c>
      <c r="K942" s="1" t="s">
        <v>2740</v>
      </c>
      <c r="L942" s="1" t="s">
        <v>3128</v>
      </c>
      <c r="M942" s="1">
        <v>2000</v>
      </c>
      <c r="N942" s="1">
        <v>1</v>
      </c>
      <c r="O942" s="1" t="str">
        <f t="shared" si="73"/>
        <v>"joint_mung": 1,</v>
      </c>
      <c r="P942" s="1" t="str">
        <f t="shared" si="74"/>
        <v>"joint_mung": 35,</v>
      </c>
      <c r="Q942" s="1" t="str">
        <f t="shared" si="75"/>
        <v>"joint_mung": 2000,</v>
      </c>
      <c r="R942" s="1" t="str">
        <f t="shared" si="76"/>
        <v>"joint_mung": 3,</v>
      </c>
    </row>
    <row r="943" spans="1:18" ht="15" customHeight="1" x14ac:dyDescent="0.25">
      <c r="A943" s="1" t="str">
        <f t="shared" si="77"/>
        <v>#tc_groceries#tc_tools#tc_tools</v>
      </c>
      <c r="B943" s="1">
        <f>VLOOKUP(A943,TraderCategory!$A$63:$E$556,2,FALSE)</f>
        <v>30</v>
      </c>
      <c r="C943" s="1">
        <f>VLOOKUP(A943,TraderCategory!$A$63:$F$556,6,FALSE)</f>
        <v>0</v>
      </c>
      <c r="D943" s="1" t="str">
        <f>VLOOKUP(C943,Tabulka5[],3,FALSE)</f>
        <v>Private</v>
      </c>
      <c r="E943" s="1">
        <v>3</v>
      </c>
      <c r="F943" s="1" t="str">
        <f>VLOOKUP(E943,Tabulka5[],3,FALSE)</f>
        <v>Sergeant</v>
      </c>
      <c r="G943" s="1" t="s">
        <v>3119</v>
      </c>
      <c r="H943" s="1" t="s">
        <v>1298</v>
      </c>
      <c r="I943" s="1" t="s">
        <v>426</v>
      </c>
      <c r="J943" s="1" t="s">
        <v>3127</v>
      </c>
      <c r="K943" s="1" t="s">
        <v>2740</v>
      </c>
      <c r="L943" s="1" t="s">
        <v>2740</v>
      </c>
      <c r="M943" s="1">
        <v>2000</v>
      </c>
      <c r="N943" s="1">
        <v>1</v>
      </c>
      <c r="O943" s="1" t="str">
        <f t="shared" si="73"/>
        <v>"Clawhammer_mung": 1,</v>
      </c>
      <c r="P943" s="1" t="str">
        <f t="shared" si="74"/>
        <v>"Clawhammer_mung": 30,</v>
      </c>
      <c r="Q943" s="1" t="str">
        <f t="shared" si="75"/>
        <v>"Clawhammer_mung": 2000,</v>
      </c>
      <c r="R943" s="1" t="str">
        <f t="shared" si="76"/>
        <v>"Clawhammer_mung": 3,</v>
      </c>
    </row>
    <row r="944" spans="1:18" ht="15" customHeight="1" x14ac:dyDescent="0.25">
      <c r="A944" s="1" t="str">
        <f t="shared" si="77"/>
        <v>#tc_groceries#tc_tools#tc_knifes</v>
      </c>
      <c r="B944" s="1">
        <f>VLOOKUP(A944,TraderCategory!$A$63:$E$556,2,FALSE)</f>
        <v>28</v>
      </c>
      <c r="C944" s="1">
        <f>VLOOKUP(A944,TraderCategory!$A$63:$F$556,6,FALSE)</f>
        <v>0</v>
      </c>
      <c r="D944" s="1" t="str">
        <f>VLOOKUP(C944,Tabulka5[],3,FALSE)</f>
        <v>Private</v>
      </c>
      <c r="E944" s="1">
        <v>3</v>
      </c>
      <c r="F944" s="1" t="str">
        <f>VLOOKUP(E944,Tabulka5[],3,FALSE)</f>
        <v>Sergeant</v>
      </c>
      <c r="G944" s="1" t="s">
        <v>3119</v>
      </c>
      <c r="H944" s="1" t="s">
        <v>1299</v>
      </c>
      <c r="I944" s="1" t="s">
        <v>426</v>
      </c>
      <c r="J944" s="1" t="s">
        <v>3127</v>
      </c>
      <c r="K944" s="1" t="s">
        <v>2740</v>
      </c>
      <c r="L944" s="1" t="s">
        <v>3143</v>
      </c>
      <c r="M944" s="1">
        <v>2500</v>
      </c>
      <c r="N944" s="1">
        <v>1</v>
      </c>
      <c r="O944" s="1" t="str">
        <f t="shared" si="73"/>
        <v>"Vesuri_mung": 1,</v>
      </c>
      <c r="P944" s="1" t="str">
        <f t="shared" si="74"/>
        <v>"Vesuri_mung": 28,</v>
      </c>
      <c r="Q944" s="1" t="str">
        <f t="shared" si="75"/>
        <v>"Vesuri_mung": 2500,</v>
      </c>
      <c r="R944" s="1" t="str">
        <f t="shared" si="76"/>
        <v>"Vesuri_mung": 3,</v>
      </c>
    </row>
    <row r="945" spans="1:18" ht="15" customHeight="1" x14ac:dyDescent="0.25">
      <c r="A945" s="1" t="str">
        <f t="shared" si="77"/>
        <v>#tc_clothes#tc_civil#tc_belts</v>
      </c>
      <c r="B945" s="1">
        <f>VLOOKUP(A945,TraderCategory!$A$63:$E$556,2,FALSE)</f>
        <v>3</v>
      </c>
      <c r="C945" s="1">
        <f>VLOOKUP(A945,TraderCategory!$A$63:$F$556,6,FALSE)</f>
        <v>0</v>
      </c>
      <c r="D945" s="1" t="str">
        <f>VLOOKUP(C945,Tabulka5[],3,FALSE)</f>
        <v>Private</v>
      </c>
      <c r="E945" s="1">
        <v>0</v>
      </c>
      <c r="F945" s="1" t="str">
        <f>VLOOKUP(E945,Tabulka5[],3,FALSE)</f>
        <v>Private</v>
      </c>
      <c r="G945" s="1" t="s">
        <v>3119</v>
      </c>
      <c r="H945" s="1" t="s">
        <v>1300</v>
      </c>
      <c r="I945" s="1" t="s">
        <v>363</v>
      </c>
      <c r="J945" s="1" t="s">
        <v>2728</v>
      </c>
      <c r="K945" s="1" t="s">
        <v>3126</v>
      </c>
      <c r="L945" s="1" t="s">
        <v>3135</v>
      </c>
      <c r="M945" s="1">
        <v>1500</v>
      </c>
      <c r="N945" s="1">
        <v>1</v>
      </c>
      <c r="O945" s="1" t="str">
        <f t="shared" si="73"/>
        <v>"fannypack_pink_mung": 1,</v>
      </c>
      <c r="P945" s="1" t="str">
        <f t="shared" si="74"/>
        <v>"fannypack_pink_mung": 3,</v>
      </c>
      <c r="Q945" s="1" t="str">
        <f t="shared" si="75"/>
        <v>"fannypack_pink_mung": 1500,</v>
      </c>
      <c r="R945" s="1" t="str">
        <f t="shared" si="76"/>
        <v>"fannypack_pink_mung": 0,</v>
      </c>
    </row>
    <row r="946" spans="1:18" ht="15" customHeight="1" x14ac:dyDescent="0.25">
      <c r="A946" s="1" t="str">
        <f t="shared" si="77"/>
        <v>#tc_clothes#tc_civil#tc_belts</v>
      </c>
      <c r="B946" s="1">
        <f>VLOOKUP(A946,TraderCategory!$A$63:$E$556,2,FALSE)</f>
        <v>3</v>
      </c>
      <c r="C946" s="1">
        <f>VLOOKUP(A946,TraderCategory!$A$63:$F$556,6,FALSE)</f>
        <v>0</v>
      </c>
      <c r="D946" s="1" t="str">
        <f>VLOOKUP(C946,Tabulka5[],3,FALSE)</f>
        <v>Private</v>
      </c>
      <c r="E946" s="1">
        <v>0</v>
      </c>
      <c r="F946" s="1" t="str">
        <f>VLOOKUP(E946,Tabulka5[],3,FALSE)</f>
        <v>Private</v>
      </c>
      <c r="G946" s="1" t="s">
        <v>3119</v>
      </c>
      <c r="H946" s="1" t="s">
        <v>1301</v>
      </c>
      <c r="I946" s="1" t="s">
        <v>363</v>
      </c>
      <c r="J946" s="1" t="s">
        <v>2728</v>
      </c>
      <c r="K946" s="1" t="s">
        <v>3126</v>
      </c>
      <c r="L946" s="1" t="s">
        <v>3135</v>
      </c>
      <c r="M946" s="1">
        <v>1500</v>
      </c>
      <c r="N946" s="1">
        <v>1</v>
      </c>
      <c r="O946" s="1" t="str">
        <f t="shared" si="73"/>
        <v>"fannypack_black_mung": 1,</v>
      </c>
      <c r="P946" s="1" t="str">
        <f t="shared" si="74"/>
        <v>"fannypack_black_mung": 3,</v>
      </c>
      <c r="Q946" s="1" t="str">
        <f t="shared" si="75"/>
        <v>"fannypack_black_mung": 1500,</v>
      </c>
      <c r="R946" s="1" t="str">
        <f t="shared" si="76"/>
        <v>"fannypack_black_mung": 0,</v>
      </c>
    </row>
    <row r="947" spans="1:18" ht="15" customHeight="1" x14ac:dyDescent="0.25">
      <c r="A947" s="1" t="str">
        <f t="shared" si="77"/>
        <v>#tc_clothes#tc_military#tc_belts</v>
      </c>
      <c r="B947" s="1">
        <f>VLOOKUP(A947,TraderCategory!$A$63:$E$556,2,FALSE)</f>
        <v>11</v>
      </c>
      <c r="C947" s="1">
        <f>VLOOKUP(A947,TraderCategory!$A$63:$F$556,6,FALSE)</f>
        <v>1</v>
      </c>
      <c r="D947" s="1" t="str">
        <f>VLOOKUP(C947,Tabulka5[],3,FALSE)</f>
        <v>Private First Class</v>
      </c>
      <c r="E947" s="1">
        <v>1</v>
      </c>
      <c r="F947" s="1" t="str">
        <f>VLOOKUP(E947,Tabulka5[],3,FALSE)</f>
        <v>Private First Class</v>
      </c>
      <c r="G947" s="1" t="s">
        <v>3119</v>
      </c>
      <c r="H947" s="1" t="s">
        <v>1302</v>
      </c>
      <c r="I947" s="1" t="s">
        <v>363</v>
      </c>
      <c r="J947" s="1" t="s">
        <v>2728</v>
      </c>
      <c r="K947" s="1" t="s">
        <v>2729</v>
      </c>
      <c r="L947" s="1" t="s">
        <v>3135</v>
      </c>
      <c r="M947" s="1">
        <v>2000</v>
      </c>
      <c r="N947" s="1">
        <v>1</v>
      </c>
      <c r="O947" s="1" t="str">
        <f t="shared" si="73"/>
        <v>"fannypack_camo_mung": 1,</v>
      </c>
      <c r="P947" s="1" t="str">
        <f t="shared" si="74"/>
        <v>"fannypack_camo_mung": 11,</v>
      </c>
      <c r="Q947" s="1" t="str">
        <f t="shared" si="75"/>
        <v>"fannypack_camo_mung": 2000,</v>
      </c>
      <c r="R947" s="1" t="str">
        <f t="shared" si="76"/>
        <v>"fannypack_camo_mung": 1,</v>
      </c>
    </row>
    <row r="948" spans="1:18" ht="15" customHeight="1" x14ac:dyDescent="0.25">
      <c r="A948" s="1" t="str">
        <f t="shared" si="77"/>
        <v>#tc_clothes#tc_civil#tc_belts</v>
      </c>
      <c r="B948" s="1">
        <f>VLOOKUP(A948,TraderCategory!$A$63:$E$556,2,FALSE)</f>
        <v>3</v>
      </c>
      <c r="C948" s="1">
        <f>VLOOKUP(A948,TraderCategory!$A$63:$F$556,6,FALSE)</f>
        <v>0</v>
      </c>
      <c r="D948" s="1" t="str">
        <f>VLOOKUP(C948,Tabulka5[],3,FALSE)</f>
        <v>Private</v>
      </c>
      <c r="E948" s="1">
        <v>0</v>
      </c>
      <c r="F948" s="1" t="str">
        <f>VLOOKUP(E948,Tabulka5[],3,FALSE)</f>
        <v>Private</v>
      </c>
      <c r="G948" s="1" t="s">
        <v>3119</v>
      </c>
      <c r="H948" s="1" t="s">
        <v>1303</v>
      </c>
      <c r="I948" s="1" t="s">
        <v>363</v>
      </c>
      <c r="J948" s="1" t="s">
        <v>2728</v>
      </c>
      <c r="K948" s="1" t="s">
        <v>3126</v>
      </c>
      <c r="L948" s="1" t="s">
        <v>3135</v>
      </c>
      <c r="M948" s="1">
        <v>1500</v>
      </c>
      <c r="N948" s="1">
        <v>1</v>
      </c>
      <c r="O948" s="1" t="str">
        <f t="shared" si="73"/>
        <v>"fannypack_multi_mung": 1,</v>
      </c>
      <c r="P948" s="1" t="str">
        <f t="shared" si="74"/>
        <v>"fannypack_multi_mung": 3,</v>
      </c>
      <c r="Q948" s="1" t="str">
        <f t="shared" si="75"/>
        <v>"fannypack_multi_mung": 1500,</v>
      </c>
      <c r="R948" s="1" t="str">
        <f t="shared" si="76"/>
        <v>"fannypack_multi_mung": 0,</v>
      </c>
    </row>
    <row r="949" spans="1:18" ht="15" customHeight="1" x14ac:dyDescent="0.25">
      <c r="A949" s="1" t="str">
        <f t="shared" si="77"/>
        <v>#tc_groceries#tc_tools#tc_camping</v>
      </c>
      <c r="B949" s="1">
        <f>VLOOKUP(A949,TraderCategory!$A$63:$E$556,2,FALSE)</f>
        <v>33</v>
      </c>
      <c r="C949" s="1">
        <f>VLOOKUP(A949,TraderCategory!$A$63:$F$556,6,FALSE)</f>
        <v>3</v>
      </c>
      <c r="D949" s="1" t="str">
        <f>VLOOKUP(C949,Tabulka5[],3,FALSE)</f>
        <v>Sergeant</v>
      </c>
      <c r="E949" s="1">
        <v>7</v>
      </c>
      <c r="F949" s="1" t="str">
        <f>VLOOKUP(E949,Tabulka5[],3,FALSE)</f>
        <v>First Sergeant</v>
      </c>
      <c r="G949" s="1" t="s">
        <v>3119</v>
      </c>
      <c r="H949" s="1" t="s">
        <v>1304</v>
      </c>
      <c r="I949" s="1" t="s">
        <v>426</v>
      </c>
      <c r="J949" s="1" t="s">
        <v>3127</v>
      </c>
      <c r="K949" s="1" t="s">
        <v>2740</v>
      </c>
      <c r="L949" s="1" t="s">
        <v>3150</v>
      </c>
      <c r="M949" s="1">
        <v>4000</v>
      </c>
      <c r="N949" s="1">
        <v>1</v>
      </c>
      <c r="O949" s="1" t="str">
        <f t="shared" si="73"/>
        <v>"kv5_mung": 1,</v>
      </c>
      <c r="P949" s="1" t="str">
        <f t="shared" si="74"/>
        <v>"kv5_mung": 33,</v>
      </c>
      <c r="Q949" s="1" t="str">
        <f t="shared" si="75"/>
        <v>"kv5_mung": 4000,</v>
      </c>
      <c r="R949" s="1" t="str">
        <f t="shared" si="76"/>
        <v>"kv5_mung": 7,</v>
      </c>
    </row>
    <row r="950" spans="1:18" ht="15" customHeight="1" x14ac:dyDescent="0.25">
      <c r="A950" s="1" t="str">
        <f t="shared" si="77"/>
        <v>#tc_clothes#tc_military#tc_head</v>
      </c>
      <c r="B950" s="1">
        <f>VLOOKUP(A950,TraderCategory!$A$63:$E$556,2,FALSE)</f>
        <v>8</v>
      </c>
      <c r="C950" s="1">
        <f>VLOOKUP(A950,TraderCategory!$A$63:$F$556,6,FALSE)</f>
        <v>1</v>
      </c>
      <c r="D950" s="1" t="str">
        <f>VLOOKUP(C950,Tabulka5[],3,FALSE)</f>
        <v>Private First Class</v>
      </c>
      <c r="E950" s="1">
        <v>3</v>
      </c>
      <c r="F950" s="1" t="str">
        <f>VLOOKUP(E950,Tabulka5[],3,FALSE)</f>
        <v>Sergeant</v>
      </c>
      <c r="G950" s="1" t="s">
        <v>3119</v>
      </c>
      <c r="H950" s="1" t="s">
        <v>1305</v>
      </c>
      <c r="I950" s="1" t="s">
        <v>426</v>
      </c>
      <c r="J950" s="1" t="s">
        <v>2728</v>
      </c>
      <c r="K950" s="1" t="s">
        <v>2729</v>
      </c>
      <c r="L950" s="1" t="s">
        <v>3130</v>
      </c>
      <c r="M950" s="1">
        <v>10000</v>
      </c>
      <c r="N950" s="1">
        <v>1</v>
      </c>
      <c r="O950" s="1" t="str">
        <f t="shared" si="73"/>
        <v>"mag3_gasmask_mung": 1,</v>
      </c>
      <c r="P950" s="1" t="str">
        <f t="shared" si="74"/>
        <v>"mag3_gasmask_mung": 8,</v>
      </c>
      <c r="Q950" s="1" t="str">
        <f t="shared" si="75"/>
        <v>"mag3_gasmask_mung": 10000,</v>
      </c>
      <c r="R950" s="1" t="str">
        <f t="shared" si="76"/>
        <v>"mag3_gasmask_mung": 3,</v>
      </c>
    </row>
    <row r="951" spans="1:18" ht="15" customHeight="1" x14ac:dyDescent="0.25">
      <c r="A951" s="1" t="str">
        <f t="shared" si="77"/>
        <v>#tc_groceries#tc_tools#tc_lights</v>
      </c>
      <c r="B951" s="1">
        <f>VLOOKUP(A951,TraderCategory!$A$63:$E$556,2,FALSE)</f>
        <v>37</v>
      </c>
      <c r="C951" s="1">
        <f>VLOOKUP(A951,TraderCategory!$A$63:$F$556,6,FALSE)</f>
        <v>0</v>
      </c>
      <c r="D951" s="1" t="str">
        <f>VLOOKUP(C951,Tabulka5[],3,FALSE)</f>
        <v>Private</v>
      </c>
      <c r="E951" s="1">
        <v>2</v>
      </c>
      <c r="F951" s="1" t="str">
        <f>VLOOKUP(E951,Tabulka5[],3,FALSE)</f>
        <v>Corporal</v>
      </c>
      <c r="G951" s="1" t="s">
        <v>3119</v>
      </c>
      <c r="H951" s="1" t="s">
        <v>1306</v>
      </c>
      <c r="I951" s="1" t="s">
        <v>426</v>
      </c>
      <c r="J951" s="1" t="s">
        <v>3127</v>
      </c>
      <c r="K951" s="1" t="s">
        <v>2740</v>
      </c>
      <c r="L951" s="1" t="s">
        <v>3147</v>
      </c>
      <c r="M951" s="1">
        <v>1200</v>
      </c>
      <c r="N951" s="1">
        <v>1</v>
      </c>
      <c r="O951" s="1" t="str">
        <f t="shared" si="73"/>
        <v>"maglite_mung": 1,</v>
      </c>
      <c r="P951" s="1" t="str">
        <f t="shared" si="74"/>
        <v>"maglite_mung": 37,</v>
      </c>
      <c r="Q951" s="1" t="str">
        <f t="shared" si="75"/>
        <v>"maglite_mung": 1200,</v>
      </c>
      <c r="R951" s="1" t="str">
        <f t="shared" si="76"/>
        <v>"maglite_mung": 2,</v>
      </c>
    </row>
    <row r="952" spans="1:18" ht="15" customHeight="1" x14ac:dyDescent="0.25">
      <c r="A952" s="1" t="str">
        <f t="shared" si="77"/>
        <v>#tc_groceries#tc_tools#tc_lights</v>
      </c>
      <c r="B952" s="1">
        <f>VLOOKUP(A952,TraderCategory!$A$63:$E$556,2,FALSE)</f>
        <v>37</v>
      </c>
      <c r="C952" s="1">
        <f>VLOOKUP(A952,TraderCategory!$A$63:$F$556,6,FALSE)</f>
        <v>0</v>
      </c>
      <c r="D952" s="1" t="str">
        <f>VLOOKUP(C952,Tabulka5[],3,FALSE)</f>
        <v>Private</v>
      </c>
      <c r="E952" s="1">
        <v>1</v>
      </c>
      <c r="F952" s="1" t="str">
        <f>VLOOKUP(E952,Tabulka5[],3,FALSE)</f>
        <v>Private First Class</v>
      </c>
      <c r="G952" s="1" t="s">
        <v>3119</v>
      </c>
      <c r="H952" s="1" t="s">
        <v>1307</v>
      </c>
      <c r="I952" s="1" t="s">
        <v>426</v>
      </c>
      <c r="J952" s="1" t="s">
        <v>3127</v>
      </c>
      <c r="K952" s="1" t="s">
        <v>2740</v>
      </c>
      <c r="L952" s="1" t="s">
        <v>3147</v>
      </c>
      <c r="M952" s="1">
        <v>1500</v>
      </c>
      <c r="N952" s="1">
        <v>1</v>
      </c>
      <c r="O952" s="1" t="str">
        <f t="shared" si="73"/>
        <v>"oillamp_mung": 1,</v>
      </c>
      <c r="P952" s="1" t="str">
        <f t="shared" si="74"/>
        <v>"oillamp_mung": 37,</v>
      </c>
      <c r="Q952" s="1" t="str">
        <f t="shared" si="75"/>
        <v>"oillamp_mung": 1500,</v>
      </c>
      <c r="R952" s="1" t="str">
        <f t="shared" si="76"/>
        <v>"oillamp_mung": 1,</v>
      </c>
    </row>
    <row r="953" spans="1:18" x14ac:dyDescent="0.25">
      <c r="A953" s="1" t="str">
        <f t="shared" si="77"/>
        <v>#tc_military#tc_magazines#tc_pistols</v>
      </c>
      <c r="B953" s="1">
        <f>VLOOKUP(A953,TraderCategory!$A$63:$E$556,2,FALSE)</f>
        <v>53</v>
      </c>
      <c r="C953" s="1">
        <f>VLOOKUP(A953,TraderCategory!$A$63:$F$556,6,FALSE)</f>
        <v>0</v>
      </c>
      <c r="D953" s="1" t="str">
        <f>VLOOKUP(C953,Tabulka5[],3,FALSE)</f>
        <v>Private</v>
      </c>
      <c r="E953" s="1">
        <v>3</v>
      </c>
      <c r="F953" s="1" t="str">
        <f>VLOOKUP(E953,Tabulka5[],3,FALSE)</f>
        <v>Sergeant</v>
      </c>
      <c r="G953" s="1" t="s">
        <v>3119</v>
      </c>
      <c r="H953" s="1" t="s">
        <v>1308</v>
      </c>
      <c r="I953" s="1" t="s">
        <v>8</v>
      </c>
      <c r="J953" s="1" t="s">
        <v>2729</v>
      </c>
      <c r="K953" s="1" t="s">
        <v>2737</v>
      </c>
      <c r="L953" s="1" t="s">
        <v>3154</v>
      </c>
      <c r="M953" s="1">
        <v>2560</v>
      </c>
      <c r="N953" s="1">
        <v>1</v>
      </c>
      <c r="O953" s="1" t="str">
        <f t="shared" si="73"/>
        <v>"Mag_lebedev_PL15_16Rnd": 1,</v>
      </c>
      <c r="P953" s="1" t="str">
        <f t="shared" si="74"/>
        <v>"Mag_lebedev_PL15_16Rnd": 53,</v>
      </c>
      <c r="Q953" s="1" t="str">
        <f t="shared" si="75"/>
        <v>"Mag_lebedev_PL15_16Rnd": 2560,</v>
      </c>
      <c r="R953" s="1" t="str">
        <f t="shared" si="76"/>
        <v>"Mag_lebedev_PL15_16Rnd": 3,</v>
      </c>
    </row>
    <row r="954" spans="1:18" x14ac:dyDescent="0.25">
      <c r="A954" s="1" t="str">
        <f t="shared" si="77"/>
        <v>#tc_military#tc_attachments#tc_attachments</v>
      </c>
      <c r="B954" s="1">
        <f>VLOOKUP(A954,TraderCategory!$A$63:$E$556,2,FALSE)</f>
        <v>48</v>
      </c>
      <c r="C954" s="1">
        <f>VLOOKUP(A954,TraderCategory!$A$63:$F$556,6,FALSE)</f>
        <v>0</v>
      </c>
      <c r="D954" s="1" t="str">
        <f>VLOOKUP(C954,Tabulka5[],3,FALSE)</f>
        <v>Private</v>
      </c>
      <c r="E954" s="1">
        <v>13</v>
      </c>
      <c r="F954" s="1" t="str">
        <f>VLOOKUP(E954,Tabulka5[],3,FALSE)</f>
        <v>Major</v>
      </c>
      <c r="G954" s="1" t="s">
        <v>3119</v>
      </c>
      <c r="H954" s="1" t="s">
        <v>1309</v>
      </c>
      <c r="I954" s="1" t="s">
        <v>8</v>
      </c>
      <c r="J954" s="1" t="s">
        <v>2729</v>
      </c>
      <c r="K954" s="1" t="s">
        <v>2736</v>
      </c>
      <c r="L954" s="1" t="s">
        <v>2736</v>
      </c>
      <c r="M954" s="1">
        <v>1500</v>
      </c>
      <c r="N954" s="1">
        <v>1</v>
      </c>
      <c r="O954" s="1" t="str">
        <f t="shared" si="73"/>
        <v>"mcmillan_buttstock": 1,</v>
      </c>
      <c r="P954" s="1" t="str">
        <f t="shared" si="74"/>
        <v>"mcmillan_buttstock": 48,</v>
      </c>
      <c r="Q954" s="1" t="str">
        <f t="shared" si="75"/>
        <v>"mcmillan_buttstock": 1500,</v>
      </c>
      <c r="R954" s="1" t="str">
        <f t="shared" si="76"/>
        <v>"mcmillan_buttstock": 13,</v>
      </c>
    </row>
    <row r="955" spans="1:18" ht="15" customHeight="1" x14ac:dyDescent="0.25">
      <c r="A955" s="1" t="str">
        <f t="shared" si="77"/>
        <v>#tc_groceries#tc_tools#tc_materials</v>
      </c>
      <c r="B955" s="1">
        <f>VLOOKUP(A955,TraderCategory!$A$63:$E$556,2,FALSE)</f>
        <v>39</v>
      </c>
      <c r="C955" s="1">
        <f>VLOOKUP(A955,TraderCategory!$A$63:$F$556,6,FALSE)</f>
        <v>3</v>
      </c>
      <c r="D955" s="1" t="str">
        <f>VLOOKUP(C955,Tabulka5[],3,FALSE)</f>
        <v>Sergeant</v>
      </c>
      <c r="E955" s="1">
        <v>3</v>
      </c>
      <c r="F955" s="1" t="str">
        <f>VLOOKUP(E955,Tabulka5[],3,FALSE)</f>
        <v>Sergeant</v>
      </c>
      <c r="G955" s="1" t="s">
        <v>3124</v>
      </c>
      <c r="H955" s="1" t="s">
        <v>3112</v>
      </c>
      <c r="I955" s="1" t="s">
        <v>426</v>
      </c>
      <c r="J955" s="1" t="s">
        <v>3127</v>
      </c>
      <c r="K955" s="1" t="s">
        <v>2740</v>
      </c>
      <c r="L955" s="1" t="s">
        <v>2741</v>
      </c>
      <c r="M955" s="1">
        <v>1000</v>
      </c>
      <c r="N955" s="1">
        <v>1</v>
      </c>
      <c r="O955" s="1" t="str">
        <f t="shared" si="73"/>
        <v>"BBP_Bucket": 1,</v>
      </c>
      <c r="P955" s="1" t="str">
        <f t="shared" si="74"/>
        <v>"BBP_Bucket": 39,</v>
      </c>
      <c r="Q955" s="1" t="str">
        <f t="shared" si="75"/>
        <v>"BBP_Bucket": 1000,</v>
      </c>
      <c r="R955" s="1" t="str">
        <f t="shared" si="76"/>
        <v>"BBP_Bucket": 3,</v>
      </c>
    </row>
    <row r="956" spans="1:18" ht="15" customHeight="1" x14ac:dyDescent="0.25">
      <c r="A956" s="1" t="str">
        <f t="shared" si="77"/>
        <v>#tc_groceries#tc_tools#tc_materials</v>
      </c>
      <c r="B956" s="1">
        <f>VLOOKUP(A956,TraderCategory!$A$63:$E$556,2,FALSE)</f>
        <v>39</v>
      </c>
      <c r="C956" s="1">
        <f>VLOOKUP(A956,TraderCategory!$A$63:$F$556,6,FALSE)</f>
        <v>3</v>
      </c>
      <c r="D956" s="1" t="str">
        <f>VLOOKUP(C956,Tabulka5[],3,FALSE)</f>
        <v>Sergeant</v>
      </c>
      <c r="E956" s="1">
        <v>3</v>
      </c>
      <c r="F956" s="1" t="str">
        <f>VLOOKUP(E956,Tabulka5[],3,FALSE)</f>
        <v>Sergeant</v>
      </c>
      <c r="G956" s="1" t="s">
        <v>3124</v>
      </c>
      <c r="H956" s="1" t="s">
        <v>1310</v>
      </c>
      <c r="I956" s="1" t="s">
        <v>426</v>
      </c>
      <c r="J956" s="1" t="s">
        <v>3127</v>
      </c>
      <c r="K956" s="1" t="s">
        <v>2740</v>
      </c>
      <c r="L956" s="1" t="s">
        <v>2741</v>
      </c>
      <c r="M956" s="1">
        <v>1000</v>
      </c>
      <c r="N956" s="1">
        <v>1</v>
      </c>
      <c r="O956" s="1" t="str">
        <f t="shared" si="73"/>
        <v>"BBP_Cement": 1,</v>
      </c>
      <c r="P956" s="1" t="str">
        <f t="shared" si="74"/>
        <v>"BBP_Cement": 39,</v>
      </c>
      <c r="Q956" s="1" t="str">
        <f t="shared" si="75"/>
        <v>"BBP_Cement": 1000,</v>
      </c>
      <c r="R956" s="1" t="str">
        <f t="shared" si="76"/>
        <v>"BBP_Cement": 3,</v>
      </c>
    </row>
    <row r="957" spans="1:18" ht="15" customHeight="1" x14ac:dyDescent="0.25">
      <c r="A957" s="1" t="str">
        <f t="shared" si="77"/>
        <v>#tc_groceries#tc_tools#tc_tools</v>
      </c>
      <c r="B957" s="1">
        <f>VLOOKUP(A957,TraderCategory!$A$63:$E$556,2,FALSE)</f>
        <v>30</v>
      </c>
      <c r="C957" s="1">
        <f>VLOOKUP(A957,TraderCategory!$A$63:$F$556,6,FALSE)</f>
        <v>0</v>
      </c>
      <c r="D957" s="1" t="str">
        <f>VLOOKUP(C957,Tabulka5[],3,FALSE)</f>
        <v>Private</v>
      </c>
      <c r="E957" s="1">
        <v>0</v>
      </c>
      <c r="F957" s="1" t="str">
        <f>VLOOKUP(E957,Tabulka5[],3,FALSE)</f>
        <v>Private</v>
      </c>
      <c r="G957" s="1" t="s">
        <v>3124</v>
      </c>
      <c r="H957" s="1" t="s">
        <v>1312</v>
      </c>
      <c r="I957" s="1" t="s">
        <v>426</v>
      </c>
      <c r="J957" s="1" t="s">
        <v>3127</v>
      </c>
      <c r="K957" s="1" t="s">
        <v>2740</v>
      </c>
      <c r="L957" s="1" t="s">
        <v>2740</v>
      </c>
      <c r="M957" s="1">
        <v>100</v>
      </c>
      <c r="N957" s="1">
        <v>1</v>
      </c>
      <c r="O957" s="1" t="str">
        <f t="shared" ref="O957:O1020" si="78">"""" &amp;H957 &amp; """: " &amp; N957 &amp; ","</f>
        <v>"BBP_Tape_Measure": 1,</v>
      </c>
      <c r="P957" s="1" t="str">
        <f t="shared" ref="P957:P1020" si="79">"""" &amp;H957 &amp; """: " &amp; B957 &amp; ","</f>
        <v>"BBP_Tape_Measure": 30,</v>
      </c>
      <c r="Q957" s="1" t="str">
        <f t="shared" ref="Q957:Q1020" si="80">"""" &amp;H957 &amp; """: " &amp; M957 &amp; ","</f>
        <v>"BBP_Tape_Measure": 100,</v>
      </c>
      <c r="R957" s="1" t="str">
        <f t="shared" ref="R957:R1020" si="81">"""" &amp;H957 &amp; """: " &amp; E957 &amp; ","</f>
        <v>"BBP_Tape_Measure": 0,</v>
      </c>
    </row>
    <row r="958" spans="1:18" ht="15" customHeight="1" x14ac:dyDescent="0.25">
      <c r="A958" s="1" t="str">
        <f t="shared" si="77"/>
        <v>#tc_groceries#tc_tools#tc_furnishings</v>
      </c>
      <c r="B958" s="1">
        <f>VLOOKUP(A958,TraderCategory!$A$63:$E$556,2,FALSE)</f>
        <v>40</v>
      </c>
      <c r="C958" s="1">
        <f>VLOOKUP(A958,TraderCategory!$A$63:$F$556,6,FALSE)</f>
        <v>3</v>
      </c>
      <c r="D958" s="1" t="str">
        <f>VLOOKUP(C958,Tabulka5[],3,FALSE)</f>
        <v>Sergeant</v>
      </c>
      <c r="E958" s="1">
        <v>3</v>
      </c>
      <c r="F958" s="1" t="str">
        <f>VLOOKUP(E958,Tabulka5[],3,FALSE)</f>
        <v>Sergeant</v>
      </c>
      <c r="G958" s="1" t="s">
        <v>3124</v>
      </c>
      <c r="H958" s="1" t="s">
        <v>1313</v>
      </c>
      <c r="I958" s="1" t="s">
        <v>426</v>
      </c>
      <c r="J958" s="1" t="s">
        <v>3127</v>
      </c>
      <c r="K958" s="1" t="s">
        <v>2740</v>
      </c>
      <c r="L958" s="1" t="s">
        <v>3178</v>
      </c>
      <c r="M958" s="1">
        <v>1800</v>
      </c>
      <c r="N958" s="1">
        <v>1</v>
      </c>
      <c r="O958" s="1" t="str">
        <f t="shared" si="78"/>
        <v>"BBP_Xmas_Tree": 1,</v>
      </c>
      <c r="P958" s="1" t="str">
        <f t="shared" si="79"/>
        <v>"BBP_Xmas_Tree": 40,</v>
      </c>
      <c r="Q958" s="1" t="str">
        <f t="shared" si="80"/>
        <v>"BBP_Xmas_Tree": 1800,</v>
      </c>
      <c r="R958" s="1" t="str">
        <f t="shared" si="81"/>
        <v>"BBP_Xmas_Tree": 3,</v>
      </c>
    </row>
    <row r="959" spans="1:18" ht="15" customHeight="1" x14ac:dyDescent="0.25">
      <c r="A959" s="1" t="str">
        <f t="shared" si="77"/>
        <v>#tc_groceries#tc_tools#tc_furnishings</v>
      </c>
      <c r="B959" s="1">
        <f>VLOOKUP(A959,TraderCategory!$A$63:$E$556,2,FALSE)</f>
        <v>40</v>
      </c>
      <c r="C959" s="1">
        <f>VLOOKUP(A959,TraderCategory!$A$63:$F$556,6,FALSE)</f>
        <v>3</v>
      </c>
      <c r="D959" s="1" t="str">
        <f>VLOOKUP(C959,Tabulka5[],3,FALSE)</f>
        <v>Sergeant</v>
      </c>
      <c r="E959" s="1">
        <v>12</v>
      </c>
      <c r="F959" s="1" t="str">
        <f>VLOOKUP(E959,Tabulka5[],3,FALSE)</f>
        <v>Captain</v>
      </c>
      <c r="G959" s="1" t="s">
        <v>3124</v>
      </c>
      <c r="H959" s="1" t="s">
        <v>1314</v>
      </c>
      <c r="I959" s="1" t="s">
        <v>426</v>
      </c>
      <c r="J959" s="1" t="s">
        <v>3127</v>
      </c>
      <c r="K959" s="1" t="s">
        <v>2740</v>
      </c>
      <c r="L959" s="1" t="s">
        <v>3178</v>
      </c>
      <c r="M959" s="1">
        <v>10000</v>
      </c>
      <c r="N959" s="1">
        <v>1</v>
      </c>
      <c r="O959" s="1" t="str">
        <f t="shared" si="78"/>
        <v>"BBP_Painting_1": 1,</v>
      </c>
      <c r="P959" s="1" t="str">
        <f t="shared" si="79"/>
        <v>"BBP_Painting_1": 40,</v>
      </c>
      <c r="Q959" s="1" t="str">
        <f t="shared" si="80"/>
        <v>"BBP_Painting_1": 10000,</v>
      </c>
      <c r="R959" s="1" t="str">
        <f t="shared" si="81"/>
        <v>"BBP_Painting_1": 12,</v>
      </c>
    </row>
    <row r="960" spans="1:18" ht="15" customHeight="1" x14ac:dyDescent="0.25">
      <c r="A960" s="1" t="str">
        <f t="shared" si="77"/>
        <v>#tc_groceries#tc_tools#tc_furnishings</v>
      </c>
      <c r="B960" s="1">
        <f>VLOOKUP(A960,TraderCategory!$A$63:$E$556,2,FALSE)</f>
        <v>40</v>
      </c>
      <c r="C960" s="1">
        <f>VLOOKUP(A960,TraderCategory!$A$63:$F$556,6,FALSE)</f>
        <v>3</v>
      </c>
      <c r="D960" s="1" t="str">
        <f>VLOOKUP(C960,Tabulka5[],3,FALSE)</f>
        <v>Sergeant</v>
      </c>
      <c r="E960" s="1">
        <v>12</v>
      </c>
      <c r="F960" s="1" t="str">
        <f>VLOOKUP(E960,Tabulka5[],3,FALSE)</f>
        <v>Captain</v>
      </c>
      <c r="G960" s="1" t="s">
        <v>3124</v>
      </c>
      <c r="H960" s="1" t="s">
        <v>1315</v>
      </c>
      <c r="I960" s="1" t="s">
        <v>426</v>
      </c>
      <c r="J960" s="1" t="s">
        <v>3127</v>
      </c>
      <c r="K960" s="1" t="s">
        <v>2740</v>
      </c>
      <c r="L960" s="1" t="s">
        <v>3178</v>
      </c>
      <c r="M960" s="1">
        <v>10000</v>
      </c>
      <c r="N960" s="1">
        <v>1</v>
      </c>
      <c r="O960" s="1" t="str">
        <f t="shared" si="78"/>
        <v>"BBP_Painting_2": 1,</v>
      </c>
      <c r="P960" s="1" t="str">
        <f t="shared" si="79"/>
        <v>"BBP_Painting_2": 40,</v>
      </c>
      <c r="Q960" s="1" t="str">
        <f t="shared" si="80"/>
        <v>"BBP_Painting_2": 10000,</v>
      </c>
      <c r="R960" s="1" t="str">
        <f t="shared" si="81"/>
        <v>"BBP_Painting_2": 12,</v>
      </c>
    </row>
    <row r="961" spans="1:18" ht="15" customHeight="1" x14ac:dyDescent="0.25">
      <c r="A961" s="1" t="str">
        <f t="shared" si="77"/>
        <v>#tc_groceries#tc_tools#tc_furnishings</v>
      </c>
      <c r="B961" s="1">
        <f>VLOOKUP(A961,TraderCategory!$A$63:$E$556,2,FALSE)</f>
        <v>40</v>
      </c>
      <c r="C961" s="1">
        <f>VLOOKUP(A961,TraderCategory!$A$63:$F$556,6,FALSE)</f>
        <v>3</v>
      </c>
      <c r="D961" s="1" t="str">
        <f>VLOOKUP(C961,Tabulka5[],3,FALSE)</f>
        <v>Sergeant</v>
      </c>
      <c r="E961" s="1">
        <v>3</v>
      </c>
      <c r="F961" s="1" t="str">
        <f>VLOOKUP(E961,Tabulka5[],3,FALSE)</f>
        <v>Sergeant</v>
      </c>
      <c r="G961" s="1" t="s">
        <v>3124</v>
      </c>
      <c r="H961" s="1" t="s">
        <v>1316</v>
      </c>
      <c r="I961" s="1" t="s">
        <v>426</v>
      </c>
      <c r="J961" s="1" t="s">
        <v>3127</v>
      </c>
      <c r="K961" s="1" t="s">
        <v>2740</v>
      </c>
      <c r="L961" s="1" t="s">
        <v>3178</v>
      </c>
      <c r="M961" s="1">
        <v>1000</v>
      </c>
      <c r="N961" s="1">
        <v>1</v>
      </c>
      <c r="O961" s="1" t="str">
        <f t="shared" si="78"/>
        <v>"BBP_Letter_Large_A": 1,</v>
      </c>
      <c r="P961" s="1" t="str">
        <f t="shared" si="79"/>
        <v>"BBP_Letter_Large_A": 40,</v>
      </c>
      <c r="Q961" s="1" t="str">
        <f t="shared" si="80"/>
        <v>"BBP_Letter_Large_A": 1000,</v>
      </c>
      <c r="R961" s="1" t="str">
        <f t="shared" si="81"/>
        <v>"BBP_Letter_Large_A": 3,</v>
      </c>
    </row>
    <row r="962" spans="1:18" ht="15" customHeight="1" x14ac:dyDescent="0.25">
      <c r="A962" s="1" t="str">
        <f t="shared" si="77"/>
        <v>#tc_groceries#tc_tools#tc_furnishings</v>
      </c>
      <c r="B962" s="1">
        <f>VLOOKUP(A962,TraderCategory!$A$63:$E$556,2,FALSE)</f>
        <v>40</v>
      </c>
      <c r="C962" s="1">
        <f>VLOOKUP(A962,TraderCategory!$A$63:$F$556,6,FALSE)</f>
        <v>3</v>
      </c>
      <c r="D962" s="1" t="str">
        <f>VLOOKUP(C962,Tabulka5[],3,FALSE)</f>
        <v>Sergeant</v>
      </c>
      <c r="E962" s="1">
        <v>3</v>
      </c>
      <c r="F962" s="1" t="str">
        <f>VLOOKUP(E962,Tabulka5[],3,FALSE)</f>
        <v>Sergeant</v>
      </c>
      <c r="G962" s="1" t="s">
        <v>3124</v>
      </c>
      <c r="H962" s="1" t="s">
        <v>1317</v>
      </c>
      <c r="I962" s="1" t="s">
        <v>426</v>
      </c>
      <c r="J962" s="1" t="s">
        <v>3127</v>
      </c>
      <c r="K962" s="1" t="s">
        <v>2740</v>
      </c>
      <c r="L962" s="1" t="s">
        <v>3178</v>
      </c>
      <c r="M962" s="1">
        <v>1000</v>
      </c>
      <c r="N962" s="1">
        <v>1</v>
      </c>
      <c r="O962" s="1" t="str">
        <f t="shared" si="78"/>
        <v>"BBP_Letter_Large_B": 1,</v>
      </c>
      <c r="P962" s="1" t="str">
        <f t="shared" si="79"/>
        <v>"BBP_Letter_Large_B": 40,</v>
      </c>
      <c r="Q962" s="1" t="str">
        <f t="shared" si="80"/>
        <v>"BBP_Letter_Large_B": 1000,</v>
      </c>
      <c r="R962" s="1" t="str">
        <f t="shared" si="81"/>
        <v>"BBP_Letter_Large_B": 3,</v>
      </c>
    </row>
    <row r="963" spans="1:18" ht="15" customHeight="1" x14ac:dyDescent="0.25">
      <c r="A963" s="1" t="str">
        <f t="shared" si="77"/>
        <v>#tc_groceries#tc_tools#tc_furnishings</v>
      </c>
      <c r="B963" s="1">
        <f>VLOOKUP(A963,TraderCategory!$A$63:$E$556,2,FALSE)</f>
        <v>40</v>
      </c>
      <c r="C963" s="1">
        <f>VLOOKUP(A963,TraderCategory!$A$63:$F$556,6,FALSE)</f>
        <v>3</v>
      </c>
      <c r="D963" s="1" t="str">
        <f>VLOOKUP(C963,Tabulka5[],3,FALSE)</f>
        <v>Sergeant</v>
      </c>
      <c r="E963" s="1">
        <v>3</v>
      </c>
      <c r="F963" s="1" t="str">
        <f>VLOOKUP(E963,Tabulka5[],3,FALSE)</f>
        <v>Sergeant</v>
      </c>
      <c r="G963" s="1" t="s">
        <v>3124</v>
      </c>
      <c r="H963" s="1" t="s">
        <v>1318</v>
      </c>
      <c r="I963" s="1" t="s">
        <v>426</v>
      </c>
      <c r="J963" s="1" t="s">
        <v>3127</v>
      </c>
      <c r="K963" s="1" t="s">
        <v>2740</v>
      </c>
      <c r="L963" s="1" t="s">
        <v>3178</v>
      </c>
      <c r="M963" s="1">
        <v>1000</v>
      </c>
      <c r="N963" s="1">
        <v>1</v>
      </c>
      <c r="O963" s="1" t="str">
        <f t="shared" si="78"/>
        <v>"BBP_Letter_Large_C": 1,</v>
      </c>
      <c r="P963" s="1" t="str">
        <f t="shared" si="79"/>
        <v>"BBP_Letter_Large_C": 40,</v>
      </c>
      <c r="Q963" s="1" t="str">
        <f t="shared" si="80"/>
        <v>"BBP_Letter_Large_C": 1000,</v>
      </c>
      <c r="R963" s="1" t="str">
        <f t="shared" si="81"/>
        <v>"BBP_Letter_Large_C": 3,</v>
      </c>
    </row>
    <row r="964" spans="1:18" ht="15" customHeight="1" x14ac:dyDescent="0.25">
      <c r="A964" s="1" t="str">
        <f t="shared" si="77"/>
        <v>#tc_groceries#tc_tools#tc_furnishings</v>
      </c>
      <c r="B964" s="1">
        <f>VLOOKUP(A964,TraderCategory!$A$63:$E$556,2,FALSE)</f>
        <v>40</v>
      </c>
      <c r="C964" s="1">
        <f>VLOOKUP(A964,TraderCategory!$A$63:$F$556,6,FALSE)</f>
        <v>3</v>
      </c>
      <c r="D964" s="1" t="str">
        <f>VLOOKUP(C964,Tabulka5[],3,FALSE)</f>
        <v>Sergeant</v>
      </c>
      <c r="E964" s="1">
        <v>3</v>
      </c>
      <c r="F964" s="1" t="str">
        <f>VLOOKUP(E964,Tabulka5[],3,FALSE)</f>
        <v>Sergeant</v>
      </c>
      <c r="G964" s="1" t="s">
        <v>3124</v>
      </c>
      <c r="H964" s="1" t="s">
        <v>1319</v>
      </c>
      <c r="I964" s="1" t="s">
        <v>426</v>
      </c>
      <c r="J964" s="1" t="s">
        <v>3127</v>
      </c>
      <c r="K964" s="1" t="s">
        <v>2740</v>
      </c>
      <c r="L964" s="1" t="s">
        <v>3178</v>
      </c>
      <c r="M964" s="1">
        <v>1000</v>
      </c>
      <c r="N964" s="1">
        <v>1</v>
      </c>
      <c r="O964" s="1" t="str">
        <f t="shared" si="78"/>
        <v>"BBP_Letter_Large_D": 1,</v>
      </c>
      <c r="P964" s="1" t="str">
        <f t="shared" si="79"/>
        <v>"BBP_Letter_Large_D": 40,</v>
      </c>
      <c r="Q964" s="1" t="str">
        <f t="shared" si="80"/>
        <v>"BBP_Letter_Large_D": 1000,</v>
      </c>
      <c r="R964" s="1" t="str">
        <f t="shared" si="81"/>
        <v>"BBP_Letter_Large_D": 3,</v>
      </c>
    </row>
    <row r="965" spans="1:18" ht="15" customHeight="1" x14ac:dyDescent="0.25">
      <c r="A965" s="1" t="str">
        <f t="shared" si="77"/>
        <v>#tc_groceries#tc_tools#tc_furnishings</v>
      </c>
      <c r="B965" s="1">
        <f>VLOOKUP(A965,TraderCategory!$A$63:$E$556,2,FALSE)</f>
        <v>40</v>
      </c>
      <c r="C965" s="1">
        <f>VLOOKUP(A965,TraderCategory!$A$63:$F$556,6,FALSE)</f>
        <v>3</v>
      </c>
      <c r="D965" s="1" t="str">
        <f>VLOOKUP(C965,Tabulka5[],3,FALSE)</f>
        <v>Sergeant</v>
      </c>
      <c r="E965" s="1">
        <v>3</v>
      </c>
      <c r="F965" s="1" t="str">
        <f>VLOOKUP(E965,Tabulka5[],3,FALSE)</f>
        <v>Sergeant</v>
      </c>
      <c r="G965" s="1" t="s">
        <v>3124</v>
      </c>
      <c r="H965" s="1" t="s">
        <v>1320</v>
      </c>
      <c r="I965" s="1" t="s">
        <v>426</v>
      </c>
      <c r="J965" s="1" t="s">
        <v>3127</v>
      </c>
      <c r="K965" s="1" t="s">
        <v>2740</v>
      </c>
      <c r="L965" s="1" t="s">
        <v>3178</v>
      </c>
      <c r="M965" s="1">
        <v>1000</v>
      </c>
      <c r="N965" s="1">
        <v>1</v>
      </c>
      <c r="O965" s="1" t="str">
        <f t="shared" si="78"/>
        <v>"BBP_Letter_Large_E": 1,</v>
      </c>
      <c r="P965" s="1" t="str">
        <f t="shared" si="79"/>
        <v>"BBP_Letter_Large_E": 40,</v>
      </c>
      <c r="Q965" s="1" t="str">
        <f t="shared" si="80"/>
        <v>"BBP_Letter_Large_E": 1000,</v>
      </c>
      <c r="R965" s="1" t="str">
        <f t="shared" si="81"/>
        <v>"BBP_Letter_Large_E": 3,</v>
      </c>
    </row>
    <row r="966" spans="1:18" ht="15" customHeight="1" x14ac:dyDescent="0.25">
      <c r="A966" s="1" t="str">
        <f t="shared" ref="A966:A999" si="82">CONCATENATE(J966,K966,L966)</f>
        <v>#tc_groceries#tc_tools#tc_furnishings</v>
      </c>
      <c r="B966" s="1">
        <f>VLOOKUP(A966,TraderCategory!$A$63:$E$556,2,FALSE)</f>
        <v>40</v>
      </c>
      <c r="C966" s="1">
        <f>VLOOKUP(A966,TraderCategory!$A$63:$F$556,6,FALSE)</f>
        <v>3</v>
      </c>
      <c r="D966" s="1" t="str">
        <f>VLOOKUP(C966,Tabulka5[],3,FALSE)</f>
        <v>Sergeant</v>
      </c>
      <c r="E966" s="1">
        <v>3</v>
      </c>
      <c r="F966" s="1" t="str">
        <f>VLOOKUP(E966,Tabulka5[],3,FALSE)</f>
        <v>Sergeant</v>
      </c>
      <c r="G966" s="1" t="s">
        <v>3124</v>
      </c>
      <c r="H966" s="1" t="s">
        <v>1321</v>
      </c>
      <c r="I966" s="1" t="s">
        <v>426</v>
      </c>
      <c r="J966" s="1" t="s">
        <v>3127</v>
      </c>
      <c r="K966" s="1" t="s">
        <v>2740</v>
      </c>
      <c r="L966" s="1" t="s">
        <v>3178</v>
      </c>
      <c r="M966" s="1">
        <v>1000</v>
      </c>
      <c r="N966" s="1">
        <v>1</v>
      </c>
      <c r="O966" s="1" t="str">
        <f t="shared" si="78"/>
        <v>"BBP_Letter_Large_F": 1,</v>
      </c>
      <c r="P966" s="1" t="str">
        <f t="shared" si="79"/>
        <v>"BBP_Letter_Large_F": 40,</v>
      </c>
      <c r="Q966" s="1" t="str">
        <f t="shared" si="80"/>
        <v>"BBP_Letter_Large_F": 1000,</v>
      </c>
      <c r="R966" s="1" t="str">
        <f t="shared" si="81"/>
        <v>"BBP_Letter_Large_F": 3,</v>
      </c>
    </row>
    <row r="967" spans="1:18" ht="15" customHeight="1" x14ac:dyDescent="0.25">
      <c r="A967" s="1" t="str">
        <f t="shared" si="82"/>
        <v>#tc_groceries#tc_tools#tc_furnishings</v>
      </c>
      <c r="B967" s="1">
        <f>VLOOKUP(A967,TraderCategory!$A$63:$E$556,2,FALSE)</f>
        <v>40</v>
      </c>
      <c r="C967" s="1">
        <f>VLOOKUP(A967,TraderCategory!$A$63:$F$556,6,FALSE)</f>
        <v>3</v>
      </c>
      <c r="D967" s="1" t="str">
        <f>VLOOKUP(C967,Tabulka5[],3,FALSE)</f>
        <v>Sergeant</v>
      </c>
      <c r="E967" s="1">
        <v>3</v>
      </c>
      <c r="F967" s="1" t="str">
        <f>VLOOKUP(E967,Tabulka5[],3,FALSE)</f>
        <v>Sergeant</v>
      </c>
      <c r="G967" s="1" t="s">
        <v>3124</v>
      </c>
      <c r="H967" s="1" t="s">
        <v>1322</v>
      </c>
      <c r="I967" s="1" t="s">
        <v>426</v>
      </c>
      <c r="J967" s="1" t="s">
        <v>3127</v>
      </c>
      <c r="K967" s="1" t="s">
        <v>2740</v>
      </c>
      <c r="L967" s="1" t="s">
        <v>3178</v>
      </c>
      <c r="M967" s="1">
        <v>1000</v>
      </c>
      <c r="N967" s="1">
        <v>1</v>
      </c>
      <c r="O967" s="1" t="str">
        <f t="shared" si="78"/>
        <v>"BBP_Letter_Large_G": 1,</v>
      </c>
      <c r="P967" s="1" t="str">
        <f t="shared" si="79"/>
        <v>"BBP_Letter_Large_G": 40,</v>
      </c>
      <c r="Q967" s="1" t="str">
        <f t="shared" si="80"/>
        <v>"BBP_Letter_Large_G": 1000,</v>
      </c>
      <c r="R967" s="1" t="str">
        <f t="shared" si="81"/>
        <v>"BBP_Letter_Large_G": 3,</v>
      </c>
    </row>
    <row r="968" spans="1:18" ht="15" customHeight="1" x14ac:dyDescent="0.25">
      <c r="A968" s="1" t="str">
        <f t="shared" si="82"/>
        <v>#tc_groceries#tc_tools#tc_furnishings</v>
      </c>
      <c r="B968" s="1">
        <f>VLOOKUP(A968,TraderCategory!$A$63:$E$556,2,FALSE)</f>
        <v>40</v>
      </c>
      <c r="C968" s="1">
        <f>VLOOKUP(A968,TraderCategory!$A$63:$F$556,6,FALSE)</f>
        <v>3</v>
      </c>
      <c r="D968" s="1" t="str">
        <f>VLOOKUP(C968,Tabulka5[],3,FALSE)</f>
        <v>Sergeant</v>
      </c>
      <c r="E968" s="1">
        <v>3</v>
      </c>
      <c r="F968" s="1" t="str">
        <f>VLOOKUP(E968,Tabulka5[],3,FALSE)</f>
        <v>Sergeant</v>
      </c>
      <c r="G968" s="1" t="s">
        <v>3124</v>
      </c>
      <c r="H968" s="1" t="s">
        <v>1323</v>
      </c>
      <c r="I968" s="1" t="s">
        <v>426</v>
      </c>
      <c r="J968" s="1" t="s">
        <v>3127</v>
      </c>
      <c r="K968" s="1" t="s">
        <v>2740</v>
      </c>
      <c r="L968" s="1" t="s">
        <v>3178</v>
      </c>
      <c r="M968" s="1">
        <v>1000</v>
      </c>
      <c r="N968" s="1">
        <v>1</v>
      </c>
      <c r="O968" s="1" t="str">
        <f t="shared" si="78"/>
        <v>"BBP_Letter_Large_H": 1,</v>
      </c>
      <c r="P968" s="1" t="str">
        <f t="shared" si="79"/>
        <v>"BBP_Letter_Large_H": 40,</v>
      </c>
      <c r="Q968" s="1" t="str">
        <f t="shared" si="80"/>
        <v>"BBP_Letter_Large_H": 1000,</v>
      </c>
      <c r="R968" s="1" t="str">
        <f t="shared" si="81"/>
        <v>"BBP_Letter_Large_H": 3,</v>
      </c>
    </row>
    <row r="969" spans="1:18" ht="15" customHeight="1" x14ac:dyDescent="0.25">
      <c r="A969" s="1" t="str">
        <f t="shared" si="82"/>
        <v>#tc_groceries#tc_tools#tc_furnishings</v>
      </c>
      <c r="B969" s="1">
        <f>VLOOKUP(A969,TraderCategory!$A$63:$E$556,2,FALSE)</f>
        <v>40</v>
      </c>
      <c r="C969" s="1">
        <f>VLOOKUP(A969,TraderCategory!$A$63:$F$556,6,FALSE)</f>
        <v>3</v>
      </c>
      <c r="D969" s="1" t="str">
        <f>VLOOKUP(C969,Tabulka5[],3,FALSE)</f>
        <v>Sergeant</v>
      </c>
      <c r="E969" s="1">
        <v>3</v>
      </c>
      <c r="F969" s="1" t="str">
        <f>VLOOKUP(E969,Tabulka5[],3,FALSE)</f>
        <v>Sergeant</v>
      </c>
      <c r="G969" s="1" t="s">
        <v>3124</v>
      </c>
      <c r="H969" s="1" t="s">
        <v>1324</v>
      </c>
      <c r="I969" s="1" t="s">
        <v>426</v>
      </c>
      <c r="J969" s="1" t="s">
        <v>3127</v>
      </c>
      <c r="K969" s="1" t="s">
        <v>2740</v>
      </c>
      <c r="L969" s="1" t="s">
        <v>3178</v>
      </c>
      <c r="M969" s="1">
        <v>1000</v>
      </c>
      <c r="N969" s="1">
        <v>1</v>
      </c>
      <c r="O969" s="1" t="str">
        <f t="shared" si="78"/>
        <v>"BBP_Letter_Large_I": 1,</v>
      </c>
      <c r="P969" s="1" t="str">
        <f t="shared" si="79"/>
        <v>"BBP_Letter_Large_I": 40,</v>
      </c>
      <c r="Q969" s="1" t="str">
        <f t="shared" si="80"/>
        <v>"BBP_Letter_Large_I": 1000,</v>
      </c>
      <c r="R969" s="1" t="str">
        <f t="shared" si="81"/>
        <v>"BBP_Letter_Large_I": 3,</v>
      </c>
    </row>
    <row r="970" spans="1:18" ht="15" customHeight="1" x14ac:dyDescent="0.25">
      <c r="A970" s="1" t="str">
        <f t="shared" si="82"/>
        <v>#tc_groceries#tc_tools#tc_furnishings</v>
      </c>
      <c r="B970" s="1">
        <f>VLOOKUP(A970,TraderCategory!$A$63:$E$556,2,FALSE)</f>
        <v>40</v>
      </c>
      <c r="C970" s="1">
        <f>VLOOKUP(A970,TraderCategory!$A$63:$F$556,6,FALSE)</f>
        <v>3</v>
      </c>
      <c r="D970" s="1" t="str">
        <f>VLOOKUP(C970,Tabulka5[],3,FALSE)</f>
        <v>Sergeant</v>
      </c>
      <c r="E970" s="1">
        <v>3</v>
      </c>
      <c r="F970" s="1" t="str">
        <f>VLOOKUP(E970,Tabulka5[],3,FALSE)</f>
        <v>Sergeant</v>
      </c>
      <c r="G970" s="1" t="s">
        <v>3124</v>
      </c>
      <c r="H970" s="1" t="s">
        <v>1325</v>
      </c>
      <c r="I970" s="1" t="s">
        <v>426</v>
      </c>
      <c r="J970" s="1" t="s">
        <v>3127</v>
      </c>
      <c r="K970" s="1" t="s">
        <v>2740</v>
      </c>
      <c r="L970" s="1" t="s">
        <v>3178</v>
      </c>
      <c r="M970" s="1">
        <v>1000</v>
      </c>
      <c r="N970" s="1">
        <v>1</v>
      </c>
      <c r="O970" s="1" t="str">
        <f t="shared" si="78"/>
        <v>"BBP_Letter_Large_J": 1,</v>
      </c>
      <c r="P970" s="1" t="str">
        <f t="shared" si="79"/>
        <v>"BBP_Letter_Large_J": 40,</v>
      </c>
      <c r="Q970" s="1" t="str">
        <f t="shared" si="80"/>
        <v>"BBP_Letter_Large_J": 1000,</v>
      </c>
      <c r="R970" s="1" t="str">
        <f t="shared" si="81"/>
        <v>"BBP_Letter_Large_J": 3,</v>
      </c>
    </row>
    <row r="971" spans="1:18" ht="15" customHeight="1" x14ac:dyDescent="0.25">
      <c r="A971" s="1" t="str">
        <f t="shared" si="82"/>
        <v>#tc_groceries#tc_tools#tc_furnishings</v>
      </c>
      <c r="B971" s="1">
        <f>VLOOKUP(A971,TraderCategory!$A$63:$E$556,2,FALSE)</f>
        <v>40</v>
      </c>
      <c r="C971" s="1">
        <f>VLOOKUP(A971,TraderCategory!$A$63:$F$556,6,FALSE)</f>
        <v>3</v>
      </c>
      <c r="D971" s="1" t="str">
        <f>VLOOKUP(C971,Tabulka5[],3,FALSE)</f>
        <v>Sergeant</v>
      </c>
      <c r="E971" s="1">
        <v>3</v>
      </c>
      <c r="F971" s="1" t="str">
        <f>VLOOKUP(E971,Tabulka5[],3,FALSE)</f>
        <v>Sergeant</v>
      </c>
      <c r="G971" s="1" t="s">
        <v>3124</v>
      </c>
      <c r="H971" s="1" t="s">
        <v>1326</v>
      </c>
      <c r="I971" s="1" t="s">
        <v>426</v>
      </c>
      <c r="J971" s="1" t="s">
        <v>3127</v>
      </c>
      <c r="K971" s="1" t="s">
        <v>2740</v>
      </c>
      <c r="L971" s="1" t="s">
        <v>3178</v>
      </c>
      <c r="M971" s="1">
        <v>1000</v>
      </c>
      <c r="N971" s="1">
        <v>1</v>
      </c>
      <c r="O971" s="1" t="str">
        <f t="shared" si="78"/>
        <v>"BBP_Letter_Large_K": 1,</v>
      </c>
      <c r="P971" s="1" t="str">
        <f t="shared" si="79"/>
        <v>"BBP_Letter_Large_K": 40,</v>
      </c>
      <c r="Q971" s="1" t="str">
        <f t="shared" si="80"/>
        <v>"BBP_Letter_Large_K": 1000,</v>
      </c>
      <c r="R971" s="1" t="str">
        <f t="shared" si="81"/>
        <v>"BBP_Letter_Large_K": 3,</v>
      </c>
    </row>
    <row r="972" spans="1:18" ht="15" customHeight="1" x14ac:dyDescent="0.25">
      <c r="A972" s="1" t="str">
        <f t="shared" si="82"/>
        <v>#tc_groceries#tc_tools#tc_furnishings</v>
      </c>
      <c r="B972" s="1">
        <f>VLOOKUP(A972,TraderCategory!$A$63:$E$556,2,FALSE)</f>
        <v>40</v>
      </c>
      <c r="C972" s="1">
        <f>VLOOKUP(A972,TraderCategory!$A$63:$F$556,6,FALSE)</f>
        <v>3</v>
      </c>
      <c r="D972" s="1" t="str">
        <f>VLOOKUP(C972,Tabulka5[],3,FALSE)</f>
        <v>Sergeant</v>
      </c>
      <c r="E972" s="1">
        <v>3</v>
      </c>
      <c r="F972" s="1" t="str">
        <f>VLOOKUP(E972,Tabulka5[],3,FALSE)</f>
        <v>Sergeant</v>
      </c>
      <c r="G972" s="1" t="s">
        <v>3124</v>
      </c>
      <c r="H972" s="1" t="s">
        <v>1327</v>
      </c>
      <c r="I972" s="1" t="s">
        <v>426</v>
      </c>
      <c r="J972" s="1" t="s">
        <v>3127</v>
      </c>
      <c r="K972" s="1" t="s">
        <v>2740</v>
      </c>
      <c r="L972" s="1" t="s">
        <v>3178</v>
      </c>
      <c r="M972" s="1">
        <v>1000</v>
      </c>
      <c r="N972" s="1">
        <v>1</v>
      </c>
      <c r="O972" s="1" t="str">
        <f t="shared" si="78"/>
        <v>"BBP_Letter_Large_L": 1,</v>
      </c>
      <c r="P972" s="1" t="str">
        <f t="shared" si="79"/>
        <v>"BBP_Letter_Large_L": 40,</v>
      </c>
      <c r="Q972" s="1" t="str">
        <f t="shared" si="80"/>
        <v>"BBP_Letter_Large_L": 1000,</v>
      </c>
      <c r="R972" s="1" t="str">
        <f t="shared" si="81"/>
        <v>"BBP_Letter_Large_L": 3,</v>
      </c>
    </row>
    <row r="973" spans="1:18" ht="15" customHeight="1" x14ac:dyDescent="0.25">
      <c r="A973" s="1" t="str">
        <f t="shared" si="82"/>
        <v>#tc_groceries#tc_tools#tc_furnishings</v>
      </c>
      <c r="B973" s="1">
        <f>VLOOKUP(A973,TraderCategory!$A$63:$E$556,2,FALSE)</f>
        <v>40</v>
      </c>
      <c r="C973" s="1">
        <f>VLOOKUP(A973,TraderCategory!$A$63:$F$556,6,FALSE)</f>
        <v>3</v>
      </c>
      <c r="D973" s="1" t="str">
        <f>VLOOKUP(C973,Tabulka5[],3,FALSE)</f>
        <v>Sergeant</v>
      </c>
      <c r="E973" s="1">
        <v>3</v>
      </c>
      <c r="F973" s="1" t="str">
        <f>VLOOKUP(E973,Tabulka5[],3,FALSE)</f>
        <v>Sergeant</v>
      </c>
      <c r="G973" s="1" t="s">
        <v>3124</v>
      </c>
      <c r="H973" s="1" t="s">
        <v>1328</v>
      </c>
      <c r="I973" s="1" t="s">
        <v>426</v>
      </c>
      <c r="J973" s="1" t="s">
        <v>3127</v>
      </c>
      <c r="K973" s="1" t="s">
        <v>2740</v>
      </c>
      <c r="L973" s="1" t="s">
        <v>3178</v>
      </c>
      <c r="M973" s="1">
        <v>1000</v>
      </c>
      <c r="N973" s="1">
        <v>1</v>
      </c>
      <c r="O973" s="1" t="str">
        <f t="shared" si="78"/>
        <v>"BBP_Letter_Large_M": 1,</v>
      </c>
      <c r="P973" s="1" t="str">
        <f t="shared" si="79"/>
        <v>"BBP_Letter_Large_M": 40,</v>
      </c>
      <c r="Q973" s="1" t="str">
        <f t="shared" si="80"/>
        <v>"BBP_Letter_Large_M": 1000,</v>
      </c>
      <c r="R973" s="1" t="str">
        <f t="shared" si="81"/>
        <v>"BBP_Letter_Large_M": 3,</v>
      </c>
    </row>
    <row r="974" spans="1:18" ht="15" customHeight="1" x14ac:dyDescent="0.25">
      <c r="A974" s="1" t="str">
        <f t="shared" si="82"/>
        <v>#tc_groceries#tc_tools#tc_furnishings</v>
      </c>
      <c r="B974" s="1">
        <f>VLOOKUP(A974,TraderCategory!$A$63:$E$556,2,FALSE)</f>
        <v>40</v>
      </c>
      <c r="C974" s="1">
        <f>VLOOKUP(A974,TraderCategory!$A$63:$F$556,6,FALSE)</f>
        <v>3</v>
      </c>
      <c r="D974" s="1" t="str">
        <f>VLOOKUP(C974,Tabulka5[],3,FALSE)</f>
        <v>Sergeant</v>
      </c>
      <c r="E974" s="1">
        <v>3</v>
      </c>
      <c r="F974" s="1" t="str">
        <f>VLOOKUP(E974,Tabulka5[],3,FALSE)</f>
        <v>Sergeant</v>
      </c>
      <c r="G974" s="1" t="s">
        <v>3124</v>
      </c>
      <c r="H974" s="1" t="s">
        <v>1329</v>
      </c>
      <c r="I974" s="1" t="s">
        <v>426</v>
      </c>
      <c r="J974" s="1" t="s">
        <v>3127</v>
      </c>
      <c r="K974" s="1" t="s">
        <v>2740</v>
      </c>
      <c r="L974" s="1" t="s">
        <v>3178</v>
      </c>
      <c r="M974" s="1">
        <v>1000</v>
      </c>
      <c r="N974" s="1">
        <v>1</v>
      </c>
      <c r="O974" s="1" t="str">
        <f t="shared" si="78"/>
        <v>"BBP_Letter_Large_N": 1,</v>
      </c>
      <c r="P974" s="1" t="str">
        <f t="shared" si="79"/>
        <v>"BBP_Letter_Large_N": 40,</v>
      </c>
      <c r="Q974" s="1" t="str">
        <f t="shared" si="80"/>
        <v>"BBP_Letter_Large_N": 1000,</v>
      </c>
      <c r="R974" s="1" t="str">
        <f t="shared" si="81"/>
        <v>"BBP_Letter_Large_N": 3,</v>
      </c>
    </row>
    <row r="975" spans="1:18" ht="15" customHeight="1" x14ac:dyDescent="0.25">
      <c r="A975" s="1" t="str">
        <f t="shared" si="82"/>
        <v>#tc_groceries#tc_tools#tc_furnishings</v>
      </c>
      <c r="B975" s="1">
        <f>VLOOKUP(A975,TraderCategory!$A$63:$E$556,2,FALSE)</f>
        <v>40</v>
      </c>
      <c r="C975" s="1">
        <f>VLOOKUP(A975,TraderCategory!$A$63:$F$556,6,FALSE)</f>
        <v>3</v>
      </c>
      <c r="D975" s="1" t="str">
        <f>VLOOKUP(C975,Tabulka5[],3,FALSE)</f>
        <v>Sergeant</v>
      </c>
      <c r="E975" s="1">
        <v>3</v>
      </c>
      <c r="F975" s="1" t="str">
        <f>VLOOKUP(E975,Tabulka5[],3,FALSE)</f>
        <v>Sergeant</v>
      </c>
      <c r="G975" s="1" t="s">
        <v>3124</v>
      </c>
      <c r="H975" s="1" t="s">
        <v>1330</v>
      </c>
      <c r="I975" s="1" t="s">
        <v>426</v>
      </c>
      <c r="J975" s="1" t="s">
        <v>3127</v>
      </c>
      <c r="K975" s="1" t="s">
        <v>2740</v>
      </c>
      <c r="L975" s="1" t="s">
        <v>3178</v>
      </c>
      <c r="M975" s="1">
        <v>1000</v>
      </c>
      <c r="N975" s="1">
        <v>1</v>
      </c>
      <c r="O975" s="1" t="str">
        <f t="shared" si="78"/>
        <v>"BBP_Letter_Large_O": 1,</v>
      </c>
      <c r="P975" s="1" t="str">
        <f t="shared" si="79"/>
        <v>"BBP_Letter_Large_O": 40,</v>
      </c>
      <c r="Q975" s="1" t="str">
        <f t="shared" si="80"/>
        <v>"BBP_Letter_Large_O": 1000,</v>
      </c>
      <c r="R975" s="1" t="str">
        <f t="shared" si="81"/>
        <v>"BBP_Letter_Large_O": 3,</v>
      </c>
    </row>
    <row r="976" spans="1:18" ht="15" customHeight="1" x14ac:dyDescent="0.25">
      <c r="A976" s="1" t="str">
        <f t="shared" si="82"/>
        <v>#tc_groceries#tc_tools#tc_furnishings</v>
      </c>
      <c r="B976" s="1">
        <f>VLOOKUP(A976,TraderCategory!$A$63:$E$556,2,FALSE)</f>
        <v>40</v>
      </c>
      <c r="C976" s="1">
        <f>VLOOKUP(A976,TraderCategory!$A$63:$F$556,6,FALSE)</f>
        <v>3</v>
      </c>
      <c r="D976" s="1" t="str">
        <f>VLOOKUP(C976,Tabulka5[],3,FALSE)</f>
        <v>Sergeant</v>
      </c>
      <c r="E976" s="1">
        <v>3</v>
      </c>
      <c r="F976" s="1" t="str">
        <f>VLOOKUP(E976,Tabulka5[],3,FALSE)</f>
        <v>Sergeant</v>
      </c>
      <c r="G976" s="1" t="s">
        <v>3124</v>
      </c>
      <c r="H976" s="1" t="s">
        <v>1331</v>
      </c>
      <c r="I976" s="1" t="s">
        <v>426</v>
      </c>
      <c r="J976" s="1" t="s">
        <v>3127</v>
      </c>
      <c r="K976" s="1" t="s">
        <v>2740</v>
      </c>
      <c r="L976" s="1" t="s">
        <v>3178</v>
      </c>
      <c r="M976" s="1">
        <v>1000</v>
      </c>
      <c r="N976" s="1">
        <v>1</v>
      </c>
      <c r="O976" s="1" t="str">
        <f t="shared" si="78"/>
        <v>"BBP_Letter_Large_P": 1,</v>
      </c>
      <c r="P976" s="1" t="str">
        <f t="shared" si="79"/>
        <v>"BBP_Letter_Large_P": 40,</v>
      </c>
      <c r="Q976" s="1" t="str">
        <f t="shared" si="80"/>
        <v>"BBP_Letter_Large_P": 1000,</v>
      </c>
      <c r="R976" s="1" t="str">
        <f t="shared" si="81"/>
        <v>"BBP_Letter_Large_P": 3,</v>
      </c>
    </row>
    <row r="977" spans="1:18" ht="15" customHeight="1" x14ac:dyDescent="0.25">
      <c r="A977" s="1" t="str">
        <f t="shared" si="82"/>
        <v>#tc_groceries#tc_tools#tc_furnishings</v>
      </c>
      <c r="B977" s="1">
        <f>VLOOKUP(A977,TraderCategory!$A$63:$E$556,2,FALSE)</f>
        <v>40</v>
      </c>
      <c r="C977" s="1">
        <f>VLOOKUP(A977,TraderCategory!$A$63:$F$556,6,FALSE)</f>
        <v>3</v>
      </c>
      <c r="D977" s="1" t="str">
        <f>VLOOKUP(C977,Tabulka5[],3,FALSE)</f>
        <v>Sergeant</v>
      </c>
      <c r="E977" s="1">
        <v>3</v>
      </c>
      <c r="F977" s="1" t="str">
        <f>VLOOKUP(E977,Tabulka5[],3,FALSE)</f>
        <v>Sergeant</v>
      </c>
      <c r="G977" s="1" t="s">
        <v>3124</v>
      </c>
      <c r="H977" s="1" t="s">
        <v>1332</v>
      </c>
      <c r="I977" s="1" t="s">
        <v>426</v>
      </c>
      <c r="J977" s="1" t="s">
        <v>3127</v>
      </c>
      <c r="K977" s="1" t="s">
        <v>2740</v>
      </c>
      <c r="L977" s="1" t="s">
        <v>3178</v>
      </c>
      <c r="M977" s="1">
        <v>1000</v>
      </c>
      <c r="N977" s="1">
        <v>1</v>
      </c>
      <c r="O977" s="1" t="str">
        <f t="shared" si="78"/>
        <v>"BBP_Letter_Large_Q": 1,</v>
      </c>
      <c r="P977" s="1" t="str">
        <f t="shared" si="79"/>
        <v>"BBP_Letter_Large_Q": 40,</v>
      </c>
      <c r="Q977" s="1" t="str">
        <f t="shared" si="80"/>
        <v>"BBP_Letter_Large_Q": 1000,</v>
      </c>
      <c r="R977" s="1" t="str">
        <f t="shared" si="81"/>
        <v>"BBP_Letter_Large_Q": 3,</v>
      </c>
    </row>
    <row r="978" spans="1:18" ht="15" customHeight="1" x14ac:dyDescent="0.25">
      <c r="A978" s="1" t="str">
        <f t="shared" si="82"/>
        <v>#tc_groceries#tc_tools#tc_furnishings</v>
      </c>
      <c r="B978" s="1">
        <f>VLOOKUP(A978,TraderCategory!$A$63:$E$556,2,FALSE)</f>
        <v>40</v>
      </c>
      <c r="C978" s="1">
        <f>VLOOKUP(A978,TraderCategory!$A$63:$F$556,6,FALSE)</f>
        <v>3</v>
      </c>
      <c r="D978" s="1" t="str">
        <f>VLOOKUP(C978,Tabulka5[],3,FALSE)</f>
        <v>Sergeant</v>
      </c>
      <c r="E978" s="1">
        <v>3</v>
      </c>
      <c r="F978" s="1" t="str">
        <f>VLOOKUP(E978,Tabulka5[],3,FALSE)</f>
        <v>Sergeant</v>
      </c>
      <c r="G978" s="1" t="s">
        <v>3124</v>
      </c>
      <c r="H978" s="1" t="s">
        <v>1333</v>
      </c>
      <c r="I978" s="1" t="s">
        <v>426</v>
      </c>
      <c r="J978" s="1" t="s">
        <v>3127</v>
      </c>
      <c r="K978" s="1" t="s">
        <v>2740</v>
      </c>
      <c r="L978" s="1" t="s">
        <v>3178</v>
      </c>
      <c r="M978" s="1">
        <v>1000</v>
      </c>
      <c r="N978" s="1">
        <v>1</v>
      </c>
      <c r="O978" s="1" t="str">
        <f t="shared" si="78"/>
        <v>"BBP_Letter_Large_R": 1,</v>
      </c>
      <c r="P978" s="1" t="str">
        <f t="shared" si="79"/>
        <v>"BBP_Letter_Large_R": 40,</v>
      </c>
      <c r="Q978" s="1" t="str">
        <f t="shared" si="80"/>
        <v>"BBP_Letter_Large_R": 1000,</v>
      </c>
      <c r="R978" s="1" t="str">
        <f t="shared" si="81"/>
        <v>"BBP_Letter_Large_R": 3,</v>
      </c>
    </row>
    <row r="979" spans="1:18" ht="15" customHeight="1" x14ac:dyDescent="0.25">
      <c r="A979" s="1" t="str">
        <f t="shared" si="82"/>
        <v>#tc_groceries#tc_tools#tc_furnishings</v>
      </c>
      <c r="B979" s="1">
        <f>VLOOKUP(A979,TraderCategory!$A$63:$E$556,2,FALSE)</f>
        <v>40</v>
      </c>
      <c r="C979" s="1">
        <f>VLOOKUP(A979,TraderCategory!$A$63:$F$556,6,FALSE)</f>
        <v>3</v>
      </c>
      <c r="D979" s="1" t="str">
        <f>VLOOKUP(C979,Tabulka5[],3,FALSE)</f>
        <v>Sergeant</v>
      </c>
      <c r="E979" s="1">
        <v>3</v>
      </c>
      <c r="F979" s="1" t="str">
        <f>VLOOKUP(E979,Tabulka5[],3,FALSE)</f>
        <v>Sergeant</v>
      </c>
      <c r="G979" s="1" t="s">
        <v>3124</v>
      </c>
      <c r="H979" s="1" t="s">
        <v>1334</v>
      </c>
      <c r="I979" s="1" t="s">
        <v>426</v>
      </c>
      <c r="J979" s="1" t="s">
        <v>3127</v>
      </c>
      <c r="K979" s="1" t="s">
        <v>2740</v>
      </c>
      <c r="L979" s="1" t="s">
        <v>3178</v>
      </c>
      <c r="M979" s="1">
        <v>1000</v>
      </c>
      <c r="N979" s="1">
        <v>1</v>
      </c>
      <c r="O979" s="1" t="str">
        <f t="shared" si="78"/>
        <v>"BBP_Letter_Large_S": 1,</v>
      </c>
      <c r="P979" s="1" t="str">
        <f t="shared" si="79"/>
        <v>"BBP_Letter_Large_S": 40,</v>
      </c>
      <c r="Q979" s="1" t="str">
        <f t="shared" si="80"/>
        <v>"BBP_Letter_Large_S": 1000,</v>
      </c>
      <c r="R979" s="1" t="str">
        <f t="shared" si="81"/>
        <v>"BBP_Letter_Large_S": 3,</v>
      </c>
    </row>
    <row r="980" spans="1:18" ht="15" customHeight="1" x14ac:dyDescent="0.25">
      <c r="A980" s="1" t="str">
        <f t="shared" si="82"/>
        <v>#tc_groceries#tc_tools#tc_furnishings</v>
      </c>
      <c r="B980" s="1">
        <f>VLOOKUP(A980,TraderCategory!$A$63:$E$556,2,FALSE)</f>
        <v>40</v>
      </c>
      <c r="C980" s="1">
        <f>VLOOKUP(A980,TraderCategory!$A$63:$F$556,6,FALSE)</f>
        <v>3</v>
      </c>
      <c r="D980" s="1" t="str">
        <f>VLOOKUP(C980,Tabulka5[],3,FALSE)</f>
        <v>Sergeant</v>
      </c>
      <c r="E980" s="1">
        <v>3</v>
      </c>
      <c r="F980" s="1" t="str">
        <f>VLOOKUP(E980,Tabulka5[],3,FALSE)</f>
        <v>Sergeant</v>
      </c>
      <c r="G980" s="1" t="s">
        <v>3124</v>
      </c>
      <c r="H980" s="1" t="s">
        <v>1335</v>
      </c>
      <c r="I980" s="1" t="s">
        <v>426</v>
      </c>
      <c r="J980" s="1" t="s">
        <v>3127</v>
      </c>
      <c r="K980" s="1" t="s">
        <v>2740</v>
      </c>
      <c r="L980" s="1" t="s">
        <v>3178</v>
      </c>
      <c r="M980" s="1">
        <v>1000</v>
      </c>
      <c r="N980" s="1">
        <v>1</v>
      </c>
      <c r="O980" s="1" t="str">
        <f t="shared" si="78"/>
        <v>"BBP_Letter_Large_T": 1,</v>
      </c>
      <c r="P980" s="1" t="str">
        <f t="shared" si="79"/>
        <v>"BBP_Letter_Large_T": 40,</v>
      </c>
      <c r="Q980" s="1" t="str">
        <f t="shared" si="80"/>
        <v>"BBP_Letter_Large_T": 1000,</v>
      </c>
      <c r="R980" s="1" t="str">
        <f t="shared" si="81"/>
        <v>"BBP_Letter_Large_T": 3,</v>
      </c>
    </row>
    <row r="981" spans="1:18" ht="15" customHeight="1" x14ac:dyDescent="0.25">
      <c r="A981" s="1" t="str">
        <f t="shared" si="82"/>
        <v>#tc_groceries#tc_tools#tc_furnishings</v>
      </c>
      <c r="B981" s="1">
        <f>VLOOKUP(A981,TraderCategory!$A$63:$E$556,2,FALSE)</f>
        <v>40</v>
      </c>
      <c r="C981" s="1">
        <f>VLOOKUP(A981,TraderCategory!$A$63:$F$556,6,FALSE)</f>
        <v>3</v>
      </c>
      <c r="D981" s="1" t="str">
        <f>VLOOKUP(C981,Tabulka5[],3,FALSE)</f>
        <v>Sergeant</v>
      </c>
      <c r="E981" s="1">
        <v>3</v>
      </c>
      <c r="F981" s="1" t="str">
        <f>VLOOKUP(E981,Tabulka5[],3,FALSE)</f>
        <v>Sergeant</v>
      </c>
      <c r="G981" s="1" t="s">
        <v>3124</v>
      </c>
      <c r="H981" s="1" t="s">
        <v>1336</v>
      </c>
      <c r="I981" s="1" t="s">
        <v>426</v>
      </c>
      <c r="J981" s="1" t="s">
        <v>3127</v>
      </c>
      <c r="K981" s="1" t="s">
        <v>2740</v>
      </c>
      <c r="L981" s="1" t="s">
        <v>3178</v>
      </c>
      <c r="M981" s="1">
        <v>1000</v>
      </c>
      <c r="N981" s="1">
        <v>1</v>
      </c>
      <c r="O981" s="1" t="str">
        <f t="shared" si="78"/>
        <v>"BBP_Letter_Large_U": 1,</v>
      </c>
      <c r="P981" s="1" t="str">
        <f t="shared" si="79"/>
        <v>"BBP_Letter_Large_U": 40,</v>
      </c>
      <c r="Q981" s="1" t="str">
        <f t="shared" si="80"/>
        <v>"BBP_Letter_Large_U": 1000,</v>
      </c>
      <c r="R981" s="1" t="str">
        <f t="shared" si="81"/>
        <v>"BBP_Letter_Large_U": 3,</v>
      </c>
    </row>
    <row r="982" spans="1:18" ht="15" customHeight="1" x14ac:dyDescent="0.25">
      <c r="A982" s="1" t="str">
        <f t="shared" si="82"/>
        <v>#tc_groceries#tc_tools#tc_furnishings</v>
      </c>
      <c r="B982" s="1">
        <f>VLOOKUP(A982,TraderCategory!$A$63:$E$556,2,FALSE)</f>
        <v>40</v>
      </c>
      <c r="C982" s="1">
        <f>VLOOKUP(A982,TraderCategory!$A$63:$F$556,6,FALSE)</f>
        <v>3</v>
      </c>
      <c r="D982" s="1" t="str">
        <f>VLOOKUP(C982,Tabulka5[],3,FALSE)</f>
        <v>Sergeant</v>
      </c>
      <c r="E982" s="1">
        <v>3</v>
      </c>
      <c r="F982" s="1" t="str">
        <f>VLOOKUP(E982,Tabulka5[],3,FALSE)</f>
        <v>Sergeant</v>
      </c>
      <c r="G982" s="1" t="s">
        <v>3124</v>
      </c>
      <c r="H982" s="1" t="s">
        <v>1337</v>
      </c>
      <c r="I982" s="1" t="s">
        <v>426</v>
      </c>
      <c r="J982" s="1" t="s">
        <v>3127</v>
      </c>
      <c r="K982" s="1" t="s">
        <v>2740</v>
      </c>
      <c r="L982" s="1" t="s">
        <v>3178</v>
      </c>
      <c r="M982" s="1">
        <v>1000</v>
      </c>
      <c r="N982" s="1">
        <v>1</v>
      </c>
      <c r="O982" s="1" t="str">
        <f t="shared" si="78"/>
        <v>"BBP_Letter_Large_V": 1,</v>
      </c>
      <c r="P982" s="1" t="str">
        <f t="shared" si="79"/>
        <v>"BBP_Letter_Large_V": 40,</v>
      </c>
      <c r="Q982" s="1" t="str">
        <f t="shared" si="80"/>
        <v>"BBP_Letter_Large_V": 1000,</v>
      </c>
      <c r="R982" s="1" t="str">
        <f t="shared" si="81"/>
        <v>"BBP_Letter_Large_V": 3,</v>
      </c>
    </row>
    <row r="983" spans="1:18" ht="15" customHeight="1" x14ac:dyDescent="0.25">
      <c r="A983" s="1" t="str">
        <f t="shared" si="82"/>
        <v>#tc_groceries#tc_tools#tc_furnishings</v>
      </c>
      <c r="B983" s="1">
        <f>VLOOKUP(A983,TraderCategory!$A$63:$E$556,2,FALSE)</f>
        <v>40</v>
      </c>
      <c r="C983" s="1">
        <f>VLOOKUP(A983,TraderCategory!$A$63:$F$556,6,FALSE)</f>
        <v>3</v>
      </c>
      <c r="D983" s="1" t="str">
        <f>VLOOKUP(C983,Tabulka5[],3,FALSE)</f>
        <v>Sergeant</v>
      </c>
      <c r="E983" s="1">
        <v>3</v>
      </c>
      <c r="F983" s="1" t="str">
        <f>VLOOKUP(E983,Tabulka5[],3,FALSE)</f>
        <v>Sergeant</v>
      </c>
      <c r="G983" s="1" t="s">
        <v>3124</v>
      </c>
      <c r="H983" s="1" t="s">
        <v>1338</v>
      </c>
      <c r="I983" s="1" t="s">
        <v>426</v>
      </c>
      <c r="J983" s="1" t="s">
        <v>3127</v>
      </c>
      <c r="K983" s="1" t="s">
        <v>2740</v>
      </c>
      <c r="L983" s="1" t="s">
        <v>3178</v>
      </c>
      <c r="M983" s="1">
        <v>1000</v>
      </c>
      <c r="N983" s="1">
        <v>1</v>
      </c>
      <c r="O983" s="1" t="str">
        <f t="shared" si="78"/>
        <v>"BBP_Letter_Large_W": 1,</v>
      </c>
      <c r="P983" s="1" t="str">
        <f t="shared" si="79"/>
        <v>"BBP_Letter_Large_W": 40,</v>
      </c>
      <c r="Q983" s="1" t="str">
        <f t="shared" si="80"/>
        <v>"BBP_Letter_Large_W": 1000,</v>
      </c>
      <c r="R983" s="1" t="str">
        <f t="shared" si="81"/>
        <v>"BBP_Letter_Large_W": 3,</v>
      </c>
    </row>
    <row r="984" spans="1:18" ht="15" customHeight="1" x14ac:dyDescent="0.25">
      <c r="A984" s="1" t="str">
        <f t="shared" si="82"/>
        <v>#tc_groceries#tc_tools#tc_furnishings</v>
      </c>
      <c r="B984" s="1">
        <f>VLOOKUP(A984,TraderCategory!$A$63:$E$556,2,FALSE)</f>
        <v>40</v>
      </c>
      <c r="C984" s="1">
        <f>VLOOKUP(A984,TraderCategory!$A$63:$F$556,6,FALSE)</f>
        <v>3</v>
      </c>
      <c r="D984" s="1" t="str">
        <f>VLOOKUP(C984,Tabulka5[],3,FALSE)</f>
        <v>Sergeant</v>
      </c>
      <c r="E984" s="1">
        <v>3</v>
      </c>
      <c r="F984" s="1" t="str">
        <f>VLOOKUP(E984,Tabulka5[],3,FALSE)</f>
        <v>Sergeant</v>
      </c>
      <c r="G984" s="1" t="s">
        <v>3124</v>
      </c>
      <c r="H984" s="1" t="s">
        <v>1339</v>
      </c>
      <c r="I984" s="1" t="s">
        <v>426</v>
      </c>
      <c r="J984" s="1" t="s">
        <v>3127</v>
      </c>
      <c r="K984" s="1" t="s">
        <v>2740</v>
      </c>
      <c r="L984" s="1" t="s">
        <v>3178</v>
      </c>
      <c r="M984" s="1">
        <v>1000</v>
      </c>
      <c r="N984" s="1">
        <v>1</v>
      </c>
      <c r="O984" s="1" t="str">
        <f t="shared" si="78"/>
        <v>"BBP_Letter_Large_X": 1,</v>
      </c>
      <c r="P984" s="1" t="str">
        <f t="shared" si="79"/>
        <v>"BBP_Letter_Large_X": 40,</v>
      </c>
      <c r="Q984" s="1" t="str">
        <f t="shared" si="80"/>
        <v>"BBP_Letter_Large_X": 1000,</v>
      </c>
      <c r="R984" s="1" t="str">
        <f t="shared" si="81"/>
        <v>"BBP_Letter_Large_X": 3,</v>
      </c>
    </row>
    <row r="985" spans="1:18" ht="15" customHeight="1" x14ac:dyDescent="0.25">
      <c r="A985" s="1" t="str">
        <f t="shared" si="82"/>
        <v>#tc_groceries#tc_tools#tc_furnishings</v>
      </c>
      <c r="B985" s="1">
        <f>VLOOKUP(A985,TraderCategory!$A$63:$E$556,2,FALSE)</f>
        <v>40</v>
      </c>
      <c r="C985" s="1">
        <f>VLOOKUP(A985,TraderCategory!$A$63:$F$556,6,FALSE)</f>
        <v>3</v>
      </c>
      <c r="D985" s="1" t="str">
        <f>VLOOKUP(C985,Tabulka5[],3,FALSE)</f>
        <v>Sergeant</v>
      </c>
      <c r="E985" s="1">
        <v>3</v>
      </c>
      <c r="F985" s="1" t="str">
        <f>VLOOKUP(E985,Tabulka5[],3,FALSE)</f>
        <v>Sergeant</v>
      </c>
      <c r="G985" s="1" t="s">
        <v>3124</v>
      </c>
      <c r="H985" s="1" t="s">
        <v>1340</v>
      </c>
      <c r="I985" s="1" t="s">
        <v>426</v>
      </c>
      <c r="J985" s="1" t="s">
        <v>3127</v>
      </c>
      <c r="K985" s="1" t="s">
        <v>2740</v>
      </c>
      <c r="L985" s="1" t="s">
        <v>3178</v>
      </c>
      <c r="M985" s="1">
        <v>1000</v>
      </c>
      <c r="N985" s="1">
        <v>1</v>
      </c>
      <c r="O985" s="1" t="str">
        <f t="shared" si="78"/>
        <v>"BBP_Letter_Large_Y": 1,</v>
      </c>
      <c r="P985" s="1" t="str">
        <f t="shared" si="79"/>
        <v>"BBP_Letter_Large_Y": 40,</v>
      </c>
      <c r="Q985" s="1" t="str">
        <f t="shared" si="80"/>
        <v>"BBP_Letter_Large_Y": 1000,</v>
      </c>
      <c r="R985" s="1" t="str">
        <f t="shared" si="81"/>
        <v>"BBP_Letter_Large_Y": 3,</v>
      </c>
    </row>
    <row r="986" spans="1:18" ht="15" customHeight="1" x14ac:dyDescent="0.25">
      <c r="A986" s="1" t="str">
        <f t="shared" si="82"/>
        <v>#tc_groceries#tc_tools#tc_furnishings</v>
      </c>
      <c r="B986" s="1">
        <f>VLOOKUP(A986,TraderCategory!$A$63:$E$556,2,FALSE)</f>
        <v>40</v>
      </c>
      <c r="C986" s="1">
        <f>VLOOKUP(A986,TraderCategory!$A$63:$F$556,6,FALSE)</f>
        <v>3</v>
      </c>
      <c r="D986" s="1" t="str">
        <f>VLOOKUP(C986,Tabulka5[],3,FALSE)</f>
        <v>Sergeant</v>
      </c>
      <c r="E986" s="1">
        <v>3</v>
      </c>
      <c r="F986" s="1" t="str">
        <f>VLOOKUP(E986,Tabulka5[],3,FALSE)</f>
        <v>Sergeant</v>
      </c>
      <c r="G986" s="1" t="s">
        <v>3124</v>
      </c>
      <c r="H986" s="1" t="s">
        <v>1341</v>
      </c>
      <c r="I986" s="1" t="s">
        <v>426</v>
      </c>
      <c r="J986" s="1" t="s">
        <v>3127</v>
      </c>
      <c r="K986" s="1" t="s">
        <v>2740</v>
      </c>
      <c r="L986" s="1" t="s">
        <v>3178</v>
      </c>
      <c r="M986" s="1">
        <v>1000</v>
      </c>
      <c r="N986" s="1">
        <v>1</v>
      </c>
      <c r="O986" s="1" t="str">
        <f t="shared" si="78"/>
        <v>"BBP_Letter_Large_Z": 1,</v>
      </c>
      <c r="P986" s="1" t="str">
        <f t="shared" si="79"/>
        <v>"BBP_Letter_Large_Z": 40,</v>
      </c>
      <c r="Q986" s="1" t="str">
        <f t="shared" si="80"/>
        <v>"BBP_Letter_Large_Z": 1000,</v>
      </c>
      <c r="R986" s="1" t="str">
        <f t="shared" si="81"/>
        <v>"BBP_Letter_Large_Z": 3,</v>
      </c>
    </row>
    <row r="987" spans="1:18" ht="15" customHeight="1" x14ac:dyDescent="0.25">
      <c r="A987" s="1" t="str">
        <f t="shared" si="82"/>
        <v>#tc_groceries#tc_tools#tc_furnishings</v>
      </c>
      <c r="B987" s="1">
        <f>VLOOKUP(A987,TraderCategory!$A$63:$E$556,2,FALSE)</f>
        <v>40</v>
      </c>
      <c r="C987" s="1">
        <f>VLOOKUP(A987,TraderCategory!$A$63:$F$556,6,FALSE)</f>
        <v>3</v>
      </c>
      <c r="D987" s="1" t="str">
        <f>VLOOKUP(C987,Tabulka5[],3,FALSE)</f>
        <v>Sergeant</v>
      </c>
      <c r="E987" s="1">
        <v>3</v>
      </c>
      <c r="F987" s="1" t="str">
        <f>VLOOKUP(E987,Tabulka5[],3,FALSE)</f>
        <v>Sergeant</v>
      </c>
      <c r="G987" s="1" t="s">
        <v>3124</v>
      </c>
      <c r="H987" s="1" t="s">
        <v>1342</v>
      </c>
      <c r="I987" s="1" t="s">
        <v>426</v>
      </c>
      <c r="J987" s="1" t="s">
        <v>3127</v>
      </c>
      <c r="K987" s="1" t="s">
        <v>2740</v>
      </c>
      <c r="L987" s="1" t="s">
        <v>3178</v>
      </c>
      <c r="M987" s="1">
        <v>500</v>
      </c>
      <c r="N987" s="1">
        <v>1</v>
      </c>
      <c r="O987" s="1" t="str">
        <f t="shared" si="78"/>
        <v>"BBP_MagnetBox": 1,</v>
      </c>
      <c r="P987" s="1" t="str">
        <f t="shared" si="79"/>
        <v>"BBP_MagnetBox": 40,</v>
      </c>
      <c r="Q987" s="1" t="str">
        <f t="shared" si="80"/>
        <v>"BBP_MagnetBox": 500,</v>
      </c>
      <c r="R987" s="1" t="str">
        <f t="shared" si="81"/>
        <v>"BBP_MagnetBox": 3,</v>
      </c>
    </row>
    <row r="988" spans="1:18" ht="15" customHeight="1" x14ac:dyDescent="0.25">
      <c r="A988" s="1" t="str">
        <f t="shared" si="82"/>
        <v>#tc_groceries#tc_tools#tc_furnishings</v>
      </c>
      <c r="B988" s="1">
        <f>VLOOKUP(A988,TraderCategory!$A$63:$E$556,2,FALSE)</f>
        <v>40</v>
      </c>
      <c r="C988" s="1">
        <f>VLOOKUP(A988,TraderCategory!$A$63:$F$556,6,FALSE)</f>
        <v>3</v>
      </c>
      <c r="D988" s="1" t="str">
        <f>VLOOKUP(C988,Tabulka5[],3,FALSE)</f>
        <v>Sergeant</v>
      </c>
      <c r="E988" s="1">
        <v>8</v>
      </c>
      <c r="F988" s="1" t="str">
        <f>VLOOKUP(E988,Tabulka5[],3,FALSE)</f>
        <v>Command Sergeant Major</v>
      </c>
      <c r="G988" s="1" t="s">
        <v>3124</v>
      </c>
      <c r="H988" s="1" t="s">
        <v>1343</v>
      </c>
      <c r="I988" s="1" t="s">
        <v>426</v>
      </c>
      <c r="J988" s="1" t="s">
        <v>3127</v>
      </c>
      <c r="K988" s="1" t="s">
        <v>2740</v>
      </c>
      <c r="L988" s="1" t="s">
        <v>3178</v>
      </c>
      <c r="M988" s="1">
        <v>2500</v>
      </c>
      <c r="N988" s="1">
        <v>1</v>
      </c>
      <c r="O988" s="1" t="str">
        <f t="shared" si="78"/>
        <v>"BBP_Old_Lamp": 1,</v>
      </c>
      <c r="P988" s="1" t="str">
        <f t="shared" si="79"/>
        <v>"BBP_Old_Lamp": 40,</v>
      </c>
      <c r="Q988" s="1" t="str">
        <f t="shared" si="80"/>
        <v>"BBP_Old_Lamp": 2500,</v>
      </c>
      <c r="R988" s="1" t="str">
        <f t="shared" si="81"/>
        <v>"BBP_Old_Lamp": 8,</v>
      </c>
    </row>
    <row r="989" spans="1:18" ht="15" customHeight="1" x14ac:dyDescent="0.25">
      <c r="A989" s="1" t="str">
        <f t="shared" si="82"/>
        <v>#tc_groceries#tc_tools#tc_furnishings</v>
      </c>
      <c r="B989" s="1">
        <f>VLOOKUP(A989,TraderCategory!$A$63:$E$556,2,FALSE)</f>
        <v>40</v>
      </c>
      <c r="C989" s="1">
        <f>VLOOKUP(A989,TraderCategory!$A$63:$F$556,6,FALSE)</f>
        <v>3</v>
      </c>
      <c r="D989" s="1" t="str">
        <f>VLOOKUP(C989,Tabulka5[],3,FALSE)</f>
        <v>Sergeant</v>
      </c>
      <c r="E989" s="1">
        <v>9</v>
      </c>
      <c r="F989" s="1" t="str">
        <f>VLOOKUP(E989,Tabulka5[],3,FALSE)</f>
        <v>Sergeant Major of the Army</v>
      </c>
      <c r="G989" s="1" t="s">
        <v>3124</v>
      </c>
      <c r="H989" s="1" t="s">
        <v>1344</v>
      </c>
      <c r="I989" s="1" t="s">
        <v>426</v>
      </c>
      <c r="J989" s="1" t="s">
        <v>3127</v>
      </c>
      <c r="K989" s="1" t="s">
        <v>2740</v>
      </c>
      <c r="L989" s="1" t="s">
        <v>3178</v>
      </c>
      <c r="M989" s="1">
        <v>4000</v>
      </c>
      <c r="N989" s="1">
        <v>1</v>
      </c>
      <c r="O989" s="1" t="str">
        <f t="shared" si="78"/>
        <v>"BBP_Floor_Lamp": 1,</v>
      </c>
      <c r="P989" s="1" t="str">
        <f t="shared" si="79"/>
        <v>"BBP_Floor_Lamp": 40,</v>
      </c>
      <c r="Q989" s="1" t="str">
        <f t="shared" si="80"/>
        <v>"BBP_Floor_Lamp": 4000,</v>
      </c>
      <c r="R989" s="1" t="str">
        <f t="shared" si="81"/>
        <v>"BBP_Floor_Lamp": 9,</v>
      </c>
    </row>
    <row r="990" spans="1:18" ht="15" customHeight="1" x14ac:dyDescent="0.25">
      <c r="A990" s="1" t="str">
        <f t="shared" si="82"/>
        <v>#tc_groceries#tc_tools#tc_materials</v>
      </c>
      <c r="B990" s="1">
        <f>VLOOKUP(A990,TraderCategory!$A$63:$E$556,2,FALSE)</f>
        <v>39</v>
      </c>
      <c r="C990" s="1">
        <f>VLOOKUP(A990,TraderCategory!$A$63:$F$556,6,FALSE)</f>
        <v>3</v>
      </c>
      <c r="D990" s="1" t="str">
        <f>VLOOKUP(C990,Tabulka5[],3,FALSE)</f>
        <v>Sergeant</v>
      </c>
      <c r="E990" s="1">
        <v>3</v>
      </c>
      <c r="F990" s="1" t="str">
        <f>VLOOKUP(E990,Tabulka5[],3,FALSE)</f>
        <v>Sergeant</v>
      </c>
      <c r="G990" s="1" t="s">
        <v>3124</v>
      </c>
      <c r="H990" s="1" t="s">
        <v>1345</v>
      </c>
      <c r="I990" s="1" t="s">
        <v>426</v>
      </c>
      <c r="J990" s="1" t="s">
        <v>3127</v>
      </c>
      <c r="K990" s="1" t="s">
        <v>2740</v>
      </c>
      <c r="L990" s="1" t="s">
        <v>2741</v>
      </c>
      <c r="M990" s="1">
        <v>1000</v>
      </c>
      <c r="N990" s="1">
        <v>1</v>
      </c>
      <c r="O990" s="1" t="str">
        <f t="shared" si="78"/>
        <v>"BBP_Mortar_Mix": 1,</v>
      </c>
      <c r="P990" s="1" t="str">
        <f t="shared" si="79"/>
        <v>"BBP_Mortar_Mix": 39,</v>
      </c>
      <c r="Q990" s="1" t="str">
        <f t="shared" si="80"/>
        <v>"BBP_Mortar_Mix": 1000,</v>
      </c>
      <c r="R990" s="1" t="str">
        <f t="shared" si="81"/>
        <v>"BBP_Mortar_Mix": 3,</v>
      </c>
    </row>
    <row r="991" spans="1:18" ht="15" customHeight="1" x14ac:dyDescent="0.25">
      <c r="A991" s="1" t="str">
        <f t="shared" si="82"/>
        <v>#tc_groceries#tc_tools#tc_toys</v>
      </c>
      <c r="B991" s="1">
        <f>VLOOKUP(A991,TraderCategory!$A$63:$E$556,2,FALSE)</f>
        <v>35</v>
      </c>
      <c r="C991" s="1">
        <f>VLOOKUP(A991,TraderCategory!$A$63:$F$556,6,FALSE)</f>
        <v>0</v>
      </c>
      <c r="D991" s="1" t="str">
        <f>VLOOKUP(C991,Tabulka5[],3,FALSE)</f>
        <v>Private</v>
      </c>
      <c r="E991" s="1">
        <v>3</v>
      </c>
      <c r="F991" s="1" t="str">
        <f>VLOOKUP(E991,Tabulka5[],3,FALSE)</f>
        <v>Sergeant</v>
      </c>
      <c r="G991" s="1" t="s">
        <v>3124</v>
      </c>
      <c r="H991" s="1" t="s">
        <v>1346</v>
      </c>
      <c r="I991" s="1" t="s">
        <v>426</v>
      </c>
      <c r="J991" s="1" t="s">
        <v>3127</v>
      </c>
      <c r="K991" s="1" t="s">
        <v>2740</v>
      </c>
      <c r="L991" s="1" t="s">
        <v>3128</v>
      </c>
      <c r="M991" s="1">
        <v>4000</v>
      </c>
      <c r="N991" s="1">
        <v>1</v>
      </c>
      <c r="O991" s="1" t="str">
        <f t="shared" si="78"/>
        <v>"BBP_Golf": 1,</v>
      </c>
      <c r="P991" s="1" t="str">
        <f t="shared" si="79"/>
        <v>"BBP_Golf": 35,</v>
      </c>
      <c r="Q991" s="1" t="str">
        <f t="shared" si="80"/>
        <v>"BBP_Golf": 4000,</v>
      </c>
      <c r="R991" s="1" t="str">
        <f t="shared" si="81"/>
        <v>"BBP_Golf": 3,</v>
      </c>
    </row>
    <row r="992" spans="1:18" ht="15" customHeight="1" x14ac:dyDescent="0.25">
      <c r="A992" s="1" t="str">
        <f t="shared" si="82"/>
        <v>#tc_groceries#tc_tools#tc_eletronics</v>
      </c>
      <c r="B992" s="1">
        <f>VLOOKUP(A992,TraderCategory!$A$63:$E$556,2,FALSE)</f>
        <v>36</v>
      </c>
      <c r="C992" s="1">
        <f>VLOOKUP(A992,TraderCategory!$A$63:$F$556,6,FALSE)</f>
        <v>0</v>
      </c>
      <c r="D992" s="1" t="str">
        <f>VLOOKUP(C992,Tabulka5[],3,FALSE)</f>
        <v>Private</v>
      </c>
      <c r="E992" s="1">
        <v>9</v>
      </c>
      <c r="F992" s="1" t="str">
        <f>VLOOKUP(E992,Tabulka5[],3,FALSE)</f>
        <v>Sergeant Major of the Army</v>
      </c>
      <c r="G992" s="1" t="s">
        <v>3124</v>
      </c>
      <c r="H992" s="1" t="s">
        <v>1347</v>
      </c>
      <c r="I992" s="1" t="s">
        <v>426</v>
      </c>
      <c r="J992" s="1" t="s">
        <v>3127</v>
      </c>
      <c r="K992" s="1" t="s">
        <v>2740</v>
      </c>
      <c r="L992" s="1" t="s">
        <v>3148</v>
      </c>
      <c r="M992" s="1">
        <v>900</v>
      </c>
      <c r="N992" s="1">
        <v>1</v>
      </c>
      <c r="O992" s="1" t="str">
        <f t="shared" si="78"/>
        <v>"BBP_Gang_Plug": 1,</v>
      </c>
      <c r="P992" s="1" t="str">
        <f t="shared" si="79"/>
        <v>"BBP_Gang_Plug": 36,</v>
      </c>
      <c r="Q992" s="1" t="str">
        <f t="shared" si="80"/>
        <v>"BBP_Gang_Plug": 900,</v>
      </c>
      <c r="R992" s="1" t="str">
        <f t="shared" si="81"/>
        <v>"BBP_Gang_Plug": 9,</v>
      </c>
    </row>
    <row r="993" spans="1:18" ht="15" customHeight="1" x14ac:dyDescent="0.25">
      <c r="A993" s="1" t="str">
        <f t="shared" si="82"/>
        <v>#tc_groceries#tc_tools#tc_materials</v>
      </c>
      <c r="B993" s="1">
        <f>VLOOKUP(A993,TraderCategory!$A$63:$E$556,2,FALSE)</f>
        <v>39</v>
      </c>
      <c r="C993" s="1">
        <f>VLOOKUP(A993,TraderCategory!$A$63:$F$556,6,FALSE)</f>
        <v>3</v>
      </c>
      <c r="D993" s="1" t="str">
        <f>VLOOKUP(C993,Tabulka5[],3,FALSE)</f>
        <v>Sergeant</v>
      </c>
      <c r="E993" s="1">
        <v>3</v>
      </c>
      <c r="F993" s="1" t="str">
        <f>VLOOKUP(E993,Tabulka5[],3,FALSE)</f>
        <v>Sergeant</v>
      </c>
      <c r="G993" s="1" t="s">
        <v>3124</v>
      </c>
      <c r="H993" s="1" t="s">
        <v>1348</v>
      </c>
      <c r="I993" s="1" t="s">
        <v>426</v>
      </c>
      <c r="J993" s="1" t="s">
        <v>3127</v>
      </c>
      <c r="K993" s="1" t="s">
        <v>2740</v>
      </c>
      <c r="L993" s="1" t="s">
        <v>2741</v>
      </c>
      <c r="M993" s="1">
        <v>10000</v>
      </c>
      <c r="N993" s="1">
        <v>1</v>
      </c>
      <c r="O993" s="1" t="str">
        <f t="shared" si="78"/>
        <v>"BBP_Solar_PanelKit": 1,</v>
      </c>
      <c r="P993" s="1" t="str">
        <f t="shared" si="79"/>
        <v>"BBP_Solar_PanelKit": 39,</v>
      </c>
      <c r="Q993" s="1" t="str">
        <f t="shared" si="80"/>
        <v>"BBP_Solar_PanelKit": 10000,</v>
      </c>
      <c r="R993" s="1" t="str">
        <f t="shared" si="81"/>
        <v>"BBP_Solar_PanelKit": 3,</v>
      </c>
    </row>
    <row r="994" spans="1:18" ht="15" customHeight="1" x14ac:dyDescent="0.25">
      <c r="A994" s="1" t="str">
        <f t="shared" si="82"/>
        <v>#tc_groceries#tc_tools#tc_furnishings</v>
      </c>
      <c r="B994" s="1">
        <f>VLOOKUP(A994,TraderCategory!$A$63:$E$556,2,FALSE)</f>
        <v>40</v>
      </c>
      <c r="C994" s="1">
        <f>VLOOKUP(A994,TraderCategory!$A$63:$F$556,6,FALSE)</f>
        <v>3</v>
      </c>
      <c r="D994" s="1" t="str">
        <f>VLOOKUP(C994,Tabulka5[],3,FALSE)</f>
        <v>Sergeant</v>
      </c>
      <c r="E994" s="1">
        <v>10</v>
      </c>
      <c r="F994" s="1" t="str">
        <f>VLOOKUP(E994,Tabulka5[],3,FALSE)</f>
        <v>Second Lieutenant</v>
      </c>
      <c r="G994" s="1" t="s">
        <v>3124</v>
      </c>
      <c r="H994" s="1" t="s">
        <v>1349</v>
      </c>
      <c r="I994" s="1" t="s">
        <v>426</v>
      </c>
      <c r="J994" s="1" t="s">
        <v>3127</v>
      </c>
      <c r="K994" s="1" t="s">
        <v>2740</v>
      </c>
      <c r="L994" s="1" t="s">
        <v>3178</v>
      </c>
      <c r="M994" s="1">
        <v>8000</v>
      </c>
      <c r="N994" s="1">
        <v>1</v>
      </c>
      <c r="O994" s="1" t="str">
        <f t="shared" si="78"/>
        <v>"BBP_Carpet": 1,</v>
      </c>
      <c r="P994" s="1" t="str">
        <f t="shared" si="79"/>
        <v>"BBP_Carpet": 40,</v>
      </c>
      <c r="Q994" s="1" t="str">
        <f t="shared" si="80"/>
        <v>"BBP_Carpet": 8000,</v>
      </c>
      <c r="R994" s="1" t="str">
        <f t="shared" si="81"/>
        <v>"BBP_Carpet": 10,</v>
      </c>
    </row>
    <row r="995" spans="1:18" ht="15" customHeight="1" x14ac:dyDescent="0.25">
      <c r="A995" s="1" t="str">
        <f t="shared" si="82"/>
        <v>#tc_groceries#tc_tools#tc_furnishings</v>
      </c>
      <c r="B995" s="1">
        <f>VLOOKUP(A995,TraderCategory!$A$63:$E$556,2,FALSE)</f>
        <v>40</v>
      </c>
      <c r="C995" s="1">
        <f>VLOOKUP(A995,TraderCategory!$A$63:$F$556,6,FALSE)</f>
        <v>3</v>
      </c>
      <c r="D995" s="1" t="str">
        <f>VLOOKUP(C995,Tabulka5[],3,FALSE)</f>
        <v>Sergeant</v>
      </c>
      <c r="E995" s="1">
        <v>3</v>
      </c>
      <c r="F995" s="1" t="str">
        <f>VLOOKUP(E995,Tabulka5[],3,FALSE)</f>
        <v>Sergeant</v>
      </c>
      <c r="G995" s="1" t="s">
        <v>3124</v>
      </c>
      <c r="H995" s="1" t="s">
        <v>1350</v>
      </c>
      <c r="I995" s="1" t="s">
        <v>426</v>
      </c>
      <c r="J995" s="1" t="s">
        <v>3127</v>
      </c>
      <c r="K995" s="1" t="s">
        <v>2740</v>
      </c>
      <c r="L995" s="1" t="s">
        <v>3178</v>
      </c>
      <c r="M995" s="1">
        <v>4000</v>
      </c>
      <c r="N995" s="1">
        <v>1</v>
      </c>
      <c r="O995" s="1" t="str">
        <f t="shared" si="78"/>
        <v>"BBP_Wallpaper": 1,</v>
      </c>
      <c r="P995" s="1" t="str">
        <f t="shared" si="79"/>
        <v>"BBP_Wallpaper": 40,</v>
      </c>
      <c r="Q995" s="1" t="str">
        <f t="shared" si="80"/>
        <v>"BBP_Wallpaper": 4000,</v>
      </c>
      <c r="R995" s="1" t="str">
        <f t="shared" si="81"/>
        <v>"BBP_Wallpaper": 3,</v>
      </c>
    </row>
    <row r="996" spans="1:18" ht="15" customHeight="1" x14ac:dyDescent="0.25">
      <c r="A996" s="1" t="str">
        <f t="shared" si="82"/>
        <v>#tc_groceries#tc_tools#tc_furnishings</v>
      </c>
      <c r="B996" s="1">
        <f>VLOOKUP(A996,TraderCategory!$A$63:$E$556,2,FALSE)</f>
        <v>40</v>
      </c>
      <c r="C996" s="1">
        <f>VLOOKUP(A996,TraderCategory!$A$63:$F$556,6,FALSE)</f>
        <v>3</v>
      </c>
      <c r="D996" s="1" t="str">
        <f>VLOOKUP(C996,Tabulka5[],3,FALSE)</f>
        <v>Sergeant</v>
      </c>
      <c r="E996" s="1">
        <v>6</v>
      </c>
      <c r="F996" s="1" t="str">
        <f>VLOOKUP(E996,Tabulka5[],3,FALSE)</f>
        <v>Master Sergeant</v>
      </c>
      <c r="G996" s="1" t="s">
        <v>3124</v>
      </c>
      <c r="H996" s="1" t="s">
        <v>1351</v>
      </c>
      <c r="I996" s="1" t="s">
        <v>426</v>
      </c>
      <c r="J996" s="1" t="s">
        <v>3127</v>
      </c>
      <c r="K996" s="1" t="s">
        <v>2740</v>
      </c>
      <c r="L996" s="1" t="s">
        <v>3178</v>
      </c>
      <c r="M996" s="1">
        <v>18000</v>
      </c>
      <c r="N996" s="1">
        <v>1</v>
      </c>
      <c r="O996" s="1" t="str">
        <f t="shared" si="78"/>
        <v>"BBP_BedKit": 1,</v>
      </c>
      <c r="P996" s="1" t="str">
        <f t="shared" si="79"/>
        <v>"BBP_BedKit": 40,</v>
      </c>
      <c r="Q996" s="1" t="str">
        <f t="shared" si="80"/>
        <v>"BBP_BedKit": 18000,</v>
      </c>
      <c r="R996" s="1" t="str">
        <f t="shared" si="81"/>
        <v>"BBP_BedKit": 6,</v>
      </c>
    </row>
    <row r="997" spans="1:18" ht="15" customHeight="1" x14ac:dyDescent="0.25">
      <c r="A997" s="1" t="str">
        <f t="shared" si="82"/>
        <v>#tc_groceries#tc_tools#tc_furnishings</v>
      </c>
      <c r="B997" s="1">
        <f>VLOOKUP(A997,TraderCategory!$A$63:$E$556,2,FALSE)</f>
        <v>40</v>
      </c>
      <c r="C997" s="1">
        <f>VLOOKUP(A997,TraderCategory!$A$63:$F$556,6,FALSE)</f>
        <v>3</v>
      </c>
      <c r="D997" s="1" t="str">
        <f>VLOOKUP(C997,Tabulka5[],3,FALSE)</f>
        <v>Sergeant</v>
      </c>
      <c r="E997" s="1">
        <v>3</v>
      </c>
      <c r="F997" s="1" t="str">
        <f>VLOOKUP(E997,Tabulka5[],3,FALSE)</f>
        <v>Sergeant</v>
      </c>
      <c r="G997" s="1" t="s">
        <v>3124</v>
      </c>
      <c r="H997" s="1" t="s">
        <v>1352</v>
      </c>
      <c r="I997" s="1" t="s">
        <v>426</v>
      </c>
      <c r="J997" s="1" t="s">
        <v>3127</v>
      </c>
      <c r="K997" s="1" t="s">
        <v>2740</v>
      </c>
      <c r="L997" s="1" t="s">
        <v>3178</v>
      </c>
      <c r="M997" s="1">
        <v>500</v>
      </c>
      <c r="N997" s="1">
        <v>1</v>
      </c>
      <c r="O997" s="1" t="str">
        <f t="shared" si="78"/>
        <v>"BBP_Bedding": 1,</v>
      </c>
      <c r="P997" s="1" t="str">
        <f t="shared" si="79"/>
        <v>"BBP_Bedding": 40,</v>
      </c>
      <c r="Q997" s="1" t="str">
        <f t="shared" si="80"/>
        <v>"BBP_Bedding": 500,</v>
      </c>
      <c r="R997" s="1" t="str">
        <f t="shared" si="81"/>
        <v>"BBP_Bedding": 3,</v>
      </c>
    </row>
    <row r="998" spans="1:18" ht="15" customHeight="1" x14ac:dyDescent="0.25">
      <c r="A998" s="1" t="str">
        <f t="shared" si="82"/>
        <v>#tc_groceries#tc_tools#tc_furnishings</v>
      </c>
      <c r="B998" s="1">
        <f>VLOOKUP(A998,TraderCategory!$A$63:$E$556,2,FALSE)</f>
        <v>40</v>
      </c>
      <c r="C998" s="1">
        <f>VLOOKUP(A998,TraderCategory!$A$63:$F$556,6,FALSE)</f>
        <v>3</v>
      </c>
      <c r="D998" s="1" t="str">
        <f>VLOOKUP(C998,Tabulka5[],3,FALSE)</f>
        <v>Sergeant</v>
      </c>
      <c r="E998" s="1">
        <v>10</v>
      </c>
      <c r="F998" s="1" t="str">
        <f>VLOOKUP(E998,Tabulka5[],3,FALSE)</f>
        <v>Second Lieutenant</v>
      </c>
      <c r="G998" s="1" t="s">
        <v>3124</v>
      </c>
      <c r="H998" s="1" t="s">
        <v>1353</v>
      </c>
      <c r="I998" s="1" t="s">
        <v>426</v>
      </c>
      <c r="J998" s="1" t="s">
        <v>3127</v>
      </c>
      <c r="K998" s="1" t="s">
        <v>2740</v>
      </c>
      <c r="L998" s="1" t="s">
        <v>3178</v>
      </c>
      <c r="M998" s="1">
        <v>5000</v>
      </c>
      <c r="N998" s="1">
        <v>1</v>
      </c>
      <c r="O998" s="1" t="str">
        <f t="shared" si="78"/>
        <v>"BBP_Step_LadderKit": 1,</v>
      </c>
      <c r="P998" s="1" t="str">
        <f t="shared" si="79"/>
        <v>"BBP_Step_LadderKit": 40,</v>
      </c>
      <c r="Q998" s="1" t="str">
        <f t="shared" si="80"/>
        <v>"BBP_Step_LadderKit": 5000,</v>
      </c>
      <c r="R998" s="1" t="str">
        <f t="shared" si="81"/>
        <v>"BBP_Step_LadderKit": 10,</v>
      </c>
    </row>
    <row r="999" spans="1:18" ht="15" customHeight="1" x14ac:dyDescent="0.25">
      <c r="A999" s="1" t="str">
        <f t="shared" si="82"/>
        <v>#tc_groceries#tc_tools#tc_materials</v>
      </c>
      <c r="B999" s="1">
        <f>VLOOKUP(A999,TraderCategory!$A$63:$E$556,2,FALSE)</f>
        <v>39</v>
      </c>
      <c r="C999" s="1">
        <f>VLOOKUP(A999,TraderCategory!$A$63:$F$556,6,FALSE)</f>
        <v>3</v>
      </c>
      <c r="D999" s="1" t="str">
        <f>VLOOKUP(C999,Tabulka5[],3,FALSE)</f>
        <v>Sergeant</v>
      </c>
      <c r="E999" s="1">
        <v>3</v>
      </c>
      <c r="F999" s="1" t="str">
        <f>VLOOKUP(E999,Tabulka5[],3,FALSE)</f>
        <v>Sergeant</v>
      </c>
      <c r="G999" s="1" t="s">
        <v>3124</v>
      </c>
      <c r="H999" s="1" t="s">
        <v>1354</v>
      </c>
      <c r="I999" s="1" t="s">
        <v>426</v>
      </c>
      <c r="J999" s="1" t="s">
        <v>3127</v>
      </c>
      <c r="K999" s="1" t="s">
        <v>2740</v>
      </c>
      <c r="L999" s="1" t="s">
        <v>2741</v>
      </c>
      <c r="M999" s="1">
        <v>1000</v>
      </c>
      <c r="N999" s="1">
        <v>1</v>
      </c>
      <c r="O999" s="1" t="str">
        <f t="shared" si="78"/>
        <v>"BBP_Plaster": 1,</v>
      </c>
      <c r="P999" s="1" t="str">
        <f t="shared" si="79"/>
        <v>"BBP_Plaster": 39,</v>
      </c>
      <c r="Q999" s="1" t="str">
        <f t="shared" si="80"/>
        <v>"BBP_Plaster": 1000,</v>
      </c>
      <c r="R999" s="1" t="str">
        <f t="shared" si="81"/>
        <v>"BBP_Plaster": 3,</v>
      </c>
    </row>
    <row r="1000" spans="1:18" ht="15" customHeight="1" x14ac:dyDescent="0.25">
      <c r="A1000" s="1" t="str">
        <f t="shared" ref="A1000:A1001" si="83">CONCATENATE(J1000,K1000,L1000)</f>
        <v>#tc_groceries#tc_tools#tc_furnishings</v>
      </c>
      <c r="B1000" s="1">
        <f>VLOOKUP(A1000,TraderCategory!$A$63:$E$556,2,FALSE)</f>
        <v>40</v>
      </c>
      <c r="C1000" s="1">
        <f>VLOOKUP(A1000,TraderCategory!$A$63:$F$556,6,FALSE)</f>
        <v>3</v>
      </c>
      <c r="D1000" s="1" t="str">
        <f>VLOOKUP(C1000,Tabulka5[],3,FALSE)</f>
        <v>Sergeant</v>
      </c>
      <c r="E1000" s="1">
        <v>15</v>
      </c>
      <c r="F1000" s="1" t="str">
        <f>VLOOKUP(E1000,Tabulka5[],3,FALSE)</f>
        <v>Colonel</v>
      </c>
      <c r="G1000" s="1" t="s">
        <v>3124</v>
      </c>
      <c r="H1000" s="1" t="s">
        <v>3112</v>
      </c>
      <c r="I1000" s="1" t="s">
        <v>426</v>
      </c>
      <c r="J1000" s="1" t="s">
        <v>3127</v>
      </c>
      <c r="K1000" s="1" t="s">
        <v>2740</v>
      </c>
      <c r="L1000" s="1" t="s">
        <v>3178</v>
      </c>
      <c r="M1000" s="1">
        <v>1000</v>
      </c>
      <c r="N1000" s="1">
        <v>1</v>
      </c>
      <c r="O1000" s="1" t="str">
        <f t="shared" si="78"/>
        <v>"BBP_Bucket": 1,</v>
      </c>
      <c r="P1000" s="1" t="str">
        <f t="shared" si="79"/>
        <v>"BBP_Bucket": 40,</v>
      </c>
      <c r="Q1000" s="1" t="str">
        <f t="shared" si="80"/>
        <v>"BBP_Bucket": 1000,</v>
      </c>
      <c r="R1000" s="1" t="str">
        <f t="shared" si="81"/>
        <v>"BBP_Bucket": 15,</v>
      </c>
    </row>
    <row r="1001" spans="1:18" ht="15" customHeight="1" x14ac:dyDescent="0.25">
      <c r="A1001" s="1" t="str">
        <f t="shared" si="83"/>
        <v>#tc_groceries#tc_tools#tc_furnishings</v>
      </c>
      <c r="B1001" s="1">
        <f>VLOOKUP(A1001,TraderCategory!$A$63:$E$556,2,FALSE)</f>
        <v>40</v>
      </c>
      <c r="C1001" s="1">
        <f>VLOOKUP(A1001,TraderCategory!$A$63:$F$556,6,FALSE)</f>
        <v>3</v>
      </c>
      <c r="D1001" s="1" t="str">
        <f>VLOOKUP(C1001,Tabulka5[],3,FALSE)</f>
        <v>Sergeant</v>
      </c>
      <c r="E1001" s="1">
        <v>15</v>
      </c>
      <c r="F1001" s="1" t="str">
        <f>VLOOKUP(E1001,Tabulka5[],3,FALSE)</f>
        <v>Colonel</v>
      </c>
      <c r="G1001" s="1" t="s">
        <v>3124</v>
      </c>
      <c r="H1001" s="1" t="s">
        <v>3113</v>
      </c>
      <c r="I1001" s="1" t="s">
        <v>426</v>
      </c>
      <c r="J1001" s="1" t="s">
        <v>3127</v>
      </c>
      <c r="K1001" s="1" t="s">
        <v>2740</v>
      </c>
      <c r="L1001" s="1" t="s">
        <v>3178</v>
      </c>
      <c r="M1001" s="1">
        <v>35000</v>
      </c>
      <c r="N1001" s="1">
        <v>1</v>
      </c>
      <c r="O1001" s="1" t="str">
        <f t="shared" si="78"/>
        <v>"BBP_WellKit": 1,</v>
      </c>
      <c r="P1001" s="1" t="str">
        <f t="shared" si="79"/>
        <v>"BBP_WellKit": 40,</v>
      </c>
      <c r="Q1001" s="1" t="str">
        <f t="shared" si="80"/>
        <v>"BBP_WellKit": 35000,</v>
      </c>
      <c r="R1001" s="1" t="str">
        <f t="shared" si="81"/>
        <v>"BBP_WellKit": 15,</v>
      </c>
    </row>
    <row r="1002" spans="1:18" ht="15" customHeight="1" x14ac:dyDescent="0.25">
      <c r="A1002" s="1" t="str">
        <f t="shared" ref="A1002:A1033" si="84">CONCATENATE(J1002,K1002,L1002)</f>
        <v>#tc_vehicles#tc_parts#tc_doors</v>
      </c>
      <c r="B1002" s="1">
        <f>VLOOKUP(A1002,TraderCategory!$A$63:$E$556,2,FALSE)</f>
        <v>70</v>
      </c>
      <c r="C1002" s="1">
        <f>VLOOKUP(A1002,TraderCategory!$A$63:$F$556,6,FALSE)</f>
        <v>3</v>
      </c>
      <c r="D1002" s="1" t="str">
        <f>VLOOKUP(C1002,Tabulka5[],3,FALSE)</f>
        <v>Sergeant</v>
      </c>
      <c r="E1002" s="1">
        <v>3</v>
      </c>
      <c r="F1002" s="1" t="str">
        <f>VLOOKUP(E1002,Tabulka5[],3,FALSE)</f>
        <v>Sergeant</v>
      </c>
      <c r="G1002" s="1" t="s">
        <v>3123</v>
      </c>
      <c r="H1002" s="1" t="s">
        <v>1358</v>
      </c>
      <c r="I1002" s="1" t="s">
        <v>426</v>
      </c>
      <c r="J1002" s="1" t="s">
        <v>2743</v>
      </c>
      <c r="K1002" s="1" t="s">
        <v>2742</v>
      </c>
      <c r="L1002" s="1" t="s">
        <v>3170</v>
      </c>
      <c r="M1002" s="1">
        <v>4000</v>
      </c>
      <c r="N1002" s="1">
        <v>1</v>
      </c>
      <c r="O1002" s="1" t="str">
        <f t="shared" si="78"/>
        <v>"Defender110_dver_1_1": 1,</v>
      </c>
      <c r="P1002" s="1" t="str">
        <f t="shared" si="79"/>
        <v>"Defender110_dver_1_1": 70,</v>
      </c>
      <c r="Q1002" s="1" t="str">
        <f t="shared" si="80"/>
        <v>"Defender110_dver_1_1": 4000,</v>
      </c>
      <c r="R1002" s="1" t="str">
        <f t="shared" si="81"/>
        <v>"Defender110_dver_1_1": 3,</v>
      </c>
    </row>
    <row r="1003" spans="1:18" ht="15" customHeight="1" x14ac:dyDescent="0.25">
      <c r="A1003" s="1" t="str">
        <f t="shared" si="84"/>
        <v>#tc_vehicles#tc_parts#tc_doors</v>
      </c>
      <c r="B1003" s="1">
        <f>VLOOKUP(A1003,TraderCategory!$A$63:$E$556,2,FALSE)</f>
        <v>70</v>
      </c>
      <c r="C1003" s="1">
        <f>VLOOKUP(A1003,TraderCategory!$A$63:$F$556,6,FALSE)</f>
        <v>3</v>
      </c>
      <c r="D1003" s="1" t="str">
        <f>VLOOKUP(C1003,Tabulka5[],3,FALSE)</f>
        <v>Sergeant</v>
      </c>
      <c r="E1003" s="1">
        <v>3</v>
      </c>
      <c r="F1003" s="1" t="str">
        <f>VLOOKUP(E1003,Tabulka5[],3,FALSE)</f>
        <v>Sergeant</v>
      </c>
      <c r="G1003" s="1" t="s">
        <v>3123</v>
      </c>
      <c r="H1003" s="1" t="s">
        <v>1359</v>
      </c>
      <c r="I1003" s="1" t="s">
        <v>426</v>
      </c>
      <c r="J1003" s="1" t="s">
        <v>2743</v>
      </c>
      <c r="K1003" s="1" t="s">
        <v>2742</v>
      </c>
      <c r="L1003" s="1" t="s">
        <v>3170</v>
      </c>
      <c r="M1003" s="1">
        <v>4000</v>
      </c>
      <c r="N1003" s="1">
        <v>1</v>
      </c>
      <c r="O1003" s="1" t="str">
        <f t="shared" si="78"/>
        <v>"Defender110_dver_2_1": 1,</v>
      </c>
      <c r="P1003" s="1" t="str">
        <f t="shared" si="79"/>
        <v>"Defender110_dver_2_1": 70,</v>
      </c>
      <c r="Q1003" s="1" t="str">
        <f t="shared" si="80"/>
        <v>"Defender110_dver_2_1": 4000,</v>
      </c>
      <c r="R1003" s="1" t="str">
        <f t="shared" si="81"/>
        <v>"Defender110_dver_2_1": 3,</v>
      </c>
    </row>
    <row r="1004" spans="1:18" ht="15" customHeight="1" x14ac:dyDescent="0.25">
      <c r="A1004" s="1" t="str">
        <f t="shared" si="84"/>
        <v>#tc_vehicles#tc_parts#tc_doors</v>
      </c>
      <c r="B1004" s="1">
        <f>VLOOKUP(A1004,TraderCategory!$A$63:$E$556,2,FALSE)</f>
        <v>70</v>
      </c>
      <c r="C1004" s="1">
        <f>VLOOKUP(A1004,TraderCategory!$A$63:$F$556,6,FALSE)</f>
        <v>3</v>
      </c>
      <c r="D1004" s="1" t="str">
        <f>VLOOKUP(C1004,Tabulka5[],3,FALSE)</f>
        <v>Sergeant</v>
      </c>
      <c r="E1004" s="1">
        <v>3</v>
      </c>
      <c r="F1004" s="1" t="str">
        <f>VLOOKUP(E1004,Tabulka5[],3,FALSE)</f>
        <v>Sergeant</v>
      </c>
      <c r="G1004" s="1" t="s">
        <v>3123</v>
      </c>
      <c r="H1004" s="1" t="s">
        <v>1360</v>
      </c>
      <c r="I1004" s="1" t="s">
        <v>426</v>
      </c>
      <c r="J1004" s="1" t="s">
        <v>2743</v>
      </c>
      <c r="K1004" s="1" t="s">
        <v>2742</v>
      </c>
      <c r="L1004" s="1" t="s">
        <v>3170</v>
      </c>
      <c r="M1004" s="1">
        <v>4000</v>
      </c>
      <c r="N1004" s="1">
        <v>1</v>
      </c>
      <c r="O1004" s="1" t="str">
        <f t="shared" si="78"/>
        <v>"Defender110_dver_1_2": 1,</v>
      </c>
      <c r="P1004" s="1" t="str">
        <f t="shared" si="79"/>
        <v>"Defender110_dver_1_2": 70,</v>
      </c>
      <c r="Q1004" s="1" t="str">
        <f t="shared" si="80"/>
        <v>"Defender110_dver_1_2": 4000,</v>
      </c>
      <c r="R1004" s="1" t="str">
        <f t="shared" si="81"/>
        <v>"Defender110_dver_1_2": 3,</v>
      </c>
    </row>
    <row r="1005" spans="1:18" ht="15" customHeight="1" x14ac:dyDescent="0.25">
      <c r="A1005" s="1" t="str">
        <f t="shared" si="84"/>
        <v>#tc_vehicles#tc_parts#tc_doors</v>
      </c>
      <c r="B1005" s="1">
        <f>VLOOKUP(A1005,TraderCategory!$A$63:$E$556,2,FALSE)</f>
        <v>70</v>
      </c>
      <c r="C1005" s="1">
        <f>VLOOKUP(A1005,TraderCategory!$A$63:$F$556,6,FALSE)</f>
        <v>3</v>
      </c>
      <c r="D1005" s="1" t="str">
        <f>VLOOKUP(C1005,Tabulka5[],3,FALSE)</f>
        <v>Sergeant</v>
      </c>
      <c r="E1005" s="1">
        <v>3</v>
      </c>
      <c r="F1005" s="1" t="str">
        <f>VLOOKUP(E1005,Tabulka5[],3,FALSE)</f>
        <v>Sergeant</v>
      </c>
      <c r="G1005" s="1" t="s">
        <v>3123</v>
      </c>
      <c r="H1005" s="1" t="s">
        <v>1361</v>
      </c>
      <c r="I1005" s="1" t="s">
        <v>426</v>
      </c>
      <c r="J1005" s="1" t="s">
        <v>2743</v>
      </c>
      <c r="K1005" s="1" t="s">
        <v>2742</v>
      </c>
      <c r="L1005" s="1" t="s">
        <v>3170</v>
      </c>
      <c r="M1005" s="1">
        <v>4000</v>
      </c>
      <c r="N1005" s="1">
        <v>1</v>
      </c>
      <c r="O1005" s="1" t="str">
        <f t="shared" si="78"/>
        <v>"Defender110_dver_2_2": 1,</v>
      </c>
      <c r="P1005" s="1" t="str">
        <f t="shared" si="79"/>
        <v>"Defender110_dver_2_2": 70,</v>
      </c>
      <c r="Q1005" s="1" t="str">
        <f t="shared" si="80"/>
        <v>"Defender110_dver_2_2": 4000,</v>
      </c>
      <c r="R1005" s="1" t="str">
        <f t="shared" si="81"/>
        <v>"Defender110_dver_2_2": 3,</v>
      </c>
    </row>
    <row r="1006" spans="1:18" ht="15" customHeight="1" x14ac:dyDescent="0.25">
      <c r="A1006" s="1" t="str">
        <f t="shared" si="84"/>
        <v>#tc_vehicles#tc_parts#tc_doors</v>
      </c>
      <c r="B1006" s="1">
        <f>VLOOKUP(A1006,TraderCategory!$A$63:$E$556,2,FALSE)</f>
        <v>70</v>
      </c>
      <c r="C1006" s="1">
        <f>VLOOKUP(A1006,TraderCategory!$A$63:$F$556,6,FALSE)</f>
        <v>3</v>
      </c>
      <c r="D1006" s="1" t="str">
        <f>VLOOKUP(C1006,Tabulka5[],3,FALSE)</f>
        <v>Sergeant</v>
      </c>
      <c r="E1006" s="1">
        <v>3</v>
      </c>
      <c r="F1006" s="1" t="str">
        <f>VLOOKUP(E1006,Tabulka5[],3,FALSE)</f>
        <v>Sergeant</v>
      </c>
      <c r="G1006" s="1" t="s">
        <v>3123</v>
      </c>
      <c r="H1006" s="1" t="s">
        <v>1362</v>
      </c>
      <c r="I1006" s="1" t="s">
        <v>426</v>
      </c>
      <c r="J1006" s="1" t="s">
        <v>2743</v>
      </c>
      <c r="K1006" s="1" t="s">
        <v>2742</v>
      </c>
      <c r="L1006" s="1" t="s">
        <v>3170</v>
      </c>
      <c r="M1006" s="1">
        <v>4000</v>
      </c>
      <c r="N1006" s="1">
        <v>1</v>
      </c>
      <c r="O1006" s="1" t="str">
        <f t="shared" si="78"/>
        <v>"Defender110_dver_1_1_Green": 1,</v>
      </c>
      <c r="P1006" s="1" t="str">
        <f t="shared" si="79"/>
        <v>"Defender110_dver_1_1_Green": 70,</v>
      </c>
      <c r="Q1006" s="1" t="str">
        <f t="shared" si="80"/>
        <v>"Defender110_dver_1_1_Green": 4000,</v>
      </c>
      <c r="R1006" s="1" t="str">
        <f t="shared" si="81"/>
        <v>"Defender110_dver_1_1_Green": 3,</v>
      </c>
    </row>
    <row r="1007" spans="1:18" ht="15" customHeight="1" x14ac:dyDescent="0.25">
      <c r="A1007" s="1" t="str">
        <f t="shared" si="84"/>
        <v>#tc_vehicles#tc_parts#tc_doors</v>
      </c>
      <c r="B1007" s="1">
        <f>VLOOKUP(A1007,TraderCategory!$A$63:$E$556,2,FALSE)</f>
        <v>70</v>
      </c>
      <c r="C1007" s="1">
        <f>VLOOKUP(A1007,TraderCategory!$A$63:$F$556,6,FALSE)</f>
        <v>3</v>
      </c>
      <c r="D1007" s="1" t="str">
        <f>VLOOKUP(C1007,Tabulka5[],3,FALSE)</f>
        <v>Sergeant</v>
      </c>
      <c r="E1007" s="1">
        <v>3</v>
      </c>
      <c r="F1007" s="1" t="str">
        <f>VLOOKUP(E1007,Tabulka5[],3,FALSE)</f>
        <v>Sergeant</v>
      </c>
      <c r="G1007" s="1" t="s">
        <v>3123</v>
      </c>
      <c r="H1007" s="1" t="s">
        <v>1363</v>
      </c>
      <c r="I1007" s="1" t="s">
        <v>426</v>
      </c>
      <c r="J1007" s="1" t="s">
        <v>2743</v>
      </c>
      <c r="K1007" s="1" t="s">
        <v>2742</v>
      </c>
      <c r="L1007" s="1" t="s">
        <v>3170</v>
      </c>
      <c r="M1007" s="1">
        <v>4000</v>
      </c>
      <c r="N1007" s="1">
        <v>1</v>
      </c>
      <c r="O1007" s="1" t="str">
        <f t="shared" si="78"/>
        <v>"Defender110_dver_2_1_Green": 1,</v>
      </c>
      <c r="P1007" s="1" t="str">
        <f t="shared" si="79"/>
        <v>"Defender110_dver_2_1_Green": 70,</v>
      </c>
      <c r="Q1007" s="1" t="str">
        <f t="shared" si="80"/>
        <v>"Defender110_dver_2_1_Green": 4000,</v>
      </c>
      <c r="R1007" s="1" t="str">
        <f t="shared" si="81"/>
        <v>"Defender110_dver_2_1_Green": 3,</v>
      </c>
    </row>
    <row r="1008" spans="1:18" ht="15" customHeight="1" x14ac:dyDescent="0.25">
      <c r="A1008" s="1" t="str">
        <f t="shared" si="84"/>
        <v>#tc_vehicles#tc_parts#tc_doors</v>
      </c>
      <c r="B1008" s="1">
        <f>VLOOKUP(A1008,TraderCategory!$A$63:$E$556,2,FALSE)</f>
        <v>70</v>
      </c>
      <c r="C1008" s="1">
        <f>VLOOKUP(A1008,TraderCategory!$A$63:$F$556,6,FALSE)</f>
        <v>3</v>
      </c>
      <c r="D1008" s="1" t="str">
        <f>VLOOKUP(C1008,Tabulka5[],3,FALSE)</f>
        <v>Sergeant</v>
      </c>
      <c r="E1008" s="1">
        <v>3</v>
      </c>
      <c r="F1008" s="1" t="str">
        <f>VLOOKUP(E1008,Tabulka5[],3,FALSE)</f>
        <v>Sergeant</v>
      </c>
      <c r="G1008" s="1" t="s">
        <v>3123</v>
      </c>
      <c r="H1008" s="1" t="s">
        <v>1364</v>
      </c>
      <c r="I1008" s="1" t="s">
        <v>426</v>
      </c>
      <c r="J1008" s="1" t="s">
        <v>2743</v>
      </c>
      <c r="K1008" s="1" t="s">
        <v>2742</v>
      </c>
      <c r="L1008" s="1" t="s">
        <v>3170</v>
      </c>
      <c r="M1008" s="1">
        <v>4000</v>
      </c>
      <c r="N1008" s="1">
        <v>1</v>
      </c>
      <c r="O1008" s="1" t="str">
        <f t="shared" si="78"/>
        <v>"Defender110_dver_1_2_Green": 1,</v>
      </c>
      <c r="P1008" s="1" t="str">
        <f t="shared" si="79"/>
        <v>"Defender110_dver_1_2_Green": 70,</v>
      </c>
      <c r="Q1008" s="1" t="str">
        <f t="shared" si="80"/>
        <v>"Defender110_dver_1_2_Green": 4000,</v>
      </c>
      <c r="R1008" s="1" t="str">
        <f t="shared" si="81"/>
        <v>"Defender110_dver_1_2_Green": 3,</v>
      </c>
    </row>
    <row r="1009" spans="1:18" ht="15" customHeight="1" x14ac:dyDescent="0.25">
      <c r="A1009" s="1" t="str">
        <f t="shared" si="84"/>
        <v>#tc_vehicles#tc_parts#tc_doors</v>
      </c>
      <c r="B1009" s="1">
        <f>VLOOKUP(A1009,TraderCategory!$A$63:$E$556,2,FALSE)</f>
        <v>70</v>
      </c>
      <c r="C1009" s="1">
        <f>VLOOKUP(A1009,TraderCategory!$A$63:$F$556,6,FALSE)</f>
        <v>3</v>
      </c>
      <c r="D1009" s="1" t="str">
        <f>VLOOKUP(C1009,Tabulka5[],3,FALSE)</f>
        <v>Sergeant</v>
      </c>
      <c r="E1009" s="1">
        <v>3</v>
      </c>
      <c r="F1009" s="1" t="str">
        <f>VLOOKUP(E1009,Tabulka5[],3,FALSE)</f>
        <v>Sergeant</v>
      </c>
      <c r="G1009" s="1" t="s">
        <v>3123</v>
      </c>
      <c r="H1009" s="1" t="s">
        <v>1365</v>
      </c>
      <c r="I1009" s="1" t="s">
        <v>426</v>
      </c>
      <c r="J1009" s="1" t="s">
        <v>2743</v>
      </c>
      <c r="K1009" s="1" t="s">
        <v>2742</v>
      </c>
      <c r="L1009" s="1" t="s">
        <v>3170</v>
      </c>
      <c r="M1009" s="1">
        <v>4000</v>
      </c>
      <c r="N1009" s="1">
        <v>1</v>
      </c>
      <c r="O1009" s="1" t="str">
        <f t="shared" si="78"/>
        <v>"Defender110_dver_2_2_Green": 1,</v>
      </c>
      <c r="P1009" s="1" t="str">
        <f t="shared" si="79"/>
        <v>"Defender110_dver_2_2_Green": 70,</v>
      </c>
      <c r="Q1009" s="1" t="str">
        <f t="shared" si="80"/>
        <v>"Defender110_dver_2_2_Green": 4000,</v>
      </c>
      <c r="R1009" s="1" t="str">
        <f t="shared" si="81"/>
        <v>"Defender110_dver_2_2_Green": 3,</v>
      </c>
    </row>
    <row r="1010" spans="1:18" ht="15" customHeight="1" x14ac:dyDescent="0.25">
      <c r="A1010" s="1" t="str">
        <f t="shared" si="84"/>
        <v>#tc_vehicles#tc_parts#tc_doors</v>
      </c>
      <c r="B1010" s="1">
        <f>VLOOKUP(A1010,TraderCategory!$A$63:$E$556,2,FALSE)</f>
        <v>70</v>
      </c>
      <c r="C1010" s="1">
        <f>VLOOKUP(A1010,TraderCategory!$A$63:$F$556,6,FALSE)</f>
        <v>3</v>
      </c>
      <c r="D1010" s="1" t="str">
        <f>VLOOKUP(C1010,Tabulka5[],3,FALSE)</f>
        <v>Sergeant</v>
      </c>
      <c r="E1010" s="1">
        <v>3</v>
      </c>
      <c r="F1010" s="1" t="str">
        <f>VLOOKUP(E1010,Tabulka5[],3,FALSE)</f>
        <v>Sergeant</v>
      </c>
      <c r="G1010" s="1" t="s">
        <v>3123</v>
      </c>
      <c r="H1010" s="1" t="s">
        <v>1366</v>
      </c>
      <c r="I1010" s="1" t="s">
        <v>426</v>
      </c>
      <c r="J1010" s="1" t="s">
        <v>2743</v>
      </c>
      <c r="K1010" s="1" t="s">
        <v>2742</v>
      </c>
      <c r="L1010" s="1" t="s">
        <v>3170</v>
      </c>
      <c r="M1010" s="1">
        <v>4000</v>
      </c>
      <c r="N1010" s="1">
        <v>1</v>
      </c>
      <c r="O1010" s="1" t="str">
        <f t="shared" si="78"/>
        <v>"Defender110_dver_1_1_UN": 1,</v>
      </c>
      <c r="P1010" s="1" t="str">
        <f t="shared" si="79"/>
        <v>"Defender110_dver_1_1_UN": 70,</v>
      </c>
      <c r="Q1010" s="1" t="str">
        <f t="shared" si="80"/>
        <v>"Defender110_dver_1_1_UN": 4000,</v>
      </c>
      <c r="R1010" s="1" t="str">
        <f t="shared" si="81"/>
        <v>"Defender110_dver_1_1_UN": 3,</v>
      </c>
    </row>
    <row r="1011" spans="1:18" ht="15" customHeight="1" x14ac:dyDescent="0.25">
      <c r="A1011" s="1" t="str">
        <f t="shared" si="84"/>
        <v>#tc_vehicles#tc_parts#tc_doors</v>
      </c>
      <c r="B1011" s="1">
        <f>VLOOKUP(A1011,TraderCategory!$A$63:$E$556,2,FALSE)</f>
        <v>70</v>
      </c>
      <c r="C1011" s="1">
        <f>VLOOKUP(A1011,TraderCategory!$A$63:$F$556,6,FALSE)</f>
        <v>3</v>
      </c>
      <c r="D1011" s="1" t="str">
        <f>VLOOKUP(C1011,Tabulka5[],3,FALSE)</f>
        <v>Sergeant</v>
      </c>
      <c r="E1011" s="1">
        <v>3</v>
      </c>
      <c r="F1011" s="1" t="str">
        <f>VLOOKUP(E1011,Tabulka5[],3,FALSE)</f>
        <v>Sergeant</v>
      </c>
      <c r="G1011" s="1" t="s">
        <v>3123</v>
      </c>
      <c r="H1011" s="1" t="s">
        <v>1367</v>
      </c>
      <c r="I1011" s="1" t="s">
        <v>426</v>
      </c>
      <c r="J1011" s="1" t="s">
        <v>2743</v>
      </c>
      <c r="K1011" s="1" t="s">
        <v>2742</v>
      </c>
      <c r="L1011" s="1" t="s">
        <v>3170</v>
      </c>
      <c r="M1011" s="1">
        <v>4000</v>
      </c>
      <c r="N1011" s="1">
        <v>1</v>
      </c>
      <c r="O1011" s="1" t="str">
        <f t="shared" si="78"/>
        <v>"Defender110_dver_2_1_UN": 1,</v>
      </c>
      <c r="P1011" s="1" t="str">
        <f t="shared" si="79"/>
        <v>"Defender110_dver_2_1_UN": 70,</v>
      </c>
      <c r="Q1011" s="1" t="str">
        <f t="shared" si="80"/>
        <v>"Defender110_dver_2_1_UN": 4000,</v>
      </c>
      <c r="R1011" s="1" t="str">
        <f t="shared" si="81"/>
        <v>"Defender110_dver_2_1_UN": 3,</v>
      </c>
    </row>
    <row r="1012" spans="1:18" ht="15" customHeight="1" x14ac:dyDescent="0.25">
      <c r="A1012" s="1" t="str">
        <f t="shared" si="84"/>
        <v>#tc_vehicles#tc_parts#tc_doors</v>
      </c>
      <c r="B1012" s="1">
        <f>VLOOKUP(A1012,TraderCategory!$A$63:$E$556,2,FALSE)</f>
        <v>70</v>
      </c>
      <c r="C1012" s="1">
        <f>VLOOKUP(A1012,TraderCategory!$A$63:$F$556,6,FALSE)</f>
        <v>3</v>
      </c>
      <c r="D1012" s="1" t="str">
        <f>VLOOKUP(C1012,Tabulka5[],3,FALSE)</f>
        <v>Sergeant</v>
      </c>
      <c r="E1012" s="1">
        <v>3</v>
      </c>
      <c r="F1012" s="1" t="str">
        <f>VLOOKUP(E1012,Tabulka5[],3,FALSE)</f>
        <v>Sergeant</v>
      </c>
      <c r="G1012" s="1" t="s">
        <v>3123</v>
      </c>
      <c r="H1012" s="1" t="s">
        <v>1368</v>
      </c>
      <c r="I1012" s="1" t="s">
        <v>426</v>
      </c>
      <c r="J1012" s="1" t="s">
        <v>2743</v>
      </c>
      <c r="K1012" s="1" t="s">
        <v>2742</v>
      </c>
      <c r="L1012" s="1" t="s">
        <v>3170</v>
      </c>
      <c r="M1012" s="1">
        <v>4000</v>
      </c>
      <c r="N1012" s="1">
        <v>1</v>
      </c>
      <c r="O1012" s="1" t="str">
        <f t="shared" si="78"/>
        <v>"Defender110_dver_1_2_UN": 1,</v>
      </c>
      <c r="P1012" s="1" t="str">
        <f t="shared" si="79"/>
        <v>"Defender110_dver_1_2_UN": 70,</v>
      </c>
      <c r="Q1012" s="1" t="str">
        <f t="shared" si="80"/>
        <v>"Defender110_dver_1_2_UN": 4000,</v>
      </c>
      <c r="R1012" s="1" t="str">
        <f t="shared" si="81"/>
        <v>"Defender110_dver_1_2_UN": 3,</v>
      </c>
    </row>
    <row r="1013" spans="1:18" ht="15" customHeight="1" x14ac:dyDescent="0.25">
      <c r="A1013" s="1" t="str">
        <f t="shared" si="84"/>
        <v>#tc_vehicles#tc_parts#tc_doors</v>
      </c>
      <c r="B1013" s="1">
        <f>VLOOKUP(A1013,TraderCategory!$A$63:$E$556,2,FALSE)</f>
        <v>70</v>
      </c>
      <c r="C1013" s="1">
        <f>VLOOKUP(A1013,TraderCategory!$A$63:$F$556,6,FALSE)</f>
        <v>3</v>
      </c>
      <c r="D1013" s="1" t="str">
        <f>VLOOKUP(C1013,Tabulka5[],3,FALSE)</f>
        <v>Sergeant</v>
      </c>
      <c r="E1013" s="1">
        <v>3</v>
      </c>
      <c r="F1013" s="1" t="str">
        <f>VLOOKUP(E1013,Tabulka5[],3,FALSE)</f>
        <v>Sergeant</v>
      </c>
      <c r="G1013" s="1" t="s">
        <v>3123</v>
      </c>
      <c r="H1013" s="1" t="s">
        <v>1369</v>
      </c>
      <c r="I1013" s="1" t="s">
        <v>426</v>
      </c>
      <c r="J1013" s="1" t="s">
        <v>2743</v>
      </c>
      <c r="K1013" s="1" t="s">
        <v>2742</v>
      </c>
      <c r="L1013" s="1" t="s">
        <v>3170</v>
      </c>
      <c r="M1013" s="1">
        <v>4000</v>
      </c>
      <c r="N1013" s="1">
        <v>1</v>
      </c>
      <c r="O1013" s="1" t="str">
        <f t="shared" si="78"/>
        <v>"Defender110_dver_2_2_UN": 1,</v>
      </c>
      <c r="P1013" s="1" t="str">
        <f t="shared" si="79"/>
        <v>"Defender110_dver_2_2_UN": 70,</v>
      </c>
      <c r="Q1013" s="1" t="str">
        <f t="shared" si="80"/>
        <v>"Defender110_dver_2_2_UN": 4000,</v>
      </c>
      <c r="R1013" s="1" t="str">
        <f t="shared" si="81"/>
        <v>"Defender110_dver_2_2_UN": 3,</v>
      </c>
    </row>
    <row r="1014" spans="1:18" ht="15" customHeight="1" x14ac:dyDescent="0.25">
      <c r="A1014" s="1" t="str">
        <f t="shared" si="84"/>
        <v>#tc_vehicles#tc_parts#tc_hood</v>
      </c>
      <c r="B1014" s="1">
        <f>VLOOKUP(A1014,TraderCategory!$A$63:$E$556,2,FALSE)</f>
        <v>71</v>
      </c>
      <c r="C1014" s="1">
        <f>VLOOKUP(A1014,TraderCategory!$A$63:$F$556,6,FALSE)</f>
        <v>3</v>
      </c>
      <c r="D1014" s="1" t="str">
        <f>VLOOKUP(C1014,Tabulka5[],3,FALSE)</f>
        <v>Sergeant</v>
      </c>
      <c r="E1014" s="1">
        <v>3</v>
      </c>
      <c r="F1014" s="1" t="str">
        <f>VLOOKUP(E1014,Tabulka5[],3,FALSE)</f>
        <v>Sergeant</v>
      </c>
      <c r="G1014" s="1" t="s">
        <v>3123</v>
      </c>
      <c r="H1014" s="1" t="s">
        <v>1370</v>
      </c>
      <c r="I1014" s="1" t="s">
        <v>426</v>
      </c>
      <c r="J1014" s="1" t="s">
        <v>2743</v>
      </c>
      <c r="K1014" s="1" t="s">
        <v>2742</v>
      </c>
      <c r="L1014" s="1" t="s">
        <v>3168</v>
      </c>
      <c r="M1014" s="1">
        <v>4000</v>
      </c>
      <c r="N1014" s="1">
        <v>1</v>
      </c>
      <c r="O1014" s="1" t="str">
        <f t="shared" si="78"/>
        <v>"Defender110_kapot": 1,</v>
      </c>
      <c r="P1014" s="1" t="str">
        <f t="shared" si="79"/>
        <v>"Defender110_kapot": 71,</v>
      </c>
      <c r="Q1014" s="1" t="str">
        <f t="shared" si="80"/>
        <v>"Defender110_kapot": 4000,</v>
      </c>
      <c r="R1014" s="1" t="str">
        <f t="shared" si="81"/>
        <v>"Defender110_kapot": 3,</v>
      </c>
    </row>
    <row r="1015" spans="1:18" ht="15" customHeight="1" x14ac:dyDescent="0.25">
      <c r="A1015" s="1" t="str">
        <f t="shared" si="84"/>
        <v>#tc_vehicles#tc_parts#tc_hood</v>
      </c>
      <c r="B1015" s="1">
        <f>VLOOKUP(A1015,TraderCategory!$A$63:$E$556,2,FALSE)</f>
        <v>71</v>
      </c>
      <c r="C1015" s="1">
        <f>VLOOKUP(A1015,TraderCategory!$A$63:$F$556,6,FALSE)</f>
        <v>3</v>
      </c>
      <c r="D1015" s="1" t="str">
        <f>VLOOKUP(C1015,Tabulka5[],3,FALSE)</f>
        <v>Sergeant</v>
      </c>
      <c r="E1015" s="1">
        <v>3</v>
      </c>
      <c r="F1015" s="1" t="str">
        <f>VLOOKUP(E1015,Tabulka5[],3,FALSE)</f>
        <v>Sergeant</v>
      </c>
      <c r="G1015" s="1" t="s">
        <v>3123</v>
      </c>
      <c r="H1015" s="1" t="s">
        <v>1371</v>
      </c>
      <c r="I1015" s="1" t="s">
        <v>426</v>
      </c>
      <c r="J1015" s="1" t="s">
        <v>2743</v>
      </c>
      <c r="K1015" s="1" t="s">
        <v>2742</v>
      </c>
      <c r="L1015" s="1" t="s">
        <v>3168</v>
      </c>
      <c r="M1015" s="1">
        <v>4000</v>
      </c>
      <c r="N1015" s="1">
        <v>1</v>
      </c>
      <c r="O1015" s="1" t="str">
        <f t="shared" si="78"/>
        <v>"Defender110_kapot_Green": 1,</v>
      </c>
      <c r="P1015" s="1" t="str">
        <f t="shared" si="79"/>
        <v>"Defender110_kapot_Green": 71,</v>
      </c>
      <c r="Q1015" s="1" t="str">
        <f t="shared" si="80"/>
        <v>"Defender110_kapot_Green": 4000,</v>
      </c>
      <c r="R1015" s="1" t="str">
        <f t="shared" si="81"/>
        <v>"Defender110_kapot_Green": 3,</v>
      </c>
    </row>
    <row r="1016" spans="1:18" ht="15" customHeight="1" x14ac:dyDescent="0.25">
      <c r="A1016" s="1" t="str">
        <f t="shared" si="84"/>
        <v>#tc_vehicles#tc_parts#tc_hood</v>
      </c>
      <c r="B1016" s="1">
        <f>VLOOKUP(A1016,TraderCategory!$A$63:$E$556,2,FALSE)</f>
        <v>71</v>
      </c>
      <c r="C1016" s="1">
        <f>VLOOKUP(A1016,TraderCategory!$A$63:$F$556,6,FALSE)</f>
        <v>3</v>
      </c>
      <c r="D1016" s="1" t="str">
        <f>VLOOKUP(C1016,Tabulka5[],3,FALSE)</f>
        <v>Sergeant</v>
      </c>
      <c r="E1016" s="1">
        <v>3</v>
      </c>
      <c r="F1016" s="1" t="str">
        <f>VLOOKUP(E1016,Tabulka5[],3,FALSE)</f>
        <v>Sergeant</v>
      </c>
      <c r="G1016" s="1" t="s">
        <v>3123</v>
      </c>
      <c r="H1016" s="1" t="s">
        <v>1372</v>
      </c>
      <c r="I1016" s="1" t="s">
        <v>426</v>
      </c>
      <c r="J1016" s="1" t="s">
        <v>2743</v>
      </c>
      <c r="K1016" s="1" t="s">
        <v>2742</v>
      </c>
      <c r="L1016" s="1" t="s">
        <v>3168</v>
      </c>
      <c r="M1016" s="1">
        <v>4000</v>
      </c>
      <c r="N1016" s="1">
        <v>1</v>
      </c>
      <c r="O1016" s="1" t="str">
        <f t="shared" si="78"/>
        <v>"Defender110_kapot_UN": 1,</v>
      </c>
      <c r="P1016" s="1" t="str">
        <f t="shared" si="79"/>
        <v>"Defender110_kapot_UN": 71,</v>
      </c>
      <c r="Q1016" s="1" t="str">
        <f t="shared" si="80"/>
        <v>"Defender110_kapot_UN": 4000,</v>
      </c>
      <c r="R1016" s="1" t="str">
        <f t="shared" si="81"/>
        <v>"Defender110_kapot_UN": 3,</v>
      </c>
    </row>
    <row r="1017" spans="1:18" ht="15" customHeight="1" x14ac:dyDescent="0.25">
      <c r="A1017" s="1" t="str">
        <f t="shared" si="84"/>
        <v>#tc_vehicles#tc_parts#tc_trunk</v>
      </c>
      <c r="B1017" s="1">
        <f>VLOOKUP(A1017,TraderCategory!$A$63:$E$556,2,FALSE)</f>
        <v>72</v>
      </c>
      <c r="C1017" s="1">
        <f>VLOOKUP(A1017,TraderCategory!$A$63:$F$556,6,FALSE)</f>
        <v>3</v>
      </c>
      <c r="D1017" s="1" t="str">
        <f>VLOOKUP(C1017,Tabulka5[],3,FALSE)</f>
        <v>Sergeant</v>
      </c>
      <c r="E1017" s="1">
        <v>3</v>
      </c>
      <c r="F1017" s="1" t="str">
        <f>VLOOKUP(E1017,Tabulka5[],3,FALSE)</f>
        <v>Sergeant</v>
      </c>
      <c r="G1017" s="1" t="s">
        <v>3123</v>
      </c>
      <c r="H1017" s="1" t="s">
        <v>1373</v>
      </c>
      <c r="I1017" s="1" t="s">
        <v>426</v>
      </c>
      <c r="J1017" s="1" t="s">
        <v>2743</v>
      </c>
      <c r="K1017" s="1" t="s">
        <v>2742</v>
      </c>
      <c r="L1017" s="1" t="s">
        <v>3169</v>
      </c>
      <c r="M1017" s="1">
        <v>4000</v>
      </c>
      <c r="N1017" s="1">
        <v>1</v>
      </c>
      <c r="O1017" s="1" t="str">
        <f t="shared" si="78"/>
        <v>"Defender110_bagazhnik": 1,</v>
      </c>
      <c r="P1017" s="1" t="str">
        <f t="shared" si="79"/>
        <v>"Defender110_bagazhnik": 72,</v>
      </c>
      <c r="Q1017" s="1" t="str">
        <f t="shared" si="80"/>
        <v>"Defender110_bagazhnik": 4000,</v>
      </c>
      <c r="R1017" s="1" t="str">
        <f t="shared" si="81"/>
        <v>"Defender110_bagazhnik": 3,</v>
      </c>
    </row>
    <row r="1018" spans="1:18" ht="15" customHeight="1" x14ac:dyDescent="0.25">
      <c r="A1018" s="1" t="str">
        <f t="shared" si="84"/>
        <v>#tc_vehicles#tc_parts#tc_trunk</v>
      </c>
      <c r="B1018" s="1">
        <f>VLOOKUP(A1018,TraderCategory!$A$63:$E$556,2,FALSE)</f>
        <v>72</v>
      </c>
      <c r="C1018" s="1">
        <f>VLOOKUP(A1018,TraderCategory!$A$63:$F$556,6,FALSE)</f>
        <v>3</v>
      </c>
      <c r="D1018" s="1" t="str">
        <f>VLOOKUP(C1018,Tabulka5[],3,FALSE)</f>
        <v>Sergeant</v>
      </c>
      <c r="E1018" s="1">
        <v>3</v>
      </c>
      <c r="F1018" s="1" t="str">
        <f>VLOOKUP(E1018,Tabulka5[],3,FALSE)</f>
        <v>Sergeant</v>
      </c>
      <c r="G1018" s="1" t="s">
        <v>3123</v>
      </c>
      <c r="H1018" s="1" t="s">
        <v>1374</v>
      </c>
      <c r="I1018" s="1" t="s">
        <v>426</v>
      </c>
      <c r="J1018" s="1" t="s">
        <v>2743</v>
      </c>
      <c r="K1018" s="1" t="s">
        <v>2742</v>
      </c>
      <c r="L1018" s="1" t="s">
        <v>3169</v>
      </c>
      <c r="M1018" s="1">
        <v>4000</v>
      </c>
      <c r="N1018" s="1">
        <v>1</v>
      </c>
      <c r="O1018" s="1" t="str">
        <f t="shared" si="78"/>
        <v>"Defender110_bagazhnik_Green": 1,</v>
      </c>
      <c r="P1018" s="1" t="str">
        <f t="shared" si="79"/>
        <v>"Defender110_bagazhnik_Green": 72,</v>
      </c>
      <c r="Q1018" s="1" t="str">
        <f t="shared" si="80"/>
        <v>"Defender110_bagazhnik_Green": 4000,</v>
      </c>
      <c r="R1018" s="1" t="str">
        <f t="shared" si="81"/>
        <v>"Defender110_bagazhnik_Green": 3,</v>
      </c>
    </row>
    <row r="1019" spans="1:18" ht="15" customHeight="1" x14ac:dyDescent="0.25">
      <c r="A1019" s="1" t="str">
        <f t="shared" si="84"/>
        <v>#tc_vehicles#tc_parts#tc_trunk</v>
      </c>
      <c r="B1019" s="1">
        <f>VLOOKUP(A1019,TraderCategory!$A$63:$E$556,2,FALSE)</f>
        <v>72</v>
      </c>
      <c r="C1019" s="1">
        <f>VLOOKUP(A1019,TraderCategory!$A$63:$F$556,6,FALSE)</f>
        <v>3</v>
      </c>
      <c r="D1019" s="1" t="str">
        <f>VLOOKUP(C1019,Tabulka5[],3,FALSE)</f>
        <v>Sergeant</v>
      </c>
      <c r="E1019" s="1">
        <v>3</v>
      </c>
      <c r="F1019" s="1" t="str">
        <f>VLOOKUP(E1019,Tabulka5[],3,FALSE)</f>
        <v>Sergeant</v>
      </c>
      <c r="G1019" s="1" t="s">
        <v>3123</v>
      </c>
      <c r="H1019" s="1" t="s">
        <v>1375</v>
      </c>
      <c r="I1019" s="1" t="s">
        <v>426</v>
      </c>
      <c r="J1019" s="1" t="s">
        <v>2743</v>
      </c>
      <c r="K1019" s="1" t="s">
        <v>2742</v>
      </c>
      <c r="L1019" s="1" t="s">
        <v>3169</v>
      </c>
      <c r="M1019" s="1">
        <v>4000</v>
      </c>
      <c r="N1019" s="1">
        <v>1</v>
      </c>
      <c r="O1019" s="1" t="str">
        <f t="shared" si="78"/>
        <v>"Defender110_bagazhnik_UN": 1,</v>
      </c>
      <c r="P1019" s="1" t="str">
        <f t="shared" si="79"/>
        <v>"Defender110_bagazhnik_UN": 72,</v>
      </c>
      <c r="Q1019" s="1" t="str">
        <f t="shared" si="80"/>
        <v>"Defender110_bagazhnik_UN": 4000,</v>
      </c>
      <c r="R1019" s="1" t="str">
        <f t="shared" si="81"/>
        <v>"Defender110_bagazhnik_UN": 3,</v>
      </c>
    </row>
    <row r="1020" spans="1:18" ht="15" customHeight="1" x14ac:dyDescent="0.25">
      <c r="A1020" s="1" t="str">
        <f t="shared" si="84"/>
        <v>#tc_vehicles#tc_parts#tc_wheels</v>
      </c>
      <c r="B1020" s="1">
        <f>VLOOKUP(A1020,TraderCategory!$A$63:$E$556,2,FALSE)</f>
        <v>69</v>
      </c>
      <c r="C1020" s="1">
        <f>VLOOKUP(A1020,TraderCategory!$A$63:$F$556,6,FALSE)</f>
        <v>3</v>
      </c>
      <c r="D1020" s="1" t="str">
        <f>VLOOKUP(C1020,Tabulka5[],3,FALSE)</f>
        <v>Sergeant</v>
      </c>
      <c r="E1020" s="1">
        <v>3</v>
      </c>
      <c r="F1020" s="1" t="str">
        <f>VLOOKUP(E1020,Tabulka5[],3,FALSE)</f>
        <v>Sergeant</v>
      </c>
      <c r="G1020" s="1" t="s">
        <v>3123</v>
      </c>
      <c r="H1020" s="1" t="s">
        <v>1376</v>
      </c>
      <c r="I1020" s="1" t="s">
        <v>426</v>
      </c>
      <c r="J1020" s="1" t="s">
        <v>2743</v>
      </c>
      <c r="K1020" s="1" t="s">
        <v>2742</v>
      </c>
      <c r="L1020" s="1" t="s">
        <v>3167</v>
      </c>
      <c r="M1020" s="1">
        <v>4000</v>
      </c>
      <c r="N1020" s="1">
        <v>1</v>
      </c>
      <c r="O1020" s="1" t="str">
        <f t="shared" si="78"/>
        <v>"Defender110_koleso": 1,</v>
      </c>
      <c r="P1020" s="1" t="str">
        <f t="shared" si="79"/>
        <v>"Defender110_koleso": 69,</v>
      </c>
      <c r="Q1020" s="1" t="str">
        <f t="shared" si="80"/>
        <v>"Defender110_koleso": 4000,</v>
      </c>
      <c r="R1020" s="1" t="str">
        <f t="shared" si="81"/>
        <v>"Defender110_koleso": 3,</v>
      </c>
    </row>
    <row r="1021" spans="1:18" ht="15" customHeight="1" x14ac:dyDescent="0.25">
      <c r="A1021" s="1" t="str">
        <f t="shared" si="84"/>
        <v>#tc_vehicles#tc_parts#tc_wheels</v>
      </c>
      <c r="B1021" s="1">
        <f>VLOOKUP(A1021,TraderCategory!$A$63:$E$556,2,FALSE)</f>
        <v>69</v>
      </c>
      <c r="C1021" s="1">
        <f>VLOOKUP(A1021,TraderCategory!$A$63:$F$556,6,FALSE)</f>
        <v>3</v>
      </c>
      <c r="D1021" s="1" t="str">
        <f>VLOOKUP(C1021,Tabulka5[],3,FALSE)</f>
        <v>Sergeant</v>
      </c>
      <c r="E1021" s="1">
        <v>3</v>
      </c>
      <c r="F1021" s="1" t="str">
        <f>VLOOKUP(E1021,Tabulka5[],3,FALSE)</f>
        <v>Sergeant</v>
      </c>
      <c r="G1021" s="1" t="s">
        <v>3122</v>
      </c>
      <c r="H1021" s="1" t="s">
        <v>1378</v>
      </c>
      <c r="I1021" s="1" t="s">
        <v>426</v>
      </c>
      <c r="J1021" s="1" t="s">
        <v>2743</v>
      </c>
      <c r="K1021" s="1" t="s">
        <v>2742</v>
      </c>
      <c r="L1021" s="1" t="s">
        <v>3167</v>
      </c>
      <c r="M1021" s="1">
        <v>4000</v>
      </c>
      <c r="N1021" s="1">
        <v>1</v>
      </c>
      <c r="O1021" s="1" t="str">
        <f t="shared" ref="O1021:O1084" si="85">"""" &amp;H1021 &amp; """: " &amp; N1021 &amp; ","</f>
        <v>"Zil130Wheel 2x": 1,</v>
      </c>
      <c r="P1021" s="1" t="str">
        <f t="shared" ref="P1021:P1084" si="86">"""" &amp;H1021 &amp; """: " &amp; B1021 &amp; ","</f>
        <v>"Zil130Wheel 2x": 69,</v>
      </c>
      <c r="Q1021" s="1" t="str">
        <f t="shared" ref="Q1021:Q1084" si="87">"""" &amp;H1021 &amp; """: " &amp; M1021 &amp; ","</f>
        <v>"Zil130Wheel 2x": 4000,</v>
      </c>
      <c r="R1021" s="1" t="str">
        <f t="shared" ref="R1021:R1084" si="88">"""" &amp;H1021 &amp; """: " &amp; E1021 &amp; ","</f>
        <v>"Zil130Wheel 2x": 3,</v>
      </c>
    </row>
    <row r="1022" spans="1:18" ht="15" customHeight="1" x14ac:dyDescent="0.25">
      <c r="A1022" s="1" t="str">
        <f t="shared" si="84"/>
        <v>#tc_vehicles#tc_parts#tc_wheels</v>
      </c>
      <c r="B1022" s="1">
        <f>VLOOKUP(A1022,TraderCategory!$A$63:$E$556,2,FALSE)</f>
        <v>69</v>
      </c>
      <c r="C1022" s="1">
        <f>VLOOKUP(A1022,TraderCategory!$A$63:$F$556,6,FALSE)</f>
        <v>3</v>
      </c>
      <c r="D1022" s="1" t="str">
        <f>VLOOKUP(C1022,Tabulka5[],3,FALSE)</f>
        <v>Sergeant</v>
      </c>
      <c r="E1022" s="1">
        <v>3</v>
      </c>
      <c r="F1022" s="1" t="str">
        <f>VLOOKUP(E1022,Tabulka5[],3,FALSE)</f>
        <v>Sergeant</v>
      </c>
      <c r="G1022" s="1" t="s">
        <v>3122</v>
      </c>
      <c r="H1022" s="1" t="s">
        <v>1379</v>
      </c>
      <c r="I1022" s="1" t="s">
        <v>426</v>
      </c>
      <c r="J1022" s="1" t="s">
        <v>2743</v>
      </c>
      <c r="K1022" s="1" t="s">
        <v>2742</v>
      </c>
      <c r="L1022" s="1" t="s">
        <v>3167</v>
      </c>
      <c r="M1022" s="1">
        <v>4000</v>
      </c>
      <c r="N1022" s="1">
        <v>1</v>
      </c>
      <c r="O1022" s="1" t="str">
        <f t="shared" si="85"/>
        <v>"Zil130WheelRear 2x": 1,</v>
      </c>
      <c r="P1022" s="1" t="str">
        <f t="shared" si="86"/>
        <v>"Zil130WheelRear 2x": 69,</v>
      </c>
      <c r="Q1022" s="1" t="str">
        <f t="shared" si="87"/>
        <v>"Zil130WheelRear 2x": 4000,</v>
      </c>
      <c r="R1022" s="1" t="str">
        <f t="shared" si="88"/>
        <v>"Zil130WheelRear 2x": 3,</v>
      </c>
    </row>
    <row r="1023" spans="1:18" ht="15" customHeight="1" x14ac:dyDescent="0.25">
      <c r="A1023" s="1" t="str">
        <f t="shared" si="84"/>
        <v>#tc_vehicles#tc_parts#tc_doors</v>
      </c>
      <c r="B1023" s="1">
        <f>VLOOKUP(A1023,TraderCategory!$A$63:$E$556,2,FALSE)</f>
        <v>70</v>
      </c>
      <c r="C1023" s="1">
        <f>VLOOKUP(A1023,TraderCategory!$A$63:$F$556,6,FALSE)</f>
        <v>3</v>
      </c>
      <c r="D1023" s="1" t="str">
        <f>VLOOKUP(C1023,Tabulka5[],3,FALSE)</f>
        <v>Sergeant</v>
      </c>
      <c r="E1023" s="1">
        <v>3</v>
      </c>
      <c r="F1023" s="1" t="str">
        <f>VLOOKUP(E1023,Tabulka5[],3,FALSE)</f>
        <v>Sergeant</v>
      </c>
      <c r="G1023" s="1" t="s">
        <v>3122</v>
      </c>
      <c r="H1023" s="1" t="s">
        <v>1380</v>
      </c>
      <c r="I1023" s="1" t="s">
        <v>426</v>
      </c>
      <c r="J1023" s="1" t="s">
        <v>2743</v>
      </c>
      <c r="K1023" s="1" t="s">
        <v>2742</v>
      </c>
      <c r="L1023" s="1" t="s">
        <v>3170</v>
      </c>
      <c r="M1023" s="1">
        <v>4000</v>
      </c>
      <c r="N1023" s="1">
        <v>1</v>
      </c>
      <c r="O1023" s="1" t="str">
        <f t="shared" si="85"/>
        <v>"Zil130Doors_Driver": 1,</v>
      </c>
      <c r="P1023" s="1" t="str">
        <f t="shared" si="86"/>
        <v>"Zil130Doors_Driver": 70,</v>
      </c>
      <c r="Q1023" s="1" t="str">
        <f t="shared" si="87"/>
        <v>"Zil130Doors_Driver": 4000,</v>
      </c>
      <c r="R1023" s="1" t="str">
        <f t="shared" si="88"/>
        <v>"Zil130Doors_Driver": 3,</v>
      </c>
    </row>
    <row r="1024" spans="1:18" ht="15" customHeight="1" x14ac:dyDescent="0.25">
      <c r="A1024" s="1" t="str">
        <f t="shared" si="84"/>
        <v>#tc_vehicles#tc_parts#tc_doors</v>
      </c>
      <c r="B1024" s="1">
        <f>VLOOKUP(A1024,TraderCategory!$A$63:$E$556,2,FALSE)</f>
        <v>70</v>
      </c>
      <c r="C1024" s="1">
        <f>VLOOKUP(A1024,TraderCategory!$A$63:$F$556,6,FALSE)</f>
        <v>3</v>
      </c>
      <c r="D1024" s="1" t="str">
        <f>VLOOKUP(C1024,Tabulka5[],3,FALSE)</f>
        <v>Sergeant</v>
      </c>
      <c r="E1024" s="1">
        <v>3</v>
      </c>
      <c r="F1024" s="1" t="str">
        <f>VLOOKUP(E1024,Tabulka5[],3,FALSE)</f>
        <v>Sergeant</v>
      </c>
      <c r="G1024" s="1" t="s">
        <v>3122</v>
      </c>
      <c r="H1024" s="1" t="s">
        <v>1381</v>
      </c>
      <c r="I1024" s="1" t="s">
        <v>426</v>
      </c>
      <c r="J1024" s="1" t="s">
        <v>2743</v>
      </c>
      <c r="K1024" s="1" t="s">
        <v>2742</v>
      </c>
      <c r="L1024" s="1" t="s">
        <v>3170</v>
      </c>
      <c r="M1024" s="1">
        <v>4000</v>
      </c>
      <c r="N1024" s="1">
        <v>1</v>
      </c>
      <c r="O1024" s="1" t="str">
        <f t="shared" si="85"/>
        <v>"Zil130Doors_CoDriver": 1,</v>
      </c>
      <c r="P1024" s="1" t="str">
        <f t="shared" si="86"/>
        <v>"Zil130Doors_CoDriver": 70,</v>
      </c>
      <c r="Q1024" s="1" t="str">
        <f t="shared" si="87"/>
        <v>"Zil130Doors_CoDriver": 4000,</v>
      </c>
      <c r="R1024" s="1" t="str">
        <f t="shared" si="88"/>
        <v>"Zil130Doors_CoDriver": 3,</v>
      </c>
    </row>
    <row r="1025" spans="1:18" ht="15" customHeight="1" x14ac:dyDescent="0.25">
      <c r="A1025" s="1" t="str">
        <f t="shared" si="84"/>
        <v>#tc_vehicles#tc_parts#tc_hood</v>
      </c>
      <c r="B1025" s="1">
        <f>VLOOKUP(A1025,TraderCategory!$A$63:$E$556,2,FALSE)</f>
        <v>71</v>
      </c>
      <c r="C1025" s="1">
        <f>VLOOKUP(A1025,TraderCategory!$A$63:$F$556,6,FALSE)</f>
        <v>3</v>
      </c>
      <c r="D1025" s="1" t="str">
        <f>VLOOKUP(C1025,Tabulka5[],3,FALSE)</f>
        <v>Sergeant</v>
      </c>
      <c r="E1025" s="1">
        <v>3</v>
      </c>
      <c r="F1025" s="1" t="str">
        <f>VLOOKUP(E1025,Tabulka5[],3,FALSE)</f>
        <v>Sergeant</v>
      </c>
      <c r="G1025" s="1" t="s">
        <v>3122</v>
      </c>
      <c r="H1025" s="1" t="s">
        <v>1382</v>
      </c>
      <c r="I1025" s="1" t="s">
        <v>426</v>
      </c>
      <c r="J1025" s="1" t="s">
        <v>2743</v>
      </c>
      <c r="K1025" s="1" t="s">
        <v>2742</v>
      </c>
      <c r="L1025" s="1" t="s">
        <v>3168</v>
      </c>
      <c r="M1025" s="1">
        <v>4000</v>
      </c>
      <c r="N1025" s="1">
        <v>1</v>
      </c>
      <c r="O1025" s="1" t="str">
        <f t="shared" si="85"/>
        <v>"Zil130_Hood": 1,</v>
      </c>
      <c r="P1025" s="1" t="str">
        <f t="shared" si="86"/>
        <v>"Zil130_Hood": 71,</v>
      </c>
      <c r="Q1025" s="1" t="str">
        <f t="shared" si="87"/>
        <v>"Zil130_Hood": 4000,</v>
      </c>
      <c r="R1025" s="1" t="str">
        <f t="shared" si="88"/>
        <v>"Zil130_Hood": 3,</v>
      </c>
    </row>
    <row r="1026" spans="1:18" ht="15" customHeight="1" x14ac:dyDescent="0.25">
      <c r="A1026" s="1" t="str">
        <f t="shared" si="84"/>
        <v>#tc_vehicles#tc_parts#tc_trunk</v>
      </c>
      <c r="B1026" s="1">
        <f>VLOOKUP(A1026,TraderCategory!$A$63:$E$556,2,FALSE)</f>
        <v>72</v>
      </c>
      <c r="C1026" s="1">
        <f>VLOOKUP(A1026,TraderCategory!$A$63:$F$556,6,FALSE)</f>
        <v>3</v>
      </c>
      <c r="D1026" s="1" t="str">
        <f>VLOOKUP(C1026,Tabulka5[],3,FALSE)</f>
        <v>Sergeant</v>
      </c>
      <c r="E1026" s="1">
        <v>3</v>
      </c>
      <c r="F1026" s="1" t="str">
        <f>VLOOKUP(E1026,Tabulka5[],3,FALSE)</f>
        <v>Sergeant</v>
      </c>
      <c r="G1026" s="1" t="s">
        <v>3122</v>
      </c>
      <c r="H1026" s="1" t="s">
        <v>1383</v>
      </c>
      <c r="I1026" s="1" t="s">
        <v>426</v>
      </c>
      <c r="J1026" s="1" t="s">
        <v>2743</v>
      </c>
      <c r="K1026" s="1" t="s">
        <v>2742</v>
      </c>
      <c r="L1026" s="1" t="s">
        <v>3169</v>
      </c>
      <c r="M1026" s="1">
        <v>4000</v>
      </c>
      <c r="N1026" s="1">
        <v>1</v>
      </c>
      <c r="O1026" s="1" t="str">
        <f t="shared" si="85"/>
        <v>"Zil130_Tailgate": 1,</v>
      </c>
      <c r="P1026" s="1" t="str">
        <f t="shared" si="86"/>
        <v>"Zil130_Tailgate": 72,</v>
      </c>
      <c r="Q1026" s="1" t="str">
        <f t="shared" si="87"/>
        <v>"Zil130_Tailgate": 4000,</v>
      </c>
      <c r="R1026" s="1" t="str">
        <f t="shared" si="88"/>
        <v>"Zil130_Tailgate": 3,</v>
      </c>
    </row>
    <row r="1027" spans="1:18" ht="15" customHeight="1" x14ac:dyDescent="0.25">
      <c r="A1027" s="1" t="str">
        <f t="shared" si="84"/>
        <v>#tc_groceries#tc_tools#tc_locks</v>
      </c>
      <c r="B1027" s="1">
        <f>VLOOKUP(A1027,TraderCategory!$A$63:$E$556,2,FALSE)</f>
        <v>38</v>
      </c>
      <c r="C1027" s="1">
        <f>VLOOKUP(A1027,TraderCategory!$A$63:$F$556,6,FALSE)</f>
        <v>3</v>
      </c>
      <c r="D1027" s="1" t="str">
        <f>VLOOKUP(C1027,Tabulka5[],3,FALSE)</f>
        <v>Sergeant</v>
      </c>
      <c r="E1027" s="1">
        <v>9</v>
      </c>
      <c r="F1027" s="1" t="str">
        <f>VLOOKUP(E1027,Tabulka5[],3,FALSE)</f>
        <v>Sergeant Major of the Army</v>
      </c>
      <c r="G1027" s="1" t="s">
        <v>3121</v>
      </c>
      <c r="H1027" s="1" t="s">
        <v>1384</v>
      </c>
      <c r="I1027" s="1" t="s">
        <v>426</v>
      </c>
      <c r="J1027" s="1" t="s">
        <v>3127</v>
      </c>
      <c r="K1027" s="1" t="s">
        <v>2740</v>
      </c>
      <c r="L1027" s="1" t="s">
        <v>3139</v>
      </c>
      <c r="M1027" s="1">
        <v>12000</v>
      </c>
      <c r="N1027" s="1">
        <v>1</v>
      </c>
      <c r="O1027" s="1" t="str">
        <f t="shared" si="85"/>
        <v>"CodeLock": 1,</v>
      </c>
      <c r="P1027" s="1" t="str">
        <f t="shared" si="86"/>
        <v>"CodeLock": 38,</v>
      </c>
      <c r="Q1027" s="1" t="str">
        <f t="shared" si="87"/>
        <v>"CodeLock": 12000,</v>
      </c>
      <c r="R1027" s="1" t="str">
        <f t="shared" si="88"/>
        <v>"CodeLock": 9,</v>
      </c>
    </row>
    <row r="1028" spans="1:18" ht="15" customHeight="1" x14ac:dyDescent="0.25">
      <c r="A1028" s="1" t="str">
        <f t="shared" si="84"/>
        <v>#tc_groceries#tc_medic#tc_medicaments</v>
      </c>
      <c r="B1028" s="1">
        <f>VLOOKUP(A1028,TraderCategory!$A$63:$E$556,2,FALSE)</f>
        <v>24</v>
      </c>
      <c r="C1028" s="1">
        <f>VLOOKUP(A1028,TraderCategory!$A$63:$F$556,6,FALSE)</f>
        <v>6</v>
      </c>
      <c r="D1028" s="1" t="str">
        <f>VLOOKUP(C1028,Tabulka5[],3,FALSE)</f>
        <v>Master Sergeant</v>
      </c>
      <c r="E1028" s="1">
        <v>12</v>
      </c>
      <c r="F1028" s="1" t="str">
        <f>VLOOKUP(E1028,Tabulka5[],3,FALSE)</f>
        <v>Captain</v>
      </c>
      <c r="G1028" s="1" t="s">
        <v>3120</v>
      </c>
      <c r="H1028" s="1" t="s">
        <v>1385</v>
      </c>
      <c r="I1028" s="1" t="s">
        <v>426</v>
      </c>
      <c r="J1028" s="1" t="s">
        <v>3127</v>
      </c>
      <c r="K1028" s="1" t="s">
        <v>2739</v>
      </c>
      <c r="L1028" s="1" t="s">
        <v>3153</v>
      </c>
      <c r="M1028" s="1">
        <v>10000</v>
      </c>
      <c r="N1028" s="1">
        <v>1</v>
      </c>
      <c r="O1028" s="1" t="str">
        <f t="shared" si="85"/>
        <v>"alp_Anabolic": 1,</v>
      </c>
      <c r="P1028" s="1" t="str">
        <f t="shared" si="86"/>
        <v>"alp_Anabolic": 24,</v>
      </c>
      <c r="Q1028" s="1" t="str">
        <f t="shared" si="87"/>
        <v>"alp_Anabolic": 10000,</v>
      </c>
      <c r="R1028" s="1" t="str">
        <f t="shared" si="88"/>
        <v>"alp_Anabolic": 12,</v>
      </c>
    </row>
    <row r="1029" spans="1:18" ht="15" customHeight="1" x14ac:dyDescent="0.25">
      <c r="A1029" s="1" t="str">
        <f t="shared" si="84"/>
        <v>#tc_clothes#tc_civil#tc_bags</v>
      </c>
      <c r="B1029" s="1">
        <f>VLOOKUP(A1029,TraderCategory!$A$63:$E$556,2,FALSE)</f>
        <v>7</v>
      </c>
      <c r="C1029" s="1">
        <f>VLOOKUP(A1029,TraderCategory!$A$63:$F$556,6,FALSE)</f>
        <v>0</v>
      </c>
      <c r="D1029" s="1" t="str">
        <f>VLOOKUP(C1029,Tabulka5[],3,FALSE)</f>
        <v>Private</v>
      </c>
      <c r="E1029" s="1">
        <v>6</v>
      </c>
      <c r="F1029" s="1" t="str">
        <f>VLOOKUP(E1029,Tabulka5[],3,FALSE)</f>
        <v>Master Sergeant</v>
      </c>
      <c r="G1029" s="1" t="s">
        <v>3119</v>
      </c>
      <c r="H1029" s="1" t="s">
        <v>1386</v>
      </c>
      <c r="I1029" s="1" t="s">
        <v>363</v>
      </c>
      <c r="J1029" s="1" t="s">
        <v>2728</v>
      </c>
      <c r="K1029" s="1" t="s">
        <v>3126</v>
      </c>
      <c r="L1029" s="1" t="s">
        <v>3138</v>
      </c>
      <c r="M1029" s="1">
        <v>20000</v>
      </c>
      <c r="N1029" s="1">
        <v>1</v>
      </c>
      <c r="O1029" s="1" t="str">
        <f t="shared" si="85"/>
        <v>"Hikingbagmung_white": 1,</v>
      </c>
      <c r="P1029" s="1" t="str">
        <f t="shared" si="86"/>
        <v>"Hikingbagmung_white": 7,</v>
      </c>
      <c r="Q1029" s="1" t="str">
        <f t="shared" si="87"/>
        <v>"Hikingbagmung_white": 20000,</v>
      </c>
      <c r="R1029" s="1" t="str">
        <f t="shared" si="88"/>
        <v>"Hikingbagmung_white": 6,</v>
      </c>
    </row>
    <row r="1030" spans="1:18" ht="15" customHeight="1" x14ac:dyDescent="0.25">
      <c r="A1030" s="1" t="str">
        <f t="shared" si="84"/>
        <v>#tc_clothes#tc_civil#tc_bags</v>
      </c>
      <c r="B1030" s="1">
        <f>VLOOKUP(A1030,TraderCategory!$A$63:$E$556,2,FALSE)</f>
        <v>7</v>
      </c>
      <c r="C1030" s="1">
        <f>VLOOKUP(A1030,TraderCategory!$A$63:$F$556,6,FALSE)</f>
        <v>0</v>
      </c>
      <c r="D1030" s="1" t="str">
        <f>VLOOKUP(C1030,Tabulka5[],3,FALSE)</f>
        <v>Private</v>
      </c>
      <c r="E1030" s="1">
        <v>6</v>
      </c>
      <c r="F1030" s="1" t="str">
        <f>VLOOKUP(E1030,Tabulka5[],3,FALSE)</f>
        <v>Master Sergeant</v>
      </c>
      <c r="G1030" s="1" t="s">
        <v>3119</v>
      </c>
      <c r="H1030" s="1" t="s">
        <v>1387</v>
      </c>
      <c r="I1030" s="1" t="s">
        <v>363</v>
      </c>
      <c r="J1030" s="1" t="s">
        <v>2728</v>
      </c>
      <c r="K1030" s="1" t="s">
        <v>3126</v>
      </c>
      <c r="L1030" s="1" t="s">
        <v>3138</v>
      </c>
      <c r="M1030" s="1">
        <v>20000</v>
      </c>
      <c r="N1030" s="1">
        <v>1</v>
      </c>
      <c r="O1030" s="1" t="str">
        <f t="shared" si="85"/>
        <v>"Hikingbagmung_snow": 1,</v>
      </c>
      <c r="P1030" s="1" t="str">
        <f t="shared" si="86"/>
        <v>"Hikingbagmung_snow": 7,</v>
      </c>
      <c r="Q1030" s="1" t="str">
        <f t="shared" si="87"/>
        <v>"Hikingbagmung_snow": 20000,</v>
      </c>
      <c r="R1030" s="1" t="str">
        <f t="shared" si="88"/>
        <v>"Hikingbagmung_snow": 6,</v>
      </c>
    </row>
    <row r="1031" spans="1:18" ht="15" customHeight="1" x14ac:dyDescent="0.25">
      <c r="A1031" s="1" t="str">
        <f t="shared" si="84"/>
        <v>#tc_clothes#tc_military#tc_bags</v>
      </c>
      <c r="B1031" s="1">
        <f>VLOOKUP(A1031,TraderCategory!$A$63:$E$556,2,FALSE)</f>
        <v>15</v>
      </c>
      <c r="C1031" s="1">
        <f>VLOOKUP(A1031,TraderCategory!$A$63:$F$556,6,FALSE)</f>
        <v>1</v>
      </c>
      <c r="D1031" s="1" t="str">
        <f>VLOOKUP(C1031,Tabulka5[],3,FALSE)</f>
        <v>Private First Class</v>
      </c>
      <c r="E1031" s="1">
        <v>1</v>
      </c>
      <c r="F1031" s="1" t="str">
        <f>VLOOKUP(E1031,Tabulka5[],3,FALSE)</f>
        <v>Private First Class</v>
      </c>
      <c r="G1031" s="1" t="s">
        <v>3119</v>
      </c>
      <c r="H1031" s="1" t="s">
        <v>1388</v>
      </c>
      <c r="I1031" s="1" t="s">
        <v>426</v>
      </c>
      <c r="J1031" s="1" t="s">
        <v>2728</v>
      </c>
      <c r="K1031" s="1" t="s">
        <v>2729</v>
      </c>
      <c r="L1031" s="1" t="s">
        <v>3138</v>
      </c>
      <c r="M1031" s="1">
        <v>5000</v>
      </c>
      <c r="N1031" s="1">
        <v>1</v>
      </c>
      <c r="O1031" s="1" t="str">
        <f t="shared" si="85"/>
        <v>"rifleholster_snow_mung": 1,</v>
      </c>
      <c r="P1031" s="1" t="str">
        <f t="shared" si="86"/>
        <v>"rifleholster_snow_mung": 15,</v>
      </c>
      <c r="Q1031" s="1" t="str">
        <f t="shared" si="87"/>
        <v>"rifleholster_snow_mung": 5000,</v>
      </c>
      <c r="R1031" s="1" t="str">
        <f t="shared" si="88"/>
        <v>"rifleholster_snow_mung": 1,</v>
      </c>
    </row>
    <row r="1032" spans="1:18" ht="15" customHeight="1" x14ac:dyDescent="0.25">
      <c r="A1032" s="1" t="str">
        <f t="shared" si="84"/>
        <v>#tc_clothes#tc_military#tc_bags</v>
      </c>
      <c r="B1032" s="1">
        <f>VLOOKUP(A1032,TraderCategory!$A$63:$E$556,2,FALSE)</f>
        <v>15</v>
      </c>
      <c r="C1032" s="1">
        <f>VLOOKUP(A1032,TraderCategory!$A$63:$F$556,6,FALSE)</f>
        <v>1</v>
      </c>
      <c r="D1032" s="1" t="str">
        <f>VLOOKUP(C1032,Tabulka5[],3,FALSE)</f>
        <v>Private First Class</v>
      </c>
      <c r="E1032" s="1">
        <v>12</v>
      </c>
      <c r="F1032" s="1" t="str">
        <f>VLOOKUP(E1032,Tabulka5[],3,FALSE)</f>
        <v>Captain</v>
      </c>
      <c r="G1032" s="1" t="s">
        <v>3119</v>
      </c>
      <c r="H1032" s="1" t="s">
        <v>1389</v>
      </c>
      <c r="I1032" s="1" t="s">
        <v>363</v>
      </c>
      <c r="J1032" s="1" t="s">
        <v>2728</v>
      </c>
      <c r="K1032" s="1" t="s">
        <v>2729</v>
      </c>
      <c r="L1032" s="1" t="s">
        <v>3138</v>
      </c>
      <c r="M1032" s="1">
        <v>25000</v>
      </c>
      <c r="N1032" s="1">
        <v>1</v>
      </c>
      <c r="O1032" s="1" t="str">
        <f t="shared" si="85"/>
        <v>"bag_6B38_Snow_mung": 1,</v>
      </c>
      <c r="P1032" s="1" t="str">
        <f t="shared" si="86"/>
        <v>"bag_6B38_Snow_mung": 15,</v>
      </c>
      <c r="Q1032" s="1" t="str">
        <f t="shared" si="87"/>
        <v>"bag_6B38_Snow_mung": 25000,</v>
      </c>
      <c r="R1032" s="1" t="str">
        <f t="shared" si="88"/>
        <v>"bag_6B38_Snow_mung": 12,</v>
      </c>
    </row>
    <row r="1033" spans="1:18" ht="15" customHeight="1" x14ac:dyDescent="0.25">
      <c r="A1033" s="1" t="str">
        <f t="shared" si="84"/>
        <v>#tc_clothes#tc_military#tc_head</v>
      </c>
      <c r="B1033" s="1">
        <f>VLOOKUP(A1033,TraderCategory!$A$63:$E$556,2,FALSE)</f>
        <v>8</v>
      </c>
      <c r="C1033" s="1">
        <f>VLOOKUP(A1033,TraderCategory!$A$63:$F$556,6,FALSE)</f>
        <v>1</v>
      </c>
      <c r="D1033" s="1" t="str">
        <f>VLOOKUP(C1033,Tabulka5[],3,FALSE)</f>
        <v>Private First Class</v>
      </c>
      <c r="E1033" s="1">
        <v>18</v>
      </c>
      <c r="F1033" s="1" t="str">
        <f>VLOOKUP(E1033,Tabulka5[],3,FALSE)</f>
        <v>Lieutenant General</v>
      </c>
      <c r="G1033" s="1" t="s">
        <v>3119</v>
      </c>
      <c r="H1033" s="1" t="s">
        <v>1390</v>
      </c>
      <c r="I1033" s="1" t="s">
        <v>403</v>
      </c>
      <c r="J1033" s="1" t="s">
        <v>2728</v>
      </c>
      <c r="K1033" s="1" t="s">
        <v>2729</v>
      </c>
      <c r="L1033" s="1" t="s">
        <v>3130</v>
      </c>
      <c r="M1033" s="1">
        <v>20000</v>
      </c>
      <c r="N1033" s="1">
        <v>1</v>
      </c>
      <c r="O1033" s="1" t="str">
        <f t="shared" si="85"/>
        <v>"stalker_gasmask_white_mung": 1,</v>
      </c>
      <c r="P1033" s="1" t="str">
        <f t="shared" si="86"/>
        <v>"stalker_gasmask_white_mung": 8,</v>
      </c>
      <c r="Q1033" s="1" t="str">
        <f t="shared" si="87"/>
        <v>"stalker_gasmask_white_mung": 20000,</v>
      </c>
      <c r="R1033" s="1" t="str">
        <f t="shared" si="88"/>
        <v>"stalker_gasmask_white_mung": 18,</v>
      </c>
    </row>
    <row r="1034" spans="1:18" x14ac:dyDescent="0.25">
      <c r="A1034" s="1" t="str">
        <f t="shared" ref="A1034:A1065" si="89">CONCATENATE(J1034,K1034,L1034)</f>
        <v>#tc_military#tc_weapons#tc_shotguns</v>
      </c>
      <c r="B1034" s="1">
        <f>VLOOKUP(A1034,TraderCategory!$A$63:$E$556,2,FALSE)</f>
        <v>62</v>
      </c>
      <c r="C1034" s="1">
        <f>VLOOKUP(A1034,TraderCategory!$A$63:$F$556,6,FALSE)</f>
        <v>3</v>
      </c>
      <c r="D1034" s="1" t="str">
        <f>VLOOKUP(C1034,Tabulka5[],3,FALSE)</f>
        <v>Sergeant</v>
      </c>
      <c r="E1034" s="1">
        <v>10</v>
      </c>
      <c r="F1034" s="1" t="str">
        <f>VLOOKUP(E1034,Tabulka5[],3,FALSE)</f>
        <v>Second Lieutenant</v>
      </c>
      <c r="G1034" s="1" t="s">
        <v>3115</v>
      </c>
      <c r="H1034" s="1" t="s">
        <v>1002</v>
      </c>
      <c r="I1034" s="1" t="s">
        <v>8</v>
      </c>
      <c r="J1034" s="1" t="s">
        <v>2729</v>
      </c>
      <c r="K1034" s="1" t="s">
        <v>3129</v>
      </c>
      <c r="L1034" s="1" t="s">
        <v>3155</v>
      </c>
      <c r="M1034" s="1">
        <v>40000</v>
      </c>
      <c r="N1034" s="1">
        <v>1</v>
      </c>
      <c r="O1034" s="1" t="str">
        <f t="shared" si="85"/>
        <v>"Saiga": 1,</v>
      </c>
      <c r="P1034" s="1" t="str">
        <f t="shared" si="86"/>
        <v>"Saiga": 62,</v>
      </c>
      <c r="Q1034" s="1" t="str">
        <f t="shared" si="87"/>
        <v>"Saiga": 40000,</v>
      </c>
      <c r="R1034" s="1" t="str">
        <f t="shared" si="88"/>
        <v>"Saiga": 10,</v>
      </c>
    </row>
    <row r="1035" spans="1:18" x14ac:dyDescent="0.25">
      <c r="A1035" s="1" t="str">
        <f t="shared" si="89"/>
        <v>#tc_military#tc_weapons#tc_snipers</v>
      </c>
      <c r="B1035" s="1">
        <f>VLOOKUP(A1035,TraderCategory!$A$63:$E$556,2,FALSE)</f>
        <v>67</v>
      </c>
      <c r="C1035" s="1">
        <f>VLOOKUP(A1035,TraderCategory!$A$63:$F$556,6,FALSE)</f>
        <v>12</v>
      </c>
      <c r="D1035" s="1" t="str">
        <f>VLOOKUP(C1035,Tabulka5[],3,FALSE)</f>
        <v>Captain</v>
      </c>
      <c r="E1035" s="1">
        <v>12</v>
      </c>
      <c r="F1035" s="1" t="str">
        <f>VLOOKUP(E1035,Tabulka5[],3,FALSE)</f>
        <v>Captain</v>
      </c>
      <c r="G1035" s="1" t="s">
        <v>3115</v>
      </c>
      <c r="H1035" s="1" t="s">
        <v>1001</v>
      </c>
      <c r="I1035" s="1" t="s">
        <v>8</v>
      </c>
      <c r="J1035" s="1" t="s">
        <v>2729</v>
      </c>
      <c r="K1035" s="1" t="s">
        <v>3129</v>
      </c>
      <c r="L1035" s="1" t="s">
        <v>3160</v>
      </c>
      <c r="M1035" s="1">
        <v>60000</v>
      </c>
      <c r="N1035" s="1">
        <v>1</v>
      </c>
      <c r="O1035" s="1" t="str">
        <f t="shared" si="85"/>
        <v>"SVD": 1,</v>
      </c>
      <c r="P1035" s="1" t="str">
        <f t="shared" si="86"/>
        <v>"SVD": 67,</v>
      </c>
      <c r="Q1035" s="1" t="str">
        <f t="shared" si="87"/>
        <v>"SVD": 60000,</v>
      </c>
      <c r="R1035" s="1" t="str">
        <f t="shared" si="88"/>
        <v>"SVD": 12,</v>
      </c>
    </row>
    <row r="1036" spans="1:18" x14ac:dyDescent="0.25">
      <c r="A1036" s="1" t="str">
        <f t="shared" si="89"/>
        <v>#tc_military#tc_weapons#tc_snipers</v>
      </c>
      <c r="B1036" s="1">
        <f>VLOOKUP(A1036,TraderCategory!$A$63:$E$556,2,FALSE)</f>
        <v>67</v>
      </c>
      <c r="C1036" s="1">
        <f>VLOOKUP(A1036,TraderCategory!$A$63:$F$556,6,FALSE)</f>
        <v>12</v>
      </c>
      <c r="D1036" s="1" t="str">
        <f>VLOOKUP(C1036,Tabulka5[],3,FALSE)</f>
        <v>Captain</v>
      </c>
      <c r="E1036" s="1">
        <v>12</v>
      </c>
      <c r="F1036" s="1" t="str">
        <f>VLOOKUP(E1036,Tabulka5[],3,FALSE)</f>
        <v>Captain</v>
      </c>
      <c r="G1036" s="1" t="s">
        <v>3115</v>
      </c>
      <c r="H1036" s="1" t="s">
        <v>1167</v>
      </c>
      <c r="I1036" s="1" t="s">
        <v>8</v>
      </c>
      <c r="J1036" s="1" t="s">
        <v>2729</v>
      </c>
      <c r="K1036" s="1" t="s">
        <v>3129</v>
      </c>
      <c r="L1036" s="1" t="s">
        <v>3160</v>
      </c>
      <c r="M1036" s="1">
        <v>55000</v>
      </c>
      <c r="N1036" s="1">
        <v>1</v>
      </c>
      <c r="O1036" s="1" t="str">
        <f t="shared" si="85"/>
        <v>"VSS": 1,</v>
      </c>
      <c r="P1036" s="1" t="str">
        <f t="shared" si="86"/>
        <v>"VSS": 67,</v>
      </c>
      <c r="Q1036" s="1" t="str">
        <f t="shared" si="87"/>
        <v>"VSS": 55000,</v>
      </c>
      <c r="R1036" s="1" t="str">
        <f t="shared" si="88"/>
        <v>"VSS": 12,</v>
      </c>
    </row>
    <row r="1037" spans="1:18" x14ac:dyDescent="0.25">
      <c r="A1037" s="1" t="str">
        <f t="shared" si="89"/>
        <v>#tc_military#tc_magazines#tc_pistols</v>
      </c>
      <c r="B1037" s="1">
        <f>VLOOKUP(A1037,TraderCategory!$A$63:$E$556,2,FALSE)</f>
        <v>53</v>
      </c>
      <c r="C1037" s="1">
        <f>VLOOKUP(A1037,TraderCategory!$A$63:$F$556,6,FALSE)</f>
        <v>0</v>
      </c>
      <c r="D1037" s="1" t="str">
        <f>VLOOKUP(C1037,Tabulka5[],3,FALSE)</f>
        <v>Private</v>
      </c>
      <c r="E1037" s="1">
        <v>3</v>
      </c>
      <c r="F1037" s="1" t="str">
        <f>VLOOKUP(E1037,Tabulka5[],3,FALSE)</f>
        <v>Sergeant</v>
      </c>
      <c r="G1037" s="1" t="s">
        <v>3116</v>
      </c>
      <c r="H1037" s="1" t="s">
        <v>3327</v>
      </c>
      <c r="I1037" s="1" t="s">
        <v>8</v>
      </c>
      <c r="J1037" s="1" t="s">
        <v>2729</v>
      </c>
      <c r="K1037" s="1" t="s">
        <v>2737</v>
      </c>
      <c r="L1037" s="1" t="s">
        <v>3154</v>
      </c>
      <c r="M1037" s="1">
        <v>2400</v>
      </c>
      <c r="N1037" s="1">
        <v>1</v>
      </c>
      <c r="O1037" s="1" t="str">
        <f t="shared" si="85"/>
        <v>"WE_Mag_M9_15Rnd": 1,</v>
      </c>
      <c r="P1037" s="1" t="str">
        <f t="shared" si="86"/>
        <v>"WE_Mag_M9_15Rnd": 53,</v>
      </c>
      <c r="Q1037" s="1" t="str">
        <f t="shared" si="87"/>
        <v>"WE_Mag_M9_15Rnd": 2400,</v>
      </c>
      <c r="R1037" s="1" t="str">
        <f t="shared" si="88"/>
        <v>"WE_Mag_M9_15Rnd": 3,</v>
      </c>
    </row>
    <row r="1038" spans="1:18" x14ac:dyDescent="0.25">
      <c r="A1038" s="1" t="str">
        <f t="shared" si="89"/>
        <v>#tc_military#tc_magazines#tc_pistols</v>
      </c>
      <c r="B1038" s="1">
        <f>VLOOKUP(A1038,TraderCategory!$A$63:$E$556,2,FALSE)</f>
        <v>53</v>
      </c>
      <c r="C1038" s="1">
        <f>VLOOKUP(A1038,TraderCategory!$A$63:$F$556,6,FALSE)</f>
        <v>0</v>
      </c>
      <c r="D1038" s="1" t="str">
        <f>VLOOKUP(C1038,Tabulka5[],3,FALSE)</f>
        <v>Private</v>
      </c>
      <c r="E1038" s="1">
        <v>10</v>
      </c>
      <c r="F1038" s="1" t="str">
        <f>VLOOKUP(E1038,Tabulka5[],3,FALSE)</f>
        <v>Second Lieutenant</v>
      </c>
      <c r="G1038" s="1" t="s">
        <v>3116</v>
      </c>
      <c r="H1038" s="1" t="s">
        <v>3328</v>
      </c>
      <c r="I1038" s="1" t="s">
        <v>8</v>
      </c>
      <c r="J1038" s="1" t="s">
        <v>2729</v>
      </c>
      <c r="K1038" s="1" t="s">
        <v>2737</v>
      </c>
      <c r="L1038" s="1" t="s">
        <v>3154</v>
      </c>
      <c r="M1038" s="1">
        <v>4000</v>
      </c>
      <c r="N1038" s="1">
        <v>1</v>
      </c>
      <c r="O1038" s="1" t="str">
        <f t="shared" si="85"/>
        <v>"WE_Mag_FiveSeven_20Rnd": 1,</v>
      </c>
      <c r="P1038" s="1" t="str">
        <f t="shared" si="86"/>
        <v>"WE_Mag_FiveSeven_20Rnd": 53,</v>
      </c>
      <c r="Q1038" s="1" t="str">
        <f t="shared" si="87"/>
        <v>"WE_Mag_FiveSeven_20Rnd": 4000,</v>
      </c>
      <c r="R1038" s="1" t="str">
        <f t="shared" si="88"/>
        <v>"WE_Mag_FiveSeven_20Rnd": 10,</v>
      </c>
    </row>
    <row r="1039" spans="1:18" x14ac:dyDescent="0.25">
      <c r="A1039" s="1" t="str">
        <f t="shared" si="89"/>
        <v>#tc_military#tc_magazines#tc_pistols</v>
      </c>
      <c r="B1039" s="1">
        <f>VLOOKUP(A1039,TraderCategory!$A$63:$E$556,2,FALSE)</f>
        <v>53</v>
      </c>
      <c r="C1039" s="1">
        <f>VLOOKUP(A1039,TraderCategory!$A$63:$F$556,6,FALSE)</f>
        <v>0</v>
      </c>
      <c r="D1039" s="1" t="str">
        <f>VLOOKUP(C1039,Tabulka5[],3,FALSE)</f>
        <v>Private</v>
      </c>
      <c r="E1039" s="1">
        <v>15</v>
      </c>
      <c r="F1039" s="1" t="str">
        <f>VLOOKUP(E1039,Tabulka5[],3,FALSE)</f>
        <v>Colonel</v>
      </c>
      <c r="G1039" s="1" t="s">
        <v>3116</v>
      </c>
      <c r="H1039" s="1" t="s">
        <v>3329</v>
      </c>
      <c r="I1039" s="1" t="s">
        <v>8</v>
      </c>
      <c r="J1039" s="1" t="s">
        <v>2729</v>
      </c>
      <c r="K1039" s="1" t="s">
        <v>2737</v>
      </c>
      <c r="L1039" s="1" t="s">
        <v>3154</v>
      </c>
      <c r="M1039" s="1">
        <v>3000</v>
      </c>
      <c r="N1039" s="1">
        <v>1</v>
      </c>
      <c r="O1039" s="1" t="str">
        <f t="shared" si="85"/>
        <v>"WE_Mag_DesertEagle_9Rnd": 1,</v>
      </c>
      <c r="P1039" s="1" t="str">
        <f t="shared" si="86"/>
        <v>"WE_Mag_DesertEagle_9Rnd": 53,</v>
      </c>
      <c r="Q1039" s="1" t="str">
        <f t="shared" si="87"/>
        <v>"WE_Mag_DesertEagle_9Rnd": 3000,</v>
      </c>
      <c r="R1039" s="1" t="str">
        <f t="shared" si="88"/>
        <v>"WE_Mag_DesertEagle_9Rnd": 15,</v>
      </c>
    </row>
    <row r="1040" spans="1:18" x14ac:dyDescent="0.25">
      <c r="A1040" s="1" t="str">
        <f t="shared" si="89"/>
        <v>#tc_military#tc_weapons#tc_snipers</v>
      </c>
      <c r="B1040" s="1">
        <f>VLOOKUP(A1040,TraderCategory!$A$63:$E$556,2,FALSE)</f>
        <v>67</v>
      </c>
      <c r="C1040" s="1">
        <f>VLOOKUP(A1040,TraderCategory!$A$63:$F$556,6,FALSE)</f>
        <v>12</v>
      </c>
      <c r="D1040" s="1" t="str">
        <f>VLOOKUP(C1040,Tabulka5[],3,FALSE)</f>
        <v>Captain</v>
      </c>
      <c r="E1040" s="1">
        <v>13</v>
      </c>
      <c r="F1040" s="1" t="str">
        <f>VLOOKUP(E1040,Tabulka5[],3,FALSE)</f>
        <v>Major</v>
      </c>
      <c r="G1040" s="1" t="s">
        <v>3119</v>
      </c>
      <c r="H1040" s="1" t="s">
        <v>1284</v>
      </c>
      <c r="I1040" s="1" t="s">
        <v>8</v>
      </c>
      <c r="J1040" s="1" t="s">
        <v>2729</v>
      </c>
      <c r="K1040" s="1" t="s">
        <v>3129</v>
      </c>
      <c r="L1040" s="1" t="s">
        <v>3160</v>
      </c>
      <c r="M1040" s="1">
        <v>70000</v>
      </c>
      <c r="N1040" s="1">
        <v>1</v>
      </c>
      <c r="O1040" s="1" t="str">
        <f t="shared" si="85"/>
        <v>"csmcmillan_mung": 1,</v>
      </c>
      <c r="P1040" s="1" t="str">
        <f t="shared" si="86"/>
        <v>"csmcmillan_mung": 67,</v>
      </c>
      <c r="Q1040" s="1" t="str">
        <f t="shared" si="87"/>
        <v>"csmcmillan_mung": 70000,</v>
      </c>
      <c r="R1040" s="1" t="str">
        <f t="shared" si="88"/>
        <v>"csmcmillan_mung": 13,</v>
      </c>
    </row>
    <row r="1041" spans="1:18" x14ac:dyDescent="0.25">
      <c r="A1041" s="1" t="str">
        <f t="shared" si="89"/>
        <v>#tc_military#tc_weapons#tc_snipers</v>
      </c>
      <c r="B1041" s="1">
        <f>VLOOKUP(A1041,TraderCategory!$A$63:$E$556,2,FALSE)</f>
        <v>67</v>
      </c>
      <c r="C1041" s="1">
        <f>VLOOKUP(A1041,TraderCategory!$A$63:$F$556,6,FALSE)</f>
        <v>12</v>
      </c>
      <c r="D1041" s="1" t="str">
        <f>VLOOKUP(C1041,Tabulka5[],3,FALSE)</f>
        <v>Captain</v>
      </c>
      <c r="E1041" s="1">
        <v>15</v>
      </c>
      <c r="F1041" s="1" t="str">
        <f>VLOOKUP(E1041,Tabulka5[],3,FALSE)</f>
        <v>Colonel</v>
      </c>
      <c r="G1041" s="1" t="s">
        <v>3116</v>
      </c>
      <c r="H1041" s="1" t="s">
        <v>1398</v>
      </c>
      <c r="I1041" s="1" t="s">
        <v>8</v>
      </c>
      <c r="J1041" s="1" t="s">
        <v>2729</v>
      </c>
      <c r="K1041" s="1" t="s">
        <v>3129</v>
      </c>
      <c r="L1041" s="1" t="s">
        <v>3160</v>
      </c>
      <c r="M1041" s="1">
        <v>80000</v>
      </c>
      <c r="N1041" s="1">
        <v>1</v>
      </c>
      <c r="O1041" s="1" t="str">
        <f t="shared" si="85"/>
        <v>"WE_M14": 1,</v>
      </c>
      <c r="P1041" s="1" t="str">
        <f t="shared" si="86"/>
        <v>"WE_M14": 67,</v>
      </c>
      <c r="Q1041" s="1" t="str">
        <f t="shared" si="87"/>
        <v>"WE_M14": 80000,</v>
      </c>
      <c r="R1041" s="1" t="str">
        <f t="shared" si="88"/>
        <v>"WE_M14": 15,</v>
      </c>
    </row>
    <row r="1042" spans="1:18" x14ac:dyDescent="0.25">
      <c r="A1042" s="1" t="str">
        <f t="shared" si="89"/>
        <v>#tc_military#tc_magazines#tc_assaultrifles</v>
      </c>
      <c r="B1042" s="1">
        <f>VLOOKUP(A1042,TraderCategory!$A$63:$E$556,2,FALSE)</f>
        <v>57</v>
      </c>
      <c r="C1042" s="1">
        <f>VLOOKUP(A1042,TraderCategory!$A$63:$F$556,6,FALSE)</f>
        <v>10</v>
      </c>
      <c r="D1042" s="1" t="str">
        <f>VLOOKUP(C1042,Tabulka5[],3,FALSE)</f>
        <v>Second Lieutenant</v>
      </c>
      <c r="E1042" s="1">
        <v>12</v>
      </c>
      <c r="F1042" s="1" t="str">
        <f>VLOOKUP(E1042,Tabulka5[],3,FALSE)</f>
        <v>Captain</v>
      </c>
      <c r="G1042" s="1" t="s">
        <v>3116</v>
      </c>
      <c r="H1042" s="1" t="s">
        <v>3330</v>
      </c>
      <c r="I1042" s="1" t="s">
        <v>8</v>
      </c>
      <c r="J1042" s="1" t="s">
        <v>2729</v>
      </c>
      <c r="K1042" s="1" t="s">
        <v>2737</v>
      </c>
      <c r="L1042" s="1" t="s">
        <v>3158</v>
      </c>
      <c r="M1042" s="1">
        <v>9600</v>
      </c>
      <c r="N1042" s="1">
        <v>1</v>
      </c>
      <c r="O1042" s="1" t="str">
        <f t="shared" si="85"/>
        <v>"WE_Mag_HoneyBadger_30Rnd": 1,</v>
      </c>
      <c r="P1042" s="1" t="str">
        <f t="shared" si="86"/>
        <v>"WE_Mag_HoneyBadger_30Rnd": 57,</v>
      </c>
      <c r="Q1042" s="1" t="str">
        <f t="shared" si="87"/>
        <v>"WE_Mag_HoneyBadger_30Rnd": 9600,</v>
      </c>
      <c r="R1042" s="1" t="str">
        <f t="shared" si="88"/>
        <v>"WE_Mag_HoneyBadger_30Rnd": 12,</v>
      </c>
    </row>
    <row r="1043" spans="1:18" x14ac:dyDescent="0.25">
      <c r="A1043" s="1" t="str">
        <f t="shared" si="89"/>
        <v>#tc_military#tc_magazines#tc_assaultrifles</v>
      </c>
      <c r="B1043" s="1">
        <f>VLOOKUP(A1043,TraderCategory!$A$63:$E$556,2,FALSE)</f>
        <v>57</v>
      </c>
      <c r="C1043" s="1">
        <f>VLOOKUP(A1043,TraderCategory!$A$63:$F$556,6,FALSE)</f>
        <v>10</v>
      </c>
      <c r="D1043" s="1" t="str">
        <f>VLOOKUP(C1043,Tabulka5[],3,FALSE)</f>
        <v>Second Lieutenant</v>
      </c>
      <c r="E1043" s="1">
        <v>16</v>
      </c>
      <c r="F1043" s="1" t="str">
        <f>VLOOKUP(E1043,Tabulka5[],3,FALSE)</f>
        <v>Brigadier General</v>
      </c>
      <c r="G1043" s="1" t="s">
        <v>3116</v>
      </c>
      <c r="H1043" s="1" t="s">
        <v>3331</v>
      </c>
      <c r="I1043" s="1" t="s">
        <v>8</v>
      </c>
      <c r="J1043" s="1" t="s">
        <v>2729</v>
      </c>
      <c r="K1043" s="1" t="s">
        <v>2737</v>
      </c>
      <c r="L1043" s="1" t="s">
        <v>3158</v>
      </c>
      <c r="M1043" s="1">
        <v>19200</v>
      </c>
      <c r="N1043" s="1">
        <v>1</v>
      </c>
      <c r="O1043" s="1" t="str">
        <f t="shared" si="85"/>
        <v>"WE_Mag_Coupled_HoneyBadger_60Rnd": 1,</v>
      </c>
      <c r="P1043" s="1" t="str">
        <f t="shared" si="86"/>
        <v>"WE_Mag_Coupled_HoneyBadger_60Rnd": 57,</v>
      </c>
      <c r="Q1043" s="1" t="str">
        <f t="shared" si="87"/>
        <v>"WE_Mag_Coupled_HoneyBadger_60Rnd": 19200,</v>
      </c>
      <c r="R1043" s="1" t="str">
        <f t="shared" si="88"/>
        <v>"WE_Mag_Coupled_HoneyBadger_60Rnd": 16,</v>
      </c>
    </row>
    <row r="1044" spans="1:18" x14ac:dyDescent="0.25">
      <c r="A1044" s="1" t="str">
        <f t="shared" si="89"/>
        <v>#tc_military#tc_weapons#tc_snipers</v>
      </c>
      <c r="B1044" s="1">
        <f>VLOOKUP(A1044,TraderCategory!$A$63:$E$556,2,FALSE)</f>
        <v>67</v>
      </c>
      <c r="C1044" s="1">
        <f>VLOOKUP(A1044,TraderCategory!$A$63:$F$556,6,FALSE)</f>
        <v>12</v>
      </c>
      <c r="D1044" s="1" t="str">
        <f>VLOOKUP(C1044,Tabulka5[],3,FALSE)</f>
        <v>Captain</v>
      </c>
      <c r="E1044" s="1">
        <v>17</v>
      </c>
      <c r="F1044" s="1" t="str">
        <f>VLOOKUP(E1044,Tabulka5[],3,FALSE)</f>
        <v>Major General</v>
      </c>
      <c r="G1044" s="1" t="s">
        <v>3116</v>
      </c>
      <c r="H1044" s="1" t="s">
        <v>1399</v>
      </c>
      <c r="I1044" s="1" t="s">
        <v>8</v>
      </c>
      <c r="J1044" s="1" t="s">
        <v>2729</v>
      </c>
      <c r="K1044" s="1" t="s">
        <v>3129</v>
      </c>
      <c r="L1044" s="1" t="s">
        <v>3160</v>
      </c>
      <c r="M1044" s="1">
        <v>180000</v>
      </c>
      <c r="N1044" s="1">
        <v>1</v>
      </c>
      <c r="O1044" s="1" t="str">
        <f t="shared" si="85"/>
        <v>"WE_M24A3": 1,</v>
      </c>
      <c r="P1044" s="1" t="str">
        <f t="shared" si="86"/>
        <v>"WE_M24A3": 67,</v>
      </c>
      <c r="Q1044" s="1" t="str">
        <f t="shared" si="87"/>
        <v>"WE_M24A3": 180000,</v>
      </c>
      <c r="R1044" s="1" t="str">
        <f t="shared" si="88"/>
        <v>"WE_M24A3": 17,</v>
      </c>
    </row>
    <row r="1045" spans="1:18" x14ac:dyDescent="0.25">
      <c r="A1045" s="1" t="str">
        <f t="shared" si="89"/>
        <v>#tc_military#tc_weapons#tc_snipers</v>
      </c>
      <c r="B1045" s="1">
        <f>VLOOKUP(A1045,TraderCategory!$A$63:$E$556,2,FALSE)</f>
        <v>67</v>
      </c>
      <c r="C1045" s="1">
        <f>VLOOKUP(A1045,TraderCategory!$A$63:$F$556,6,FALSE)</f>
        <v>12</v>
      </c>
      <c r="D1045" s="1" t="str">
        <f>VLOOKUP(C1045,Tabulka5[],3,FALSE)</f>
        <v>Captain</v>
      </c>
      <c r="E1045" s="1">
        <v>18</v>
      </c>
      <c r="F1045" s="1" t="str">
        <f>VLOOKUP(E1045,Tabulka5[],3,FALSE)</f>
        <v>Lieutenant General</v>
      </c>
      <c r="G1045" s="1" t="s">
        <v>3116</v>
      </c>
      <c r="H1045" s="1" t="s">
        <v>12</v>
      </c>
      <c r="I1045" s="1" t="s">
        <v>8</v>
      </c>
      <c r="J1045" s="1" t="s">
        <v>2729</v>
      </c>
      <c r="K1045" s="1" t="s">
        <v>3129</v>
      </c>
      <c r="L1045" s="1" t="s">
        <v>3160</v>
      </c>
      <c r="M1045" s="1">
        <v>250000</v>
      </c>
      <c r="N1045" s="1">
        <v>1</v>
      </c>
      <c r="O1045" s="1" t="str">
        <f t="shared" si="85"/>
        <v>"WE_M82": 1,</v>
      </c>
      <c r="P1045" s="1" t="str">
        <f t="shared" si="86"/>
        <v>"WE_M82": 67,</v>
      </c>
      <c r="Q1045" s="1" t="str">
        <f t="shared" si="87"/>
        <v>"WE_M82": 250000,</v>
      </c>
      <c r="R1045" s="1" t="str">
        <f t="shared" si="88"/>
        <v>"WE_M82": 18,</v>
      </c>
    </row>
    <row r="1046" spans="1:18" x14ac:dyDescent="0.25">
      <c r="A1046" s="1" t="str">
        <f t="shared" si="89"/>
        <v>#tc_military#tc_weapons#tc_snipers</v>
      </c>
      <c r="B1046" s="1">
        <f>VLOOKUP(A1046,TraderCategory!$A$63:$E$556,2,FALSE)</f>
        <v>67</v>
      </c>
      <c r="C1046" s="1">
        <f>VLOOKUP(A1046,TraderCategory!$A$63:$F$556,6,FALSE)</f>
        <v>12</v>
      </c>
      <c r="D1046" s="1" t="str">
        <f>VLOOKUP(C1046,Tabulka5[],3,FALSE)</f>
        <v>Captain</v>
      </c>
      <c r="E1046" s="1">
        <v>18</v>
      </c>
      <c r="F1046" s="1" t="str">
        <f>VLOOKUP(E1046,Tabulka5[],3,FALSE)</f>
        <v>Lieutenant General</v>
      </c>
      <c r="G1046" s="1" t="s">
        <v>3116</v>
      </c>
      <c r="H1046" s="1" t="s">
        <v>2817</v>
      </c>
      <c r="I1046" s="1" t="s">
        <v>8</v>
      </c>
      <c r="J1046" s="1" t="s">
        <v>2729</v>
      </c>
      <c r="K1046" s="1" t="s">
        <v>3129</v>
      </c>
      <c r="L1046" s="1" t="s">
        <v>3160</v>
      </c>
      <c r="M1046" s="1">
        <v>250000</v>
      </c>
      <c r="N1046" s="1">
        <v>1</v>
      </c>
      <c r="O1046" s="1" t="str">
        <f t="shared" si="85"/>
        <v>"WE_M200": 1,</v>
      </c>
      <c r="P1046" s="1" t="str">
        <f t="shared" si="86"/>
        <v>"WE_M200": 67,</v>
      </c>
      <c r="Q1046" s="1" t="str">
        <f t="shared" si="87"/>
        <v>"WE_M200": 250000,</v>
      </c>
      <c r="R1046" s="1" t="str">
        <f t="shared" si="88"/>
        <v>"WE_M200": 18,</v>
      </c>
    </row>
    <row r="1047" spans="1:18" x14ac:dyDescent="0.25">
      <c r="A1047" s="1" t="str">
        <f t="shared" si="89"/>
        <v>#tc_military#tc_magazines#tc_assaultrifles</v>
      </c>
      <c r="B1047" s="1">
        <f>VLOOKUP(A1047,TraderCategory!$A$63:$E$556,2,FALSE)</f>
        <v>57</v>
      </c>
      <c r="C1047" s="1">
        <f>VLOOKUP(A1047,TraderCategory!$A$63:$F$556,6,FALSE)</f>
        <v>10</v>
      </c>
      <c r="D1047" s="1" t="str">
        <f>VLOOKUP(C1047,Tabulka5[],3,FALSE)</f>
        <v>Second Lieutenant</v>
      </c>
      <c r="E1047" s="1">
        <v>14</v>
      </c>
      <c r="F1047" s="1" t="str">
        <f>VLOOKUP(E1047,Tabulka5[],3,FALSE)</f>
        <v>Lieutenant Colonel</v>
      </c>
      <c r="G1047" s="1" t="s">
        <v>3116</v>
      </c>
      <c r="H1047" s="1" t="s">
        <v>3332</v>
      </c>
      <c r="I1047" s="1" t="s">
        <v>8</v>
      </c>
      <c r="J1047" s="1" t="s">
        <v>2729</v>
      </c>
      <c r="K1047" s="1" t="s">
        <v>2737</v>
      </c>
      <c r="L1047" s="1" t="s">
        <v>3158</v>
      </c>
      <c r="M1047" s="1">
        <v>9600</v>
      </c>
      <c r="N1047" s="1">
        <v>1</v>
      </c>
      <c r="O1047" s="1" t="str">
        <f t="shared" si="85"/>
        <v>"WE_Mag_STG44_30Rnd": 1,</v>
      </c>
      <c r="P1047" s="1" t="str">
        <f t="shared" si="86"/>
        <v>"WE_Mag_STG44_30Rnd": 57,</v>
      </c>
      <c r="Q1047" s="1" t="str">
        <f t="shared" si="87"/>
        <v>"WE_Mag_STG44_30Rnd": 9600,</v>
      </c>
      <c r="R1047" s="1" t="str">
        <f t="shared" si="88"/>
        <v>"WE_Mag_STG44_30Rnd": 14,</v>
      </c>
    </row>
    <row r="1048" spans="1:18" x14ac:dyDescent="0.25">
      <c r="A1048" s="1" t="str">
        <f t="shared" si="89"/>
        <v>#tc_military#tc_weapons#tc_snipers</v>
      </c>
      <c r="B1048" s="1">
        <f>VLOOKUP(A1048,TraderCategory!$A$63:$E$556,2,FALSE)</f>
        <v>67</v>
      </c>
      <c r="C1048" s="1">
        <f>VLOOKUP(A1048,TraderCategory!$A$63:$F$556,6,FALSE)</f>
        <v>12</v>
      </c>
      <c r="D1048" s="1" t="str">
        <f>VLOOKUP(C1048,Tabulka5[],3,FALSE)</f>
        <v>Captain</v>
      </c>
      <c r="E1048" s="1">
        <v>14</v>
      </c>
      <c r="F1048" s="1" t="str">
        <f>VLOOKUP(E1048,Tabulka5[],3,FALSE)</f>
        <v>Lieutenant Colonel</v>
      </c>
      <c r="G1048" s="1" t="s">
        <v>3116</v>
      </c>
      <c r="H1048" s="1" t="s">
        <v>1400</v>
      </c>
      <c r="I1048" s="1" t="s">
        <v>8</v>
      </c>
      <c r="J1048" s="1" t="s">
        <v>2729</v>
      </c>
      <c r="K1048" s="1" t="s">
        <v>3129</v>
      </c>
      <c r="L1048" s="1" t="s">
        <v>3160</v>
      </c>
      <c r="M1048" s="1">
        <v>70000</v>
      </c>
      <c r="N1048" s="1">
        <v>1</v>
      </c>
      <c r="O1048" s="1" t="str">
        <f t="shared" si="85"/>
        <v>"WE_PSG1": 1,</v>
      </c>
      <c r="P1048" s="1" t="str">
        <f t="shared" si="86"/>
        <v>"WE_PSG1": 67,</v>
      </c>
      <c r="Q1048" s="1" t="str">
        <f t="shared" si="87"/>
        <v>"WE_PSG1": 70000,</v>
      </c>
      <c r="R1048" s="1" t="str">
        <f t="shared" si="88"/>
        <v>"WE_PSG1": 14,</v>
      </c>
    </row>
    <row r="1049" spans="1:18" x14ac:dyDescent="0.25">
      <c r="A1049" s="1" t="str">
        <f t="shared" si="89"/>
        <v>#tc_military#tc_weapons#tc_snipers</v>
      </c>
      <c r="B1049" s="1">
        <f>VLOOKUP(A1049,TraderCategory!$A$63:$E$556,2,FALSE)</f>
        <v>67</v>
      </c>
      <c r="C1049" s="1">
        <f>VLOOKUP(A1049,TraderCategory!$A$63:$F$556,6,FALSE)</f>
        <v>12</v>
      </c>
      <c r="D1049" s="1" t="str">
        <f>VLOOKUP(C1049,Tabulka5[],3,FALSE)</f>
        <v>Captain</v>
      </c>
      <c r="E1049" s="1">
        <v>14</v>
      </c>
      <c r="F1049" s="1" t="str">
        <f>VLOOKUP(E1049,Tabulka5[],3,FALSE)</f>
        <v>Lieutenant Colonel</v>
      </c>
      <c r="G1049" s="1" t="s">
        <v>3116</v>
      </c>
      <c r="H1049" s="1" t="s">
        <v>13</v>
      </c>
      <c r="I1049" s="1" t="s">
        <v>8</v>
      </c>
      <c r="J1049" s="1" t="s">
        <v>2729</v>
      </c>
      <c r="K1049" s="1" t="s">
        <v>3129</v>
      </c>
      <c r="L1049" s="1" t="s">
        <v>3160</v>
      </c>
      <c r="M1049" s="1">
        <v>70000</v>
      </c>
      <c r="N1049" s="1">
        <v>1</v>
      </c>
      <c r="O1049" s="1" t="str">
        <f t="shared" si="85"/>
        <v>"WE_SSG69": 1,</v>
      </c>
      <c r="P1049" s="1" t="str">
        <f t="shared" si="86"/>
        <v>"WE_SSG69": 67,</v>
      </c>
      <c r="Q1049" s="1" t="str">
        <f t="shared" si="87"/>
        <v>"WE_SSG69": 70000,</v>
      </c>
      <c r="R1049" s="1" t="str">
        <f t="shared" si="88"/>
        <v>"WE_SSG69": 14,</v>
      </c>
    </row>
    <row r="1050" spans="1:18" x14ac:dyDescent="0.25">
      <c r="A1050" s="1" t="str">
        <f t="shared" si="89"/>
        <v>#tc_military#tc_magazines#tc_submachineguns</v>
      </c>
      <c r="B1050" s="1">
        <f>VLOOKUP(A1050,TraderCategory!$A$63:$E$556,2,FALSE)</f>
        <v>55</v>
      </c>
      <c r="C1050" s="1">
        <f>VLOOKUP(A1050,TraderCategory!$A$63:$F$556,6,FALSE)</f>
        <v>6</v>
      </c>
      <c r="D1050" s="1" t="str">
        <f>VLOOKUP(C1050,Tabulka5[],3,FALSE)</f>
        <v>Master Sergeant</v>
      </c>
      <c r="E1050" s="1">
        <v>16</v>
      </c>
      <c r="F1050" s="1" t="str">
        <f>VLOOKUP(E1050,Tabulka5[],3,FALSE)</f>
        <v>Brigadier General</v>
      </c>
      <c r="G1050" s="1" t="s">
        <v>3116</v>
      </c>
      <c r="H1050" s="1" t="s">
        <v>3333</v>
      </c>
      <c r="I1050" s="1" t="s">
        <v>8</v>
      </c>
      <c r="J1050" s="1" t="s">
        <v>2729</v>
      </c>
      <c r="K1050" s="1" t="s">
        <v>2737</v>
      </c>
      <c r="L1050" s="1" t="s">
        <v>3156</v>
      </c>
      <c r="M1050" s="1">
        <v>2000</v>
      </c>
      <c r="N1050" s="1">
        <v>1</v>
      </c>
      <c r="O1050" s="1" t="str">
        <f t="shared" si="85"/>
        <v>"WE_Mag_PPSH41_71Rnd": 1,</v>
      </c>
      <c r="P1050" s="1" t="str">
        <f t="shared" si="86"/>
        <v>"WE_Mag_PPSH41_71Rnd": 55,</v>
      </c>
      <c r="Q1050" s="1" t="str">
        <f t="shared" si="87"/>
        <v>"WE_Mag_PPSH41_71Rnd": 2000,</v>
      </c>
      <c r="R1050" s="1" t="str">
        <f t="shared" si="88"/>
        <v>"WE_Mag_PPSH41_71Rnd": 16,</v>
      </c>
    </row>
    <row r="1051" spans="1:18" x14ac:dyDescent="0.25">
      <c r="A1051" s="1" t="str">
        <f t="shared" si="89"/>
        <v>#tc_military#tc_weapons#tc_submachineguns</v>
      </c>
      <c r="B1051" s="1">
        <f>VLOOKUP(A1051,TraderCategory!$A$63:$E$556,2,FALSE)</f>
        <v>63</v>
      </c>
      <c r="C1051" s="1">
        <f>VLOOKUP(A1051,TraderCategory!$A$63:$F$556,6,FALSE)</f>
        <v>6</v>
      </c>
      <c r="D1051" s="1" t="str">
        <f>VLOOKUP(C1051,Tabulka5[],3,FALSE)</f>
        <v>Master Sergeant</v>
      </c>
      <c r="E1051" s="1">
        <v>6</v>
      </c>
      <c r="F1051" s="1" t="str">
        <f>VLOOKUP(E1051,Tabulka5[],3,FALSE)</f>
        <v>Master Sergeant</v>
      </c>
      <c r="G1051" s="1" t="s">
        <v>3115</v>
      </c>
      <c r="H1051" s="1" t="s">
        <v>504</v>
      </c>
      <c r="I1051" s="1" t="s">
        <v>8</v>
      </c>
      <c r="J1051" s="1" t="s">
        <v>2729</v>
      </c>
      <c r="K1051" s="1" t="s">
        <v>3129</v>
      </c>
      <c r="L1051" s="1" t="s">
        <v>3156</v>
      </c>
      <c r="M1051" s="1">
        <v>15000</v>
      </c>
      <c r="N1051" s="1">
        <v>1</v>
      </c>
      <c r="O1051" s="1" t="str">
        <f t="shared" si="85"/>
        <v>"CZ61": 1,</v>
      </c>
      <c r="P1051" s="1" t="str">
        <f t="shared" si="86"/>
        <v>"CZ61": 63,</v>
      </c>
      <c r="Q1051" s="1" t="str">
        <f t="shared" si="87"/>
        <v>"CZ61": 15000,</v>
      </c>
      <c r="R1051" s="1" t="str">
        <f t="shared" si="88"/>
        <v>"CZ61": 6,</v>
      </c>
    </row>
    <row r="1052" spans="1:18" x14ac:dyDescent="0.25">
      <c r="A1052" s="1" t="str">
        <f t="shared" si="89"/>
        <v>#tc_military#tc_magazines#tc_snipers</v>
      </c>
      <c r="B1052" s="1">
        <f>VLOOKUP(A1052,TraderCategory!$A$63:$E$556,2,FALSE)</f>
        <v>59</v>
      </c>
      <c r="C1052" s="1">
        <f>VLOOKUP(A1052,TraderCategory!$A$63:$F$556,6,FALSE)</f>
        <v>12</v>
      </c>
      <c r="D1052" s="1" t="str">
        <f>VLOOKUP(C1052,Tabulka5[],3,FALSE)</f>
        <v>Captain</v>
      </c>
      <c r="E1052" s="1">
        <v>16</v>
      </c>
      <c r="F1052" s="1" t="str">
        <f>VLOOKUP(E1052,Tabulka5[],3,FALSE)</f>
        <v>Brigadier General</v>
      </c>
      <c r="G1052" s="1" t="s">
        <v>3116</v>
      </c>
      <c r="H1052" s="1" t="s">
        <v>3334</v>
      </c>
      <c r="I1052" s="1" t="s">
        <v>8</v>
      </c>
      <c r="J1052" s="1" t="s">
        <v>2729</v>
      </c>
      <c r="K1052" s="1" t="s">
        <v>2737</v>
      </c>
      <c r="L1052" s="1" t="s">
        <v>3160</v>
      </c>
      <c r="M1052" s="1">
        <v>9600</v>
      </c>
      <c r="N1052" s="1">
        <v>1</v>
      </c>
      <c r="O1052" s="1" t="str">
        <f t="shared" si="85"/>
        <v>"WE_Mag_M14_20Rnd": 1,</v>
      </c>
      <c r="P1052" s="1" t="str">
        <f t="shared" si="86"/>
        <v>"WE_Mag_M14_20Rnd": 59,</v>
      </c>
      <c r="Q1052" s="1" t="str">
        <f t="shared" si="87"/>
        <v>"WE_Mag_M14_20Rnd": 9600,</v>
      </c>
      <c r="R1052" s="1" t="str">
        <f t="shared" si="88"/>
        <v>"WE_Mag_M14_20Rnd": 16,</v>
      </c>
    </row>
    <row r="1053" spans="1:18" x14ac:dyDescent="0.25">
      <c r="A1053" s="1" t="str">
        <f t="shared" si="89"/>
        <v>#tc_military#tc_weapons#tc_submachineguns</v>
      </c>
      <c r="B1053" s="1">
        <f>VLOOKUP(A1053,TraderCategory!$A$63:$E$556,2,FALSE)</f>
        <v>63</v>
      </c>
      <c r="C1053" s="1">
        <f>VLOOKUP(A1053,TraderCategory!$A$63:$F$556,6,FALSE)</f>
        <v>6</v>
      </c>
      <c r="D1053" s="1" t="str">
        <f>VLOOKUP(C1053,Tabulka5[],3,FALSE)</f>
        <v>Master Sergeant</v>
      </c>
      <c r="E1053" s="1">
        <v>8</v>
      </c>
      <c r="F1053" s="1" t="str">
        <f>VLOOKUP(E1053,Tabulka5[],3,FALSE)</f>
        <v>Command Sergeant Major</v>
      </c>
      <c r="G1053" s="1" t="s">
        <v>3115</v>
      </c>
      <c r="H1053" s="1" t="s">
        <v>815</v>
      </c>
      <c r="I1053" s="1" t="s">
        <v>8</v>
      </c>
      <c r="J1053" s="1" t="s">
        <v>2729</v>
      </c>
      <c r="K1053" s="1" t="s">
        <v>3129</v>
      </c>
      <c r="L1053" s="1" t="s">
        <v>3156</v>
      </c>
      <c r="M1053" s="1">
        <v>25000</v>
      </c>
      <c r="N1053" s="1">
        <v>1</v>
      </c>
      <c r="O1053" s="1" t="str">
        <f t="shared" si="85"/>
        <v>"MP5K": 1,</v>
      </c>
      <c r="P1053" s="1" t="str">
        <f t="shared" si="86"/>
        <v>"MP5K": 63,</v>
      </c>
      <c r="Q1053" s="1" t="str">
        <f t="shared" si="87"/>
        <v>"MP5K": 25000,</v>
      </c>
      <c r="R1053" s="1" t="str">
        <f t="shared" si="88"/>
        <v>"MP5K": 8,</v>
      </c>
    </row>
    <row r="1054" spans="1:18" x14ac:dyDescent="0.25">
      <c r="A1054" s="1" t="str">
        <f t="shared" si="89"/>
        <v>#tc_military#tc_magazines#tc_snipers</v>
      </c>
      <c r="B1054" s="1">
        <f>VLOOKUP(A1054,TraderCategory!$A$63:$E$556,2,FALSE)</f>
        <v>59</v>
      </c>
      <c r="C1054" s="1">
        <f>VLOOKUP(A1054,TraderCategory!$A$63:$F$556,6,FALSE)</f>
        <v>12</v>
      </c>
      <c r="D1054" s="1" t="str">
        <f>VLOOKUP(C1054,Tabulka5[],3,FALSE)</f>
        <v>Captain</v>
      </c>
      <c r="E1054" s="1">
        <v>18</v>
      </c>
      <c r="F1054" s="1" t="str">
        <f>VLOOKUP(E1054,Tabulka5[],3,FALSE)</f>
        <v>Lieutenant General</v>
      </c>
      <c r="G1054" s="1" t="s">
        <v>3116</v>
      </c>
      <c r="H1054" s="1" t="s">
        <v>3335</v>
      </c>
      <c r="I1054" s="1" t="s">
        <v>8</v>
      </c>
      <c r="J1054" s="1" t="s">
        <v>2729</v>
      </c>
      <c r="K1054" s="1" t="s">
        <v>2737</v>
      </c>
      <c r="L1054" s="1" t="s">
        <v>3160</v>
      </c>
      <c r="M1054" s="1">
        <v>6000</v>
      </c>
      <c r="N1054" s="1">
        <v>1</v>
      </c>
      <c r="O1054" s="1" t="str">
        <f t="shared" si="85"/>
        <v>"WE_Mag_M24A3_5Rnd": 1,</v>
      </c>
      <c r="P1054" s="1" t="str">
        <f t="shared" si="86"/>
        <v>"WE_Mag_M24A3_5Rnd": 59,</v>
      </c>
      <c r="Q1054" s="1" t="str">
        <f t="shared" si="87"/>
        <v>"WE_Mag_M24A3_5Rnd": 6000,</v>
      </c>
      <c r="R1054" s="1" t="str">
        <f t="shared" si="88"/>
        <v>"WE_Mag_M24A3_5Rnd": 18,</v>
      </c>
    </row>
    <row r="1055" spans="1:18" x14ac:dyDescent="0.25">
      <c r="A1055" s="1" t="str">
        <f t="shared" si="89"/>
        <v>#tc_military#tc_weapons#tc_submachineguns</v>
      </c>
      <c r="B1055" s="1">
        <f>VLOOKUP(A1055,TraderCategory!$A$63:$E$556,2,FALSE)</f>
        <v>63</v>
      </c>
      <c r="C1055" s="1">
        <f>VLOOKUP(A1055,TraderCategory!$A$63:$F$556,6,FALSE)</f>
        <v>6</v>
      </c>
      <c r="D1055" s="1" t="str">
        <f>VLOOKUP(C1055,Tabulka5[],3,FALSE)</f>
        <v>Master Sergeant</v>
      </c>
      <c r="E1055" s="1">
        <v>10</v>
      </c>
      <c r="F1055" s="1" t="str">
        <f>VLOOKUP(E1055,Tabulka5[],3,FALSE)</f>
        <v>Second Lieutenant</v>
      </c>
      <c r="G1055" s="1" t="s">
        <v>3115</v>
      </c>
      <c r="H1055" s="1" t="s">
        <v>1150</v>
      </c>
      <c r="I1055" s="1" t="s">
        <v>8</v>
      </c>
      <c r="J1055" s="1" t="s">
        <v>2729</v>
      </c>
      <c r="K1055" s="1" t="s">
        <v>3129</v>
      </c>
      <c r="L1055" s="1" t="s">
        <v>3156</v>
      </c>
      <c r="M1055" s="1">
        <v>30000</v>
      </c>
      <c r="N1055" s="1">
        <v>1</v>
      </c>
      <c r="O1055" s="1" t="str">
        <f t="shared" si="85"/>
        <v>"UMP45": 1,</v>
      </c>
      <c r="P1055" s="1" t="str">
        <f t="shared" si="86"/>
        <v>"UMP45": 63,</v>
      </c>
      <c r="Q1055" s="1" t="str">
        <f t="shared" si="87"/>
        <v>"UMP45": 30000,</v>
      </c>
      <c r="R1055" s="1" t="str">
        <f t="shared" si="88"/>
        <v>"UMP45": 10,</v>
      </c>
    </row>
    <row r="1056" spans="1:18" x14ac:dyDescent="0.25">
      <c r="A1056" s="1" t="str">
        <f t="shared" si="89"/>
        <v>#tc_military#tc_weapons#tc_submachineguns</v>
      </c>
      <c r="B1056" s="1">
        <f>VLOOKUP(A1056,TraderCategory!$A$63:$E$556,2,FALSE)</f>
        <v>63</v>
      </c>
      <c r="C1056" s="1">
        <f>VLOOKUP(A1056,TraderCategory!$A$63:$F$556,6,FALSE)</f>
        <v>6</v>
      </c>
      <c r="D1056" s="1" t="str">
        <f>VLOOKUP(C1056,Tabulka5[],3,FALSE)</f>
        <v>Master Sergeant</v>
      </c>
      <c r="E1056" s="1">
        <v>12</v>
      </c>
      <c r="F1056" s="1" t="str">
        <f>VLOOKUP(E1056,Tabulka5[],3,FALSE)</f>
        <v>Captain</v>
      </c>
      <c r="G1056" s="1" t="s">
        <v>3116</v>
      </c>
      <c r="H1056" s="1" t="s">
        <v>2814</v>
      </c>
      <c r="I1056" s="1" t="s">
        <v>8</v>
      </c>
      <c r="J1056" s="1" t="s">
        <v>2729</v>
      </c>
      <c r="K1056" s="1" t="s">
        <v>3129</v>
      </c>
      <c r="L1056" s="1" t="s">
        <v>3156</v>
      </c>
      <c r="M1056" s="1">
        <v>30000</v>
      </c>
      <c r="N1056" s="1">
        <v>1</v>
      </c>
      <c r="O1056" s="1" t="str">
        <f t="shared" si="85"/>
        <v>"WE_KACPDW": 1,</v>
      </c>
      <c r="P1056" s="1" t="str">
        <f t="shared" si="86"/>
        <v>"WE_KACPDW": 63,</v>
      </c>
      <c r="Q1056" s="1" t="str">
        <f t="shared" si="87"/>
        <v>"WE_KACPDW": 30000,</v>
      </c>
      <c r="R1056" s="1" t="str">
        <f t="shared" si="88"/>
        <v>"WE_KACPDW": 12,</v>
      </c>
    </row>
    <row r="1057" spans="1:18" x14ac:dyDescent="0.25">
      <c r="A1057" s="1" t="str">
        <f t="shared" si="89"/>
        <v>#tc_military#tc_magazines#tc_snipers</v>
      </c>
      <c r="B1057" s="1">
        <f>VLOOKUP(A1057,TraderCategory!$A$63:$E$556,2,FALSE)</f>
        <v>59</v>
      </c>
      <c r="C1057" s="1">
        <f>VLOOKUP(A1057,TraderCategory!$A$63:$F$556,6,FALSE)</f>
        <v>12</v>
      </c>
      <c r="D1057" s="1" t="str">
        <f>VLOOKUP(C1057,Tabulka5[],3,FALSE)</f>
        <v>Captain</v>
      </c>
      <c r="E1057" s="1">
        <v>19</v>
      </c>
      <c r="F1057" s="1" t="str">
        <f>VLOOKUP(E1057,Tabulka5[],3,FALSE)</f>
        <v>General</v>
      </c>
      <c r="G1057" s="1" t="s">
        <v>3116</v>
      </c>
      <c r="H1057" s="1" t="s">
        <v>3336</v>
      </c>
      <c r="I1057" s="1" t="s">
        <v>8</v>
      </c>
      <c r="J1057" s="1" t="s">
        <v>2729</v>
      </c>
      <c r="K1057" s="1" t="s">
        <v>2737</v>
      </c>
      <c r="L1057" s="1" t="s">
        <v>3160</v>
      </c>
      <c r="M1057" s="1">
        <v>12600</v>
      </c>
      <c r="N1057" s="1">
        <v>1</v>
      </c>
      <c r="O1057" s="1" t="str">
        <f t="shared" si="85"/>
        <v>"WE_Mag_M200_7Rnd": 1,</v>
      </c>
      <c r="P1057" s="1" t="str">
        <f t="shared" si="86"/>
        <v>"WE_Mag_M200_7Rnd": 59,</v>
      </c>
      <c r="Q1057" s="1" t="str">
        <f t="shared" si="87"/>
        <v>"WE_Mag_M200_7Rnd": 12600,</v>
      </c>
      <c r="R1057" s="1" t="str">
        <f t="shared" si="88"/>
        <v>"WE_Mag_M200_7Rnd": 19,</v>
      </c>
    </row>
    <row r="1058" spans="1:18" x14ac:dyDescent="0.25">
      <c r="A1058" s="1" t="str">
        <f t="shared" si="89"/>
        <v>#tc_military#tc_magazines#tc_snipers</v>
      </c>
      <c r="B1058" s="1">
        <f>VLOOKUP(A1058,TraderCategory!$A$63:$E$556,2,FALSE)</f>
        <v>59</v>
      </c>
      <c r="C1058" s="1">
        <f>VLOOKUP(A1058,TraderCategory!$A$63:$F$556,6,FALSE)</f>
        <v>12</v>
      </c>
      <c r="D1058" s="1" t="str">
        <f>VLOOKUP(C1058,Tabulka5[],3,FALSE)</f>
        <v>Captain</v>
      </c>
      <c r="E1058" s="1">
        <v>19</v>
      </c>
      <c r="F1058" s="1" t="str">
        <f>VLOOKUP(E1058,Tabulka5[],3,FALSE)</f>
        <v>General</v>
      </c>
      <c r="G1058" s="1" t="s">
        <v>3116</v>
      </c>
      <c r="H1058" s="1" t="s">
        <v>3337</v>
      </c>
      <c r="I1058" s="1" t="s">
        <v>8</v>
      </c>
      <c r="J1058" s="1" t="s">
        <v>2729</v>
      </c>
      <c r="K1058" s="1" t="s">
        <v>2737</v>
      </c>
      <c r="L1058" s="1" t="s">
        <v>3160</v>
      </c>
      <c r="M1058" s="1">
        <v>20000</v>
      </c>
      <c r="N1058" s="1">
        <v>1</v>
      </c>
      <c r="O1058" s="1" t="str">
        <f t="shared" si="85"/>
        <v>"WE_Mag_M82_10Rnd": 1,</v>
      </c>
      <c r="P1058" s="1" t="str">
        <f t="shared" si="86"/>
        <v>"WE_Mag_M82_10Rnd": 59,</v>
      </c>
      <c r="Q1058" s="1" t="str">
        <f t="shared" si="87"/>
        <v>"WE_Mag_M82_10Rnd": 20000,</v>
      </c>
      <c r="R1058" s="1" t="str">
        <f t="shared" si="88"/>
        <v>"WE_Mag_M82_10Rnd": 19,</v>
      </c>
    </row>
    <row r="1059" spans="1:18" x14ac:dyDescent="0.25">
      <c r="A1059" s="1" t="str">
        <f t="shared" si="89"/>
        <v>#tc_military#tc_weapons#tc_submachineguns</v>
      </c>
      <c r="B1059" s="1">
        <f>VLOOKUP(A1059,TraderCategory!$A$63:$E$556,2,FALSE)</f>
        <v>63</v>
      </c>
      <c r="C1059" s="1">
        <f>VLOOKUP(A1059,TraderCategory!$A$63:$F$556,6,FALSE)</f>
        <v>6</v>
      </c>
      <c r="D1059" s="1" t="str">
        <f>VLOOKUP(C1059,Tabulka5[],3,FALSE)</f>
        <v>Master Sergeant</v>
      </c>
      <c r="E1059" s="1">
        <v>14</v>
      </c>
      <c r="F1059" s="1" t="str">
        <f>VLOOKUP(E1059,Tabulka5[],3,FALSE)</f>
        <v>Lieutenant Colonel</v>
      </c>
      <c r="G1059" s="1" t="s">
        <v>3116</v>
      </c>
      <c r="H1059" s="1" t="s">
        <v>3020</v>
      </c>
      <c r="I1059" s="1" t="s">
        <v>8</v>
      </c>
      <c r="J1059" s="1" t="s">
        <v>2729</v>
      </c>
      <c r="K1059" s="1" t="s">
        <v>3129</v>
      </c>
      <c r="L1059" s="1" t="s">
        <v>3156</v>
      </c>
      <c r="M1059" s="1">
        <v>40000</v>
      </c>
      <c r="N1059" s="1">
        <v>1</v>
      </c>
      <c r="O1059" s="1" t="str">
        <f t="shared" si="85"/>
        <v>"WE_MP5SD": 1,</v>
      </c>
      <c r="P1059" s="1" t="str">
        <f t="shared" si="86"/>
        <v>"WE_MP5SD": 63,</v>
      </c>
      <c r="Q1059" s="1" t="str">
        <f t="shared" si="87"/>
        <v>"WE_MP5SD": 40000,</v>
      </c>
      <c r="R1059" s="1" t="str">
        <f t="shared" si="88"/>
        <v>"WE_MP5SD": 14,</v>
      </c>
    </row>
    <row r="1060" spans="1:18" x14ac:dyDescent="0.25">
      <c r="A1060" s="1" t="str">
        <f t="shared" si="89"/>
        <v>#tc_military#tc_magazines#tc_snipers</v>
      </c>
      <c r="B1060" s="1">
        <f>VLOOKUP(A1060,TraderCategory!$A$63:$E$556,2,FALSE)</f>
        <v>59</v>
      </c>
      <c r="C1060" s="1">
        <f>VLOOKUP(A1060,TraderCategory!$A$63:$F$556,6,FALSE)</f>
        <v>12</v>
      </c>
      <c r="D1060" s="1" t="str">
        <f>VLOOKUP(C1060,Tabulka5[],3,FALSE)</f>
        <v>Captain</v>
      </c>
      <c r="E1060" s="1">
        <v>15</v>
      </c>
      <c r="F1060" s="1" t="str">
        <f>VLOOKUP(E1060,Tabulka5[],3,FALSE)</f>
        <v>Colonel</v>
      </c>
      <c r="G1060" s="1" t="s">
        <v>3116</v>
      </c>
      <c r="H1060" s="1" t="s">
        <v>3338</v>
      </c>
      <c r="I1060" s="1" t="s">
        <v>8</v>
      </c>
      <c r="J1060" s="1" t="s">
        <v>2729</v>
      </c>
      <c r="K1060" s="1" t="s">
        <v>2737</v>
      </c>
      <c r="L1060" s="1" t="s">
        <v>3160</v>
      </c>
      <c r="M1060" s="1">
        <v>9600</v>
      </c>
      <c r="N1060" s="1">
        <v>1</v>
      </c>
      <c r="O1060" s="1" t="str">
        <f t="shared" si="85"/>
        <v>"WE_Mag_PSG1_20Rnd": 1,</v>
      </c>
      <c r="P1060" s="1" t="str">
        <f t="shared" si="86"/>
        <v>"WE_Mag_PSG1_20Rnd": 59,</v>
      </c>
      <c r="Q1060" s="1" t="str">
        <f t="shared" si="87"/>
        <v>"WE_Mag_PSG1_20Rnd": 9600,</v>
      </c>
      <c r="R1060" s="1" t="str">
        <f t="shared" si="88"/>
        <v>"WE_Mag_PSG1_20Rnd": 15,</v>
      </c>
    </row>
    <row r="1061" spans="1:18" x14ac:dyDescent="0.25">
      <c r="A1061" s="1" t="str">
        <f t="shared" si="89"/>
        <v>#tc_military#tc_weapons#tc_submachineguns</v>
      </c>
      <c r="B1061" s="1">
        <f>VLOOKUP(A1061,TraderCategory!$A$63:$E$556,2,FALSE)</f>
        <v>63</v>
      </c>
      <c r="C1061" s="1">
        <f>VLOOKUP(A1061,TraderCategory!$A$63:$F$556,6,FALSE)</f>
        <v>6</v>
      </c>
      <c r="D1061" s="1" t="str">
        <f>VLOOKUP(C1061,Tabulka5[],3,FALSE)</f>
        <v>Master Sergeant</v>
      </c>
      <c r="E1061" s="1">
        <v>6</v>
      </c>
      <c r="F1061" s="1" t="str">
        <f>VLOOKUP(E1061,Tabulka5[],3,FALSE)</f>
        <v>Master Sergeant</v>
      </c>
      <c r="G1061" s="1" t="s">
        <v>3116</v>
      </c>
      <c r="H1061" s="1" t="s">
        <v>2815</v>
      </c>
      <c r="I1061" s="1" t="s">
        <v>8</v>
      </c>
      <c r="J1061" s="1" t="s">
        <v>2729</v>
      </c>
      <c r="K1061" s="1" t="s">
        <v>3129</v>
      </c>
      <c r="L1061" s="1" t="s">
        <v>3156</v>
      </c>
      <c r="M1061" s="1">
        <v>20000</v>
      </c>
      <c r="N1061" s="1">
        <v>1</v>
      </c>
      <c r="O1061" s="1" t="str">
        <f t="shared" si="85"/>
        <v>"WE_MAT49": 1,</v>
      </c>
      <c r="P1061" s="1" t="str">
        <f t="shared" si="86"/>
        <v>"WE_MAT49": 63,</v>
      </c>
      <c r="Q1061" s="1" t="str">
        <f t="shared" si="87"/>
        <v>"WE_MAT49": 20000,</v>
      </c>
      <c r="R1061" s="1" t="str">
        <f t="shared" si="88"/>
        <v>"WE_MAT49": 6,</v>
      </c>
    </row>
    <row r="1062" spans="1:18" x14ac:dyDescent="0.25">
      <c r="A1062" s="1" t="str">
        <f t="shared" si="89"/>
        <v>#tc_military#tc_magazines#tc_snipers</v>
      </c>
      <c r="B1062" s="1">
        <f>VLOOKUP(A1062,TraderCategory!$A$63:$E$556,2,FALSE)</f>
        <v>59</v>
      </c>
      <c r="C1062" s="1">
        <f>VLOOKUP(A1062,TraderCategory!$A$63:$F$556,6,FALSE)</f>
        <v>12</v>
      </c>
      <c r="D1062" s="1" t="str">
        <f>VLOOKUP(C1062,Tabulka5[],3,FALSE)</f>
        <v>Captain</v>
      </c>
      <c r="E1062" s="1">
        <v>15</v>
      </c>
      <c r="F1062" s="1" t="str">
        <f>VLOOKUP(E1062,Tabulka5[],3,FALSE)</f>
        <v>Colonel</v>
      </c>
      <c r="G1062" s="1" t="s">
        <v>3116</v>
      </c>
      <c r="H1062" s="1" t="s">
        <v>3339</v>
      </c>
      <c r="I1062" s="1" t="s">
        <v>8</v>
      </c>
      <c r="J1062" s="1" t="s">
        <v>2729</v>
      </c>
      <c r="K1062" s="1" t="s">
        <v>2737</v>
      </c>
      <c r="L1062" s="1" t="s">
        <v>3160</v>
      </c>
      <c r="M1062" s="1">
        <v>2400</v>
      </c>
      <c r="N1062" s="1">
        <v>1</v>
      </c>
      <c r="O1062" s="1" t="str">
        <f t="shared" si="85"/>
        <v>"WE_Mag_SSG69_5Rnd": 1,</v>
      </c>
      <c r="P1062" s="1" t="str">
        <f t="shared" si="86"/>
        <v>"WE_Mag_SSG69_5Rnd": 59,</v>
      </c>
      <c r="Q1062" s="1" t="str">
        <f t="shared" si="87"/>
        <v>"WE_Mag_SSG69_5Rnd": 2400,</v>
      </c>
      <c r="R1062" s="1" t="str">
        <f t="shared" si="88"/>
        <v>"WE_Mag_SSG69_5Rnd": 15,</v>
      </c>
    </row>
    <row r="1063" spans="1:18" x14ac:dyDescent="0.25">
      <c r="A1063" s="1" t="str">
        <f t="shared" si="89"/>
        <v>#tc_military#tc_ammo#tc_rifles</v>
      </c>
      <c r="B1063" s="1">
        <f>VLOOKUP(A1063,TraderCategory!$A$63:$E$556,2,FALSE)</f>
        <v>44</v>
      </c>
      <c r="C1063" s="1">
        <f>VLOOKUP(A1063,TraderCategory!$A$63:$F$556,6,FALSE)</f>
        <v>9</v>
      </c>
      <c r="D1063" s="1" t="str">
        <f>VLOOKUP(C1063,Tabulka5[],3,FALSE)</f>
        <v>Sergeant Major of the Army</v>
      </c>
      <c r="E1063" s="1">
        <v>14</v>
      </c>
      <c r="F1063" s="1" t="str">
        <f>VLOOKUP(E1063,Tabulka5[],3,FALSE)</f>
        <v>Lieutenant Colonel</v>
      </c>
      <c r="G1063" s="1" t="s">
        <v>3118</v>
      </c>
      <c r="H1063" s="1" t="s">
        <v>2782</v>
      </c>
      <c r="I1063" s="1" t="s">
        <v>8</v>
      </c>
      <c r="J1063" s="1" t="s">
        <v>2729</v>
      </c>
      <c r="K1063" s="1" t="s">
        <v>2738</v>
      </c>
      <c r="L1063" s="1" t="s">
        <v>3157</v>
      </c>
      <c r="M1063" s="1">
        <v>2800</v>
      </c>
      <c r="N1063" s="1">
        <v>1</v>
      </c>
      <c r="O1063" s="1" t="str">
        <f t="shared" si="85"/>
        <v>"Ammo_AE792x33": 1,</v>
      </c>
      <c r="P1063" s="1" t="str">
        <f t="shared" si="86"/>
        <v>"Ammo_AE792x33": 44,</v>
      </c>
      <c r="Q1063" s="1" t="str">
        <f t="shared" si="87"/>
        <v>"Ammo_AE792x33": 2800,</v>
      </c>
      <c r="R1063" s="1" t="str">
        <f t="shared" si="88"/>
        <v>"Ammo_AE792x33": 14,</v>
      </c>
    </row>
    <row r="1064" spans="1:18" x14ac:dyDescent="0.25">
      <c r="A1064" s="1" t="str">
        <f t="shared" si="89"/>
        <v>#tc_military#tc_ammo#tc_rifles</v>
      </c>
      <c r="B1064" s="1">
        <f>VLOOKUP(A1064,TraderCategory!$A$63:$E$556,2,FALSE)</f>
        <v>44</v>
      </c>
      <c r="C1064" s="1">
        <f>VLOOKUP(A1064,TraderCategory!$A$63:$F$556,6,FALSE)</f>
        <v>9</v>
      </c>
      <c r="D1064" s="1" t="str">
        <f>VLOOKUP(C1064,Tabulka5[],3,FALSE)</f>
        <v>Sergeant Major of the Army</v>
      </c>
      <c r="E1064" s="1">
        <v>14</v>
      </c>
      <c r="F1064" s="1" t="str">
        <f>VLOOKUP(E1064,Tabulka5[],3,FALSE)</f>
        <v>Lieutenant Colonel</v>
      </c>
      <c r="G1064" s="1" t="s">
        <v>3118</v>
      </c>
      <c r="H1064" s="1" t="s">
        <v>2783</v>
      </c>
      <c r="I1064" s="1" t="s">
        <v>8</v>
      </c>
      <c r="J1064" s="1" t="s">
        <v>2729</v>
      </c>
      <c r="K1064" s="1" t="s">
        <v>2738</v>
      </c>
      <c r="L1064" s="1" t="s">
        <v>3157</v>
      </c>
      <c r="M1064" s="1">
        <v>2800</v>
      </c>
      <c r="N1064" s="1">
        <v>1</v>
      </c>
      <c r="O1064" s="1" t="str">
        <f t="shared" si="85"/>
        <v>"AE_AmmoBox_792x33_20rnd": 1,</v>
      </c>
      <c r="P1064" s="1" t="str">
        <f t="shared" si="86"/>
        <v>"AE_AmmoBox_792x33_20rnd": 44,</v>
      </c>
      <c r="Q1064" s="1" t="str">
        <f t="shared" si="87"/>
        <v>"AE_AmmoBox_792x33_20rnd": 2800,</v>
      </c>
      <c r="R1064" s="1" t="str">
        <f t="shared" si="88"/>
        <v>"AE_AmmoBox_792x33_20rnd": 14,</v>
      </c>
    </row>
    <row r="1065" spans="1:18" x14ac:dyDescent="0.25">
      <c r="A1065" s="1" t="str">
        <f t="shared" si="89"/>
        <v>#tc_military#tc_ammo#tc_snipers</v>
      </c>
      <c r="B1065" s="1">
        <f>VLOOKUP(A1065,TraderCategory!$A$63:$E$556,2,FALSE)</f>
        <v>45</v>
      </c>
      <c r="C1065" s="1">
        <f>VLOOKUP(A1065,TraderCategory!$A$63:$F$556,6,FALSE)</f>
        <v>12</v>
      </c>
      <c r="D1065" s="1" t="str">
        <f>VLOOKUP(C1065,Tabulka5[],3,FALSE)</f>
        <v>Captain</v>
      </c>
      <c r="E1065" s="1">
        <v>19</v>
      </c>
      <c r="F1065" s="1" t="str">
        <f>VLOOKUP(E1065,Tabulka5[],3,FALSE)</f>
        <v>General</v>
      </c>
      <c r="G1065" s="1" t="s">
        <v>3118</v>
      </c>
      <c r="H1065" s="1" t="s">
        <v>2784</v>
      </c>
      <c r="I1065" s="1" t="s">
        <v>8</v>
      </c>
      <c r="J1065" s="1" t="s">
        <v>2729</v>
      </c>
      <c r="K1065" s="1" t="s">
        <v>2738</v>
      </c>
      <c r="L1065" s="1" t="s">
        <v>3160</v>
      </c>
      <c r="M1065" s="1">
        <v>18000</v>
      </c>
      <c r="N1065" s="1">
        <v>1</v>
      </c>
      <c r="O1065" s="1" t="str">
        <f t="shared" si="85"/>
        <v>"Ammo_AE408": 1,</v>
      </c>
      <c r="P1065" s="1" t="str">
        <f t="shared" si="86"/>
        <v>"Ammo_AE408": 45,</v>
      </c>
      <c r="Q1065" s="1" t="str">
        <f t="shared" si="87"/>
        <v>"Ammo_AE408": 18000,</v>
      </c>
      <c r="R1065" s="1" t="str">
        <f t="shared" si="88"/>
        <v>"Ammo_AE408": 19,</v>
      </c>
    </row>
    <row r="1066" spans="1:18" x14ac:dyDescent="0.25">
      <c r="A1066" s="1" t="str">
        <f t="shared" ref="A1066:A1094" si="90">CONCATENATE(J1066,K1066,L1066)</f>
        <v>#tc_military#tc_ammo#tc_snipers</v>
      </c>
      <c r="B1066" s="1">
        <f>VLOOKUP(A1066,TraderCategory!$A$63:$E$556,2,FALSE)</f>
        <v>45</v>
      </c>
      <c r="C1066" s="1">
        <f>VLOOKUP(A1066,TraderCategory!$A$63:$F$556,6,FALSE)</f>
        <v>12</v>
      </c>
      <c r="D1066" s="1" t="str">
        <f>VLOOKUP(C1066,Tabulka5[],3,FALSE)</f>
        <v>Captain</v>
      </c>
      <c r="E1066" s="1">
        <v>19</v>
      </c>
      <c r="F1066" s="1" t="str">
        <f>VLOOKUP(E1066,Tabulka5[],3,FALSE)</f>
        <v>General</v>
      </c>
      <c r="G1066" s="1" t="s">
        <v>3118</v>
      </c>
      <c r="H1066" s="1" t="s">
        <v>2785</v>
      </c>
      <c r="I1066" s="1" t="s">
        <v>8</v>
      </c>
      <c r="J1066" s="1" t="s">
        <v>2729</v>
      </c>
      <c r="K1066" s="1" t="s">
        <v>2738</v>
      </c>
      <c r="L1066" s="1" t="s">
        <v>3160</v>
      </c>
      <c r="M1066" s="1">
        <v>18000</v>
      </c>
      <c r="N1066" s="1">
        <v>1</v>
      </c>
      <c r="O1066" s="1" t="str">
        <f t="shared" si="85"/>
        <v>"AE_AmmoBox_408_20rnd": 1,</v>
      </c>
      <c r="P1066" s="1" t="str">
        <f t="shared" si="86"/>
        <v>"AE_AmmoBox_408_20rnd": 45,</v>
      </c>
      <c r="Q1066" s="1" t="str">
        <f t="shared" si="87"/>
        <v>"AE_AmmoBox_408_20rnd": 18000,</v>
      </c>
      <c r="R1066" s="1" t="str">
        <f t="shared" si="88"/>
        <v>"AE_AmmoBox_408_20rnd": 19,</v>
      </c>
    </row>
    <row r="1067" spans="1:18" x14ac:dyDescent="0.25">
      <c r="A1067" s="1" t="str">
        <f t="shared" si="90"/>
        <v>#tc_military#tc_ammo#tc_snipers</v>
      </c>
      <c r="B1067" s="1">
        <f>VLOOKUP(A1067,TraderCategory!$A$63:$E$556,2,FALSE)</f>
        <v>45</v>
      </c>
      <c r="C1067" s="1">
        <f>VLOOKUP(A1067,TraderCategory!$A$63:$F$556,6,FALSE)</f>
        <v>12</v>
      </c>
      <c r="D1067" s="1" t="str">
        <f>VLOOKUP(C1067,Tabulka5[],3,FALSE)</f>
        <v>Captain</v>
      </c>
      <c r="E1067" s="1">
        <v>13</v>
      </c>
      <c r="F1067" s="1" t="str">
        <f>VLOOKUP(E1067,Tabulka5[],3,FALSE)</f>
        <v>Major</v>
      </c>
      <c r="G1067" s="1" t="s">
        <v>3118</v>
      </c>
      <c r="H1067" s="1" t="s">
        <v>2807</v>
      </c>
      <c r="I1067" s="1" t="s">
        <v>8</v>
      </c>
      <c r="J1067" s="1" t="s">
        <v>2729</v>
      </c>
      <c r="K1067" s="1" t="s">
        <v>2738</v>
      </c>
      <c r="L1067" s="1" t="s">
        <v>3160</v>
      </c>
      <c r="M1067" s="1">
        <v>4800</v>
      </c>
      <c r="N1067" s="1">
        <v>1</v>
      </c>
      <c r="O1067" s="1" t="str">
        <f t="shared" si="85"/>
        <v>"Ammo_AE792x57": 1,</v>
      </c>
      <c r="P1067" s="1" t="str">
        <f t="shared" si="86"/>
        <v>"Ammo_AE792x57": 45,</v>
      </c>
      <c r="Q1067" s="1" t="str">
        <f t="shared" si="87"/>
        <v>"Ammo_AE792x57": 4800,</v>
      </c>
      <c r="R1067" s="1" t="str">
        <f t="shared" si="88"/>
        <v>"Ammo_AE792x57": 13,</v>
      </c>
    </row>
    <row r="1068" spans="1:18" x14ac:dyDescent="0.25">
      <c r="A1068" s="1" t="str">
        <f t="shared" si="90"/>
        <v>#tc_military#tc_ammo#tc_snipers</v>
      </c>
      <c r="B1068" s="1">
        <f>VLOOKUP(A1068,TraderCategory!$A$63:$E$556,2,FALSE)</f>
        <v>45</v>
      </c>
      <c r="C1068" s="1">
        <f>VLOOKUP(A1068,TraderCategory!$A$63:$F$556,6,FALSE)</f>
        <v>12</v>
      </c>
      <c r="D1068" s="1" t="str">
        <f>VLOOKUP(C1068,Tabulka5[],3,FALSE)</f>
        <v>Captain</v>
      </c>
      <c r="E1068" s="1">
        <v>13</v>
      </c>
      <c r="F1068" s="1" t="str">
        <f>VLOOKUP(E1068,Tabulka5[],3,FALSE)</f>
        <v>Major</v>
      </c>
      <c r="G1068" s="1" t="s">
        <v>3118</v>
      </c>
      <c r="H1068" s="1" t="s">
        <v>2808</v>
      </c>
      <c r="I1068" s="1" t="s">
        <v>8</v>
      </c>
      <c r="J1068" s="1" t="s">
        <v>2729</v>
      </c>
      <c r="K1068" s="1" t="s">
        <v>2738</v>
      </c>
      <c r="L1068" s="1" t="s">
        <v>3160</v>
      </c>
      <c r="M1068" s="1">
        <v>4800</v>
      </c>
      <c r="N1068" s="1">
        <v>1</v>
      </c>
      <c r="O1068" s="1" t="str">
        <f t="shared" si="85"/>
        <v>"AE_AmmoBox_792x57_20rnd": 1,</v>
      </c>
      <c r="P1068" s="1" t="str">
        <f t="shared" si="86"/>
        <v>"AE_AmmoBox_792x57_20rnd": 45,</v>
      </c>
      <c r="Q1068" s="1" t="str">
        <f t="shared" si="87"/>
        <v>"AE_AmmoBox_792x57_20rnd": 4800,</v>
      </c>
      <c r="R1068" s="1" t="str">
        <f t="shared" si="88"/>
        <v>"AE_AmmoBox_792x57_20rnd": 13,</v>
      </c>
    </row>
    <row r="1069" spans="1:18" x14ac:dyDescent="0.25">
      <c r="A1069" s="1" t="str">
        <f t="shared" si="90"/>
        <v>#tc_military#tc_ammo#tc_snipers</v>
      </c>
      <c r="B1069" s="1">
        <f>VLOOKUP(A1069,TraderCategory!$A$63:$E$556,2,FALSE)</f>
        <v>45</v>
      </c>
      <c r="C1069" s="1">
        <f>VLOOKUP(A1069,TraderCategory!$A$63:$F$556,6,FALSE)</f>
        <v>12</v>
      </c>
      <c r="D1069" s="1" t="str">
        <f>VLOOKUP(C1069,Tabulka5[],3,FALSE)</f>
        <v>Captain</v>
      </c>
      <c r="E1069" s="1">
        <v>19</v>
      </c>
      <c r="F1069" s="1" t="str">
        <f>VLOOKUP(E1069,Tabulka5[],3,FALSE)</f>
        <v>General</v>
      </c>
      <c r="G1069" s="1" t="s">
        <v>3118</v>
      </c>
      <c r="H1069" s="1" t="s">
        <v>2786</v>
      </c>
      <c r="I1069" s="1" t="s">
        <v>8</v>
      </c>
      <c r="J1069" s="1" t="s">
        <v>2729</v>
      </c>
      <c r="K1069" s="1" t="s">
        <v>2738</v>
      </c>
      <c r="L1069" s="1" t="s">
        <v>3160</v>
      </c>
      <c r="M1069" s="1">
        <v>10000</v>
      </c>
      <c r="N1069" s="1">
        <v>1</v>
      </c>
      <c r="O1069" s="1" t="str">
        <f t="shared" si="85"/>
        <v>"Ammo_AE127x99": 1,</v>
      </c>
      <c r="P1069" s="1" t="str">
        <f t="shared" si="86"/>
        <v>"Ammo_AE127x99": 45,</v>
      </c>
      <c r="Q1069" s="1" t="str">
        <f t="shared" si="87"/>
        <v>"Ammo_AE127x99": 10000,</v>
      </c>
      <c r="R1069" s="1" t="str">
        <f t="shared" si="88"/>
        <v>"Ammo_AE127x99": 19,</v>
      </c>
    </row>
    <row r="1070" spans="1:18" x14ac:dyDescent="0.25">
      <c r="A1070" s="1" t="str">
        <f t="shared" si="90"/>
        <v>#tc_military#tc_ammo#tc_snipers</v>
      </c>
      <c r="B1070" s="1">
        <f>VLOOKUP(A1070,TraderCategory!$A$63:$E$556,2,FALSE)</f>
        <v>45</v>
      </c>
      <c r="C1070" s="1">
        <f>VLOOKUP(A1070,TraderCategory!$A$63:$F$556,6,FALSE)</f>
        <v>12</v>
      </c>
      <c r="D1070" s="1" t="str">
        <f>VLOOKUP(C1070,Tabulka5[],3,FALSE)</f>
        <v>Captain</v>
      </c>
      <c r="E1070" s="1">
        <v>19</v>
      </c>
      <c r="F1070" s="1" t="str">
        <f>VLOOKUP(E1070,Tabulka5[],3,FALSE)</f>
        <v>General</v>
      </c>
      <c r="G1070" s="1" t="s">
        <v>3118</v>
      </c>
      <c r="H1070" s="1" t="s">
        <v>2787</v>
      </c>
      <c r="I1070" s="1" t="s">
        <v>8</v>
      </c>
      <c r="J1070" s="1" t="s">
        <v>2729</v>
      </c>
      <c r="K1070" s="1" t="s">
        <v>2738</v>
      </c>
      <c r="L1070" s="1" t="s">
        <v>3160</v>
      </c>
      <c r="M1070" s="1">
        <v>10000</v>
      </c>
      <c r="N1070" s="1">
        <v>1</v>
      </c>
      <c r="O1070" s="1" t="str">
        <f t="shared" si="85"/>
        <v>"AE_AmmoBox_127x99_10rnd": 1,</v>
      </c>
      <c r="P1070" s="1" t="str">
        <f t="shared" si="86"/>
        <v>"AE_AmmoBox_127x99_10rnd": 45,</v>
      </c>
      <c r="Q1070" s="1" t="str">
        <f t="shared" si="87"/>
        <v>"AE_AmmoBox_127x99_10rnd": 10000,</v>
      </c>
      <c r="R1070" s="1" t="str">
        <f t="shared" si="88"/>
        <v>"AE_AmmoBox_127x99_10rnd": 19,</v>
      </c>
    </row>
    <row r="1071" spans="1:18" x14ac:dyDescent="0.25">
      <c r="A1071" s="1" t="str">
        <f t="shared" si="90"/>
        <v>#tc_military#tc_ammo#tc_snipers</v>
      </c>
      <c r="B1071" s="1">
        <f>VLOOKUP(A1071,TraderCategory!$A$63:$E$556,2,FALSE)</f>
        <v>45</v>
      </c>
      <c r="C1071" s="1">
        <f>VLOOKUP(A1071,TraderCategory!$A$63:$F$556,6,FALSE)</f>
        <v>12</v>
      </c>
      <c r="D1071" s="1" t="str">
        <f>VLOOKUP(C1071,Tabulka5[],3,FALSE)</f>
        <v>Captain</v>
      </c>
      <c r="E1071" s="1">
        <v>18</v>
      </c>
      <c r="F1071" s="1" t="str">
        <f>VLOOKUP(E1071,Tabulka5[],3,FALSE)</f>
        <v>Lieutenant General</v>
      </c>
      <c r="G1071" s="1" t="s">
        <v>3118</v>
      </c>
      <c r="H1071" s="1" t="s">
        <v>2788</v>
      </c>
      <c r="I1071" s="1" t="s">
        <v>8</v>
      </c>
      <c r="J1071" s="1" t="s">
        <v>2729</v>
      </c>
      <c r="K1071" s="1" t="s">
        <v>2738</v>
      </c>
      <c r="L1071" s="1" t="s">
        <v>3160</v>
      </c>
      <c r="M1071" s="1">
        <v>12000</v>
      </c>
      <c r="N1071" s="1">
        <v>1</v>
      </c>
      <c r="O1071" s="1" t="str">
        <f t="shared" si="85"/>
        <v>"Ammo_AE338": 1,</v>
      </c>
      <c r="P1071" s="1" t="str">
        <f t="shared" si="86"/>
        <v>"Ammo_AE338": 45,</v>
      </c>
      <c r="Q1071" s="1" t="str">
        <f t="shared" si="87"/>
        <v>"Ammo_AE338": 12000,</v>
      </c>
      <c r="R1071" s="1" t="str">
        <f t="shared" si="88"/>
        <v>"Ammo_AE338": 18,</v>
      </c>
    </row>
    <row r="1072" spans="1:18" x14ac:dyDescent="0.25">
      <c r="A1072" s="1" t="str">
        <f t="shared" si="90"/>
        <v>#tc_military#tc_ammo#tc_snipers</v>
      </c>
      <c r="B1072" s="1">
        <f>VLOOKUP(A1072,TraderCategory!$A$63:$E$556,2,FALSE)</f>
        <v>45</v>
      </c>
      <c r="C1072" s="1">
        <f>VLOOKUP(A1072,TraderCategory!$A$63:$F$556,6,FALSE)</f>
        <v>12</v>
      </c>
      <c r="D1072" s="1" t="str">
        <f>VLOOKUP(C1072,Tabulka5[],3,FALSE)</f>
        <v>Captain</v>
      </c>
      <c r="E1072" s="1">
        <v>18</v>
      </c>
      <c r="F1072" s="1" t="str">
        <f>VLOOKUP(E1072,Tabulka5[],3,FALSE)</f>
        <v>Lieutenant General</v>
      </c>
      <c r="G1072" s="1" t="s">
        <v>3118</v>
      </c>
      <c r="H1072" s="1" t="s">
        <v>2789</v>
      </c>
      <c r="I1072" s="1" t="s">
        <v>8</v>
      </c>
      <c r="J1072" s="1" t="s">
        <v>2729</v>
      </c>
      <c r="K1072" s="1" t="s">
        <v>2738</v>
      </c>
      <c r="L1072" s="1" t="s">
        <v>3160</v>
      </c>
      <c r="M1072" s="1">
        <v>12000</v>
      </c>
      <c r="N1072" s="1">
        <v>1</v>
      </c>
      <c r="O1072" s="1" t="str">
        <f t="shared" si="85"/>
        <v>"AE_AmmoBox_338_20rnd": 1,</v>
      </c>
      <c r="P1072" s="1" t="str">
        <f t="shared" si="86"/>
        <v>"AE_AmmoBox_338_20rnd": 45,</v>
      </c>
      <c r="Q1072" s="1" t="str">
        <f t="shared" si="87"/>
        <v>"AE_AmmoBox_338_20rnd": 12000,</v>
      </c>
      <c r="R1072" s="1" t="str">
        <f t="shared" si="88"/>
        <v>"AE_AmmoBox_338_20rnd": 18,</v>
      </c>
    </row>
    <row r="1073" spans="1:18" x14ac:dyDescent="0.25">
      <c r="A1073" s="1" t="str">
        <f t="shared" si="90"/>
        <v>#tc_military#tc_ammo#tc_rifles</v>
      </c>
      <c r="B1073" s="1">
        <f>VLOOKUP(A1073,TraderCategory!$A$63:$E$556,2,FALSE)</f>
        <v>44</v>
      </c>
      <c r="C1073" s="1">
        <f>VLOOKUP(A1073,TraderCategory!$A$63:$F$556,6,FALSE)</f>
        <v>9</v>
      </c>
      <c r="D1073" s="1" t="str">
        <f>VLOOKUP(C1073,Tabulka5[],3,FALSE)</f>
        <v>Sergeant Major of the Army</v>
      </c>
      <c r="E1073" s="1">
        <v>13</v>
      </c>
      <c r="F1073" s="1" t="str">
        <f>VLOOKUP(E1073,Tabulka5[],3,FALSE)</f>
        <v>Major</v>
      </c>
      <c r="G1073" s="1" t="s">
        <v>3118</v>
      </c>
      <c r="H1073" s="1" t="s">
        <v>2790</v>
      </c>
      <c r="I1073" s="1" t="s">
        <v>8</v>
      </c>
      <c r="J1073" s="1" t="s">
        <v>2729</v>
      </c>
      <c r="K1073" s="1" t="s">
        <v>2738</v>
      </c>
      <c r="L1073" s="1" t="s">
        <v>3157</v>
      </c>
      <c r="M1073" s="1">
        <v>2800</v>
      </c>
      <c r="N1073" s="1">
        <v>1</v>
      </c>
      <c r="O1073" s="1" t="str">
        <f t="shared" si="85"/>
        <v>"Ammo_AE300": 1,</v>
      </c>
      <c r="P1073" s="1" t="str">
        <f t="shared" si="86"/>
        <v>"Ammo_AE300": 44,</v>
      </c>
      <c r="Q1073" s="1" t="str">
        <f t="shared" si="87"/>
        <v>"Ammo_AE300": 2800,</v>
      </c>
      <c r="R1073" s="1" t="str">
        <f t="shared" si="88"/>
        <v>"Ammo_AE300": 13,</v>
      </c>
    </row>
    <row r="1074" spans="1:18" x14ac:dyDescent="0.25">
      <c r="A1074" s="1" t="str">
        <f t="shared" si="90"/>
        <v>#tc_military#tc_ammo#tc_rifles</v>
      </c>
      <c r="B1074" s="1">
        <f>VLOOKUP(A1074,TraderCategory!$A$63:$E$556,2,FALSE)</f>
        <v>44</v>
      </c>
      <c r="C1074" s="1">
        <f>VLOOKUP(A1074,TraderCategory!$A$63:$F$556,6,FALSE)</f>
        <v>9</v>
      </c>
      <c r="D1074" s="1" t="str">
        <f>VLOOKUP(C1074,Tabulka5[],3,FALSE)</f>
        <v>Sergeant Major of the Army</v>
      </c>
      <c r="E1074" s="1">
        <v>13</v>
      </c>
      <c r="F1074" s="1" t="str">
        <f>VLOOKUP(E1074,Tabulka5[],3,FALSE)</f>
        <v>Major</v>
      </c>
      <c r="G1074" s="1" t="s">
        <v>3118</v>
      </c>
      <c r="H1074" s="1" t="s">
        <v>2791</v>
      </c>
      <c r="I1074" s="1" t="s">
        <v>8</v>
      </c>
      <c r="J1074" s="1" t="s">
        <v>2729</v>
      </c>
      <c r="K1074" s="1" t="s">
        <v>2738</v>
      </c>
      <c r="L1074" s="1" t="s">
        <v>3157</v>
      </c>
      <c r="M1074" s="1">
        <v>2800</v>
      </c>
      <c r="N1074" s="1">
        <v>1</v>
      </c>
      <c r="O1074" s="1" t="str">
        <f t="shared" si="85"/>
        <v>"AE_AmmoBox_300_20rnd": 1,</v>
      </c>
      <c r="P1074" s="1" t="str">
        <f t="shared" si="86"/>
        <v>"AE_AmmoBox_300_20rnd": 44,</v>
      </c>
      <c r="Q1074" s="1" t="str">
        <f t="shared" si="87"/>
        <v>"AE_AmmoBox_300_20rnd": 2800,</v>
      </c>
      <c r="R1074" s="1" t="str">
        <f t="shared" si="88"/>
        <v>"AE_AmmoBox_300_20rnd": 13,</v>
      </c>
    </row>
    <row r="1075" spans="1:18" x14ac:dyDescent="0.25">
      <c r="A1075" s="1" t="str">
        <f t="shared" si="90"/>
        <v>#tc_military#tc_ammo#tc_rifles</v>
      </c>
      <c r="B1075" s="1">
        <f>VLOOKUP(A1075,TraderCategory!$A$63:$E$556,2,FALSE)</f>
        <v>44</v>
      </c>
      <c r="C1075" s="1">
        <f>VLOOKUP(A1075,TraderCategory!$A$63:$F$556,6,FALSE)</f>
        <v>9</v>
      </c>
      <c r="D1075" s="1" t="str">
        <f>VLOOKUP(C1075,Tabulka5[],3,FALSE)</f>
        <v>Sergeant Major of the Army</v>
      </c>
      <c r="E1075" s="1">
        <v>11</v>
      </c>
      <c r="F1075" s="1" t="str">
        <f>VLOOKUP(E1075,Tabulka5[],3,FALSE)</f>
        <v>First Lieutenant</v>
      </c>
      <c r="G1075" s="1" t="s">
        <v>3118</v>
      </c>
      <c r="H1075" s="1" t="s">
        <v>2792</v>
      </c>
      <c r="I1075" s="1" t="s">
        <v>8</v>
      </c>
      <c r="J1075" s="1" t="s">
        <v>2729</v>
      </c>
      <c r="K1075" s="1" t="s">
        <v>2738</v>
      </c>
      <c r="L1075" s="1" t="s">
        <v>3157</v>
      </c>
      <c r="M1075" s="1">
        <v>2800</v>
      </c>
      <c r="N1075" s="1">
        <v>1</v>
      </c>
      <c r="O1075" s="1" t="str">
        <f t="shared" si="85"/>
        <v>"Ammo_AE223": 1,</v>
      </c>
      <c r="P1075" s="1" t="str">
        <f t="shared" si="86"/>
        <v>"Ammo_AE223": 44,</v>
      </c>
      <c r="Q1075" s="1" t="str">
        <f t="shared" si="87"/>
        <v>"Ammo_AE223": 2800,</v>
      </c>
      <c r="R1075" s="1" t="str">
        <f t="shared" si="88"/>
        <v>"Ammo_AE223": 11,</v>
      </c>
    </row>
    <row r="1076" spans="1:18" x14ac:dyDescent="0.25">
      <c r="A1076" s="1" t="str">
        <f t="shared" si="90"/>
        <v>#tc_military#tc_ammo#tc_rifles</v>
      </c>
      <c r="B1076" s="1">
        <f>VLOOKUP(A1076,TraderCategory!$A$63:$E$556,2,FALSE)</f>
        <v>44</v>
      </c>
      <c r="C1076" s="1">
        <f>VLOOKUP(A1076,TraderCategory!$A$63:$F$556,6,FALSE)</f>
        <v>9</v>
      </c>
      <c r="D1076" s="1" t="str">
        <f>VLOOKUP(C1076,Tabulka5[],3,FALSE)</f>
        <v>Sergeant Major of the Army</v>
      </c>
      <c r="E1076" s="1">
        <v>11</v>
      </c>
      <c r="F1076" s="1" t="str">
        <f>VLOOKUP(E1076,Tabulka5[],3,FALSE)</f>
        <v>First Lieutenant</v>
      </c>
      <c r="G1076" s="1" t="s">
        <v>3118</v>
      </c>
      <c r="H1076" s="1" t="s">
        <v>2793</v>
      </c>
      <c r="I1076" s="1" t="s">
        <v>8</v>
      </c>
      <c r="J1076" s="1" t="s">
        <v>2729</v>
      </c>
      <c r="K1076" s="1" t="s">
        <v>2738</v>
      </c>
      <c r="L1076" s="1" t="s">
        <v>3157</v>
      </c>
      <c r="M1076" s="1">
        <v>2800</v>
      </c>
      <c r="N1076" s="1">
        <v>1</v>
      </c>
      <c r="O1076" s="1" t="str">
        <f t="shared" si="85"/>
        <v>"AE_AmmoBox_223_20rnd": 1,</v>
      </c>
      <c r="P1076" s="1" t="str">
        <f t="shared" si="86"/>
        <v>"AE_AmmoBox_223_20rnd": 44,</v>
      </c>
      <c r="Q1076" s="1" t="str">
        <f t="shared" si="87"/>
        <v>"AE_AmmoBox_223_20rnd": 2800,</v>
      </c>
      <c r="R1076" s="1" t="str">
        <f t="shared" si="88"/>
        <v>"AE_AmmoBox_223_20rnd": 11,</v>
      </c>
    </row>
    <row r="1077" spans="1:18" x14ac:dyDescent="0.25">
      <c r="A1077" s="1" t="str">
        <f t="shared" si="90"/>
        <v>#tc_military#tc_ammo#tc_pistols</v>
      </c>
      <c r="B1077" s="1">
        <f>VLOOKUP(A1077,TraderCategory!$A$63:$E$556,2,FALSE)</f>
        <v>42</v>
      </c>
      <c r="C1077" s="1">
        <f>VLOOKUP(A1077,TraderCategory!$A$63:$F$556,6,FALSE)</f>
        <v>0</v>
      </c>
      <c r="D1077" s="1" t="str">
        <f>VLOOKUP(C1077,Tabulka5[],3,FALSE)</f>
        <v>Private</v>
      </c>
      <c r="E1077" s="1">
        <v>3</v>
      </c>
      <c r="F1077" s="1" t="str">
        <f>VLOOKUP(E1077,Tabulka5[],3,FALSE)</f>
        <v>Sergeant</v>
      </c>
      <c r="G1077" s="1" t="s">
        <v>3118</v>
      </c>
      <c r="H1077" s="1" t="s">
        <v>2806</v>
      </c>
      <c r="I1077" s="1" t="s">
        <v>8</v>
      </c>
      <c r="J1077" s="1" t="s">
        <v>2729</v>
      </c>
      <c r="K1077" s="1" t="s">
        <v>2738</v>
      </c>
      <c r="L1077" s="1" t="s">
        <v>3154</v>
      </c>
      <c r="M1077" s="1">
        <v>3000</v>
      </c>
      <c r="N1077" s="1">
        <v>1</v>
      </c>
      <c r="O1077" s="1" t="str">
        <f t="shared" si="85"/>
        <v>"Ammo_AE46x30": 1,</v>
      </c>
      <c r="P1077" s="1" t="str">
        <f t="shared" si="86"/>
        <v>"Ammo_AE46x30": 42,</v>
      </c>
      <c r="Q1077" s="1" t="str">
        <f t="shared" si="87"/>
        <v>"Ammo_AE46x30": 3000,</v>
      </c>
      <c r="R1077" s="1" t="str">
        <f t="shared" si="88"/>
        <v>"Ammo_AE46x30": 3,</v>
      </c>
    </row>
    <row r="1078" spans="1:18" x14ac:dyDescent="0.25">
      <c r="A1078" s="1" t="str">
        <f t="shared" si="90"/>
        <v>#tc_military#tc_ammo#tc_pistols</v>
      </c>
      <c r="B1078" s="1">
        <f>VLOOKUP(A1078,TraderCategory!$A$63:$E$556,2,FALSE)</f>
        <v>42</v>
      </c>
      <c r="C1078" s="1">
        <f>VLOOKUP(A1078,TraderCategory!$A$63:$F$556,6,FALSE)</f>
        <v>0</v>
      </c>
      <c r="D1078" s="1" t="str">
        <f>VLOOKUP(C1078,Tabulka5[],3,FALSE)</f>
        <v>Private</v>
      </c>
      <c r="E1078" s="1">
        <v>3</v>
      </c>
      <c r="F1078" s="1" t="str">
        <f>VLOOKUP(E1078,Tabulka5[],3,FALSE)</f>
        <v>Sergeant</v>
      </c>
      <c r="G1078" s="1" t="s">
        <v>3118</v>
      </c>
      <c r="H1078" s="1" t="s">
        <v>2805</v>
      </c>
      <c r="I1078" s="1" t="s">
        <v>8</v>
      </c>
      <c r="J1078" s="1" t="s">
        <v>2729</v>
      </c>
      <c r="K1078" s="1" t="s">
        <v>2738</v>
      </c>
      <c r="L1078" s="1" t="s">
        <v>3154</v>
      </c>
      <c r="M1078" s="1">
        <v>3000</v>
      </c>
      <c r="N1078" s="1">
        <v>1</v>
      </c>
      <c r="O1078" s="1" t="str">
        <f t="shared" si="85"/>
        <v>"AE_AmmoBox_46x30_30rnd": 1,</v>
      </c>
      <c r="P1078" s="1" t="str">
        <f t="shared" si="86"/>
        <v>"AE_AmmoBox_46x30_30rnd": 42,</v>
      </c>
      <c r="Q1078" s="1" t="str">
        <f t="shared" si="87"/>
        <v>"AE_AmmoBox_46x30_30rnd": 3000,</v>
      </c>
      <c r="R1078" s="1" t="str">
        <f t="shared" si="88"/>
        <v>"AE_AmmoBox_46x30_30rnd": 3,</v>
      </c>
    </row>
    <row r="1079" spans="1:18" x14ac:dyDescent="0.25">
      <c r="A1079" s="1" t="str">
        <f t="shared" si="90"/>
        <v>#tc_military#tc_ammo#tc_pistols</v>
      </c>
      <c r="B1079" s="1">
        <f>VLOOKUP(A1079,TraderCategory!$A$63:$E$556,2,FALSE)</f>
        <v>42</v>
      </c>
      <c r="C1079" s="1">
        <f>VLOOKUP(A1079,TraderCategory!$A$63:$F$556,6,FALSE)</f>
        <v>0</v>
      </c>
      <c r="D1079" s="1" t="str">
        <f>VLOOKUP(C1079,Tabulka5[],3,FALSE)</f>
        <v>Private</v>
      </c>
      <c r="E1079" s="1">
        <v>3</v>
      </c>
      <c r="F1079" s="1" t="str">
        <f>VLOOKUP(E1079,Tabulka5[],3,FALSE)</f>
        <v>Sergeant</v>
      </c>
      <c r="G1079" s="1" t="s">
        <v>3118</v>
      </c>
      <c r="H1079" s="1" t="s">
        <v>2794</v>
      </c>
      <c r="I1079" s="1" t="s">
        <v>8</v>
      </c>
      <c r="J1079" s="1" t="s">
        <v>2729</v>
      </c>
      <c r="K1079" s="1" t="s">
        <v>2738</v>
      </c>
      <c r="L1079" s="1" t="s">
        <v>3154</v>
      </c>
      <c r="M1079" s="1">
        <v>2500</v>
      </c>
      <c r="N1079" s="1">
        <v>1</v>
      </c>
      <c r="O1079" s="1" t="str">
        <f t="shared" si="85"/>
        <v>"Ammo_AE762x25": 1,</v>
      </c>
      <c r="P1079" s="1" t="str">
        <f t="shared" si="86"/>
        <v>"Ammo_AE762x25": 42,</v>
      </c>
      <c r="Q1079" s="1" t="str">
        <f t="shared" si="87"/>
        <v>"Ammo_AE762x25": 2500,</v>
      </c>
      <c r="R1079" s="1" t="str">
        <f t="shared" si="88"/>
        <v>"Ammo_AE762x25": 3,</v>
      </c>
    </row>
    <row r="1080" spans="1:18" x14ac:dyDescent="0.25">
      <c r="A1080" s="1" t="str">
        <f t="shared" si="90"/>
        <v>#tc_military#tc_ammo#tc_pistols</v>
      </c>
      <c r="B1080" s="1">
        <f>VLOOKUP(A1080,TraderCategory!$A$63:$E$556,2,FALSE)</f>
        <v>42</v>
      </c>
      <c r="C1080" s="1">
        <f>VLOOKUP(A1080,TraderCategory!$A$63:$F$556,6,FALSE)</f>
        <v>0</v>
      </c>
      <c r="D1080" s="1" t="str">
        <f>VLOOKUP(C1080,Tabulka5[],3,FALSE)</f>
        <v>Private</v>
      </c>
      <c r="E1080" s="1">
        <v>3</v>
      </c>
      <c r="F1080" s="1" t="str">
        <f>VLOOKUP(E1080,Tabulka5[],3,FALSE)</f>
        <v>Sergeant</v>
      </c>
      <c r="G1080" s="1" t="s">
        <v>3118</v>
      </c>
      <c r="H1080" s="1" t="s">
        <v>2795</v>
      </c>
      <c r="I1080" s="1" t="s">
        <v>8</v>
      </c>
      <c r="J1080" s="1" t="s">
        <v>2729</v>
      </c>
      <c r="K1080" s="1" t="s">
        <v>2738</v>
      </c>
      <c r="L1080" s="1" t="s">
        <v>3154</v>
      </c>
      <c r="M1080" s="1">
        <v>2500</v>
      </c>
      <c r="N1080" s="1">
        <v>1</v>
      </c>
      <c r="O1080" s="1" t="str">
        <f t="shared" si="85"/>
        <v>"AE_AmmoBox_762x25_30rnd": 1,</v>
      </c>
      <c r="P1080" s="1" t="str">
        <f t="shared" si="86"/>
        <v>"AE_AmmoBox_762x25_30rnd": 42,</v>
      </c>
      <c r="Q1080" s="1" t="str">
        <f t="shared" si="87"/>
        <v>"AE_AmmoBox_762x25_30rnd": 2500,</v>
      </c>
      <c r="R1080" s="1" t="str">
        <f t="shared" si="88"/>
        <v>"AE_AmmoBox_762x25_30rnd": 3,</v>
      </c>
    </row>
    <row r="1081" spans="1:18" x14ac:dyDescent="0.25">
      <c r="A1081" s="1" t="str">
        <f t="shared" si="90"/>
        <v>#tc_military#tc_ammo#tc_pistols</v>
      </c>
      <c r="B1081" s="1">
        <f>VLOOKUP(A1081,TraderCategory!$A$63:$E$556,2,FALSE)</f>
        <v>42</v>
      </c>
      <c r="C1081" s="1">
        <f>VLOOKUP(A1081,TraderCategory!$A$63:$F$556,6,FALSE)</f>
        <v>0</v>
      </c>
      <c r="D1081" s="1" t="str">
        <f>VLOOKUP(C1081,Tabulka5[],3,FALSE)</f>
        <v>Private</v>
      </c>
      <c r="E1081" s="1">
        <v>3</v>
      </c>
      <c r="F1081" s="1" t="str">
        <f>VLOOKUP(E1081,Tabulka5[],3,FALSE)</f>
        <v>Sergeant</v>
      </c>
      <c r="G1081" s="1" t="s">
        <v>3118</v>
      </c>
      <c r="H1081" s="1" t="s">
        <v>2796</v>
      </c>
      <c r="I1081" s="1" t="s">
        <v>8</v>
      </c>
      <c r="J1081" s="1" t="s">
        <v>2729</v>
      </c>
      <c r="K1081" s="1" t="s">
        <v>2738</v>
      </c>
      <c r="L1081" s="1" t="s">
        <v>3154</v>
      </c>
      <c r="M1081" s="1">
        <v>3000</v>
      </c>
      <c r="N1081" s="1">
        <v>1</v>
      </c>
      <c r="O1081" s="1" t="str">
        <f t="shared" si="85"/>
        <v>"Ammo_AE57x28": 1,</v>
      </c>
      <c r="P1081" s="1" t="str">
        <f t="shared" si="86"/>
        <v>"Ammo_AE57x28": 42,</v>
      </c>
      <c r="Q1081" s="1" t="str">
        <f t="shared" si="87"/>
        <v>"Ammo_AE57x28": 3000,</v>
      </c>
      <c r="R1081" s="1" t="str">
        <f t="shared" si="88"/>
        <v>"Ammo_AE57x28": 3,</v>
      </c>
    </row>
    <row r="1082" spans="1:18" x14ac:dyDescent="0.25">
      <c r="A1082" s="1" t="str">
        <f t="shared" si="90"/>
        <v>#tc_military#tc_ammo#tc_pistols</v>
      </c>
      <c r="B1082" s="1">
        <f>VLOOKUP(A1082,TraderCategory!$A$63:$E$556,2,FALSE)</f>
        <v>42</v>
      </c>
      <c r="C1082" s="1">
        <f>VLOOKUP(A1082,TraderCategory!$A$63:$F$556,6,FALSE)</f>
        <v>0</v>
      </c>
      <c r="D1082" s="1" t="str">
        <f>VLOOKUP(C1082,Tabulka5[],3,FALSE)</f>
        <v>Private</v>
      </c>
      <c r="E1082" s="1">
        <v>3</v>
      </c>
      <c r="F1082" s="1" t="str">
        <f>VLOOKUP(E1082,Tabulka5[],3,FALSE)</f>
        <v>Sergeant</v>
      </c>
      <c r="G1082" s="1" t="s">
        <v>3118</v>
      </c>
      <c r="H1082" s="1" t="s">
        <v>2797</v>
      </c>
      <c r="I1082" s="1" t="s">
        <v>8</v>
      </c>
      <c r="J1082" s="1" t="s">
        <v>2729</v>
      </c>
      <c r="K1082" s="1" t="s">
        <v>2738</v>
      </c>
      <c r="L1082" s="1" t="s">
        <v>3154</v>
      </c>
      <c r="M1082" s="1">
        <v>3000</v>
      </c>
      <c r="N1082" s="1">
        <v>1</v>
      </c>
      <c r="O1082" s="1" t="str">
        <f t="shared" si="85"/>
        <v>"AE_AmmoBox_57x28_30rnd": 1,</v>
      </c>
      <c r="P1082" s="1" t="str">
        <f t="shared" si="86"/>
        <v>"AE_AmmoBox_57x28_30rnd": 42,</v>
      </c>
      <c r="Q1082" s="1" t="str">
        <f t="shared" si="87"/>
        <v>"AE_AmmoBox_57x28_30rnd": 3000,</v>
      </c>
      <c r="R1082" s="1" t="str">
        <f t="shared" si="88"/>
        <v>"AE_AmmoBox_57x28_30rnd": 3,</v>
      </c>
    </row>
    <row r="1083" spans="1:18" x14ac:dyDescent="0.25">
      <c r="A1083" s="1" t="str">
        <f t="shared" si="90"/>
        <v>#tc_military#tc_ammo#tc_pistols</v>
      </c>
      <c r="B1083" s="1">
        <f>VLOOKUP(A1083,TraderCategory!$A$63:$E$556,2,FALSE)</f>
        <v>42</v>
      </c>
      <c r="C1083" s="1">
        <f>VLOOKUP(A1083,TraderCategory!$A$63:$F$556,6,FALSE)</f>
        <v>0</v>
      </c>
      <c r="D1083" s="1" t="str">
        <f>VLOOKUP(C1083,Tabulka5[],3,FALSE)</f>
        <v>Private</v>
      </c>
      <c r="E1083" s="1">
        <v>11</v>
      </c>
      <c r="F1083" s="1" t="str">
        <f>VLOOKUP(E1083,Tabulka5[],3,FALSE)</f>
        <v>First Lieutenant</v>
      </c>
      <c r="G1083" s="1" t="s">
        <v>3118</v>
      </c>
      <c r="H1083" s="1" t="s">
        <v>2798</v>
      </c>
      <c r="I1083" s="1" t="s">
        <v>8</v>
      </c>
      <c r="J1083" s="1" t="s">
        <v>2729</v>
      </c>
      <c r="K1083" s="1" t="s">
        <v>2738</v>
      </c>
      <c r="L1083" s="1" t="s">
        <v>3154</v>
      </c>
      <c r="M1083" s="1">
        <v>4200</v>
      </c>
      <c r="N1083" s="1">
        <v>1</v>
      </c>
      <c r="O1083" s="1" t="str">
        <f t="shared" si="85"/>
        <v>"Ammo_AE50AE": 1,</v>
      </c>
      <c r="P1083" s="1" t="str">
        <f t="shared" si="86"/>
        <v>"Ammo_AE50AE": 42,</v>
      </c>
      <c r="Q1083" s="1" t="str">
        <f t="shared" si="87"/>
        <v>"Ammo_AE50AE": 4200,</v>
      </c>
      <c r="R1083" s="1" t="str">
        <f t="shared" si="88"/>
        <v>"Ammo_AE50AE": 11,</v>
      </c>
    </row>
    <row r="1084" spans="1:18" x14ac:dyDescent="0.25">
      <c r="A1084" s="1" t="str">
        <f t="shared" si="90"/>
        <v>#tc_military#tc_ammo#tc_pistols</v>
      </c>
      <c r="B1084" s="1">
        <f>VLOOKUP(A1084,TraderCategory!$A$63:$E$556,2,FALSE)</f>
        <v>42</v>
      </c>
      <c r="C1084" s="1">
        <f>VLOOKUP(A1084,TraderCategory!$A$63:$F$556,6,FALSE)</f>
        <v>0</v>
      </c>
      <c r="D1084" s="1" t="str">
        <f>VLOOKUP(C1084,Tabulka5[],3,FALSE)</f>
        <v>Private</v>
      </c>
      <c r="E1084" s="1">
        <v>11</v>
      </c>
      <c r="F1084" s="1" t="str">
        <f>VLOOKUP(E1084,Tabulka5[],3,FALSE)</f>
        <v>First Lieutenant</v>
      </c>
      <c r="G1084" s="1" t="s">
        <v>3118</v>
      </c>
      <c r="H1084" s="1" t="s">
        <v>2799</v>
      </c>
      <c r="I1084" s="1" t="s">
        <v>8</v>
      </c>
      <c r="J1084" s="1" t="s">
        <v>2729</v>
      </c>
      <c r="K1084" s="1" t="s">
        <v>2738</v>
      </c>
      <c r="L1084" s="1" t="s">
        <v>3154</v>
      </c>
      <c r="M1084" s="1">
        <v>4200</v>
      </c>
      <c r="N1084" s="1">
        <v>1</v>
      </c>
      <c r="O1084" s="1" t="str">
        <f t="shared" si="85"/>
        <v>"AE_AmmoBox_50AE_30rnd": 1,</v>
      </c>
      <c r="P1084" s="1" t="str">
        <f t="shared" si="86"/>
        <v>"AE_AmmoBox_50AE_30rnd": 42,</v>
      </c>
      <c r="Q1084" s="1" t="str">
        <f t="shared" si="87"/>
        <v>"AE_AmmoBox_50AE_30rnd": 4200,</v>
      </c>
      <c r="R1084" s="1" t="str">
        <f t="shared" si="88"/>
        <v>"AE_AmmoBox_50AE_30rnd": 11,</v>
      </c>
    </row>
    <row r="1085" spans="1:18" x14ac:dyDescent="0.25">
      <c r="A1085" s="1" t="str">
        <f t="shared" si="90"/>
        <v>#tc_military#tc_attachments#tc_optic</v>
      </c>
      <c r="B1085" s="1">
        <f>VLOOKUP(A1085,TraderCategory!$A$63:$E$556,2,FALSE)</f>
        <v>50</v>
      </c>
      <c r="C1085" s="1">
        <f>VLOOKUP(A1085,TraderCategory!$A$63:$F$556,6,FALSE)</f>
        <v>10</v>
      </c>
      <c r="D1085" s="1" t="str">
        <f>VLOOKUP(C1085,Tabulka5[],3,FALSE)</f>
        <v>Second Lieutenant</v>
      </c>
      <c r="E1085" s="1">
        <v>13</v>
      </c>
      <c r="F1085" s="1" t="str">
        <f>VLOOKUP(E1085,Tabulka5[],3,FALSE)</f>
        <v>Major</v>
      </c>
      <c r="G1085" s="1" t="s">
        <v>3116</v>
      </c>
      <c r="H1085" s="1" t="s">
        <v>308</v>
      </c>
      <c r="I1085" s="1" t="s">
        <v>8</v>
      </c>
      <c r="J1085" s="1" t="s">
        <v>2729</v>
      </c>
      <c r="K1085" s="1" t="s">
        <v>2736</v>
      </c>
      <c r="L1085" s="1" t="s">
        <v>3163</v>
      </c>
      <c r="M1085" s="1">
        <v>14000</v>
      </c>
      <c r="N1085" s="1">
        <v>1</v>
      </c>
      <c r="O1085" s="1" t="str">
        <f t="shared" ref="O1085:O1146" si="91">"""" &amp;H1085 &amp; """: " &amp; N1085 &amp; ","</f>
        <v>"WE_HAMROptic": 1,</v>
      </c>
      <c r="P1085" s="1" t="str">
        <f t="shared" ref="P1085:P1146" si="92">"""" &amp;H1085 &amp; """: " &amp; B1085 &amp; ","</f>
        <v>"WE_HAMROptic": 50,</v>
      </c>
      <c r="Q1085" s="1" t="str">
        <f t="shared" ref="Q1085:Q1146" si="93">"""" &amp;H1085 &amp; """: " &amp; M1085 &amp; ","</f>
        <v>"WE_HAMROptic": 14000,</v>
      </c>
      <c r="R1085" s="1" t="str">
        <f t="shared" ref="R1085:R1146" si="94">"""" &amp;H1085 &amp; """: " &amp; E1085 &amp; ","</f>
        <v>"WE_HAMROptic": 13,</v>
      </c>
    </row>
    <row r="1086" spans="1:18" x14ac:dyDescent="0.25">
      <c r="A1086" s="1" t="str">
        <f t="shared" si="90"/>
        <v>#tc_military#tc_attachments#tc_optic</v>
      </c>
      <c r="B1086" s="1">
        <f>VLOOKUP(A1086,TraderCategory!$A$63:$E$556,2,FALSE)</f>
        <v>50</v>
      </c>
      <c r="C1086" s="1">
        <f>VLOOKUP(A1086,TraderCategory!$A$63:$F$556,6,FALSE)</f>
        <v>10</v>
      </c>
      <c r="D1086" s="1" t="str">
        <f>VLOOKUP(C1086,Tabulka5[],3,FALSE)</f>
        <v>Second Lieutenant</v>
      </c>
      <c r="E1086" s="1">
        <v>15</v>
      </c>
      <c r="F1086" s="1" t="str">
        <f>VLOOKUP(E1086,Tabulka5[],3,FALSE)</f>
        <v>Colonel</v>
      </c>
      <c r="G1086" s="1" t="s">
        <v>3116</v>
      </c>
      <c r="H1086" s="1" t="s">
        <v>309</v>
      </c>
      <c r="I1086" s="1" t="s">
        <v>8</v>
      </c>
      <c r="J1086" s="1" t="s">
        <v>2729</v>
      </c>
      <c r="K1086" s="1" t="s">
        <v>2736</v>
      </c>
      <c r="L1086" s="1" t="s">
        <v>3163</v>
      </c>
      <c r="M1086" s="1">
        <v>20000</v>
      </c>
      <c r="N1086" s="1">
        <v>1</v>
      </c>
      <c r="O1086" s="1" t="str">
        <f t="shared" si="91"/>
        <v>"WE_HMOptic": 1,</v>
      </c>
      <c r="P1086" s="1" t="str">
        <f t="shared" si="92"/>
        <v>"WE_HMOptic": 50,</v>
      </c>
      <c r="Q1086" s="1" t="str">
        <f t="shared" si="93"/>
        <v>"WE_HMOptic": 20000,</v>
      </c>
      <c r="R1086" s="1" t="str">
        <f t="shared" si="94"/>
        <v>"WE_HMOptic": 15,</v>
      </c>
    </row>
    <row r="1087" spans="1:18" x14ac:dyDescent="0.25">
      <c r="A1087" s="1" t="str">
        <f t="shared" si="90"/>
        <v>#tc_military#tc_attachments#tc_optic</v>
      </c>
      <c r="B1087" s="1">
        <f>VLOOKUP(A1087,TraderCategory!$A$63:$E$556,2,FALSE)</f>
        <v>50</v>
      </c>
      <c r="C1087" s="1">
        <f>VLOOKUP(A1087,TraderCategory!$A$63:$F$556,6,FALSE)</f>
        <v>10</v>
      </c>
      <c r="D1087" s="1" t="str">
        <f>VLOOKUP(C1087,Tabulka5[],3,FALSE)</f>
        <v>Second Lieutenant</v>
      </c>
      <c r="E1087" s="1">
        <v>12</v>
      </c>
      <c r="F1087" s="1" t="str">
        <f>VLOOKUP(E1087,Tabulka5[],3,FALSE)</f>
        <v>Captain</v>
      </c>
      <c r="G1087" s="1" t="s">
        <v>3116</v>
      </c>
      <c r="H1087" s="1" t="s">
        <v>310</v>
      </c>
      <c r="I1087" s="1" t="s">
        <v>8</v>
      </c>
      <c r="J1087" s="1" t="s">
        <v>2729</v>
      </c>
      <c r="K1087" s="1" t="s">
        <v>2736</v>
      </c>
      <c r="L1087" s="1" t="s">
        <v>3163</v>
      </c>
      <c r="M1087" s="1">
        <v>6000</v>
      </c>
      <c r="N1087" s="1">
        <v>1</v>
      </c>
      <c r="O1087" s="1" t="str">
        <f t="shared" si="91"/>
        <v>"WE_OKP7OpticEast": 1,</v>
      </c>
      <c r="P1087" s="1" t="str">
        <f t="shared" si="92"/>
        <v>"WE_OKP7OpticEast": 50,</v>
      </c>
      <c r="Q1087" s="1" t="str">
        <f t="shared" si="93"/>
        <v>"WE_OKP7OpticEast": 6000,</v>
      </c>
      <c r="R1087" s="1" t="str">
        <f t="shared" si="94"/>
        <v>"WE_OKP7OpticEast": 12,</v>
      </c>
    </row>
    <row r="1088" spans="1:18" x14ac:dyDescent="0.25">
      <c r="A1088" s="1" t="str">
        <f t="shared" si="90"/>
        <v>#tc_military#tc_attachments#tc_optic</v>
      </c>
      <c r="B1088" s="1">
        <f>VLOOKUP(A1088,TraderCategory!$A$63:$E$556,2,FALSE)</f>
        <v>50</v>
      </c>
      <c r="C1088" s="1">
        <f>VLOOKUP(A1088,TraderCategory!$A$63:$F$556,6,FALSE)</f>
        <v>10</v>
      </c>
      <c r="D1088" s="1" t="str">
        <f>VLOOKUP(C1088,Tabulka5[],3,FALSE)</f>
        <v>Second Lieutenant</v>
      </c>
      <c r="E1088" s="1">
        <v>12</v>
      </c>
      <c r="F1088" s="1" t="str">
        <f>VLOOKUP(E1088,Tabulka5[],3,FALSE)</f>
        <v>Captain</v>
      </c>
      <c r="G1088" s="1" t="s">
        <v>3116</v>
      </c>
      <c r="H1088" s="1" t="s">
        <v>311</v>
      </c>
      <c r="I1088" s="1" t="s">
        <v>8</v>
      </c>
      <c r="J1088" s="1" t="s">
        <v>2729</v>
      </c>
      <c r="K1088" s="1" t="s">
        <v>2736</v>
      </c>
      <c r="L1088" s="1" t="s">
        <v>3163</v>
      </c>
      <c r="M1088" s="1">
        <v>6000</v>
      </c>
      <c r="N1088" s="1">
        <v>1</v>
      </c>
      <c r="O1088" s="1" t="str">
        <f t="shared" si="91"/>
        <v>"WE_OKP7OpticWest": 1,</v>
      </c>
      <c r="P1088" s="1" t="str">
        <f t="shared" si="92"/>
        <v>"WE_OKP7OpticWest": 50,</v>
      </c>
      <c r="Q1088" s="1" t="str">
        <f t="shared" si="93"/>
        <v>"WE_OKP7OpticWest": 6000,</v>
      </c>
      <c r="R1088" s="1" t="str">
        <f t="shared" si="94"/>
        <v>"WE_OKP7OpticWest": 12,</v>
      </c>
    </row>
    <row r="1089" spans="1:18" x14ac:dyDescent="0.25">
      <c r="A1089" s="1" t="str">
        <f t="shared" si="90"/>
        <v>#tc_military#tc_attachments#tc_nvoptic</v>
      </c>
      <c r="B1089" s="1">
        <f>VLOOKUP(A1089,TraderCategory!$A$63:$E$556,2,FALSE)</f>
        <v>51</v>
      </c>
      <c r="C1089" s="1">
        <f>VLOOKUP(A1089,TraderCategory!$A$63:$F$556,6,FALSE)</f>
        <v>12</v>
      </c>
      <c r="D1089" s="1" t="str">
        <f>VLOOKUP(C1089,Tabulka5[],3,FALSE)</f>
        <v>Captain</v>
      </c>
      <c r="E1089" s="1">
        <v>12</v>
      </c>
      <c r="F1089" s="1" t="str">
        <f>VLOOKUP(E1089,Tabulka5[],3,FALSE)</f>
        <v>Captain</v>
      </c>
      <c r="G1089" s="1" t="s">
        <v>3116</v>
      </c>
      <c r="H1089" s="1" t="s">
        <v>313</v>
      </c>
      <c r="I1089" s="1" t="s">
        <v>8</v>
      </c>
      <c r="J1089" s="1" t="s">
        <v>2729</v>
      </c>
      <c r="K1089" s="1" t="s">
        <v>2736</v>
      </c>
      <c r="L1089" s="1" t="s">
        <v>3175</v>
      </c>
      <c r="M1089" s="1">
        <v>25000</v>
      </c>
      <c r="N1089" s="1">
        <v>1</v>
      </c>
      <c r="O1089" s="1" t="str">
        <f t="shared" si="91"/>
        <v>"WE_PN23Optic": 1,</v>
      </c>
      <c r="P1089" s="1" t="str">
        <f t="shared" si="92"/>
        <v>"WE_PN23Optic": 51,</v>
      </c>
      <c r="Q1089" s="1" t="str">
        <f t="shared" si="93"/>
        <v>"WE_PN23Optic": 25000,</v>
      </c>
      <c r="R1089" s="1" t="str">
        <f t="shared" si="94"/>
        <v>"WE_PN23Optic": 12,</v>
      </c>
    </row>
    <row r="1090" spans="1:18" x14ac:dyDescent="0.25">
      <c r="A1090" s="1" t="str">
        <f t="shared" si="90"/>
        <v>#tc_military#tc_attachments#tc_attachments</v>
      </c>
      <c r="B1090" s="1">
        <f>VLOOKUP(A1090,TraderCategory!$A$63:$E$556,2,FALSE)</f>
        <v>48</v>
      </c>
      <c r="C1090" s="1">
        <f>VLOOKUP(A1090,TraderCategory!$A$63:$F$556,6,FALSE)</f>
        <v>0</v>
      </c>
      <c r="D1090" s="1" t="str">
        <f>VLOOKUP(C1090,Tabulka5[],3,FALSE)</f>
        <v>Private</v>
      </c>
      <c r="E1090" s="1">
        <v>13</v>
      </c>
      <c r="F1090" s="1" t="str">
        <f>VLOOKUP(E1090,Tabulka5[],3,FALSE)</f>
        <v>Major</v>
      </c>
      <c r="G1090" s="1" t="s">
        <v>3116</v>
      </c>
      <c r="H1090" s="1" t="s">
        <v>312</v>
      </c>
      <c r="I1090" s="1" t="s">
        <v>8</v>
      </c>
      <c r="J1090" s="1" t="s">
        <v>2729</v>
      </c>
      <c r="K1090" s="1" t="s">
        <v>2736</v>
      </c>
      <c r="L1090" s="1" t="s">
        <v>2736</v>
      </c>
      <c r="M1090" s="1">
        <v>1500</v>
      </c>
      <c r="N1090" s="1">
        <v>1</v>
      </c>
      <c r="O1090" s="1" t="str">
        <f t="shared" si="91"/>
        <v>"WE_PicatinnyRail": 1,</v>
      </c>
      <c r="P1090" s="1" t="str">
        <f t="shared" si="92"/>
        <v>"WE_PicatinnyRail": 48,</v>
      </c>
      <c r="Q1090" s="1" t="str">
        <f t="shared" si="93"/>
        <v>"WE_PicatinnyRail": 1500,</v>
      </c>
      <c r="R1090" s="1" t="str">
        <f t="shared" si="94"/>
        <v>"WE_PicatinnyRail": 13,</v>
      </c>
    </row>
    <row r="1091" spans="1:18" ht="15" customHeight="1" x14ac:dyDescent="0.25">
      <c r="A1091" s="1" t="str">
        <f t="shared" si="90"/>
        <v>#tc_groceries#tc_tools#tc_crafting</v>
      </c>
      <c r="B1091" s="1">
        <f>VLOOKUP(A1091,TraderCategory!$A$63:$E$556,2,FALSE)</f>
        <v>32</v>
      </c>
      <c r="C1091" s="1">
        <f>VLOOKUP(A1091,TraderCategory!$A$63:$F$556,6,FALSE)</f>
        <v>3</v>
      </c>
      <c r="D1091" s="1" t="str">
        <f>VLOOKUP(C1091,Tabulka5[],3,FALSE)</f>
        <v>Sergeant</v>
      </c>
      <c r="E1091" s="1">
        <v>3</v>
      </c>
      <c r="F1091" s="1" t="str">
        <f>VLOOKUP(E1091,Tabulka5[],3,FALSE)</f>
        <v>Sergeant</v>
      </c>
      <c r="G1091" s="1" t="s">
        <v>3116</v>
      </c>
      <c r="H1091" s="1" t="s">
        <v>314</v>
      </c>
      <c r="I1091" s="1" t="s">
        <v>426</v>
      </c>
      <c r="J1091" s="1" t="s">
        <v>3127</v>
      </c>
      <c r="K1091" s="1" t="s">
        <v>2740</v>
      </c>
      <c r="L1091" s="1" t="s">
        <v>3151</v>
      </c>
      <c r="M1091" s="1">
        <v>2000</v>
      </c>
      <c r="N1091" s="1">
        <v>1</v>
      </c>
      <c r="O1091" s="1" t="str">
        <f t="shared" si="91"/>
        <v>"Spraycan_Tan": 1,</v>
      </c>
      <c r="P1091" s="1" t="str">
        <f t="shared" si="92"/>
        <v>"Spraycan_Tan": 32,</v>
      </c>
      <c r="Q1091" s="1" t="str">
        <f t="shared" si="93"/>
        <v>"Spraycan_Tan": 2000,</v>
      </c>
      <c r="R1091" s="1" t="str">
        <f t="shared" si="94"/>
        <v>"Spraycan_Tan": 3,</v>
      </c>
    </row>
    <row r="1092" spans="1:18" ht="15" customHeight="1" x14ac:dyDescent="0.25">
      <c r="A1092" s="1" t="str">
        <f t="shared" si="90"/>
        <v>#tc_groceries#tc_tools#tc_crafting</v>
      </c>
      <c r="B1092" s="1">
        <f>VLOOKUP(A1092,TraderCategory!$A$63:$E$556,2,FALSE)</f>
        <v>32</v>
      </c>
      <c r="C1092" s="1">
        <f>VLOOKUP(A1092,TraderCategory!$A$63:$F$556,6,FALSE)</f>
        <v>3</v>
      </c>
      <c r="D1092" s="1" t="str">
        <f>VLOOKUP(C1092,Tabulka5[],3,FALSE)</f>
        <v>Sergeant</v>
      </c>
      <c r="E1092" s="1">
        <v>3</v>
      </c>
      <c r="F1092" s="1" t="str">
        <f>VLOOKUP(E1092,Tabulka5[],3,FALSE)</f>
        <v>Sergeant</v>
      </c>
      <c r="G1092" s="1" t="s">
        <v>3116</v>
      </c>
      <c r="H1092" s="1" t="s">
        <v>1401</v>
      </c>
      <c r="I1092" s="1" t="s">
        <v>426</v>
      </c>
      <c r="J1092" s="1" t="s">
        <v>3127</v>
      </c>
      <c r="K1092" s="1" t="s">
        <v>2740</v>
      </c>
      <c r="L1092" s="1" t="s">
        <v>3151</v>
      </c>
      <c r="M1092" s="1">
        <v>2000</v>
      </c>
      <c r="N1092" s="1">
        <v>1</v>
      </c>
      <c r="O1092" s="1" t="str">
        <f t="shared" si="91"/>
        <v>"WE_PaintThinner": 1,</v>
      </c>
      <c r="P1092" s="1" t="str">
        <f t="shared" si="92"/>
        <v>"WE_PaintThinner": 32,</v>
      </c>
      <c r="Q1092" s="1" t="str">
        <f t="shared" si="93"/>
        <v>"WE_PaintThinner": 2000,</v>
      </c>
      <c r="R1092" s="1" t="str">
        <f t="shared" si="94"/>
        <v>"WE_PaintThinner": 3,</v>
      </c>
    </row>
    <row r="1093" spans="1:18" ht="15" customHeight="1" x14ac:dyDescent="0.25">
      <c r="A1093" s="1" t="str">
        <f t="shared" si="90"/>
        <v>#tc_groceries#tc_tools#tc_axes</v>
      </c>
      <c r="B1093" s="1">
        <f>VLOOKUP(A1093,TraderCategory!$A$63:$E$556,2,FALSE)</f>
        <v>29</v>
      </c>
      <c r="C1093" s="1">
        <f>VLOOKUP(A1093,TraderCategory!$A$63:$F$556,6,FALSE)</f>
        <v>0</v>
      </c>
      <c r="D1093" s="1" t="str">
        <f>VLOOKUP(C1093,Tabulka5[],3,FALSE)</f>
        <v>Private</v>
      </c>
      <c r="E1093" s="1">
        <v>3</v>
      </c>
      <c r="F1093" s="1" t="str">
        <f>VLOOKUP(E1093,Tabulka5[],3,FALSE)</f>
        <v>Sergeant</v>
      </c>
      <c r="G1093" s="1" t="s">
        <v>3116</v>
      </c>
      <c r="H1093" s="1" t="s">
        <v>315</v>
      </c>
      <c r="I1093" s="1" t="s">
        <v>426</v>
      </c>
      <c r="J1093" s="1" t="s">
        <v>3127</v>
      </c>
      <c r="K1093" s="1" t="s">
        <v>2740</v>
      </c>
      <c r="L1093" s="1" t="s">
        <v>3145</v>
      </c>
      <c r="M1093" s="1">
        <v>4000</v>
      </c>
      <c r="N1093" s="1">
        <v>1</v>
      </c>
      <c r="O1093" s="1" t="str">
        <f t="shared" si="91"/>
        <v>"WE_Tomahawk": 1,</v>
      </c>
      <c r="P1093" s="1" t="str">
        <f t="shared" si="92"/>
        <v>"WE_Tomahawk": 29,</v>
      </c>
      <c r="Q1093" s="1" t="str">
        <f t="shared" si="93"/>
        <v>"WE_Tomahawk": 4000,</v>
      </c>
      <c r="R1093" s="1" t="str">
        <f t="shared" si="94"/>
        <v>"WE_Tomahawk": 3,</v>
      </c>
    </row>
    <row r="1094" spans="1:18" x14ac:dyDescent="0.25">
      <c r="A1094" s="1" t="str">
        <f t="shared" si="90"/>
        <v>#tc_military#tc_weapons#tc_submachineguns</v>
      </c>
      <c r="B1094" s="1">
        <f>VLOOKUP(A1094,TraderCategory!$A$63:$E$556,2,FALSE)</f>
        <v>63</v>
      </c>
      <c r="C1094" s="1">
        <f>VLOOKUP(A1094,TraderCategory!$A$63:$F$556,6,FALSE)</f>
        <v>6</v>
      </c>
      <c r="D1094" s="1" t="str">
        <f>VLOOKUP(C1094,Tabulka5[],3,FALSE)</f>
        <v>Master Sergeant</v>
      </c>
      <c r="E1094" s="1">
        <v>16</v>
      </c>
      <c r="F1094" s="1" t="str">
        <f>VLOOKUP(E1094,Tabulka5[],3,FALSE)</f>
        <v>Brigadier General</v>
      </c>
      <c r="G1094" s="1" t="s">
        <v>3116</v>
      </c>
      <c r="H1094" s="1" t="s">
        <v>1397</v>
      </c>
      <c r="I1094" s="1" t="s">
        <v>8</v>
      </c>
      <c r="J1094" s="1" t="s">
        <v>2729</v>
      </c>
      <c r="K1094" s="1" t="s">
        <v>3129</v>
      </c>
      <c r="L1094" s="1" t="s">
        <v>3156</v>
      </c>
      <c r="M1094" s="1">
        <v>60000</v>
      </c>
      <c r="N1094" s="1">
        <v>1</v>
      </c>
      <c r="O1094" s="1" t="str">
        <f t="shared" si="91"/>
        <v>"WE_PPSH41": 1,</v>
      </c>
      <c r="P1094" s="1" t="str">
        <f t="shared" si="92"/>
        <v>"WE_PPSH41": 63,</v>
      </c>
      <c r="Q1094" s="1" t="str">
        <f t="shared" si="93"/>
        <v>"WE_PPSH41": 60000,</v>
      </c>
      <c r="R1094" s="1" t="str">
        <f t="shared" si="94"/>
        <v>"WE_PPSH41": 16,</v>
      </c>
    </row>
    <row r="1095" spans="1:18" x14ac:dyDescent="0.25">
      <c r="A1095" s="1" t="str">
        <f t="shared" ref="A1095:A1140" si="95">CONCATENATE(J1095,K1095,L1095)</f>
        <v>#tc_military#tc_ammo#tc_pistols</v>
      </c>
      <c r="B1095" s="1">
        <f>VLOOKUP(A1095,TraderCategory!$A$63:$E$556,2,FALSE)</f>
        <v>42</v>
      </c>
      <c r="C1095" s="1">
        <f>VLOOKUP(A1095,TraderCategory!$A$63:$F$556,6,FALSE)</f>
        <v>0</v>
      </c>
      <c r="D1095" s="1" t="str">
        <f>VLOOKUP(C1095,Tabulka5[],3,FALSE)</f>
        <v>Private</v>
      </c>
      <c r="E1095" s="1">
        <v>5</v>
      </c>
      <c r="F1095" s="1" t="str">
        <f>VLOOKUP(E1095,Tabulka5[],3,FALSE)</f>
        <v>Sergeant First Class</v>
      </c>
      <c r="G1095" s="1" t="s">
        <v>3115</v>
      </c>
      <c r="H1095" s="1" t="s">
        <v>2802</v>
      </c>
      <c r="I1095" s="1" t="s">
        <v>8</v>
      </c>
      <c r="J1095" s="1" t="s">
        <v>2729</v>
      </c>
      <c r="K1095" s="1" t="s">
        <v>2738</v>
      </c>
      <c r="L1095" s="1" t="s">
        <v>3154</v>
      </c>
      <c r="M1095" s="1">
        <v>2400</v>
      </c>
      <c r="N1095" s="1">
        <v>1</v>
      </c>
      <c r="O1095" s="1" t="str">
        <f t="shared" si="91"/>
        <v>"AmmoBox_357_20Rnd": 1,</v>
      </c>
      <c r="P1095" s="1" t="str">
        <f t="shared" si="92"/>
        <v>"AmmoBox_357_20Rnd": 42,</v>
      </c>
      <c r="Q1095" s="1" t="str">
        <f t="shared" si="93"/>
        <v>"AmmoBox_357_20Rnd": 2400,</v>
      </c>
      <c r="R1095" s="1" t="str">
        <f t="shared" si="94"/>
        <v>"AmmoBox_357_20Rnd": 5,</v>
      </c>
    </row>
    <row r="1096" spans="1:18" x14ac:dyDescent="0.25">
      <c r="A1096" s="1" t="str">
        <f t="shared" si="95"/>
        <v>#tc_military#tc_ammo#tc_pistols</v>
      </c>
      <c r="B1096" s="1">
        <f>VLOOKUP(A1096,TraderCategory!$A$63:$E$556,2,FALSE)</f>
        <v>42</v>
      </c>
      <c r="C1096" s="1">
        <f>VLOOKUP(A1096,TraderCategory!$A$63:$F$556,6,FALSE)</f>
        <v>0</v>
      </c>
      <c r="D1096" s="1" t="str">
        <f>VLOOKUP(C1096,Tabulka5[],3,FALSE)</f>
        <v>Private</v>
      </c>
      <c r="E1096" s="1">
        <v>5</v>
      </c>
      <c r="F1096" s="1" t="str">
        <f>VLOOKUP(E1096,Tabulka5[],3,FALSE)</f>
        <v>Sergeant First Class</v>
      </c>
      <c r="G1096" s="1" t="s">
        <v>3115</v>
      </c>
      <c r="H1096" s="1" t="s">
        <v>2803</v>
      </c>
      <c r="I1096" s="1" t="s">
        <v>8</v>
      </c>
      <c r="J1096" s="1" t="s">
        <v>2729</v>
      </c>
      <c r="K1096" s="1" t="s">
        <v>2738</v>
      </c>
      <c r="L1096" s="1" t="s">
        <v>3154</v>
      </c>
      <c r="M1096" s="1">
        <v>2400</v>
      </c>
      <c r="N1096" s="1">
        <v>1</v>
      </c>
      <c r="O1096" s="1" t="str">
        <f t="shared" si="91"/>
        <v>"Ammo_357": 1,</v>
      </c>
      <c r="P1096" s="1" t="str">
        <f t="shared" si="92"/>
        <v>"Ammo_357": 42,</v>
      </c>
      <c r="Q1096" s="1" t="str">
        <f t="shared" si="93"/>
        <v>"Ammo_357": 2400,</v>
      </c>
      <c r="R1096" s="1" t="str">
        <f t="shared" si="94"/>
        <v>"Ammo_357": 5,</v>
      </c>
    </row>
    <row r="1097" spans="1:18" x14ac:dyDescent="0.25">
      <c r="A1097" s="1" t="str">
        <f t="shared" si="95"/>
        <v>#tc_military#tc_ammo#tc_shotguns</v>
      </c>
      <c r="B1097" s="1">
        <f>VLOOKUP(A1097,TraderCategory!$A$63:$E$556,2,FALSE)</f>
        <v>43</v>
      </c>
      <c r="C1097" s="1">
        <f>VLOOKUP(A1097,TraderCategory!$A$63:$F$556,6,FALSE)</f>
        <v>3</v>
      </c>
      <c r="D1097" s="1" t="str">
        <f>VLOOKUP(C1097,Tabulka5[],3,FALSE)</f>
        <v>Sergeant</v>
      </c>
      <c r="E1097" s="1">
        <v>5</v>
      </c>
      <c r="F1097" s="1" t="str">
        <f>VLOOKUP(E1097,Tabulka5[],3,FALSE)</f>
        <v>Sergeant First Class</v>
      </c>
      <c r="G1097" s="1" t="s">
        <v>3115</v>
      </c>
      <c r="H1097" s="1" t="s">
        <v>2800</v>
      </c>
      <c r="I1097" s="1" t="s">
        <v>8</v>
      </c>
      <c r="J1097" s="1" t="s">
        <v>2729</v>
      </c>
      <c r="K1097" s="1" t="s">
        <v>2738</v>
      </c>
      <c r="L1097" s="1" t="s">
        <v>3155</v>
      </c>
      <c r="M1097" s="1">
        <v>1200</v>
      </c>
      <c r="N1097" s="1">
        <v>1</v>
      </c>
      <c r="O1097" s="1" t="str">
        <f t="shared" si="91"/>
        <v>"AmmoBox_12gaRubberSlug_10Rnd": 1,</v>
      </c>
      <c r="P1097" s="1" t="str">
        <f t="shared" si="92"/>
        <v>"AmmoBox_12gaRubberSlug_10Rnd": 43,</v>
      </c>
      <c r="Q1097" s="1" t="str">
        <f t="shared" si="93"/>
        <v>"AmmoBox_12gaRubberSlug_10Rnd": 1200,</v>
      </c>
      <c r="R1097" s="1" t="str">
        <f t="shared" si="94"/>
        <v>"AmmoBox_12gaRubberSlug_10Rnd": 5,</v>
      </c>
    </row>
    <row r="1098" spans="1:18" x14ac:dyDescent="0.25">
      <c r="A1098" s="1" t="str">
        <f t="shared" si="95"/>
        <v>#tc_military#tc_ammo#tc_shotguns</v>
      </c>
      <c r="B1098" s="1">
        <f>VLOOKUP(A1098,TraderCategory!$A$63:$E$556,2,FALSE)</f>
        <v>43</v>
      </c>
      <c r="C1098" s="1">
        <f>VLOOKUP(A1098,TraderCategory!$A$63:$F$556,6,FALSE)</f>
        <v>3</v>
      </c>
      <c r="D1098" s="1" t="str">
        <f>VLOOKUP(C1098,Tabulka5[],3,FALSE)</f>
        <v>Sergeant</v>
      </c>
      <c r="E1098" s="1">
        <v>5</v>
      </c>
      <c r="F1098" s="1" t="str">
        <f>VLOOKUP(E1098,Tabulka5[],3,FALSE)</f>
        <v>Sergeant First Class</v>
      </c>
      <c r="G1098" s="1" t="s">
        <v>3115</v>
      </c>
      <c r="H1098" s="1" t="s">
        <v>2801</v>
      </c>
      <c r="I1098" s="1" t="s">
        <v>8</v>
      </c>
      <c r="J1098" s="1" t="s">
        <v>2729</v>
      </c>
      <c r="K1098" s="1" t="s">
        <v>2738</v>
      </c>
      <c r="L1098" s="1" t="s">
        <v>3155</v>
      </c>
      <c r="M1098" s="1">
        <v>1200</v>
      </c>
      <c r="N1098" s="1">
        <v>1</v>
      </c>
      <c r="O1098" s="1" t="str">
        <f t="shared" si="91"/>
        <v>"Ammo_12gaRubberSlug": 1,</v>
      </c>
      <c r="P1098" s="1" t="str">
        <f t="shared" si="92"/>
        <v>"Ammo_12gaRubberSlug": 43,</v>
      </c>
      <c r="Q1098" s="1" t="str">
        <f t="shared" si="93"/>
        <v>"Ammo_12gaRubberSlug": 1200,</v>
      </c>
      <c r="R1098" s="1" t="str">
        <f t="shared" si="94"/>
        <v>"Ammo_12gaRubberSlug": 5,</v>
      </c>
    </row>
    <row r="1099" spans="1:18" ht="15" customHeight="1" x14ac:dyDescent="0.25">
      <c r="A1099" s="1" t="str">
        <f t="shared" si="95"/>
        <v>#tc_vehicles#tc_parts#tc_doors</v>
      </c>
      <c r="B1099" s="1">
        <f>VLOOKUP(A1099,TraderCategory!$A$63:$E$556,2,FALSE)</f>
        <v>70</v>
      </c>
      <c r="C1099" s="1">
        <f>VLOOKUP(A1099,TraderCategory!$A$63:$F$556,6,FALSE)</f>
        <v>3</v>
      </c>
      <c r="D1099" s="1" t="str">
        <f>VLOOKUP(C1099,Tabulka5[],3,FALSE)</f>
        <v>Sergeant</v>
      </c>
      <c r="E1099" s="1">
        <v>3</v>
      </c>
      <c r="F1099" s="1" t="str">
        <f>VLOOKUP(E1099,Tabulka5[],3,FALSE)</f>
        <v>Sergeant</v>
      </c>
      <c r="G1099" s="1" t="s">
        <v>3115</v>
      </c>
      <c r="H1099" s="1" t="s">
        <v>3032</v>
      </c>
      <c r="I1099" s="1" t="s">
        <v>3033</v>
      </c>
      <c r="J1099" s="1" t="s">
        <v>2743</v>
      </c>
      <c r="K1099" s="1" t="s">
        <v>2742</v>
      </c>
      <c r="L1099" s="1" t="s">
        <v>3170</v>
      </c>
      <c r="M1099" s="1">
        <v>4000</v>
      </c>
      <c r="N1099" s="1">
        <v>1</v>
      </c>
      <c r="O1099" s="1" t="str">
        <f t="shared" si="91"/>
        <v>"CivSedanDoors_BackLeft_BlackRust": 1,</v>
      </c>
      <c r="P1099" s="1" t="str">
        <f t="shared" si="92"/>
        <v>"CivSedanDoors_BackLeft_BlackRust": 70,</v>
      </c>
      <c r="Q1099" s="1" t="str">
        <f t="shared" si="93"/>
        <v>"CivSedanDoors_BackLeft_BlackRust": 4000,</v>
      </c>
      <c r="R1099" s="1" t="str">
        <f t="shared" si="94"/>
        <v>"CivSedanDoors_BackLeft_BlackRust": 3,</v>
      </c>
    </row>
    <row r="1100" spans="1:18" ht="15" customHeight="1" x14ac:dyDescent="0.25">
      <c r="A1100" s="1" t="str">
        <f t="shared" si="95"/>
        <v>#tc_vehicles#tc_parts#tc_doors</v>
      </c>
      <c r="B1100" s="1">
        <f>VLOOKUP(A1100,TraderCategory!$A$63:$E$556,2,FALSE)</f>
        <v>70</v>
      </c>
      <c r="C1100" s="1">
        <f>VLOOKUP(A1100,TraderCategory!$A$63:$F$556,6,FALSE)</f>
        <v>3</v>
      </c>
      <c r="D1100" s="1" t="str">
        <f>VLOOKUP(C1100,Tabulka5[],3,FALSE)</f>
        <v>Sergeant</v>
      </c>
      <c r="E1100" s="1">
        <v>3</v>
      </c>
      <c r="F1100" s="1" t="str">
        <f>VLOOKUP(E1100,Tabulka5[],3,FALSE)</f>
        <v>Sergeant</v>
      </c>
      <c r="G1100" s="1" t="s">
        <v>3115</v>
      </c>
      <c r="H1100" s="1" t="s">
        <v>3034</v>
      </c>
      <c r="I1100" s="1" t="s">
        <v>3033</v>
      </c>
      <c r="J1100" s="1" t="s">
        <v>2743</v>
      </c>
      <c r="K1100" s="1" t="s">
        <v>2742</v>
      </c>
      <c r="L1100" s="1" t="s">
        <v>3170</v>
      </c>
      <c r="M1100" s="1">
        <v>4000</v>
      </c>
      <c r="N1100" s="1">
        <v>1</v>
      </c>
      <c r="O1100" s="1" t="str">
        <f t="shared" si="91"/>
        <v>"CivSedanDoors_BackLeft_WhiteRust": 1,</v>
      </c>
      <c r="P1100" s="1" t="str">
        <f t="shared" si="92"/>
        <v>"CivSedanDoors_BackLeft_WhiteRust": 70,</v>
      </c>
      <c r="Q1100" s="1" t="str">
        <f t="shared" si="93"/>
        <v>"CivSedanDoors_BackLeft_WhiteRust": 4000,</v>
      </c>
      <c r="R1100" s="1" t="str">
        <f t="shared" si="94"/>
        <v>"CivSedanDoors_BackLeft_WhiteRust": 3,</v>
      </c>
    </row>
    <row r="1101" spans="1:18" ht="15" customHeight="1" x14ac:dyDescent="0.25">
      <c r="A1101" s="1" t="str">
        <f t="shared" si="95"/>
        <v>#tc_vehicles#tc_parts#tc_doors</v>
      </c>
      <c r="B1101" s="1">
        <f>VLOOKUP(A1101,TraderCategory!$A$63:$E$556,2,FALSE)</f>
        <v>70</v>
      </c>
      <c r="C1101" s="1">
        <f>VLOOKUP(A1101,TraderCategory!$A$63:$F$556,6,FALSE)</f>
        <v>3</v>
      </c>
      <c r="D1101" s="1" t="str">
        <f>VLOOKUP(C1101,Tabulka5[],3,FALSE)</f>
        <v>Sergeant</v>
      </c>
      <c r="E1101" s="1">
        <v>3</v>
      </c>
      <c r="F1101" s="1" t="str">
        <f>VLOOKUP(E1101,Tabulka5[],3,FALSE)</f>
        <v>Sergeant</v>
      </c>
      <c r="G1101" s="1" t="s">
        <v>3115</v>
      </c>
      <c r="H1101" s="1" t="s">
        <v>3035</v>
      </c>
      <c r="I1101" s="1" t="s">
        <v>3033</v>
      </c>
      <c r="J1101" s="1" t="s">
        <v>2743</v>
      </c>
      <c r="K1101" s="1" t="s">
        <v>2742</v>
      </c>
      <c r="L1101" s="1" t="s">
        <v>3170</v>
      </c>
      <c r="M1101" s="1">
        <v>4000</v>
      </c>
      <c r="N1101" s="1">
        <v>1</v>
      </c>
      <c r="O1101" s="1" t="str">
        <f t="shared" si="91"/>
        <v>"CivSedanDoors_BackLeft_WineRust": 1,</v>
      </c>
      <c r="P1101" s="1" t="str">
        <f t="shared" si="92"/>
        <v>"CivSedanDoors_BackLeft_WineRust": 70,</v>
      </c>
      <c r="Q1101" s="1" t="str">
        <f t="shared" si="93"/>
        <v>"CivSedanDoors_BackLeft_WineRust": 4000,</v>
      </c>
      <c r="R1101" s="1" t="str">
        <f t="shared" si="94"/>
        <v>"CivSedanDoors_BackLeft_WineRust": 3,</v>
      </c>
    </row>
    <row r="1102" spans="1:18" ht="15" customHeight="1" x14ac:dyDescent="0.25">
      <c r="A1102" s="1" t="str">
        <f t="shared" si="95"/>
        <v>#tc_vehicles#tc_parts#tc_doors</v>
      </c>
      <c r="B1102" s="1">
        <f>VLOOKUP(A1102,TraderCategory!$A$63:$E$556,2,FALSE)</f>
        <v>70</v>
      </c>
      <c r="C1102" s="1">
        <f>VLOOKUP(A1102,TraderCategory!$A$63:$F$556,6,FALSE)</f>
        <v>3</v>
      </c>
      <c r="D1102" s="1" t="str">
        <f>VLOOKUP(C1102,Tabulka5[],3,FALSE)</f>
        <v>Sergeant</v>
      </c>
      <c r="E1102" s="1">
        <v>3</v>
      </c>
      <c r="F1102" s="1" t="str">
        <f>VLOOKUP(E1102,Tabulka5[],3,FALSE)</f>
        <v>Sergeant</v>
      </c>
      <c r="G1102" s="1" t="s">
        <v>3115</v>
      </c>
      <c r="H1102" s="1" t="s">
        <v>3036</v>
      </c>
      <c r="I1102" s="1" t="s">
        <v>3033</v>
      </c>
      <c r="J1102" s="1" t="s">
        <v>2743</v>
      </c>
      <c r="K1102" s="1" t="s">
        <v>2742</v>
      </c>
      <c r="L1102" s="1" t="s">
        <v>3170</v>
      </c>
      <c r="M1102" s="1">
        <v>4000</v>
      </c>
      <c r="N1102" s="1">
        <v>1</v>
      </c>
      <c r="O1102" s="1" t="str">
        <f t="shared" si="91"/>
        <v>"CivSedanDoors_BackRight_BlackRust": 1,</v>
      </c>
      <c r="P1102" s="1" t="str">
        <f t="shared" si="92"/>
        <v>"CivSedanDoors_BackRight_BlackRust": 70,</v>
      </c>
      <c r="Q1102" s="1" t="str">
        <f t="shared" si="93"/>
        <v>"CivSedanDoors_BackRight_BlackRust": 4000,</v>
      </c>
      <c r="R1102" s="1" t="str">
        <f t="shared" si="94"/>
        <v>"CivSedanDoors_BackRight_BlackRust": 3,</v>
      </c>
    </row>
    <row r="1103" spans="1:18" ht="15" customHeight="1" x14ac:dyDescent="0.25">
      <c r="A1103" s="1" t="str">
        <f t="shared" si="95"/>
        <v>#tc_vehicles#tc_parts#tc_doors</v>
      </c>
      <c r="B1103" s="1">
        <f>VLOOKUP(A1103,TraderCategory!$A$63:$E$556,2,FALSE)</f>
        <v>70</v>
      </c>
      <c r="C1103" s="1">
        <f>VLOOKUP(A1103,TraderCategory!$A$63:$F$556,6,FALSE)</f>
        <v>3</v>
      </c>
      <c r="D1103" s="1" t="str">
        <f>VLOOKUP(C1103,Tabulka5[],3,FALSE)</f>
        <v>Sergeant</v>
      </c>
      <c r="E1103" s="1">
        <v>3</v>
      </c>
      <c r="F1103" s="1" t="str">
        <f>VLOOKUP(E1103,Tabulka5[],3,FALSE)</f>
        <v>Sergeant</v>
      </c>
      <c r="G1103" s="1" t="s">
        <v>3115</v>
      </c>
      <c r="H1103" s="1" t="s">
        <v>3037</v>
      </c>
      <c r="I1103" s="1" t="s">
        <v>3033</v>
      </c>
      <c r="J1103" s="1" t="s">
        <v>2743</v>
      </c>
      <c r="K1103" s="1" t="s">
        <v>2742</v>
      </c>
      <c r="L1103" s="1" t="s">
        <v>3170</v>
      </c>
      <c r="M1103" s="1">
        <v>4000</v>
      </c>
      <c r="N1103" s="1">
        <v>1</v>
      </c>
      <c r="O1103" s="1" t="str">
        <f t="shared" si="91"/>
        <v>"CivSedanDoors_BackRight_WhiteRust": 1,</v>
      </c>
      <c r="P1103" s="1" t="str">
        <f t="shared" si="92"/>
        <v>"CivSedanDoors_BackRight_WhiteRust": 70,</v>
      </c>
      <c r="Q1103" s="1" t="str">
        <f t="shared" si="93"/>
        <v>"CivSedanDoors_BackRight_WhiteRust": 4000,</v>
      </c>
      <c r="R1103" s="1" t="str">
        <f t="shared" si="94"/>
        <v>"CivSedanDoors_BackRight_WhiteRust": 3,</v>
      </c>
    </row>
    <row r="1104" spans="1:18" ht="15" customHeight="1" x14ac:dyDescent="0.25">
      <c r="A1104" s="1" t="str">
        <f t="shared" si="95"/>
        <v>#tc_vehicles#tc_parts#tc_doors</v>
      </c>
      <c r="B1104" s="1">
        <f>VLOOKUP(A1104,TraderCategory!$A$63:$E$556,2,FALSE)</f>
        <v>70</v>
      </c>
      <c r="C1104" s="1">
        <f>VLOOKUP(A1104,TraderCategory!$A$63:$F$556,6,FALSE)</f>
        <v>3</v>
      </c>
      <c r="D1104" s="1" t="str">
        <f>VLOOKUP(C1104,Tabulka5[],3,FALSE)</f>
        <v>Sergeant</v>
      </c>
      <c r="E1104" s="1">
        <v>3</v>
      </c>
      <c r="F1104" s="1" t="str">
        <f>VLOOKUP(E1104,Tabulka5[],3,FALSE)</f>
        <v>Sergeant</v>
      </c>
      <c r="G1104" s="1" t="s">
        <v>3115</v>
      </c>
      <c r="H1104" s="1" t="s">
        <v>3038</v>
      </c>
      <c r="I1104" s="1" t="s">
        <v>3033</v>
      </c>
      <c r="J1104" s="1" t="s">
        <v>2743</v>
      </c>
      <c r="K1104" s="1" t="s">
        <v>2742</v>
      </c>
      <c r="L1104" s="1" t="s">
        <v>3170</v>
      </c>
      <c r="M1104" s="1">
        <v>4000</v>
      </c>
      <c r="N1104" s="1">
        <v>1</v>
      </c>
      <c r="O1104" s="1" t="str">
        <f t="shared" si="91"/>
        <v>"CivSedanDoors_BackRight_WineRust": 1,</v>
      </c>
      <c r="P1104" s="1" t="str">
        <f t="shared" si="92"/>
        <v>"CivSedanDoors_BackRight_WineRust": 70,</v>
      </c>
      <c r="Q1104" s="1" t="str">
        <f t="shared" si="93"/>
        <v>"CivSedanDoors_BackRight_WineRust": 4000,</v>
      </c>
      <c r="R1104" s="1" t="str">
        <f t="shared" si="94"/>
        <v>"CivSedanDoors_BackRight_WineRust": 3,</v>
      </c>
    </row>
    <row r="1105" spans="1:18" ht="15" customHeight="1" x14ac:dyDescent="0.25">
      <c r="A1105" s="1" t="str">
        <f t="shared" si="95"/>
        <v>#tc_vehicles#tc_parts#tc_doors</v>
      </c>
      <c r="B1105" s="1">
        <f>VLOOKUP(A1105,TraderCategory!$A$63:$E$556,2,FALSE)</f>
        <v>70</v>
      </c>
      <c r="C1105" s="1">
        <f>VLOOKUP(A1105,TraderCategory!$A$63:$F$556,6,FALSE)</f>
        <v>3</v>
      </c>
      <c r="D1105" s="1" t="str">
        <f>VLOOKUP(C1105,Tabulka5[],3,FALSE)</f>
        <v>Sergeant</v>
      </c>
      <c r="E1105" s="1">
        <v>3</v>
      </c>
      <c r="F1105" s="1" t="str">
        <f>VLOOKUP(E1105,Tabulka5[],3,FALSE)</f>
        <v>Sergeant</v>
      </c>
      <c r="G1105" s="1" t="s">
        <v>3115</v>
      </c>
      <c r="H1105" s="1" t="s">
        <v>3039</v>
      </c>
      <c r="I1105" s="1" t="s">
        <v>3033</v>
      </c>
      <c r="J1105" s="1" t="s">
        <v>2743</v>
      </c>
      <c r="K1105" s="1" t="s">
        <v>2742</v>
      </c>
      <c r="L1105" s="1" t="s">
        <v>3170</v>
      </c>
      <c r="M1105" s="1">
        <v>4000</v>
      </c>
      <c r="N1105" s="1">
        <v>1</v>
      </c>
      <c r="O1105" s="1" t="str">
        <f t="shared" si="91"/>
        <v>"CivSedanDoors_CoDriver_BlackRust": 1,</v>
      </c>
      <c r="P1105" s="1" t="str">
        <f t="shared" si="92"/>
        <v>"CivSedanDoors_CoDriver_BlackRust": 70,</v>
      </c>
      <c r="Q1105" s="1" t="str">
        <f t="shared" si="93"/>
        <v>"CivSedanDoors_CoDriver_BlackRust": 4000,</v>
      </c>
      <c r="R1105" s="1" t="str">
        <f t="shared" si="94"/>
        <v>"CivSedanDoors_CoDriver_BlackRust": 3,</v>
      </c>
    </row>
    <row r="1106" spans="1:18" ht="15" customHeight="1" x14ac:dyDescent="0.25">
      <c r="A1106" s="1" t="str">
        <f t="shared" si="95"/>
        <v>#tc_vehicles#tc_parts#tc_doors</v>
      </c>
      <c r="B1106" s="1">
        <f>VLOOKUP(A1106,TraderCategory!$A$63:$E$556,2,FALSE)</f>
        <v>70</v>
      </c>
      <c r="C1106" s="1">
        <f>VLOOKUP(A1106,TraderCategory!$A$63:$F$556,6,FALSE)</f>
        <v>3</v>
      </c>
      <c r="D1106" s="1" t="str">
        <f>VLOOKUP(C1106,Tabulka5[],3,FALSE)</f>
        <v>Sergeant</v>
      </c>
      <c r="E1106" s="1">
        <v>3</v>
      </c>
      <c r="F1106" s="1" t="str">
        <f>VLOOKUP(E1106,Tabulka5[],3,FALSE)</f>
        <v>Sergeant</v>
      </c>
      <c r="G1106" s="1" t="s">
        <v>3115</v>
      </c>
      <c r="H1106" s="1" t="s">
        <v>3040</v>
      </c>
      <c r="I1106" s="1" t="s">
        <v>3033</v>
      </c>
      <c r="J1106" s="1" t="s">
        <v>2743</v>
      </c>
      <c r="K1106" s="1" t="s">
        <v>2742</v>
      </c>
      <c r="L1106" s="1" t="s">
        <v>3170</v>
      </c>
      <c r="M1106" s="1">
        <v>4000</v>
      </c>
      <c r="N1106" s="1">
        <v>1</v>
      </c>
      <c r="O1106" s="1" t="str">
        <f t="shared" si="91"/>
        <v>"CivSedanDoors_CoDriver_WhiteRust": 1,</v>
      </c>
      <c r="P1106" s="1" t="str">
        <f t="shared" si="92"/>
        <v>"CivSedanDoors_CoDriver_WhiteRust": 70,</v>
      </c>
      <c r="Q1106" s="1" t="str">
        <f t="shared" si="93"/>
        <v>"CivSedanDoors_CoDriver_WhiteRust": 4000,</v>
      </c>
      <c r="R1106" s="1" t="str">
        <f t="shared" si="94"/>
        <v>"CivSedanDoors_CoDriver_WhiteRust": 3,</v>
      </c>
    </row>
    <row r="1107" spans="1:18" ht="15" customHeight="1" x14ac:dyDescent="0.25">
      <c r="A1107" s="1" t="str">
        <f t="shared" si="95"/>
        <v>#tc_vehicles#tc_parts#tc_doors</v>
      </c>
      <c r="B1107" s="1">
        <f>VLOOKUP(A1107,TraderCategory!$A$63:$E$556,2,FALSE)</f>
        <v>70</v>
      </c>
      <c r="C1107" s="1">
        <f>VLOOKUP(A1107,TraderCategory!$A$63:$F$556,6,FALSE)</f>
        <v>3</v>
      </c>
      <c r="D1107" s="1" t="str">
        <f>VLOOKUP(C1107,Tabulka5[],3,FALSE)</f>
        <v>Sergeant</v>
      </c>
      <c r="E1107" s="1">
        <v>3</v>
      </c>
      <c r="F1107" s="1" t="str">
        <f>VLOOKUP(E1107,Tabulka5[],3,FALSE)</f>
        <v>Sergeant</v>
      </c>
      <c r="G1107" s="1" t="s">
        <v>3115</v>
      </c>
      <c r="H1107" s="1" t="s">
        <v>3041</v>
      </c>
      <c r="I1107" s="1" t="s">
        <v>3033</v>
      </c>
      <c r="J1107" s="1" t="s">
        <v>2743</v>
      </c>
      <c r="K1107" s="1" t="s">
        <v>2742</v>
      </c>
      <c r="L1107" s="1" t="s">
        <v>3170</v>
      </c>
      <c r="M1107" s="1">
        <v>4000</v>
      </c>
      <c r="N1107" s="1">
        <v>1</v>
      </c>
      <c r="O1107" s="1" t="str">
        <f t="shared" si="91"/>
        <v>"CivSedanDoors_CoDriver_WineRust": 1,</v>
      </c>
      <c r="P1107" s="1" t="str">
        <f t="shared" si="92"/>
        <v>"CivSedanDoors_CoDriver_WineRust": 70,</v>
      </c>
      <c r="Q1107" s="1" t="str">
        <f t="shared" si="93"/>
        <v>"CivSedanDoors_CoDriver_WineRust": 4000,</v>
      </c>
      <c r="R1107" s="1" t="str">
        <f t="shared" si="94"/>
        <v>"CivSedanDoors_CoDriver_WineRust": 3,</v>
      </c>
    </row>
    <row r="1108" spans="1:18" ht="15" customHeight="1" x14ac:dyDescent="0.25">
      <c r="A1108" s="1" t="str">
        <f t="shared" si="95"/>
        <v>#tc_vehicles#tc_parts#tc_doors</v>
      </c>
      <c r="B1108" s="1">
        <f>VLOOKUP(A1108,TraderCategory!$A$63:$E$556,2,FALSE)</f>
        <v>70</v>
      </c>
      <c r="C1108" s="1">
        <f>VLOOKUP(A1108,TraderCategory!$A$63:$F$556,6,FALSE)</f>
        <v>3</v>
      </c>
      <c r="D1108" s="1" t="str">
        <f>VLOOKUP(C1108,Tabulka5[],3,FALSE)</f>
        <v>Sergeant</v>
      </c>
      <c r="E1108" s="1">
        <v>3</v>
      </c>
      <c r="F1108" s="1" t="str">
        <f>VLOOKUP(E1108,Tabulka5[],3,FALSE)</f>
        <v>Sergeant</v>
      </c>
      <c r="G1108" s="1" t="s">
        <v>3115</v>
      </c>
      <c r="H1108" s="1" t="s">
        <v>3042</v>
      </c>
      <c r="I1108" s="1" t="s">
        <v>3033</v>
      </c>
      <c r="J1108" s="1" t="s">
        <v>2743</v>
      </c>
      <c r="K1108" s="1" t="s">
        <v>2742</v>
      </c>
      <c r="L1108" s="1" t="s">
        <v>3170</v>
      </c>
      <c r="M1108" s="1">
        <v>4000</v>
      </c>
      <c r="N1108" s="1">
        <v>1</v>
      </c>
      <c r="O1108" s="1" t="str">
        <f t="shared" si="91"/>
        <v>"CivSedanDoors_Driver_BlackRust": 1,</v>
      </c>
      <c r="P1108" s="1" t="str">
        <f t="shared" si="92"/>
        <v>"CivSedanDoors_Driver_BlackRust": 70,</v>
      </c>
      <c r="Q1108" s="1" t="str">
        <f t="shared" si="93"/>
        <v>"CivSedanDoors_Driver_BlackRust": 4000,</v>
      </c>
      <c r="R1108" s="1" t="str">
        <f t="shared" si="94"/>
        <v>"CivSedanDoors_Driver_BlackRust": 3,</v>
      </c>
    </row>
    <row r="1109" spans="1:18" ht="15" customHeight="1" x14ac:dyDescent="0.25">
      <c r="A1109" s="1" t="str">
        <f t="shared" si="95"/>
        <v>#tc_vehicles#tc_parts#tc_doors</v>
      </c>
      <c r="B1109" s="1">
        <f>VLOOKUP(A1109,TraderCategory!$A$63:$E$556,2,FALSE)</f>
        <v>70</v>
      </c>
      <c r="C1109" s="1">
        <f>VLOOKUP(A1109,TraderCategory!$A$63:$F$556,6,FALSE)</f>
        <v>3</v>
      </c>
      <c r="D1109" s="1" t="str">
        <f>VLOOKUP(C1109,Tabulka5[],3,FALSE)</f>
        <v>Sergeant</v>
      </c>
      <c r="E1109" s="1">
        <v>3</v>
      </c>
      <c r="F1109" s="1" t="str">
        <f>VLOOKUP(E1109,Tabulka5[],3,FALSE)</f>
        <v>Sergeant</v>
      </c>
      <c r="G1109" s="1" t="s">
        <v>3115</v>
      </c>
      <c r="H1109" s="1" t="s">
        <v>3043</v>
      </c>
      <c r="I1109" s="1" t="s">
        <v>3033</v>
      </c>
      <c r="J1109" s="1" t="s">
        <v>2743</v>
      </c>
      <c r="K1109" s="1" t="s">
        <v>2742</v>
      </c>
      <c r="L1109" s="1" t="s">
        <v>3170</v>
      </c>
      <c r="M1109" s="1">
        <v>4000</v>
      </c>
      <c r="N1109" s="1">
        <v>1</v>
      </c>
      <c r="O1109" s="1" t="str">
        <f t="shared" si="91"/>
        <v>"CivSedanDoors_Driver_WhiteRust": 1,</v>
      </c>
      <c r="P1109" s="1" t="str">
        <f t="shared" si="92"/>
        <v>"CivSedanDoors_Driver_WhiteRust": 70,</v>
      </c>
      <c r="Q1109" s="1" t="str">
        <f t="shared" si="93"/>
        <v>"CivSedanDoors_Driver_WhiteRust": 4000,</v>
      </c>
      <c r="R1109" s="1" t="str">
        <f t="shared" si="94"/>
        <v>"CivSedanDoors_Driver_WhiteRust": 3,</v>
      </c>
    </row>
    <row r="1110" spans="1:18" ht="15" customHeight="1" x14ac:dyDescent="0.25">
      <c r="A1110" s="1" t="str">
        <f t="shared" si="95"/>
        <v>#tc_vehicles#tc_parts#tc_doors</v>
      </c>
      <c r="B1110" s="1">
        <f>VLOOKUP(A1110,TraderCategory!$A$63:$E$556,2,FALSE)</f>
        <v>70</v>
      </c>
      <c r="C1110" s="1">
        <f>VLOOKUP(A1110,TraderCategory!$A$63:$F$556,6,FALSE)</f>
        <v>3</v>
      </c>
      <c r="D1110" s="1" t="str">
        <f>VLOOKUP(C1110,Tabulka5[],3,FALSE)</f>
        <v>Sergeant</v>
      </c>
      <c r="E1110" s="1">
        <v>3</v>
      </c>
      <c r="F1110" s="1" t="str">
        <f>VLOOKUP(E1110,Tabulka5[],3,FALSE)</f>
        <v>Sergeant</v>
      </c>
      <c r="G1110" s="1" t="s">
        <v>3115</v>
      </c>
      <c r="H1110" s="1" t="s">
        <v>3044</v>
      </c>
      <c r="I1110" s="1" t="s">
        <v>3033</v>
      </c>
      <c r="J1110" s="1" t="s">
        <v>2743</v>
      </c>
      <c r="K1110" s="1" t="s">
        <v>2742</v>
      </c>
      <c r="L1110" s="1" t="s">
        <v>3170</v>
      </c>
      <c r="M1110" s="1">
        <v>4000</v>
      </c>
      <c r="N1110" s="1">
        <v>1</v>
      </c>
      <c r="O1110" s="1" t="str">
        <f t="shared" si="91"/>
        <v>"CivSedanDoors_Driver_WineRust": 1,</v>
      </c>
      <c r="P1110" s="1" t="str">
        <f t="shared" si="92"/>
        <v>"CivSedanDoors_Driver_WineRust": 70,</v>
      </c>
      <c r="Q1110" s="1" t="str">
        <f t="shared" si="93"/>
        <v>"CivSedanDoors_Driver_WineRust": 4000,</v>
      </c>
      <c r="R1110" s="1" t="str">
        <f t="shared" si="94"/>
        <v>"CivSedanDoors_Driver_WineRust": 3,</v>
      </c>
    </row>
    <row r="1111" spans="1:18" ht="15" customHeight="1" x14ac:dyDescent="0.25">
      <c r="A1111" s="1" t="str">
        <f t="shared" si="95"/>
        <v>#tc_vehicles#tc_parts#tc_hood</v>
      </c>
      <c r="B1111" s="1">
        <f>VLOOKUP(A1111,TraderCategory!$A$63:$E$556,2,FALSE)</f>
        <v>71</v>
      </c>
      <c r="C1111" s="1">
        <f>VLOOKUP(A1111,TraderCategory!$A$63:$F$556,6,FALSE)</f>
        <v>3</v>
      </c>
      <c r="D1111" s="1" t="str">
        <f>VLOOKUP(C1111,Tabulka5[],3,FALSE)</f>
        <v>Sergeant</v>
      </c>
      <c r="E1111" s="1">
        <v>3</v>
      </c>
      <c r="F1111" s="1" t="str">
        <f>VLOOKUP(E1111,Tabulka5[],3,FALSE)</f>
        <v>Sergeant</v>
      </c>
      <c r="G1111" s="1" t="s">
        <v>3115</v>
      </c>
      <c r="H1111" s="1" t="s">
        <v>3045</v>
      </c>
      <c r="I1111" s="1" t="s">
        <v>3033</v>
      </c>
      <c r="J1111" s="1" t="s">
        <v>2743</v>
      </c>
      <c r="K1111" s="1" t="s">
        <v>2742</v>
      </c>
      <c r="L1111" s="1" t="s">
        <v>3168</v>
      </c>
      <c r="M1111" s="1">
        <v>4000</v>
      </c>
      <c r="N1111" s="1">
        <v>1</v>
      </c>
      <c r="O1111" s="1" t="str">
        <f t="shared" si="91"/>
        <v>"CivSedanHood_BlackRust": 1,</v>
      </c>
      <c r="P1111" s="1" t="str">
        <f t="shared" si="92"/>
        <v>"CivSedanHood_BlackRust": 71,</v>
      </c>
      <c r="Q1111" s="1" t="str">
        <f t="shared" si="93"/>
        <v>"CivSedanHood_BlackRust": 4000,</v>
      </c>
      <c r="R1111" s="1" t="str">
        <f t="shared" si="94"/>
        <v>"CivSedanHood_BlackRust": 3,</v>
      </c>
    </row>
    <row r="1112" spans="1:18" ht="15" customHeight="1" x14ac:dyDescent="0.25">
      <c r="A1112" s="1" t="str">
        <f t="shared" si="95"/>
        <v>#tc_vehicles#tc_parts#tc_hood</v>
      </c>
      <c r="B1112" s="1">
        <f>VLOOKUP(A1112,TraderCategory!$A$63:$E$556,2,FALSE)</f>
        <v>71</v>
      </c>
      <c r="C1112" s="1">
        <f>VLOOKUP(A1112,TraderCategory!$A$63:$F$556,6,FALSE)</f>
        <v>3</v>
      </c>
      <c r="D1112" s="1" t="str">
        <f>VLOOKUP(C1112,Tabulka5[],3,FALSE)</f>
        <v>Sergeant</v>
      </c>
      <c r="E1112" s="1">
        <v>3</v>
      </c>
      <c r="F1112" s="1" t="str">
        <f>VLOOKUP(E1112,Tabulka5[],3,FALSE)</f>
        <v>Sergeant</v>
      </c>
      <c r="G1112" s="1" t="s">
        <v>3115</v>
      </c>
      <c r="H1112" s="1" t="s">
        <v>3046</v>
      </c>
      <c r="I1112" s="1" t="s">
        <v>3033</v>
      </c>
      <c r="J1112" s="1" t="s">
        <v>2743</v>
      </c>
      <c r="K1112" s="1" t="s">
        <v>2742</v>
      </c>
      <c r="L1112" s="1" t="s">
        <v>3168</v>
      </c>
      <c r="M1112" s="1">
        <v>4000</v>
      </c>
      <c r="N1112" s="1">
        <v>1</v>
      </c>
      <c r="O1112" s="1" t="str">
        <f t="shared" si="91"/>
        <v>"CivSedanHood_WhiteRust": 1,</v>
      </c>
      <c r="P1112" s="1" t="str">
        <f t="shared" si="92"/>
        <v>"CivSedanHood_WhiteRust": 71,</v>
      </c>
      <c r="Q1112" s="1" t="str">
        <f t="shared" si="93"/>
        <v>"CivSedanHood_WhiteRust": 4000,</v>
      </c>
      <c r="R1112" s="1" t="str">
        <f t="shared" si="94"/>
        <v>"CivSedanHood_WhiteRust": 3,</v>
      </c>
    </row>
    <row r="1113" spans="1:18" ht="15" customHeight="1" x14ac:dyDescent="0.25">
      <c r="A1113" s="1" t="str">
        <f t="shared" si="95"/>
        <v>#tc_vehicles#tc_parts#tc_hood</v>
      </c>
      <c r="B1113" s="1">
        <f>VLOOKUP(A1113,TraderCategory!$A$63:$E$556,2,FALSE)</f>
        <v>71</v>
      </c>
      <c r="C1113" s="1">
        <f>VLOOKUP(A1113,TraderCategory!$A$63:$F$556,6,FALSE)</f>
        <v>3</v>
      </c>
      <c r="D1113" s="1" t="str">
        <f>VLOOKUP(C1113,Tabulka5[],3,FALSE)</f>
        <v>Sergeant</v>
      </c>
      <c r="E1113" s="1">
        <v>3</v>
      </c>
      <c r="F1113" s="1" t="str">
        <f>VLOOKUP(E1113,Tabulka5[],3,FALSE)</f>
        <v>Sergeant</v>
      </c>
      <c r="G1113" s="1" t="s">
        <v>3115</v>
      </c>
      <c r="H1113" s="1" t="s">
        <v>3047</v>
      </c>
      <c r="I1113" s="1" t="s">
        <v>3033</v>
      </c>
      <c r="J1113" s="1" t="s">
        <v>2743</v>
      </c>
      <c r="K1113" s="1" t="s">
        <v>2742</v>
      </c>
      <c r="L1113" s="1" t="s">
        <v>3168</v>
      </c>
      <c r="M1113" s="1">
        <v>4000</v>
      </c>
      <c r="N1113" s="1">
        <v>1</v>
      </c>
      <c r="O1113" s="1" t="str">
        <f t="shared" si="91"/>
        <v>"CivSedanHood_WineRust": 1,</v>
      </c>
      <c r="P1113" s="1" t="str">
        <f t="shared" si="92"/>
        <v>"CivSedanHood_WineRust": 71,</v>
      </c>
      <c r="Q1113" s="1" t="str">
        <f t="shared" si="93"/>
        <v>"CivSedanHood_WineRust": 4000,</v>
      </c>
      <c r="R1113" s="1" t="str">
        <f t="shared" si="94"/>
        <v>"CivSedanHood_WineRust": 3,</v>
      </c>
    </row>
    <row r="1114" spans="1:18" ht="15" customHeight="1" x14ac:dyDescent="0.25">
      <c r="A1114" s="1" t="str">
        <f t="shared" si="95"/>
        <v>#tc_vehicles#tc_parts#tc_trunk</v>
      </c>
      <c r="B1114" s="1">
        <f>VLOOKUP(A1114,TraderCategory!$A$63:$E$556,2,FALSE)</f>
        <v>72</v>
      </c>
      <c r="C1114" s="1">
        <f>VLOOKUP(A1114,TraderCategory!$A$63:$F$556,6,FALSE)</f>
        <v>3</v>
      </c>
      <c r="D1114" s="1" t="str">
        <f>VLOOKUP(C1114,Tabulka5[],3,FALSE)</f>
        <v>Sergeant</v>
      </c>
      <c r="E1114" s="1">
        <v>3</v>
      </c>
      <c r="F1114" s="1" t="str">
        <f>VLOOKUP(E1114,Tabulka5[],3,FALSE)</f>
        <v>Sergeant</v>
      </c>
      <c r="G1114" s="1" t="s">
        <v>3115</v>
      </c>
      <c r="H1114" s="1" t="s">
        <v>3048</v>
      </c>
      <c r="I1114" s="1" t="s">
        <v>3033</v>
      </c>
      <c r="J1114" s="1" t="s">
        <v>2743</v>
      </c>
      <c r="K1114" s="1" t="s">
        <v>2742</v>
      </c>
      <c r="L1114" s="1" t="s">
        <v>3169</v>
      </c>
      <c r="M1114" s="1">
        <v>4000</v>
      </c>
      <c r="N1114" s="1">
        <v>1</v>
      </c>
      <c r="O1114" s="1" t="str">
        <f t="shared" si="91"/>
        <v>"CivSedanTrunk_BlackRust": 1,</v>
      </c>
      <c r="P1114" s="1" t="str">
        <f t="shared" si="92"/>
        <v>"CivSedanTrunk_BlackRust": 72,</v>
      </c>
      <c r="Q1114" s="1" t="str">
        <f t="shared" si="93"/>
        <v>"CivSedanTrunk_BlackRust": 4000,</v>
      </c>
      <c r="R1114" s="1" t="str">
        <f t="shared" si="94"/>
        <v>"CivSedanTrunk_BlackRust": 3,</v>
      </c>
    </row>
    <row r="1115" spans="1:18" ht="15" customHeight="1" x14ac:dyDescent="0.25">
      <c r="A1115" s="1" t="str">
        <f t="shared" si="95"/>
        <v>#tc_vehicles#tc_parts#tc_trunk</v>
      </c>
      <c r="B1115" s="1">
        <f>VLOOKUP(A1115,TraderCategory!$A$63:$E$556,2,FALSE)</f>
        <v>72</v>
      </c>
      <c r="C1115" s="1">
        <f>VLOOKUP(A1115,TraderCategory!$A$63:$F$556,6,FALSE)</f>
        <v>3</v>
      </c>
      <c r="D1115" s="1" t="str">
        <f>VLOOKUP(C1115,Tabulka5[],3,FALSE)</f>
        <v>Sergeant</v>
      </c>
      <c r="E1115" s="1">
        <v>3</v>
      </c>
      <c r="F1115" s="1" t="str">
        <f>VLOOKUP(E1115,Tabulka5[],3,FALSE)</f>
        <v>Sergeant</v>
      </c>
      <c r="G1115" s="1" t="s">
        <v>3115</v>
      </c>
      <c r="H1115" s="1" t="s">
        <v>3049</v>
      </c>
      <c r="I1115" s="1" t="s">
        <v>3033</v>
      </c>
      <c r="J1115" s="1" t="s">
        <v>2743</v>
      </c>
      <c r="K1115" s="1" t="s">
        <v>2742</v>
      </c>
      <c r="L1115" s="1" t="s">
        <v>3169</v>
      </c>
      <c r="M1115" s="1">
        <v>4000</v>
      </c>
      <c r="N1115" s="1">
        <v>1</v>
      </c>
      <c r="O1115" s="1" t="str">
        <f t="shared" si="91"/>
        <v>"CivSedanTrunk_WhiteRust": 1,</v>
      </c>
      <c r="P1115" s="1" t="str">
        <f t="shared" si="92"/>
        <v>"CivSedanTrunk_WhiteRust": 72,</v>
      </c>
      <c r="Q1115" s="1" t="str">
        <f t="shared" si="93"/>
        <v>"CivSedanTrunk_WhiteRust": 4000,</v>
      </c>
      <c r="R1115" s="1" t="str">
        <f t="shared" si="94"/>
        <v>"CivSedanTrunk_WhiteRust": 3,</v>
      </c>
    </row>
    <row r="1116" spans="1:18" ht="15" customHeight="1" x14ac:dyDescent="0.25">
      <c r="A1116" s="1" t="str">
        <f t="shared" si="95"/>
        <v>#tc_vehicles#tc_parts#tc_trunk</v>
      </c>
      <c r="B1116" s="1">
        <f>VLOOKUP(A1116,TraderCategory!$A$63:$E$556,2,FALSE)</f>
        <v>72</v>
      </c>
      <c r="C1116" s="1">
        <f>VLOOKUP(A1116,TraderCategory!$A$63:$F$556,6,FALSE)</f>
        <v>3</v>
      </c>
      <c r="D1116" s="1" t="str">
        <f>VLOOKUP(C1116,Tabulka5[],3,FALSE)</f>
        <v>Sergeant</v>
      </c>
      <c r="E1116" s="1">
        <v>3</v>
      </c>
      <c r="F1116" s="1" t="str">
        <f>VLOOKUP(E1116,Tabulka5[],3,FALSE)</f>
        <v>Sergeant</v>
      </c>
      <c r="G1116" s="1" t="s">
        <v>3115</v>
      </c>
      <c r="H1116" s="1" t="s">
        <v>3050</v>
      </c>
      <c r="I1116" s="1" t="s">
        <v>3033</v>
      </c>
      <c r="J1116" s="1" t="s">
        <v>2743</v>
      </c>
      <c r="K1116" s="1" t="s">
        <v>2742</v>
      </c>
      <c r="L1116" s="1" t="s">
        <v>3169</v>
      </c>
      <c r="M1116" s="1">
        <v>4000</v>
      </c>
      <c r="N1116" s="1">
        <v>1</v>
      </c>
      <c r="O1116" s="1" t="str">
        <f t="shared" si="91"/>
        <v>"CivSedanTrunk_WineRust": 1,</v>
      </c>
      <c r="P1116" s="1" t="str">
        <f t="shared" si="92"/>
        <v>"CivSedanTrunk_WineRust": 72,</v>
      </c>
      <c r="Q1116" s="1" t="str">
        <f t="shared" si="93"/>
        <v>"CivSedanTrunk_WineRust": 4000,</v>
      </c>
      <c r="R1116" s="1" t="str">
        <f t="shared" si="94"/>
        <v>"CivSedanTrunk_WineRust": 3,</v>
      </c>
    </row>
    <row r="1117" spans="1:18" ht="15" customHeight="1" x14ac:dyDescent="0.25">
      <c r="A1117" s="1" t="str">
        <f t="shared" si="95"/>
        <v>#tc_vehicles#tc_parts#tc_doors</v>
      </c>
      <c r="B1117" s="1">
        <f>VLOOKUP(A1117,TraderCategory!$A$63:$E$556,2,FALSE)</f>
        <v>70</v>
      </c>
      <c r="C1117" s="1">
        <f>VLOOKUP(A1117,TraderCategory!$A$63:$F$556,6,FALSE)</f>
        <v>3</v>
      </c>
      <c r="D1117" s="1" t="str">
        <f>VLOOKUP(C1117,Tabulka5[],3,FALSE)</f>
        <v>Sergeant</v>
      </c>
      <c r="E1117" s="1">
        <v>3</v>
      </c>
      <c r="F1117" s="1" t="str">
        <f>VLOOKUP(E1117,Tabulka5[],3,FALSE)</f>
        <v>Sergeant</v>
      </c>
      <c r="G1117" s="1" t="s">
        <v>3115</v>
      </c>
      <c r="H1117" s="1" t="s">
        <v>3051</v>
      </c>
      <c r="I1117" s="1" t="s">
        <v>3033</v>
      </c>
      <c r="J1117" s="1" t="s">
        <v>2743</v>
      </c>
      <c r="K1117" s="1" t="s">
        <v>2742</v>
      </c>
      <c r="L1117" s="1" t="s">
        <v>3170</v>
      </c>
      <c r="M1117" s="1">
        <v>4000</v>
      </c>
      <c r="N1117" s="1">
        <v>1</v>
      </c>
      <c r="O1117" s="1" t="str">
        <f t="shared" si="91"/>
        <v>"HatchbackDoors_CoDriver_BlueRust": 1,</v>
      </c>
      <c r="P1117" s="1" t="str">
        <f t="shared" si="92"/>
        <v>"HatchbackDoors_CoDriver_BlueRust": 70,</v>
      </c>
      <c r="Q1117" s="1" t="str">
        <f t="shared" si="93"/>
        <v>"HatchbackDoors_CoDriver_BlueRust": 4000,</v>
      </c>
      <c r="R1117" s="1" t="str">
        <f t="shared" si="94"/>
        <v>"HatchbackDoors_CoDriver_BlueRust": 3,</v>
      </c>
    </row>
    <row r="1118" spans="1:18" ht="15" customHeight="1" x14ac:dyDescent="0.25">
      <c r="A1118" s="1" t="str">
        <f t="shared" si="95"/>
        <v>#tc_vehicles#tc_parts#tc_doors</v>
      </c>
      <c r="B1118" s="1">
        <f>VLOOKUP(A1118,TraderCategory!$A$63:$E$556,2,FALSE)</f>
        <v>70</v>
      </c>
      <c r="C1118" s="1">
        <f>VLOOKUP(A1118,TraderCategory!$A$63:$F$556,6,FALSE)</f>
        <v>3</v>
      </c>
      <c r="D1118" s="1" t="str">
        <f>VLOOKUP(C1118,Tabulka5[],3,FALSE)</f>
        <v>Sergeant</v>
      </c>
      <c r="E1118" s="1">
        <v>3</v>
      </c>
      <c r="F1118" s="1" t="str">
        <f>VLOOKUP(E1118,Tabulka5[],3,FALSE)</f>
        <v>Sergeant</v>
      </c>
      <c r="G1118" s="1" t="s">
        <v>3115</v>
      </c>
      <c r="H1118" s="1" t="s">
        <v>3052</v>
      </c>
      <c r="I1118" s="1" t="s">
        <v>3033</v>
      </c>
      <c r="J1118" s="1" t="s">
        <v>2743</v>
      </c>
      <c r="K1118" s="1" t="s">
        <v>2742</v>
      </c>
      <c r="L1118" s="1" t="s">
        <v>3170</v>
      </c>
      <c r="M1118" s="1">
        <v>4000</v>
      </c>
      <c r="N1118" s="1">
        <v>1</v>
      </c>
      <c r="O1118" s="1" t="str">
        <f t="shared" si="91"/>
        <v>"HatchbackDoors_CoDriver_GreenRust": 1,</v>
      </c>
      <c r="P1118" s="1" t="str">
        <f t="shared" si="92"/>
        <v>"HatchbackDoors_CoDriver_GreenRust": 70,</v>
      </c>
      <c r="Q1118" s="1" t="str">
        <f t="shared" si="93"/>
        <v>"HatchbackDoors_CoDriver_GreenRust": 4000,</v>
      </c>
      <c r="R1118" s="1" t="str">
        <f t="shared" si="94"/>
        <v>"HatchbackDoors_CoDriver_GreenRust": 3,</v>
      </c>
    </row>
    <row r="1119" spans="1:18" ht="15" customHeight="1" x14ac:dyDescent="0.25">
      <c r="A1119" s="1" t="str">
        <f t="shared" si="95"/>
        <v>#tc_vehicles#tc_parts#tc_doors</v>
      </c>
      <c r="B1119" s="1">
        <f>VLOOKUP(A1119,TraderCategory!$A$63:$E$556,2,FALSE)</f>
        <v>70</v>
      </c>
      <c r="C1119" s="1">
        <f>VLOOKUP(A1119,TraderCategory!$A$63:$F$556,6,FALSE)</f>
        <v>3</v>
      </c>
      <c r="D1119" s="1" t="str">
        <f>VLOOKUP(C1119,Tabulka5[],3,FALSE)</f>
        <v>Sergeant</v>
      </c>
      <c r="E1119" s="1">
        <v>3</v>
      </c>
      <c r="F1119" s="1" t="str">
        <f>VLOOKUP(E1119,Tabulka5[],3,FALSE)</f>
        <v>Sergeant</v>
      </c>
      <c r="G1119" s="1" t="s">
        <v>3115</v>
      </c>
      <c r="H1119" s="1" t="s">
        <v>3053</v>
      </c>
      <c r="I1119" s="1" t="s">
        <v>3033</v>
      </c>
      <c r="J1119" s="1" t="s">
        <v>2743</v>
      </c>
      <c r="K1119" s="1" t="s">
        <v>2742</v>
      </c>
      <c r="L1119" s="1" t="s">
        <v>3170</v>
      </c>
      <c r="M1119" s="1">
        <v>4000</v>
      </c>
      <c r="N1119" s="1">
        <v>1</v>
      </c>
      <c r="O1119" s="1" t="str">
        <f t="shared" si="91"/>
        <v>"HatchbackDoors_CoDriver_WhiteRust": 1,</v>
      </c>
      <c r="P1119" s="1" t="str">
        <f t="shared" si="92"/>
        <v>"HatchbackDoors_CoDriver_WhiteRust": 70,</v>
      </c>
      <c r="Q1119" s="1" t="str">
        <f t="shared" si="93"/>
        <v>"HatchbackDoors_CoDriver_WhiteRust": 4000,</v>
      </c>
      <c r="R1119" s="1" t="str">
        <f t="shared" si="94"/>
        <v>"HatchbackDoors_CoDriver_WhiteRust": 3,</v>
      </c>
    </row>
    <row r="1120" spans="1:18" ht="15" customHeight="1" x14ac:dyDescent="0.25">
      <c r="A1120" s="1" t="str">
        <f t="shared" si="95"/>
        <v>#tc_vehicles#tc_parts#tc_doors</v>
      </c>
      <c r="B1120" s="1">
        <f>VLOOKUP(A1120,TraderCategory!$A$63:$E$556,2,FALSE)</f>
        <v>70</v>
      </c>
      <c r="C1120" s="1">
        <f>VLOOKUP(A1120,TraderCategory!$A$63:$F$556,6,FALSE)</f>
        <v>3</v>
      </c>
      <c r="D1120" s="1" t="str">
        <f>VLOOKUP(C1120,Tabulka5[],3,FALSE)</f>
        <v>Sergeant</v>
      </c>
      <c r="E1120" s="1">
        <v>3</v>
      </c>
      <c r="F1120" s="1" t="str">
        <f>VLOOKUP(E1120,Tabulka5[],3,FALSE)</f>
        <v>Sergeant</v>
      </c>
      <c r="G1120" s="1" t="s">
        <v>3115</v>
      </c>
      <c r="H1120" s="1" t="s">
        <v>3054</v>
      </c>
      <c r="I1120" s="1" t="s">
        <v>3033</v>
      </c>
      <c r="J1120" s="1" t="s">
        <v>2743</v>
      </c>
      <c r="K1120" s="1" t="s">
        <v>2742</v>
      </c>
      <c r="L1120" s="1" t="s">
        <v>3170</v>
      </c>
      <c r="M1120" s="1">
        <v>4000</v>
      </c>
      <c r="N1120" s="1">
        <v>1</v>
      </c>
      <c r="O1120" s="1" t="str">
        <f t="shared" si="91"/>
        <v>"HatchbackDoors_Driver_BlueRust": 1,</v>
      </c>
      <c r="P1120" s="1" t="str">
        <f t="shared" si="92"/>
        <v>"HatchbackDoors_Driver_BlueRust": 70,</v>
      </c>
      <c r="Q1120" s="1" t="str">
        <f t="shared" si="93"/>
        <v>"HatchbackDoors_Driver_BlueRust": 4000,</v>
      </c>
      <c r="R1120" s="1" t="str">
        <f t="shared" si="94"/>
        <v>"HatchbackDoors_Driver_BlueRust": 3,</v>
      </c>
    </row>
    <row r="1121" spans="1:18" ht="15" customHeight="1" x14ac:dyDescent="0.25">
      <c r="A1121" s="1" t="str">
        <f t="shared" si="95"/>
        <v>#tc_vehicles#tc_parts#tc_doors</v>
      </c>
      <c r="B1121" s="1">
        <f>VLOOKUP(A1121,TraderCategory!$A$63:$E$556,2,FALSE)</f>
        <v>70</v>
      </c>
      <c r="C1121" s="1">
        <f>VLOOKUP(A1121,TraderCategory!$A$63:$F$556,6,FALSE)</f>
        <v>3</v>
      </c>
      <c r="D1121" s="1" t="str">
        <f>VLOOKUP(C1121,Tabulka5[],3,FALSE)</f>
        <v>Sergeant</v>
      </c>
      <c r="E1121" s="1">
        <v>3</v>
      </c>
      <c r="F1121" s="1" t="str">
        <f>VLOOKUP(E1121,Tabulka5[],3,FALSE)</f>
        <v>Sergeant</v>
      </c>
      <c r="G1121" s="1" t="s">
        <v>3115</v>
      </c>
      <c r="H1121" s="1" t="s">
        <v>3055</v>
      </c>
      <c r="I1121" s="1" t="s">
        <v>3033</v>
      </c>
      <c r="J1121" s="1" t="s">
        <v>2743</v>
      </c>
      <c r="K1121" s="1" t="s">
        <v>2742</v>
      </c>
      <c r="L1121" s="1" t="s">
        <v>3170</v>
      </c>
      <c r="M1121" s="1">
        <v>4000</v>
      </c>
      <c r="N1121" s="1">
        <v>1</v>
      </c>
      <c r="O1121" s="1" t="str">
        <f t="shared" si="91"/>
        <v>"HatchbackDoors_Driver_GreenRust": 1,</v>
      </c>
      <c r="P1121" s="1" t="str">
        <f t="shared" si="92"/>
        <v>"HatchbackDoors_Driver_GreenRust": 70,</v>
      </c>
      <c r="Q1121" s="1" t="str">
        <f t="shared" si="93"/>
        <v>"HatchbackDoors_Driver_GreenRust": 4000,</v>
      </c>
      <c r="R1121" s="1" t="str">
        <f t="shared" si="94"/>
        <v>"HatchbackDoors_Driver_GreenRust": 3,</v>
      </c>
    </row>
    <row r="1122" spans="1:18" ht="15" customHeight="1" x14ac:dyDescent="0.25">
      <c r="A1122" s="1" t="str">
        <f t="shared" si="95"/>
        <v>#tc_vehicles#tc_parts#tc_doors</v>
      </c>
      <c r="B1122" s="1">
        <f>VLOOKUP(A1122,TraderCategory!$A$63:$E$556,2,FALSE)</f>
        <v>70</v>
      </c>
      <c r="C1122" s="1">
        <f>VLOOKUP(A1122,TraderCategory!$A$63:$F$556,6,FALSE)</f>
        <v>3</v>
      </c>
      <c r="D1122" s="1" t="str">
        <f>VLOOKUP(C1122,Tabulka5[],3,FALSE)</f>
        <v>Sergeant</v>
      </c>
      <c r="E1122" s="1">
        <v>3</v>
      </c>
      <c r="F1122" s="1" t="str">
        <f>VLOOKUP(E1122,Tabulka5[],3,FALSE)</f>
        <v>Sergeant</v>
      </c>
      <c r="G1122" s="1" t="s">
        <v>3115</v>
      </c>
      <c r="H1122" s="1" t="s">
        <v>3056</v>
      </c>
      <c r="I1122" s="1" t="s">
        <v>3033</v>
      </c>
      <c r="J1122" s="1" t="s">
        <v>2743</v>
      </c>
      <c r="K1122" s="1" t="s">
        <v>2742</v>
      </c>
      <c r="L1122" s="1" t="s">
        <v>3170</v>
      </c>
      <c r="M1122" s="1">
        <v>4000</v>
      </c>
      <c r="N1122" s="1">
        <v>1</v>
      </c>
      <c r="O1122" s="1" t="str">
        <f t="shared" si="91"/>
        <v>"HatchbackDoors_Driver_WhiteRust": 1,</v>
      </c>
      <c r="P1122" s="1" t="str">
        <f t="shared" si="92"/>
        <v>"HatchbackDoors_Driver_WhiteRust": 70,</v>
      </c>
      <c r="Q1122" s="1" t="str">
        <f t="shared" si="93"/>
        <v>"HatchbackDoors_Driver_WhiteRust": 4000,</v>
      </c>
      <c r="R1122" s="1" t="str">
        <f t="shared" si="94"/>
        <v>"HatchbackDoors_Driver_WhiteRust": 3,</v>
      </c>
    </row>
    <row r="1123" spans="1:18" ht="15" customHeight="1" x14ac:dyDescent="0.25">
      <c r="A1123" s="1" t="str">
        <f t="shared" si="95"/>
        <v>#tc_vehicles#tc_parts#tc_hood</v>
      </c>
      <c r="B1123" s="1">
        <f>VLOOKUP(A1123,TraderCategory!$A$63:$E$556,2,FALSE)</f>
        <v>71</v>
      </c>
      <c r="C1123" s="1">
        <f>VLOOKUP(A1123,TraderCategory!$A$63:$F$556,6,FALSE)</f>
        <v>3</v>
      </c>
      <c r="D1123" s="1" t="str">
        <f>VLOOKUP(C1123,Tabulka5[],3,FALSE)</f>
        <v>Sergeant</v>
      </c>
      <c r="E1123" s="1">
        <v>3</v>
      </c>
      <c r="F1123" s="1" t="str">
        <f>VLOOKUP(E1123,Tabulka5[],3,FALSE)</f>
        <v>Sergeant</v>
      </c>
      <c r="G1123" s="1" t="s">
        <v>3115</v>
      </c>
      <c r="H1123" s="1" t="s">
        <v>3057</v>
      </c>
      <c r="I1123" s="1" t="s">
        <v>3033</v>
      </c>
      <c r="J1123" s="1" t="s">
        <v>2743</v>
      </c>
      <c r="K1123" s="1" t="s">
        <v>2742</v>
      </c>
      <c r="L1123" s="1" t="s">
        <v>3168</v>
      </c>
      <c r="M1123" s="1">
        <v>4000</v>
      </c>
      <c r="N1123" s="1">
        <v>1</v>
      </c>
      <c r="O1123" s="1" t="str">
        <f t="shared" si="91"/>
        <v>"HatchbackHood_BlueRust": 1,</v>
      </c>
      <c r="P1123" s="1" t="str">
        <f t="shared" si="92"/>
        <v>"HatchbackHood_BlueRust": 71,</v>
      </c>
      <c r="Q1123" s="1" t="str">
        <f t="shared" si="93"/>
        <v>"HatchbackHood_BlueRust": 4000,</v>
      </c>
      <c r="R1123" s="1" t="str">
        <f t="shared" si="94"/>
        <v>"HatchbackHood_BlueRust": 3,</v>
      </c>
    </row>
    <row r="1124" spans="1:18" ht="15" customHeight="1" x14ac:dyDescent="0.25">
      <c r="A1124" s="1" t="str">
        <f t="shared" si="95"/>
        <v>#tc_vehicles#tc_parts#tc_hood</v>
      </c>
      <c r="B1124" s="1">
        <f>VLOOKUP(A1124,TraderCategory!$A$63:$E$556,2,FALSE)</f>
        <v>71</v>
      </c>
      <c r="C1124" s="1">
        <f>VLOOKUP(A1124,TraderCategory!$A$63:$F$556,6,FALSE)</f>
        <v>3</v>
      </c>
      <c r="D1124" s="1" t="str">
        <f>VLOOKUP(C1124,Tabulka5[],3,FALSE)</f>
        <v>Sergeant</v>
      </c>
      <c r="E1124" s="1">
        <v>3</v>
      </c>
      <c r="F1124" s="1" t="str">
        <f>VLOOKUP(E1124,Tabulka5[],3,FALSE)</f>
        <v>Sergeant</v>
      </c>
      <c r="G1124" s="1" t="s">
        <v>3115</v>
      </c>
      <c r="H1124" s="1" t="s">
        <v>3058</v>
      </c>
      <c r="I1124" s="1" t="s">
        <v>3033</v>
      </c>
      <c r="J1124" s="1" t="s">
        <v>2743</v>
      </c>
      <c r="K1124" s="1" t="s">
        <v>2742</v>
      </c>
      <c r="L1124" s="1" t="s">
        <v>3168</v>
      </c>
      <c r="M1124" s="1">
        <v>4000</v>
      </c>
      <c r="N1124" s="1">
        <v>1</v>
      </c>
      <c r="O1124" s="1" t="str">
        <f t="shared" si="91"/>
        <v>"HatchbackHood_GreenRust": 1,</v>
      </c>
      <c r="P1124" s="1" t="str">
        <f t="shared" si="92"/>
        <v>"HatchbackHood_GreenRust": 71,</v>
      </c>
      <c r="Q1124" s="1" t="str">
        <f t="shared" si="93"/>
        <v>"HatchbackHood_GreenRust": 4000,</v>
      </c>
      <c r="R1124" s="1" t="str">
        <f t="shared" si="94"/>
        <v>"HatchbackHood_GreenRust": 3,</v>
      </c>
    </row>
    <row r="1125" spans="1:18" ht="15" customHeight="1" x14ac:dyDescent="0.25">
      <c r="A1125" s="1" t="str">
        <f t="shared" si="95"/>
        <v>#tc_vehicles#tc_parts#tc_hood</v>
      </c>
      <c r="B1125" s="1">
        <f>VLOOKUP(A1125,TraderCategory!$A$63:$E$556,2,FALSE)</f>
        <v>71</v>
      </c>
      <c r="C1125" s="1">
        <f>VLOOKUP(A1125,TraderCategory!$A$63:$F$556,6,FALSE)</f>
        <v>3</v>
      </c>
      <c r="D1125" s="1" t="str">
        <f>VLOOKUP(C1125,Tabulka5[],3,FALSE)</f>
        <v>Sergeant</v>
      </c>
      <c r="E1125" s="1">
        <v>3</v>
      </c>
      <c r="F1125" s="1" t="str">
        <f>VLOOKUP(E1125,Tabulka5[],3,FALSE)</f>
        <v>Sergeant</v>
      </c>
      <c r="G1125" s="1" t="s">
        <v>3115</v>
      </c>
      <c r="H1125" s="1" t="s">
        <v>3059</v>
      </c>
      <c r="I1125" s="1" t="s">
        <v>3033</v>
      </c>
      <c r="J1125" s="1" t="s">
        <v>2743</v>
      </c>
      <c r="K1125" s="1" t="s">
        <v>2742</v>
      </c>
      <c r="L1125" s="1" t="s">
        <v>3168</v>
      </c>
      <c r="M1125" s="1">
        <v>4000</v>
      </c>
      <c r="N1125" s="1">
        <v>1</v>
      </c>
      <c r="O1125" s="1" t="str">
        <f t="shared" si="91"/>
        <v>"HatchbackHood_WhiteRust": 1,</v>
      </c>
      <c r="P1125" s="1" t="str">
        <f t="shared" si="92"/>
        <v>"HatchbackHood_WhiteRust": 71,</v>
      </c>
      <c r="Q1125" s="1" t="str">
        <f t="shared" si="93"/>
        <v>"HatchbackHood_WhiteRust": 4000,</v>
      </c>
      <c r="R1125" s="1" t="str">
        <f t="shared" si="94"/>
        <v>"HatchbackHood_WhiteRust": 3,</v>
      </c>
    </row>
    <row r="1126" spans="1:18" ht="15" customHeight="1" x14ac:dyDescent="0.25">
      <c r="A1126" s="1" t="str">
        <f t="shared" si="95"/>
        <v>#tc_vehicles#tc_parts#tc_trunk</v>
      </c>
      <c r="B1126" s="1">
        <f>VLOOKUP(A1126,TraderCategory!$A$63:$E$556,2,FALSE)</f>
        <v>72</v>
      </c>
      <c r="C1126" s="1">
        <f>VLOOKUP(A1126,TraderCategory!$A$63:$F$556,6,FALSE)</f>
        <v>3</v>
      </c>
      <c r="D1126" s="1" t="str">
        <f>VLOOKUP(C1126,Tabulka5[],3,FALSE)</f>
        <v>Sergeant</v>
      </c>
      <c r="E1126" s="1">
        <v>3</v>
      </c>
      <c r="F1126" s="1" t="str">
        <f>VLOOKUP(E1126,Tabulka5[],3,FALSE)</f>
        <v>Sergeant</v>
      </c>
      <c r="G1126" s="1" t="s">
        <v>3115</v>
      </c>
      <c r="H1126" s="1" t="s">
        <v>3060</v>
      </c>
      <c r="I1126" s="1" t="s">
        <v>3033</v>
      </c>
      <c r="J1126" s="1" t="s">
        <v>2743</v>
      </c>
      <c r="K1126" s="1" t="s">
        <v>2742</v>
      </c>
      <c r="L1126" s="1" t="s">
        <v>3169</v>
      </c>
      <c r="M1126" s="1">
        <v>4000</v>
      </c>
      <c r="N1126" s="1">
        <v>1</v>
      </c>
      <c r="O1126" s="1" t="str">
        <f t="shared" si="91"/>
        <v>"HatchbackTrunk_BlueRust": 1,</v>
      </c>
      <c r="P1126" s="1" t="str">
        <f t="shared" si="92"/>
        <v>"HatchbackTrunk_BlueRust": 72,</v>
      </c>
      <c r="Q1126" s="1" t="str">
        <f t="shared" si="93"/>
        <v>"HatchbackTrunk_BlueRust": 4000,</v>
      </c>
      <c r="R1126" s="1" t="str">
        <f t="shared" si="94"/>
        <v>"HatchbackTrunk_BlueRust": 3,</v>
      </c>
    </row>
    <row r="1127" spans="1:18" ht="15" customHeight="1" x14ac:dyDescent="0.25">
      <c r="A1127" s="1" t="str">
        <f t="shared" si="95"/>
        <v>#tc_vehicles#tc_parts#tc_trunk</v>
      </c>
      <c r="B1127" s="1">
        <f>VLOOKUP(A1127,TraderCategory!$A$63:$E$556,2,FALSE)</f>
        <v>72</v>
      </c>
      <c r="C1127" s="1">
        <f>VLOOKUP(A1127,TraderCategory!$A$63:$F$556,6,FALSE)</f>
        <v>3</v>
      </c>
      <c r="D1127" s="1" t="str">
        <f>VLOOKUP(C1127,Tabulka5[],3,FALSE)</f>
        <v>Sergeant</v>
      </c>
      <c r="E1127" s="1">
        <v>3</v>
      </c>
      <c r="F1127" s="1" t="str">
        <f>VLOOKUP(E1127,Tabulka5[],3,FALSE)</f>
        <v>Sergeant</v>
      </c>
      <c r="G1127" s="1" t="s">
        <v>3115</v>
      </c>
      <c r="H1127" s="1" t="s">
        <v>3061</v>
      </c>
      <c r="I1127" s="1" t="s">
        <v>3033</v>
      </c>
      <c r="J1127" s="1" t="s">
        <v>2743</v>
      </c>
      <c r="K1127" s="1" t="s">
        <v>2742</v>
      </c>
      <c r="L1127" s="1" t="s">
        <v>3169</v>
      </c>
      <c r="M1127" s="1">
        <v>4000</v>
      </c>
      <c r="N1127" s="1">
        <v>1</v>
      </c>
      <c r="O1127" s="1" t="str">
        <f t="shared" si="91"/>
        <v>"HatchbackTrunk_GreenRust": 1,</v>
      </c>
      <c r="P1127" s="1" t="str">
        <f t="shared" si="92"/>
        <v>"HatchbackTrunk_GreenRust": 72,</v>
      </c>
      <c r="Q1127" s="1" t="str">
        <f t="shared" si="93"/>
        <v>"HatchbackTrunk_GreenRust": 4000,</v>
      </c>
      <c r="R1127" s="1" t="str">
        <f t="shared" si="94"/>
        <v>"HatchbackTrunk_GreenRust": 3,</v>
      </c>
    </row>
    <row r="1128" spans="1:18" ht="15" customHeight="1" x14ac:dyDescent="0.25">
      <c r="A1128" s="1" t="str">
        <f t="shared" si="95"/>
        <v>#tc_vehicles#tc_parts#tc_trunk</v>
      </c>
      <c r="B1128" s="1">
        <f>VLOOKUP(A1128,TraderCategory!$A$63:$E$556,2,FALSE)</f>
        <v>72</v>
      </c>
      <c r="C1128" s="1">
        <f>VLOOKUP(A1128,TraderCategory!$A$63:$F$556,6,FALSE)</f>
        <v>3</v>
      </c>
      <c r="D1128" s="1" t="str">
        <f>VLOOKUP(C1128,Tabulka5[],3,FALSE)</f>
        <v>Sergeant</v>
      </c>
      <c r="E1128" s="1">
        <v>3</v>
      </c>
      <c r="F1128" s="1" t="str">
        <f>VLOOKUP(E1128,Tabulka5[],3,FALSE)</f>
        <v>Sergeant</v>
      </c>
      <c r="G1128" s="1" t="s">
        <v>3115</v>
      </c>
      <c r="H1128" s="1" t="s">
        <v>3062</v>
      </c>
      <c r="I1128" s="1" t="s">
        <v>3033</v>
      </c>
      <c r="J1128" s="1" t="s">
        <v>2743</v>
      </c>
      <c r="K1128" s="1" t="s">
        <v>2742</v>
      </c>
      <c r="L1128" s="1" t="s">
        <v>3169</v>
      </c>
      <c r="M1128" s="1">
        <v>4000</v>
      </c>
      <c r="N1128" s="1">
        <v>1</v>
      </c>
      <c r="O1128" s="1" t="str">
        <f t="shared" si="91"/>
        <v>"HatchbackTrunk_WhiteRust": 1,</v>
      </c>
      <c r="P1128" s="1" t="str">
        <f t="shared" si="92"/>
        <v>"HatchbackTrunk_WhiteRust": 72,</v>
      </c>
      <c r="Q1128" s="1" t="str">
        <f t="shared" si="93"/>
        <v>"HatchbackTrunk_WhiteRust": 4000,</v>
      </c>
      <c r="R1128" s="1" t="str">
        <f t="shared" si="94"/>
        <v>"HatchbackTrunk_WhiteRust": 3,</v>
      </c>
    </row>
    <row r="1129" spans="1:18" ht="15" customHeight="1" x14ac:dyDescent="0.25">
      <c r="A1129" s="1" t="str">
        <f t="shared" si="95"/>
        <v>#tc_vehicles#tc_parts#tc_doors</v>
      </c>
      <c r="B1129" s="1">
        <f>VLOOKUP(A1129,TraderCategory!$A$63:$E$556,2,FALSE)</f>
        <v>70</v>
      </c>
      <c r="C1129" s="1">
        <f>VLOOKUP(A1129,TraderCategory!$A$63:$F$556,6,FALSE)</f>
        <v>3</v>
      </c>
      <c r="D1129" s="1" t="str">
        <f>VLOOKUP(C1129,Tabulka5[],3,FALSE)</f>
        <v>Sergeant</v>
      </c>
      <c r="E1129" s="1">
        <v>3</v>
      </c>
      <c r="F1129" s="1" t="str">
        <f>VLOOKUP(E1129,Tabulka5[],3,FALSE)</f>
        <v>Sergeant</v>
      </c>
      <c r="G1129" s="1" t="s">
        <v>3115</v>
      </c>
      <c r="H1129" s="1" t="s">
        <v>3063</v>
      </c>
      <c r="I1129" s="1" t="s">
        <v>3033</v>
      </c>
      <c r="J1129" s="1" t="s">
        <v>2743</v>
      </c>
      <c r="K1129" s="1" t="s">
        <v>2742</v>
      </c>
      <c r="L1129" s="1" t="s">
        <v>3170</v>
      </c>
      <c r="M1129" s="1">
        <v>4000</v>
      </c>
      <c r="N1129" s="1">
        <v>1</v>
      </c>
      <c r="O1129" s="1" t="str">
        <f t="shared" si="91"/>
        <v>"Hatchback_02_Door_1_1_BlackRust": 1,</v>
      </c>
      <c r="P1129" s="1" t="str">
        <f t="shared" si="92"/>
        <v>"Hatchback_02_Door_1_1_BlackRust": 70,</v>
      </c>
      <c r="Q1129" s="1" t="str">
        <f t="shared" si="93"/>
        <v>"Hatchback_02_Door_1_1_BlackRust": 4000,</v>
      </c>
      <c r="R1129" s="1" t="str">
        <f t="shared" si="94"/>
        <v>"Hatchback_02_Door_1_1_BlackRust": 3,</v>
      </c>
    </row>
    <row r="1130" spans="1:18" ht="15" customHeight="1" x14ac:dyDescent="0.25">
      <c r="A1130" s="1" t="str">
        <f t="shared" si="95"/>
        <v>#tc_vehicles#tc_parts#tc_doors</v>
      </c>
      <c r="B1130" s="1">
        <f>VLOOKUP(A1130,TraderCategory!$A$63:$E$556,2,FALSE)</f>
        <v>70</v>
      </c>
      <c r="C1130" s="1">
        <f>VLOOKUP(A1130,TraderCategory!$A$63:$F$556,6,FALSE)</f>
        <v>3</v>
      </c>
      <c r="D1130" s="1" t="str">
        <f>VLOOKUP(C1130,Tabulka5[],3,FALSE)</f>
        <v>Sergeant</v>
      </c>
      <c r="E1130" s="1">
        <v>3</v>
      </c>
      <c r="F1130" s="1" t="str">
        <f>VLOOKUP(E1130,Tabulka5[],3,FALSE)</f>
        <v>Sergeant</v>
      </c>
      <c r="G1130" s="1" t="s">
        <v>3115</v>
      </c>
      <c r="H1130" s="1" t="s">
        <v>3064</v>
      </c>
      <c r="I1130" s="1" t="s">
        <v>3033</v>
      </c>
      <c r="J1130" s="1" t="s">
        <v>2743</v>
      </c>
      <c r="K1130" s="1" t="s">
        <v>2742</v>
      </c>
      <c r="L1130" s="1" t="s">
        <v>3170</v>
      </c>
      <c r="M1130" s="1">
        <v>4000</v>
      </c>
      <c r="N1130" s="1">
        <v>1</v>
      </c>
      <c r="O1130" s="1" t="str">
        <f t="shared" si="91"/>
        <v>"Hatchback_02_Door_1_1_BlueRust": 1,</v>
      </c>
      <c r="P1130" s="1" t="str">
        <f t="shared" si="92"/>
        <v>"Hatchback_02_Door_1_1_BlueRust": 70,</v>
      </c>
      <c r="Q1130" s="1" t="str">
        <f t="shared" si="93"/>
        <v>"Hatchback_02_Door_1_1_BlueRust": 4000,</v>
      </c>
      <c r="R1130" s="1" t="str">
        <f t="shared" si="94"/>
        <v>"Hatchback_02_Door_1_1_BlueRust": 3,</v>
      </c>
    </row>
    <row r="1131" spans="1:18" ht="15" customHeight="1" x14ac:dyDescent="0.25">
      <c r="A1131" s="1" t="str">
        <f t="shared" si="95"/>
        <v>#tc_vehicles#tc_parts#tc_doors</v>
      </c>
      <c r="B1131" s="1">
        <f>VLOOKUP(A1131,TraderCategory!$A$63:$E$556,2,FALSE)</f>
        <v>70</v>
      </c>
      <c r="C1131" s="1">
        <f>VLOOKUP(A1131,TraderCategory!$A$63:$F$556,6,FALSE)</f>
        <v>3</v>
      </c>
      <c r="D1131" s="1" t="str">
        <f>VLOOKUP(C1131,Tabulka5[],3,FALSE)</f>
        <v>Sergeant</v>
      </c>
      <c r="E1131" s="1">
        <v>3</v>
      </c>
      <c r="F1131" s="1" t="str">
        <f>VLOOKUP(E1131,Tabulka5[],3,FALSE)</f>
        <v>Sergeant</v>
      </c>
      <c r="G1131" s="1" t="s">
        <v>3115</v>
      </c>
      <c r="H1131" s="1" t="s">
        <v>3065</v>
      </c>
      <c r="I1131" s="1" t="s">
        <v>3033</v>
      </c>
      <c r="J1131" s="1" t="s">
        <v>2743</v>
      </c>
      <c r="K1131" s="1" t="s">
        <v>2742</v>
      </c>
      <c r="L1131" s="1" t="s">
        <v>3170</v>
      </c>
      <c r="M1131" s="1">
        <v>4000</v>
      </c>
      <c r="N1131" s="1">
        <v>1</v>
      </c>
      <c r="O1131" s="1" t="str">
        <f t="shared" si="91"/>
        <v>"Hatchback_02_Door_1_1_RedRust": 1,</v>
      </c>
      <c r="P1131" s="1" t="str">
        <f t="shared" si="92"/>
        <v>"Hatchback_02_Door_1_1_RedRust": 70,</v>
      </c>
      <c r="Q1131" s="1" t="str">
        <f t="shared" si="93"/>
        <v>"Hatchback_02_Door_1_1_RedRust": 4000,</v>
      </c>
      <c r="R1131" s="1" t="str">
        <f t="shared" si="94"/>
        <v>"Hatchback_02_Door_1_1_RedRust": 3,</v>
      </c>
    </row>
    <row r="1132" spans="1:18" ht="15" customHeight="1" x14ac:dyDescent="0.25">
      <c r="A1132" s="1" t="str">
        <f t="shared" si="95"/>
        <v>#tc_vehicles#tc_parts#tc_doors</v>
      </c>
      <c r="B1132" s="1">
        <f>VLOOKUP(A1132,TraderCategory!$A$63:$E$556,2,FALSE)</f>
        <v>70</v>
      </c>
      <c r="C1132" s="1">
        <f>VLOOKUP(A1132,TraderCategory!$A$63:$F$556,6,FALSE)</f>
        <v>3</v>
      </c>
      <c r="D1132" s="1" t="str">
        <f>VLOOKUP(C1132,Tabulka5[],3,FALSE)</f>
        <v>Sergeant</v>
      </c>
      <c r="E1132" s="1">
        <v>3</v>
      </c>
      <c r="F1132" s="1" t="str">
        <f>VLOOKUP(E1132,Tabulka5[],3,FALSE)</f>
        <v>Sergeant</v>
      </c>
      <c r="G1132" s="1" t="s">
        <v>3115</v>
      </c>
      <c r="H1132" s="1" t="s">
        <v>3066</v>
      </c>
      <c r="I1132" s="1" t="s">
        <v>3033</v>
      </c>
      <c r="J1132" s="1" t="s">
        <v>2743</v>
      </c>
      <c r="K1132" s="1" t="s">
        <v>2742</v>
      </c>
      <c r="L1132" s="1" t="s">
        <v>3170</v>
      </c>
      <c r="M1132" s="1">
        <v>4000</v>
      </c>
      <c r="N1132" s="1">
        <v>1</v>
      </c>
      <c r="O1132" s="1" t="str">
        <f t="shared" si="91"/>
        <v>"Hatchback_02_Door_1_2_BlackRust": 1,</v>
      </c>
      <c r="P1132" s="1" t="str">
        <f t="shared" si="92"/>
        <v>"Hatchback_02_Door_1_2_BlackRust": 70,</v>
      </c>
      <c r="Q1132" s="1" t="str">
        <f t="shared" si="93"/>
        <v>"Hatchback_02_Door_1_2_BlackRust": 4000,</v>
      </c>
      <c r="R1132" s="1" t="str">
        <f t="shared" si="94"/>
        <v>"Hatchback_02_Door_1_2_BlackRust": 3,</v>
      </c>
    </row>
    <row r="1133" spans="1:18" ht="15" customHeight="1" x14ac:dyDescent="0.25">
      <c r="A1133" s="1" t="str">
        <f t="shared" si="95"/>
        <v>#tc_vehicles#tc_parts#tc_doors</v>
      </c>
      <c r="B1133" s="1">
        <f>VLOOKUP(A1133,TraderCategory!$A$63:$E$556,2,FALSE)</f>
        <v>70</v>
      </c>
      <c r="C1133" s="1">
        <f>VLOOKUP(A1133,TraderCategory!$A$63:$F$556,6,FALSE)</f>
        <v>3</v>
      </c>
      <c r="D1133" s="1" t="str">
        <f>VLOOKUP(C1133,Tabulka5[],3,FALSE)</f>
        <v>Sergeant</v>
      </c>
      <c r="E1133" s="1">
        <v>3</v>
      </c>
      <c r="F1133" s="1" t="str">
        <f>VLOOKUP(E1133,Tabulka5[],3,FALSE)</f>
        <v>Sergeant</v>
      </c>
      <c r="G1133" s="1" t="s">
        <v>3115</v>
      </c>
      <c r="H1133" s="1" t="s">
        <v>3067</v>
      </c>
      <c r="I1133" s="1" t="s">
        <v>3033</v>
      </c>
      <c r="J1133" s="1" t="s">
        <v>2743</v>
      </c>
      <c r="K1133" s="1" t="s">
        <v>2742</v>
      </c>
      <c r="L1133" s="1" t="s">
        <v>3170</v>
      </c>
      <c r="M1133" s="1">
        <v>4000</v>
      </c>
      <c r="N1133" s="1">
        <v>1</v>
      </c>
      <c r="O1133" s="1" t="str">
        <f t="shared" si="91"/>
        <v>"Hatchback_02_Door_1_2_BlueRust": 1,</v>
      </c>
      <c r="P1133" s="1" t="str">
        <f t="shared" si="92"/>
        <v>"Hatchback_02_Door_1_2_BlueRust": 70,</v>
      </c>
      <c r="Q1133" s="1" t="str">
        <f t="shared" si="93"/>
        <v>"Hatchback_02_Door_1_2_BlueRust": 4000,</v>
      </c>
      <c r="R1133" s="1" t="str">
        <f t="shared" si="94"/>
        <v>"Hatchback_02_Door_1_2_BlueRust": 3,</v>
      </c>
    </row>
    <row r="1134" spans="1:18" ht="15" customHeight="1" x14ac:dyDescent="0.25">
      <c r="A1134" s="1" t="str">
        <f t="shared" si="95"/>
        <v>#tc_vehicles#tc_parts#tc_doors</v>
      </c>
      <c r="B1134" s="1">
        <f>VLOOKUP(A1134,TraderCategory!$A$63:$E$556,2,FALSE)</f>
        <v>70</v>
      </c>
      <c r="C1134" s="1">
        <f>VLOOKUP(A1134,TraderCategory!$A$63:$F$556,6,FALSE)</f>
        <v>3</v>
      </c>
      <c r="D1134" s="1" t="str">
        <f>VLOOKUP(C1134,Tabulka5[],3,FALSE)</f>
        <v>Sergeant</v>
      </c>
      <c r="E1134" s="1">
        <v>3</v>
      </c>
      <c r="F1134" s="1" t="str">
        <f>VLOOKUP(E1134,Tabulka5[],3,FALSE)</f>
        <v>Sergeant</v>
      </c>
      <c r="G1134" s="1" t="s">
        <v>3115</v>
      </c>
      <c r="H1134" s="1" t="s">
        <v>3068</v>
      </c>
      <c r="I1134" s="1" t="s">
        <v>3033</v>
      </c>
      <c r="J1134" s="1" t="s">
        <v>2743</v>
      </c>
      <c r="K1134" s="1" t="s">
        <v>2742</v>
      </c>
      <c r="L1134" s="1" t="s">
        <v>3170</v>
      </c>
      <c r="M1134" s="1">
        <v>4000</v>
      </c>
      <c r="N1134" s="1">
        <v>1</v>
      </c>
      <c r="O1134" s="1" t="str">
        <f t="shared" si="91"/>
        <v>"Hatchback_02_Door_1_2_RedRust": 1,</v>
      </c>
      <c r="P1134" s="1" t="str">
        <f t="shared" si="92"/>
        <v>"Hatchback_02_Door_1_2_RedRust": 70,</v>
      </c>
      <c r="Q1134" s="1" t="str">
        <f t="shared" si="93"/>
        <v>"Hatchback_02_Door_1_2_RedRust": 4000,</v>
      </c>
      <c r="R1134" s="1" t="str">
        <f t="shared" si="94"/>
        <v>"Hatchback_02_Door_1_2_RedRust": 3,</v>
      </c>
    </row>
    <row r="1135" spans="1:18" ht="15" customHeight="1" x14ac:dyDescent="0.25">
      <c r="A1135" s="1" t="str">
        <f t="shared" si="95"/>
        <v>#tc_vehicles#tc_parts#tc_doors</v>
      </c>
      <c r="B1135" s="1">
        <f>VLOOKUP(A1135,TraderCategory!$A$63:$E$556,2,FALSE)</f>
        <v>70</v>
      </c>
      <c r="C1135" s="1">
        <f>VLOOKUP(A1135,TraderCategory!$A$63:$F$556,6,FALSE)</f>
        <v>3</v>
      </c>
      <c r="D1135" s="1" t="str">
        <f>VLOOKUP(C1135,Tabulka5[],3,FALSE)</f>
        <v>Sergeant</v>
      </c>
      <c r="E1135" s="1">
        <v>3</v>
      </c>
      <c r="F1135" s="1" t="str">
        <f>VLOOKUP(E1135,Tabulka5[],3,FALSE)</f>
        <v>Sergeant</v>
      </c>
      <c r="G1135" s="1" t="s">
        <v>3115</v>
      </c>
      <c r="H1135" s="1" t="s">
        <v>3069</v>
      </c>
      <c r="I1135" s="1" t="s">
        <v>3033</v>
      </c>
      <c r="J1135" s="1" t="s">
        <v>2743</v>
      </c>
      <c r="K1135" s="1" t="s">
        <v>2742</v>
      </c>
      <c r="L1135" s="1" t="s">
        <v>3170</v>
      </c>
      <c r="M1135" s="1">
        <v>4000</v>
      </c>
      <c r="N1135" s="1">
        <v>1</v>
      </c>
      <c r="O1135" s="1" t="str">
        <f t="shared" si="91"/>
        <v>"Hatchback_02_Door_2_1_BlackRust": 1,</v>
      </c>
      <c r="P1135" s="1" t="str">
        <f t="shared" si="92"/>
        <v>"Hatchback_02_Door_2_1_BlackRust": 70,</v>
      </c>
      <c r="Q1135" s="1" t="str">
        <f t="shared" si="93"/>
        <v>"Hatchback_02_Door_2_1_BlackRust": 4000,</v>
      </c>
      <c r="R1135" s="1" t="str">
        <f t="shared" si="94"/>
        <v>"Hatchback_02_Door_2_1_BlackRust": 3,</v>
      </c>
    </row>
    <row r="1136" spans="1:18" ht="15" customHeight="1" x14ac:dyDescent="0.25">
      <c r="A1136" s="1" t="str">
        <f t="shared" si="95"/>
        <v>#tc_vehicles#tc_parts#tc_doors</v>
      </c>
      <c r="B1136" s="1">
        <f>VLOOKUP(A1136,TraderCategory!$A$63:$E$556,2,FALSE)</f>
        <v>70</v>
      </c>
      <c r="C1136" s="1">
        <f>VLOOKUP(A1136,TraderCategory!$A$63:$F$556,6,FALSE)</f>
        <v>3</v>
      </c>
      <c r="D1136" s="1" t="str">
        <f>VLOOKUP(C1136,Tabulka5[],3,FALSE)</f>
        <v>Sergeant</v>
      </c>
      <c r="E1136" s="1">
        <v>3</v>
      </c>
      <c r="F1136" s="1" t="str">
        <f>VLOOKUP(E1136,Tabulka5[],3,FALSE)</f>
        <v>Sergeant</v>
      </c>
      <c r="G1136" s="1" t="s">
        <v>3115</v>
      </c>
      <c r="H1136" s="1" t="s">
        <v>3070</v>
      </c>
      <c r="I1136" s="1" t="s">
        <v>3033</v>
      </c>
      <c r="J1136" s="1" t="s">
        <v>2743</v>
      </c>
      <c r="K1136" s="1" t="s">
        <v>2742</v>
      </c>
      <c r="L1136" s="1" t="s">
        <v>3170</v>
      </c>
      <c r="M1136" s="1">
        <v>4000</v>
      </c>
      <c r="N1136" s="1">
        <v>1</v>
      </c>
      <c r="O1136" s="1" t="str">
        <f t="shared" si="91"/>
        <v>"Hatchback_02_Door_2_1_BlueRust": 1,</v>
      </c>
      <c r="P1136" s="1" t="str">
        <f t="shared" si="92"/>
        <v>"Hatchback_02_Door_2_1_BlueRust": 70,</v>
      </c>
      <c r="Q1136" s="1" t="str">
        <f t="shared" si="93"/>
        <v>"Hatchback_02_Door_2_1_BlueRust": 4000,</v>
      </c>
      <c r="R1136" s="1" t="str">
        <f t="shared" si="94"/>
        <v>"Hatchback_02_Door_2_1_BlueRust": 3,</v>
      </c>
    </row>
    <row r="1137" spans="1:18" ht="15" customHeight="1" x14ac:dyDescent="0.25">
      <c r="A1137" s="1" t="str">
        <f t="shared" si="95"/>
        <v>#tc_vehicles#tc_parts#tc_doors</v>
      </c>
      <c r="B1137" s="1">
        <f>VLOOKUP(A1137,TraderCategory!$A$63:$E$556,2,FALSE)</f>
        <v>70</v>
      </c>
      <c r="C1137" s="1">
        <f>VLOOKUP(A1137,TraderCategory!$A$63:$F$556,6,FALSE)</f>
        <v>3</v>
      </c>
      <c r="D1137" s="1" t="str">
        <f>VLOOKUP(C1137,Tabulka5[],3,FALSE)</f>
        <v>Sergeant</v>
      </c>
      <c r="E1137" s="1">
        <v>3</v>
      </c>
      <c r="F1137" s="1" t="str">
        <f>VLOOKUP(E1137,Tabulka5[],3,FALSE)</f>
        <v>Sergeant</v>
      </c>
      <c r="G1137" s="1" t="s">
        <v>3115</v>
      </c>
      <c r="H1137" s="1" t="s">
        <v>3071</v>
      </c>
      <c r="I1137" s="1" t="s">
        <v>3033</v>
      </c>
      <c r="J1137" s="1" t="s">
        <v>2743</v>
      </c>
      <c r="K1137" s="1" t="s">
        <v>2742</v>
      </c>
      <c r="L1137" s="1" t="s">
        <v>3170</v>
      </c>
      <c r="M1137" s="1">
        <v>4000</v>
      </c>
      <c r="N1137" s="1">
        <v>1</v>
      </c>
      <c r="O1137" s="1" t="str">
        <f t="shared" si="91"/>
        <v>"Hatchback_02_Door_2_1_RedRust": 1,</v>
      </c>
      <c r="P1137" s="1" t="str">
        <f t="shared" si="92"/>
        <v>"Hatchback_02_Door_2_1_RedRust": 70,</v>
      </c>
      <c r="Q1137" s="1" t="str">
        <f t="shared" si="93"/>
        <v>"Hatchback_02_Door_2_1_RedRust": 4000,</v>
      </c>
      <c r="R1137" s="1" t="str">
        <f t="shared" si="94"/>
        <v>"Hatchback_02_Door_2_1_RedRust": 3,</v>
      </c>
    </row>
    <row r="1138" spans="1:18" ht="15" customHeight="1" x14ac:dyDescent="0.25">
      <c r="A1138" s="1" t="str">
        <f t="shared" si="95"/>
        <v>#tc_vehicles#tc_parts#tc_doors</v>
      </c>
      <c r="B1138" s="1">
        <f>VLOOKUP(A1138,TraderCategory!$A$63:$E$556,2,FALSE)</f>
        <v>70</v>
      </c>
      <c r="C1138" s="1">
        <f>VLOOKUP(A1138,TraderCategory!$A$63:$F$556,6,FALSE)</f>
        <v>3</v>
      </c>
      <c r="D1138" s="1" t="str">
        <f>VLOOKUP(C1138,Tabulka5[],3,FALSE)</f>
        <v>Sergeant</v>
      </c>
      <c r="E1138" s="1">
        <v>3</v>
      </c>
      <c r="F1138" s="1" t="str">
        <f>VLOOKUP(E1138,Tabulka5[],3,FALSE)</f>
        <v>Sergeant</v>
      </c>
      <c r="G1138" s="1" t="s">
        <v>3115</v>
      </c>
      <c r="H1138" s="1" t="s">
        <v>3072</v>
      </c>
      <c r="I1138" s="1" t="s">
        <v>3033</v>
      </c>
      <c r="J1138" s="1" t="s">
        <v>2743</v>
      </c>
      <c r="K1138" s="1" t="s">
        <v>2742</v>
      </c>
      <c r="L1138" s="1" t="s">
        <v>3170</v>
      </c>
      <c r="M1138" s="1">
        <v>4000</v>
      </c>
      <c r="N1138" s="1">
        <v>1</v>
      </c>
      <c r="O1138" s="1" t="str">
        <f t="shared" si="91"/>
        <v>"Hatchback_02_Door_2_2_BlackRust": 1,</v>
      </c>
      <c r="P1138" s="1" t="str">
        <f t="shared" si="92"/>
        <v>"Hatchback_02_Door_2_2_BlackRust": 70,</v>
      </c>
      <c r="Q1138" s="1" t="str">
        <f t="shared" si="93"/>
        <v>"Hatchback_02_Door_2_2_BlackRust": 4000,</v>
      </c>
      <c r="R1138" s="1" t="str">
        <f t="shared" si="94"/>
        <v>"Hatchback_02_Door_2_2_BlackRust": 3,</v>
      </c>
    </row>
    <row r="1139" spans="1:18" ht="15" customHeight="1" x14ac:dyDescent="0.25">
      <c r="A1139" s="1" t="str">
        <f t="shared" si="95"/>
        <v>#tc_vehicles#tc_parts#tc_doors</v>
      </c>
      <c r="B1139" s="1">
        <f>VLOOKUP(A1139,TraderCategory!$A$63:$E$556,2,FALSE)</f>
        <v>70</v>
      </c>
      <c r="C1139" s="1">
        <f>VLOOKUP(A1139,TraderCategory!$A$63:$F$556,6,FALSE)</f>
        <v>3</v>
      </c>
      <c r="D1139" s="1" t="str">
        <f>VLOOKUP(C1139,Tabulka5[],3,FALSE)</f>
        <v>Sergeant</v>
      </c>
      <c r="E1139" s="1">
        <v>3</v>
      </c>
      <c r="F1139" s="1" t="str">
        <f>VLOOKUP(E1139,Tabulka5[],3,FALSE)</f>
        <v>Sergeant</v>
      </c>
      <c r="G1139" s="1" t="s">
        <v>3115</v>
      </c>
      <c r="H1139" s="1" t="s">
        <v>3073</v>
      </c>
      <c r="I1139" s="1" t="s">
        <v>3033</v>
      </c>
      <c r="J1139" s="1" t="s">
        <v>2743</v>
      </c>
      <c r="K1139" s="1" t="s">
        <v>2742</v>
      </c>
      <c r="L1139" s="1" t="s">
        <v>3170</v>
      </c>
      <c r="M1139" s="1">
        <v>4000</v>
      </c>
      <c r="N1139" s="1">
        <v>1</v>
      </c>
      <c r="O1139" s="1" t="str">
        <f t="shared" si="91"/>
        <v>"Hatchback_02_Door_2_2_BlueRust": 1,</v>
      </c>
      <c r="P1139" s="1" t="str">
        <f t="shared" si="92"/>
        <v>"Hatchback_02_Door_2_2_BlueRust": 70,</v>
      </c>
      <c r="Q1139" s="1" t="str">
        <f t="shared" si="93"/>
        <v>"Hatchback_02_Door_2_2_BlueRust": 4000,</v>
      </c>
      <c r="R1139" s="1" t="str">
        <f t="shared" si="94"/>
        <v>"Hatchback_02_Door_2_2_BlueRust": 3,</v>
      </c>
    </row>
    <row r="1140" spans="1:18" ht="15" customHeight="1" x14ac:dyDescent="0.25">
      <c r="A1140" s="1" t="str">
        <f t="shared" si="95"/>
        <v>#tc_vehicles#tc_parts#tc_doors</v>
      </c>
      <c r="B1140" s="1">
        <f>VLOOKUP(A1140,TraderCategory!$A$63:$E$556,2,FALSE)</f>
        <v>70</v>
      </c>
      <c r="C1140" s="1">
        <f>VLOOKUP(A1140,TraderCategory!$A$63:$F$556,6,FALSE)</f>
        <v>3</v>
      </c>
      <c r="D1140" s="1" t="str">
        <f>VLOOKUP(C1140,Tabulka5[],3,FALSE)</f>
        <v>Sergeant</v>
      </c>
      <c r="E1140" s="1">
        <v>3</v>
      </c>
      <c r="F1140" s="1" t="str">
        <f>VLOOKUP(E1140,Tabulka5[],3,FALSE)</f>
        <v>Sergeant</v>
      </c>
      <c r="G1140" s="1" t="s">
        <v>3115</v>
      </c>
      <c r="H1140" s="1" t="s">
        <v>3074</v>
      </c>
      <c r="I1140" s="1" t="s">
        <v>3033</v>
      </c>
      <c r="J1140" s="1" t="s">
        <v>2743</v>
      </c>
      <c r="K1140" s="1" t="s">
        <v>2742</v>
      </c>
      <c r="L1140" s="1" t="s">
        <v>3170</v>
      </c>
      <c r="M1140" s="1">
        <v>4000</v>
      </c>
      <c r="N1140" s="1">
        <v>1</v>
      </c>
      <c r="O1140" s="1" t="str">
        <f t="shared" si="91"/>
        <v>"Hatchback_02_Door_2_2_RedRust": 1,</v>
      </c>
      <c r="P1140" s="1" t="str">
        <f t="shared" si="92"/>
        <v>"Hatchback_02_Door_2_2_RedRust": 70,</v>
      </c>
      <c r="Q1140" s="1" t="str">
        <f t="shared" si="93"/>
        <v>"Hatchback_02_Door_2_2_RedRust": 4000,</v>
      </c>
      <c r="R1140" s="1" t="str">
        <f t="shared" si="94"/>
        <v>"Hatchback_02_Door_2_2_RedRust": 3,</v>
      </c>
    </row>
    <row r="1141" spans="1:18" ht="15" customHeight="1" x14ac:dyDescent="0.25">
      <c r="A1141" s="1" t="str">
        <f t="shared" ref="A1141:A1175" si="96">CONCATENATE(J1141,K1141,L1141)</f>
        <v>#tc_vehicles#tc_parts#tc_hood</v>
      </c>
      <c r="B1141" s="1">
        <f>VLOOKUP(A1141,TraderCategory!$A$63:$E$556,2,FALSE)</f>
        <v>71</v>
      </c>
      <c r="C1141" s="1">
        <f>VLOOKUP(A1141,TraderCategory!$A$63:$F$556,6,FALSE)</f>
        <v>3</v>
      </c>
      <c r="D1141" s="1" t="str">
        <f>VLOOKUP(C1141,Tabulka5[],3,FALSE)</f>
        <v>Sergeant</v>
      </c>
      <c r="E1141" s="1">
        <v>3</v>
      </c>
      <c r="F1141" s="1" t="str">
        <f>VLOOKUP(E1141,Tabulka5[],3,FALSE)</f>
        <v>Sergeant</v>
      </c>
      <c r="G1141" s="1" t="s">
        <v>3115</v>
      </c>
      <c r="H1141" s="1" t="s">
        <v>3075</v>
      </c>
      <c r="I1141" s="1" t="s">
        <v>3033</v>
      </c>
      <c r="J1141" s="1" t="s">
        <v>2743</v>
      </c>
      <c r="K1141" s="1" t="s">
        <v>2742</v>
      </c>
      <c r="L1141" s="1" t="s">
        <v>3168</v>
      </c>
      <c r="M1141" s="1">
        <v>4000</v>
      </c>
      <c r="N1141" s="1">
        <v>1</v>
      </c>
      <c r="O1141" s="1" t="str">
        <f t="shared" si="91"/>
        <v>"Hatchback_02_Hood_BlackRust": 1,</v>
      </c>
      <c r="P1141" s="1" t="str">
        <f t="shared" si="92"/>
        <v>"Hatchback_02_Hood_BlackRust": 71,</v>
      </c>
      <c r="Q1141" s="1" t="str">
        <f t="shared" si="93"/>
        <v>"Hatchback_02_Hood_BlackRust": 4000,</v>
      </c>
      <c r="R1141" s="1" t="str">
        <f t="shared" si="94"/>
        <v>"Hatchback_02_Hood_BlackRust": 3,</v>
      </c>
    </row>
    <row r="1142" spans="1:18" ht="15" customHeight="1" x14ac:dyDescent="0.25">
      <c r="A1142" s="1" t="str">
        <f t="shared" si="96"/>
        <v>#tc_vehicles#tc_parts#tc_hood</v>
      </c>
      <c r="B1142" s="1">
        <f>VLOOKUP(A1142,TraderCategory!$A$63:$E$556,2,FALSE)</f>
        <v>71</v>
      </c>
      <c r="C1142" s="1">
        <f>VLOOKUP(A1142,TraderCategory!$A$63:$F$556,6,FALSE)</f>
        <v>3</v>
      </c>
      <c r="D1142" s="1" t="str">
        <f>VLOOKUP(C1142,Tabulka5[],3,FALSE)</f>
        <v>Sergeant</v>
      </c>
      <c r="E1142" s="1">
        <v>3</v>
      </c>
      <c r="F1142" s="1" t="str">
        <f>VLOOKUP(E1142,Tabulka5[],3,FALSE)</f>
        <v>Sergeant</v>
      </c>
      <c r="G1142" s="1" t="s">
        <v>3115</v>
      </c>
      <c r="H1142" s="1" t="s">
        <v>3076</v>
      </c>
      <c r="I1142" s="1" t="s">
        <v>3033</v>
      </c>
      <c r="J1142" s="1" t="s">
        <v>2743</v>
      </c>
      <c r="K1142" s="1" t="s">
        <v>2742</v>
      </c>
      <c r="L1142" s="1" t="s">
        <v>3168</v>
      </c>
      <c r="M1142" s="1">
        <v>4000</v>
      </c>
      <c r="N1142" s="1">
        <v>1</v>
      </c>
      <c r="O1142" s="1" t="str">
        <f t="shared" si="91"/>
        <v>"Hatchback_02_Hood_BlueRust": 1,</v>
      </c>
      <c r="P1142" s="1" t="str">
        <f t="shared" si="92"/>
        <v>"Hatchback_02_Hood_BlueRust": 71,</v>
      </c>
      <c r="Q1142" s="1" t="str">
        <f t="shared" si="93"/>
        <v>"Hatchback_02_Hood_BlueRust": 4000,</v>
      </c>
      <c r="R1142" s="1" t="str">
        <f t="shared" si="94"/>
        <v>"Hatchback_02_Hood_BlueRust": 3,</v>
      </c>
    </row>
    <row r="1143" spans="1:18" ht="15" customHeight="1" x14ac:dyDescent="0.25">
      <c r="A1143" s="1" t="str">
        <f t="shared" si="96"/>
        <v>#tc_vehicles#tc_parts#tc_hood</v>
      </c>
      <c r="B1143" s="1">
        <f>VLOOKUP(A1143,TraderCategory!$A$63:$E$556,2,FALSE)</f>
        <v>71</v>
      </c>
      <c r="C1143" s="1">
        <f>VLOOKUP(A1143,TraderCategory!$A$63:$F$556,6,FALSE)</f>
        <v>3</v>
      </c>
      <c r="D1143" s="1" t="str">
        <f>VLOOKUP(C1143,Tabulka5[],3,FALSE)</f>
        <v>Sergeant</v>
      </c>
      <c r="E1143" s="1">
        <v>3</v>
      </c>
      <c r="F1143" s="1" t="str">
        <f>VLOOKUP(E1143,Tabulka5[],3,FALSE)</f>
        <v>Sergeant</v>
      </c>
      <c r="G1143" s="1" t="s">
        <v>3115</v>
      </c>
      <c r="H1143" s="1" t="s">
        <v>3077</v>
      </c>
      <c r="I1143" s="1" t="s">
        <v>3033</v>
      </c>
      <c r="J1143" s="1" t="s">
        <v>2743</v>
      </c>
      <c r="K1143" s="1" t="s">
        <v>2742</v>
      </c>
      <c r="L1143" s="1" t="s">
        <v>3168</v>
      </c>
      <c r="M1143" s="1">
        <v>4000</v>
      </c>
      <c r="N1143" s="1">
        <v>1</v>
      </c>
      <c r="O1143" s="1" t="str">
        <f t="shared" si="91"/>
        <v>"Hatchback_02_Hood_RedRust": 1,</v>
      </c>
      <c r="P1143" s="1" t="str">
        <f t="shared" si="92"/>
        <v>"Hatchback_02_Hood_RedRust": 71,</v>
      </c>
      <c r="Q1143" s="1" t="str">
        <f t="shared" si="93"/>
        <v>"Hatchback_02_Hood_RedRust": 4000,</v>
      </c>
      <c r="R1143" s="1" t="str">
        <f t="shared" si="94"/>
        <v>"Hatchback_02_Hood_RedRust": 3,</v>
      </c>
    </row>
    <row r="1144" spans="1:18" ht="15" customHeight="1" x14ac:dyDescent="0.25">
      <c r="A1144" s="1" t="str">
        <f t="shared" si="96"/>
        <v>#tc_vehicles#tc_parts#tc_trunk</v>
      </c>
      <c r="B1144" s="1">
        <f>VLOOKUP(A1144,TraderCategory!$A$63:$E$556,2,FALSE)</f>
        <v>72</v>
      </c>
      <c r="C1144" s="1">
        <f>VLOOKUP(A1144,TraderCategory!$A$63:$F$556,6,FALSE)</f>
        <v>3</v>
      </c>
      <c r="D1144" s="1" t="str">
        <f>VLOOKUP(C1144,Tabulka5[],3,FALSE)</f>
        <v>Sergeant</v>
      </c>
      <c r="E1144" s="1">
        <v>3</v>
      </c>
      <c r="F1144" s="1" t="str">
        <f>VLOOKUP(E1144,Tabulka5[],3,FALSE)</f>
        <v>Sergeant</v>
      </c>
      <c r="G1144" s="1" t="s">
        <v>3115</v>
      </c>
      <c r="H1144" s="1" t="s">
        <v>3078</v>
      </c>
      <c r="I1144" s="1" t="s">
        <v>3033</v>
      </c>
      <c r="J1144" s="1" t="s">
        <v>2743</v>
      </c>
      <c r="K1144" s="1" t="s">
        <v>2742</v>
      </c>
      <c r="L1144" s="1" t="s">
        <v>3169</v>
      </c>
      <c r="M1144" s="1">
        <v>4000</v>
      </c>
      <c r="N1144" s="1">
        <v>1</v>
      </c>
      <c r="O1144" s="1" t="str">
        <f t="shared" si="91"/>
        <v>"Hatchback_02_Trunk_BlackRust": 1,</v>
      </c>
      <c r="P1144" s="1" t="str">
        <f t="shared" si="92"/>
        <v>"Hatchback_02_Trunk_BlackRust": 72,</v>
      </c>
      <c r="Q1144" s="1" t="str">
        <f t="shared" si="93"/>
        <v>"Hatchback_02_Trunk_BlackRust": 4000,</v>
      </c>
      <c r="R1144" s="1" t="str">
        <f t="shared" si="94"/>
        <v>"Hatchback_02_Trunk_BlackRust": 3,</v>
      </c>
    </row>
    <row r="1145" spans="1:18" ht="15" customHeight="1" x14ac:dyDescent="0.25">
      <c r="A1145" s="1" t="str">
        <f t="shared" si="96"/>
        <v>#tc_vehicles#tc_parts#tc_trunk</v>
      </c>
      <c r="B1145" s="1">
        <f>VLOOKUP(A1145,TraderCategory!$A$63:$E$556,2,FALSE)</f>
        <v>72</v>
      </c>
      <c r="C1145" s="1">
        <f>VLOOKUP(A1145,TraderCategory!$A$63:$F$556,6,FALSE)</f>
        <v>3</v>
      </c>
      <c r="D1145" s="1" t="str">
        <f>VLOOKUP(C1145,Tabulka5[],3,FALSE)</f>
        <v>Sergeant</v>
      </c>
      <c r="E1145" s="1">
        <v>3</v>
      </c>
      <c r="F1145" s="1" t="str">
        <f>VLOOKUP(E1145,Tabulka5[],3,FALSE)</f>
        <v>Sergeant</v>
      </c>
      <c r="G1145" s="1" t="s">
        <v>3115</v>
      </c>
      <c r="H1145" s="1" t="s">
        <v>3079</v>
      </c>
      <c r="I1145" s="1" t="s">
        <v>3033</v>
      </c>
      <c r="J1145" s="1" t="s">
        <v>2743</v>
      </c>
      <c r="K1145" s="1" t="s">
        <v>2742</v>
      </c>
      <c r="L1145" s="1" t="s">
        <v>3169</v>
      </c>
      <c r="M1145" s="1">
        <v>4000</v>
      </c>
      <c r="N1145" s="1">
        <v>1</v>
      </c>
      <c r="O1145" s="1" t="str">
        <f t="shared" si="91"/>
        <v>"Hatchback_02_Trunk_BlueRust": 1,</v>
      </c>
      <c r="P1145" s="1" t="str">
        <f t="shared" si="92"/>
        <v>"Hatchback_02_Trunk_BlueRust": 72,</v>
      </c>
      <c r="Q1145" s="1" t="str">
        <f t="shared" si="93"/>
        <v>"Hatchback_02_Trunk_BlueRust": 4000,</v>
      </c>
      <c r="R1145" s="1" t="str">
        <f t="shared" si="94"/>
        <v>"Hatchback_02_Trunk_BlueRust": 3,</v>
      </c>
    </row>
    <row r="1146" spans="1:18" ht="15" customHeight="1" x14ac:dyDescent="0.25">
      <c r="A1146" s="1" t="str">
        <f t="shared" si="96"/>
        <v>#tc_vehicles#tc_parts#tc_trunk</v>
      </c>
      <c r="B1146" s="1">
        <f>VLOOKUP(A1146,TraderCategory!$A$63:$E$556,2,FALSE)</f>
        <v>72</v>
      </c>
      <c r="C1146" s="1">
        <f>VLOOKUP(A1146,TraderCategory!$A$63:$F$556,6,FALSE)</f>
        <v>3</v>
      </c>
      <c r="D1146" s="1" t="str">
        <f>VLOOKUP(C1146,Tabulka5[],3,FALSE)</f>
        <v>Sergeant</v>
      </c>
      <c r="E1146" s="1">
        <v>3</v>
      </c>
      <c r="F1146" s="1" t="str">
        <f>VLOOKUP(E1146,Tabulka5[],3,FALSE)</f>
        <v>Sergeant</v>
      </c>
      <c r="G1146" s="1" t="s">
        <v>3115</v>
      </c>
      <c r="H1146" s="1" t="s">
        <v>3080</v>
      </c>
      <c r="I1146" s="1" t="s">
        <v>3033</v>
      </c>
      <c r="J1146" s="1" t="s">
        <v>2743</v>
      </c>
      <c r="K1146" s="1" t="s">
        <v>2742</v>
      </c>
      <c r="L1146" s="1" t="s">
        <v>3169</v>
      </c>
      <c r="M1146" s="1">
        <v>4000</v>
      </c>
      <c r="N1146" s="1">
        <v>1</v>
      </c>
      <c r="O1146" s="1" t="str">
        <f t="shared" si="91"/>
        <v>"Hatchback_02_Trunk_RedRust": 1,</v>
      </c>
      <c r="P1146" s="1" t="str">
        <f t="shared" si="92"/>
        <v>"Hatchback_02_Trunk_RedRust": 72,</v>
      </c>
      <c r="Q1146" s="1" t="str">
        <f t="shared" si="93"/>
        <v>"Hatchback_02_Trunk_RedRust": 4000,</v>
      </c>
      <c r="R1146" s="1" t="str">
        <f t="shared" si="94"/>
        <v>"Hatchback_02_Trunk_RedRust": 3,</v>
      </c>
    </row>
    <row r="1147" spans="1:18" ht="15" customHeight="1" x14ac:dyDescent="0.25">
      <c r="A1147" s="1" t="str">
        <f t="shared" si="96"/>
        <v>#tc_vehicles#tc_parts#tc_doors</v>
      </c>
      <c r="B1147" s="1">
        <f>VLOOKUP(A1147,TraderCategory!$A$63:$E$556,2,FALSE)</f>
        <v>70</v>
      </c>
      <c r="C1147" s="1">
        <f>VLOOKUP(A1147,TraderCategory!$A$63:$F$556,6,FALSE)</f>
        <v>3</v>
      </c>
      <c r="D1147" s="1" t="str">
        <f>VLOOKUP(C1147,Tabulka5[],3,FALSE)</f>
        <v>Sergeant</v>
      </c>
      <c r="E1147" s="1">
        <v>3</v>
      </c>
      <c r="F1147" s="1" t="str">
        <f>VLOOKUP(E1147,Tabulka5[],3,FALSE)</f>
        <v>Sergeant</v>
      </c>
      <c r="G1147" s="1" t="s">
        <v>3115</v>
      </c>
      <c r="H1147" s="1" t="s">
        <v>3081</v>
      </c>
      <c r="I1147" s="1" t="s">
        <v>3033</v>
      </c>
      <c r="J1147" s="1" t="s">
        <v>2743</v>
      </c>
      <c r="K1147" s="1" t="s">
        <v>2742</v>
      </c>
      <c r="L1147" s="1" t="s">
        <v>3170</v>
      </c>
      <c r="M1147" s="1">
        <v>4000</v>
      </c>
      <c r="N1147" s="1">
        <v>1</v>
      </c>
      <c r="O1147" s="1" t="str">
        <f t="shared" ref="O1147:O1210" si="97">"""" &amp;H1147 &amp; """: " &amp; N1147 &amp; ","</f>
        <v>"Sedan_02_Door_1_1_GreyRust": 1,</v>
      </c>
      <c r="P1147" s="1" t="str">
        <f t="shared" ref="P1147:P1210" si="98">"""" &amp;H1147 &amp; """: " &amp; B1147 &amp; ","</f>
        <v>"Sedan_02_Door_1_1_GreyRust": 70,</v>
      </c>
      <c r="Q1147" s="1" t="str">
        <f t="shared" ref="Q1147:Q1210" si="99">"""" &amp;H1147 &amp; """: " &amp; M1147 &amp; ","</f>
        <v>"Sedan_02_Door_1_1_GreyRust": 4000,</v>
      </c>
      <c r="R1147" s="1" t="str">
        <f t="shared" ref="R1147:R1210" si="100">"""" &amp;H1147 &amp; """: " &amp; E1147 &amp; ","</f>
        <v>"Sedan_02_Door_1_1_GreyRust": 3,</v>
      </c>
    </row>
    <row r="1148" spans="1:18" ht="15" customHeight="1" x14ac:dyDescent="0.25">
      <c r="A1148" s="1" t="str">
        <f t="shared" si="96"/>
        <v>#tc_vehicles#tc_parts#tc_doors</v>
      </c>
      <c r="B1148" s="1">
        <f>VLOOKUP(A1148,TraderCategory!$A$63:$E$556,2,FALSE)</f>
        <v>70</v>
      </c>
      <c r="C1148" s="1">
        <f>VLOOKUP(A1148,TraderCategory!$A$63:$F$556,6,FALSE)</f>
        <v>3</v>
      </c>
      <c r="D1148" s="1" t="str">
        <f>VLOOKUP(C1148,Tabulka5[],3,FALSE)</f>
        <v>Sergeant</v>
      </c>
      <c r="E1148" s="1">
        <v>3</v>
      </c>
      <c r="F1148" s="1" t="str">
        <f>VLOOKUP(E1148,Tabulka5[],3,FALSE)</f>
        <v>Sergeant</v>
      </c>
      <c r="G1148" s="1" t="s">
        <v>3115</v>
      </c>
      <c r="H1148" s="1" t="s">
        <v>3082</v>
      </c>
      <c r="I1148" s="1" t="s">
        <v>3033</v>
      </c>
      <c r="J1148" s="1" t="s">
        <v>2743</v>
      </c>
      <c r="K1148" s="1" t="s">
        <v>2742</v>
      </c>
      <c r="L1148" s="1" t="s">
        <v>3170</v>
      </c>
      <c r="M1148" s="1">
        <v>4000</v>
      </c>
      <c r="N1148" s="1">
        <v>1</v>
      </c>
      <c r="O1148" s="1" t="str">
        <f t="shared" si="97"/>
        <v>"Sedan_02_Door_1_1_RedRust": 1,</v>
      </c>
      <c r="P1148" s="1" t="str">
        <f t="shared" si="98"/>
        <v>"Sedan_02_Door_1_1_RedRust": 70,</v>
      </c>
      <c r="Q1148" s="1" t="str">
        <f t="shared" si="99"/>
        <v>"Sedan_02_Door_1_1_RedRust": 4000,</v>
      </c>
      <c r="R1148" s="1" t="str">
        <f t="shared" si="100"/>
        <v>"Sedan_02_Door_1_1_RedRust": 3,</v>
      </c>
    </row>
    <row r="1149" spans="1:18" ht="15" customHeight="1" x14ac:dyDescent="0.25">
      <c r="A1149" s="1" t="str">
        <f t="shared" si="96"/>
        <v>#tc_vehicles#tc_parts#tc_doors</v>
      </c>
      <c r="B1149" s="1">
        <f>VLOOKUP(A1149,TraderCategory!$A$63:$E$556,2,FALSE)</f>
        <v>70</v>
      </c>
      <c r="C1149" s="1">
        <f>VLOOKUP(A1149,TraderCategory!$A$63:$F$556,6,FALSE)</f>
        <v>3</v>
      </c>
      <c r="D1149" s="1" t="str">
        <f>VLOOKUP(C1149,Tabulka5[],3,FALSE)</f>
        <v>Sergeant</v>
      </c>
      <c r="E1149" s="1">
        <v>3</v>
      </c>
      <c r="F1149" s="1" t="str">
        <f>VLOOKUP(E1149,Tabulka5[],3,FALSE)</f>
        <v>Sergeant</v>
      </c>
      <c r="G1149" s="1" t="s">
        <v>3115</v>
      </c>
      <c r="H1149" s="1" t="s">
        <v>3083</v>
      </c>
      <c r="I1149" s="1" t="s">
        <v>3033</v>
      </c>
      <c r="J1149" s="1" t="s">
        <v>2743</v>
      </c>
      <c r="K1149" s="1" t="s">
        <v>2742</v>
      </c>
      <c r="L1149" s="1" t="s">
        <v>3170</v>
      </c>
      <c r="M1149" s="1">
        <v>4000</v>
      </c>
      <c r="N1149" s="1">
        <v>1</v>
      </c>
      <c r="O1149" s="1" t="str">
        <f t="shared" si="97"/>
        <v>"Sedan_02_Door_1_1_YellowRust": 1,</v>
      </c>
      <c r="P1149" s="1" t="str">
        <f t="shared" si="98"/>
        <v>"Sedan_02_Door_1_1_YellowRust": 70,</v>
      </c>
      <c r="Q1149" s="1" t="str">
        <f t="shared" si="99"/>
        <v>"Sedan_02_Door_1_1_YellowRust": 4000,</v>
      </c>
      <c r="R1149" s="1" t="str">
        <f t="shared" si="100"/>
        <v>"Sedan_02_Door_1_1_YellowRust": 3,</v>
      </c>
    </row>
    <row r="1150" spans="1:18" ht="15" customHeight="1" x14ac:dyDescent="0.25">
      <c r="A1150" s="1" t="str">
        <f t="shared" si="96"/>
        <v>#tc_vehicles#tc_parts#tc_doors</v>
      </c>
      <c r="B1150" s="1">
        <f>VLOOKUP(A1150,TraderCategory!$A$63:$E$556,2,FALSE)</f>
        <v>70</v>
      </c>
      <c r="C1150" s="1">
        <f>VLOOKUP(A1150,TraderCategory!$A$63:$F$556,6,FALSE)</f>
        <v>3</v>
      </c>
      <c r="D1150" s="1" t="str">
        <f>VLOOKUP(C1150,Tabulka5[],3,FALSE)</f>
        <v>Sergeant</v>
      </c>
      <c r="E1150" s="1">
        <v>3</v>
      </c>
      <c r="F1150" s="1" t="str">
        <f>VLOOKUP(E1150,Tabulka5[],3,FALSE)</f>
        <v>Sergeant</v>
      </c>
      <c r="G1150" s="1" t="s">
        <v>3115</v>
      </c>
      <c r="H1150" s="1" t="s">
        <v>3084</v>
      </c>
      <c r="I1150" s="1" t="s">
        <v>3033</v>
      </c>
      <c r="J1150" s="1" t="s">
        <v>2743</v>
      </c>
      <c r="K1150" s="1" t="s">
        <v>2742</v>
      </c>
      <c r="L1150" s="1" t="s">
        <v>3170</v>
      </c>
      <c r="M1150" s="1">
        <v>4000</v>
      </c>
      <c r="N1150" s="1">
        <v>1</v>
      </c>
      <c r="O1150" s="1" t="str">
        <f t="shared" si="97"/>
        <v>"Sedan_02_Door_1_2_GreyRust": 1,</v>
      </c>
      <c r="P1150" s="1" t="str">
        <f t="shared" si="98"/>
        <v>"Sedan_02_Door_1_2_GreyRust": 70,</v>
      </c>
      <c r="Q1150" s="1" t="str">
        <f t="shared" si="99"/>
        <v>"Sedan_02_Door_1_2_GreyRust": 4000,</v>
      </c>
      <c r="R1150" s="1" t="str">
        <f t="shared" si="100"/>
        <v>"Sedan_02_Door_1_2_GreyRust": 3,</v>
      </c>
    </row>
    <row r="1151" spans="1:18" ht="15" customHeight="1" x14ac:dyDescent="0.25">
      <c r="A1151" s="1" t="str">
        <f t="shared" si="96"/>
        <v>#tc_vehicles#tc_parts#tc_doors</v>
      </c>
      <c r="B1151" s="1">
        <f>VLOOKUP(A1151,TraderCategory!$A$63:$E$556,2,FALSE)</f>
        <v>70</v>
      </c>
      <c r="C1151" s="1">
        <f>VLOOKUP(A1151,TraderCategory!$A$63:$F$556,6,FALSE)</f>
        <v>3</v>
      </c>
      <c r="D1151" s="1" t="str">
        <f>VLOOKUP(C1151,Tabulka5[],3,FALSE)</f>
        <v>Sergeant</v>
      </c>
      <c r="E1151" s="1">
        <v>3</v>
      </c>
      <c r="F1151" s="1" t="str">
        <f>VLOOKUP(E1151,Tabulka5[],3,FALSE)</f>
        <v>Sergeant</v>
      </c>
      <c r="G1151" s="1" t="s">
        <v>3115</v>
      </c>
      <c r="H1151" s="1" t="s">
        <v>3085</v>
      </c>
      <c r="I1151" s="1" t="s">
        <v>3033</v>
      </c>
      <c r="J1151" s="1" t="s">
        <v>2743</v>
      </c>
      <c r="K1151" s="1" t="s">
        <v>2742</v>
      </c>
      <c r="L1151" s="1" t="s">
        <v>3170</v>
      </c>
      <c r="M1151" s="1">
        <v>4000</v>
      </c>
      <c r="N1151" s="1">
        <v>1</v>
      </c>
      <c r="O1151" s="1" t="str">
        <f t="shared" si="97"/>
        <v>"Sedan_02_Door_1_2_RedRust": 1,</v>
      </c>
      <c r="P1151" s="1" t="str">
        <f t="shared" si="98"/>
        <v>"Sedan_02_Door_1_2_RedRust": 70,</v>
      </c>
      <c r="Q1151" s="1" t="str">
        <f t="shared" si="99"/>
        <v>"Sedan_02_Door_1_2_RedRust": 4000,</v>
      </c>
      <c r="R1151" s="1" t="str">
        <f t="shared" si="100"/>
        <v>"Sedan_02_Door_1_2_RedRust": 3,</v>
      </c>
    </row>
    <row r="1152" spans="1:18" ht="15" customHeight="1" x14ac:dyDescent="0.25">
      <c r="A1152" s="1" t="str">
        <f t="shared" si="96"/>
        <v>#tc_vehicles#tc_parts#tc_doors</v>
      </c>
      <c r="B1152" s="1">
        <f>VLOOKUP(A1152,TraderCategory!$A$63:$E$556,2,FALSE)</f>
        <v>70</v>
      </c>
      <c r="C1152" s="1">
        <f>VLOOKUP(A1152,TraderCategory!$A$63:$F$556,6,FALSE)</f>
        <v>3</v>
      </c>
      <c r="D1152" s="1" t="str">
        <f>VLOOKUP(C1152,Tabulka5[],3,FALSE)</f>
        <v>Sergeant</v>
      </c>
      <c r="E1152" s="1">
        <v>3</v>
      </c>
      <c r="F1152" s="1" t="str">
        <f>VLOOKUP(E1152,Tabulka5[],3,FALSE)</f>
        <v>Sergeant</v>
      </c>
      <c r="G1152" s="1" t="s">
        <v>3115</v>
      </c>
      <c r="H1152" s="1" t="s">
        <v>3086</v>
      </c>
      <c r="I1152" s="1" t="s">
        <v>3033</v>
      </c>
      <c r="J1152" s="1" t="s">
        <v>2743</v>
      </c>
      <c r="K1152" s="1" t="s">
        <v>2742</v>
      </c>
      <c r="L1152" s="1" t="s">
        <v>3170</v>
      </c>
      <c r="M1152" s="1">
        <v>4000</v>
      </c>
      <c r="N1152" s="1">
        <v>1</v>
      </c>
      <c r="O1152" s="1" t="str">
        <f t="shared" si="97"/>
        <v>"Sedan_02_Door_1_2_YellowRust": 1,</v>
      </c>
      <c r="P1152" s="1" t="str">
        <f t="shared" si="98"/>
        <v>"Sedan_02_Door_1_2_YellowRust": 70,</v>
      </c>
      <c r="Q1152" s="1" t="str">
        <f t="shared" si="99"/>
        <v>"Sedan_02_Door_1_2_YellowRust": 4000,</v>
      </c>
      <c r="R1152" s="1" t="str">
        <f t="shared" si="100"/>
        <v>"Sedan_02_Door_1_2_YellowRust": 3,</v>
      </c>
    </row>
    <row r="1153" spans="1:18" ht="15" customHeight="1" x14ac:dyDescent="0.25">
      <c r="A1153" s="1" t="str">
        <f t="shared" si="96"/>
        <v>#tc_vehicles#tc_parts#tc_doors</v>
      </c>
      <c r="B1153" s="1">
        <f>VLOOKUP(A1153,TraderCategory!$A$63:$E$556,2,FALSE)</f>
        <v>70</v>
      </c>
      <c r="C1153" s="1">
        <f>VLOOKUP(A1153,TraderCategory!$A$63:$F$556,6,FALSE)</f>
        <v>3</v>
      </c>
      <c r="D1153" s="1" t="str">
        <f>VLOOKUP(C1153,Tabulka5[],3,FALSE)</f>
        <v>Sergeant</v>
      </c>
      <c r="E1153" s="1">
        <v>3</v>
      </c>
      <c r="F1153" s="1" t="str">
        <f>VLOOKUP(E1153,Tabulka5[],3,FALSE)</f>
        <v>Sergeant</v>
      </c>
      <c r="G1153" s="1" t="s">
        <v>3115</v>
      </c>
      <c r="H1153" s="1" t="s">
        <v>3087</v>
      </c>
      <c r="I1153" s="1" t="s">
        <v>3033</v>
      </c>
      <c r="J1153" s="1" t="s">
        <v>2743</v>
      </c>
      <c r="K1153" s="1" t="s">
        <v>2742</v>
      </c>
      <c r="L1153" s="1" t="s">
        <v>3170</v>
      </c>
      <c r="M1153" s="1">
        <v>4000</v>
      </c>
      <c r="N1153" s="1">
        <v>1</v>
      </c>
      <c r="O1153" s="1" t="str">
        <f t="shared" si="97"/>
        <v>"Sedan_02_Door_2_1_GreyRust": 1,</v>
      </c>
      <c r="P1153" s="1" t="str">
        <f t="shared" si="98"/>
        <v>"Sedan_02_Door_2_1_GreyRust": 70,</v>
      </c>
      <c r="Q1153" s="1" t="str">
        <f t="shared" si="99"/>
        <v>"Sedan_02_Door_2_1_GreyRust": 4000,</v>
      </c>
      <c r="R1153" s="1" t="str">
        <f t="shared" si="100"/>
        <v>"Sedan_02_Door_2_1_GreyRust": 3,</v>
      </c>
    </row>
    <row r="1154" spans="1:18" ht="15" customHeight="1" x14ac:dyDescent="0.25">
      <c r="A1154" s="1" t="str">
        <f t="shared" si="96"/>
        <v>#tc_vehicles#tc_parts#tc_doors</v>
      </c>
      <c r="B1154" s="1">
        <f>VLOOKUP(A1154,TraderCategory!$A$63:$E$556,2,FALSE)</f>
        <v>70</v>
      </c>
      <c r="C1154" s="1">
        <f>VLOOKUP(A1154,TraderCategory!$A$63:$F$556,6,FALSE)</f>
        <v>3</v>
      </c>
      <c r="D1154" s="1" t="str">
        <f>VLOOKUP(C1154,Tabulka5[],3,FALSE)</f>
        <v>Sergeant</v>
      </c>
      <c r="E1154" s="1">
        <v>3</v>
      </c>
      <c r="F1154" s="1" t="str">
        <f>VLOOKUP(E1154,Tabulka5[],3,FALSE)</f>
        <v>Sergeant</v>
      </c>
      <c r="G1154" s="1" t="s">
        <v>3115</v>
      </c>
      <c r="H1154" s="1" t="s">
        <v>3088</v>
      </c>
      <c r="I1154" s="1" t="s">
        <v>3033</v>
      </c>
      <c r="J1154" s="1" t="s">
        <v>2743</v>
      </c>
      <c r="K1154" s="1" t="s">
        <v>2742</v>
      </c>
      <c r="L1154" s="1" t="s">
        <v>3170</v>
      </c>
      <c r="M1154" s="1">
        <v>4000</v>
      </c>
      <c r="N1154" s="1">
        <v>1</v>
      </c>
      <c r="O1154" s="1" t="str">
        <f t="shared" si="97"/>
        <v>"Sedan_02_Door_2_1_RedRust": 1,</v>
      </c>
      <c r="P1154" s="1" t="str">
        <f t="shared" si="98"/>
        <v>"Sedan_02_Door_2_1_RedRust": 70,</v>
      </c>
      <c r="Q1154" s="1" t="str">
        <f t="shared" si="99"/>
        <v>"Sedan_02_Door_2_1_RedRust": 4000,</v>
      </c>
      <c r="R1154" s="1" t="str">
        <f t="shared" si="100"/>
        <v>"Sedan_02_Door_2_1_RedRust": 3,</v>
      </c>
    </row>
    <row r="1155" spans="1:18" ht="15" customHeight="1" x14ac:dyDescent="0.25">
      <c r="A1155" s="1" t="str">
        <f t="shared" si="96"/>
        <v>#tc_vehicles#tc_parts#tc_doors</v>
      </c>
      <c r="B1155" s="1">
        <f>VLOOKUP(A1155,TraderCategory!$A$63:$E$556,2,FALSE)</f>
        <v>70</v>
      </c>
      <c r="C1155" s="1">
        <f>VLOOKUP(A1155,TraderCategory!$A$63:$F$556,6,FALSE)</f>
        <v>3</v>
      </c>
      <c r="D1155" s="1" t="str">
        <f>VLOOKUP(C1155,Tabulka5[],3,FALSE)</f>
        <v>Sergeant</v>
      </c>
      <c r="E1155" s="1">
        <v>3</v>
      </c>
      <c r="F1155" s="1" t="str">
        <f>VLOOKUP(E1155,Tabulka5[],3,FALSE)</f>
        <v>Sergeant</v>
      </c>
      <c r="G1155" s="1" t="s">
        <v>3115</v>
      </c>
      <c r="H1155" s="1" t="s">
        <v>3089</v>
      </c>
      <c r="I1155" s="1" t="s">
        <v>3033</v>
      </c>
      <c r="J1155" s="1" t="s">
        <v>2743</v>
      </c>
      <c r="K1155" s="1" t="s">
        <v>2742</v>
      </c>
      <c r="L1155" s="1" t="s">
        <v>3170</v>
      </c>
      <c r="M1155" s="1">
        <v>4000</v>
      </c>
      <c r="N1155" s="1">
        <v>1</v>
      </c>
      <c r="O1155" s="1" t="str">
        <f t="shared" si="97"/>
        <v>"Sedan_02_Door_2_1_YellowRust": 1,</v>
      </c>
      <c r="P1155" s="1" t="str">
        <f t="shared" si="98"/>
        <v>"Sedan_02_Door_2_1_YellowRust": 70,</v>
      </c>
      <c r="Q1155" s="1" t="str">
        <f t="shared" si="99"/>
        <v>"Sedan_02_Door_2_1_YellowRust": 4000,</v>
      </c>
      <c r="R1155" s="1" t="str">
        <f t="shared" si="100"/>
        <v>"Sedan_02_Door_2_1_YellowRust": 3,</v>
      </c>
    </row>
    <row r="1156" spans="1:18" ht="15" customHeight="1" x14ac:dyDescent="0.25">
      <c r="A1156" s="1" t="str">
        <f t="shared" si="96"/>
        <v>#tc_vehicles#tc_parts#tc_doors</v>
      </c>
      <c r="B1156" s="1">
        <f>VLOOKUP(A1156,TraderCategory!$A$63:$E$556,2,FALSE)</f>
        <v>70</v>
      </c>
      <c r="C1156" s="1">
        <f>VLOOKUP(A1156,TraderCategory!$A$63:$F$556,6,FALSE)</f>
        <v>3</v>
      </c>
      <c r="D1156" s="1" t="str">
        <f>VLOOKUP(C1156,Tabulka5[],3,FALSE)</f>
        <v>Sergeant</v>
      </c>
      <c r="E1156" s="1">
        <v>3</v>
      </c>
      <c r="F1156" s="1" t="str">
        <f>VLOOKUP(E1156,Tabulka5[],3,FALSE)</f>
        <v>Sergeant</v>
      </c>
      <c r="G1156" s="1" t="s">
        <v>3115</v>
      </c>
      <c r="H1156" s="1" t="s">
        <v>3090</v>
      </c>
      <c r="I1156" s="1" t="s">
        <v>3033</v>
      </c>
      <c r="J1156" s="1" t="s">
        <v>2743</v>
      </c>
      <c r="K1156" s="1" t="s">
        <v>2742</v>
      </c>
      <c r="L1156" s="1" t="s">
        <v>3170</v>
      </c>
      <c r="M1156" s="1">
        <v>4000</v>
      </c>
      <c r="N1156" s="1">
        <v>1</v>
      </c>
      <c r="O1156" s="1" t="str">
        <f t="shared" si="97"/>
        <v>"Sedan_02_Door_2_2_GreyRust": 1,</v>
      </c>
      <c r="P1156" s="1" t="str">
        <f t="shared" si="98"/>
        <v>"Sedan_02_Door_2_2_GreyRust": 70,</v>
      </c>
      <c r="Q1156" s="1" t="str">
        <f t="shared" si="99"/>
        <v>"Sedan_02_Door_2_2_GreyRust": 4000,</v>
      </c>
      <c r="R1156" s="1" t="str">
        <f t="shared" si="100"/>
        <v>"Sedan_02_Door_2_2_GreyRust": 3,</v>
      </c>
    </row>
    <row r="1157" spans="1:18" ht="15" customHeight="1" x14ac:dyDescent="0.25">
      <c r="A1157" s="1" t="str">
        <f t="shared" si="96"/>
        <v>#tc_vehicles#tc_parts#tc_doors</v>
      </c>
      <c r="B1157" s="1">
        <f>VLOOKUP(A1157,TraderCategory!$A$63:$E$556,2,FALSE)</f>
        <v>70</v>
      </c>
      <c r="C1157" s="1">
        <f>VLOOKUP(A1157,TraderCategory!$A$63:$F$556,6,FALSE)</f>
        <v>3</v>
      </c>
      <c r="D1157" s="1" t="str">
        <f>VLOOKUP(C1157,Tabulka5[],3,FALSE)</f>
        <v>Sergeant</v>
      </c>
      <c r="E1157" s="1">
        <v>3</v>
      </c>
      <c r="F1157" s="1" t="str">
        <f>VLOOKUP(E1157,Tabulka5[],3,FALSE)</f>
        <v>Sergeant</v>
      </c>
      <c r="G1157" s="1" t="s">
        <v>3115</v>
      </c>
      <c r="H1157" s="1" t="s">
        <v>3091</v>
      </c>
      <c r="I1157" s="1" t="s">
        <v>3033</v>
      </c>
      <c r="J1157" s="1" t="s">
        <v>2743</v>
      </c>
      <c r="K1157" s="1" t="s">
        <v>2742</v>
      </c>
      <c r="L1157" s="1" t="s">
        <v>3170</v>
      </c>
      <c r="M1157" s="1">
        <v>4000</v>
      </c>
      <c r="N1157" s="1">
        <v>1</v>
      </c>
      <c r="O1157" s="1" t="str">
        <f t="shared" si="97"/>
        <v>"Sedan_02_Door_2_2_RedRust": 1,</v>
      </c>
      <c r="P1157" s="1" t="str">
        <f t="shared" si="98"/>
        <v>"Sedan_02_Door_2_2_RedRust": 70,</v>
      </c>
      <c r="Q1157" s="1" t="str">
        <f t="shared" si="99"/>
        <v>"Sedan_02_Door_2_2_RedRust": 4000,</v>
      </c>
      <c r="R1157" s="1" t="str">
        <f t="shared" si="100"/>
        <v>"Sedan_02_Door_2_2_RedRust": 3,</v>
      </c>
    </row>
    <row r="1158" spans="1:18" ht="15" customHeight="1" x14ac:dyDescent="0.25">
      <c r="A1158" s="1" t="str">
        <f t="shared" si="96"/>
        <v>#tc_vehicles#tc_parts#tc_doors</v>
      </c>
      <c r="B1158" s="1">
        <f>VLOOKUP(A1158,TraderCategory!$A$63:$E$556,2,FALSE)</f>
        <v>70</v>
      </c>
      <c r="C1158" s="1">
        <f>VLOOKUP(A1158,TraderCategory!$A$63:$F$556,6,FALSE)</f>
        <v>3</v>
      </c>
      <c r="D1158" s="1" t="str">
        <f>VLOOKUP(C1158,Tabulka5[],3,FALSE)</f>
        <v>Sergeant</v>
      </c>
      <c r="E1158" s="1">
        <v>3</v>
      </c>
      <c r="F1158" s="1" t="str">
        <f>VLOOKUP(E1158,Tabulka5[],3,FALSE)</f>
        <v>Sergeant</v>
      </c>
      <c r="G1158" s="1" t="s">
        <v>3115</v>
      </c>
      <c r="H1158" s="1" t="s">
        <v>3092</v>
      </c>
      <c r="I1158" s="1" t="s">
        <v>3033</v>
      </c>
      <c r="J1158" s="1" t="s">
        <v>2743</v>
      </c>
      <c r="K1158" s="1" t="s">
        <v>2742</v>
      </c>
      <c r="L1158" s="1" t="s">
        <v>3170</v>
      </c>
      <c r="M1158" s="1">
        <v>4000</v>
      </c>
      <c r="N1158" s="1">
        <v>1</v>
      </c>
      <c r="O1158" s="1" t="str">
        <f t="shared" si="97"/>
        <v>"Sedan_02_Door_2_2_YellowRust": 1,</v>
      </c>
      <c r="P1158" s="1" t="str">
        <f t="shared" si="98"/>
        <v>"Sedan_02_Door_2_2_YellowRust": 70,</v>
      </c>
      <c r="Q1158" s="1" t="str">
        <f t="shared" si="99"/>
        <v>"Sedan_02_Door_2_2_YellowRust": 4000,</v>
      </c>
      <c r="R1158" s="1" t="str">
        <f t="shared" si="100"/>
        <v>"Sedan_02_Door_2_2_YellowRust": 3,</v>
      </c>
    </row>
    <row r="1159" spans="1:18" ht="15" customHeight="1" x14ac:dyDescent="0.25">
      <c r="A1159" s="1" t="str">
        <f t="shared" si="96"/>
        <v>#tc_vehicles#tc_parts#tc_hood</v>
      </c>
      <c r="B1159" s="1">
        <f>VLOOKUP(A1159,TraderCategory!$A$63:$E$556,2,FALSE)</f>
        <v>71</v>
      </c>
      <c r="C1159" s="1">
        <f>VLOOKUP(A1159,TraderCategory!$A$63:$F$556,6,FALSE)</f>
        <v>3</v>
      </c>
      <c r="D1159" s="1" t="str">
        <f>VLOOKUP(C1159,Tabulka5[],3,FALSE)</f>
        <v>Sergeant</v>
      </c>
      <c r="E1159" s="1">
        <v>3</v>
      </c>
      <c r="F1159" s="1" t="str">
        <f>VLOOKUP(E1159,Tabulka5[],3,FALSE)</f>
        <v>Sergeant</v>
      </c>
      <c r="G1159" s="1" t="s">
        <v>3115</v>
      </c>
      <c r="H1159" s="1" t="s">
        <v>3093</v>
      </c>
      <c r="I1159" s="1" t="s">
        <v>3033</v>
      </c>
      <c r="J1159" s="1" t="s">
        <v>2743</v>
      </c>
      <c r="K1159" s="1" t="s">
        <v>2742</v>
      </c>
      <c r="L1159" s="1" t="s">
        <v>3168</v>
      </c>
      <c r="M1159" s="1">
        <v>4000</v>
      </c>
      <c r="N1159" s="1">
        <v>1</v>
      </c>
      <c r="O1159" s="1" t="str">
        <f t="shared" si="97"/>
        <v>"Sedan_02_Hood_GreyRust": 1,</v>
      </c>
      <c r="P1159" s="1" t="str">
        <f t="shared" si="98"/>
        <v>"Sedan_02_Hood_GreyRust": 71,</v>
      </c>
      <c r="Q1159" s="1" t="str">
        <f t="shared" si="99"/>
        <v>"Sedan_02_Hood_GreyRust": 4000,</v>
      </c>
      <c r="R1159" s="1" t="str">
        <f t="shared" si="100"/>
        <v>"Sedan_02_Hood_GreyRust": 3,</v>
      </c>
    </row>
    <row r="1160" spans="1:18" ht="15" customHeight="1" x14ac:dyDescent="0.25">
      <c r="A1160" s="1" t="str">
        <f t="shared" si="96"/>
        <v>#tc_vehicles#tc_parts#tc_hood</v>
      </c>
      <c r="B1160" s="1">
        <f>VLOOKUP(A1160,TraderCategory!$A$63:$E$556,2,FALSE)</f>
        <v>71</v>
      </c>
      <c r="C1160" s="1">
        <f>VLOOKUP(A1160,TraderCategory!$A$63:$F$556,6,FALSE)</f>
        <v>3</v>
      </c>
      <c r="D1160" s="1" t="str">
        <f>VLOOKUP(C1160,Tabulka5[],3,FALSE)</f>
        <v>Sergeant</v>
      </c>
      <c r="E1160" s="1">
        <v>3</v>
      </c>
      <c r="F1160" s="1" t="str">
        <f>VLOOKUP(E1160,Tabulka5[],3,FALSE)</f>
        <v>Sergeant</v>
      </c>
      <c r="G1160" s="1" t="s">
        <v>3115</v>
      </c>
      <c r="H1160" s="1" t="s">
        <v>3094</v>
      </c>
      <c r="I1160" s="1" t="s">
        <v>3033</v>
      </c>
      <c r="J1160" s="1" t="s">
        <v>2743</v>
      </c>
      <c r="K1160" s="1" t="s">
        <v>2742</v>
      </c>
      <c r="L1160" s="1" t="s">
        <v>3168</v>
      </c>
      <c r="M1160" s="1">
        <v>4000</v>
      </c>
      <c r="N1160" s="1">
        <v>1</v>
      </c>
      <c r="O1160" s="1" t="str">
        <f t="shared" si="97"/>
        <v>"Sedan_02_Hood_RedRust": 1,</v>
      </c>
      <c r="P1160" s="1" t="str">
        <f t="shared" si="98"/>
        <v>"Sedan_02_Hood_RedRust": 71,</v>
      </c>
      <c r="Q1160" s="1" t="str">
        <f t="shared" si="99"/>
        <v>"Sedan_02_Hood_RedRust": 4000,</v>
      </c>
      <c r="R1160" s="1" t="str">
        <f t="shared" si="100"/>
        <v>"Sedan_02_Hood_RedRust": 3,</v>
      </c>
    </row>
    <row r="1161" spans="1:18" ht="15" customHeight="1" x14ac:dyDescent="0.25">
      <c r="A1161" s="1" t="str">
        <f t="shared" si="96"/>
        <v>#tc_vehicles#tc_parts#tc_hood</v>
      </c>
      <c r="B1161" s="1">
        <f>VLOOKUP(A1161,TraderCategory!$A$63:$E$556,2,FALSE)</f>
        <v>71</v>
      </c>
      <c r="C1161" s="1">
        <f>VLOOKUP(A1161,TraderCategory!$A$63:$F$556,6,FALSE)</f>
        <v>3</v>
      </c>
      <c r="D1161" s="1" t="str">
        <f>VLOOKUP(C1161,Tabulka5[],3,FALSE)</f>
        <v>Sergeant</v>
      </c>
      <c r="E1161" s="1">
        <v>3</v>
      </c>
      <c r="F1161" s="1" t="str">
        <f>VLOOKUP(E1161,Tabulka5[],3,FALSE)</f>
        <v>Sergeant</v>
      </c>
      <c r="G1161" s="1" t="s">
        <v>3115</v>
      </c>
      <c r="H1161" s="1" t="s">
        <v>3095</v>
      </c>
      <c r="I1161" s="1" t="s">
        <v>3033</v>
      </c>
      <c r="J1161" s="1" t="s">
        <v>2743</v>
      </c>
      <c r="K1161" s="1" t="s">
        <v>2742</v>
      </c>
      <c r="L1161" s="1" t="s">
        <v>3168</v>
      </c>
      <c r="M1161" s="1">
        <v>4000</v>
      </c>
      <c r="N1161" s="1">
        <v>1</v>
      </c>
      <c r="O1161" s="1" t="str">
        <f t="shared" si="97"/>
        <v>"Sedan_02_Hood_YellowRust": 1,</v>
      </c>
      <c r="P1161" s="1" t="str">
        <f t="shared" si="98"/>
        <v>"Sedan_02_Hood_YellowRust": 71,</v>
      </c>
      <c r="Q1161" s="1" t="str">
        <f t="shared" si="99"/>
        <v>"Sedan_02_Hood_YellowRust": 4000,</v>
      </c>
      <c r="R1161" s="1" t="str">
        <f t="shared" si="100"/>
        <v>"Sedan_02_Hood_YellowRust": 3,</v>
      </c>
    </row>
    <row r="1162" spans="1:18" ht="15" customHeight="1" x14ac:dyDescent="0.25">
      <c r="A1162" s="1" t="str">
        <f t="shared" si="96"/>
        <v>#tc_vehicles#tc_parts#tc_trunk</v>
      </c>
      <c r="B1162" s="1">
        <f>VLOOKUP(A1162,TraderCategory!$A$63:$E$556,2,FALSE)</f>
        <v>72</v>
      </c>
      <c r="C1162" s="1">
        <f>VLOOKUP(A1162,TraderCategory!$A$63:$F$556,6,FALSE)</f>
        <v>3</v>
      </c>
      <c r="D1162" s="1" t="str">
        <f>VLOOKUP(C1162,Tabulka5[],3,FALSE)</f>
        <v>Sergeant</v>
      </c>
      <c r="E1162" s="1">
        <v>3</v>
      </c>
      <c r="F1162" s="1" t="str">
        <f>VLOOKUP(E1162,Tabulka5[],3,FALSE)</f>
        <v>Sergeant</v>
      </c>
      <c r="G1162" s="1" t="s">
        <v>3115</v>
      </c>
      <c r="H1162" s="1" t="s">
        <v>3096</v>
      </c>
      <c r="I1162" s="1" t="s">
        <v>3033</v>
      </c>
      <c r="J1162" s="1" t="s">
        <v>2743</v>
      </c>
      <c r="K1162" s="1" t="s">
        <v>2742</v>
      </c>
      <c r="L1162" s="1" t="s">
        <v>3169</v>
      </c>
      <c r="M1162" s="1">
        <v>4000</v>
      </c>
      <c r="N1162" s="1">
        <v>1</v>
      </c>
      <c r="O1162" s="1" t="str">
        <f t="shared" si="97"/>
        <v>"Sedan_02_Trunk_GreyRust": 1,</v>
      </c>
      <c r="P1162" s="1" t="str">
        <f t="shared" si="98"/>
        <v>"Sedan_02_Trunk_GreyRust": 72,</v>
      </c>
      <c r="Q1162" s="1" t="str">
        <f t="shared" si="99"/>
        <v>"Sedan_02_Trunk_GreyRust": 4000,</v>
      </c>
      <c r="R1162" s="1" t="str">
        <f t="shared" si="100"/>
        <v>"Sedan_02_Trunk_GreyRust": 3,</v>
      </c>
    </row>
    <row r="1163" spans="1:18" ht="15" customHeight="1" x14ac:dyDescent="0.25">
      <c r="A1163" s="1" t="str">
        <f t="shared" si="96"/>
        <v>#tc_vehicles#tc_parts#tc_trunk</v>
      </c>
      <c r="B1163" s="1">
        <f>VLOOKUP(A1163,TraderCategory!$A$63:$E$556,2,FALSE)</f>
        <v>72</v>
      </c>
      <c r="C1163" s="1">
        <f>VLOOKUP(A1163,TraderCategory!$A$63:$F$556,6,FALSE)</f>
        <v>3</v>
      </c>
      <c r="D1163" s="1" t="str">
        <f>VLOOKUP(C1163,Tabulka5[],3,FALSE)</f>
        <v>Sergeant</v>
      </c>
      <c r="E1163" s="1">
        <v>3</v>
      </c>
      <c r="F1163" s="1" t="str">
        <f>VLOOKUP(E1163,Tabulka5[],3,FALSE)</f>
        <v>Sergeant</v>
      </c>
      <c r="G1163" s="1" t="s">
        <v>3115</v>
      </c>
      <c r="H1163" s="1" t="s">
        <v>3097</v>
      </c>
      <c r="I1163" s="1" t="s">
        <v>3033</v>
      </c>
      <c r="J1163" s="1" t="s">
        <v>2743</v>
      </c>
      <c r="K1163" s="1" t="s">
        <v>2742</v>
      </c>
      <c r="L1163" s="1" t="s">
        <v>3169</v>
      </c>
      <c r="M1163" s="1">
        <v>4000</v>
      </c>
      <c r="N1163" s="1">
        <v>1</v>
      </c>
      <c r="O1163" s="1" t="str">
        <f t="shared" si="97"/>
        <v>"Sedan_02_Trunk_RedRust": 1,</v>
      </c>
      <c r="P1163" s="1" t="str">
        <f t="shared" si="98"/>
        <v>"Sedan_02_Trunk_RedRust": 72,</v>
      </c>
      <c r="Q1163" s="1" t="str">
        <f t="shared" si="99"/>
        <v>"Sedan_02_Trunk_RedRust": 4000,</v>
      </c>
      <c r="R1163" s="1" t="str">
        <f t="shared" si="100"/>
        <v>"Sedan_02_Trunk_RedRust": 3,</v>
      </c>
    </row>
    <row r="1164" spans="1:18" ht="15" customHeight="1" x14ac:dyDescent="0.25">
      <c r="A1164" s="1" t="str">
        <f t="shared" si="96"/>
        <v>#tc_vehicles#tc_parts#tc_trunk</v>
      </c>
      <c r="B1164" s="1">
        <f>VLOOKUP(A1164,TraderCategory!$A$63:$E$556,2,FALSE)</f>
        <v>72</v>
      </c>
      <c r="C1164" s="1">
        <f>VLOOKUP(A1164,TraderCategory!$A$63:$F$556,6,FALSE)</f>
        <v>3</v>
      </c>
      <c r="D1164" s="1" t="str">
        <f>VLOOKUP(C1164,Tabulka5[],3,FALSE)</f>
        <v>Sergeant</v>
      </c>
      <c r="E1164" s="1">
        <v>3</v>
      </c>
      <c r="F1164" s="1" t="str">
        <f>VLOOKUP(E1164,Tabulka5[],3,FALSE)</f>
        <v>Sergeant</v>
      </c>
      <c r="G1164" s="1" t="s">
        <v>3115</v>
      </c>
      <c r="H1164" s="1" t="s">
        <v>3098</v>
      </c>
      <c r="I1164" s="1" t="s">
        <v>3033</v>
      </c>
      <c r="J1164" s="1" t="s">
        <v>2743</v>
      </c>
      <c r="K1164" s="1" t="s">
        <v>2742</v>
      </c>
      <c r="L1164" s="1" t="s">
        <v>3169</v>
      </c>
      <c r="M1164" s="1">
        <v>4000</v>
      </c>
      <c r="N1164" s="1">
        <v>1</v>
      </c>
      <c r="O1164" s="1" t="str">
        <f t="shared" si="97"/>
        <v>"Sedan_02_Trunk_YellowRust": 1,</v>
      </c>
      <c r="P1164" s="1" t="str">
        <f t="shared" si="98"/>
        <v>"Sedan_02_Trunk_YellowRust": 72,</v>
      </c>
      <c r="Q1164" s="1" t="str">
        <f t="shared" si="99"/>
        <v>"Sedan_02_Trunk_YellowRust": 4000,</v>
      </c>
      <c r="R1164" s="1" t="str">
        <f t="shared" si="100"/>
        <v>"Sedan_02_Trunk_YellowRust": 3,</v>
      </c>
    </row>
    <row r="1165" spans="1:18" ht="15" customHeight="1" x14ac:dyDescent="0.25">
      <c r="A1165" s="1" t="str">
        <f t="shared" si="96"/>
        <v>#tc_vehicles#tc_parts#tc_trunk</v>
      </c>
      <c r="B1165" s="1">
        <f>VLOOKUP(A1165,TraderCategory!$A$63:$E$556,2,FALSE)</f>
        <v>72</v>
      </c>
      <c r="C1165" s="1">
        <f>VLOOKUP(A1165,TraderCategory!$A$63:$F$556,6,FALSE)</f>
        <v>3</v>
      </c>
      <c r="D1165" s="1" t="str">
        <f>VLOOKUP(C1165,Tabulka5[],3,FALSE)</f>
        <v>Sergeant</v>
      </c>
      <c r="E1165" s="1">
        <v>3</v>
      </c>
      <c r="F1165" s="1" t="str">
        <f>VLOOKUP(E1165,Tabulka5[],3,FALSE)</f>
        <v>Sergeant</v>
      </c>
      <c r="G1165" s="1" t="s">
        <v>3115</v>
      </c>
      <c r="H1165" s="1" t="s">
        <v>3099</v>
      </c>
      <c r="I1165" s="1" t="s">
        <v>3033</v>
      </c>
      <c r="J1165" s="1" t="s">
        <v>2743</v>
      </c>
      <c r="K1165" s="1" t="s">
        <v>2742</v>
      </c>
      <c r="L1165" s="1" t="s">
        <v>3169</v>
      </c>
      <c r="M1165" s="1">
        <v>4000</v>
      </c>
      <c r="N1165" s="1">
        <v>1</v>
      </c>
      <c r="O1165" s="1" t="str">
        <f t="shared" si="97"/>
        <v>"HatchbackTrunk_Blue": 1,</v>
      </c>
      <c r="P1165" s="1" t="str">
        <f t="shared" si="98"/>
        <v>"HatchbackTrunk_Blue": 72,</v>
      </c>
      <c r="Q1165" s="1" t="str">
        <f t="shared" si="99"/>
        <v>"HatchbackTrunk_Blue": 4000,</v>
      </c>
      <c r="R1165" s="1" t="str">
        <f t="shared" si="100"/>
        <v>"HatchbackTrunk_Blue": 3,</v>
      </c>
    </row>
    <row r="1166" spans="1:18" ht="15" customHeight="1" x14ac:dyDescent="0.25">
      <c r="A1166" s="1" t="str">
        <f t="shared" si="96"/>
        <v>#tc_clothes#tc_civil#tc_bags</v>
      </c>
      <c r="B1166" s="1">
        <f>VLOOKUP(A1166,TraderCategory!$A$63:$E$556,2,FALSE)</f>
        <v>7</v>
      </c>
      <c r="C1166" s="1">
        <f>VLOOKUP(A1166,TraderCategory!$A$63:$F$556,6,FALSE)</f>
        <v>0</v>
      </c>
      <c r="D1166" s="1" t="str">
        <f>VLOOKUP(C1166,Tabulka5[],3,FALSE)</f>
        <v>Private</v>
      </c>
      <c r="E1166" s="1">
        <v>9</v>
      </c>
      <c r="F1166" s="1" t="str">
        <f>VLOOKUP(E1166,Tabulka5[],3,FALSE)</f>
        <v>Sergeant Major of the Army</v>
      </c>
      <c r="G1166" s="1" t="s">
        <v>3119</v>
      </c>
      <c r="H1166" s="1" t="s">
        <v>3114</v>
      </c>
      <c r="I1166" s="1" t="s">
        <v>363</v>
      </c>
      <c r="J1166" s="1" t="s">
        <v>2728</v>
      </c>
      <c r="K1166" s="1" t="s">
        <v>3126</v>
      </c>
      <c r="L1166" s="1" t="s">
        <v>3138</v>
      </c>
      <c r="M1166" s="1">
        <v>30000</v>
      </c>
      <c r="N1166" s="1">
        <v>1</v>
      </c>
      <c r="O1166" s="1" t="str">
        <f t="shared" si="97"/>
        <v>"carrierrig_mung": 1,</v>
      </c>
      <c r="P1166" s="1" t="str">
        <f t="shared" si="98"/>
        <v>"carrierrig_mung": 7,</v>
      </c>
      <c r="Q1166" s="1" t="str">
        <f t="shared" si="99"/>
        <v>"carrierrig_mung": 30000,</v>
      </c>
      <c r="R1166" s="1" t="str">
        <f t="shared" si="100"/>
        <v>"carrierrig_mung": 9,</v>
      </c>
    </row>
    <row r="1167" spans="1:18" ht="15" customHeight="1" x14ac:dyDescent="0.25">
      <c r="A1167" s="1" t="str">
        <f t="shared" si="96"/>
        <v>#tc_groceries#tc_tools#tc_axes</v>
      </c>
      <c r="B1167" s="1">
        <f>VLOOKUP(A1167,TraderCategory!$A$63:$E$556,2,FALSE)</f>
        <v>29</v>
      </c>
      <c r="C1167" s="1">
        <f>VLOOKUP(A1167,TraderCategory!$A$63:$F$556,6,FALSE)</f>
        <v>0</v>
      </c>
      <c r="D1167" s="1" t="str">
        <f>VLOOKUP(C1167,Tabulka5[],3,FALSE)</f>
        <v>Private</v>
      </c>
      <c r="E1167" s="1">
        <v>2</v>
      </c>
      <c r="F1167" s="1" t="str">
        <f>VLOOKUP(E1167,Tabulka5[],3,FALSE)</f>
        <v>Corporal</v>
      </c>
      <c r="G1167" s="1" t="s">
        <v>3119</v>
      </c>
      <c r="H1167" s="1" t="s">
        <v>3100</v>
      </c>
      <c r="I1167" s="1" t="s">
        <v>426</v>
      </c>
      <c r="J1167" s="1" t="s">
        <v>3127</v>
      </c>
      <c r="K1167" s="1" t="s">
        <v>2740</v>
      </c>
      <c r="L1167" s="1" t="s">
        <v>3145</v>
      </c>
      <c r="M1167" s="1">
        <v>1500</v>
      </c>
      <c r="N1167" s="1">
        <v>1</v>
      </c>
      <c r="O1167" s="1" t="str">
        <f t="shared" si="97"/>
        <v>"WoodAxe_mung": 1,</v>
      </c>
      <c r="P1167" s="1" t="str">
        <f t="shared" si="98"/>
        <v>"WoodAxe_mung": 29,</v>
      </c>
      <c r="Q1167" s="1" t="str">
        <f t="shared" si="99"/>
        <v>"WoodAxe_mung": 1500,</v>
      </c>
      <c r="R1167" s="1" t="str">
        <f t="shared" si="100"/>
        <v>"WoodAxe_mung": 2,</v>
      </c>
    </row>
    <row r="1168" spans="1:18" ht="15" customHeight="1" x14ac:dyDescent="0.25">
      <c r="A1168" s="1" t="str">
        <f t="shared" si="96"/>
        <v>#tc_clothes#tc_military#tc_bags</v>
      </c>
      <c r="B1168" s="1">
        <f>VLOOKUP(A1168,TraderCategory!$A$63:$E$556,2,FALSE)</f>
        <v>15</v>
      </c>
      <c r="C1168" s="1">
        <f>VLOOKUP(A1168,TraderCategory!$A$63:$F$556,6,FALSE)</f>
        <v>1</v>
      </c>
      <c r="D1168" s="1" t="str">
        <f>VLOOKUP(C1168,Tabulka5[],3,FALSE)</f>
        <v>Private First Class</v>
      </c>
      <c r="E1168" s="1">
        <v>6</v>
      </c>
      <c r="F1168" s="1" t="str">
        <f>VLOOKUP(E1168,Tabulka5[],3,FALSE)</f>
        <v>Master Sergeant</v>
      </c>
      <c r="G1168" s="1" t="s">
        <v>3119</v>
      </c>
      <c r="H1168" s="1" t="s">
        <v>3101</v>
      </c>
      <c r="I1168" s="1" t="s">
        <v>426</v>
      </c>
      <c r="J1168" s="1" t="s">
        <v>2728</v>
      </c>
      <c r="K1168" s="1" t="s">
        <v>2729</v>
      </c>
      <c r="L1168" s="1" t="s">
        <v>3138</v>
      </c>
      <c r="M1168" s="1">
        <v>12000</v>
      </c>
      <c r="N1168" s="1">
        <v>1</v>
      </c>
      <c r="O1168" s="1" t="str">
        <f t="shared" si="97"/>
        <v>"jaakari_simple_tan_mung": 1,</v>
      </c>
      <c r="P1168" s="1" t="str">
        <f t="shared" si="98"/>
        <v>"jaakari_simple_tan_mung": 15,</v>
      </c>
      <c r="Q1168" s="1" t="str">
        <f t="shared" si="99"/>
        <v>"jaakari_simple_tan_mung": 12000,</v>
      </c>
      <c r="R1168" s="1" t="str">
        <f t="shared" si="100"/>
        <v>"jaakari_simple_tan_mung": 6,</v>
      </c>
    </row>
    <row r="1169" spans="1:18" ht="15" customHeight="1" x14ac:dyDescent="0.25">
      <c r="A1169" s="1" t="str">
        <f t="shared" si="96"/>
        <v>#tc_clothes#tc_military#tc_bags</v>
      </c>
      <c r="B1169" s="1">
        <f>VLOOKUP(A1169,TraderCategory!$A$63:$E$556,2,FALSE)</f>
        <v>15</v>
      </c>
      <c r="C1169" s="1">
        <f>VLOOKUP(A1169,TraderCategory!$A$63:$F$556,6,FALSE)</f>
        <v>1</v>
      </c>
      <c r="D1169" s="1" t="str">
        <f>VLOOKUP(C1169,Tabulka5[],3,FALSE)</f>
        <v>Private First Class</v>
      </c>
      <c r="E1169" s="1">
        <v>6</v>
      </c>
      <c r="F1169" s="1" t="str">
        <f>VLOOKUP(E1169,Tabulka5[],3,FALSE)</f>
        <v>Master Sergeant</v>
      </c>
      <c r="G1169" s="1" t="s">
        <v>3119</v>
      </c>
      <c r="H1169" s="1" t="s">
        <v>3102</v>
      </c>
      <c r="I1169" s="1" t="s">
        <v>426</v>
      </c>
      <c r="J1169" s="1" t="s">
        <v>2728</v>
      </c>
      <c r="K1169" s="1" t="s">
        <v>2729</v>
      </c>
      <c r="L1169" s="1" t="s">
        <v>3138</v>
      </c>
      <c r="M1169" s="1">
        <v>12000</v>
      </c>
      <c r="N1169" s="1">
        <v>1</v>
      </c>
      <c r="O1169" s="1" t="str">
        <f t="shared" si="97"/>
        <v>"jaakari_simple_black_mung": 1,</v>
      </c>
      <c r="P1169" s="1" t="str">
        <f t="shared" si="98"/>
        <v>"jaakari_simple_black_mung": 15,</v>
      </c>
      <c r="Q1169" s="1" t="str">
        <f t="shared" si="99"/>
        <v>"jaakari_simple_black_mung": 12000,</v>
      </c>
      <c r="R1169" s="1" t="str">
        <f t="shared" si="100"/>
        <v>"jaakari_simple_black_mung": 6,</v>
      </c>
    </row>
    <row r="1170" spans="1:18" ht="15" customHeight="1" x14ac:dyDescent="0.25">
      <c r="A1170" s="1" t="str">
        <f t="shared" si="96"/>
        <v>#tc_clothes#tc_military#tc_bags</v>
      </c>
      <c r="B1170" s="1">
        <f>VLOOKUP(A1170,TraderCategory!$A$63:$E$556,2,FALSE)</f>
        <v>15</v>
      </c>
      <c r="C1170" s="1">
        <f>VLOOKUP(A1170,TraderCategory!$A$63:$F$556,6,FALSE)</f>
        <v>1</v>
      </c>
      <c r="D1170" s="1" t="str">
        <f>VLOOKUP(C1170,Tabulka5[],3,FALSE)</f>
        <v>Private First Class</v>
      </c>
      <c r="E1170" s="1">
        <v>6</v>
      </c>
      <c r="F1170" s="1" t="str">
        <f>VLOOKUP(E1170,Tabulka5[],3,FALSE)</f>
        <v>Master Sergeant</v>
      </c>
      <c r="G1170" s="1" t="s">
        <v>3119</v>
      </c>
      <c r="H1170" s="1" t="s">
        <v>3103</v>
      </c>
      <c r="I1170" s="1" t="s">
        <v>426</v>
      </c>
      <c r="J1170" s="1" t="s">
        <v>2728</v>
      </c>
      <c r="K1170" s="1" t="s">
        <v>2729</v>
      </c>
      <c r="L1170" s="1" t="s">
        <v>3138</v>
      </c>
      <c r="M1170" s="1">
        <v>12000</v>
      </c>
      <c r="N1170" s="1">
        <v>1</v>
      </c>
      <c r="O1170" s="1" t="str">
        <f t="shared" si="97"/>
        <v>"jaakari_simple_camo_mung": 1,</v>
      </c>
      <c r="P1170" s="1" t="str">
        <f t="shared" si="98"/>
        <v>"jaakari_simple_camo_mung": 15,</v>
      </c>
      <c r="Q1170" s="1" t="str">
        <f t="shared" si="99"/>
        <v>"jaakari_simple_camo_mung": 12000,</v>
      </c>
      <c r="R1170" s="1" t="str">
        <f t="shared" si="100"/>
        <v>"jaakari_simple_camo_mung": 6,</v>
      </c>
    </row>
    <row r="1171" spans="1:18" ht="15" customHeight="1" x14ac:dyDescent="0.25">
      <c r="A1171" s="1" t="str">
        <f t="shared" si="96"/>
        <v>#tc_clothes#tc_military#tc_bags</v>
      </c>
      <c r="B1171" s="1">
        <f>VLOOKUP(A1171,TraderCategory!$A$63:$E$556,2,FALSE)</f>
        <v>15</v>
      </c>
      <c r="C1171" s="1">
        <f>VLOOKUP(A1171,TraderCategory!$A$63:$F$556,6,FALSE)</f>
        <v>1</v>
      </c>
      <c r="D1171" s="1" t="str">
        <f>VLOOKUP(C1171,Tabulka5[],3,FALSE)</f>
        <v>Private First Class</v>
      </c>
      <c r="E1171" s="1">
        <v>6</v>
      </c>
      <c r="F1171" s="1" t="str">
        <f>VLOOKUP(E1171,Tabulka5[],3,FALSE)</f>
        <v>Master Sergeant</v>
      </c>
      <c r="G1171" s="1" t="s">
        <v>3119</v>
      </c>
      <c r="H1171" s="1" t="s">
        <v>3104</v>
      </c>
      <c r="I1171" s="1" t="s">
        <v>426</v>
      </c>
      <c r="J1171" s="1" t="s">
        <v>2728</v>
      </c>
      <c r="K1171" s="1" t="s">
        <v>2729</v>
      </c>
      <c r="L1171" s="1" t="s">
        <v>3138</v>
      </c>
      <c r="M1171" s="1">
        <v>12000</v>
      </c>
      <c r="N1171" s="1">
        <v>1</v>
      </c>
      <c r="O1171" s="1" t="str">
        <f t="shared" si="97"/>
        <v>"jaakari_simple_brown_mung": 1,</v>
      </c>
      <c r="P1171" s="1" t="str">
        <f t="shared" si="98"/>
        <v>"jaakari_simple_brown_mung": 15,</v>
      </c>
      <c r="Q1171" s="1" t="str">
        <f t="shared" si="99"/>
        <v>"jaakari_simple_brown_mung": 12000,</v>
      </c>
      <c r="R1171" s="1" t="str">
        <f t="shared" si="100"/>
        <v>"jaakari_simple_brown_mung": 6,</v>
      </c>
    </row>
    <row r="1172" spans="1:18" ht="15" customHeight="1" x14ac:dyDescent="0.25">
      <c r="A1172" s="1" t="str">
        <f t="shared" si="96"/>
        <v>#tc_clothes#tc_military#tc_bags</v>
      </c>
      <c r="B1172" s="1">
        <f>VLOOKUP(A1172,TraderCategory!$A$63:$E$556,2,FALSE)</f>
        <v>15</v>
      </c>
      <c r="C1172" s="1">
        <f>VLOOKUP(A1172,TraderCategory!$A$63:$F$556,6,FALSE)</f>
        <v>1</v>
      </c>
      <c r="D1172" s="1" t="str">
        <f>VLOOKUP(C1172,Tabulka5[],3,FALSE)</f>
        <v>Private First Class</v>
      </c>
      <c r="E1172" s="1">
        <v>7</v>
      </c>
      <c r="F1172" s="1" t="str">
        <f>VLOOKUP(E1172,Tabulka5[],3,FALSE)</f>
        <v>First Sergeant</v>
      </c>
      <c r="G1172" s="1" t="s">
        <v>3119</v>
      </c>
      <c r="H1172" s="1" t="s">
        <v>3105</v>
      </c>
      <c r="I1172" s="1" t="s">
        <v>426</v>
      </c>
      <c r="J1172" s="1" t="s">
        <v>2728</v>
      </c>
      <c r="K1172" s="1" t="s">
        <v>2729</v>
      </c>
      <c r="L1172" s="1" t="s">
        <v>3138</v>
      </c>
      <c r="M1172" s="1">
        <v>14000</v>
      </c>
      <c r="N1172" s="1">
        <v>1</v>
      </c>
      <c r="O1172" s="1" t="str">
        <f t="shared" si="97"/>
        <v>"jaakari_tan_mung": 1,</v>
      </c>
      <c r="P1172" s="1" t="str">
        <f t="shared" si="98"/>
        <v>"jaakari_tan_mung": 15,</v>
      </c>
      <c r="Q1172" s="1" t="str">
        <f t="shared" si="99"/>
        <v>"jaakari_tan_mung": 14000,</v>
      </c>
      <c r="R1172" s="1" t="str">
        <f t="shared" si="100"/>
        <v>"jaakari_tan_mung": 7,</v>
      </c>
    </row>
    <row r="1173" spans="1:18" ht="15" customHeight="1" x14ac:dyDescent="0.25">
      <c r="A1173" s="1" t="str">
        <f t="shared" si="96"/>
        <v>#tc_clothes#tc_military#tc_bags</v>
      </c>
      <c r="B1173" s="1">
        <f>VLOOKUP(A1173,TraderCategory!$A$63:$E$556,2,FALSE)</f>
        <v>15</v>
      </c>
      <c r="C1173" s="1">
        <f>VLOOKUP(A1173,TraderCategory!$A$63:$F$556,6,FALSE)</f>
        <v>1</v>
      </c>
      <c r="D1173" s="1" t="str">
        <f>VLOOKUP(C1173,Tabulka5[],3,FALSE)</f>
        <v>Private First Class</v>
      </c>
      <c r="E1173" s="1">
        <v>7</v>
      </c>
      <c r="F1173" s="1" t="str">
        <f>VLOOKUP(E1173,Tabulka5[],3,FALSE)</f>
        <v>First Sergeant</v>
      </c>
      <c r="G1173" s="1" t="s">
        <v>3119</v>
      </c>
      <c r="H1173" s="1" t="s">
        <v>3106</v>
      </c>
      <c r="I1173" s="1" t="s">
        <v>426</v>
      </c>
      <c r="J1173" s="1" t="s">
        <v>2728</v>
      </c>
      <c r="K1173" s="1" t="s">
        <v>2729</v>
      </c>
      <c r="L1173" s="1" t="s">
        <v>3138</v>
      </c>
      <c r="M1173" s="1">
        <v>14000</v>
      </c>
      <c r="N1173" s="1">
        <v>1</v>
      </c>
      <c r="O1173" s="1" t="str">
        <f t="shared" si="97"/>
        <v>"jaakari_black_mung": 1,</v>
      </c>
      <c r="P1173" s="1" t="str">
        <f t="shared" si="98"/>
        <v>"jaakari_black_mung": 15,</v>
      </c>
      <c r="Q1173" s="1" t="str">
        <f t="shared" si="99"/>
        <v>"jaakari_black_mung": 14000,</v>
      </c>
      <c r="R1173" s="1" t="str">
        <f t="shared" si="100"/>
        <v>"jaakari_black_mung": 7,</v>
      </c>
    </row>
    <row r="1174" spans="1:18" ht="15" customHeight="1" x14ac:dyDescent="0.25">
      <c r="A1174" s="1" t="str">
        <f t="shared" si="96"/>
        <v>#tc_clothes#tc_military#tc_bags</v>
      </c>
      <c r="B1174" s="1">
        <f>VLOOKUP(A1174,TraderCategory!$A$63:$E$556,2,FALSE)</f>
        <v>15</v>
      </c>
      <c r="C1174" s="1">
        <f>VLOOKUP(A1174,TraderCategory!$A$63:$F$556,6,FALSE)</f>
        <v>1</v>
      </c>
      <c r="D1174" s="1" t="str">
        <f>VLOOKUP(C1174,Tabulka5[],3,FALSE)</f>
        <v>Private First Class</v>
      </c>
      <c r="E1174" s="1">
        <v>7</v>
      </c>
      <c r="F1174" s="1" t="str">
        <f>VLOOKUP(E1174,Tabulka5[],3,FALSE)</f>
        <v>First Sergeant</v>
      </c>
      <c r="G1174" s="1" t="s">
        <v>3119</v>
      </c>
      <c r="H1174" s="1" t="s">
        <v>3107</v>
      </c>
      <c r="I1174" s="1" t="s">
        <v>426</v>
      </c>
      <c r="J1174" s="1" t="s">
        <v>2728</v>
      </c>
      <c r="K1174" s="1" t="s">
        <v>2729</v>
      </c>
      <c r="L1174" s="1" t="s">
        <v>3138</v>
      </c>
      <c r="M1174" s="1">
        <v>14000</v>
      </c>
      <c r="N1174" s="1">
        <v>1</v>
      </c>
      <c r="O1174" s="1" t="str">
        <f t="shared" si="97"/>
        <v>"jaakari_camo_mung": 1,</v>
      </c>
      <c r="P1174" s="1" t="str">
        <f t="shared" si="98"/>
        <v>"jaakari_camo_mung": 15,</v>
      </c>
      <c r="Q1174" s="1" t="str">
        <f t="shared" si="99"/>
        <v>"jaakari_camo_mung": 14000,</v>
      </c>
      <c r="R1174" s="1" t="str">
        <f t="shared" si="100"/>
        <v>"jaakari_camo_mung": 7,</v>
      </c>
    </row>
    <row r="1175" spans="1:18" ht="15" customHeight="1" x14ac:dyDescent="0.25">
      <c r="A1175" s="1" t="str">
        <f t="shared" si="96"/>
        <v>#tc_clothes#tc_military#tc_bags</v>
      </c>
      <c r="B1175" s="1">
        <f>VLOOKUP(A1175,TraderCategory!$A$63:$E$556,2,FALSE)</f>
        <v>15</v>
      </c>
      <c r="C1175" s="1">
        <f>VLOOKUP(A1175,TraderCategory!$A$63:$F$556,6,FALSE)</f>
        <v>1</v>
      </c>
      <c r="D1175" s="1" t="str">
        <f>VLOOKUP(C1175,Tabulka5[],3,FALSE)</f>
        <v>Private First Class</v>
      </c>
      <c r="E1175" s="1">
        <v>7</v>
      </c>
      <c r="F1175" s="1" t="str">
        <f>VLOOKUP(E1175,Tabulka5[],3,FALSE)</f>
        <v>First Sergeant</v>
      </c>
      <c r="G1175" s="1" t="s">
        <v>3119</v>
      </c>
      <c r="H1175" s="1" t="s">
        <v>3108</v>
      </c>
      <c r="I1175" s="1" t="s">
        <v>426</v>
      </c>
      <c r="J1175" s="1" t="s">
        <v>2728</v>
      </c>
      <c r="K1175" s="1" t="s">
        <v>2729</v>
      </c>
      <c r="L1175" s="1" t="s">
        <v>3138</v>
      </c>
      <c r="M1175" s="1">
        <v>14000</v>
      </c>
      <c r="N1175" s="1">
        <v>1</v>
      </c>
      <c r="O1175" s="1" t="str">
        <f t="shared" si="97"/>
        <v>"jaakari_brown_mung": 1,</v>
      </c>
      <c r="P1175" s="1" t="str">
        <f t="shared" si="98"/>
        <v>"jaakari_brown_mung": 15,</v>
      </c>
      <c r="Q1175" s="1" t="str">
        <f t="shared" si="99"/>
        <v>"jaakari_brown_mung": 14000,</v>
      </c>
      <c r="R1175" s="1" t="str">
        <f t="shared" si="100"/>
        <v>"jaakari_brown_mung": 7,</v>
      </c>
    </row>
    <row r="1176" spans="1:18" ht="15" customHeight="1" x14ac:dyDescent="0.25">
      <c r="A1176" s="1" t="str">
        <f t="shared" ref="A1176:A1239" si="101">CONCATENATE(J1176,K1176,L1176)</f>
        <v>#tc_military#tc_weapons#tc_assaultrifles</v>
      </c>
      <c r="B1176" s="1">
        <f>VLOOKUP(A1176,TraderCategory!$A$63:$E$556,2,FALSE)</f>
        <v>65</v>
      </c>
      <c r="C1176" s="1">
        <f>VLOOKUP(A1176,TraderCategory!$A$63:$F$556,6,FALSE)</f>
        <v>10</v>
      </c>
      <c r="D1176" s="1" t="str">
        <f>VLOOKUP(C1176,Tabulka5[],3,FALSE)</f>
        <v>Second Lieutenant</v>
      </c>
      <c r="E1176" s="1">
        <v>11</v>
      </c>
      <c r="F1176" s="1" t="str">
        <f>VLOOKUP(E1176,Tabulka5[],3,FALSE)</f>
        <v>First Lieutenant</v>
      </c>
      <c r="G1176" s="1" t="s">
        <v>3115</v>
      </c>
      <c r="H1176" s="1" t="s">
        <v>2926</v>
      </c>
      <c r="J1176" s="1" t="s">
        <v>2729</v>
      </c>
      <c r="K1176" s="1" t="s">
        <v>3129</v>
      </c>
      <c r="L1176" s="1" t="s">
        <v>3158</v>
      </c>
      <c r="M1176" s="1">
        <v>40000</v>
      </c>
      <c r="N1176" s="1">
        <v>1</v>
      </c>
      <c r="O1176" s="1" t="str">
        <f t="shared" si="97"/>
        <v>"AK101_Black": 1,</v>
      </c>
      <c r="P1176" s="1" t="str">
        <f t="shared" si="98"/>
        <v>"AK101_Black": 65,</v>
      </c>
      <c r="Q1176" s="1" t="str">
        <f t="shared" si="99"/>
        <v>"AK101_Black": 40000,</v>
      </c>
      <c r="R1176" s="1" t="str">
        <f t="shared" si="100"/>
        <v>"AK101_Black": 11,</v>
      </c>
    </row>
    <row r="1177" spans="1:18" ht="15" customHeight="1" x14ac:dyDescent="0.25">
      <c r="A1177" s="1" t="str">
        <f t="shared" si="101"/>
        <v>#tc_military#tc_weapons#tc_assaultrifles</v>
      </c>
      <c r="B1177" s="1">
        <f>VLOOKUP(A1177,TraderCategory!$A$63:$E$556,2,FALSE)</f>
        <v>65</v>
      </c>
      <c r="C1177" s="1">
        <f>VLOOKUP(A1177,TraderCategory!$A$63:$F$556,6,FALSE)</f>
        <v>10</v>
      </c>
      <c r="D1177" s="1" t="str">
        <f>VLOOKUP(C1177,Tabulka5[],3,FALSE)</f>
        <v>Second Lieutenant</v>
      </c>
      <c r="E1177" s="1">
        <v>11</v>
      </c>
      <c r="F1177" s="1" t="str">
        <f>VLOOKUP(E1177,Tabulka5[],3,FALSE)</f>
        <v>First Lieutenant</v>
      </c>
      <c r="G1177" s="1" t="s">
        <v>3115</v>
      </c>
      <c r="H1177" s="1" t="s">
        <v>2927</v>
      </c>
      <c r="J1177" s="1" t="s">
        <v>2729</v>
      </c>
      <c r="K1177" s="1" t="s">
        <v>3129</v>
      </c>
      <c r="L1177" s="1" t="s">
        <v>3158</v>
      </c>
      <c r="M1177" s="1">
        <v>40000</v>
      </c>
      <c r="N1177" s="1">
        <v>1</v>
      </c>
      <c r="O1177" s="1" t="str">
        <f t="shared" si="97"/>
        <v>"AK101_Green": 1,</v>
      </c>
      <c r="P1177" s="1" t="str">
        <f t="shared" si="98"/>
        <v>"AK101_Green": 65,</v>
      </c>
      <c r="Q1177" s="1" t="str">
        <f t="shared" si="99"/>
        <v>"AK101_Green": 40000,</v>
      </c>
      <c r="R1177" s="1" t="str">
        <f t="shared" si="100"/>
        <v>"AK101_Green": 11,</v>
      </c>
    </row>
    <row r="1178" spans="1:18" ht="15" customHeight="1" x14ac:dyDescent="0.25">
      <c r="A1178" s="1" t="str">
        <f t="shared" si="101"/>
        <v>#tc_military#tc_weapons#tc_assaultrifles</v>
      </c>
      <c r="B1178" s="1">
        <f>VLOOKUP(A1178,TraderCategory!$A$63:$E$556,2,FALSE)</f>
        <v>65</v>
      </c>
      <c r="C1178" s="1">
        <f>VLOOKUP(A1178,TraderCategory!$A$63:$F$556,6,FALSE)</f>
        <v>10</v>
      </c>
      <c r="D1178" s="1" t="str">
        <f>VLOOKUP(C1178,Tabulka5[],3,FALSE)</f>
        <v>Second Lieutenant</v>
      </c>
      <c r="E1178" s="1">
        <v>11</v>
      </c>
      <c r="F1178" s="1" t="str">
        <f>VLOOKUP(E1178,Tabulka5[],3,FALSE)</f>
        <v>First Lieutenant</v>
      </c>
      <c r="G1178" s="1" t="s">
        <v>3115</v>
      </c>
      <c r="H1178" s="1" t="s">
        <v>2928</v>
      </c>
      <c r="J1178" s="1" t="s">
        <v>2729</v>
      </c>
      <c r="K1178" s="1" t="s">
        <v>3129</v>
      </c>
      <c r="L1178" s="1" t="s">
        <v>3158</v>
      </c>
      <c r="M1178" s="1">
        <v>25000</v>
      </c>
      <c r="N1178" s="1">
        <v>1</v>
      </c>
      <c r="O1178" s="1" t="str">
        <f t="shared" si="97"/>
        <v>"AK74_Black": 1,</v>
      </c>
      <c r="P1178" s="1" t="str">
        <f t="shared" si="98"/>
        <v>"AK74_Black": 65,</v>
      </c>
      <c r="Q1178" s="1" t="str">
        <f t="shared" si="99"/>
        <v>"AK74_Black": 25000,</v>
      </c>
      <c r="R1178" s="1" t="str">
        <f t="shared" si="100"/>
        <v>"AK74_Black": 11,</v>
      </c>
    </row>
    <row r="1179" spans="1:18" ht="15" customHeight="1" x14ac:dyDescent="0.25">
      <c r="A1179" s="1" t="str">
        <f t="shared" si="101"/>
        <v>#tc_military#tc_weapons#tc_assaultrifles</v>
      </c>
      <c r="B1179" s="1">
        <f>VLOOKUP(A1179,TraderCategory!$A$63:$E$556,2,FALSE)</f>
        <v>65</v>
      </c>
      <c r="C1179" s="1">
        <f>VLOOKUP(A1179,TraderCategory!$A$63:$F$556,6,FALSE)</f>
        <v>10</v>
      </c>
      <c r="D1179" s="1" t="str">
        <f>VLOOKUP(C1179,Tabulka5[],3,FALSE)</f>
        <v>Second Lieutenant</v>
      </c>
      <c r="E1179" s="1">
        <v>11</v>
      </c>
      <c r="F1179" s="1" t="str">
        <f>VLOOKUP(E1179,Tabulka5[],3,FALSE)</f>
        <v>First Lieutenant</v>
      </c>
      <c r="G1179" s="1" t="s">
        <v>3115</v>
      </c>
      <c r="H1179" s="1" t="s">
        <v>2929</v>
      </c>
      <c r="J1179" s="1" t="s">
        <v>2729</v>
      </c>
      <c r="K1179" s="1" t="s">
        <v>3129</v>
      </c>
      <c r="L1179" s="1" t="s">
        <v>3158</v>
      </c>
      <c r="M1179" s="1">
        <v>25000</v>
      </c>
      <c r="N1179" s="1">
        <v>1</v>
      </c>
      <c r="O1179" s="1" t="str">
        <f t="shared" si="97"/>
        <v>"AK74_Green": 1,</v>
      </c>
      <c r="P1179" s="1" t="str">
        <f t="shared" si="98"/>
        <v>"AK74_Green": 65,</v>
      </c>
      <c r="Q1179" s="1" t="str">
        <f t="shared" si="99"/>
        <v>"AK74_Green": 25000,</v>
      </c>
      <c r="R1179" s="1" t="str">
        <f t="shared" si="100"/>
        <v>"AK74_Green": 11,</v>
      </c>
    </row>
    <row r="1180" spans="1:18" ht="15" customHeight="1" x14ac:dyDescent="0.25">
      <c r="A1180" s="1" t="str">
        <f t="shared" si="101"/>
        <v>#tc_military#tc_weapons#tc_assaultrifles</v>
      </c>
      <c r="B1180" s="1">
        <f>VLOOKUP(A1180,TraderCategory!$A$63:$E$556,2,FALSE)</f>
        <v>65</v>
      </c>
      <c r="C1180" s="1">
        <f>VLOOKUP(A1180,TraderCategory!$A$63:$F$556,6,FALSE)</f>
        <v>10</v>
      </c>
      <c r="D1180" s="1" t="str">
        <f>VLOOKUP(C1180,Tabulka5[],3,FALSE)</f>
        <v>Second Lieutenant</v>
      </c>
      <c r="E1180" s="1">
        <v>11</v>
      </c>
      <c r="F1180" s="1" t="str">
        <f>VLOOKUP(E1180,Tabulka5[],3,FALSE)</f>
        <v>First Lieutenant</v>
      </c>
      <c r="G1180" s="1" t="s">
        <v>3115</v>
      </c>
      <c r="H1180" s="1" t="s">
        <v>2930</v>
      </c>
      <c r="J1180" s="1" t="s">
        <v>2729</v>
      </c>
      <c r="K1180" s="1" t="s">
        <v>3129</v>
      </c>
      <c r="L1180" s="1" t="s">
        <v>3158</v>
      </c>
      <c r="M1180" s="1">
        <v>25000</v>
      </c>
      <c r="N1180" s="1">
        <v>1</v>
      </c>
      <c r="O1180" s="1" t="str">
        <f t="shared" si="97"/>
        <v>"AKS74U_Black": 1,</v>
      </c>
      <c r="P1180" s="1" t="str">
        <f t="shared" si="98"/>
        <v>"AKS74U_Black": 65,</v>
      </c>
      <c r="Q1180" s="1" t="str">
        <f t="shared" si="99"/>
        <v>"AKS74U_Black": 25000,</v>
      </c>
      <c r="R1180" s="1" t="str">
        <f t="shared" si="100"/>
        <v>"AKS74U_Black": 11,</v>
      </c>
    </row>
    <row r="1181" spans="1:18" ht="15" customHeight="1" x14ac:dyDescent="0.25">
      <c r="A1181" s="1" t="str">
        <f t="shared" si="101"/>
        <v>#tc_military#tc_weapons#tc_assaultrifles</v>
      </c>
      <c r="B1181" s="1">
        <f>VLOOKUP(A1181,TraderCategory!$A$63:$E$556,2,FALSE)</f>
        <v>65</v>
      </c>
      <c r="C1181" s="1">
        <f>VLOOKUP(A1181,TraderCategory!$A$63:$F$556,6,FALSE)</f>
        <v>10</v>
      </c>
      <c r="D1181" s="1" t="str">
        <f>VLOOKUP(C1181,Tabulka5[],3,FALSE)</f>
        <v>Second Lieutenant</v>
      </c>
      <c r="E1181" s="1">
        <v>11</v>
      </c>
      <c r="F1181" s="1" t="str">
        <f>VLOOKUP(E1181,Tabulka5[],3,FALSE)</f>
        <v>First Lieutenant</v>
      </c>
      <c r="G1181" s="1" t="s">
        <v>3115</v>
      </c>
      <c r="H1181" s="1" t="s">
        <v>2931</v>
      </c>
      <c r="J1181" s="1" t="s">
        <v>2729</v>
      </c>
      <c r="K1181" s="1" t="s">
        <v>3129</v>
      </c>
      <c r="L1181" s="1" t="s">
        <v>3158</v>
      </c>
      <c r="M1181" s="1">
        <v>25000</v>
      </c>
      <c r="N1181" s="1">
        <v>1</v>
      </c>
      <c r="O1181" s="1" t="str">
        <f t="shared" si="97"/>
        <v>"AKS74U_Green": 1,</v>
      </c>
      <c r="P1181" s="1" t="str">
        <f t="shared" si="98"/>
        <v>"AKS74U_Green": 65,</v>
      </c>
      <c r="Q1181" s="1" t="str">
        <f t="shared" si="99"/>
        <v>"AKS74U_Green": 25000,</v>
      </c>
      <c r="R1181" s="1" t="str">
        <f t="shared" si="100"/>
        <v>"AKS74U_Green": 11,</v>
      </c>
    </row>
    <row r="1182" spans="1:18" ht="15" customHeight="1" x14ac:dyDescent="0.25">
      <c r="A1182" s="1" t="str">
        <f t="shared" si="101"/>
        <v>#tc_military#tc_attachments#tc_attachments</v>
      </c>
      <c r="B1182" s="1">
        <f>VLOOKUP(A1182,TraderCategory!$A$63:$E$556,2,FALSE)</f>
        <v>48</v>
      </c>
      <c r="C1182" s="1">
        <f>VLOOKUP(A1182,TraderCategory!$A$63:$F$556,6,FALSE)</f>
        <v>0</v>
      </c>
      <c r="D1182" s="1" t="str">
        <f>VLOOKUP(C1182,Tabulka5[],3,FALSE)</f>
        <v>Private</v>
      </c>
      <c r="E1182" s="1">
        <v>10</v>
      </c>
      <c r="F1182" s="1" t="str">
        <f>VLOOKUP(E1182,Tabulka5[],3,FALSE)</f>
        <v>Second Lieutenant</v>
      </c>
      <c r="G1182" s="1" t="s">
        <v>3115</v>
      </c>
      <c r="H1182" s="1" t="s">
        <v>2932</v>
      </c>
      <c r="J1182" s="1" t="s">
        <v>2729</v>
      </c>
      <c r="K1182" s="1" t="s">
        <v>2736</v>
      </c>
      <c r="L1182" s="1" t="s">
        <v>2736</v>
      </c>
      <c r="M1182" s="1">
        <v>500</v>
      </c>
      <c r="N1182" s="1">
        <v>1</v>
      </c>
      <c r="O1182" s="1" t="str">
        <f t="shared" si="97"/>
        <v>"AK_FoldingBttstck_Black": 1,</v>
      </c>
      <c r="P1182" s="1" t="str">
        <f t="shared" si="98"/>
        <v>"AK_FoldingBttstck_Black": 48,</v>
      </c>
      <c r="Q1182" s="1" t="str">
        <f t="shared" si="99"/>
        <v>"AK_FoldingBttstck_Black": 500,</v>
      </c>
      <c r="R1182" s="1" t="str">
        <f t="shared" si="100"/>
        <v>"AK_FoldingBttstck_Black": 10,</v>
      </c>
    </row>
    <row r="1183" spans="1:18" ht="15" customHeight="1" x14ac:dyDescent="0.25">
      <c r="A1183" s="1" t="str">
        <f t="shared" si="101"/>
        <v>#tc_military#tc_attachments#tc_attachments</v>
      </c>
      <c r="B1183" s="1">
        <f>VLOOKUP(A1183,TraderCategory!$A$63:$E$556,2,FALSE)</f>
        <v>48</v>
      </c>
      <c r="C1183" s="1">
        <f>VLOOKUP(A1183,TraderCategory!$A$63:$F$556,6,FALSE)</f>
        <v>0</v>
      </c>
      <c r="D1183" s="1" t="str">
        <f>VLOOKUP(C1183,Tabulka5[],3,FALSE)</f>
        <v>Private</v>
      </c>
      <c r="E1183" s="1">
        <v>10</v>
      </c>
      <c r="F1183" s="1" t="str">
        <f>VLOOKUP(E1183,Tabulka5[],3,FALSE)</f>
        <v>Second Lieutenant</v>
      </c>
      <c r="G1183" s="1" t="s">
        <v>3115</v>
      </c>
      <c r="H1183" s="1" t="s">
        <v>2933</v>
      </c>
      <c r="J1183" s="1" t="s">
        <v>2729</v>
      </c>
      <c r="K1183" s="1" t="s">
        <v>2736</v>
      </c>
      <c r="L1183" s="1" t="s">
        <v>2736</v>
      </c>
      <c r="M1183" s="1">
        <v>500</v>
      </c>
      <c r="N1183" s="1">
        <v>1</v>
      </c>
      <c r="O1183" s="1" t="str">
        <f t="shared" si="97"/>
        <v>"AK_FoldingBttstck_Green": 1,</v>
      </c>
      <c r="P1183" s="1" t="str">
        <f t="shared" si="98"/>
        <v>"AK_FoldingBttstck_Green": 48,</v>
      </c>
      <c r="Q1183" s="1" t="str">
        <f t="shared" si="99"/>
        <v>"AK_FoldingBttstck_Green": 500,</v>
      </c>
      <c r="R1183" s="1" t="str">
        <f t="shared" si="100"/>
        <v>"AK_FoldingBttstck_Green": 10,</v>
      </c>
    </row>
    <row r="1184" spans="1:18" ht="15" customHeight="1" x14ac:dyDescent="0.25">
      <c r="A1184" s="1" t="str">
        <f t="shared" si="101"/>
        <v>#tc_military#tc_attachments#tc_attachments</v>
      </c>
      <c r="B1184" s="1">
        <f>VLOOKUP(A1184,TraderCategory!$A$63:$E$556,2,FALSE)</f>
        <v>48</v>
      </c>
      <c r="C1184" s="1">
        <f>VLOOKUP(A1184,TraderCategory!$A$63:$F$556,6,FALSE)</f>
        <v>0</v>
      </c>
      <c r="D1184" s="1" t="str">
        <f>VLOOKUP(C1184,Tabulka5[],3,FALSE)</f>
        <v>Private</v>
      </c>
      <c r="E1184" s="1">
        <v>10</v>
      </c>
      <c r="F1184" s="1" t="str">
        <f>VLOOKUP(E1184,Tabulka5[],3,FALSE)</f>
        <v>Second Lieutenant</v>
      </c>
      <c r="G1184" s="1" t="s">
        <v>3115</v>
      </c>
      <c r="H1184" s="1" t="s">
        <v>2934</v>
      </c>
      <c r="J1184" s="1" t="s">
        <v>2729</v>
      </c>
      <c r="K1184" s="1" t="s">
        <v>2736</v>
      </c>
      <c r="L1184" s="1" t="s">
        <v>2736</v>
      </c>
      <c r="M1184" s="1">
        <v>500</v>
      </c>
      <c r="N1184" s="1">
        <v>1</v>
      </c>
      <c r="O1184" s="1" t="str">
        <f t="shared" si="97"/>
        <v>"AK_PlasticBttstck_Black": 1,</v>
      </c>
      <c r="P1184" s="1" t="str">
        <f t="shared" si="98"/>
        <v>"AK_PlasticBttstck_Black": 48,</v>
      </c>
      <c r="Q1184" s="1" t="str">
        <f t="shared" si="99"/>
        <v>"AK_PlasticBttstck_Black": 500,</v>
      </c>
      <c r="R1184" s="1" t="str">
        <f t="shared" si="100"/>
        <v>"AK_PlasticBttstck_Black": 10,</v>
      </c>
    </row>
    <row r="1185" spans="1:18" ht="15" customHeight="1" x14ac:dyDescent="0.25">
      <c r="A1185" s="1" t="str">
        <f t="shared" si="101"/>
        <v>#tc_military#tc_attachments#tc_attachments</v>
      </c>
      <c r="B1185" s="1">
        <f>VLOOKUP(A1185,TraderCategory!$A$63:$E$556,2,FALSE)</f>
        <v>48</v>
      </c>
      <c r="C1185" s="1">
        <f>VLOOKUP(A1185,TraderCategory!$A$63:$F$556,6,FALSE)</f>
        <v>0</v>
      </c>
      <c r="D1185" s="1" t="str">
        <f>VLOOKUP(C1185,Tabulka5[],3,FALSE)</f>
        <v>Private</v>
      </c>
      <c r="E1185" s="1">
        <v>10</v>
      </c>
      <c r="F1185" s="1" t="str">
        <f>VLOOKUP(E1185,Tabulka5[],3,FALSE)</f>
        <v>Second Lieutenant</v>
      </c>
      <c r="G1185" s="1" t="s">
        <v>3115</v>
      </c>
      <c r="H1185" s="1" t="s">
        <v>2935</v>
      </c>
      <c r="J1185" s="1" t="s">
        <v>2729</v>
      </c>
      <c r="K1185" s="1" t="s">
        <v>2736</v>
      </c>
      <c r="L1185" s="1" t="s">
        <v>2736</v>
      </c>
      <c r="M1185" s="1">
        <v>500</v>
      </c>
      <c r="N1185" s="1">
        <v>1</v>
      </c>
      <c r="O1185" s="1" t="str">
        <f t="shared" si="97"/>
        <v>"AK_PlasticBttstck_Green": 1,</v>
      </c>
      <c r="P1185" s="1" t="str">
        <f t="shared" si="98"/>
        <v>"AK_PlasticBttstck_Green": 48,</v>
      </c>
      <c r="Q1185" s="1" t="str">
        <f t="shared" si="99"/>
        <v>"AK_PlasticBttstck_Green": 500,</v>
      </c>
      <c r="R1185" s="1" t="str">
        <f t="shared" si="100"/>
        <v>"AK_PlasticBttstck_Green": 10,</v>
      </c>
    </row>
    <row r="1186" spans="1:18" ht="15" customHeight="1" x14ac:dyDescent="0.25">
      <c r="A1186" s="1" t="str">
        <f t="shared" si="101"/>
        <v>#tc_military#tc_attachments#tc_attachments</v>
      </c>
      <c r="B1186" s="1">
        <f>VLOOKUP(A1186,TraderCategory!$A$63:$E$556,2,FALSE)</f>
        <v>48</v>
      </c>
      <c r="C1186" s="1">
        <f>VLOOKUP(A1186,TraderCategory!$A$63:$F$556,6,FALSE)</f>
        <v>0</v>
      </c>
      <c r="D1186" s="1" t="str">
        <f>VLOOKUP(C1186,Tabulka5[],3,FALSE)</f>
        <v>Private</v>
      </c>
      <c r="E1186" s="1">
        <v>10</v>
      </c>
      <c r="F1186" s="1" t="str">
        <f>VLOOKUP(E1186,Tabulka5[],3,FALSE)</f>
        <v>Second Lieutenant</v>
      </c>
      <c r="G1186" s="1" t="s">
        <v>3115</v>
      </c>
      <c r="H1186" s="1" t="s">
        <v>2936</v>
      </c>
      <c r="J1186" s="1" t="s">
        <v>2729</v>
      </c>
      <c r="K1186" s="1" t="s">
        <v>2736</v>
      </c>
      <c r="L1186" s="1" t="s">
        <v>2736</v>
      </c>
      <c r="M1186" s="1">
        <v>1000</v>
      </c>
      <c r="N1186" s="1">
        <v>1</v>
      </c>
      <c r="O1186" s="1" t="str">
        <f t="shared" si="97"/>
        <v>"AK_RailHndgrd_Black": 1,</v>
      </c>
      <c r="P1186" s="1" t="str">
        <f t="shared" si="98"/>
        <v>"AK_RailHndgrd_Black": 48,</v>
      </c>
      <c r="Q1186" s="1" t="str">
        <f t="shared" si="99"/>
        <v>"AK_RailHndgrd_Black": 1000,</v>
      </c>
      <c r="R1186" s="1" t="str">
        <f t="shared" si="100"/>
        <v>"AK_RailHndgrd_Black": 10,</v>
      </c>
    </row>
    <row r="1187" spans="1:18" ht="15" customHeight="1" x14ac:dyDescent="0.25">
      <c r="A1187" s="1" t="str">
        <f t="shared" si="101"/>
        <v>#tc_military#tc_attachments#tc_attachments</v>
      </c>
      <c r="B1187" s="1">
        <f>VLOOKUP(A1187,TraderCategory!$A$63:$E$556,2,FALSE)</f>
        <v>48</v>
      </c>
      <c r="C1187" s="1">
        <f>VLOOKUP(A1187,TraderCategory!$A$63:$F$556,6,FALSE)</f>
        <v>0</v>
      </c>
      <c r="D1187" s="1" t="str">
        <f>VLOOKUP(C1187,Tabulka5[],3,FALSE)</f>
        <v>Private</v>
      </c>
      <c r="E1187" s="1">
        <v>10</v>
      </c>
      <c r="F1187" s="1" t="str">
        <f>VLOOKUP(E1187,Tabulka5[],3,FALSE)</f>
        <v>Second Lieutenant</v>
      </c>
      <c r="G1187" s="1" t="s">
        <v>3115</v>
      </c>
      <c r="H1187" s="1" t="s">
        <v>2937</v>
      </c>
      <c r="J1187" s="1" t="s">
        <v>2729</v>
      </c>
      <c r="K1187" s="1" t="s">
        <v>2736</v>
      </c>
      <c r="L1187" s="1" t="s">
        <v>2736</v>
      </c>
      <c r="M1187" s="1">
        <v>1000</v>
      </c>
      <c r="N1187" s="1">
        <v>1</v>
      </c>
      <c r="O1187" s="1" t="str">
        <f t="shared" si="97"/>
        <v>"AK_RailHndgrd_Green": 1,</v>
      </c>
      <c r="P1187" s="1" t="str">
        <f t="shared" si="98"/>
        <v>"AK_RailHndgrd_Green": 48,</v>
      </c>
      <c r="Q1187" s="1" t="str">
        <f t="shared" si="99"/>
        <v>"AK_RailHndgrd_Green": 1000,</v>
      </c>
      <c r="R1187" s="1" t="str">
        <f t="shared" si="100"/>
        <v>"AK_RailHndgrd_Green": 10,</v>
      </c>
    </row>
    <row r="1188" spans="1:18" ht="15" customHeight="1" x14ac:dyDescent="0.25">
      <c r="A1188" s="1" t="str">
        <f t="shared" si="101"/>
        <v>#tc_military#tc_attachments#tc_attachments</v>
      </c>
      <c r="B1188" s="1">
        <f>VLOOKUP(A1188,TraderCategory!$A$63:$E$556,2,FALSE)</f>
        <v>48</v>
      </c>
      <c r="C1188" s="1">
        <f>VLOOKUP(A1188,TraderCategory!$A$63:$F$556,6,FALSE)</f>
        <v>0</v>
      </c>
      <c r="D1188" s="1" t="str">
        <f>VLOOKUP(C1188,Tabulka5[],3,FALSE)</f>
        <v>Private</v>
      </c>
      <c r="E1188" s="1">
        <v>10</v>
      </c>
      <c r="F1188" s="1" t="str">
        <f>VLOOKUP(E1188,Tabulka5[],3,FALSE)</f>
        <v>Second Lieutenant</v>
      </c>
      <c r="G1188" s="1" t="s">
        <v>3115</v>
      </c>
      <c r="H1188" s="1" t="s">
        <v>2938</v>
      </c>
      <c r="J1188" s="1" t="s">
        <v>2729</v>
      </c>
      <c r="K1188" s="1" t="s">
        <v>2736</v>
      </c>
      <c r="L1188" s="1" t="s">
        <v>2736</v>
      </c>
      <c r="M1188" s="1">
        <v>500</v>
      </c>
      <c r="N1188" s="1">
        <v>1</v>
      </c>
      <c r="O1188" s="1" t="str">
        <f t="shared" si="97"/>
        <v>"AK_WoodBttstck_Black": 1,</v>
      </c>
      <c r="P1188" s="1" t="str">
        <f t="shared" si="98"/>
        <v>"AK_WoodBttstck_Black": 48,</v>
      </c>
      <c r="Q1188" s="1" t="str">
        <f t="shared" si="99"/>
        <v>"AK_WoodBttstck_Black": 500,</v>
      </c>
      <c r="R1188" s="1" t="str">
        <f t="shared" si="100"/>
        <v>"AK_WoodBttstck_Black": 10,</v>
      </c>
    </row>
    <row r="1189" spans="1:18" ht="15" customHeight="1" x14ac:dyDescent="0.25">
      <c r="A1189" s="1" t="str">
        <f t="shared" si="101"/>
        <v>#tc_military#tc_attachments#tc_attachments</v>
      </c>
      <c r="B1189" s="1">
        <f>VLOOKUP(A1189,TraderCategory!$A$63:$E$556,2,FALSE)</f>
        <v>48</v>
      </c>
      <c r="C1189" s="1">
        <f>VLOOKUP(A1189,TraderCategory!$A$63:$F$556,6,FALSE)</f>
        <v>0</v>
      </c>
      <c r="D1189" s="1" t="str">
        <f>VLOOKUP(C1189,Tabulka5[],3,FALSE)</f>
        <v>Private</v>
      </c>
      <c r="E1189" s="1">
        <v>10</v>
      </c>
      <c r="F1189" s="1" t="str">
        <f>VLOOKUP(E1189,Tabulka5[],3,FALSE)</f>
        <v>Second Lieutenant</v>
      </c>
      <c r="G1189" s="1" t="s">
        <v>3115</v>
      </c>
      <c r="H1189" s="1" t="s">
        <v>2939</v>
      </c>
      <c r="J1189" s="1" t="s">
        <v>2729</v>
      </c>
      <c r="K1189" s="1" t="s">
        <v>2736</v>
      </c>
      <c r="L1189" s="1" t="s">
        <v>2736</v>
      </c>
      <c r="M1189" s="1">
        <v>500</v>
      </c>
      <c r="N1189" s="1">
        <v>1</v>
      </c>
      <c r="O1189" s="1" t="str">
        <f t="shared" si="97"/>
        <v>"AK_WoodBttstck_Camo": 1,</v>
      </c>
      <c r="P1189" s="1" t="str">
        <f t="shared" si="98"/>
        <v>"AK_WoodBttstck_Camo": 48,</v>
      </c>
      <c r="Q1189" s="1" t="str">
        <f t="shared" si="99"/>
        <v>"AK_WoodBttstck_Camo": 500,</v>
      </c>
      <c r="R1189" s="1" t="str">
        <f t="shared" si="100"/>
        <v>"AK_WoodBttstck_Camo": 10,</v>
      </c>
    </row>
    <row r="1190" spans="1:18" ht="15" customHeight="1" x14ac:dyDescent="0.25">
      <c r="A1190" s="1" t="str">
        <f t="shared" si="101"/>
        <v>#tc_military#tc_attachments#tc_attachments</v>
      </c>
      <c r="B1190" s="1">
        <f>VLOOKUP(A1190,TraderCategory!$A$63:$E$556,2,FALSE)</f>
        <v>48</v>
      </c>
      <c r="C1190" s="1">
        <f>VLOOKUP(A1190,TraderCategory!$A$63:$F$556,6,FALSE)</f>
        <v>0</v>
      </c>
      <c r="D1190" s="1" t="str">
        <f>VLOOKUP(C1190,Tabulka5[],3,FALSE)</f>
        <v>Private</v>
      </c>
      <c r="E1190" s="1">
        <v>10</v>
      </c>
      <c r="F1190" s="1" t="str">
        <f>VLOOKUP(E1190,Tabulka5[],3,FALSE)</f>
        <v>Second Lieutenant</v>
      </c>
      <c r="G1190" s="1" t="s">
        <v>3115</v>
      </c>
      <c r="H1190" s="1" t="s">
        <v>2940</v>
      </c>
      <c r="J1190" s="1" t="s">
        <v>2729</v>
      </c>
      <c r="K1190" s="1" t="s">
        <v>2736</v>
      </c>
      <c r="L1190" s="1" t="s">
        <v>2736</v>
      </c>
      <c r="M1190" s="1">
        <v>500</v>
      </c>
      <c r="N1190" s="1">
        <v>1</v>
      </c>
      <c r="O1190" s="1" t="str">
        <f t="shared" si="97"/>
        <v>"AK_WoodHndgrd_Black": 1,</v>
      </c>
      <c r="P1190" s="1" t="str">
        <f t="shared" si="98"/>
        <v>"AK_WoodHndgrd_Black": 48,</v>
      </c>
      <c r="Q1190" s="1" t="str">
        <f t="shared" si="99"/>
        <v>"AK_WoodHndgrd_Black": 500,</v>
      </c>
      <c r="R1190" s="1" t="str">
        <f t="shared" si="100"/>
        <v>"AK_WoodHndgrd_Black": 10,</v>
      </c>
    </row>
    <row r="1191" spans="1:18" ht="15" customHeight="1" x14ac:dyDescent="0.25">
      <c r="A1191" s="1" t="str">
        <f t="shared" si="101"/>
        <v>#tc_military#tc_attachments#tc_attachments</v>
      </c>
      <c r="B1191" s="1">
        <f>VLOOKUP(A1191,TraderCategory!$A$63:$E$556,2,FALSE)</f>
        <v>48</v>
      </c>
      <c r="C1191" s="1">
        <f>VLOOKUP(A1191,TraderCategory!$A$63:$F$556,6,FALSE)</f>
        <v>0</v>
      </c>
      <c r="D1191" s="1" t="str">
        <f>VLOOKUP(C1191,Tabulka5[],3,FALSE)</f>
        <v>Private</v>
      </c>
      <c r="E1191" s="1">
        <v>10</v>
      </c>
      <c r="F1191" s="1" t="str">
        <f>VLOOKUP(E1191,Tabulka5[],3,FALSE)</f>
        <v>Second Lieutenant</v>
      </c>
      <c r="G1191" s="1" t="s">
        <v>3115</v>
      </c>
      <c r="H1191" s="1" t="s">
        <v>2941</v>
      </c>
      <c r="J1191" s="1" t="s">
        <v>2729</v>
      </c>
      <c r="K1191" s="1" t="s">
        <v>2736</v>
      </c>
      <c r="L1191" s="1" t="s">
        <v>2736</v>
      </c>
      <c r="M1191" s="1">
        <v>500</v>
      </c>
      <c r="N1191" s="1">
        <v>1</v>
      </c>
      <c r="O1191" s="1" t="str">
        <f t="shared" si="97"/>
        <v>"AK_WoodHndgrd_Camo": 1,</v>
      </c>
      <c r="P1191" s="1" t="str">
        <f t="shared" si="98"/>
        <v>"AK_WoodHndgrd_Camo": 48,</v>
      </c>
      <c r="Q1191" s="1" t="str">
        <f t="shared" si="99"/>
        <v>"AK_WoodHndgrd_Camo": 500,</v>
      </c>
      <c r="R1191" s="1" t="str">
        <f t="shared" si="100"/>
        <v>"AK_WoodHndgrd_Camo": 10,</v>
      </c>
    </row>
    <row r="1192" spans="1:18" ht="15" customHeight="1" x14ac:dyDescent="0.25">
      <c r="A1192" s="1" t="str">
        <f t="shared" si="101"/>
        <v>#tc_groceries#tc_food#tc_fruits</v>
      </c>
      <c r="B1192" s="1">
        <f>VLOOKUP(A1192,TraderCategory!$A$63:$E$556,2,FALSE)</f>
        <v>20</v>
      </c>
      <c r="C1192" s="1">
        <f>VLOOKUP(A1192,TraderCategory!$A$63:$F$556,6,FALSE)</f>
        <v>3</v>
      </c>
      <c r="D1192" s="1" t="str">
        <f>VLOOKUP(C1192,Tabulka5[],3,FALSE)</f>
        <v>Sergeant</v>
      </c>
      <c r="E1192" s="1">
        <v>3</v>
      </c>
      <c r="F1192" s="1" t="str">
        <f>VLOOKUP(E1192,Tabulka5[],3,FALSE)</f>
        <v>Sergeant</v>
      </c>
      <c r="G1192" s="1" t="s">
        <v>3115</v>
      </c>
      <c r="H1192" s="3" t="s">
        <v>2942</v>
      </c>
      <c r="J1192" s="1" t="s">
        <v>3127</v>
      </c>
      <c r="K1192" s="1" t="s">
        <v>2730</v>
      </c>
      <c r="L1192" s="1" t="s">
        <v>3142</v>
      </c>
      <c r="M1192" s="1">
        <v>200</v>
      </c>
      <c r="N1192" s="1">
        <v>1</v>
      </c>
      <c r="O1192" s="1" t="str">
        <f t="shared" si="97"/>
        <v>"Apple": 1,</v>
      </c>
      <c r="P1192" s="1" t="str">
        <f t="shared" si="98"/>
        <v>"Apple": 20,</v>
      </c>
      <c r="Q1192" s="1" t="str">
        <f t="shared" si="99"/>
        <v>"Apple": 200,</v>
      </c>
      <c r="R1192" s="1" t="str">
        <f t="shared" si="100"/>
        <v>"Apple": 3,</v>
      </c>
    </row>
    <row r="1193" spans="1:18" ht="15" customHeight="1" x14ac:dyDescent="0.25">
      <c r="A1193" s="1" t="str">
        <f t="shared" si="101"/>
        <v>#tc_groceries#tc_food#tc_fruits</v>
      </c>
      <c r="B1193" s="1">
        <f>VLOOKUP(A1193,TraderCategory!$A$63:$E$556,2,FALSE)</f>
        <v>20</v>
      </c>
      <c r="C1193" s="1">
        <f>VLOOKUP(A1193,TraderCategory!$A$63:$F$556,6,FALSE)</f>
        <v>3</v>
      </c>
      <c r="D1193" s="1" t="str">
        <f>VLOOKUP(C1193,Tabulka5[],3,FALSE)</f>
        <v>Sergeant</v>
      </c>
      <c r="E1193" s="1">
        <v>3</v>
      </c>
      <c r="F1193" s="1" t="str">
        <f>VLOOKUP(E1193,Tabulka5[],3,FALSE)</f>
        <v>Sergeant</v>
      </c>
      <c r="G1193" s="1" t="s">
        <v>3115</v>
      </c>
      <c r="H1193" s="4" t="s">
        <v>2943</v>
      </c>
      <c r="I1193" s="2"/>
      <c r="J1193" s="1" t="s">
        <v>3127</v>
      </c>
      <c r="K1193" s="1" t="s">
        <v>2730</v>
      </c>
      <c r="L1193" s="1" t="s">
        <v>3142</v>
      </c>
      <c r="M1193" s="1">
        <v>200</v>
      </c>
      <c r="N1193" s="1">
        <v>1</v>
      </c>
      <c r="O1193" s="1" t="str">
        <f t="shared" si="97"/>
        <v>"AuriculariaMushroom": 1,</v>
      </c>
      <c r="P1193" s="1" t="str">
        <f t="shared" si="98"/>
        <v>"AuriculariaMushroom": 20,</v>
      </c>
      <c r="Q1193" s="1" t="str">
        <f t="shared" si="99"/>
        <v>"AuriculariaMushroom": 200,</v>
      </c>
      <c r="R1193" s="1" t="str">
        <f t="shared" si="100"/>
        <v>"AuriculariaMushroom": 3,</v>
      </c>
    </row>
    <row r="1194" spans="1:18" ht="15" customHeight="1" x14ac:dyDescent="0.25">
      <c r="A1194" s="1" t="str">
        <f t="shared" si="101"/>
        <v>#tc_clothes#tc_military#tc_head</v>
      </c>
      <c r="B1194" s="1">
        <f>VLOOKUP(A1194,TraderCategory!$A$63:$E$556,2,FALSE)</f>
        <v>8</v>
      </c>
      <c r="C1194" s="1">
        <f>VLOOKUP(A1194,TraderCategory!$A$63:$F$556,6,FALSE)</f>
        <v>1</v>
      </c>
      <c r="D1194" s="1" t="str">
        <f>VLOOKUP(C1194,Tabulka5[],3,FALSE)</f>
        <v>Private First Class</v>
      </c>
      <c r="E1194" s="1">
        <v>1</v>
      </c>
      <c r="F1194" s="1" t="str">
        <f>VLOOKUP(E1194,Tabulka5[],3,FALSE)</f>
        <v>Private First Class</v>
      </c>
      <c r="G1194" s="1" t="s">
        <v>3115</v>
      </c>
      <c r="H1194" s="2" t="s">
        <v>2944</v>
      </c>
      <c r="I1194" s="2"/>
      <c r="J1194" s="2" t="s">
        <v>2728</v>
      </c>
      <c r="K1194" s="1" t="s">
        <v>2729</v>
      </c>
      <c r="L1194" s="1" t="s">
        <v>3130</v>
      </c>
      <c r="M1194" s="1">
        <v>5000</v>
      </c>
      <c r="N1194" s="1">
        <v>1</v>
      </c>
      <c r="O1194" s="1" t="str">
        <f t="shared" si="97"/>
        <v>"BallisticHelmet_Black": 1,</v>
      </c>
      <c r="P1194" s="1" t="str">
        <f t="shared" si="98"/>
        <v>"BallisticHelmet_Black": 8,</v>
      </c>
      <c r="Q1194" s="1" t="str">
        <f t="shared" si="99"/>
        <v>"BallisticHelmet_Black": 5000,</v>
      </c>
      <c r="R1194" s="1" t="str">
        <f t="shared" si="100"/>
        <v>"BallisticHelmet_Black": 1,</v>
      </c>
    </row>
    <row r="1195" spans="1:18" ht="15" customHeight="1" x14ac:dyDescent="0.25">
      <c r="A1195" s="1" t="str">
        <f t="shared" si="101"/>
        <v>#tc_clothes#tc_military#tc_head</v>
      </c>
      <c r="B1195" s="1">
        <f>VLOOKUP(A1195,TraderCategory!$A$63:$E$556,2,FALSE)</f>
        <v>8</v>
      </c>
      <c r="C1195" s="1">
        <f>VLOOKUP(A1195,TraderCategory!$A$63:$F$556,6,FALSE)</f>
        <v>1</v>
      </c>
      <c r="D1195" s="1" t="str">
        <f>VLOOKUP(C1195,Tabulka5[],3,FALSE)</f>
        <v>Private First Class</v>
      </c>
      <c r="E1195" s="1">
        <v>1</v>
      </c>
      <c r="F1195" s="1" t="str">
        <f>VLOOKUP(E1195,Tabulka5[],3,FALSE)</f>
        <v>Private First Class</v>
      </c>
      <c r="G1195" s="1" t="s">
        <v>3115</v>
      </c>
      <c r="H1195" s="2" t="s">
        <v>2945</v>
      </c>
      <c r="I1195" s="2"/>
      <c r="J1195" s="2" t="s">
        <v>2728</v>
      </c>
      <c r="K1195" s="1" t="s">
        <v>2729</v>
      </c>
      <c r="L1195" s="1" t="s">
        <v>3130</v>
      </c>
      <c r="M1195" s="1">
        <v>5000</v>
      </c>
      <c r="N1195" s="1">
        <v>1</v>
      </c>
      <c r="O1195" s="1" t="str">
        <f t="shared" si="97"/>
        <v>"BallisticHelmet_Green": 1,</v>
      </c>
      <c r="P1195" s="1" t="str">
        <f t="shared" si="98"/>
        <v>"BallisticHelmet_Green": 8,</v>
      </c>
      <c r="Q1195" s="1" t="str">
        <f t="shared" si="99"/>
        <v>"BallisticHelmet_Green": 5000,</v>
      </c>
      <c r="R1195" s="1" t="str">
        <f t="shared" si="100"/>
        <v>"BallisticHelmet_Green": 1,</v>
      </c>
    </row>
    <row r="1196" spans="1:18" ht="15" customHeight="1" x14ac:dyDescent="0.25">
      <c r="A1196" s="1" t="str">
        <f t="shared" si="101"/>
        <v>#tc_clothes#tc_civil#tc_head</v>
      </c>
      <c r="B1196" s="1">
        <f>VLOOKUP(A1196,TraderCategory!$A$63:$E$556,2,FALSE)</f>
        <v>0</v>
      </c>
      <c r="C1196" s="1">
        <f>VLOOKUP(A1196,TraderCategory!$A$63:$F$556,6,FALSE)</f>
        <v>0</v>
      </c>
      <c r="D1196" s="1" t="str">
        <f>VLOOKUP(C1196,Tabulka5[],3,FALSE)</f>
        <v>Private</v>
      </c>
      <c r="E1196" s="1">
        <v>3</v>
      </c>
      <c r="F1196" s="1" t="str">
        <f>VLOOKUP(E1196,Tabulka5[],3,FALSE)</f>
        <v>Sergeant</v>
      </c>
      <c r="G1196" s="1" t="s">
        <v>3115</v>
      </c>
      <c r="H1196" s="2" t="s">
        <v>2946</v>
      </c>
      <c r="I1196" s="2"/>
      <c r="J1196" s="2" t="s">
        <v>2728</v>
      </c>
      <c r="K1196" s="1" t="s">
        <v>3126</v>
      </c>
      <c r="L1196" s="1" t="s">
        <v>3130</v>
      </c>
      <c r="M1196" s="1">
        <v>200</v>
      </c>
      <c r="N1196" s="1">
        <v>1</v>
      </c>
      <c r="O1196" s="1" t="str">
        <f t="shared" si="97"/>
        <v>"BandanaMask_BlackPattern": 1,</v>
      </c>
      <c r="P1196" s="1" t="str">
        <f t="shared" si="98"/>
        <v>"BandanaMask_BlackPattern": 0,</v>
      </c>
      <c r="Q1196" s="1" t="str">
        <f t="shared" si="99"/>
        <v>"BandanaMask_BlackPattern": 200,</v>
      </c>
      <c r="R1196" s="1" t="str">
        <f t="shared" si="100"/>
        <v>"BandanaMask_BlackPattern": 3,</v>
      </c>
    </row>
    <row r="1197" spans="1:18" ht="15" customHeight="1" x14ac:dyDescent="0.25">
      <c r="A1197" s="1" t="str">
        <f t="shared" si="101"/>
        <v>#tc_clothes#tc_civil#tc_head</v>
      </c>
      <c r="B1197" s="1">
        <f>VLOOKUP(A1197,TraderCategory!$A$63:$E$556,2,FALSE)</f>
        <v>0</v>
      </c>
      <c r="C1197" s="1">
        <f>VLOOKUP(A1197,TraderCategory!$A$63:$F$556,6,FALSE)</f>
        <v>0</v>
      </c>
      <c r="D1197" s="1" t="str">
        <f>VLOOKUP(C1197,Tabulka5[],3,FALSE)</f>
        <v>Private</v>
      </c>
      <c r="E1197" s="1">
        <v>3</v>
      </c>
      <c r="F1197" s="1" t="str">
        <f>VLOOKUP(E1197,Tabulka5[],3,FALSE)</f>
        <v>Sergeant</v>
      </c>
      <c r="G1197" s="1" t="s">
        <v>3115</v>
      </c>
      <c r="H1197" s="2" t="s">
        <v>2947</v>
      </c>
      <c r="I1197" s="2"/>
      <c r="J1197" s="2" t="s">
        <v>2728</v>
      </c>
      <c r="K1197" s="1" t="s">
        <v>3126</v>
      </c>
      <c r="L1197" s="1" t="s">
        <v>3130</v>
      </c>
      <c r="M1197" s="1">
        <v>200</v>
      </c>
      <c r="N1197" s="1">
        <v>1</v>
      </c>
      <c r="O1197" s="1" t="str">
        <f t="shared" si="97"/>
        <v>"BandanaMask_CamoPattern": 1,</v>
      </c>
      <c r="P1197" s="1" t="str">
        <f t="shared" si="98"/>
        <v>"BandanaMask_CamoPattern": 0,</v>
      </c>
      <c r="Q1197" s="1" t="str">
        <f t="shared" si="99"/>
        <v>"BandanaMask_CamoPattern": 200,</v>
      </c>
      <c r="R1197" s="1" t="str">
        <f t="shared" si="100"/>
        <v>"BandanaMask_CamoPattern": 3,</v>
      </c>
    </row>
    <row r="1198" spans="1:18" ht="15" customHeight="1" x14ac:dyDescent="0.25">
      <c r="A1198" s="1" t="str">
        <f t="shared" si="101"/>
        <v>#tc_clothes#tc_civil#tc_head</v>
      </c>
      <c r="B1198" s="1">
        <f>VLOOKUP(A1198,TraderCategory!$A$63:$E$556,2,FALSE)</f>
        <v>0</v>
      </c>
      <c r="C1198" s="1">
        <f>VLOOKUP(A1198,TraderCategory!$A$63:$F$556,6,FALSE)</f>
        <v>0</v>
      </c>
      <c r="D1198" s="1" t="str">
        <f>VLOOKUP(C1198,Tabulka5[],3,FALSE)</f>
        <v>Private</v>
      </c>
      <c r="E1198" s="1">
        <v>3</v>
      </c>
      <c r="F1198" s="1" t="str">
        <f>VLOOKUP(E1198,Tabulka5[],3,FALSE)</f>
        <v>Sergeant</v>
      </c>
      <c r="G1198" s="1" t="s">
        <v>3115</v>
      </c>
      <c r="H1198" s="2" t="s">
        <v>2948</v>
      </c>
      <c r="I1198" s="2"/>
      <c r="J1198" s="2" t="s">
        <v>2728</v>
      </c>
      <c r="K1198" s="1" t="s">
        <v>3126</v>
      </c>
      <c r="L1198" s="1" t="s">
        <v>3130</v>
      </c>
      <c r="M1198" s="1">
        <v>200</v>
      </c>
      <c r="N1198" s="1">
        <v>1</v>
      </c>
      <c r="O1198" s="1" t="str">
        <f t="shared" si="97"/>
        <v>"BandanaMask_GreenPattern": 1,</v>
      </c>
      <c r="P1198" s="1" t="str">
        <f t="shared" si="98"/>
        <v>"BandanaMask_GreenPattern": 0,</v>
      </c>
      <c r="Q1198" s="1" t="str">
        <f t="shared" si="99"/>
        <v>"BandanaMask_GreenPattern": 200,</v>
      </c>
      <c r="R1198" s="1" t="str">
        <f t="shared" si="100"/>
        <v>"BandanaMask_GreenPattern": 3,</v>
      </c>
    </row>
    <row r="1199" spans="1:18" ht="15" customHeight="1" x14ac:dyDescent="0.25">
      <c r="A1199" s="1" t="str">
        <f t="shared" si="101"/>
        <v>#tc_clothes#tc_civil#tc_head</v>
      </c>
      <c r="B1199" s="1">
        <f>VLOOKUP(A1199,TraderCategory!$A$63:$E$556,2,FALSE)</f>
        <v>0</v>
      </c>
      <c r="C1199" s="1">
        <f>VLOOKUP(A1199,TraderCategory!$A$63:$F$556,6,FALSE)</f>
        <v>0</v>
      </c>
      <c r="D1199" s="1" t="str">
        <f>VLOOKUP(C1199,Tabulka5[],3,FALSE)</f>
        <v>Private</v>
      </c>
      <c r="E1199" s="1">
        <v>0</v>
      </c>
      <c r="F1199" s="1" t="str">
        <f>VLOOKUP(E1199,Tabulka5[],3,FALSE)</f>
        <v>Private</v>
      </c>
      <c r="G1199" s="1" t="s">
        <v>3115</v>
      </c>
      <c r="H1199" s="2" t="s">
        <v>2949</v>
      </c>
      <c r="I1199" s="2"/>
      <c r="J1199" s="2" t="s">
        <v>2728</v>
      </c>
      <c r="K1199" s="1" t="s">
        <v>3126</v>
      </c>
      <c r="L1199" s="1" t="s">
        <v>3130</v>
      </c>
      <c r="M1199" s="1">
        <v>200</v>
      </c>
      <c r="N1199" s="1">
        <v>1</v>
      </c>
      <c r="O1199" s="1" t="str">
        <f t="shared" si="97"/>
        <v>"BandanaMask_PolkaPattern": 1,</v>
      </c>
      <c r="P1199" s="1" t="str">
        <f t="shared" si="98"/>
        <v>"BandanaMask_PolkaPattern": 0,</v>
      </c>
      <c r="Q1199" s="1" t="str">
        <f t="shared" si="99"/>
        <v>"BandanaMask_PolkaPattern": 200,</v>
      </c>
      <c r="R1199" s="1" t="str">
        <f t="shared" si="100"/>
        <v>"BandanaMask_PolkaPattern": 0,</v>
      </c>
    </row>
    <row r="1200" spans="1:18" ht="15" customHeight="1" x14ac:dyDescent="0.25">
      <c r="A1200" s="1" t="str">
        <f t="shared" si="101"/>
        <v>#tc_clothes#tc_civil#tc_head</v>
      </c>
      <c r="B1200" s="1">
        <f>VLOOKUP(A1200,TraderCategory!$A$63:$E$556,2,FALSE)</f>
        <v>0</v>
      </c>
      <c r="C1200" s="1">
        <f>VLOOKUP(A1200,TraderCategory!$A$63:$F$556,6,FALSE)</f>
        <v>0</v>
      </c>
      <c r="D1200" s="1" t="str">
        <f>VLOOKUP(C1200,Tabulka5[],3,FALSE)</f>
        <v>Private</v>
      </c>
      <c r="E1200" s="1">
        <v>0</v>
      </c>
      <c r="F1200" s="1" t="str">
        <f>VLOOKUP(E1200,Tabulka5[],3,FALSE)</f>
        <v>Private</v>
      </c>
      <c r="G1200" s="1" t="s">
        <v>3115</v>
      </c>
      <c r="H1200" s="2" t="s">
        <v>2950</v>
      </c>
      <c r="I1200" s="2"/>
      <c r="J1200" s="2" t="s">
        <v>2728</v>
      </c>
      <c r="K1200" s="1" t="s">
        <v>3126</v>
      </c>
      <c r="L1200" s="1" t="s">
        <v>3130</v>
      </c>
      <c r="M1200" s="1">
        <v>200</v>
      </c>
      <c r="N1200" s="1">
        <v>1</v>
      </c>
      <c r="O1200" s="1" t="str">
        <f t="shared" si="97"/>
        <v>"BandanaMask_RedPattern": 1,</v>
      </c>
      <c r="P1200" s="1" t="str">
        <f t="shared" si="98"/>
        <v>"BandanaMask_RedPattern": 0,</v>
      </c>
      <c r="Q1200" s="1" t="str">
        <f t="shared" si="99"/>
        <v>"BandanaMask_RedPattern": 200,</v>
      </c>
      <c r="R1200" s="1" t="str">
        <f t="shared" si="100"/>
        <v>"BandanaMask_RedPattern": 0,</v>
      </c>
    </row>
    <row r="1201" spans="1:18" ht="15" customHeight="1" x14ac:dyDescent="0.25">
      <c r="A1201" s="1" t="str">
        <f t="shared" si="101"/>
        <v>#tc_groceries#tc_food#tc_meat</v>
      </c>
      <c r="B1201" s="1">
        <f>VLOOKUP(A1201,TraderCategory!$A$63:$E$556,2,FALSE)</f>
        <v>21</v>
      </c>
      <c r="C1201" s="1">
        <f>VLOOKUP(A1201,TraderCategory!$A$63:$F$556,6,FALSE)</f>
        <v>3</v>
      </c>
      <c r="D1201" s="1" t="str">
        <f>VLOOKUP(C1201,Tabulka5[],3,FALSE)</f>
        <v>Sergeant</v>
      </c>
      <c r="E1201" s="1">
        <v>3</v>
      </c>
      <c r="F1201" s="1" t="str">
        <f>VLOOKUP(E1201,Tabulka5[],3,FALSE)</f>
        <v>Sergeant</v>
      </c>
      <c r="G1201" s="1" t="s">
        <v>3115</v>
      </c>
      <c r="H1201" s="2" t="s">
        <v>471</v>
      </c>
      <c r="I1201" s="2"/>
      <c r="J1201" s="1" t="s">
        <v>3127</v>
      </c>
      <c r="K1201" s="1" t="s">
        <v>2730</v>
      </c>
      <c r="L1201" s="1" t="s">
        <v>3141</v>
      </c>
      <c r="M1201" s="1">
        <v>6000</v>
      </c>
      <c r="N1201" s="1">
        <v>1</v>
      </c>
      <c r="O1201" s="1" t="str">
        <f t="shared" si="97"/>
        <v>"BoarSteakMeat": 1,</v>
      </c>
      <c r="P1201" s="1" t="str">
        <f t="shared" si="98"/>
        <v>"BoarSteakMeat": 21,</v>
      </c>
      <c r="Q1201" s="1" t="str">
        <f t="shared" si="99"/>
        <v>"BoarSteakMeat": 6000,</v>
      </c>
      <c r="R1201" s="1" t="str">
        <f t="shared" si="100"/>
        <v>"BoarSteakMeat": 3,</v>
      </c>
    </row>
    <row r="1202" spans="1:18" ht="15" customHeight="1" x14ac:dyDescent="0.25">
      <c r="A1202" s="1" t="str">
        <f t="shared" si="101"/>
        <v>#tc_groceries#tc_food#tc_fruits</v>
      </c>
      <c r="B1202" s="1">
        <f>VLOOKUP(A1202,TraderCategory!$A$63:$E$556,2,FALSE)</f>
        <v>20</v>
      </c>
      <c r="C1202" s="1">
        <f>VLOOKUP(A1202,TraderCategory!$A$63:$F$556,6,FALSE)</f>
        <v>3</v>
      </c>
      <c r="D1202" s="1" t="str">
        <f>VLOOKUP(C1202,Tabulka5[],3,FALSE)</f>
        <v>Sergeant</v>
      </c>
      <c r="E1202" s="1">
        <v>3</v>
      </c>
      <c r="F1202" s="1" t="str">
        <f>VLOOKUP(E1202,Tabulka5[],3,FALSE)</f>
        <v>Sergeant</v>
      </c>
      <c r="G1202" s="1" t="s">
        <v>3115</v>
      </c>
      <c r="H1202" s="2" t="s">
        <v>2951</v>
      </c>
      <c r="I1202" s="2"/>
      <c r="J1202" s="1" t="s">
        <v>3127</v>
      </c>
      <c r="K1202" s="1" t="s">
        <v>2730</v>
      </c>
      <c r="L1202" s="1" t="s">
        <v>3142</v>
      </c>
      <c r="M1202" s="1">
        <v>200</v>
      </c>
      <c r="N1202" s="1">
        <v>1</v>
      </c>
      <c r="O1202" s="1" t="str">
        <f t="shared" si="97"/>
        <v>"BoletusMushroom": 1,</v>
      </c>
      <c r="P1202" s="1" t="str">
        <f t="shared" si="98"/>
        <v>"BoletusMushroom": 20,</v>
      </c>
      <c r="Q1202" s="1" t="str">
        <f t="shared" si="99"/>
        <v>"BoletusMushroom": 200,</v>
      </c>
      <c r="R1202" s="1" t="str">
        <f t="shared" si="100"/>
        <v>"BoletusMushroom": 3,</v>
      </c>
    </row>
    <row r="1203" spans="1:18" ht="15" customHeight="1" x14ac:dyDescent="0.25">
      <c r="A1203" s="1" t="str">
        <f t="shared" si="101"/>
        <v>#tc_groceries#tc_food#tc_fruits</v>
      </c>
      <c r="B1203" s="1">
        <f>VLOOKUP(A1203,TraderCategory!$A$63:$E$556,2,FALSE)</f>
        <v>20</v>
      </c>
      <c r="C1203" s="1">
        <f>VLOOKUP(A1203,TraderCategory!$A$63:$F$556,6,FALSE)</f>
        <v>3</v>
      </c>
      <c r="D1203" s="1" t="str">
        <f>VLOOKUP(C1203,Tabulka5[],3,FALSE)</f>
        <v>Sergeant</v>
      </c>
      <c r="E1203" s="1">
        <v>3</v>
      </c>
      <c r="F1203" s="1" t="str">
        <f>VLOOKUP(E1203,Tabulka5[],3,FALSE)</f>
        <v>Sergeant</v>
      </c>
      <c r="G1203" s="1" t="s">
        <v>3115</v>
      </c>
      <c r="H1203" s="4" t="s">
        <v>2952</v>
      </c>
      <c r="I1203" s="2"/>
      <c r="J1203" s="1" t="s">
        <v>3127</v>
      </c>
      <c r="K1203" s="1" t="s">
        <v>2730</v>
      </c>
      <c r="L1203" s="1" t="s">
        <v>3142</v>
      </c>
      <c r="M1203" s="1">
        <v>200</v>
      </c>
      <c r="N1203" s="1">
        <v>1</v>
      </c>
      <c r="O1203" s="1" t="str">
        <f t="shared" si="97"/>
        <v>"CaninaBerry": 1,</v>
      </c>
      <c r="P1203" s="1" t="str">
        <f t="shared" si="98"/>
        <v>"CaninaBerry": 20,</v>
      </c>
      <c r="Q1203" s="1" t="str">
        <f t="shared" si="99"/>
        <v>"CaninaBerry": 200,</v>
      </c>
      <c r="R1203" s="1" t="str">
        <f t="shared" si="100"/>
        <v>"CaninaBerry": 3,</v>
      </c>
    </row>
    <row r="1204" spans="1:18" ht="15" customHeight="1" x14ac:dyDescent="0.25">
      <c r="A1204" s="1" t="str">
        <f t="shared" si="101"/>
        <v>#tc_groceries#tc_food#tc_meat</v>
      </c>
      <c r="B1204" s="1">
        <f>VLOOKUP(A1204,TraderCategory!$A$63:$E$556,2,FALSE)</f>
        <v>21</v>
      </c>
      <c r="C1204" s="1">
        <f>VLOOKUP(A1204,TraderCategory!$A$63:$F$556,6,FALSE)</f>
        <v>3</v>
      </c>
      <c r="D1204" s="1" t="str">
        <f>VLOOKUP(C1204,Tabulka5[],3,FALSE)</f>
        <v>Sergeant</v>
      </c>
      <c r="E1204" s="1">
        <v>3</v>
      </c>
      <c r="F1204" s="1" t="str">
        <f>VLOOKUP(E1204,Tabulka5[],3,FALSE)</f>
        <v>Sergeant</v>
      </c>
      <c r="G1204" s="1" t="s">
        <v>3115</v>
      </c>
      <c r="H1204" s="4" t="s">
        <v>538</v>
      </c>
      <c r="I1204" s="2"/>
      <c r="J1204" s="1" t="s">
        <v>3127</v>
      </c>
      <c r="K1204" s="1" t="s">
        <v>2730</v>
      </c>
      <c r="L1204" s="1" t="s">
        <v>3141</v>
      </c>
      <c r="M1204" s="1">
        <v>500</v>
      </c>
      <c r="N1204" s="1">
        <v>1</v>
      </c>
      <c r="O1204" s="1" t="str">
        <f t="shared" si="97"/>
        <v>"ChickenBreastMeat": 1,</v>
      </c>
      <c r="P1204" s="1" t="str">
        <f t="shared" si="98"/>
        <v>"ChickenBreastMeat": 21,</v>
      </c>
      <c r="Q1204" s="1" t="str">
        <f t="shared" si="99"/>
        <v>"ChickenBreastMeat": 500,</v>
      </c>
      <c r="R1204" s="1" t="str">
        <f t="shared" si="100"/>
        <v>"ChickenBreastMeat": 3,</v>
      </c>
    </row>
    <row r="1205" spans="1:18" ht="15" customHeight="1" x14ac:dyDescent="0.25">
      <c r="A1205" s="1" t="str">
        <f t="shared" si="101"/>
        <v>#tc_groceries#tc_food#tc_pelts</v>
      </c>
      <c r="B1205" s="1">
        <f>VLOOKUP(A1205,TraderCategory!$A$63:$E$556,2,FALSE)</f>
        <v>22</v>
      </c>
      <c r="C1205" s="1">
        <f>VLOOKUP(A1205,TraderCategory!$A$63:$F$556,6,FALSE)</f>
        <v>3</v>
      </c>
      <c r="D1205" s="1" t="str">
        <f>VLOOKUP(C1205,Tabulka5[],3,FALSE)</f>
        <v>Sergeant</v>
      </c>
      <c r="E1205" s="1">
        <v>3</v>
      </c>
      <c r="F1205" s="1" t="str">
        <f>VLOOKUP(E1205,Tabulka5[],3,FALSE)</f>
        <v>Sergeant</v>
      </c>
      <c r="G1205" s="1" t="s">
        <v>3115</v>
      </c>
      <c r="H1205" s="4" t="s">
        <v>2721</v>
      </c>
      <c r="I1205" s="2"/>
      <c r="J1205" s="1" t="s">
        <v>3127</v>
      </c>
      <c r="K1205" s="1" t="s">
        <v>2730</v>
      </c>
      <c r="L1205" s="1" t="s">
        <v>2734</v>
      </c>
      <c r="M1205" s="1">
        <v>40000</v>
      </c>
      <c r="N1205" s="1">
        <v>1</v>
      </c>
      <c r="O1205" s="1" t="str">
        <f t="shared" si="97"/>
        <v>"BearPelt": 1,</v>
      </c>
      <c r="P1205" s="1" t="str">
        <f t="shared" si="98"/>
        <v>"BearPelt": 22,</v>
      </c>
      <c r="Q1205" s="1" t="str">
        <f t="shared" si="99"/>
        <v>"BearPelt": 40000,</v>
      </c>
      <c r="R1205" s="1" t="str">
        <f t="shared" si="100"/>
        <v>"BearPelt": 3,</v>
      </c>
    </row>
    <row r="1206" spans="1:18" ht="15" customHeight="1" x14ac:dyDescent="0.25">
      <c r="A1206" s="1" t="str">
        <f t="shared" si="101"/>
        <v>#tc_groceries#tc_food#tc_pelts</v>
      </c>
      <c r="B1206" s="1">
        <f>VLOOKUP(A1206,TraderCategory!$A$63:$E$556,2,FALSE)</f>
        <v>22</v>
      </c>
      <c r="C1206" s="1">
        <f>VLOOKUP(A1206,TraderCategory!$A$63:$F$556,6,FALSE)</f>
        <v>3</v>
      </c>
      <c r="D1206" s="1" t="str">
        <f>VLOOKUP(C1206,Tabulka5[],3,FALSE)</f>
        <v>Sergeant</v>
      </c>
      <c r="E1206" s="1">
        <v>3</v>
      </c>
      <c r="F1206" s="1" t="str">
        <f>VLOOKUP(E1206,Tabulka5[],3,FALSE)</f>
        <v>Sergeant</v>
      </c>
      <c r="G1206" s="1" t="s">
        <v>3115</v>
      </c>
      <c r="H1206" s="4" t="s">
        <v>581</v>
      </c>
      <c r="I1206" s="2"/>
      <c r="J1206" s="1" t="s">
        <v>3127</v>
      </c>
      <c r="K1206" s="1" t="s">
        <v>2730</v>
      </c>
      <c r="L1206" s="1" t="s">
        <v>2734</v>
      </c>
      <c r="M1206" s="1">
        <v>8000</v>
      </c>
      <c r="N1206" s="1">
        <v>1</v>
      </c>
      <c r="O1206" s="1" t="str">
        <f t="shared" si="97"/>
        <v>"CowPelt": 1,</v>
      </c>
      <c r="P1206" s="1" t="str">
        <f t="shared" si="98"/>
        <v>"CowPelt": 22,</v>
      </c>
      <c r="Q1206" s="1" t="str">
        <f t="shared" si="99"/>
        <v>"CowPelt": 8000,</v>
      </c>
      <c r="R1206" s="1" t="str">
        <f t="shared" si="100"/>
        <v>"CowPelt": 3,</v>
      </c>
    </row>
    <row r="1207" spans="1:18" ht="15" customHeight="1" x14ac:dyDescent="0.25">
      <c r="A1207" s="1" t="str">
        <f t="shared" si="101"/>
        <v>#tc_groceries#tc_food#tc_meat</v>
      </c>
      <c r="B1207" s="1">
        <f>VLOOKUP(A1207,TraderCategory!$A$63:$E$556,2,FALSE)</f>
        <v>21</v>
      </c>
      <c r="C1207" s="1">
        <f>VLOOKUP(A1207,TraderCategory!$A$63:$F$556,6,FALSE)</f>
        <v>3</v>
      </c>
      <c r="D1207" s="1" t="str">
        <f>VLOOKUP(C1207,Tabulka5[],3,FALSE)</f>
        <v>Sergeant</v>
      </c>
      <c r="E1207" s="1">
        <v>3</v>
      </c>
      <c r="F1207" s="1" t="str">
        <f>VLOOKUP(E1207,Tabulka5[],3,FALSE)</f>
        <v>Sergeant</v>
      </c>
      <c r="G1207" s="1" t="s">
        <v>3115</v>
      </c>
      <c r="H1207" s="4" t="s">
        <v>2722</v>
      </c>
      <c r="I1207" s="2"/>
      <c r="J1207" s="1" t="s">
        <v>3127</v>
      </c>
      <c r="K1207" s="1" t="s">
        <v>2730</v>
      </c>
      <c r="L1207" s="1" t="s">
        <v>3141</v>
      </c>
      <c r="M1207" s="1">
        <v>1500</v>
      </c>
      <c r="N1207" s="1">
        <v>1</v>
      </c>
      <c r="O1207" s="1" t="str">
        <f t="shared" si="97"/>
        <v>"BearSteakMeat": 1,</v>
      </c>
      <c r="P1207" s="1" t="str">
        <f t="shared" si="98"/>
        <v>"BearSteakMeat": 21,</v>
      </c>
      <c r="Q1207" s="1" t="str">
        <f t="shared" si="99"/>
        <v>"BearSteakMeat": 1500,</v>
      </c>
      <c r="R1207" s="1" t="str">
        <f t="shared" si="100"/>
        <v>"BearSteakMeat": 3,</v>
      </c>
    </row>
    <row r="1208" spans="1:18" ht="15" customHeight="1" x14ac:dyDescent="0.25">
      <c r="A1208" s="1" t="str">
        <f t="shared" si="101"/>
        <v>#tc_groceries#tc_food#tc_meat</v>
      </c>
      <c r="B1208" s="1">
        <f>VLOOKUP(A1208,TraderCategory!$A$63:$E$556,2,FALSE)</f>
        <v>21</v>
      </c>
      <c r="C1208" s="1">
        <f>VLOOKUP(A1208,TraderCategory!$A$63:$F$556,6,FALSE)</f>
        <v>3</v>
      </c>
      <c r="D1208" s="1" t="str">
        <f>VLOOKUP(C1208,Tabulka5[],3,FALSE)</f>
        <v>Sergeant</v>
      </c>
      <c r="E1208" s="1">
        <v>3</v>
      </c>
      <c r="F1208" s="1" t="str">
        <f>VLOOKUP(E1208,Tabulka5[],3,FALSE)</f>
        <v>Sergeant</v>
      </c>
      <c r="G1208" s="1" t="s">
        <v>3115</v>
      </c>
      <c r="H1208" s="4" t="s">
        <v>582</v>
      </c>
      <c r="I1208" s="2"/>
      <c r="J1208" s="1" t="s">
        <v>3127</v>
      </c>
      <c r="K1208" s="1" t="s">
        <v>2730</v>
      </c>
      <c r="L1208" s="1" t="s">
        <v>3141</v>
      </c>
      <c r="M1208" s="1">
        <v>5000</v>
      </c>
      <c r="N1208" s="1">
        <v>1</v>
      </c>
      <c r="O1208" s="1" t="str">
        <f t="shared" si="97"/>
        <v>"CowSteakMeat": 1,</v>
      </c>
      <c r="P1208" s="1" t="str">
        <f t="shared" si="98"/>
        <v>"CowSteakMeat": 21,</v>
      </c>
      <c r="Q1208" s="1" t="str">
        <f t="shared" si="99"/>
        <v>"CowSteakMeat": 5000,</v>
      </c>
      <c r="R1208" s="1" t="str">
        <f t="shared" si="100"/>
        <v>"CowSteakMeat": 3,</v>
      </c>
    </row>
    <row r="1209" spans="1:18" ht="15" customHeight="1" x14ac:dyDescent="0.25">
      <c r="A1209" s="1" t="str">
        <f t="shared" si="101"/>
        <v>#tc_groceries#tc_food#tc_pelts</v>
      </c>
      <c r="B1209" s="1">
        <f>VLOOKUP(A1209,TraderCategory!$A$63:$E$556,2,FALSE)</f>
        <v>22</v>
      </c>
      <c r="C1209" s="1">
        <f>VLOOKUP(A1209,TraderCategory!$A$63:$F$556,6,FALSE)</f>
        <v>3</v>
      </c>
      <c r="D1209" s="1" t="str">
        <f>VLOOKUP(C1209,Tabulka5[],3,FALSE)</f>
        <v>Sergeant</v>
      </c>
      <c r="E1209" s="1">
        <v>3</v>
      </c>
      <c r="F1209" s="1" t="str">
        <f>VLOOKUP(E1209,Tabulka5[],3,FALSE)</f>
        <v>Sergeant</v>
      </c>
      <c r="G1209" s="1" t="s">
        <v>3115</v>
      </c>
      <c r="H1209" s="4" t="s">
        <v>597</v>
      </c>
      <c r="I1209" s="2"/>
      <c r="J1209" s="1" t="s">
        <v>3127</v>
      </c>
      <c r="K1209" s="1" t="s">
        <v>2730</v>
      </c>
      <c r="L1209" s="1" t="s">
        <v>2734</v>
      </c>
      <c r="M1209" s="1">
        <v>12000</v>
      </c>
      <c r="N1209" s="1">
        <v>1</v>
      </c>
      <c r="O1209" s="1" t="str">
        <f t="shared" si="97"/>
        <v>"DeerPelt": 1,</v>
      </c>
      <c r="P1209" s="1" t="str">
        <f t="shared" si="98"/>
        <v>"DeerPelt": 22,</v>
      </c>
      <c r="Q1209" s="1" t="str">
        <f t="shared" si="99"/>
        <v>"DeerPelt": 12000,</v>
      </c>
      <c r="R1209" s="1" t="str">
        <f t="shared" si="100"/>
        <v>"DeerPelt": 3,</v>
      </c>
    </row>
    <row r="1210" spans="1:18" ht="15" customHeight="1" x14ac:dyDescent="0.25">
      <c r="A1210" s="1" t="str">
        <f t="shared" si="101"/>
        <v>#tc_groceries#tc_food#tc_meat</v>
      </c>
      <c r="B1210" s="1">
        <f>VLOOKUP(A1210,TraderCategory!$A$63:$E$556,2,FALSE)</f>
        <v>21</v>
      </c>
      <c r="C1210" s="1">
        <f>VLOOKUP(A1210,TraderCategory!$A$63:$F$556,6,FALSE)</f>
        <v>3</v>
      </c>
      <c r="D1210" s="1" t="str">
        <f>VLOOKUP(C1210,Tabulka5[],3,FALSE)</f>
        <v>Sergeant</v>
      </c>
      <c r="E1210" s="1">
        <v>3</v>
      </c>
      <c r="F1210" s="1" t="str">
        <f>VLOOKUP(E1210,Tabulka5[],3,FALSE)</f>
        <v>Sergeant</v>
      </c>
      <c r="G1210" s="1" t="s">
        <v>3115</v>
      </c>
      <c r="H1210" s="4" t="s">
        <v>598</v>
      </c>
      <c r="I1210" s="2"/>
      <c r="J1210" s="1" t="s">
        <v>3127</v>
      </c>
      <c r="K1210" s="1" t="s">
        <v>2730</v>
      </c>
      <c r="L1210" s="1" t="s">
        <v>3141</v>
      </c>
      <c r="M1210" s="1">
        <v>6000</v>
      </c>
      <c r="N1210" s="1">
        <v>1</v>
      </c>
      <c r="O1210" s="1" t="str">
        <f t="shared" si="97"/>
        <v>"DeerSteakMeat": 1,</v>
      </c>
      <c r="P1210" s="1" t="str">
        <f t="shared" si="98"/>
        <v>"DeerSteakMeat": 21,</v>
      </c>
      <c r="Q1210" s="1" t="str">
        <f t="shared" si="99"/>
        <v>"DeerSteakMeat": 6000,</v>
      </c>
      <c r="R1210" s="1" t="str">
        <f t="shared" si="100"/>
        <v>"DeerSteakMeat": 3,</v>
      </c>
    </row>
    <row r="1211" spans="1:18" ht="15" customHeight="1" x14ac:dyDescent="0.25">
      <c r="A1211" s="1" t="str">
        <f t="shared" si="101"/>
        <v>#tc_groceries#tc_tools#tc_axes</v>
      </c>
      <c r="B1211" s="1">
        <f>VLOOKUP(A1211,TraderCategory!$A$63:$E$556,2,FALSE)</f>
        <v>29</v>
      </c>
      <c r="C1211" s="1">
        <f>VLOOKUP(A1211,TraderCategory!$A$63:$F$556,6,FALSE)</f>
        <v>0</v>
      </c>
      <c r="D1211" s="1" t="str">
        <f>VLOOKUP(C1211,Tabulka5[],3,FALSE)</f>
        <v>Private</v>
      </c>
      <c r="E1211" s="1">
        <v>2</v>
      </c>
      <c r="F1211" s="1" t="str">
        <f>VLOOKUP(E1211,Tabulka5[],3,FALSE)</f>
        <v>Corporal</v>
      </c>
      <c r="G1211" s="1" t="s">
        <v>3115</v>
      </c>
      <c r="H1211" s="4" t="s">
        <v>2953</v>
      </c>
      <c r="I1211" s="2"/>
      <c r="J1211" s="1" t="s">
        <v>3127</v>
      </c>
      <c r="K1211" s="1" t="s">
        <v>2740</v>
      </c>
      <c r="L1211" s="1" t="s">
        <v>3145</v>
      </c>
      <c r="M1211" s="1">
        <v>2000</v>
      </c>
      <c r="N1211" s="1">
        <v>1</v>
      </c>
      <c r="O1211" s="1" t="str">
        <f t="shared" ref="O1211:O1274" si="102">"""" &amp;H1211 &amp; """: " &amp; N1211 &amp; ","</f>
        <v>"FirefighterAxe_Black": 1,</v>
      </c>
      <c r="P1211" s="1" t="str">
        <f t="shared" ref="P1211:P1274" si="103">"""" &amp;H1211 &amp; """: " &amp; B1211 &amp; ","</f>
        <v>"FirefighterAxe_Black": 29,</v>
      </c>
      <c r="Q1211" s="1" t="str">
        <f t="shared" ref="Q1211:Q1274" si="104">"""" &amp;H1211 &amp; """: " &amp; M1211 &amp; ","</f>
        <v>"FirefighterAxe_Black": 2000,</v>
      </c>
      <c r="R1211" s="1" t="str">
        <f t="shared" ref="R1211:R1274" si="105">"""" &amp;H1211 &amp; """: " &amp; E1211 &amp; ","</f>
        <v>"FirefighterAxe_Black": 2,</v>
      </c>
    </row>
    <row r="1212" spans="1:18" ht="15" customHeight="1" x14ac:dyDescent="0.25">
      <c r="A1212" s="1" t="str">
        <f t="shared" si="101"/>
        <v>#tc_groceries#tc_tools#tc_axes</v>
      </c>
      <c r="B1212" s="1">
        <f>VLOOKUP(A1212,TraderCategory!$A$63:$E$556,2,FALSE)</f>
        <v>29</v>
      </c>
      <c r="C1212" s="1">
        <f>VLOOKUP(A1212,TraderCategory!$A$63:$F$556,6,FALSE)</f>
        <v>0</v>
      </c>
      <c r="D1212" s="1" t="str">
        <f>VLOOKUP(C1212,Tabulka5[],3,FALSE)</f>
        <v>Private</v>
      </c>
      <c r="E1212" s="1">
        <v>2</v>
      </c>
      <c r="F1212" s="1" t="str">
        <f>VLOOKUP(E1212,Tabulka5[],3,FALSE)</f>
        <v>Corporal</v>
      </c>
      <c r="G1212" s="1" t="s">
        <v>3115</v>
      </c>
      <c r="H1212" s="4" t="s">
        <v>2954</v>
      </c>
      <c r="I1212" s="2"/>
      <c r="J1212" s="1" t="s">
        <v>3127</v>
      </c>
      <c r="K1212" s="1" t="s">
        <v>2740</v>
      </c>
      <c r="L1212" s="1" t="s">
        <v>3145</v>
      </c>
      <c r="M1212" s="1">
        <v>2000</v>
      </c>
      <c r="N1212" s="1">
        <v>1</v>
      </c>
      <c r="O1212" s="1" t="str">
        <f t="shared" si="102"/>
        <v>"FirefighterAxe_Green": 1,</v>
      </c>
      <c r="P1212" s="1" t="str">
        <f t="shared" si="103"/>
        <v>"FirefighterAxe_Green": 29,</v>
      </c>
      <c r="Q1212" s="1" t="str">
        <f t="shared" si="104"/>
        <v>"FirefighterAxe_Green": 2000,</v>
      </c>
      <c r="R1212" s="1" t="str">
        <f t="shared" si="105"/>
        <v>"FirefighterAxe_Green": 2,</v>
      </c>
    </row>
    <row r="1213" spans="1:18" ht="15" customHeight="1" x14ac:dyDescent="0.25">
      <c r="A1213" s="1" t="str">
        <f t="shared" si="101"/>
        <v>#tc_military#tc_attachments#tc_attachments</v>
      </c>
      <c r="B1213" s="1">
        <f>VLOOKUP(A1213,TraderCategory!$A$63:$E$556,2,FALSE)</f>
        <v>48</v>
      </c>
      <c r="C1213" s="1">
        <f>VLOOKUP(A1213,TraderCategory!$A$63:$F$556,6,FALSE)</f>
        <v>0</v>
      </c>
      <c r="D1213" s="1" t="str">
        <f>VLOOKUP(C1213,Tabulka5[],3,FALSE)</f>
        <v>Private</v>
      </c>
      <c r="E1213" s="1">
        <v>16</v>
      </c>
      <c r="F1213" s="1" t="str">
        <f>VLOOKUP(E1213,Tabulka5[],3,FALSE)</f>
        <v>Brigadier General</v>
      </c>
      <c r="G1213" s="1" t="s">
        <v>3115</v>
      </c>
      <c r="H1213" s="4" t="s">
        <v>2955</v>
      </c>
      <c r="I1213" s="2"/>
      <c r="J1213" s="1" t="s">
        <v>2729</v>
      </c>
      <c r="K1213" s="1" t="s">
        <v>2736</v>
      </c>
      <c r="L1213" s="1" t="s">
        <v>2736</v>
      </c>
      <c r="M1213" s="1">
        <v>6000</v>
      </c>
      <c r="N1213" s="1">
        <v>1</v>
      </c>
      <c r="O1213" s="1" t="str">
        <f t="shared" si="102"/>
        <v>"GhillieAtt_Tan": 1,</v>
      </c>
      <c r="P1213" s="1" t="str">
        <f t="shared" si="103"/>
        <v>"GhillieAtt_Tan": 48,</v>
      </c>
      <c r="Q1213" s="1" t="str">
        <f t="shared" si="104"/>
        <v>"GhillieAtt_Tan": 6000,</v>
      </c>
      <c r="R1213" s="1" t="str">
        <f t="shared" si="105"/>
        <v>"GhillieAtt_Tan": 16,</v>
      </c>
    </row>
    <row r="1214" spans="1:18" ht="15" customHeight="1" x14ac:dyDescent="0.25">
      <c r="A1214" s="1" t="str">
        <f t="shared" si="101"/>
        <v>#tc_clothes#tc_military#tc_tops</v>
      </c>
      <c r="B1214" s="1">
        <f>VLOOKUP(A1214,TraderCategory!$A$63:$E$556,2,FALSE)</f>
        <v>9</v>
      </c>
      <c r="C1214" s="1">
        <f>VLOOKUP(A1214,TraderCategory!$A$63:$F$556,6,FALSE)</f>
        <v>1</v>
      </c>
      <c r="D1214" s="1" t="str">
        <f>VLOOKUP(C1214,Tabulka5[],3,FALSE)</f>
        <v>Private First Class</v>
      </c>
      <c r="E1214" s="1">
        <v>16</v>
      </c>
      <c r="F1214" s="1" t="str">
        <f>VLOOKUP(E1214,Tabulka5[],3,FALSE)</f>
        <v>Brigadier General</v>
      </c>
      <c r="G1214" s="1" t="s">
        <v>3115</v>
      </c>
      <c r="H1214" s="4" t="s">
        <v>2956</v>
      </c>
      <c r="I1214" s="2"/>
      <c r="J1214" s="2" t="s">
        <v>2728</v>
      </c>
      <c r="K1214" s="1" t="s">
        <v>2729</v>
      </c>
      <c r="L1214" s="1" t="s">
        <v>3131</v>
      </c>
      <c r="M1214" s="1">
        <v>20000</v>
      </c>
      <c r="N1214" s="1">
        <v>1</v>
      </c>
      <c r="O1214" s="1" t="str">
        <f t="shared" si="102"/>
        <v>"GhillieBushrag_Tan": 1,</v>
      </c>
      <c r="P1214" s="1" t="str">
        <f t="shared" si="103"/>
        <v>"GhillieBushrag_Tan": 9,</v>
      </c>
      <c r="Q1214" s="1" t="str">
        <f t="shared" si="104"/>
        <v>"GhillieBushrag_Tan": 20000,</v>
      </c>
      <c r="R1214" s="1" t="str">
        <f t="shared" si="105"/>
        <v>"GhillieBushrag_Tan": 16,</v>
      </c>
    </row>
    <row r="1215" spans="1:18" ht="15" customHeight="1" x14ac:dyDescent="0.25">
      <c r="A1215" s="1" t="str">
        <f t="shared" si="101"/>
        <v>#tc_clothes#tc_military#tc_head</v>
      </c>
      <c r="B1215" s="1">
        <f>VLOOKUP(A1215,TraderCategory!$A$63:$E$556,2,FALSE)</f>
        <v>8</v>
      </c>
      <c r="C1215" s="1">
        <f>VLOOKUP(A1215,TraderCategory!$A$63:$F$556,6,FALSE)</f>
        <v>1</v>
      </c>
      <c r="D1215" s="1" t="str">
        <f>VLOOKUP(C1215,Tabulka5[],3,FALSE)</f>
        <v>Private First Class</v>
      </c>
      <c r="E1215" s="1">
        <v>16</v>
      </c>
      <c r="F1215" s="1" t="str">
        <f>VLOOKUP(E1215,Tabulka5[],3,FALSE)</f>
        <v>Brigadier General</v>
      </c>
      <c r="G1215" s="1" t="s">
        <v>3115</v>
      </c>
      <c r="H1215" s="4" t="s">
        <v>2957</v>
      </c>
      <c r="I1215" s="2"/>
      <c r="J1215" s="2" t="s">
        <v>2728</v>
      </c>
      <c r="K1215" s="1" t="s">
        <v>2729</v>
      </c>
      <c r="L1215" s="1" t="s">
        <v>3130</v>
      </c>
      <c r="M1215" s="1">
        <v>10000</v>
      </c>
      <c r="N1215" s="1">
        <v>1</v>
      </c>
      <c r="O1215" s="1" t="str">
        <f t="shared" si="102"/>
        <v>"GhillieHood_Tan": 1,</v>
      </c>
      <c r="P1215" s="1" t="str">
        <f t="shared" si="103"/>
        <v>"GhillieHood_Tan": 8,</v>
      </c>
      <c r="Q1215" s="1" t="str">
        <f t="shared" si="104"/>
        <v>"GhillieHood_Tan": 10000,</v>
      </c>
      <c r="R1215" s="1" t="str">
        <f t="shared" si="105"/>
        <v>"GhillieHood_Tan": 16,</v>
      </c>
    </row>
    <row r="1216" spans="1:18" ht="15" customHeight="1" x14ac:dyDescent="0.25">
      <c r="A1216" s="1" t="str">
        <f t="shared" si="101"/>
        <v>#tc_clothes#tc_military#tc_tops</v>
      </c>
      <c r="B1216" s="1">
        <f>VLOOKUP(A1216,TraderCategory!$A$63:$E$556,2,FALSE)</f>
        <v>9</v>
      </c>
      <c r="C1216" s="1">
        <f>VLOOKUP(A1216,TraderCategory!$A$63:$F$556,6,FALSE)</f>
        <v>1</v>
      </c>
      <c r="D1216" s="1" t="str">
        <f>VLOOKUP(C1216,Tabulka5[],3,FALSE)</f>
        <v>Private First Class</v>
      </c>
      <c r="E1216" s="1">
        <v>16</v>
      </c>
      <c r="F1216" s="1" t="str">
        <f>VLOOKUP(E1216,Tabulka5[],3,FALSE)</f>
        <v>Brigadier General</v>
      </c>
      <c r="G1216" s="1" t="s">
        <v>3115</v>
      </c>
      <c r="H1216" s="4" t="s">
        <v>2958</v>
      </c>
      <c r="I1216" s="2"/>
      <c r="J1216" s="2" t="s">
        <v>2728</v>
      </c>
      <c r="K1216" s="1" t="s">
        <v>2729</v>
      </c>
      <c r="L1216" s="1" t="s">
        <v>3131</v>
      </c>
      <c r="M1216" s="1">
        <v>40000</v>
      </c>
      <c r="N1216" s="1">
        <v>1</v>
      </c>
      <c r="O1216" s="1" t="str">
        <f t="shared" si="102"/>
        <v>"GhillieSuit_Tan": 1,</v>
      </c>
      <c r="P1216" s="1" t="str">
        <f t="shared" si="103"/>
        <v>"GhillieSuit_Tan": 9,</v>
      </c>
      <c r="Q1216" s="1" t="str">
        <f t="shared" si="104"/>
        <v>"GhillieSuit_Tan": 40000,</v>
      </c>
      <c r="R1216" s="1" t="str">
        <f t="shared" si="105"/>
        <v>"GhillieSuit_Tan": 16,</v>
      </c>
    </row>
    <row r="1217" spans="1:18" ht="15" customHeight="1" x14ac:dyDescent="0.25">
      <c r="A1217" s="1" t="str">
        <f t="shared" si="101"/>
        <v>#tc_clothes#tc_military#tc_tops</v>
      </c>
      <c r="B1217" s="1">
        <f>VLOOKUP(A1217,TraderCategory!$A$63:$E$556,2,FALSE)</f>
        <v>9</v>
      </c>
      <c r="C1217" s="1">
        <f>VLOOKUP(A1217,TraderCategory!$A$63:$F$556,6,FALSE)</f>
        <v>1</v>
      </c>
      <c r="D1217" s="1" t="str">
        <f>VLOOKUP(C1217,Tabulka5[],3,FALSE)</f>
        <v>Private First Class</v>
      </c>
      <c r="E1217" s="1">
        <v>16</v>
      </c>
      <c r="F1217" s="1" t="str">
        <f>VLOOKUP(E1217,Tabulka5[],3,FALSE)</f>
        <v>Brigadier General</v>
      </c>
      <c r="G1217" s="1" t="s">
        <v>3115</v>
      </c>
      <c r="H1217" s="4" t="s">
        <v>2959</v>
      </c>
      <c r="I1217" s="2"/>
      <c r="J1217" s="2" t="s">
        <v>2728</v>
      </c>
      <c r="K1217" s="1" t="s">
        <v>2729</v>
      </c>
      <c r="L1217" s="1" t="s">
        <v>3131</v>
      </c>
      <c r="M1217" s="1">
        <v>30000</v>
      </c>
      <c r="N1217" s="1">
        <v>1</v>
      </c>
      <c r="O1217" s="1" t="str">
        <f t="shared" si="102"/>
        <v>"GhillieTop_Tan": 1,</v>
      </c>
      <c r="P1217" s="1" t="str">
        <f t="shared" si="103"/>
        <v>"GhillieTop_Tan": 9,</v>
      </c>
      <c r="Q1217" s="1" t="str">
        <f t="shared" si="104"/>
        <v>"GhillieTop_Tan": 30000,</v>
      </c>
      <c r="R1217" s="1" t="str">
        <f t="shared" si="105"/>
        <v>"GhillieTop_Tan": 16,</v>
      </c>
    </row>
    <row r="1218" spans="1:18" ht="15" customHeight="1" x14ac:dyDescent="0.25">
      <c r="A1218" s="1" t="str">
        <f t="shared" si="101"/>
        <v>#tc_groceries#tc_food#tc_pelts</v>
      </c>
      <c r="B1218" s="1">
        <f>VLOOKUP(A1218,TraderCategory!$A$63:$E$556,2,FALSE)</f>
        <v>22</v>
      </c>
      <c r="C1218" s="1">
        <f>VLOOKUP(A1218,TraderCategory!$A$63:$F$556,6,FALSE)</f>
        <v>3</v>
      </c>
      <c r="D1218" s="1" t="str">
        <f>VLOOKUP(C1218,Tabulka5[],3,FALSE)</f>
        <v>Sergeant</v>
      </c>
      <c r="E1218" s="1">
        <v>3</v>
      </c>
      <c r="F1218" s="1" t="str">
        <f>VLOOKUP(E1218,Tabulka5[],3,FALSE)</f>
        <v>Sergeant</v>
      </c>
      <c r="G1218" s="1" t="s">
        <v>3115</v>
      </c>
      <c r="H1218" s="4" t="s">
        <v>668</v>
      </c>
      <c r="I1218" s="2"/>
      <c r="J1218" s="1" t="s">
        <v>3127</v>
      </c>
      <c r="K1218" s="1" t="s">
        <v>2730</v>
      </c>
      <c r="L1218" s="1" t="s">
        <v>2734</v>
      </c>
      <c r="M1218" s="1">
        <v>4000</v>
      </c>
      <c r="N1218" s="1">
        <v>1</v>
      </c>
      <c r="O1218" s="1" t="str">
        <f t="shared" si="102"/>
        <v>"GoatPelt": 1,</v>
      </c>
      <c r="P1218" s="1" t="str">
        <f t="shared" si="103"/>
        <v>"GoatPelt": 22,</v>
      </c>
      <c r="Q1218" s="1" t="str">
        <f t="shared" si="104"/>
        <v>"GoatPelt": 4000,</v>
      </c>
      <c r="R1218" s="1" t="str">
        <f t="shared" si="105"/>
        <v>"GoatPelt": 3,</v>
      </c>
    </row>
    <row r="1219" spans="1:18" ht="15" customHeight="1" x14ac:dyDescent="0.25">
      <c r="A1219" s="1" t="str">
        <f t="shared" si="101"/>
        <v>#tc_groceries#tc_food#tc_meat</v>
      </c>
      <c r="B1219" s="1">
        <f>VLOOKUP(A1219,TraderCategory!$A$63:$E$556,2,FALSE)</f>
        <v>21</v>
      </c>
      <c r="C1219" s="1">
        <f>VLOOKUP(A1219,TraderCategory!$A$63:$F$556,6,FALSE)</f>
        <v>3</v>
      </c>
      <c r="D1219" s="1" t="str">
        <f>VLOOKUP(C1219,Tabulka5[],3,FALSE)</f>
        <v>Sergeant</v>
      </c>
      <c r="E1219" s="1">
        <v>3</v>
      </c>
      <c r="F1219" s="1" t="str">
        <f>VLOOKUP(E1219,Tabulka5[],3,FALSE)</f>
        <v>Sergeant</v>
      </c>
      <c r="G1219" s="1" t="s">
        <v>3115</v>
      </c>
      <c r="H1219" s="4" t="s">
        <v>669</v>
      </c>
      <c r="I1219" s="2"/>
      <c r="J1219" s="1" t="s">
        <v>3127</v>
      </c>
      <c r="K1219" s="1" t="s">
        <v>2730</v>
      </c>
      <c r="L1219" s="1" t="s">
        <v>3141</v>
      </c>
      <c r="M1219" s="1">
        <v>2000</v>
      </c>
      <c r="N1219" s="1">
        <v>1</v>
      </c>
      <c r="O1219" s="1" t="str">
        <f t="shared" si="102"/>
        <v>"GoatSteakMeat": 1,</v>
      </c>
      <c r="P1219" s="1" t="str">
        <f t="shared" si="103"/>
        <v>"GoatSteakMeat": 21,</v>
      </c>
      <c r="Q1219" s="1" t="str">
        <f t="shared" si="104"/>
        <v>"GoatSteakMeat": 2000,</v>
      </c>
      <c r="R1219" s="1" t="str">
        <f t="shared" si="105"/>
        <v>"GoatSteakMeat": 3,</v>
      </c>
    </row>
    <row r="1220" spans="1:18" ht="15" customHeight="1" x14ac:dyDescent="0.25">
      <c r="A1220" s="1" t="str">
        <f t="shared" si="101"/>
        <v>#tc_groceries#tc_food#tc_fruits</v>
      </c>
      <c r="B1220" s="1">
        <f>VLOOKUP(A1220,TraderCategory!$A$63:$E$556,2,FALSE)</f>
        <v>20</v>
      </c>
      <c r="C1220" s="1">
        <f>VLOOKUP(A1220,TraderCategory!$A$63:$F$556,6,FALSE)</f>
        <v>3</v>
      </c>
      <c r="D1220" s="1" t="str">
        <f>VLOOKUP(C1220,Tabulka5[],3,FALSE)</f>
        <v>Sergeant</v>
      </c>
      <c r="E1220" s="1">
        <v>3</v>
      </c>
      <c r="F1220" s="1" t="str">
        <f>VLOOKUP(E1220,Tabulka5[],3,FALSE)</f>
        <v>Sergeant</v>
      </c>
      <c r="G1220" s="1" t="s">
        <v>3115</v>
      </c>
      <c r="H1220" s="4" t="s">
        <v>2960</v>
      </c>
      <c r="I1220" s="2"/>
      <c r="J1220" s="1" t="s">
        <v>3127</v>
      </c>
      <c r="K1220" s="1" t="s">
        <v>2730</v>
      </c>
      <c r="L1220" s="1" t="s">
        <v>3142</v>
      </c>
      <c r="M1220" s="1">
        <v>200</v>
      </c>
      <c r="N1220" s="1">
        <v>1</v>
      </c>
      <c r="O1220" s="1" t="str">
        <f t="shared" si="102"/>
        <v>"LactariusMushroom": 1,</v>
      </c>
      <c r="P1220" s="1" t="str">
        <f t="shared" si="103"/>
        <v>"LactariusMushroom": 20,</v>
      </c>
      <c r="Q1220" s="1" t="str">
        <f t="shared" si="104"/>
        <v>"LactariusMushroom": 200,</v>
      </c>
      <c r="R1220" s="1" t="str">
        <f t="shared" si="105"/>
        <v>"LactariusMushroom": 3,</v>
      </c>
    </row>
    <row r="1221" spans="1:18" ht="15" customHeight="1" x14ac:dyDescent="0.25">
      <c r="A1221" s="1" t="str">
        <f t="shared" si="101"/>
        <v>#tc_clothes#tc_civil#tc_belts</v>
      </c>
      <c r="B1221" s="1">
        <f>VLOOKUP(A1221,TraderCategory!$A$63:$E$556,2,FALSE)</f>
        <v>3</v>
      </c>
      <c r="C1221" s="1">
        <f>VLOOKUP(A1221,TraderCategory!$A$63:$F$556,6,FALSE)</f>
        <v>0</v>
      </c>
      <c r="D1221" s="1" t="str">
        <f>VLOOKUP(C1221,Tabulka5[],3,FALSE)</f>
        <v>Private</v>
      </c>
      <c r="E1221" s="1">
        <v>0</v>
      </c>
      <c r="F1221" s="1" t="str">
        <f>VLOOKUP(E1221,Tabulka5[],3,FALSE)</f>
        <v>Private</v>
      </c>
      <c r="G1221" s="1" t="s">
        <v>3115</v>
      </c>
      <c r="H1221" s="2" t="s">
        <v>2961</v>
      </c>
      <c r="I1221" s="2"/>
      <c r="J1221" s="2" t="s">
        <v>2728</v>
      </c>
      <c r="K1221" s="1" t="s">
        <v>3126</v>
      </c>
      <c r="L1221" s="1" t="s">
        <v>3135</v>
      </c>
      <c r="M1221" s="1">
        <v>1000</v>
      </c>
      <c r="N1221" s="1">
        <v>1</v>
      </c>
      <c r="O1221" s="1" t="str">
        <f t="shared" si="102"/>
        <v>"LeatherBelt_Beige": 1,</v>
      </c>
      <c r="P1221" s="1" t="str">
        <f t="shared" si="103"/>
        <v>"LeatherBelt_Beige": 3,</v>
      </c>
      <c r="Q1221" s="1" t="str">
        <f t="shared" si="104"/>
        <v>"LeatherBelt_Beige": 1000,</v>
      </c>
      <c r="R1221" s="1" t="str">
        <f t="shared" si="105"/>
        <v>"LeatherBelt_Beige": 0,</v>
      </c>
    </row>
    <row r="1222" spans="1:18" ht="15" customHeight="1" x14ac:dyDescent="0.25">
      <c r="A1222" s="1" t="str">
        <f t="shared" si="101"/>
        <v>#tc_clothes#tc_civil#tc_belts</v>
      </c>
      <c r="B1222" s="1">
        <f>VLOOKUP(A1222,TraderCategory!$A$63:$E$556,2,FALSE)</f>
        <v>3</v>
      </c>
      <c r="C1222" s="1">
        <f>VLOOKUP(A1222,TraderCategory!$A$63:$F$556,6,FALSE)</f>
        <v>0</v>
      </c>
      <c r="D1222" s="1" t="str">
        <f>VLOOKUP(C1222,Tabulka5[],3,FALSE)</f>
        <v>Private</v>
      </c>
      <c r="E1222" s="1">
        <v>0</v>
      </c>
      <c r="F1222" s="1" t="str">
        <f>VLOOKUP(E1222,Tabulka5[],3,FALSE)</f>
        <v>Private</v>
      </c>
      <c r="G1222" s="1" t="s">
        <v>3115</v>
      </c>
      <c r="H1222" s="2" t="s">
        <v>2962</v>
      </c>
      <c r="I1222" s="2"/>
      <c r="J1222" s="2" t="s">
        <v>2728</v>
      </c>
      <c r="K1222" s="1" t="s">
        <v>3126</v>
      </c>
      <c r="L1222" s="1" t="s">
        <v>3135</v>
      </c>
      <c r="M1222" s="1">
        <v>1000</v>
      </c>
      <c r="N1222" s="1">
        <v>1</v>
      </c>
      <c r="O1222" s="1" t="str">
        <f t="shared" si="102"/>
        <v>"LeatherBelt_Black": 1,</v>
      </c>
      <c r="P1222" s="1" t="str">
        <f t="shared" si="103"/>
        <v>"LeatherBelt_Black": 3,</v>
      </c>
      <c r="Q1222" s="1" t="str">
        <f t="shared" si="104"/>
        <v>"LeatherBelt_Black": 1000,</v>
      </c>
      <c r="R1222" s="1" t="str">
        <f t="shared" si="105"/>
        <v>"LeatherBelt_Black": 0,</v>
      </c>
    </row>
    <row r="1223" spans="1:18" ht="15" customHeight="1" x14ac:dyDescent="0.25">
      <c r="A1223" s="1" t="str">
        <f t="shared" si="101"/>
        <v>#tc_clothes#tc_civil#tc_belts</v>
      </c>
      <c r="B1223" s="1">
        <f>VLOOKUP(A1223,TraderCategory!$A$63:$E$556,2,FALSE)</f>
        <v>3</v>
      </c>
      <c r="C1223" s="1">
        <f>VLOOKUP(A1223,TraderCategory!$A$63:$F$556,6,FALSE)</f>
        <v>0</v>
      </c>
      <c r="D1223" s="1" t="str">
        <f>VLOOKUP(C1223,Tabulka5[],3,FALSE)</f>
        <v>Private</v>
      </c>
      <c r="E1223" s="1">
        <v>0</v>
      </c>
      <c r="F1223" s="1" t="str">
        <f>VLOOKUP(E1223,Tabulka5[],3,FALSE)</f>
        <v>Private</v>
      </c>
      <c r="G1223" s="1" t="s">
        <v>3115</v>
      </c>
      <c r="H1223" s="2" t="s">
        <v>2963</v>
      </c>
      <c r="I1223" s="2"/>
      <c r="J1223" s="2" t="s">
        <v>2728</v>
      </c>
      <c r="K1223" s="1" t="s">
        <v>3126</v>
      </c>
      <c r="L1223" s="1" t="s">
        <v>3135</v>
      </c>
      <c r="M1223" s="1">
        <v>1000</v>
      </c>
      <c r="N1223" s="1">
        <v>1</v>
      </c>
      <c r="O1223" s="1" t="str">
        <f t="shared" si="102"/>
        <v>"LeatherBelt_Brown": 1,</v>
      </c>
      <c r="P1223" s="1" t="str">
        <f t="shared" si="103"/>
        <v>"LeatherBelt_Brown": 3,</v>
      </c>
      <c r="Q1223" s="1" t="str">
        <f t="shared" si="104"/>
        <v>"LeatherBelt_Brown": 1000,</v>
      </c>
      <c r="R1223" s="1" t="str">
        <f t="shared" si="105"/>
        <v>"LeatherBelt_Brown": 0,</v>
      </c>
    </row>
    <row r="1224" spans="1:18" ht="15" customHeight="1" x14ac:dyDescent="0.25">
      <c r="A1224" s="1" t="str">
        <f t="shared" si="101"/>
        <v>#tc_clothes#tc_civil#tc_belts</v>
      </c>
      <c r="B1224" s="1">
        <f>VLOOKUP(A1224,TraderCategory!$A$63:$E$556,2,FALSE)</f>
        <v>3</v>
      </c>
      <c r="C1224" s="1">
        <f>VLOOKUP(A1224,TraderCategory!$A$63:$F$556,6,FALSE)</f>
        <v>0</v>
      </c>
      <c r="D1224" s="1" t="str">
        <f>VLOOKUP(C1224,Tabulka5[],3,FALSE)</f>
        <v>Private</v>
      </c>
      <c r="E1224" s="1">
        <v>0</v>
      </c>
      <c r="F1224" s="1" t="str">
        <f>VLOOKUP(E1224,Tabulka5[],3,FALSE)</f>
        <v>Private</v>
      </c>
      <c r="G1224" s="1" t="s">
        <v>3115</v>
      </c>
      <c r="H1224" s="2" t="s">
        <v>2964</v>
      </c>
      <c r="I1224" s="2"/>
      <c r="J1224" s="2" t="s">
        <v>2728</v>
      </c>
      <c r="K1224" s="1" t="s">
        <v>3126</v>
      </c>
      <c r="L1224" s="1" t="s">
        <v>3135</v>
      </c>
      <c r="M1224" s="1">
        <v>1000</v>
      </c>
      <c r="N1224" s="1">
        <v>1</v>
      </c>
      <c r="O1224" s="1" t="str">
        <f t="shared" si="102"/>
        <v>"LeatherBelt_Natural": 1,</v>
      </c>
      <c r="P1224" s="1" t="str">
        <f t="shared" si="103"/>
        <v>"LeatherBelt_Natural": 3,</v>
      </c>
      <c r="Q1224" s="1" t="str">
        <f t="shared" si="104"/>
        <v>"LeatherBelt_Natural": 1000,</v>
      </c>
      <c r="R1224" s="1" t="str">
        <f t="shared" si="105"/>
        <v>"LeatherBelt_Natural": 0,</v>
      </c>
    </row>
    <row r="1225" spans="1:18" ht="15" customHeight="1" x14ac:dyDescent="0.25">
      <c r="A1225" s="1" t="str">
        <f t="shared" si="101"/>
        <v>#tc_clothes#tc_civil#tc_gloves</v>
      </c>
      <c r="B1225" s="1">
        <f>VLOOKUP(A1225,TraderCategory!$A$63:$E$556,2,FALSE)</f>
        <v>2</v>
      </c>
      <c r="C1225" s="1">
        <f>VLOOKUP(A1225,TraderCategory!$A$63:$F$556,6,FALSE)</f>
        <v>0</v>
      </c>
      <c r="D1225" s="1" t="str">
        <f>VLOOKUP(C1225,Tabulka5[],3,FALSE)</f>
        <v>Private</v>
      </c>
      <c r="E1225" s="1">
        <v>0</v>
      </c>
      <c r="F1225" s="1" t="str">
        <f>VLOOKUP(E1225,Tabulka5[],3,FALSE)</f>
        <v>Private</v>
      </c>
      <c r="G1225" s="1" t="s">
        <v>3115</v>
      </c>
      <c r="H1225" s="2" t="s">
        <v>2965</v>
      </c>
      <c r="I1225" s="2"/>
      <c r="J1225" s="2" t="s">
        <v>2728</v>
      </c>
      <c r="K1225" s="1" t="s">
        <v>3126</v>
      </c>
      <c r="L1225" s="1" t="s">
        <v>3132</v>
      </c>
      <c r="M1225" s="1">
        <v>400</v>
      </c>
      <c r="N1225" s="1">
        <v>1</v>
      </c>
      <c r="O1225" s="1" t="str">
        <f t="shared" si="102"/>
        <v>"LeatherGloves_Beige": 1,</v>
      </c>
      <c r="P1225" s="1" t="str">
        <f t="shared" si="103"/>
        <v>"LeatherGloves_Beige": 2,</v>
      </c>
      <c r="Q1225" s="1" t="str">
        <f t="shared" si="104"/>
        <v>"LeatherGloves_Beige": 400,</v>
      </c>
      <c r="R1225" s="1" t="str">
        <f t="shared" si="105"/>
        <v>"LeatherGloves_Beige": 0,</v>
      </c>
    </row>
    <row r="1226" spans="1:18" ht="15" customHeight="1" x14ac:dyDescent="0.25">
      <c r="A1226" s="1" t="str">
        <f t="shared" si="101"/>
        <v>#tc_clothes#tc_civil#tc_gloves</v>
      </c>
      <c r="B1226" s="1">
        <f>VLOOKUP(A1226,TraderCategory!$A$63:$E$556,2,FALSE)</f>
        <v>2</v>
      </c>
      <c r="C1226" s="1">
        <f>VLOOKUP(A1226,TraderCategory!$A$63:$F$556,6,FALSE)</f>
        <v>0</v>
      </c>
      <c r="D1226" s="1" t="str">
        <f>VLOOKUP(C1226,Tabulka5[],3,FALSE)</f>
        <v>Private</v>
      </c>
      <c r="E1226" s="1">
        <v>0</v>
      </c>
      <c r="F1226" s="1" t="str">
        <f>VLOOKUP(E1226,Tabulka5[],3,FALSE)</f>
        <v>Private</v>
      </c>
      <c r="G1226" s="1" t="s">
        <v>3115</v>
      </c>
      <c r="H1226" s="2" t="s">
        <v>2966</v>
      </c>
      <c r="I1226" s="2"/>
      <c r="J1226" s="2" t="s">
        <v>2728</v>
      </c>
      <c r="K1226" s="1" t="s">
        <v>3126</v>
      </c>
      <c r="L1226" s="1" t="s">
        <v>3132</v>
      </c>
      <c r="M1226" s="1">
        <v>400</v>
      </c>
      <c r="N1226" s="1">
        <v>1</v>
      </c>
      <c r="O1226" s="1" t="str">
        <f t="shared" si="102"/>
        <v>"LeatherGloves_Black": 1,</v>
      </c>
      <c r="P1226" s="1" t="str">
        <f t="shared" si="103"/>
        <v>"LeatherGloves_Black": 2,</v>
      </c>
      <c r="Q1226" s="1" t="str">
        <f t="shared" si="104"/>
        <v>"LeatherGloves_Black": 400,</v>
      </c>
      <c r="R1226" s="1" t="str">
        <f t="shared" si="105"/>
        <v>"LeatherGloves_Black": 0,</v>
      </c>
    </row>
    <row r="1227" spans="1:18" ht="15" customHeight="1" x14ac:dyDescent="0.25">
      <c r="A1227" s="1" t="str">
        <f t="shared" si="101"/>
        <v>#tc_clothes#tc_civil#tc_gloves</v>
      </c>
      <c r="B1227" s="1">
        <f>VLOOKUP(A1227,TraderCategory!$A$63:$E$556,2,FALSE)</f>
        <v>2</v>
      </c>
      <c r="C1227" s="1">
        <f>VLOOKUP(A1227,TraderCategory!$A$63:$F$556,6,FALSE)</f>
        <v>0</v>
      </c>
      <c r="D1227" s="1" t="str">
        <f>VLOOKUP(C1227,Tabulka5[],3,FALSE)</f>
        <v>Private</v>
      </c>
      <c r="E1227" s="1">
        <v>0</v>
      </c>
      <c r="F1227" s="1" t="str">
        <f>VLOOKUP(E1227,Tabulka5[],3,FALSE)</f>
        <v>Private</v>
      </c>
      <c r="G1227" s="1" t="s">
        <v>3115</v>
      </c>
      <c r="H1227" s="2" t="s">
        <v>2967</v>
      </c>
      <c r="I1227" s="2"/>
      <c r="J1227" s="2" t="s">
        <v>2728</v>
      </c>
      <c r="K1227" s="1" t="s">
        <v>3126</v>
      </c>
      <c r="L1227" s="1" t="s">
        <v>3132</v>
      </c>
      <c r="M1227" s="1">
        <v>400</v>
      </c>
      <c r="N1227" s="1">
        <v>1</v>
      </c>
      <c r="O1227" s="1" t="str">
        <f t="shared" si="102"/>
        <v>"LeatherGloves_Brown": 1,</v>
      </c>
      <c r="P1227" s="1" t="str">
        <f t="shared" si="103"/>
        <v>"LeatherGloves_Brown": 2,</v>
      </c>
      <c r="Q1227" s="1" t="str">
        <f t="shared" si="104"/>
        <v>"LeatherGloves_Brown": 400,</v>
      </c>
      <c r="R1227" s="1" t="str">
        <f t="shared" si="105"/>
        <v>"LeatherGloves_Brown": 0,</v>
      </c>
    </row>
    <row r="1228" spans="1:18" ht="15" customHeight="1" x14ac:dyDescent="0.25">
      <c r="A1228" s="1" t="str">
        <f t="shared" si="101"/>
        <v>#tc_clothes#tc_civil#tc_gloves</v>
      </c>
      <c r="B1228" s="1">
        <f>VLOOKUP(A1228,TraderCategory!$A$63:$E$556,2,FALSE)</f>
        <v>2</v>
      </c>
      <c r="C1228" s="1">
        <f>VLOOKUP(A1228,TraderCategory!$A$63:$F$556,6,FALSE)</f>
        <v>0</v>
      </c>
      <c r="D1228" s="1" t="str">
        <f>VLOOKUP(C1228,Tabulka5[],3,FALSE)</f>
        <v>Private</v>
      </c>
      <c r="E1228" s="1">
        <v>0</v>
      </c>
      <c r="F1228" s="1" t="str">
        <f>VLOOKUP(E1228,Tabulka5[],3,FALSE)</f>
        <v>Private</v>
      </c>
      <c r="G1228" s="1" t="s">
        <v>3115</v>
      </c>
      <c r="H1228" s="2" t="s">
        <v>2968</v>
      </c>
      <c r="I1228" s="2"/>
      <c r="J1228" s="2" t="s">
        <v>2728</v>
      </c>
      <c r="K1228" s="1" t="s">
        <v>3126</v>
      </c>
      <c r="L1228" s="1" t="s">
        <v>3132</v>
      </c>
      <c r="M1228" s="1">
        <v>400</v>
      </c>
      <c r="N1228" s="1">
        <v>1</v>
      </c>
      <c r="O1228" s="1" t="str">
        <f t="shared" si="102"/>
        <v>"LeatherGloves_Natural": 1,</v>
      </c>
      <c r="P1228" s="1" t="str">
        <f t="shared" si="103"/>
        <v>"LeatherGloves_Natural": 2,</v>
      </c>
      <c r="Q1228" s="1" t="str">
        <f t="shared" si="104"/>
        <v>"LeatherGloves_Natural": 400,</v>
      </c>
      <c r="R1228" s="1" t="str">
        <f t="shared" si="105"/>
        <v>"LeatherGloves_Natural": 0,</v>
      </c>
    </row>
    <row r="1229" spans="1:18" ht="15" customHeight="1" x14ac:dyDescent="0.25">
      <c r="A1229" s="1" t="str">
        <f t="shared" si="101"/>
        <v>#tc_clothes#tc_civil#tc_head</v>
      </c>
      <c r="B1229" s="1">
        <f>VLOOKUP(A1229,TraderCategory!$A$63:$E$556,2,FALSE)</f>
        <v>0</v>
      </c>
      <c r="C1229" s="1">
        <f>VLOOKUP(A1229,TraderCategory!$A$63:$F$556,6,FALSE)</f>
        <v>0</v>
      </c>
      <c r="D1229" s="1" t="str">
        <f>VLOOKUP(C1229,Tabulka5[],3,FALSE)</f>
        <v>Private</v>
      </c>
      <c r="E1229" s="1">
        <v>0</v>
      </c>
      <c r="F1229" s="1" t="str">
        <f>VLOOKUP(E1229,Tabulka5[],3,FALSE)</f>
        <v>Private</v>
      </c>
      <c r="G1229" s="1" t="s">
        <v>3115</v>
      </c>
      <c r="H1229" s="1" t="s">
        <v>2969</v>
      </c>
      <c r="J1229" s="2" t="s">
        <v>2728</v>
      </c>
      <c r="K1229" s="1" t="s">
        <v>3126</v>
      </c>
      <c r="L1229" s="1" t="s">
        <v>3130</v>
      </c>
      <c r="M1229" s="1">
        <v>400</v>
      </c>
      <c r="N1229" s="1">
        <v>1</v>
      </c>
      <c r="O1229" s="1" t="str">
        <f t="shared" si="102"/>
        <v>"LeatherHat_Beige": 1,</v>
      </c>
      <c r="P1229" s="1" t="str">
        <f t="shared" si="103"/>
        <v>"LeatherHat_Beige": 0,</v>
      </c>
      <c r="Q1229" s="1" t="str">
        <f t="shared" si="104"/>
        <v>"LeatherHat_Beige": 400,</v>
      </c>
      <c r="R1229" s="1" t="str">
        <f t="shared" si="105"/>
        <v>"LeatherHat_Beige": 0,</v>
      </c>
    </row>
    <row r="1230" spans="1:18" ht="15" customHeight="1" x14ac:dyDescent="0.25">
      <c r="A1230" s="1" t="str">
        <f t="shared" si="101"/>
        <v>#tc_clothes#tc_civil#tc_head</v>
      </c>
      <c r="B1230" s="1">
        <f>VLOOKUP(A1230,TraderCategory!$A$63:$E$556,2,FALSE)</f>
        <v>0</v>
      </c>
      <c r="C1230" s="1">
        <f>VLOOKUP(A1230,TraderCategory!$A$63:$F$556,6,FALSE)</f>
        <v>0</v>
      </c>
      <c r="D1230" s="1" t="str">
        <f>VLOOKUP(C1230,Tabulka5[],3,FALSE)</f>
        <v>Private</v>
      </c>
      <c r="E1230" s="1">
        <v>0</v>
      </c>
      <c r="F1230" s="1" t="str">
        <f>VLOOKUP(E1230,Tabulka5[],3,FALSE)</f>
        <v>Private</v>
      </c>
      <c r="G1230" s="1" t="s">
        <v>3115</v>
      </c>
      <c r="H1230" s="1" t="s">
        <v>2970</v>
      </c>
      <c r="J1230" s="2" t="s">
        <v>2728</v>
      </c>
      <c r="K1230" s="1" t="s">
        <v>3126</v>
      </c>
      <c r="L1230" s="1" t="s">
        <v>3130</v>
      </c>
      <c r="M1230" s="1">
        <v>400</v>
      </c>
      <c r="N1230" s="1">
        <v>1</v>
      </c>
      <c r="O1230" s="1" t="str">
        <f t="shared" si="102"/>
        <v>"LeatherHat_Black": 1,</v>
      </c>
      <c r="P1230" s="1" t="str">
        <f t="shared" si="103"/>
        <v>"LeatherHat_Black": 0,</v>
      </c>
      <c r="Q1230" s="1" t="str">
        <f t="shared" si="104"/>
        <v>"LeatherHat_Black": 400,</v>
      </c>
      <c r="R1230" s="1" t="str">
        <f t="shared" si="105"/>
        <v>"LeatherHat_Black": 0,</v>
      </c>
    </row>
    <row r="1231" spans="1:18" ht="15" customHeight="1" x14ac:dyDescent="0.25">
      <c r="A1231" s="1" t="str">
        <f t="shared" si="101"/>
        <v>#tc_clothes#tc_civil#tc_head</v>
      </c>
      <c r="B1231" s="1">
        <f>VLOOKUP(A1231,TraderCategory!$A$63:$E$556,2,FALSE)</f>
        <v>0</v>
      </c>
      <c r="C1231" s="1">
        <f>VLOOKUP(A1231,TraderCategory!$A$63:$F$556,6,FALSE)</f>
        <v>0</v>
      </c>
      <c r="D1231" s="1" t="str">
        <f>VLOOKUP(C1231,Tabulka5[],3,FALSE)</f>
        <v>Private</v>
      </c>
      <c r="E1231" s="1">
        <v>0</v>
      </c>
      <c r="F1231" s="1" t="str">
        <f>VLOOKUP(E1231,Tabulka5[],3,FALSE)</f>
        <v>Private</v>
      </c>
      <c r="G1231" s="1" t="s">
        <v>3115</v>
      </c>
      <c r="H1231" s="1" t="s">
        <v>2971</v>
      </c>
      <c r="J1231" s="2" t="s">
        <v>2728</v>
      </c>
      <c r="K1231" s="1" t="s">
        <v>3126</v>
      </c>
      <c r="L1231" s="1" t="s">
        <v>3130</v>
      </c>
      <c r="M1231" s="1">
        <v>400</v>
      </c>
      <c r="N1231" s="1">
        <v>1</v>
      </c>
      <c r="O1231" s="1" t="str">
        <f t="shared" si="102"/>
        <v>"LeatherHat_Brown": 1,</v>
      </c>
      <c r="P1231" s="1" t="str">
        <f t="shared" si="103"/>
        <v>"LeatherHat_Brown": 0,</v>
      </c>
      <c r="Q1231" s="1" t="str">
        <f t="shared" si="104"/>
        <v>"LeatherHat_Brown": 400,</v>
      </c>
      <c r="R1231" s="1" t="str">
        <f t="shared" si="105"/>
        <v>"LeatherHat_Brown": 0,</v>
      </c>
    </row>
    <row r="1232" spans="1:18" ht="15" customHeight="1" x14ac:dyDescent="0.25">
      <c r="A1232" s="1" t="str">
        <f t="shared" si="101"/>
        <v>#tc_clothes#tc_civil#tc_head</v>
      </c>
      <c r="B1232" s="1">
        <f>VLOOKUP(A1232,TraderCategory!$A$63:$E$556,2,FALSE)</f>
        <v>0</v>
      </c>
      <c r="C1232" s="1">
        <f>VLOOKUP(A1232,TraderCategory!$A$63:$F$556,6,FALSE)</f>
        <v>0</v>
      </c>
      <c r="D1232" s="1" t="str">
        <f>VLOOKUP(C1232,Tabulka5[],3,FALSE)</f>
        <v>Private</v>
      </c>
      <c r="E1232" s="1">
        <v>0</v>
      </c>
      <c r="F1232" s="1" t="str">
        <f>VLOOKUP(E1232,Tabulka5[],3,FALSE)</f>
        <v>Private</v>
      </c>
      <c r="G1232" s="1" t="s">
        <v>3115</v>
      </c>
      <c r="H1232" s="1" t="s">
        <v>2972</v>
      </c>
      <c r="J1232" s="2" t="s">
        <v>2728</v>
      </c>
      <c r="K1232" s="1" t="s">
        <v>3126</v>
      </c>
      <c r="L1232" s="1" t="s">
        <v>3130</v>
      </c>
      <c r="M1232" s="1">
        <v>400</v>
      </c>
      <c r="N1232" s="1">
        <v>1</v>
      </c>
      <c r="O1232" s="1" t="str">
        <f t="shared" si="102"/>
        <v>"LeatherHat_Natural": 1,</v>
      </c>
      <c r="P1232" s="1" t="str">
        <f t="shared" si="103"/>
        <v>"LeatherHat_Natural": 0,</v>
      </c>
      <c r="Q1232" s="1" t="str">
        <f t="shared" si="104"/>
        <v>"LeatherHat_Natural": 400,</v>
      </c>
      <c r="R1232" s="1" t="str">
        <f t="shared" si="105"/>
        <v>"LeatherHat_Natural": 0,</v>
      </c>
    </row>
    <row r="1233" spans="1:18" ht="15" customHeight="1" x14ac:dyDescent="0.25">
      <c r="A1233" s="1" t="str">
        <f t="shared" si="101"/>
        <v>#tc_clothes#tc_civil#tc_tops</v>
      </c>
      <c r="B1233" s="1">
        <f>VLOOKUP(A1233,TraderCategory!$A$63:$E$556,2,FALSE)</f>
        <v>1</v>
      </c>
      <c r="C1233" s="1">
        <f>VLOOKUP(A1233,TraderCategory!$A$63:$F$556,6,FALSE)</f>
        <v>0</v>
      </c>
      <c r="D1233" s="1" t="str">
        <f>VLOOKUP(C1233,Tabulka5[],3,FALSE)</f>
        <v>Private</v>
      </c>
      <c r="E1233" s="1">
        <v>0</v>
      </c>
      <c r="F1233" s="1" t="str">
        <f>VLOOKUP(E1233,Tabulka5[],3,FALSE)</f>
        <v>Private</v>
      </c>
      <c r="G1233" s="1" t="s">
        <v>3115</v>
      </c>
      <c r="H1233" s="1" t="s">
        <v>2973</v>
      </c>
      <c r="J1233" s="2" t="s">
        <v>2728</v>
      </c>
      <c r="K1233" s="1" t="s">
        <v>3126</v>
      </c>
      <c r="L1233" s="1" t="s">
        <v>3131</v>
      </c>
      <c r="M1233" s="1">
        <v>2000</v>
      </c>
      <c r="N1233" s="1">
        <v>1</v>
      </c>
      <c r="O1233" s="1" t="str">
        <f t="shared" si="102"/>
        <v>"LeatherJacket_Beige": 1,</v>
      </c>
      <c r="P1233" s="1" t="str">
        <f t="shared" si="103"/>
        <v>"LeatherJacket_Beige": 1,</v>
      </c>
      <c r="Q1233" s="1" t="str">
        <f t="shared" si="104"/>
        <v>"LeatherJacket_Beige": 2000,</v>
      </c>
      <c r="R1233" s="1" t="str">
        <f t="shared" si="105"/>
        <v>"LeatherJacket_Beige": 0,</v>
      </c>
    </row>
    <row r="1234" spans="1:18" ht="15" customHeight="1" x14ac:dyDescent="0.25">
      <c r="A1234" s="1" t="str">
        <f t="shared" si="101"/>
        <v>#tc_clothes#tc_civil#tc_tops</v>
      </c>
      <c r="B1234" s="1">
        <f>VLOOKUP(A1234,TraderCategory!$A$63:$E$556,2,FALSE)</f>
        <v>1</v>
      </c>
      <c r="C1234" s="1">
        <f>VLOOKUP(A1234,TraderCategory!$A$63:$F$556,6,FALSE)</f>
        <v>0</v>
      </c>
      <c r="D1234" s="1" t="str">
        <f>VLOOKUP(C1234,Tabulka5[],3,FALSE)</f>
        <v>Private</v>
      </c>
      <c r="E1234" s="1">
        <v>0</v>
      </c>
      <c r="F1234" s="1" t="str">
        <f>VLOOKUP(E1234,Tabulka5[],3,FALSE)</f>
        <v>Private</v>
      </c>
      <c r="G1234" s="1" t="s">
        <v>3115</v>
      </c>
      <c r="H1234" s="1" t="s">
        <v>2974</v>
      </c>
      <c r="J1234" s="2" t="s">
        <v>2728</v>
      </c>
      <c r="K1234" s="1" t="s">
        <v>3126</v>
      </c>
      <c r="L1234" s="1" t="s">
        <v>3131</v>
      </c>
      <c r="M1234" s="1">
        <v>2000</v>
      </c>
      <c r="N1234" s="1">
        <v>1</v>
      </c>
      <c r="O1234" s="1" t="str">
        <f t="shared" si="102"/>
        <v>"LeatherJacket_Black": 1,</v>
      </c>
      <c r="P1234" s="1" t="str">
        <f t="shared" si="103"/>
        <v>"LeatherJacket_Black": 1,</v>
      </c>
      <c r="Q1234" s="1" t="str">
        <f t="shared" si="104"/>
        <v>"LeatherJacket_Black": 2000,</v>
      </c>
      <c r="R1234" s="1" t="str">
        <f t="shared" si="105"/>
        <v>"LeatherJacket_Black": 0,</v>
      </c>
    </row>
    <row r="1235" spans="1:18" ht="15" customHeight="1" x14ac:dyDescent="0.25">
      <c r="A1235" s="1" t="str">
        <f t="shared" si="101"/>
        <v>#tc_clothes#tc_civil#tc_tops</v>
      </c>
      <c r="B1235" s="1">
        <f>VLOOKUP(A1235,TraderCategory!$A$63:$E$556,2,FALSE)</f>
        <v>1</v>
      </c>
      <c r="C1235" s="1">
        <f>VLOOKUP(A1235,TraderCategory!$A$63:$F$556,6,FALSE)</f>
        <v>0</v>
      </c>
      <c r="D1235" s="1" t="str">
        <f>VLOOKUP(C1235,Tabulka5[],3,FALSE)</f>
        <v>Private</v>
      </c>
      <c r="E1235" s="1">
        <v>0</v>
      </c>
      <c r="F1235" s="1" t="str">
        <f>VLOOKUP(E1235,Tabulka5[],3,FALSE)</f>
        <v>Private</v>
      </c>
      <c r="G1235" s="1" t="s">
        <v>3115</v>
      </c>
      <c r="H1235" s="1" t="s">
        <v>2975</v>
      </c>
      <c r="J1235" s="2" t="s">
        <v>2728</v>
      </c>
      <c r="K1235" s="1" t="s">
        <v>3126</v>
      </c>
      <c r="L1235" s="1" t="s">
        <v>3131</v>
      </c>
      <c r="M1235" s="1">
        <v>2000</v>
      </c>
      <c r="N1235" s="1">
        <v>1</v>
      </c>
      <c r="O1235" s="1" t="str">
        <f t="shared" si="102"/>
        <v>"LeatherJacket_Brown": 1,</v>
      </c>
      <c r="P1235" s="1" t="str">
        <f t="shared" si="103"/>
        <v>"LeatherJacket_Brown": 1,</v>
      </c>
      <c r="Q1235" s="1" t="str">
        <f t="shared" si="104"/>
        <v>"LeatherJacket_Brown": 2000,</v>
      </c>
      <c r="R1235" s="1" t="str">
        <f t="shared" si="105"/>
        <v>"LeatherJacket_Brown": 0,</v>
      </c>
    </row>
    <row r="1236" spans="1:18" ht="15" customHeight="1" x14ac:dyDescent="0.25">
      <c r="A1236" s="1" t="str">
        <f t="shared" si="101"/>
        <v>#tc_clothes#tc_civil#tc_tops</v>
      </c>
      <c r="B1236" s="1">
        <f>VLOOKUP(A1236,TraderCategory!$A$63:$E$556,2,FALSE)</f>
        <v>1</v>
      </c>
      <c r="C1236" s="1">
        <f>VLOOKUP(A1236,TraderCategory!$A$63:$F$556,6,FALSE)</f>
        <v>0</v>
      </c>
      <c r="D1236" s="1" t="str">
        <f>VLOOKUP(C1236,Tabulka5[],3,FALSE)</f>
        <v>Private</v>
      </c>
      <c r="E1236" s="1">
        <v>0</v>
      </c>
      <c r="F1236" s="1" t="str">
        <f>VLOOKUP(E1236,Tabulka5[],3,FALSE)</f>
        <v>Private</v>
      </c>
      <c r="G1236" s="1" t="s">
        <v>3115</v>
      </c>
      <c r="H1236" s="1" t="s">
        <v>2976</v>
      </c>
      <c r="J1236" s="2" t="s">
        <v>2728</v>
      </c>
      <c r="K1236" s="1" t="s">
        <v>3126</v>
      </c>
      <c r="L1236" s="1" t="s">
        <v>3131</v>
      </c>
      <c r="M1236" s="1">
        <v>2000</v>
      </c>
      <c r="N1236" s="1">
        <v>1</v>
      </c>
      <c r="O1236" s="1" t="str">
        <f t="shared" si="102"/>
        <v>"LeatherJacket_Natural": 1,</v>
      </c>
      <c r="P1236" s="1" t="str">
        <f t="shared" si="103"/>
        <v>"LeatherJacket_Natural": 1,</v>
      </c>
      <c r="Q1236" s="1" t="str">
        <f t="shared" si="104"/>
        <v>"LeatherJacket_Natural": 2000,</v>
      </c>
      <c r="R1236" s="1" t="str">
        <f t="shared" si="105"/>
        <v>"LeatherJacket_Natural": 0,</v>
      </c>
    </row>
    <row r="1237" spans="1:18" ht="15" customHeight="1" x14ac:dyDescent="0.25">
      <c r="A1237" s="1" t="str">
        <f t="shared" si="101"/>
        <v>#tc_clothes#tc_civil#tc_belts</v>
      </c>
      <c r="B1237" s="1">
        <f>VLOOKUP(A1237,TraderCategory!$A$63:$E$556,2,FALSE)</f>
        <v>3</v>
      </c>
      <c r="C1237" s="1">
        <f>VLOOKUP(A1237,TraderCategory!$A$63:$F$556,6,FALSE)</f>
        <v>0</v>
      </c>
      <c r="D1237" s="1" t="str">
        <f>VLOOKUP(C1237,Tabulka5[],3,FALSE)</f>
        <v>Private</v>
      </c>
      <c r="E1237" s="1">
        <v>0</v>
      </c>
      <c r="F1237" s="1" t="str">
        <f>VLOOKUP(E1237,Tabulka5[],3,FALSE)</f>
        <v>Private</v>
      </c>
      <c r="G1237" s="1" t="s">
        <v>3115</v>
      </c>
      <c r="H1237" s="1" t="s">
        <v>2977</v>
      </c>
      <c r="J1237" s="2" t="s">
        <v>2728</v>
      </c>
      <c r="K1237" s="1" t="s">
        <v>3126</v>
      </c>
      <c r="L1237" s="1" t="s">
        <v>3135</v>
      </c>
      <c r="M1237" s="1">
        <v>500</v>
      </c>
      <c r="N1237" s="1">
        <v>1</v>
      </c>
      <c r="O1237" s="1" t="str">
        <f t="shared" si="102"/>
        <v>"LeatherKnifeSheath": 1,</v>
      </c>
      <c r="P1237" s="1" t="str">
        <f t="shared" si="103"/>
        <v>"LeatherKnifeSheath": 3,</v>
      </c>
      <c r="Q1237" s="1" t="str">
        <f t="shared" si="104"/>
        <v>"LeatherKnifeSheath": 500,</v>
      </c>
      <c r="R1237" s="1" t="str">
        <f t="shared" si="105"/>
        <v>"LeatherKnifeSheath": 0,</v>
      </c>
    </row>
    <row r="1238" spans="1:18" ht="15" customHeight="1" x14ac:dyDescent="0.25">
      <c r="A1238" s="1" t="str">
        <f t="shared" si="101"/>
        <v>#tc_clothes#tc_civil#tc_pants</v>
      </c>
      <c r="B1238" s="1">
        <f>VLOOKUP(A1238,TraderCategory!$A$63:$E$556,2,FALSE)</f>
        <v>4</v>
      </c>
      <c r="C1238" s="1">
        <f>VLOOKUP(A1238,TraderCategory!$A$63:$F$556,6,FALSE)</f>
        <v>0</v>
      </c>
      <c r="D1238" s="1" t="str">
        <f>VLOOKUP(C1238,Tabulka5[],3,FALSE)</f>
        <v>Private</v>
      </c>
      <c r="E1238" s="1">
        <v>0</v>
      </c>
      <c r="F1238" s="1" t="str">
        <f>VLOOKUP(E1238,Tabulka5[],3,FALSE)</f>
        <v>Private</v>
      </c>
      <c r="G1238" s="1" t="s">
        <v>3115</v>
      </c>
      <c r="H1238" s="1" t="s">
        <v>2978</v>
      </c>
      <c r="J1238" s="2" t="s">
        <v>2728</v>
      </c>
      <c r="K1238" s="1" t="s">
        <v>3126</v>
      </c>
      <c r="L1238" s="1" t="s">
        <v>3133</v>
      </c>
      <c r="M1238" s="1">
        <v>1200</v>
      </c>
      <c r="N1238" s="1">
        <v>1</v>
      </c>
      <c r="O1238" s="1" t="str">
        <f t="shared" si="102"/>
        <v>"LeatherPants_Beige": 1,</v>
      </c>
      <c r="P1238" s="1" t="str">
        <f t="shared" si="103"/>
        <v>"LeatherPants_Beige": 4,</v>
      </c>
      <c r="Q1238" s="1" t="str">
        <f t="shared" si="104"/>
        <v>"LeatherPants_Beige": 1200,</v>
      </c>
      <c r="R1238" s="1" t="str">
        <f t="shared" si="105"/>
        <v>"LeatherPants_Beige": 0,</v>
      </c>
    </row>
    <row r="1239" spans="1:18" ht="15" customHeight="1" x14ac:dyDescent="0.25">
      <c r="A1239" s="1" t="str">
        <f t="shared" si="101"/>
        <v>#tc_clothes#tc_civil#tc_pants</v>
      </c>
      <c r="B1239" s="1">
        <f>VLOOKUP(A1239,TraderCategory!$A$63:$E$556,2,FALSE)</f>
        <v>4</v>
      </c>
      <c r="C1239" s="1">
        <f>VLOOKUP(A1239,TraderCategory!$A$63:$F$556,6,FALSE)</f>
        <v>0</v>
      </c>
      <c r="D1239" s="1" t="str">
        <f>VLOOKUP(C1239,Tabulka5[],3,FALSE)</f>
        <v>Private</v>
      </c>
      <c r="E1239" s="1">
        <v>0</v>
      </c>
      <c r="F1239" s="1" t="str">
        <f>VLOOKUP(E1239,Tabulka5[],3,FALSE)</f>
        <v>Private</v>
      </c>
      <c r="G1239" s="1" t="s">
        <v>3115</v>
      </c>
      <c r="H1239" s="1" t="s">
        <v>2979</v>
      </c>
      <c r="J1239" s="2" t="s">
        <v>2728</v>
      </c>
      <c r="K1239" s="1" t="s">
        <v>3126</v>
      </c>
      <c r="L1239" s="1" t="s">
        <v>3133</v>
      </c>
      <c r="M1239" s="1">
        <v>1200</v>
      </c>
      <c r="N1239" s="1">
        <v>1</v>
      </c>
      <c r="O1239" s="1" t="str">
        <f t="shared" si="102"/>
        <v>"LeatherPants_Black": 1,</v>
      </c>
      <c r="P1239" s="1" t="str">
        <f t="shared" si="103"/>
        <v>"LeatherPants_Black": 4,</v>
      </c>
      <c r="Q1239" s="1" t="str">
        <f t="shared" si="104"/>
        <v>"LeatherPants_Black": 1200,</v>
      </c>
      <c r="R1239" s="1" t="str">
        <f t="shared" si="105"/>
        <v>"LeatherPants_Black": 0,</v>
      </c>
    </row>
    <row r="1240" spans="1:18" ht="15" customHeight="1" x14ac:dyDescent="0.25">
      <c r="A1240" s="1" t="str">
        <f t="shared" ref="A1240:A1303" si="106">CONCATENATE(J1240,K1240,L1240)</f>
        <v>#tc_clothes#tc_civil#tc_pants</v>
      </c>
      <c r="B1240" s="1">
        <f>VLOOKUP(A1240,TraderCategory!$A$63:$E$556,2,FALSE)</f>
        <v>4</v>
      </c>
      <c r="C1240" s="1">
        <f>VLOOKUP(A1240,TraderCategory!$A$63:$F$556,6,FALSE)</f>
        <v>0</v>
      </c>
      <c r="D1240" s="1" t="str">
        <f>VLOOKUP(C1240,Tabulka5[],3,FALSE)</f>
        <v>Private</v>
      </c>
      <c r="E1240" s="1">
        <v>0</v>
      </c>
      <c r="F1240" s="1" t="str">
        <f>VLOOKUP(E1240,Tabulka5[],3,FALSE)</f>
        <v>Private</v>
      </c>
      <c r="G1240" s="1" t="s">
        <v>3115</v>
      </c>
      <c r="H1240" s="1" t="s">
        <v>2980</v>
      </c>
      <c r="J1240" s="2" t="s">
        <v>2728</v>
      </c>
      <c r="K1240" s="1" t="s">
        <v>3126</v>
      </c>
      <c r="L1240" s="1" t="s">
        <v>3133</v>
      </c>
      <c r="M1240" s="1">
        <v>1200</v>
      </c>
      <c r="N1240" s="1">
        <v>1</v>
      </c>
      <c r="O1240" s="1" t="str">
        <f t="shared" si="102"/>
        <v>"LeatherPants_Brown": 1,</v>
      </c>
      <c r="P1240" s="1" t="str">
        <f t="shared" si="103"/>
        <v>"LeatherPants_Brown": 4,</v>
      </c>
      <c r="Q1240" s="1" t="str">
        <f t="shared" si="104"/>
        <v>"LeatherPants_Brown": 1200,</v>
      </c>
      <c r="R1240" s="1" t="str">
        <f t="shared" si="105"/>
        <v>"LeatherPants_Brown": 0,</v>
      </c>
    </row>
    <row r="1241" spans="1:18" ht="15" customHeight="1" x14ac:dyDescent="0.25">
      <c r="A1241" s="1" t="str">
        <f t="shared" si="106"/>
        <v>#tc_clothes#tc_civil#tc_pants</v>
      </c>
      <c r="B1241" s="1">
        <f>VLOOKUP(A1241,TraderCategory!$A$63:$E$556,2,FALSE)</f>
        <v>4</v>
      </c>
      <c r="C1241" s="1">
        <f>VLOOKUP(A1241,TraderCategory!$A$63:$F$556,6,FALSE)</f>
        <v>0</v>
      </c>
      <c r="D1241" s="1" t="str">
        <f>VLOOKUP(C1241,Tabulka5[],3,FALSE)</f>
        <v>Private</v>
      </c>
      <c r="E1241" s="1">
        <v>0</v>
      </c>
      <c r="F1241" s="1" t="str">
        <f>VLOOKUP(E1241,Tabulka5[],3,FALSE)</f>
        <v>Private</v>
      </c>
      <c r="G1241" s="1" t="s">
        <v>3115</v>
      </c>
      <c r="H1241" s="1" t="s">
        <v>2981</v>
      </c>
      <c r="J1241" s="2" t="s">
        <v>2728</v>
      </c>
      <c r="K1241" s="1" t="s">
        <v>3126</v>
      </c>
      <c r="L1241" s="1" t="s">
        <v>3133</v>
      </c>
      <c r="M1241" s="1">
        <v>1200</v>
      </c>
      <c r="N1241" s="1">
        <v>1</v>
      </c>
      <c r="O1241" s="1" t="str">
        <f t="shared" si="102"/>
        <v>"LeatherPants_Natural": 1,</v>
      </c>
      <c r="P1241" s="1" t="str">
        <f t="shared" si="103"/>
        <v>"LeatherPants_Natural": 4,</v>
      </c>
      <c r="Q1241" s="1" t="str">
        <f t="shared" si="104"/>
        <v>"LeatherPants_Natural": 1200,</v>
      </c>
      <c r="R1241" s="1" t="str">
        <f t="shared" si="105"/>
        <v>"LeatherPants_Natural": 0,</v>
      </c>
    </row>
    <row r="1242" spans="1:18" ht="15" customHeight="1" x14ac:dyDescent="0.25">
      <c r="A1242" s="1" t="str">
        <f t="shared" si="106"/>
        <v>#tc_clothes#tc_civil#tc_bags</v>
      </c>
      <c r="B1242" s="1">
        <f>VLOOKUP(A1242,TraderCategory!$A$63:$E$556,2,FALSE)</f>
        <v>7</v>
      </c>
      <c r="C1242" s="1">
        <f>VLOOKUP(A1242,TraderCategory!$A$63:$F$556,6,FALSE)</f>
        <v>0</v>
      </c>
      <c r="D1242" s="1" t="str">
        <f>VLOOKUP(C1242,Tabulka5[],3,FALSE)</f>
        <v>Private</v>
      </c>
      <c r="E1242" s="1">
        <v>0</v>
      </c>
      <c r="F1242" s="1" t="str">
        <f>VLOOKUP(E1242,Tabulka5[],3,FALSE)</f>
        <v>Private</v>
      </c>
      <c r="G1242" s="1" t="s">
        <v>3115</v>
      </c>
      <c r="H1242" s="1" t="s">
        <v>2982</v>
      </c>
      <c r="J1242" s="2" t="s">
        <v>2728</v>
      </c>
      <c r="K1242" s="1" t="s">
        <v>3126</v>
      </c>
      <c r="L1242" s="1" t="s">
        <v>3138</v>
      </c>
      <c r="M1242" s="1">
        <v>4000</v>
      </c>
      <c r="N1242" s="1">
        <v>1</v>
      </c>
      <c r="O1242" s="1" t="str">
        <f t="shared" si="102"/>
        <v>"LeatherSack_Beige": 1,</v>
      </c>
      <c r="P1242" s="1" t="str">
        <f t="shared" si="103"/>
        <v>"LeatherSack_Beige": 7,</v>
      </c>
      <c r="Q1242" s="1" t="str">
        <f t="shared" si="104"/>
        <v>"LeatherSack_Beige": 4000,</v>
      </c>
      <c r="R1242" s="1" t="str">
        <f t="shared" si="105"/>
        <v>"LeatherSack_Beige": 0,</v>
      </c>
    </row>
    <row r="1243" spans="1:18" ht="15" customHeight="1" x14ac:dyDescent="0.25">
      <c r="A1243" s="1" t="str">
        <f t="shared" si="106"/>
        <v>#tc_clothes#tc_civil#tc_bags</v>
      </c>
      <c r="B1243" s="1">
        <f>VLOOKUP(A1243,TraderCategory!$A$63:$E$556,2,FALSE)</f>
        <v>7</v>
      </c>
      <c r="C1243" s="1">
        <f>VLOOKUP(A1243,TraderCategory!$A$63:$F$556,6,FALSE)</f>
        <v>0</v>
      </c>
      <c r="D1243" s="1" t="str">
        <f>VLOOKUP(C1243,Tabulka5[],3,FALSE)</f>
        <v>Private</v>
      </c>
      <c r="E1243" s="1">
        <v>0</v>
      </c>
      <c r="F1243" s="1" t="str">
        <f>VLOOKUP(E1243,Tabulka5[],3,FALSE)</f>
        <v>Private</v>
      </c>
      <c r="G1243" s="1" t="s">
        <v>3115</v>
      </c>
      <c r="H1243" s="1" t="s">
        <v>2983</v>
      </c>
      <c r="J1243" s="2" t="s">
        <v>2728</v>
      </c>
      <c r="K1243" s="1" t="s">
        <v>3126</v>
      </c>
      <c r="L1243" s="1" t="s">
        <v>3138</v>
      </c>
      <c r="M1243" s="1">
        <v>4000</v>
      </c>
      <c r="N1243" s="1">
        <v>1</v>
      </c>
      <c r="O1243" s="1" t="str">
        <f t="shared" si="102"/>
        <v>"LeatherSack_Black": 1,</v>
      </c>
      <c r="P1243" s="1" t="str">
        <f t="shared" si="103"/>
        <v>"LeatherSack_Black": 7,</v>
      </c>
      <c r="Q1243" s="1" t="str">
        <f t="shared" si="104"/>
        <v>"LeatherSack_Black": 4000,</v>
      </c>
      <c r="R1243" s="1" t="str">
        <f t="shared" si="105"/>
        <v>"LeatherSack_Black": 0,</v>
      </c>
    </row>
    <row r="1244" spans="1:18" ht="15" customHeight="1" x14ac:dyDescent="0.25">
      <c r="A1244" s="1" t="str">
        <f t="shared" si="106"/>
        <v>#tc_clothes#tc_civil#tc_bags</v>
      </c>
      <c r="B1244" s="1">
        <f>VLOOKUP(A1244,TraderCategory!$A$63:$E$556,2,FALSE)</f>
        <v>7</v>
      </c>
      <c r="C1244" s="1">
        <f>VLOOKUP(A1244,TraderCategory!$A$63:$F$556,6,FALSE)</f>
        <v>0</v>
      </c>
      <c r="D1244" s="1" t="str">
        <f>VLOOKUP(C1244,Tabulka5[],3,FALSE)</f>
        <v>Private</v>
      </c>
      <c r="E1244" s="1">
        <v>0</v>
      </c>
      <c r="F1244" s="1" t="str">
        <f>VLOOKUP(E1244,Tabulka5[],3,FALSE)</f>
        <v>Private</v>
      </c>
      <c r="G1244" s="1" t="s">
        <v>3115</v>
      </c>
      <c r="H1244" s="1" t="s">
        <v>2984</v>
      </c>
      <c r="J1244" s="2" t="s">
        <v>2728</v>
      </c>
      <c r="K1244" s="1" t="s">
        <v>3126</v>
      </c>
      <c r="L1244" s="1" t="s">
        <v>3138</v>
      </c>
      <c r="M1244" s="1">
        <v>4000</v>
      </c>
      <c r="N1244" s="1">
        <v>1</v>
      </c>
      <c r="O1244" s="1" t="str">
        <f t="shared" si="102"/>
        <v>"LeatherSack_Brown": 1,</v>
      </c>
      <c r="P1244" s="1" t="str">
        <f t="shared" si="103"/>
        <v>"LeatherSack_Brown": 7,</v>
      </c>
      <c r="Q1244" s="1" t="str">
        <f t="shared" si="104"/>
        <v>"LeatherSack_Brown": 4000,</v>
      </c>
      <c r="R1244" s="1" t="str">
        <f t="shared" si="105"/>
        <v>"LeatherSack_Brown": 0,</v>
      </c>
    </row>
    <row r="1245" spans="1:18" ht="15" customHeight="1" x14ac:dyDescent="0.25">
      <c r="A1245" s="1" t="str">
        <f t="shared" si="106"/>
        <v>#tc_clothes#tc_civil#tc_bags</v>
      </c>
      <c r="B1245" s="1">
        <f>VLOOKUP(A1245,TraderCategory!$A$63:$E$556,2,FALSE)</f>
        <v>7</v>
      </c>
      <c r="C1245" s="1">
        <f>VLOOKUP(A1245,TraderCategory!$A$63:$F$556,6,FALSE)</f>
        <v>0</v>
      </c>
      <c r="D1245" s="1" t="str">
        <f>VLOOKUP(C1245,Tabulka5[],3,FALSE)</f>
        <v>Private</v>
      </c>
      <c r="E1245" s="1">
        <v>0</v>
      </c>
      <c r="F1245" s="1" t="str">
        <f>VLOOKUP(E1245,Tabulka5[],3,FALSE)</f>
        <v>Private</v>
      </c>
      <c r="G1245" s="1" t="s">
        <v>3115</v>
      </c>
      <c r="H1245" s="1" t="s">
        <v>2985</v>
      </c>
      <c r="J1245" s="2" t="s">
        <v>2728</v>
      </c>
      <c r="K1245" s="1" t="s">
        <v>3126</v>
      </c>
      <c r="L1245" s="1" t="s">
        <v>3138</v>
      </c>
      <c r="M1245" s="1">
        <v>4000</v>
      </c>
      <c r="N1245" s="1">
        <v>1</v>
      </c>
      <c r="O1245" s="1" t="str">
        <f t="shared" si="102"/>
        <v>"LeatherSack_Natural": 1,</v>
      </c>
      <c r="P1245" s="1" t="str">
        <f t="shared" si="103"/>
        <v>"LeatherSack_Natural": 7,</v>
      </c>
      <c r="Q1245" s="1" t="str">
        <f t="shared" si="104"/>
        <v>"LeatherSack_Natural": 4000,</v>
      </c>
      <c r="R1245" s="1" t="str">
        <f t="shared" si="105"/>
        <v>"LeatherSack_Natural": 0,</v>
      </c>
    </row>
    <row r="1246" spans="1:18" ht="15" customHeight="1" x14ac:dyDescent="0.25">
      <c r="A1246" s="1" t="str">
        <f t="shared" si="106"/>
        <v>#tc_clothes#tc_civil#tc_bags</v>
      </c>
      <c r="B1246" s="1">
        <f>VLOOKUP(A1246,TraderCategory!$A$63:$E$556,2,FALSE)</f>
        <v>7</v>
      </c>
      <c r="C1246" s="1">
        <f>VLOOKUP(A1246,TraderCategory!$A$63:$F$556,6,FALSE)</f>
        <v>0</v>
      </c>
      <c r="D1246" s="1" t="str">
        <f>VLOOKUP(C1246,Tabulka5[],3,FALSE)</f>
        <v>Private</v>
      </c>
      <c r="E1246" s="1">
        <v>0</v>
      </c>
      <c r="F1246" s="1" t="str">
        <f>VLOOKUP(E1246,Tabulka5[],3,FALSE)</f>
        <v>Private</v>
      </c>
      <c r="G1246" s="1" t="s">
        <v>3115</v>
      </c>
      <c r="H1246" s="1" t="s">
        <v>2986</v>
      </c>
      <c r="J1246" s="2" t="s">
        <v>2728</v>
      </c>
      <c r="K1246" s="1" t="s">
        <v>3126</v>
      </c>
      <c r="L1246" s="1" t="s">
        <v>3138</v>
      </c>
      <c r="M1246" s="1">
        <v>4000</v>
      </c>
      <c r="N1246" s="1">
        <v>1</v>
      </c>
      <c r="O1246" s="1" t="str">
        <f t="shared" si="102"/>
        <v>"LeatherShirt_Natural": 1,</v>
      </c>
      <c r="P1246" s="1" t="str">
        <f t="shared" si="103"/>
        <v>"LeatherShirt_Natural": 7,</v>
      </c>
      <c r="Q1246" s="1" t="str">
        <f t="shared" si="104"/>
        <v>"LeatherShirt_Natural": 4000,</v>
      </c>
      <c r="R1246" s="1" t="str">
        <f t="shared" si="105"/>
        <v>"LeatherShirt_Natural": 0,</v>
      </c>
    </row>
    <row r="1247" spans="1:18" ht="15" customHeight="1" x14ac:dyDescent="0.25">
      <c r="A1247" s="1" t="str">
        <f t="shared" si="106"/>
        <v>#tc_clothes#tc_civil#tc_boots</v>
      </c>
      <c r="B1247" s="1">
        <f>VLOOKUP(A1247,TraderCategory!$A$63:$E$556,2,FALSE)</f>
        <v>5</v>
      </c>
      <c r="C1247" s="1">
        <f>VLOOKUP(A1247,TraderCategory!$A$63:$F$556,6,FALSE)</f>
        <v>0</v>
      </c>
      <c r="D1247" s="1" t="str">
        <f>VLOOKUP(C1247,Tabulka5[],3,FALSE)</f>
        <v>Private</v>
      </c>
      <c r="E1247" s="1">
        <v>0</v>
      </c>
      <c r="F1247" s="1" t="str">
        <f>VLOOKUP(E1247,Tabulka5[],3,FALSE)</f>
        <v>Private</v>
      </c>
      <c r="G1247" s="1" t="s">
        <v>3115</v>
      </c>
      <c r="H1247" s="1" t="s">
        <v>2987</v>
      </c>
      <c r="J1247" s="2" t="s">
        <v>2728</v>
      </c>
      <c r="K1247" s="1" t="s">
        <v>3126</v>
      </c>
      <c r="L1247" s="1" t="s">
        <v>3134</v>
      </c>
      <c r="M1247" s="1">
        <v>1000</v>
      </c>
      <c r="N1247" s="1">
        <v>1</v>
      </c>
      <c r="O1247" s="1" t="str">
        <f t="shared" si="102"/>
        <v>"LeatherShoes_Beige": 1,</v>
      </c>
      <c r="P1247" s="1" t="str">
        <f t="shared" si="103"/>
        <v>"LeatherShoes_Beige": 5,</v>
      </c>
      <c r="Q1247" s="1" t="str">
        <f t="shared" si="104"/>
        <v>"LeatherShoes_Beige": 1000,</v>
      </c>
      <c r="R1247" s="1" t="str">
        <f t="shared" si="105"/>
        <v>"LeatherShoes_Beige": 0,</v>
      </c>
    </row>
    <row r="1248" spans="1:18" ht="15" customHeight="1" x14ac:dyDescent="0.25">
      <c r="A1248" s="1" t="str">
        <f t="shared" si="106"/>
        <v>#tc_clothes#tc_civil#tc_boots</v>
      </c>
      <c r="B1248" s="1">
        <f>VLOOKUP(A1248,TraderCategory!$A$63:$E$556,2,FALSE)</f>
        <v>5</v>
      </c>
      <c r="C1248" s="1">
        <f>VLOOKUP(A1248,TraderCategory!$A$63:$F$556,6,FALSE)</f>
        <v>0</v>
      </c>
      <c r="D1248" s="1" t="str">
        <f>VLOOKUP(C1248,Tabulka5[],3,FALSE)</f>
        <v>Private</v>
      </c>
      <c r="E1248" s="1">
        <v>0</v>
      </c>
      <c r="F1248" s="1" t="str">
        <f>VLOOKUP(E1248,Tabulka5[],3,FALSE)</f>
        <v>Private</v>
      </c>
      <c r="G1248" s="1" t="s">
        <v>3115</v>
      </c>
      <c r="H1248" s="1" t="s">
        <v>2988</v>
      </c>
      <c r="J1248" s="2" t="s">
        <v>2728</v>
      </c>
      <c r="K1248" s="1" t="s">
        <v>3126</v>
      </c>
      <c r="L1248" s="1" t="s">
        <v>3134</v>
      </c>
      <c r="M1248" s="1">
        <v>1000</v>
      </c>
      <c r="N1248" s="1">
        <v>1</v>
      </c>
      <c r="O1248" s="1" t="str">
        <f t="shared" si="102"/>
        <v>"LeatherShoes_Black": 1,</v>
      </c>
      <c r="P1248" s="1" t="str">
        <f t="shared" si="103"/>
        <v>"LeatherShoes_Black": 5,</v>
      </c>
      <c r="Q1248" s="1" t="str">
        <f t="shared" si="104"/>
        <v>"LeatherShoes_Black": 1000,</v>
      </c>
      <c r="R1248" s="1" t="str">
        <f t="shared" si="105"/>
        <v>"LeatherShoes_Black": 0,</v>
      </c>
    </row>
    <row r="1249" spans="1:18" ht="15" customHeight="1" x14ac:dyDescent="0.25">
      <c r="A1249" s="1" t="str">
        <f t="shared" si="106"/>
        <v>#tc_clothes#tc_civil#tc_boots</v>
      </c>
      <c r="B1249" s="1">
        <f>VLOOKUP(A1249,TraderCategory!$A$63:$E$556,2,FALSE)</f>
        <v>5</v>
      </c>
      <c r="C1249" s="1">
        <f>VLOOKUP(A1249,TraderCategory!$A$63:$F$556,6,FALSE)</f>
        <v>0</v>
      </c>
      <c r="D1249" s="1" t="str">
        <f>VLOOKUP(C1249,Tabulka5[],3,FALSE)</f>
        <v>Private</v>
      </c>
      <c r="E1249" s="1">
        <v>0</v>
      </c>
      <c r="F1249" s="1" t="str">
        <f>VLOOKUP(E1249,Tabulka5[],3,FALSE)</f>
        <v>Private</v>
      </c>
      <c r="G1249" s="1" t="s">
        <v>3115</v>
      </c>
      <c r="H1249" s="1" t="s">
        <v>2989</v>
      </c>
      <c r="J1249" s="2" t="s">
        <v>2728</v>
      </c>
      <c r="K1249" s="1" t="s">
        <v>3126</v>
      </c>
      <c r="L1249" s="1" t="s">
        <v>3134</v>
      </c>
      <c r="M1249" s="1">
        <v>1000</v>
      </c>
      <c r="N1249" s="1">
        <v>1</v>
      </c>
      <c r="O1249" s="1" t="str">
        <f t="shared" si="102"/>
        <v>"LeatherShoes_Brown": 1,</v>
      </c>
      <c r="P1249" s="1" t="str">
        <f t="shared" si="103"/>
        <v>"LeatherShoes_Brown": 5,</v>
      </c>
      <c r="Q1249" s="1" t="str">
        <f t="shared" si="104"/>
        <v>"LeatherShoes_Brown": 1000,</v>
      </c>
      <c r="R1249" s="1" t="str">
        <f t="shared" si="105"/>
        <v>"LeatherShoes_Brown": 0,</v>
      </c>
    </row>
    <row r="1250" spans="1:18" ht="15" customHeight="1" x14ac:dyDescent="0.25">
      <c r="A1250" s="1" t="str">
        <f t="shared" si="106"/>
        <v>#tc_clothes#tc_civil#tc_boots</v>
      </c>
      <c r="B1250" s="1">
        <f>VLOOKUP(A1250,TraderCategory!$A$63:$E$556,2,FALSE)</f>
        <v>5</v>
      </c>
      <c r="C1250" s="1">
        <f>VLOOKUP(A1250,TraderCategory!$A$63:$F$556,6,FALSE)</f>
        <v>0</v>
      </c>
      <c r="D1250" s="1" t="str">
        <f>VLOOKUP(C1250,Tabulka5[],3,FALSE)</f>
        <v>Private</v>
      </c>
      <c r="E1250" s="1">
        <v>0</v>
      </c>
      <c r="F1250" s="1" t="str">
        <f>VLOOKUP(E1250,Tabulka5[],3,FALSE)</f>
        <v>Private</v>
      </c>
      <c r="G1250" s="1" t="s">
        <v>3115</v>
      </c>
      <c r="H1250" s="1" t="s">
        <v>2990</v>
      </c>
      <c r="J1250" s="2" t="s">
        <v>2728</v>
      </c>
      <c r="K1250" s="1" t="s">
        <v>3126</v>
      </c>
      <c r="L1250" s="1" t="s">
        <v>3134</v>
      </c>
      <c r="M1250" s="1">
        <v>1000</v>
      </c>
      <c r="N1250" s="1">
        <v>1</v>
      </c>
      <c r="O1250" s="1" t="str">
        <f t="shared" si="102"/>
        <v>"LeatherShoes_Natural": 1,</v>
      </c>
      <c r="P1250" s="1" t="str">
        <f t="shared" si="103"/>
        <v>"LeatherShoes_Natural": 5,</v>
      </c>
      <c r="Q1250" s="1" t="str">
        <f t="shared" si="104"/>
        <v>"LeatherShoes_Natural": 1000,</v>
      </c>
      <c r="R1250" s="1" t="str">
        <f t="shared" si="105"/>
        <v>"LeatherShoes_Natural": 0,</v>
      </c>
    </row>
    <row r="1251" spans="1:18" ht="15" customHeight="1" x14ac:dyDescent="0.25">
      <c r="A1251" s="1" t="str">
        <f t="shared" si="106"/>
        <v>#tc_clothes#tc_civil#tc_vests</v>
      </c>
      <c r="B1251" s="1">
        <f>VLOOKUP(A1251,TraderCategory!$A$63:$E$556,2,FALSE)</f>
        <v>6</v>
      </c>
      <c r="C1251" s="1">
        <f>VLOOKUP(A1251,TraderCategory!$A$63:$F$556,6,FALSE)</f>
        <v>0</v>
      </c>
      <c r="D1251" s="1" t="str">
        <f>VLOOKUP(C1251,Tabulka5[],3,FALSE)</f>
        <v>Private</v>
      </c>
      <c r="E1251" s="1">
        <v>3</v>
      </c>
      <c r="F1251" s="1" t="str">
        <f>VLOOKUP(E1251,Tabulka5[],3,FALSE)</f>
        <v>Sergeant</v>
      </c>
      <c r="G1251" s="1" t="s">
        <v>3115</v>
      </c>
      <c r="H1251" s="1" t="s">
        <v>2991</v>
      </c>
      <c r="J1251" s="2" t="s">
        <v>2728</v>
      </c>
      <c r="K1251" s="1" t="s">
        <v>3126</v>
      </c>
      <c r="L1251" s="1" t="s">
        <v>3136</v>
      </c>
      <c r="M1251" s="1">
        <v>3000</v>
      </c>
      <c r="N1251" s="1">
        <v>1</v>
      </c>
      <c r="O1251" s="1" t="str">
        <f t="shared" si="102"/>
        <v>"LeatherStorageVest_Beige": 1,</v>
      </c>
      <c r="P1251" s="1" t="str">
        <f t="shared" si="103"/>
        <v>"LeatherStorageVest_Beige": 6,</v>
      </c>
      <c r="Q1251" s="1" t="str">
        <f t="shared" si="104"/>
        <v>"LeatherStorageVest_Beige": 3000,</v>
      </c>
      <c r="R1251" s="1" t="str">
        <f t="shared" si="105"/>
        <v>"LeatherStorageVest_Beige": 3,</v>
      </c>
    </row>
    <row r="1252" spans="1:18" ht="15" customHeight="1" x14ac:dyDescent="0.25">
      <c r="A1252" s="1" t="str">
        <f t="shared" si="106"/>
        <v>#tc_clothes#tc_civil#tc_vests</v>
      </c>
      <c r="B1252" s="1">
        <f>VLOOKUP(A1252,TraderCategory!$A$63:$E$556,2,FALSE)</f>
        <v>6</v>
      </c>
      <c r="C1252" s="1">
        <f>VLOOKUP(A1252,TraderCategory!$A$63:$F$556,6,FALSE)</f>
        <v>0</v>
      </c>
      <c r="D1252" s="1" t="str">
        <f>VLOOKUP(C1252,Tabulka5[],3,FALSE)</f>
        <v>Private</v>
      </c>
      <c r="E1252" s="1">
        <v>3</v>
      </c>
      <c r="F1252" s="1" t="str">
        <f>VLOOKUP(E1252,Tabulka5[],3,FALSE)</f>
        <v>Sergeant</v>
      </c>
      <c r="G1252" s="1" t="s">
        <v>3115</v>
      </c>
      <c r="H1252" s="1" t="s">
        <v>2992</v>
      </c>
      <c r="J1252" s="2" t="s">
        <v>2728</v>
      </c>
      <c r="K1252" s="1" t="s">
        <v>3126</v>
      </c>
      <c r="L1252" s="1" t="s">
        <v>3136</v>
      </c>
      <c r="M1252" s="1">
        <v>3000</v>
      </c>
      <c r="N1252" s="1">
        <v>1</v>
      </c>
      <c r="O1252" s="1" t="str">
        <f t="shared" si="102"/>
        <v>"LeatherStorageVest_Black": 1,</v>
      </c>
      <c r="P1252" s="1" t="str">
        <f t="shared" si="103"/>
        <v>"LeatherStorageVest_Black": 6,</v>
      </c>
      <c r="Q1252" s="1" t="str">
        <f t="shared" si="104"/>
        <v>"LeatherStorageVest_Black": 3000,</v>
      </c>
      <c r="R1252" s="1" t="str">
        <f t="shared" si="105"/>
        <v>"LeatherStorageVest_Black": 3,</v>
      </c>
    </row>
    <row r="1253" spans="1:18" ht="15" customHeight="1" x14ac:dyDescent="0.25">
      <c r="A1253" s="1" t="str">
        <f t="shared" si="106"/>
        <v>#tc_clothes#tc_civil#tc_vests</v>
      </c>
      <c r="B1253" s="1">
        <f>VLOOKUP(A1253,TraderCategory!$A$63:$E$556,2,FALSE)</f>
        <v>6</v>
      </c>
      <c r="C1253" s="1">
        <f>VLOOKUP(A1253,TraderCategory!$A$63:$F$556,6,FALSE)</f>
        <v>0</v>
      </c>
      <c r="D1253" s="1" t="str">
        <f>VLOOKUP(C1253,Tabulka5[],3,FALSE)</f>
        <v>Private</v>
      </c>
      <c r="E1253" s="1">
        <v>3</v>
      </c>
      <c r="F1253" s="1" t="str">
        <f>VLOOKUP(E1253,Tabulka5[],3,FALSE)</f>
        <v>Sergeant</v>
      </c>
      <c r="G1253" s="1" t="s">
        <v>3115</v>
      </c>
      <c r="H1253" s="1" t="s">
        <v>2993</v>
      </c>
      <c r="J1253" s="2" t="s">
        <v>2728</v>
      </c>
      <c r="K1253" s="1" t="s">
        <v>3126</v>
      </c>
      <c r="L1253" s="1" t="s">
        <v>3136</v>
      </c>
      <c r="M1253" s="1">
        <v>3000</v>
      </c>
      <c r="N1253" s="1">
        <v>1</v>
      </c>
      <c r="O1253" s="1" t="str">
        <f t="shared" si="102"/>
        <v>"LeatherStorageVest_Brown": 1,</v>
      </c>
      <c r="P1253" s="1" t="str">
        <f t="shared" si="103"/>
        <v>"LeatherStorageVest_Brown": 6,</v>
      </c>
      <c r="Q1253" s="1" t="str">
        <f t="shared" si="104"/>
        <v>"LeatherStorageVest_Brown": 3000,</v>
      </c>
      <c r="R1253" s="1" t="str">
        <f t="shared" si="105"/>
        <v>"LeatherStorageVest_Brown": 3,</v>
      </c>
    </row>
    <row r="1254" spans="1:18" ht="15" customHeight="1" x14ac:dyDescent="0.25">
      <c r="A1254" s="1" t="str">
        <f t="shared" si="106"/>
        <v>#tc_clothes#tc_civil#tc_vests</v>
      </c>
      <c r="B1254" s="1">
        <f>VLOOKUP(A1254,TraderCategory!$A$63:$E$556,2,FALSE)</f>
        <v>6</v>
      </c>
      <c r="C1254" s="1">
        <f>VLOOKUP(A1254,TraderCategory!$A$63:$F$556,6,FALSE)</f>
        <v>0</v>
      </c>
      <c r="D1254" s="1" t="str">
        <f>VLOOKUP(C1254,Tabulka5[],3,FALSE)</f>
        <v>Private</v>
      </c>
      <c r="E1254" s="1">
        <v>3</v>
      </c>
      <c r="F1254" s="1" t="str">
        <f>VLOOKUP(E1254,Tabulka5[],3,FALSE)</f>
        <v>Sergeant</v>
      </c>
      <c r="G1254" s="1" t="s">
        <v>3115</v>
      </c>
      <c r="H1254" s="1" t="s">
        <v>2994</v>
      </c>
      <c r="J1254" s="2" t="s">
        <v>2728</v>
      </c>
      <c r="K1254" s="1" t="s">
        <v>3126</v>
      </c>
      <c r="L1254" s="1" t="s">
        <v>3136</v>
      </c>
      <c r="M1254" s="1">
        <v>3000</v>
      </c>
      <c r="N1254" s="1">
        <v>1</v>
      </c>
      <c r="O1254" s="1" t="str">
        <f t="shared" si="102"/>
        <v>"LeatherStorageVest_Natural": 1,</v>
      </c>
      <c r="P1254" s="1" t="str">
        <f t="shared" si="103"/>
        <v>"LeatherStorageVest_Natural": 6,</v>
      </c>
      <c r="Q1254" s="1" t="str">
        <f t="shared" si="104"/>
        <v>"LeatherStorageVest_Natural": 3000,</v>
      </c>
      <c r="R1254" s="1" t="str">
        <f t="shared" si="105"/>
        <v>"LeatherStorageVest_Natural": 3,</v>
      </c>
    </row>
    <row r="1255" spans="1:18" ht="15" customHeight="1" x14ac:dyDescent="0.25">
      <c r="A1255" s="1" t="str">
        <f t="shared" si="106"/>
        <v>#tc_military#tc_weapons#tc_assaultrifles</v>
      </c>
      <c r="B1255" s="1">
        <f>VLOOKUP(A1255,TraderCategory!$A$63:$E$556,2,FALSE)</f>
        <v>65</v>
      </c>
      <c r="C1255" s="1">
        <f>VLOOKUP(A1255,TraderCategory!$A$63:$F$556,6,FALSE)</f>
        <v>10</v>
      </c>
      <c r="D1255" s="1" t="str">
        <f>VLOOKUP(C1255,Tabulka5[],3,FALSE)</f>
        <v>Second Lieutenant</v>
      </c>
      <c r="E1255" s="1">
        <v>11</v>
      </c>
      <c r="F1255" s="1" t="str">
        <f>VLOOKUP(E1255,Tabulka5[],3,FALSE)</f>
        <v>First Lieutenant</v>
      </c>
      <c r="G1255" s="1" t="s">
        <v>3115</v>
      </c>
      <c r="H1255" s="1" t="s">
        <v>2995</v>
      </c>
      <c r="J1255" s="1" t="s">
        <v>2729</v>
      </c>
      <c r="K1255" s="1" t="s">
        <v>3129</v>
      </c>
      <c r="L1255" s="1" t="s">
        <v>3158</v>
      </c>
      <c r="M1255" s="1">
        <v>40000</v>
      </c>
      <c r="N1255" s="1">
        <v>1</v>
      </c>
      <c r="O1255" s="1" t="str">
        <f t="shared" si="102"/>
        <v>"M4A1_Black": 1,</v>
      </c>
      <c r="P1255" s="1" t="str">
        <f t="shared" si="103"/>
        <v>"M4A1_Black": 65,</v>
      </c>
      <c r="Q1255" s="1" t="str">
        <f t="shared" si="104"/>
        <v>"M4A1_Black": 40000,</v>
      </c>
      <c r="R1255" s="1" t="str">
        <f t="shared" si="105"/>
        <v>"M4A1_Black": 11,</v>
      </c>
    </row>
    <row r="1256" spans="1:18" ht="15" customHeight="1" x14ac:dyDescent="0.25">
      <c r="A1256" s="1" t="str">
        <f t="shared" si="106"/>
        <v>#tc_military#tc_weapons#tc_assaultrifles</v>
      </c>
      <c r="B1256" s="1">
        <f>VLOOKUP(A1256,TraderCategory!$A$63:$E$556,2,FALSE)</f>
        <v>65</v>
      </c>
      <c r="C1256" s="1">
        <f>VLOOKUP(A1256,TraderCategory!$A$63:$F$556,6,FALSE)</f>
        <v>10</v>
      </c>
      <c r="D1256" s="1" t="str">
        <f>VLOOKUP(C1256,Tabulka5[],3,FALSE)</f>
        <v>Second Lieutenant</v>
      </c>
      <c r="E1256" s="1">
        <v>11</v>
      </c>
      <c r="F1256" s="1" t="str">
        <f>VLOOKUP(E1256,Tabulka5[],3,FALSE)</f>
        <v>First Lieutenant</v>
      </c>
      <c r="G1256" s="1" t="s">
        <v>3115</v>
      </c>
      <c r="H1256" s="1" t="s">
        <v>2996</v>
      </c>
      <c r="J1256" s="1" t="s">
        <v>2729</v>
      </c>
      <c r="K1256" s="1" t="s">
        <v>3129</v>
      </c>
      <c r="L1256" s="1" t="s">
        <v>3158</v>
      </c>
      <c r="M1256" s="1">
        <v>40000</v>
      </c>
      <c r="N1256" s="1">
        <v>1</v>
      </c>
      <c r="O1256" s="1" t="str">
        <f t="shared" si="102"/>
        <v>"M4A1_Green": 1,</v>
      </c>
      <c r="P1256" s="1" t="str">
        <f t="shared" si="103"/>
        <v>"M4A1_Green": 65,</v>
      </c>
      <c r="Q1256" s="1" t="str">
        <f t="shared" si="104"/>
        <v>"M4A1_Green": 40000,</v>
      </c>
      <c r="R1256" s="1" t="str">
        <f t="shared" si="105"/>
        <v>"M4A1_Green": 11,</v>
      </c>
    </row>
    <row r="1257" spans="1:18" ht="15" customHeight="1" x14ac:dyDescent="0.25">
      <c r="A1257" s="1" t="str">
        <f t="shared" si="106"/>
        <v>#tc_military#tc_attachments#tc_attachments</v>
      </c>
      <c r="B1257" s="1">
        <f>VLOOKUP(A1257,TraderCategory!$A$63:$E$556,2,FALSE)</f>
        <v>48</v>
      </c>
      <c r="C1257" s="1">
        <f>VLOOKUP(A1257,TraderCategory!$A$63:$F$556,6,FALSE)</f>
        <v>0</v>
      </c>
      <c r="D1257" s="1" t="str">
        <f>VLOOKUP(C1257,Tabulka5[],3,FALSE)</f>
        <v>Private</v>
      </c>
      <c r="E1257" s="1">
        <v>10</v>
      </c>
      <c r="F1257" s="1" t="str">
        <f>VLOOKUP(E1257,Tabulka5[],3,FALSE)</f>
        <v>Second Lieutenant</v>
      </c>
      <c r="G1257" s="1" t="s">
        <v>3115</v>
      </c>
      <c r="H1257" s="1" t="s">
        <v>2997</v>
      </c>
      <c r="J1257" s="1" t="s">
        <v>2729</v>
      </c>
      <c r="K1257" s="1" t="s">
        <v>2736</v>
      </c>
      <c r="L1257" s="1" t="s">
        <v>2736</v>
      </c>
      <c r="M1257" s="1">
        <v>1000</v>
      </c>
      <c r="N1257" s="1">
        <v>1</v>
      </c>
      <c r="O1257" s="1" t="str">
        <f t="shared" si="102"/>
        <v>"M4_RISHndgrd_Black": 1,</v>
      </c>
      <c r="P1257" s="1" t="str">
        <f t="shared" si="103"/>
        <v>"M4_RISHndgrd_Black": 48,</v>
      </c>
      <c r="Q1257" s="1" t="str">
        <f t="shared" si="104"/>
        <v>"M4_RISHndgrd_Black": 1000,</v>
      </c>
      <c r="R1257" s="1" t="str">
        <f t="shared" si="105"/>
        <v>"M4_RISHndgrd_Black": 10,</v>
      </c>
    </row>
    <row r="1258" spans="1:18" ht="15" customHeight="1" x14ac:dyDescent="0.25">
      <c r="A1258" s="1" t="str">
        <f t="shared" si="106"/>
        <v>#tc_military#tc_attachments#tc_attachments</v>
      </c>
      <c r="B1258" s="1">
        <f>VLOOKUP(A1258,TraderCategory!$A$63:$E$556,2,FALSE)</f>
        <v>48</v>
      </c>
      <c r="C1258" s="1">
        <f>VLOOKUP(A1258,TraderCategory!$A$63:$F$556,6,FALSE)</f>
        <v>0</v>
      </c>
      <c r="D1258" s="1" t="str">
        <f>VLOOKUP(C1258,Tabulka5[],3,FALSE)</f>
        <v>Private</v>
      </c>
      <c r="E1258" s="1">
        <v>10</v>
      </c>
      <c r="F1258" s="1" t="str">
        <f>VLOOKUP(E1258,Tabulka5[],3,FALSE)</f>
        <v>Second Lieutenant</v>
      </c>
      <c r="G1258" s="1" t="s">
        <v>3115</v>
      </c>
      <c r="H1258" s="1" t="s">
        <v>2998</v>
      </c>
      <c r="J1258" s="1" t="s">
        <v>2729</v>
      </c>
      <c r="K1258" s="1" t="s">
        <v>2736</v>
      </c>
      <c r="L1258" s="1" t="s">
        <v>2736</v>
      </c>
      <c r="M1258" s="1">
        <v>1000</v>
      </c>
      <c r="N1258" s="1">
        <v>1</v>
      </c>
      <c r="O1258" s="1" t="str">
        <f t="shared" si="102"/>
        <v>"M4_RISHndgrd_Green": 1,</v>
      </c>
      <c r="P1258" s="1" t="str">
        <f t="shared" si="103"/>
        <v>"M4_RISHndgrd_Green": 48,</v>
      </c>
      <c r="Q1258" s="1" t="str">
        <f t="shared" si="104"/>
        <v>"M4_RISHndgrd_Green": 1000,</v>
      </c>
      <c r="R1258" s="1" t="str">
        <f t="shared" si="105"/>
        <v>"M4_RISHndgrd_Green": 10,</v>
      </c>
    </row>
    <row r="1259" spans="1:18" ht="15" customHeight="1" x14ac:dyDescent="0.25">
      <c r="A1259" s="1" t="str">
        <f t="shared" si="106"/>
        <v>#tc_military#tc_weapons#tc_rifles</v>
      </c>
      <c r="B1259" s="1">
        <f>VLOOKUP(A1259,TraderCategory!$A$63:$E$556,2,FALSE)</f>
        <v>64</v>
      </c>
      <c r="C1259" s="1">
        <f>VLOOKUP(A1259,TraderCategory!$A$63:$F$556,6,FALSE)</f>
        <v>0</v>
      </c>
      <c r="D1259" s="1" t="str">
        <f>VLOOKUP(C1259,Tabulka5[],3,FALSE)</f>
        <v>Private</v>
      </c>
      <c r="E1259" s="1">
        <v>4</v>
      </c>
      <c r="F1259" s="1" t="str">
        <f>VLOOKUP(E1259,Tabulka5[],3,FALSE)</f>
        <v>Staff Sergeant</v>
      </c>
      <c r="G1259" s="1" t="s">
        <v>3115</v>
      </c>
      <c r="H1259" s="1" t="s">
        <v>2999</v>
      </c>
      <c r="J1259" s="1" t="s">
        <v>2729</v>
      </c>
      <c r="K1259" s="1" t="s">
        <v>3129</v>
      </c>
      <c r="L1259" s="1" t="s">
        <v>3157</v>
      </c>
      <c r="M1259" s="1">
        <v>20000</v>
      </c>
      <c r="N1259" s="1">
        <v>1</v>
      </c>
      <c r="O1259" s="1" t="str">
        <f t="shared" si="102"/>
        <v>"Mosin9130_Black": 1,</v>
      </c>
      <c r="P1259" s="1" t="str">
        <f t="shared" si="103"/>
        <v>"Mosin9130_Black": 64,</v>
      </c>
      <c r="Q1259" s="1" t="str">
        <f t="shared" si="104"/>
        <v>"Mosin9130_Black": 20000,</v>
      </c>
      <c r="R1259" s="1" t="str">
        <f t="shared" si="105"/>
        <v>"Mosin9130_Black": 4,</v>
      </c>
    </row>
    <row r="1260" spans="1:18" ht="15" customHeight="1" x14ac:dyDescent="0.25">
      <c r="A1260" s="1" t="str">
        <f t="shared" si="106"/>
        <v>#tc_military#tc_weapons#tc_rifles</v>
      </c>
      <c r="B1260" s="1">
        <f>VLOOKUP(A1260,TraderCategory!$A$63:$E$556,2,FALSE)</f>
        <v>64</v>
      </c>
      <c r="C1260" s="1">
        <f>VLOOKUP(A1260,TraderCategory!$A$63:$F$556,6,FALSE)</f>
        <v>0</v>
      </c>
      <c r="D1260" s="1" t="str">
        <f>VLOOKUP(C1260,Tabulka5[],3,FALSE)</f>
        <v>Private</v>
      </c>
      <c r="E1260" s="1">
        <v>4</v>
      </c>
      <c r="F1260" s="1" t="str">
        <f>VLOOKUP(E1260,Tabulka5[],3,FALSE)</f>
        <v>Staff Sergeant</v>
      </c>
      <c r="G1260" s="1" t="s">
        <v>3115</v>
      </c>
      <c r="H1260" s="1" t="s">
        <v>3000</v>
      </c>
      <c r="J1260" s="1" t="s">
        <v>2729</v>
      </c>
      <c r="K1260" s="1" t="s">
        <v>3129</v>
      </c>
      <c r="L1260" s="1" t="s">
        <v>3157</v>
      </c>
      <c r="M1260" s="1">
        <v>20000</v>
      </c>
      <c r="N1260" s="1">
        <v>1</v>
      </c>
      <c r="O1260" s="1" t="str">
        <f t="shared" si="102"/>
        <v>"Mosin9130_Camo": 1,</v>
      </c>
      <c r="P1260" s="1" t="str">
        <f t="shared" si="103"/>
        <v>"Mosin9130_Camo": 64,</v>
      </c>
      <c r="Q1260" s="1" t="str">
        <f t="shared" si="104"/>
        <v>"Mosin9130_Camo": 20000,</v>
      </c>
      <c r="R1260" s="1" t="str">
        <f t="shared" si="105"/>
        <v>"Mosin9130_Camo": 4,</v>
      </c>
    </row>
    <row r="1261" spans="1:18" ht="15" customHeight="1" x14ac:dyDescent="0.25">
      <c r="A1261" s="1" t="str">
        <f t="shared" si="106"/>
        <v>#tc_military#tc_weapons#tc_rifles</v>
      </c>
      <c r="B1261" s="1">
        <f>VLOOKUP(A1261,TraderCategory!$A$63:$E$556,2,FALSE)</f>
        <v>64</v>
      </c>
      <c r="C1261" s="1">
        <f>VLOOKUP(A1261,TraderCategory!$A$63:$F$556,6,FALSE)</f>
        <v>0</v>
      </c>
      <c r="D1261" s="1" t="str">
        <f>VLOOKUP(C1261,Tabulka5[],3,FALSE)</f>
        <v>Private</v>
      </c>
      <c r="E1261" s="1">
        <v>4</v>
      </c>
      <c r="F1261" s="1" t="str">
        <f>VLOOKUP(E1261,Tabulka5[],3,FALSE)</f>
        <v>Staff Sergeant</v>
      </c>
      <c r="G1261" s="1" t="s">
        <v>3115</v>
      </c>
      <c r="H1261" s="1" t="s">
        <v>3001</v>
      </c>
      <c r="J1261" s="1" t="s">
        <v>2729</v>
      </c>
      <c r="K1261" s="1" t="s">
        <v>3129</v>
      </c>
      <c r="L1261" s="1" t="s">
        <v>3157</v>
      </c>
      <c r="M1261" s="1">
        <v>20000</v>
      </c>
      <c r="N1261" s="1">
        <v>1</v>
      </c>
      <c r="O1261" s="1" t="str">
        <f t="shared" si="102"/>
        <v>"Mosin9130_Green": 1,</v>
      </c>
      <c r="P1261" s="1" t="str">
        <f t="shared" si="103"/>
        <v>"Mosin9130_Green": 64,</v>
      </c>
      <c r="Q1261" s="1" t="str">
        <f t="shared" si="104"/>
        <v>"Mosin9130_Green": 20000,</v>
      </c>
      <c r="R1261" s="1" t="str">
        <f t="shared" si="105"/>
        <v>"Mosin9130_Green": 4,</v>
      </c>
    </row>
    <row r="1262" spans="1:18" ht="15" customHeight="1" x14ac:dyDescent="0.25">
      <c r="A1262" s="1" t="str">
        <f t="shared" si="106"/>
        <v>#tc_groceries#tc_tools#tc_materials</v>
      </c>
      <c r="B1262" s="1">
        <f>VLOOKUP(A1262,TraderCategory!$A$63:$E$556,2,FALSE)</f>
        <v>39</v>
      </c>
      <c r="C1262" s="1">
        <f>VLOOKUP(A1262,TraderCategory!$A$63:$F$556,6,FALSE)</f>
        <v>3</v>
      </c>
      <c r="D1262" s="1" t="str">
        <f>VLOOKUP(C1262,Tabulka5[],3,FALSE)</f>
        <v>Sergeant</v>
      </c>
      <c r="E1262" s="1">
        <v>3</v>
      </c>
      <c r="F1262" s="1" t="str">
        <f>VLOOKUP(E1262,Tabulka5[],3,FALSE)</f>
        <v>Sergeant</v>
      </c>
      <c r="G1262" s="1" t="s">
        <v>3115</v>
      </c>
      <c r="H1262" s="1" t="s">
        <v>3002</v>
      </c>
      <c r="J1262" s="1" t="s">
        <v>3127</v>
      </c>
      <c r="K1262" s="1" t="s">
        <v>2740</v>
      </c>
      <c r="L1262" s="1" t="s">
        <v>2741</v>
      </c>
      <c r="M1262" s="1">
        <v>400</v>
      </c>
      <c r="N1262" s="1">
        <v>1</v>
      </c>
      <c r="O1262" s="1" t="str">
        <f t="shared" si="102"/>
        <v>"Nail": 1,</v>
      </c>
      <c r="P1262" s="1" t="str">
        <f t="shared" si="103"/>
        <v>"Nail": 39,</v>
      </c>
      <c r="Q1262" s="1" t="str">
        <f t="shared" si="104"/>
        <v>"Nail": 400,</v>
      </c>
      <c r="R1262" s="1" t="str">
        <f t="shared" si="105"/>
        <v>"Nail": 3,</v>
      </c>
    </row>
    <row r="1263" spans="1:18" ht="15" customHeight="1" x14ac:dyDescent="0.25">
      <c r="A1263" s="1" t="str">
        <f t="shared" si="106"/>
        <v>#tc_military#tc_weapons#tc_handtohand</v>
      </c>
      <c r="B1263" s="1">
        <f>VLOOKUP(A1263,TraderCategory!$A$63:$E$556,2,FALSE)</f>
        <v>60</v>
      </c>
      <c r="C1263" s="1">
        <f>VLOOKUP(A1263,TraderCategory!$A$63:$F$556,6,FALSE)</f>
        <v>0</v>
      </c>
      <c r="D1263" s="1" t="str">
        <f>VLOOKUP(C1263,Tabulka5[],3,FALSE)</f>
        <v>Private</v>
      </c>
      <c r="E1263" s="1">
        <v>1</v>
      </c>
      <c r="F1263" s="1" t="str">
        <f>VLOOKUP(E1263,Tabulka5[],3,FALSE)</f>
        <v>Private First Class</v>
      </c>
      <c r="G1263" s="1" t="s">
        <v>3115</v>
      </c>
      <c r="H1263" s="1" t="s">
        <v>3003</v>
      </c>
      <c r="J1263" s="1" t="s">
        <v>2729</v>
      </c>
      <c r="K1263" s="1" t="s">
        <v>3129</v>
      </c>
      <c r="L1263" s="1" t="s">
        <v>3176</v>
      </c>
      <c r="M1263" s="1">
        <v>800</v>
      </c>
      <c r="N1263" s="1">
        <v>1</v>
      </c>
      <c r="O1263" s="1" t="str">
        <f t="shared" si="102"/>
        <v>"NailedBaseballBat": 1,</v>
      </c>
      <c r="P1263" s="1" t="str">
        <f t="shared" si="103"/>
        <v>"NailedBaseballBat": 60,</v>
      </c>
      <c r="Q1263" s="1" t="str">
        <f t="shared" si="104"/>
        <v>"NailedBaseballBat": 800,</v>
      </c>
      <c r="R1263" s="1" t="str">
        <f t="shared" si="105"/>
        <v>"NailedBaseballBat": 1,</v>
      </c>
    </row>
    <row r="1264" spans="1:18" ht="15" customHeight="1" x14ac:dyDescent="0.25">
      <c r="A1264" s="1" t="str">
        <f t="shared" si="106"/>
        <v>#tc_groceries#tc_food#tc_fruits</v>
      </c>
      <c r="B1264" s="1">
        <f>VLOOKUP(A1264,TraderCategory!$A$63:$E$556,2,FALSE)</f>
        <v>20</v>
      </c>
      <c r="C1264" s="1">
        <f>VLOOKUP(A1264,TraderCategory!$A$63:$F$556,6,FALSE)</f>
        <v>3</v>
      </c>
      <c r="D1264" s="1" t="str">
        <f>VLOOKUP(C1264,Tabulka5[],3,FALSE)</f>
        <v>Sergeant</v>
      </c>
      <c r="E1264" s="1">
        <v>3</v>
      </c>
      <c r="F1264" s="1" t="str">
        <f>VLOOKUP(E1264,Tabulka5[],3,FALSE)</f>
        <v>Sergeant</v>
      </c>
      <c r="G1264" s="1" t="s">
        <v>3115</v>
      </c>
      <c r="H1264" s="1" t="s">
        <v>3004</v>
      </c>
      <c r="J1264" s="1" t="s">
        <v>3127</v>
      </c>
      <c r="K1264" s="1" t="s">
        <v>2730</v>
      </c>
      <c r="L1264" s="1" t="s">
        <v>3142</v>
      </c>
      <c r="M1264" s="1">
        <v>200</v>
      </c>
      <c r="N1264" s="1">
        <v>1</v>
      </c>
      <c r="O1264" s="1" t="str">
        <f t="shared" si="102"/>
        <v>"Pear": 1,</v>
      </c>
      <c r="P1264" s="1" t="str">
        <f t="shared" si="103"/>
        <v>"Pear": 20,</v>
      </c>
      <c r="Q1264" s="1" t="str">
        <f t="shared" si="104"/>
        <v>"Pear": 200,</v>
      </c>
      <c r="R1264" s="1" t="str">
        <f t="shared" si="105"/>
        <v>"Pear": 3,</v>
      </c>
    </row>
    <row r="1265" spans="1:18" ht="15" customHeight="1" x14ac:dyDescent="0.25">
      <c r="A1265" s="1" t="str">
        <f t="shared" si="106"/>
        <v>#tc_groceries#tc_tools#tc_seeds</v>
      </c>
      <c r="B1265" s="1">
        <f>VLOOKUP(A1265,TraderCategory!$A$63:$E$556,2,FALSE)</f>
        <v>34</v>
      </c>
      <c r="C1265" s="1">
        <f>VLOOKUP(A1265,TraderCategory!$A$63:$F$556,6,FALSE)</f>
        <v>3</v>
      </c>
      <c r="D1265" s="1" t="str">
        <f>VLOOKUP(C1265,Tabulka5[],3,FALSE)</f>
        <v>Sergeant</v>
      </c>
      <c r="E1265" s="1">
        <v>3</v>
      </c>
      <c r="F1265" s="1" t="str">
        <f>VLOOKUP(E1265,Tabulka5[],3,FALSE)</f>
        <v>Sergeant</v>
      </c>
      <c r="G1265" s="1" t="s">
        <v>3115</v>
      </c>
      <c r="H1265" s="1" t="s">
        <v>3005</v>
      </c>
      <c r="J1265" s="1" t="s">
        <v>3127</v>
      </c>
      <c r="K1265" s="1" t="s">
        <v>2740</v>
      </c>
      <c r="L1265" s="1" t="s">
        <v>2735</v>
      </c>
      <c r="M1265" s="1">
        <v>600</v>
      </c>
      <c r="N1265" s="1">
        <v>1</v>
      </c>
      <c r="O1265" s="1" t="str">
        <f t="shared" si="102"/>
        <v>"PepperSeeds": 1,</v>
      </c>
      <c r="P1265" s="1" t="str">
        <f t="shared" si="103"/>
        <v>"PepperSeeds": 34,</v>
      </c>
      <c r="Q1265" s="1" t="str">
        <f t="shared" si="104"/>
        <v>"PepperSeeds": 600,</v>
      </c>
      <c r="R1265" s="1" t="str">
        <f t="shared" si="105"/>
        <v>"PepperSeeds": 3,</v>
      </c>
    </row>
    <row r="1266" spans="1:18" ht="15" customHeight="1" x14ac:dyDescent="0.25">
      <c r="A1266" s="1" t="str">
        <f t="shared" si="106"/>
        <v>#tc_groceries#tc_food#tc_pelts</v>
      </c>
      <c r="B1266" s="1">
        <f>VLOOKUP(A1266,TraderCategory!$A$63:$E$556,2,FALSE)</f>
        <v>22</v>
      </c>
      <c r="C1266" s="1">
        <f>VLOOKUP(A1266,TraderCategory!$A$63:$F$556,6,FALSE)</f>
        <v>3</v>
      </c>
      <c r="D1266" s="1" t="str">
        <f>VLOOKUP(C1266,Tabulka5[],3,FALSE)</f>
        <v>Sergeant</v>
      </c>
      <c r="E1266" s="1">
        <v>3</v>
      </c>
      <c r="F1266" s="1" t="str">
        <f>VLOOKUP(E1266,Tabulka5[],3,FALSE)</f>
        <v>Sergeant</v>
      </c>
      <c r="G1266" s="1" t="s">
        <v>3115</v>
      </c>
      <c r="H1266" s="1" t="s">
        <v>942</v>
      </c>
      <c r="J1266" s="1" t="s">
        <v>3127</v>
      </c>
      <c r="K1266" s="1" t="s">
        <v>2730</v>
      </c>
      <c r="L1266" s="1" t="s">
        <v>2734</v>
      </c>
      <c r="M1266" s="1">
        <v>4000</v>
      </c>
      <c r="N1266" s="1">
        <v>1</v>
      </c>
      <c r="O1266" s="1" t="str">
        <f t="shared" si="102"/>
        <v>"PigPelt": 1,</v>
      </c>
      <c r="P1266" s="1" t="str">
        <f t="shared" si="103"/>
        <v>"PigPelt": 22,</v>
      </c>
      <c r="Q1266" s="1" t="str">
        <f t="shared" si="104"/>
        <v>"PigPelt": 4000,</v>
      </c>
      <c r="R1266" s="1" t="str">
        <f t="shared" si="105"/>
        <v>"PigPelt": 3,</v>
      </c>
    </row>
    <row r="1267" spans="1:18" ht="15" customHeight="1" x14ac:dyDescent="0.25">
      <c r="A1267" s="1" t="str">
        <f t="shared" si="106"/>
        <v>#tc_groceries#tc_food#tc_meat</v>
      </c>
      <c r="B1267" s="1">
        <f>VLOOKUP(A1267,TraderCategory!$A$63:$E$556,2,FALSE)</f>
        <v>21</v>
      </c>
      <c r="C1267" s="1">
        <f>VLOOKUP(A1267,TraderCategory!$A$63:$F$556,6,FALSE)</f>
        <v>3</v>
      </c>
      <c r="D1267" s="1" t="str">
        <f>VLOOKUP(C1267,Tabulka5[],3,FALSE)</f>
        <v>Sergeant</v>
      </c>
      <c r="E1267" s="1">
        <v>3</v>
      </c>
      <c r="F1267" s="1" t="str">
        <f>VLOOKUP(E1267,Tabulka5[],3,FALSE)</f>
        <v>Sergeant</v>
      </c>
      <c r="G1267" s="1" t="s">
        <v>3115</v>
      </c>
      <c r="H1267" s="1" t="s">
        <v>943</v>
      </c>
      <c r="J1267" s="1" t="s">
        <v>3127</v>
      </c>
      <c r="K1267" s="1" t="s">
        <v>2730</v>
      </c>
      <c r="L1267" s="1" t="s">
        <v>3141</v>
      </c>
      <c r="M1267" s="1">
        <v>3500</v>
      </c>
      <c r="N1267" s="1">
        <v>1</v>
      </c>
      <c r="O1267" s="1" t="str">
        <f t="shared" si="102"/>
        <v>"PigSteakMeat": 1,</v>
      </c>
      <c r="P1267" s="1" t="str">
        <f t="shared" si="103"/>
        <v>"PigSteakMeat": 21,</v>
      </c>
      <c r="Q1267" s="1" t="str">
        <f t="shared" si="104"/>
        <v>"PigSteakMeat": 3500,</v>
      </c>
      <c r="R1267" s="1" t="str">
        <f t="shared" si="105"/>
        <v>"PigSteakMeat": 3,</v>
      </c>
    </row>
    <row r="1268" spans="1:18" ht="15" customHeight="1" x14ac:dyDescent="0.25">
      <c r="A1268" s="1" t="str">
        <f t="shared" si="106"/>
        <v>#tc_groceries#tc_food#tc_fruits</v>
      </c>
      <c r="B1268" s="1">
        <f>VLOOKUP(A1268,TraderCategory!$A$63:$E$556,2,FALSE)</f>
        <v>20</v>
      </c>
      <c r="C1268" s="1">
        <f>VLOOKUP(A1268,TraderCategory!$A$63:$F$556,6,FALSE)</f>
        <v>3</v>
      </c>
      <c r="D1268" s="1" t="str">
        <f>VLOOKUP(C1268,Tabulka5[],3,FALSE)</f>
        <v>Sergeant</v>
      </c>
      <c r="E1268" s="1">
        <v>3</v>
      </c>
      <c r="F1268" s="1" t="str">
        <f>VLOOKUP(E1268,Tabulka5[],3,FALSE)</f>
        <v>Sergeant</v>
      </c>
      <c r="G1268" s="1" t="s">
        <v>3115</v>
      </c>
      <c r="H1268" s="1" t="s">
        <v>3006</v>
      </c>
      <c r="J1268" s="1" t="s">
        <v>3127</v>
      </c>
      <c r="K1268" s="1" t="s">
        <v>2730</v>
      </c>
      <c r="L1268" s="1" t="s">
        <v>3142</v>
      </c>
      <c r="M1268" s="1">
        <v>200</v>
      </c>
      <c r="N1268" s="1">
        <v>1</v>
      </c>
      <c r="O1268" s="1" t="str">
        <f t="shared" si="102"/>
        <v>"PleurotusMushroom": 1,</v>
      </c>
      <c r="P1268" s="1" t="str">
        <f t="shared" si="103"/>
        <v>"PleurotusMushroom": 20,</v>
      </c>
      <c r="Q1268" s="1" t="str">
        <f t="shared" si="104"/>
        <v>"PleurotusMushroom": 200,</v>
      </c>
      <c r="R1268" s="1" t="str">
        <f t="shared" si="105"/>
        <v>"PleurotusMushroom": 3,</v>
      </c>
    </row>
    <row r="1269" spans="1:18" ht="15" customHeight="1" x14ac:dyDescent="0.25">
      <c r="A1269" s="1" t="str">
        <f t="shared" si="106"/>
        <v>#tc_groceries#tc_food#tc_fruits</v>
      </c>
      <c r="B1269" s="1">
        <f>VLOOKUP(A1269,TraderCategory!$A$63:$E$556,2,FALSE)</f>
        <v>20</v>
      </c>
      <c r="C1269" s="1">
        <f>VLOOKUP(A1269,TraderCategory!$A$63:$F$556,6,FALSE)</f>
        <v>3</v>
      </c>
      <c r="D1269" s="1" t="str">
        <f>VLOOKUP(C1269,Tabulka5[],3,FALSE)</f>
        <v>Sergeant</v>
      </c>
      <c r="E1269" s="1">
        <v>3</v>
      </c>
      <c r="F1269" s="1" t="str">
        <f>VLOOKUP(E1269,Tabulka5[],3,FALSE)</f>
        <v>Sergeant</v>
      </c>
      <c r="G1269" s="1" t="s">
        <v>3115</v>
      </c>
      <c r="H1269" s="1" t="s">
        <v>3007</v>
      </c>
      <c r="J1269" s="1" t="s">
        <v>3127</v>
      </c>
      <c r="K1269" s="1" t="s">
        <v>2730</v>
      </c>
      <c r="L1269" s="1" t="s">
        <v>3142</v>
      </c>
      <c r="M1269" s="1">
        <v>200</v>
      </c>
      <c r="N1269" s="1">
        <v>1</v>
      </c>
      <c r="O1269" s="1" t="str">
        <f t="shared" si="102"/>
        <v>"Plum": 1,</v>
      </c>
      <c r="P1269" s="1" t="str">
        <f t="shared" si="103"/>
        <v>"Plum": 20,</v>
      </c>
      <c r="Q1269" s="1" t="str">
        <f t="shared" si="104"/>
        <v>"Plum": 200,</v>
      </c>
      <c r="R1269" s="1" t="str">
        <f t="shared" si="105"/>
        <v>"Plum": 3,</v>
      </c>
    </row>
    <row r="1270" spans="1:18" ht="15" customHeight="1" x14ac:dyDescent="0.25">
      <c r="A1270" s="1" t="str">
        <f t="shared" si="106"/>
        <v>#tc_groceries#tc_food#tc_fruits</v>
      </c>
      <c r="B1270" s="1">
        <f>VLOOKUP(A1270,TraderCategory!$A$63:$E$556,2,FALSE)</f>
        <v>20</v>
      </c>
      <c r="C1270" s="1">
        <f>VLOOKUP(A1270,TraderCategory!$A$63:$F$556,6,FALSE)</f>
        <v>3</v>
      </c>
      <c r="D1270" s="1" t="str">
        <f>VLOOKUP(C1270,Tabulka5[],3,FALSE)</f>
        <v>Sergeant</v>
      </c>
      <c r="E1270" s="1">
        <v>3</v>
      </c>
      <c r="F1270" s="1" t="str">
        <f>VLOOKUP(E1270,Tabulka5[],3,FALSE)</f>
        <v>Sergeant</v>
      </c>
      <c r="G1270" s="1" t="s">
        <v>3115</v>
      </c>
      <c r="H1270" s="1" t="s">
        <v>3008</v>
      </c>
      <c r="J1270" s="1" t="s">
        <v>3127</v>
      </c>
      <c r="K1270" s="1" t="s">
        <v>2730</v>
      </c>
      <c r="L1270" s="1" t="s">
        <v>3142</v>
      </c>
      <c r="M1270" s="1">
        <v>900</v>
      </c>
      <c r="N1270" s="1">
        <v>1</v>
      </c>
      <c r="O1270" s="1" t="str">
        <f t="shared" si="102"/>
        <v>"Pumpkin": 1,</v>
      </c>
      <c r="P1270" s="1" t="str">
        <f t="shared" si="103"/>
        <v>"Pumpkin": 20,</v>
      </c>
      <c r="Q1270" s="1" t="str">
        <f t="shared" si="104"/>
        <v>"Pumpkin": 900,</v>
      </c>
      <c r="R1270" s="1" t="str">
        <f t="shared" si="105"/>
        <v>"Pumpkin": 3,</v>
      </c>
    </row>
    <row r="1271" spans="1:18" ht="15" customHeight="1" x14ac:dyDescent="0.25">
      <c r="A1271" s="1" t="str">
        <f t="shared" si="106"/>
        <v>#tc_groceries#tc_tools#tc_seeds</v>
      </c>
      <c r="B1271" s="1">
        <f>VLOOKUP(A1271,TraderCategory!$A$63:$E$556,2,FALSE)</f>
        <v>34</v>
      </c>
      <c r="C1271" s="1">
        <f>VLOOKUP(A1271,TraderCategory!$A$63:$F$556,6,FALSE)</f>
        <v>3</v>
      </c>
      <c r="D1271" s="1" t="str">
        <f>VLOOKUP(C1271,Tabulka5[],3,FALSE)</f>
        <v>Sergeant</v>
      </c>
      <c r="E1271" s="1">
        <v>3</v>
      </c>
      <c r="F1271" s="1" t="str">
        <f>VLOOKUP(E1271,Tabulka5[],3,FALSE)</f>
        <v>Sergeant</v>
      </c>
      <c r="G1271" s="1" t="s">
        <v>3115</v>
      </c>
      <c r="H1271" s="1" t="s">
        <v>3009</v>
      </c>
      <c r="J1271" s="1" t="s">
        <v>3127</v>
      </c>
      <c r="K1271" s="1" t="s">
        <v>2740</v>
      </c>
      <c r="L1271" s="1" t="s">
        <v>2735</v>
      </c>
      <c r="M1271" s="1">
        <v>600</v>
      </c>
      <c r="N1271" s="1">
        <v>1</v>
      </c>
      <c r="O1271" s="1" t="str">
        <f t="shared" si="102"/>
        <v>"PumpkinSeeds": 1,</v>
      </c>
      <c r="P1271" s="1" t="str">
        <f t="shared" si="103"/>
        <v>"PumpkinSeeds": 34,</v>
      </c>
      <c r="Q1271" s="1" t="str">
        <f t="shared" si="104"/>
        <v>"PumpkinSeeds": 600,</v>
      </c>
      <c r="R1271" s="1" t="str">
        <f t="shared" si="105"/>
        <v>"PumpkinSeeds": 3,</v>
      </c>
    </row>
    <row r="1272" spans="1:18" ht="15" customHeight="1" x14ac:dyDescent="0.25">
      <c r="A1272" s="1" t="str">
        <f t="shared" si="106"/>
        <v>#tc_groceries#tc_food#tc_fruits</v>
      </c>
      <c r="B1272" s="1">
        <f>VLOOKUP(A1272,TraderCategory!$A$63:$E$556,2,FALSE)</f>
        <v>20</v>
      </c>
      <c r="C1272" s="1">
        <f>VLOOKUP(A1272,TraderCategory!$A$63:$F$556,6,FALSE)</f>
        <v>3</v>
      </c>
      <c r="D1272" s="1" t="str">
        <f>VLOOKUP(C1272,Tabulka5[],3,FALSE)</f>
        <v>Sergeant</v>
      </c>
      <c r="E1272" s="1">
        <v>3</v>
      </c>
      <c r="F1272" s="1" t="str">
        <f>VLOOKUP(E1272,Tabulka5[],3,FALSE)</f>
        <v>Sergeant</v>
      </c>
      <c r="G1272" s="1" t="s">
        <v>3115</v>
      </c>
      <c r="H1272" s="1" t="s">
        <v>3010</v>
      </c>
      <c r="J1272" s="1" t="s">
        <v>3127</v>
      </c>
      <c r="K1272" s="1" t="s">
        <v>2730</v>
      </c>
      <c r="L1272" s="1" t="s">
        <v>3142</v>
      </c>
      <c r="M1272" s="1">
        <v>200</v>
      </c>
      <c r="N1272" s="1">
        <v>1</v>
      </c>
      <c r="O1272" s="1" t="str">
        <f t="shared" si="102"/>
        <v>"SambucusBerry": 1,</v>
      </c>
      <c r="P1272" s="1" t="str">
        <f t="shared" si="103"/>
        <v>"SambucusBerry": 20,</v>
      </c>
      <c r="Q1272" s="1" t="str">
        <f t="shared" si="104"/>
        <v>"SambucusBerry": 200,</v>
      </c>
      <c r="R1272" s="1" t="str">
        <f t="shared" si="105"/>
        <v>"SambucusBerry": 3,</v>
      </c>
    </row>
    <row r="1273" spans="1:18" ht="15" customHeight="1" x14ac:dyDescent="0.25">
      <c r="A1273" s="1" t="str">
        <f t="shared" si="106"/>
        <v>#tc_military#tc_weapons#tc_rifles</v>
      </c>
      <c r="B1273" s="1">
        <f>VLOOKUP(A1273,TraderCategory!$A$63:$E$556,2,FALSE)</f>
        <v>64</v>
      </c>
      <c r="C1273" s="1">
        <f>VLOOKUP(A1273,TraderCategory!$A$63:$F$556,6,FALSE)</f>
        <v>0</v>
      </c>
      <c r="D1273" s="1" t="str">
        <f>VLOOKUP(C1273,Tabulka5[],3,FALSE)</f>
        <v>Private</v>
      </c>
      <c r="E1273" s="1">
        <v>0</v>
      </c>
      <c r="F1273" s="1" t="str">
        <f>VLOOKUP(E1273,Tabulka5[],3,FALSE)</f>
        <v>Private</v>
      </c>
      <c r="G1273" s="1" t="s">
        <v>3115</v>
      </c>
      <c r="H1273" s="1" t="s">
        <v>3011</v>
      </c>
      <c r="J1273" s="1" t="s">
        <v>2729</v>
      </c>
      <c r="K1273" s="1" t="s">
        <v>3129</v>
      </c>
      <c r="L1273" s="1" t="s">
        <v>3157</v>
      </c>
      <c r="M1273" s="1">
        <v>12000</v>
      </c>
      <c r="N1273" s="1">
        <v>1</v>
      </c>
      <c r="O1273" s="1" t="str">
        <f t="shared" si="102"/>
        <v>"SawedoffIzh18": 1,</v>
      </c>
      <c r="P1273" s="1" t="str">
        <f t="shared" si="103"/>
        <v>"SawedoffIzh18": 64,</v>
      </c>
      <c r="Q1273" s="1" t="str">
        <f t="shared" si="104"/>
        <v>"SawedoffIzh18": 12000,</v>
      </c>
      <c r="R1273" s="1" t="str">
        <f t="shared" si="105"/>
        <v>"SawedoffIzh18": 0,</v>
      </c>
    </row>
    <row r="1274" spans="1:18" ht="15" customHeight="1" x14ac:dyDescent="0.25">
      <c r="A1274" s="1" t="str">
        <f t="shared" si="106"/>
        <v>#tc_military#tc_weapons#tc_shotguns</v>
      </c>
      <c r="B1274" s="1">
        <f>VLOOKUP(A1274,TraderCategory!$A$63:$E$556,2,FALSE)</f>
        <v>62</v>
      </c>
      <c r="C1274" s="1">
        <f>VLOOKUP(A1274,TraderCategory!$A$63:$F$556,6,FALSE)</f>
        <v>3</v>
      </c>
      <c r="D1274" s="1" t="str">
        <f>VLOOKUP(C1274,Tabulka5[],3,FALSE)</f>
        <v>Sergeant</v>
      </c>
      <c r="E1274" s="1">
        <v>3</v>
      </c>
      <c r="F1274" s="1" t="str">
        <f>VLOOKUP(E1274,Tabulka5[],3,FALSE)</f>
        <v>Sergeant</v>
      </c>
      <c r="G1274" s="1" t="s">
        <v>3115</v>
      </c>
      <c r="H1274" s="1" t="s">
        <v>3012</v>
      </c>
      <c r="J1274" s="1" t="s">
        <v>2729</v>
      </c>
      <c r="K1274" s="1" t="s">
        <v>3129</v>
      </c>
      <c r="L1274" s="1" t="s">
        <v>3155</v>
      </c>
      <c r="M1274" s="1">
        <v>15000</v>
      </c>
      <c r="N1274" s="1">
        <v>1</v>
      </c>
      <c r="O1274" s="1" t="str">
        <f t="shared" si="102"/>
        <v>"SawedoffIzh43Shotgun": 1,</v>
      </c>
      <c r="P1274" s="1" t="str">
        <f t="shared" si="103"/>
        <v>"SawedoffIzh43Shotgun": 62,</v>
      </c>
      <c r="Q1274" s="1" t="str">
        <f t="shared" si="104"/>
        <v>"SawedoffIzh43Shotgun": 15000,</v>
      </c>
      <c r="R1274" s="1" t="str">
        <f t="shared" si="105"/>
        <v>"SawedoffIzh43Shotgun": 3,</v>
      </c>
    </row>
    <row r="1275" spans="1:18" ht="15" customHeight="1" x14ac:dyDescent="0.25">
      <c r="A1275" s="1" t="str">
        <f t="shared" si="106"/>
        <v>#tc_military#tc_weapons#tc_rifles</v>
      </c>
      <c r="B1275" s="1">
        <f>VLOOKUP(A1275,TraderCategory!$A$63:$E$556,2,FALSE)</f>
        <v>64</v>
      </c>
      <c r="C1275" s="1">
        <f>VLOOKUP(A1275,TraderCategory!$A$63:$F$556,6,FALSE)</f>
        <v>0</v>
      </c>
      <c r="D1275" s="1" t="str">
        <f>VLOOKUP(C1275,Tabulka5[],3,FALSE)</f>
        <v>Private</v>
      </c>
      <c r="E1275" s="1">
        <v>3</v>
      </c>
      <c r="F1275" s="1" t="str">
        <f>VLOOKUP(E1275,Tabulka5[],3,FALSE)</f>
        <v>Sergeant</v>
      </c>
      <c r="G1275" s="1" t="s">
        <v>3115</v>
      </c>
      <c r="H1275" s="1" t="s">
        <v>3013</v>
      </c>
      <c r="J1275" s="1" t="s">
        <v>2729</v>
      </c>
      <c r="K1275" s="1" t="s">
        <v>3129</v>
      </c>
      <c r="L1275" s="1" t="s">
        <v>3157</v>
      </c>
      <c r="M1275" s="1">
        <v>20000</v>
      </c>
      <c r="N1275" s="1">
        <v>1</v>
      </c>
      <c r="O1275" s="1" t="str">
        <f t="shared" ref="O1275:O1338" si="107">"""" &amp;H1275 &amp; """: " &amp; N1275 &amp; ","</f>
        <v>"SawedoffMosin9130": 1,</v>
      </c>
      <c r="P1275" s="1" t="str">
        <f t="shared" ref="P1275:P1338" si="108">"""" &amp;H1275 &amp; """: " &amp; B1275 &amp; ","</f>
        <v>"SawedoffMosin9130": 64,</v>
      </c>
      <c r="Q1275" s="1" t="str">
        <f t="shared" ref="Q1275:Q1338" si="109">"""" &amp;H1275 &amp; """: " &amp; M1275 &amp; ","</f>
        <v>"SawedoffMosin9130": 20000,</v>
      </c>
      <c r="R1275" s="1" t="str">
        <f t="shared" ref="R1275:R1338" si="110">"""" &amp;H1275 &amp; """: " &amp; E1275 &amp; ","</f>
        <v>"SawedoffMosin9130": 3,</v>
      </c>
    </row>
    <row r="1276" spans="1:18" ht="15" customHeight="1" x14ac:dyDescent="0.25">
      <c r="A1276" s="1" t="str">
        <f t="shared" si="106"/>
        <v>#tc_military#tc_weapons#tc_rifles</v>
      </c>
      <c r="B1276" s="1">
        <f>VLOOKUP(A1276,TraderCategory!$A$63:$E$556,2,FALSE)</f>
        <v>64</v>
      </c>
      <c r="C1276" s="1">
        <f>VLOOKUP(A1276,TraderCategory!$A$63:$F$556,6,FALSE)</f>
        <v>0</v>
      </c>
      <c r="D1276" s="1" t="str">
        <f>VLOOKUP(C1276,Tabulka5[],3,FALSE)</f>
        <v>Private</v>
      </c>
      <c r="E1276" s="1">
        <v>4</v>
      </c>
      <c r="F1276" s="1" t="str">
        <f>VLOOKUP(E1276,Tabulka5[],3,FALSE)</f>
        <v>Staff Sergeant</v>
      </c>
      <c r="G1276" s="1" t="s">
        <v>3115</v>
      </c>
      <c r="H1276" s="1" t="s">
        <v>3014</v>
      </c>
      <c r="J1276" s="1" t="s">
        <v>2729</v>
      </c>
      <c r="K1276" s="1" t="s">
        <v>3129</v>
      </c>
      <c r="L1276" s="1" t="s">
        <v>3157</v>
      </c>
      <c r="M1276" s="1">
        <v>20000</v>
      </c>
      <c r="N1276" s="1">
        <v>1</v>
      </c>
      <c r="O1276" s="1" t="str">
        <f t="shared" si="107"/>
        <v>"SawedoffMosin9130_Black": 1,</v>
      </c>
      <c r="P1276" s="1" t="str">
        <f t="shared" si="108"/>
        <v>"SawedoffMosin9130_Black": 64,</v>
      </c>
      <c r="Q1276" s="1" t="str">
        <f t="shared" si="109"/>
        <v>"SawedoffMosin9130_Black": 20000,</v>
      </c>
      <c r="R1276" s="1" t="str">
        <f t="shared" si="110"/>
        <v>"SawedoffMosin9130_Black": 4,</v>
      </c>
    </row>
    <row r="1277" spans="1:18" ht="15" customHeight="1" x14ac:dyDescent="0.25">
      <c r="A1277" s="1" t="str">
        <f t="shared" si="106"/>
        <v>#tc_military#tc_weapons#tc_rifles</v>
      </c>
      <c r="B1277" s="1">
        <f>VLOOKUP(A1277,TraderCategory!$A$63:$E$556,2,FALSE)</f>
        <v>64</v>
      </c>
      <c r="C1277" s="1">
        <f>VLOOKUP(A1277,TraderCategory!$A$63:$F$556,6,FALSE)</f>
        <v>0</v>
      </c>
      <c r="D1277" s="1" t="str">
        <f>VLOOKUP(C1277,Tabulka5[],3,FALSE)</f>
        <v>Private</v>
      </c>
      <c r="E1277" s="1">
        <v>4</v>
      </c>
      <c r="F1277" s="1" t="str">
        <f>VLOOKUP(E1277,Tabulka5[],3,FALSE)</f>
        <v>Staff Sergeant</v>
      </c>
      <c r="G1277" s="1" t="s">
        <v>3115</v>
      </c>
      <c r="H1277" s="1" t="s">
        <v>3015</v>
      </c>
      <c r="J1277" s="1" t="s">
        <v>2729</v>
      </c>
      <c r="K1277" s="1" t="s">
        <v>3129</v>
      </c>
      <c r="L1277" s="1" t="s">
        <v>3157</v>
      </c>
      <c r="M1277" s="1">
        <v>20000</v>
      </c>
      <c r="N1277" s="1">
        <v>1</v>
      </c>
      <c r="O1277" s="1" t="str">
        <f t="shared" si="107"/>
        <v>"SawedoffMosin9130_Camo": 1,</v>
      </c>
      <c r="P1277" s="1" t="str">
        <f t="shared" si="108"/>
        <v>"SawedoffMosin9130_Camo": 64,</v>
      </c>
      <c r="Q1277" s="1" t="str">
        <f t="shared" si="109"/>
        <v>"SawedoffMosin9130_Camo": 20000,</v>
      </c>
      <c r="R1277" s="1" t="str">
        <f t="shared" si="110"/>
        <v>"SawedoffMosin9130_Camo": 4,</v>
      </c>
    </row>
    <row r="1278" spans="1:18" ht="15" customHeight="1" x14ac:dyDescent="0.25">
      <c r="A1278" s="1" t="str">
        <f t="shared" si="106"/>
        <v>#tc_military#tc_weapons#tc_rifles</v>
      </c>
      <c r="B1278" s="1">
        <f>VLOOKUP(A1278,TraderCategory!$A$63:$E$556,2,FALSE)</f>
        <v>64</v>
      </c>
      <c r="C1278" s="1">
        <f>VLOOKUP(A1278,TraderCategory!$A$63:$F$556,6,FALSE)</f>
        <v>0</v>
      </c>
      <c r="D1278" s="1" t="str">
        <f>VLOOKUP(C1278,Tabulka5[],3,FALSE)</f>
        <v>Private</v>
      </c>
      <c r="E1278" s="1">
        <v>4</v>
      </c>
      <c r="F1278" s="1" t="str">
        <f>VLOOKUP(E1278,Tabulka5[],3,FALSE)</f>
        <v>Staff Sergeant</v>
      </c>
      <c r="G1278" s="1" t="s">
        <v>3115</v>
      </c>
      <c r="H1278" s="1" t="s">
        <v>3016</v>
      </c>
      <c r="J1278" s="1" t="s">
        <v>2729</v>
      </c>
      <c r="K1278" s="1" t="s">
        <v>3129</v>
      </c>
      <c r="L1278" s="1" t="s">
        <v>3157</v>
      </c>
      <c r="M1278" s="1">
        <v>20000</v>
      </c>
      <c r="N1278" s="1">
        <v>1</v>
      </c>
      <c r="O1278" s="1" t="str">
        <f t="shared" si="107"/>
        <v>"SawedoffMosin9130_Green": 1,</v>
      </c>
      <c r="P1278" s="1" t="str">
        <f t="shared" si="108"/>
        <v>"SawedoffMosin9130_Green": 64,</v>
      </c>
      <c r="Q1278" s="1" t="str">
        <f t="shared" si="109"/>
        <v>"SawedoffMosin9130_Green": 20000,</v>
      </c>
      <c r="R1278" s="1" t="str">
        <f t="shared" si="110"/>
        <v>"SawedoffMosin9130_Green": 4,</v>
      </c>
    </row>
    <row r="1279" spans="1:18" ht="15" customHeight="1" x14ac:dyDescent="0.25">
      <c r="A1279" s="1" t="str">
        <f t="shared" si="106"/>
        <v>#tc_groceries#tc_food#tc_pelts</v>
      </c>
      <c r="B1279" s="1">
        <f>VLOOKUP(A1279,TraderCategory!$A$63:$E$556,2,FALSE)</f>
        <v>22</v>
      </c>
      <c r="C1279" s="1">
        <f>VLOOKUP(A1279,TraderCategory!$A$63:$F$556,6,FALSE)</f>
        <v>3</v>
      </c>
      <c r="D1279" s="1" t="str">
        <f>VLOOKUP(C1279,Tabulka5[],3,FALSE)</f>
        <v>Sergeant</v>
      </c>
      <c r="E1279" s="1">
        <v>3</v>
      </c>
      <c r="F1279" s="1" t="str">
        <f>VLOOKUP(E1279,Tabulka5[],3,FALSE)</f>
        <v>Sergeant</v>
      </c>
      <c r="G1279" s="1" t="s">
        <v>3115</v>
      </c>
      <c r="H1279" s="1" t="s">
        <v>1031</v>
      </c>
      <c r="J1279" s="1" t="s">
        <v>3127</v>
      </c>
      <c r="K1279" s="1" t="s">
        <v>2730</v>
      </c>
      <c r="L1279" s="1" t="s">
        <v>2734</v>
      </c>
      <c r="M1279" s="1">
        <v>4000</v>
      </c>
      <c r="N1279" s="1">
        <v>1</v>
      </c>
      <c r="O1279" s="1" t="str">
        <f t="shared" si="107"/>
        <v>"SheepPelt": 1,</v>
      </c>
      <c r="P1279" s="1" t="str">
        <f t="shared" si="108"/>
        <v>"SheepPelt": 22,</v>
      </c>
      <c r="Q1279" s="1" t="str">
        <f t="shared" si="109"/>
        <v>"SheepPelt": 4000,</v>
      </c>
      <c r="R1279" s="1" t="str">
        <f t="shared" si="110"/>
        <v>"SheepPelt": 3,</v>
      </c>
    </row>
    <row r="1280" spans="1:18" ht="15" customHeight="1" x14ac:dyDescent="0.25">
      <c r="A1280" s="1" t="str">
        <f t="shared" si="106"/>
        <v>#tc_groceries#tc_food#tc_meat</v>
      </c>
      <c r="B1280" s="1">
        <f>VLOOKUP(A1280,TraderCategory!$A$63:$E$556,2,FALSE)</f>
        <v>21</v>
      </c>
      <c r="C1280" s="1">
        <f>VLOOKUP(A1280,TraderCategory!$A$63:$F$556,6,FALSE)</f>
        <v>3</v>
      </c>
      <c r="D1280" s="1" t="str">
        <f>VLOOKUP(C1280,Tabulka5[],3,FALSE)</f>
        <v>Sergeant</v>
      </c>
      <c r="E1280" s="1">
        <v>3</v>
      </c>
      <c r="F1280" s="1" t="str">
        <f>VLOOKUP(E1280,Tabulka5[],3,FALSE)</f>
        <v>Sergeant</v>
      </c>
      <c r="G1280" s="1" t="s">
        <v>3115</v>
      </c>
      <c r="H1280" s="1" t="s">
        <v>1032</v>
      </c>
      <c r="J1280" s="1" t="s">
        <v>3127</v>
      </c>
      <c r="K1280" s="1" t="s">
        <v>2730</v>
      </c>
      <c r="L1280" s="1" t="s">
        <v>3141</v>
      </c>
      <c r="M1280" s="1">
        <v>2000</v>
      </c>
      <c r="N1280" s="1">
        <v>1</v>
      </c>
      <c r="O1280" s="1" t="str">
        <f t="shared" si="107"/>
        <v>"SheepSteakMeat": 1,</v>
      </c>
      <c r="P1280" s="1" t="str">
        <f t="shared" si="108"/>
        <v>"SheepSteakMeat": 21,</v>
      </c>
      <c r="Q1280" s="1" t="str">
        <f t="shared" si="109"/>
        <v>"SheepSteakMeat": 2000,</v>
      </c>
      <c r="R1280" s="1" t="str">
        <f t="shared" si="110"/>
        <v>"SheepSteakMeat": 3,</v>
      </c>
    </row>
    <row r="1281" spans="1:18" ht="15" customHeight="1" x14ac:dyDescent="0.25">
      <c r="A1281" s="1" t="str">
        <f t="shared" si="106"/>
        <v>#tc_groceries#tc_food#tc_pelts</v>
      </c>
      <c r="B1281" s="1">
        <f>VLOOKUP(A1281,TraderCategory!$A$63:$E$556,2,FALSE)</f>
        <v>22</v>
      </c>
      <c r="C1281" s="1">
        <f>VLOOKUP(A1281,TraderCategory!$A$63:$F$556,6,FALSE)</f>
        <v>3</v>
      </c>
      <c r="D1281" s="1" t="str">
        <f>VLOOKUP(C1281,Tabulka5[],3,FALSE)</f>
        <v>Sergeant</v>
      </c>
      <c r="E1281" s="1">
        <v>3</v>
      </c>
      <c r="F1281" s="1" t="str">
        <f>VLOOKUP(E1281,Tabulka5[],3,FALSE)</f>
        <v>Sergeant</v>
      </c>
      <c r="G1281" s="1" t="s">
        <v>3115</v>
      </c>
      <c r="H1281" s="1" t="s">
        <v>3017</v>
      </c>
      <c r="J1281" s="1" t="s">
        <v>3127</v>
      </c>
      <c r="K1281" s="1" t="s">
        <v>2730</v>
      </c>
      <c r="L1281" s="1" t="s">
        <v>2734</v>
      </c>
      <c r="M1281" s="1">
        <v>8000</v>
      </c>
      <c r="N1281" s="1">
        <v>1</v>
      </c>
      <c r="O1281" s="1" t="str">
        <f t="shared" si="107"/>
        <v>"TannedLeather": 1,</v>
      </c>
      <c r="P1281" s="1" t="str">
        <f t="shared" si="108"/>
        <v>"TannedLeather": 22,</v>
      </c>
      <c r="Q1281" s="1" t="str">
        <f t="shared" si="109"/>
        <v>"TannedLeather": 8000,</v>
      </c>
      <c r="R1281" s="1" t="str">
        <f t="shared" si="110"/>
        <v>"TannedLeather": 3,</v>
      </c>
    </row>
    <row r="1282" spans="1:18" ht="15" customHeight="1" x14ac:dyDescent="0.25">
      <c r="A1282" s="1" t="str">
        <f t="shared" si="106"/>
        <v>#tc_groceries#tc_tools#tc_seeds</v>
      </c>
      <c r="B1282" s="1">
        <f>VLOOKUP(A1282,TraderCategory!$A$63:$E$556,2,FALSE)</f>
        <v>34</v>
      </c>
      <c r="C1282" s="1">
        <f>VLOOKUP(A1282,TraderCategory!$A$63:$F$556,6,FALSE)</f>
        <v>3</v>
      </c>
      <c r="D1282" s="1" t="str">
        <f>VLOOKUP(C1282,Tabulka5[],3,FALSE)</f>
        <v>Sergeant</v>
      </c>
      <c r="E1282" s="1">
        <v>3</v>
      </c>
      <c r="F1282" s="1" t="str">
        <f>VLOOKUP(E1282,Tabulka5[],3,FALSE)</f>
        <v>Sergeant</v>
      </c>
      <c r="G1282" s="1" t="s">
        <v>3115</v>
      </c>
      <c r="H1282" s="1" t="s">
        <v>3018</v>
      </c>
      <c r="J1282" s="1" t="s">
        <v>3127</v>
      </c>
      <c r="K1282" s="1" t="s">
        <v>2740</v>
      </c>
      <c r="L1282" s="1" t="s">
        <v>2735</v>
      </c>
      <c r="M1282" s="1">
        <v>600</v>
      </c>
      <c r="N1282" s="1">
        <v>1</v>
      </c>
      <c r="O1282" s="1" t="str">
        <f t="shared" si="107"/>
        <v>"TomatoSeeds": 1,</v>
      </c>
      <c r="P1282" s="1" t="str">
        <f t="shared" si="108"/>
        <v>"TomatoSeeds": 34,</v>
      </c>
      <c r="Q1282" s="1" t="str">
        <f t="shared" si="109"/>
        <v>"TomatoSeeds": 600,</v>
      </c>
      <c r="R1282" s="1" t="str">
        <f t="shared" si="110"/>
        <v>"TomatoSeeds": 3,</v>
      </c>
    </row>
    <row r="1283" spans="1:18" ht="15" customHeight="1" x14ac:dyDescent="0.25">
      <c r="A1283" s="1" t="str">
        <f t="shared" si="106"/>
        <v>#tc_groceries#tc_tools#tc_lights</v>
      </c>
      <c r="B1283" s="1">
        <f>VLOOKUP(A1283,TraderCategory!$A$63:$E$556,2,FALSE)</f>
        <v>37</v>
      </c>
      <c r="C1283" s="1">
        <f>VLOOKUP(A1283,TraderCategory!$A$63:$F$556,6,FALSE)</f>
        <v>0</v>
      </c>
      <c r="D1283" s="1" t="str">
        <f>VLOOKUP(C1283,Tabulka5[],3,FALSE)</f>
        <v>Private</v>
      </c>
      <c r="E1283" s="1">
        <v>0</v>
      </c>
      <c r="F1283" s="1" t="str">
        <f>VLOOKUP(E1283,Tabulka5[],3,FALSE)</f>
        <v>Private</v>
      </c>
      <c r="G1283" s="1" t="s">
        <v>3115</v>
      </c>
      <c r="H1283" s="1" t="s">
        <v>3019</v>
      </c>
      <c r="J1283" s="1" t="s">
        <v>3127</v>
      </c>
      <c r="K1283" s="1" t="s">
        <v>2740</v>
      </c>
      <c r="L1283" s="1" t="s">
        <v>3147</v>
      </c>
      <c r="M1283" s="1">
        <v>600</v>
      </c>
      <c r="N1283" s="1">
        <v>1</v>
      </c>
      <c r="O1283" s="1" t="str">
        <f t="shared" si="107"/>
        <v>"Torch": 1,</v>
      </c>
      <c r="P1283" s="1" t="str">
        <f t="shared" si="108"/>
        <v>"Torch": 37,</v>
      </c>
      <c r="Q1283" s="1" t="str">
        <f t="shared" si="109"/>
        <v>"Torch": 600,</v>
      </c>
      <c r="R1283" s="1" t="str">
        <f t="shared" si="110"/>
        <v>"Torch": 0,</v>
      </c>
    </row>
    <row r="1284" spans="1:18" ht="15" customHeight="1" x14ac:dyDescent="0.25">
      <c r="A1284" s="1" t="str">
        <f t="shared" si="106"/>
        <v>#tc_groceries#tc_food#tc_pelts</v>
      </c>
      <c r="B1284" s="1">
        <f>VLOOKUP(A1284,TraderCategory!$A$63:$E$556,2,FALSE)</f>
        <v>22</v>
      </c>
      <c r="C1284" s="1">
        <f>VLOOKUP(A1284,TraderCategory!$A$63:$F$556,6,FALSE)</f>
        <v>3</v>
      </c>
      <c r="D1284" s="1" t="str">
        <f>VLOOKUP(C1284,Tabulka5[],3,FALSE)</f>
        <v>Sergeant</v>
      </c>
      <c r="E1284" s="1">
        <v>3</v>
      </c>
      <c r="F1284" s="1" t="str">
        <f>VLOOKUP(E1284,Tabulka5[],3,FALSE)</f>
        <v>Sergeant</v>
      </c>
      <c r="G1284" s="1" t="s">
        <v>3115</v>
      </c>
      <c r="H1284" s="1" t="s">
        <v>1180</v>
      </c>
      <c r="J1284" s="1" t="s">
        <v>3127</v>
      </c>
      <c r="K1284" s="1" t="s">
        <v>2730</v>
      </c>
      <c r="L1284" s="1" t="s">
        <v>2734</v>
      </c>
      <c r="M1284" s="1">
        <v>12000</v>
      </c>
      <c r="N1284" s="1">
        <v>1</v>
      </c>
      <c r="O1284" s="1" t="str">
        <f t="shared" si="107"/>
        <v>"WildboarPelt": 1,</v>
      </c>
      <c r="P1284" s="1" t="str">
        <f t="shared" si="108"/>
        <v>"WildboarPelt": 22,</v>
      </c>
      <c r="Q1284" s="1" t="str">
        <f t="shared" si="109"/>
        <v>"WildboarPelt": 12000,</v>
      </c>
      <c r="R1284" s="1" t="str">
        <f t="shared" si="110"/>
        <v>"WildboarPelt": 3,</v>
      </c>
    </row>
    <row r="1285" spans="1:18" ht="15" customHeight="1" x14ac:dyDescent="0.25">
      <c r="A1285" s="1" t="str">
        <f t="shared" si="106"/>
        <v>#tc_groceries#tc_food#tc_pelts</v>
      </c>
      <c r="B1285" s="1">
        <f>VLOOKUP(A1285,TraderCategory!$A$63:$E$556,2,FALSE)</f>
        <v>22</v>
      </c>
      <c r="C1285" s="1">
        <f>VLOOKUP(A1285,TraderCategory!$A$63:$F$556,6,FALSE)</f>
        <v>3</v>
      </c>
      <c r="D1285" s="1" t="str">
        <f>VLOOKUP(C1285,Tabulka5[],3,FALSE)</f>
        <v>Sergeant</v>
      </c>
      <c r="E1285" s="1">
        <v>3</v>
      </c>
      <c r="F1285" s="1" t="str">
        <f>VLOOKUP(E1285,Tabulka5[],3,FALSE)</f>
        <v>Sergeant</v>
      </c>
      <c r="G1285" s="1" t="s">
        <v>3115</v>
      </c>
      <c r="H1285" s="1" t="s">
        <v>1182</v>
      </c>
      <c r="J1285" s="1" t="s">
        <v>3127</v>
      </c>
      <c r="K1285" s="1" t="s">
        <v>2730</v>
      </c>
      <c r="L1285" s="1" t="s">
        <v>2734</v>
      </c>
      <c r="M1285" s="1">
        <v>12000</v>
      </c>
      <c r="N1285" s="1">
        <v>1</v>
      </c>
      <c r="O1285" s="1" t="str">
        <f t="shared" si="107"/>
        <v>"WolfPelt": 1,</v>
      </c>
      <c r="P1285" s="1" t="str">
        <f t="shared" si="108"/>
        <v>"WolfPelt": 22,</v>
      </c>
      <c r="Q1285" s="1" t="str">
        <f t="shared" si="109"/>
        <v>"WolfPelt": 12000,</v>
      </c>
      <c r="R1285" s="1" t="str">
        <f t="shared" si="110"/>
        <v>"WolfPelt": 3,</v>
      </c>
    </row>
    <row r="1286" spans="1:18" ht="15" customHeight="1" x14ac:dyDescent="0.25">
      <c r="A1286" s="1" t="str">
        <f t="shared" si="106"/>
        <v>#tc_groceries#tc_food#tc_meat</v>
      </c>
      <c r="B1286" s="1">
        <f>VLOOKUP(A1286,TraderCategory!$A$63:$E$556,2,FALSE)</f>
        <v>21</v>
      </c>
      <c r="C1286" s="1">
        <f>VLOOKUP(A1286,TraderCategory!$A$63:$F$556,6,FALSE)</f>
        <v>3</v>
      </c>
      <c r="D1286" s="1" t="str">
        <f>VLOOKUP(C1286,Tabulka5[],3,FALSE)</f>
        <v>Sergeant</v>
      </c>
      <c r="E1286" s="1">
        <v>3</v>
      </c>
      <c r="F1286" s="1" t="str">
        <f>VLOOKUP(E1286,Tabulka5[],3,FALSE)</f>
        <v>Sergeant</v>
      </c>
      <c r="G1286" s="1" t="s">
        <v>3115</v>
      </c>
      <c r="H1286" s="1" t="s">
        <v>1183</v>
      </c>
      <c r="J1286" s="1" t="s">
        <v>3127</v>
      </c>
      <c r="K1286" s="1" t="s">
        <v>2730</v>
      </c>
      <c r="L1286" s="1" t="s">
        <v>3141</v>
      </c>
      <c r="M1286" s="1">
        <v>1000</v>
      </c>
      <c r="N1286" s="1">
        <v>1</v>
      </c>
      <c r="O1286" s="1" t="str">
        <f t="shared" si="107"/>
        <v>"WolfSteakMeat": 1,</v>
      </c>
      <c r="P1286" s="1" t="str">
        <f t="shared" si="108"/>
        <v>"WolfSteakMeat": 21,</v>
      </c>
      <c r="Q1286" s="1" t="str">
        <f t="shared" si="109"/>
        <v>"WolfSteakMeat": 1000,</v>
      </c>
      <c r="R1286" s="1" t="str">
        <f t="shared" si="110"/>
        <v>"WolfSteakMeat": 3,</v>
      </c>
    </row>
    <row r="1287" spans="1:18" ht="15" customHeight="1" x14ac:dyDescent="0.25">
      <c r="A1287" s="1" t="str">
        <f t="shared" si="106"/>
        <v>#tc_groceries#tc_tools#tc_seeds</v>
      </c>
      <c r="B1287" s="1">
        <f>VLOOKUP(A1287,TraderCategory!$A$63:$E$556,2,FALSE)</f>
        <v>34</v>
      </c>
      <c r="C1287" s="1">
        <f>VLOOKUP(A1287,TraderCategory!$A$63:$F$556,6,FALSE)</f>
        <v>3</v>
      </c>
      <c r="D1287" s="1" t="str">
        <f>VLOOKUP(C1287,Tabulka5[],3,FALSE)</f>
        <v>Sergeant</v>
      </c>
      <c r="E1287" s="1">
        <v>3</v>
      </c>
      <c r="F1287" s="1" t="str">
        <f>VLOOKUP(E1287,Tabulka5[],3,FALSE)</f>
        <v>Sergeant</v>
      </c>
      <c r="G1287" s="1" t="s">
        <v>3115</v>
      </c>
      <c r="H1287" s="1" t="s">
        <v>3021</v>
      </c>
      <c r="J1287" s="1" t="s">
        <v>3127</v>
      </c>
      <c r="K1287" s="1" t="s">
        <v>2740</v>
      </c>
      <c r="L1287" s="1" t="s">
        <v>2735</v>
      </c>
      <c r="M1287" s="1">
        <v>600</v>
      </c>
      <c r="N1287" s="1">
        <v>1</v>
      </c>
      <c r="O1287" s="1" t="str">
        <f t="shared" si="107"/>
        <v>"ZucchiniSeeds": 1,</v>
      </c>
      <c r="P1287" s="1" t="str">
        <f t="shared" si="108"/>
        <v>"ZucchiniSeeds": 34,</v>
      </c>
      <c r="Q1287" s="1" t="str">
        <f t="shared" si="109"/>
        <v>"ZucchiniSeeds": 600,</v>
      </c>
      <c r="R1287" s="1" t="str">
        <f t="shared" si="110"/>
        <v>"ZucchiniSeeds": 3,</v>
      </c>
    </row>
    <row r="1288" spans="1:18" ht="15" customHeight="1" x14ac:dyDescent="0.25">
      <c r="A1288" s="1" t="str">
        <f t="shared" si="106"/>
        <v>#tc_groceries#tc_tools#tc_materials</v>
      </c>
      <c r="B1288" s="1">
        <f>VLOOKUP(A1288,TraderCategory!$A$63:$E$556,2,FALSE)</f>
        <v>39</v>
      </c>
      <c r="C1288" s="1">
        <f>VLOOKUP(A1288,TraderCategory!$A$63:$F$556,6,FALSE)</f>
        <v>3</v>
      </c>
      <c r="D1288" s="1" t="str">
        <f>VLOOKUP(C1288,Tabulka5[],3,FALSE)</f>
        <v>Sergeant</v>
      </c>
      <c r="E1288" s="1">
        <v>16</v>
      </c>
      <c r="F1288" s="1" t="str">
        <f>VLOOKUP(E1288,Tabulka5[],3,FALSE)</f>
        <v>Brigadier General</v>
      </c>
      <c r="G1288" s="1" t="s">
        <v>3124</v>
      </c>
      <c r="H1288" s="1" t="s">
        <v>1311</v>
      </c>
      <c r="J1288" s="1" t="s">
        <v>3127</v>
      </c>
      <c r="K1288" s="1" t="s">
        <v>2740</v>
      </c>
      <c r="L1288" s="1" t="s">
        <v>2741</v>
      </c>
      <c r="M1288" s="1">
        <v>5000</v>
      </c>
      <c r="N1288" s="1">
        <v>1</v>
      </c>
      <c r="O1288" s="1" t="str">
        <f t="shared" si="107"/>
        <v>"BBP_Concrete_Brick_Pile": 1,</v>
      </c>
      <c r="P1288" s="1" t="str">
        <f t="shared" si="108"/>
        <v>"BBP_Concrete_Brick_Pile": 39,</v>
      </c>
      <c r="Q1288" s="1" t="str">
        <f t="shared" si="109"/>
        <v>"BBP_Concrete_Brick_Pile": 5000,</v>
      </c>
      <c r="R1288" s="1" t="str">
        <f t="shared" si="110"/>
        <v>"BBP_Concrete_Brick_Pile": 16,</v>
      </c>
    </row>
    <row r="1289" spans="1:18" ht="15" customHeight="1" x14ac:dyDescent="0.25">
      <c r="A1289" s="1" t="str">
        <f t="shared" si="106"/>
        <v>#tc_military#tc_weapons#tc_assaultrifles</v>
      </c>
      <c r="B1289" s="1">
        <f>VLOOKUP(A1289,TraderCategory!$A$63:$E$556,2,FALSE)</f>
        <v>65</v>
      </c>
      <c r="C1289" s="1">
        <f>VLOOKUP(A1289,TraderCategory!$A$63:$F$556,6,FALSE)</f>
        <v>10</v>
      </c>
      <c r="D1289" s="1" t="str">
        <f>VLOOKUP(C1289,Tabulka5[],3,FALSE)</f>
        <v>Second Lieutenant</v>
      </c>
      <c r="E1289" s="1">
        <v>13</v>
      </c>
      <c r="F1289" s="1" t="str">
        <f>VLOOKUP(E1289,Tabulka5[],3,FALSE)</f>
        <v>Major</v>
      </c>
      <c r="G1289" s="1" t="s">
        <v>3116</v>
      </c>
      <c r="H1289" s="1" t="s">
        <v>3179</v>
      </c>
      <c r="J1289" s="1" t="s">
        <v>2729</v>
      </c>
      <c r="K1289" s="1" t="s">
        <v>3129</v>
      </c>
      <c r="L1289" s="1" t="s">
        <v>3158</v>
      </c>
      <c r="M1289" s="1">
        <v>40000</v>
      </c>
      <c r="N1289" s="1">
        <v>1</v>
      </c>
      <c r="O1289" s="1" t="str">
        <f t="shared" si="107"/>
        <v>"WE_HoneyBadger_Olive": 1,</v>
      </c>
      <c r="P1289" s="1" t="str">
        <f t="shared" si="108"/>
        <v>"WE_HoneyBadger_Olive": 65,</v>
      </c>
      <c r="Q1289" s="1" t="str">
        <f t="shared" si="109"/>
        <v>"WE_HoneyBadger_Olive": 40000,</v>
      </c>
      <c r="R1289" s="1" t="str">
        <f t="shared" si="110"/>
        <v>"WE_HoneyBadger_Olive": 13,</v>
      </c>
    </row>
    <row r="1290" spans="1:18" ht="15" customHeight="1" x14ac:dyDescent="0.25">
      <c r="A1290" s="1" t="str">
        <f t="shared" si="106"/>
        <v>#tc_military#tc_weapons#tc_assaultrifles</v>
      </c>
      <c r="B1290" s="1">
        <f>VLOOKUP(A1290,TraderCategory!$A$63:$E$556,2,FALSE)</f>
        <v>65</v>
      </c>
      <c r="C1290" s="1">
        <f>VLOOKUP(A1290,TraderCategory!$A$63:$F$556,6,FALSE)</f>
        <v>10</v>
      </c>
      <c r="D1290" s="1" t="str">
        <f>VLOOKUP(C1290,Tabulka5[],3,FALSE)</f>
        <v>Second Lieutenant</v>
      </c>
      <c r="E1290" s="1">
        <v>13</v>
      </c>
      <c r="F1290" s="1" t="str">
        <f>VLOOKUP(E1290,Tabulka5[],3,FALSE)</f>
        <v>Major</v>
      </c>
      <c r="G1290" s="1" t="s">
        <v>3116</v>
      </c>
      <c r="H1290" s="1" t="s">
        <v>3180</v>
      </c>
      <c r="J1290" s="1" t="s">
        <v>2729</v>
      </c>
      <c r="K1290" s="1" t="s">
        <v>3129</v>
      </c>
      <c r="L1290" s="1" t="s">
        <v>3158</v>
      </c>
      <c r="M1290" s="1">
        <v>40000</v>
      </c>
      <c r="N1290" s="1">
        <v>1</v>
      </c>
      <c r="O1290" s="1" t="str">
        <f t="shared" si="107"/>
        <v>"WE_HoneyBadger_Tan": 1,</v>
      </c>
      <c r="P1290" s="1" t="str">
        <f t="shared" si="108"/>
        <v>"WE_HoneyBadger_Tan": 65,</v>
      </c>
      <c r="Q1290" s="1" t="str">
        <f t="shared" si="109"/>
        <v>"WE_HoneyBadger_Tan": 40000,</v>
      </c>
      <c r="R1290" s="1" t="str">
        <f t="shared" si="110"/>
        <v>"WE_HoneyBadger_Tan": 13,</v>
      </c>
    </row>
    <row r="1291" spans="1:18" ht="15" customHeight="1" x14ac:dyDescent="0.25">
      <c r="A1291" s="1" t="str">
        <f t="shared" si="106"/>
        <v>#tc_military#tc_weapons#tc_assaultrifles</v>
      </c>
      <c r="B1291" s="1">
        <f>VLOOKUP(A1291,TraderCategory!$A$63:$E$556,2,FALSE)</f>
        <v>65</v>
      </c>
      <c r="C1291" s="1">
        <f>VLOOKUP(A1291,TraderCategory!$A$63:$F$556,6,FALSE)</f>
        <v>10</v>
      </c>
      <c r="D1291" s="1" t="str">
        <f>VLOOKUP(C1291,Tabulka5[],3,FALSE)</f>
        <v>Second Lieutenant</v>
      </c>
      <c r="E1291" s="1">
        <v>13</v>
      </c>
      <c r="F1291" s="1" t="str">
        <f>VLOOKUP(E1291,Tabulka5[],3,FALSE)</f>
        <v>Major</v>
      </c>
      <c r="G1291" s="1" t="s">
        <v>3116</v>
      </c>
      <c r="H1291" s="1" t="s">
        <v>3181</v>
      </c>
      <c r="J1291" s="1" t="s">
        <v>2729</v>
      </c>
      <c r="K1291" s="1" t="s">
        <v>3129</v>
      </c>
      <c r="L1291" s="1" t="s">
        <v>3158</v>
      </c>
      <c r="M1291" s="1">
        <v>40000</v>
      </c>
      <c r="N1291" s="1">
        <v>1</v>
      </c>
      <c r="O1291" s="1" t="str">
        <f t="shared" si="107"/>
        <v>"WE_HoneyBadger_Woodland": 1,</v>
      </c>
      <c r="P1291" s="1" t="str">
        <f t="shared" si="108"/>
        <v>"WE_HoneyBadger_Woodland": 65,</v>
      </c>
      <c r="Q1291" s="1" t="str">
        <f t="shared" si="109"/>
        <v>"WE_HoneyBadger_Woodland": 40000,</v>
      </c>
      <c r="R1291" s="1" t="str">
        <f t="shared" si="110"/>
        <v>"WE_HoneyBadger_Woodland": 13,</v>
      </c>
    </row>
    <row r="1292" spans="1:18" ht="15" customHeight="1" x14ac:dyDescent="0.25">
      <c r="A1292" s="1" t="str">
        <f t="shared" si="106"/>
        <v>#tc_military#tc_weapons#tc_assaultrifles</v>
      </c>
      <c r="B1292" s="1">
        <f>VLOOKUP(A1292,TraderCategory!$A$63:$E$556,2,FALSE)</f>
        <v>65</v>
      </c>
      <c r="C1292" s="1">
        <f>VLOOKUP(A1292,TraderCategory!$A$63:$F$556,6,FALSE)</f>
        <v>10</v>
      </c>
      <c r="D1292" s="1" t="str">
        <f>VLOOKUP(C1292,Tabulka5[],3,FALSE)</f>
        <v>Second Lieutenant</v>
      </c>
      <c r="E1292" s="1">
        <v>13</v>
      </c>
      <c r="F1292" s="1" t="str">
        <f>VLOOKUP(E1292,Tabulka5[],3,FALSE)</f>
        <v>Major</v>
      </c>
      <c r="G1292" s="1" t="s">
        <v>3116</v>
      </c>
      <c r="H1292" s="1" t="s">
        <v>3182</v>
      </c>
      <c r="J1292" s="1" t="s">
        <v>2729</v>
      </c>
      <c r="K1292" s="1" t="s">
        <v>3129</v>
      </c>
      <c r="L1292" s="1" t="s">
        <v>3158</v>
      </c>
      <c r="M1292" s="1">
        <v>40000</v>
      </c>
      <c r="N1292" s="1">
        <v>1</v>
      </c>
      <c r="O1292" s="1" t="str">
        <f t="shared" si="107"/>
        <v>"WE_HoneyBadger_Snow": 1,</v>
      </c>
      <c r="P1292" s="1" t="str">
        <f t="shared" si="108"/>
        <v>"WE_HoneyBadger_Snow": 65,</v>
      </c>
      <c r="Q1292" s="1" t="str">
        <f t="shared" si="109"/>
        <v>"WE_HoneyBadger_Snow": 40000,</v>
      </c>
      <c r="R1292" s="1" t="str">
        <f t="shared" si="110"/>
        <v>"WE_HoneyBadger_Snow": 13,</v>
      </c>
    </row>
    <row r="1293" spans="1:18" ht="15" customHeight="1" x14ac:dyDescent="0.25">
      <c r="A1293" s="1" t="str">
        <f t="shared" si="106"/>
        <v>#tc_military#tc_weapons#tc_assaultrifles</v>
      </c>
      <c r="B1293" s="1">
        <f>VLOOKUP(A1293,TraderCategory!$A$63:$E$556,2,FALSE)</f>
        <v>65</v>
      </c>
      <c r="C1293" s="1">
        <f>VLOOKUP(A1293,TraderCategory!$A$63:$F$556,6,FALSE)</f>
        <v>10</v>
      </c>
      <c r="D1293" s="1" t="str">
        <f>VLOOKUP(C1293,Tabulka5[],3,FALSE)</f>
        <v>Second Lieutenant</v>
      </c>
      <c r="E1293" s="1">
        <v>11</v>
      </c>
      <c r="F1293" s="1" t="str">
        <f>VLOOKUP(E1293,Tabulka5[],3,FALSE)</f>
        <v>First Lieutenant</v>
      </c>
      <c r="G1293" s="1" t="s">
        <v>3116</v>
      </c>
      <c r="H1293" s="1" t="s">
        <v>3183</v>
      </c>
      <c r="J1293" s="1" t="s">
        <v>2729</v>
      </c>
      <c r="K1293" s="1" t="s">
        <v>3129</v>
      </c>
      <c r="L1293" s="1" t="s">
        <v>3158</v>
      </c>
      <c r="M1293" s="1">
        <v>40000</v>
      </c>
      <c r="N1293" s="1">
        <v>1</v>
      </c>
      <c r="O1293" s="1" t="str">
        <f t="shared" si="107"/>
        <v>"WE_M16A3_Green": 1,</v>
      </c>
      <c r="P1293" s="1" t="str">
        <f t="shared" si="108"/>
        <v>"WE_M16A3_Green": 65,</v>
      </c>
      <c r="Q1293" s="1" t="str">
        <f t="shared" si="109"/>
        <v>"WE_M16A3_Green": 40000,</v>
      </c>
      <c r="R1293" s="1" t="str">
        <f t="shared" si="110"/>
        <v>"WE_M16A3_Green": 11,</v>
      </c>
    </row>
    <row r="1294" spans="1:18" ht="15" customHeight="1" x14ac:dyDescent="0.25">
      <c r="A1294" s="1" t="str">
        <f t="shared" si="106"/>
        <v>#tc_military#tc_weapons#tc_assaultrifles</v>
      </c>
      <c r="B1294" s="1">
        <f>VLOOKUP(A1294,TraderCategory!$A$63:$E$556,2,FALSE)</f>
        <v>65</v>
      </c>
      <c r="C1294" s="1">
        <f>VLOOKUP(A1294,TraderCategory!$A$63:$F$556,6,FALSE)</f>
        <v>10</v>
      </c>
      <c r="D1294" s="1" t="str">
        <f>VLOOKUP(C1294,Tabulka5[],3,FALSE)</f>
        <v>Second Lieutenant</v>
      </c>
      <c r="E1294" s="1">
        <v>11</v>
      </c>
      <c r="F1294" s="1" t="str">
        <f>VLOOKUP(E1294,Tabulka5[],3,FALSE)</f>
        <v>First Lieutenant</v>
      </c>
      <c r="G1294" s="1" t="s">
        <v>3116</v>
      </c>
      <c r="H1294" s="1" t="s">
        <v>3184</v>
      </c>
      <c r="J1294" s="1" t="s">
        <v>2729</v>
      </c>
      <c r="K1294" s="1" t="s">
        <v>3129</v>
      </c>
      <c r="L1294" s="1" t="s">
        <v>3158</v>
      </c>
      <c r="M1294" s="1">
        <v>40000</v>
      </c>
      <c r="N1294" s="1">
        <v>1</v>
      </c>
      <c r="O1294" s="1" t="str">
        <f t="shared" si="107"/>
        <v>"WE_M16A3_Tan": 1,</v>
      </c>
      <c r="P1294" s="1" t="str">
        <f t="shared" si="108"/>
        <v>"WE_M16A3_Tan": 65,</v>
      </c>
      <c r="Q1294" s="1" t="str">
        <f t="shared" si="109"/>
        <v>"WE_M16A3_Tan": 40000,</v>
      </c>
      <c r="R1294" s="1" t="str">
        <f t="shared" si="110"/>
        <v>"WE_M16A3_Tan": 11,</v>
      </c>
    </row>
    <row r="1295" spans="1:18" ht="15" customHeight="1" x14ac:dyDescent="0.25">
      <c r="A1295" s="1" t="str">
        <f t="shared" si="106"/>
        <v>#tc_military#tc_weapons#tc_assaultrifles</v>
      </c>
      <c r="B1295" s="1">
        <f>VLOOKUP(A1295,TraderCategory!$A$63:$E$556,2,FALSE)</f>
        <v>65</v>
      </c>
      <c r="C1295" s="1">
        <f>VLOOKUP(A1295,TraderCategory!$A$63:$F$556,6,FALSE)</f>
        <v>10</v>
      </c>
      <c r="D1295" s="1" t="str">
        <f>VLOOKUP(C1295,Tabulka5[],3,FALSE)</f>
        <v>Second Lieutenant</v>
      </c>
      <c r="E1295" s="1">
        <v>11</v>
      </c>
      <c r="F1295" s="1" t="str">
        <f>VLOOKUP(E1295,Tabulka5[],3,FALSE)</f>
        <v>First Lieutenant</v>
      </c>
      <c r="G1295" s="1" t="s">
        <v>3116</v>
      </c>
      <c r="H1295" s="1" t="s">
        <v>3185</v>
      </c>
      <c r="J1295" s="1" t="s">
        <v>2729</v>
      </c>
      <c r="K1295" s="1" t="s">
        <v>3129</v>
      </c>
      <c r="L1295" s="1" t="s">
        <v>3158</v>
      </c>
      <c r="M1295" s="1">
        <v>40000</v>
      </c>
      <c r="N1295" s="1">
        <v>1</v>
      </c>
      <c r="O1295" s="1" t="str">
        <f t="shared" si="107"/>
        <v>"WE_M16A3_Woodland": 1,</v>
      </c>
      <c r="P1295" s="1" t="str">
        <f t="shared" si="108"/>
        <v>"WE_M16A3_Woodland": 65,</v>
      </c>
      <c r="Q1295" s="1" t="str">
        <f t="shared" si="109"/>
        <v>"WE_M16A3_Woodland": 40000,</v>
      </c>
      <c r="R1295" s="1" t="str">
        <f t="shared" si="110"/>
        <v>"WE_M16A3_Woodland": 11,</v>
      </c>
    </row>
    <row r="1296" spans="1:18" ht="15" customHeight="1" x14ac:dyDescent="0.25">
      <c r="A1296" s="1" t="str">
        <f t="shared" si="106"/>
        <v>#tc_military#tc_weapons#tc_assaultrifles</v>
      </c>
      <c r="B1296" s="1">
        <f>VLOOKUP(A1296,TraderCategory!$A$63:$E$556,2,FALSE)</f>
        <v>65</v>
      </c>
      <c r="C1296" s="1">
        <f>VLOOKUP(A1296,TraderCategory!$A$63:$F$556,6,FALSE)</f>
        <v>10</v>
      </c>
      <c r="D1296" s="1" t="str">
        <f>VLOOKUP(C1296,Tabulka5[],3,FALSE)</f>
        <v>Second Lieutenant</v>
      </c>
      <c r="E1296" s="1">
        <v>11</v>
      </c>
      <c r="F1296" s="1" t="str">
        <f>VLOOKUP(E1296,Tabulka5[],3,FALSE)</f>
        <v>First Lieutenant</v>
      </c>
      <c r="G1296" s="1" t="s">
        <v>3116</v>
      </c>
      <c r="H1296" s="1" t="s">
        <v>3186</v>
      </c>
      <c r="J1296" s="1" t="s">
        <v>2729</v>
      </c>
      <c r="K1296" s="1" t="s">
        <v>3129</v>
      </c>
      <c r="L1296" s="1" t="s">
        <v>3158</v>
      </c>
      <c r="M1296" s="1">
        <v>40000</v>
      </c>
      <c r="N1296" s="1">
        <v>1</v>
      </c>
      <c r="O1296" s="1" t="str">
        <f t="shared" si="107"/>
        <v>"WE_M16A3_Snow": 1,</v>
      </c>
      <c r="P1296" s="1" t="str">
        <f t="shared" si="108"/>
        <v>"WE_M16A3_Snow": 65,</v>
      </c>
      <c r="Q1296" s="1" t="str">
        <f t="shared" si="109"/>
        <v>"WE_M16A3_Snow": 40000,</v>
      </c>
      <c r="R1296" s="1" t="str">
        <f t="shared" si="110"/>
        <v>"WE_M16A3_Snow": 11,</v>
      </c>
    </row>
    <row r="1297" spans="1:18" ht="15" customHeight="1" x14ac:dyDescent="0.25">
      <c r="A1297" s="1" t="str">
        <f t="shared" si="106"/>
        <v>#tc_military#tc_weapons#tc_assaultrifles</v>
      </c>
      <c r="B1297" s="1">
        <f>VLOOKUP(A1297,TraderCategory!$A$63:$E$556,2,FALSE)</f>
        <v>65</v>
      </c>
      <c r="C1297" s="1">
        <f>VLOOKUP(A1297,TraderCategory!$A$63:$F$556,6,FALSE)</f>
        <v>10</v>
      </c>
      <c r="D1297" s="1" t="str">
        <f>VLOOKUP(C1297,Tabulka5[],3,FALSE)</f>
        <v>Second Lieutenant</v>
      </c>
      <c r="E1297" s="1">
        <v>15</v>
      </c>
      <c r="F1297" s="1" t="str">
        <f>VLOOKUP(E1297,Tabulka5[],3,FALSE)</f>
        <v>Colonel</v>
      </c>
      <c r="G1297" s="1" t="s">
        <v>3116</v>
      </c>
      <c r="H1297" s="1" t="s">
        <v>3187</v>
      </c>
      <c r="J1297" s="1" t="s">
        <v>2729</v>
      </c>
      <c r="K1297" s="1" t="s">
        <v>3129</v>
      </c>
      <c r="L1297" s="1" t="s">
        <v>3158</v>
      </c>
      <c r="M1297" s="1">
        <v>70000</v>
      </c>
      <c r="N1297" s="1">
        <v>1</v>
      </c>
      <c r="O1297" s="1" t="str">
        <f t="shared" si="107"/>
        <v>"WE_SCARH_Green": 1,</v>
      </c>
      <c r="P1297" s="1" t="str">
        <f t="shared" si="108"/>
        <v>"WE_SCARH_Green": 65,</v>
      </c>
      <c r="Q1297" s="1" t="str">
        <f t="shared" si="109"/>
        <v>"WE_SCARH_Green": 70000,</v>
      </c>
      <c r="R1297" s="1" t="str">
        <f t="shared" si="110"/>
        <v>"WE_SCARH_Green": 15,</v>
      </c>
    </row>
    <row r="1298" spans="1:18" ht="15" customHeight="1" x14ac:dyDescent="0.25">
      <c r="A1298" s="1" t="str">
        <f t="shared" si="106"/>
        <v>#tc_military#tc_weapons#tc_assaultrifles</v>
      </c>
      <c r="B1298" s="1">
        <f>VLOOKUP(A1298,TraderCategory!$A$63:$E$556,2,FALSE)</f>
        <v>65</v>
      </c>
      <c r="C1298" s="1">
        <f>VLOOKUP(A1298,TraderCategory!$A$63:$F$556,6,FALSE)</f>
        <v>10</v>
      </c>
      <c r="D1298" s="1" t="str">
        <f>VLOOKUP(C1298,Tabulka5[],3,FALSE)</f>
        <v>Second Lieutenant</v>
      </c>
      <c r="E1298" s="1">
        <v>15</v>
      </c>
      <c r="F1298" s="1" t="str">
        <f>VLOOKUP(E1298,Tabulka5[],3,FALSE)</f>
        <v>Colonel</v>
      </c>
      <c r="G1298" s="1" t="s">
        <v>3116</v>
      </c>
      <c r="H1298" s="1" t="s">
        <v>3188</v>
      </c>
      <c r="J1298" s="1" t="s">
        <v>2729</v>
      </c>
      <c r="K1298" s="1" t="s">
        <v>3129</v>
      </c>
      <c r="L1298" s="1" t="s">
        <v>3158</v>
      </c>
      <c r="M1298" s="1">
        <v>70000</v>
      </c>
      <c r="N1298" s="1">
        <v>1</v>
      </c>
      <c r="O1298" s="1" t="str">
        <f t="shared" si="107"/>
        <v>"WE_SCARH_Tan": 1,</v>
      </c>
      <c r="P1298" s="1" t="str">
        <f t="shared" si="108"/>
        <v>"WE_SCARH_Tan": 65,</v>
      </c>
      <c r="Q1298" s="1" t="str">
        <f t="shared" si="109"/>
        <v>"WE_SCARH_Tan": 70000,</v>
      </c>
      <c r="R1298" s="1" t="str">
        <f t="shared" si="110"/>
        <v>"WE_SCARH_Tan": 15,</v>
      </c>
    </row>
    <row r="1299" spans="1:18" ht="15" customHeight="1" x14ac:dyDescent="0.25">
      <c r="A1299" s="1" t="str">
        <f t="shared" si="106"/>
        <v>#tc_military#tc_weapons#tc_assaultrifles</v>
      </c>
      <c r="B1299" s="1">
        <f>VLOOKUP(A1299,TraderCategory!$A$63:$E$556,2,FALSE)</f>
        <v>65</v>
      </c>
      <c r="C1299" s="1">
        <f>VLOOKUP(A1299,TraderCategory!$A$63:$F$556,6,FALSE)</f>
        <v>10</v>
      </c>
      <c r="D1299" s="1" t="str">
        <f>VLOOKUP(C1299,Tabulka5[],3,FALSE)</f>
        <v>Second Lieutenant</v>
      </c>
      <c r="E1299" s="1">
        <v>15</v>
      </c>
      <c r="F1299" s="1" t="str">
        <f>VLOOKUP(E1299,Tabulka5[],3,FALSE)</f>
        <v>Colonel</v>
      </c>
      <c r="G1299" s="1" t="s">
        <v>3116</v>
      </c>
      <c r="H1299" s="1" t="s">
        <v>3189</v>
      </c>
      <c r="J1299" s="1" t="s">
        <v>2729</v>
      </c>
      <c r="K1299" s="1" t="s">
        <v>3129</v>
      </c>
      <c r="L1299" s="1" t="s">
        <v>3158</v>
      </c>
      <c r="M1299" s="1">
        <v>70000</v>
      </c>
      <c r="N1299" s="1">
        <v>1</v>
      </c>
      <c r="O1299" s="1" t="str">
        <f t="shared" si="107"/>
        <v>"WE_SCARH_Woodland": 1,</v>
      </c>
      <c r="P1299" s="1" t="str">
        <f t="shared" si="108"/>
        <v>"WE_SCARH_Woodland": 65,</v>
      </c>
      <c r="Q1299" s="1" t="str">
        <f t="shared" si="109"/>
        <v>"WE_SCARH_Woodland": 70000,</v>
      </c>
      <c r="R1299" s="1" t="str">
        <f t="shared" si="110"/>
        <v>"WE_SCARH_Woodland": 15,</v>
      </c>
    </row>
    <row r="1300" spans="1:18" ht="15" customHeight="1" x14ac:dyDescent="0.25">
      <c r="A1300" s="1" t="str">
        <f t="shared" si="106"/>
        <v>#tc_military#tc_weapons#tc_assaultrifles</v>
      </c>
      <c r="B1300" s="1">
        <f>VLOOKUP(A1300,TraderCategory!$A$63:$E$556,2,FALSE)</f>
        <v>65</v>
      </c>
      <c r="C1300" s="1">
        <f>VLOOKUP(A1300,TraderCategory!$A$63:$F$556,6,FALSE)</f>
        <v>10</v>
      </c>
      <c r="D1300" s="1" t="str">
        <f>VLOOKUP(C1300,Tabulka5[],3,FALSE)</f>
        <v>Second Lieutenant</v>
      </c>
      <c r="E1300" s="1">
        <v>15</v>
      </c>
      <c r="F1300" s="1" t="str">
        <f>VLOOKUP(E1300,Tabulka5[],3,FALSE)</f>
        <v>Colonel</v>
      </c>
      <c r="G1300" s="1" t="s">
        <v>3116</v>
      </c>
      <c r="H1300" s="1" t="s">
        <v>3190</v>
      </c>
      <c r="J1300" s="1" t="s">
        <v>2729</v>
      </c>
      <c r="K1300" s="1" t="s">
        <v>3129</v>
      </c>
      <c r="L1300" s="1" t="s">
        <v>3158</v>
      </c>
      <c r="M1300" s="1">
        <v>70000</v>
      </c>
      <c r="N1300" s="1">
        <v>1</v>
      </c>
      <c r="O1300" s="1" t="str">
        <f t="shared" si="107"/>
        <v>"WE_SCARH_Snow": 1,</v>
      </c>
      <c r="P1300" s="1" t="str">
        <f t="shared" si="108"/>
        <v>"WE_SCARH_Snow": 65,</v>
      </c>
      <c r="Q1300" s="1" t="str">
        <f t="shared" si="109"/>
        <v>"WE_SCARH_Snow": 70000,</v>
      </c>
      <c r="R1300" s="1" t="str">
        <f t="shared" si="110"/>
        <v>"WE_SCARH_Snow": 15,</v>
      </c>
    </row>
    <row r="1301" spans="1:18" ht="15" customHeight="1" x14ac:dyDescent="0.25">
      <c r="A1301" s="1" t="str">
        <f t="shared" si="106"/>
        <v>#tc_military#tc_weapons#tc_assaultrifles</v>
      </c>
      <c r="B1301" s="1">
        <f>VLOOKUP(A1301,TraderCategory!$A$63:$E$556,2,FALSE)</f>
        <v>65</v>
      </c>
      <c r="C1301" s="1">
        <f>VLOOKUP(A1301,TraderCategory!$A$63:$F$556,6,FALSE)</f>
        <v>10</v>
      </c>
      <c r="D1301" s="1" t="str">
        <f>VLOOKUP(C1301,Tabulka5[],3,FALSE)</f>
        <v>Second Lieutenant</v>
      </c>
      <c r="E1301" s="1">
        <v>15</v>
      </c>
      <c r="F1301" s="1" t="str">
        <f>VLOOKUP(E1301,Tabulka5[],3,FALSE)</f>
        <v>Colonel</v>
      </c>
      <c r="G1301" s="1" t="s">
        <v>3116</v>
      </c>
      <c r="H1301" s="1" t="s">
        <v>3191</v>
      </c>
      <c r="J1301" s="1" t="s">
        <v>2729</v>
      </c>
      <c r="K1301" s="1" t="s">
        <v>3129</v>
      </c>
      <c r="L1301" s="1" t="s">
        <v>3158</v>
      </c>
      <c r="M1301" s="1">
        <v>60000</v>
      </c>
      <c r="N1301" s="1">
        <v>1</v>
      </c>
      <c r="O1301" s="1" t="str">
        <f t="shared" si="107"/>
        <v>"WE_STG44_Green": 1,</v>
      </c>
      <c r="P1301" s="1" t="str">
        <f t="shared" si="108"/>
        <v>"WE_STG44_Green": 65,</v>
      </c>
      <c r="Q1301" s="1" t="str">
        <f t="shared" si="109"/>
        <v>"WE_STG44_Green": 60000,</v>
      </c>
      <c r="R1301" s="1" t="str">
        <f t="shared" si="110"/>
        <v>"WE_STG44_Green": 15,</v>
      </c>
    </row>
    <row r="1302" spans="1:18" ht="15" customHeight="1" x14ac:dyDescent="0.25">
      <c r="A1302" s="1" t="str">
        <f t="shared" si="106"/>
        <v>#tc_military#tc_weapons#tc_assaultrifles</v>
      </c>
      <c r="B1302" s="1">
        <f>VLOOKUP(A1302,TraderCategory!$A$63:$E$556,2,FALSE)</f>
        <v>65</v>
      </c>
      <c r="C1302" s="1">
        <f>VLOOKUP(A1302,TraderCategory!$A$63:$F$556,6,FALSE)</f>
        <v>10</v>
      </c>
      <c r="D1302" s="1" t="str">
        <f>VLOOKUP(C1302,Tabulka5[],3,FALSE)</f>
        <v>Second Lieutenant</v>
      </c>
      <c r="E1302" s="1">
        <v>15</v>
      </c>
      <c r="F1302" s="1" t="str">
        <f>VLOOKUP(E1302,Tabulka5[],3,FALSE)</f>
        <v>Colonel</v>
      </c>
      <c r="G1302" s="1" t="s">
        <v>3116</v>
      </c>
      <c r="H1302" s="1" t="s">
        <v>3192</v>
      </c>
      <c r="J1302" s="1" t="s">
        <v>2729</v>
      </c>
      <c r="K1302" s="1" t="s">
        <v>3129</v>
      </c>
      <c r="L1302" s="1" t="s">
        <v>3158</v>
      </c>
      <c r="M1302" s="1">
        <v>60000</v>
      </c>
      <c r="N1302" s="1">
        <v>1</v>
      </c>
      <c r="O1302" s="1" t="str">
        <f t="shared" si="107"/>
        <v>"WE_STG44_Tan": 1,</v>
      </c>
      <c r="P1302" s="1" t="str">
        <f t="shared" si="108"/>
        <v>"WE_STG44_Tan": 65,</v>
      </c>
      <c r="Q1302" s="1" t="str">
        <f t="shared" si="109"/>
        <v>"WE_STG44_Tan": 60000,</v>
      </c>
      <c r="R1302" s="1" t="str">
        <f t="shared" si="110"/>
        <v>"WE_STG44_Tan": 15,</v>
      </c>
    </row>
    <row r="1303" spans="1:18" ht="15" customHeight="1" x14ac:dyDescent="0.25">
      <c r="A1303" s="1" t="str">
        <f t="shared" si="106"/>
        <v>#tc_military#tc_weapons#tc_assaultrifles</v>
      </c>
      <c r="B1303" s="1">
        <f>VLOOKUP(A1303,TraderCategory!$A$63:$E$556,2,FALSE)</f>
        <v>65</v>
      </c>
      <c r="C1303" s="1">
        <f>VLOOKUP(A1303,TraderCategory!$A$63:$F$556,6,FALSE)</f>
        <v>10</v>
      </c>
      <c r="D1303" s="1" t="str">
        <f>VLOOKUP(C1303,Tabulka5[],3,FALSE)</f>
        <v>Second Lieutenant</v>
      </c>
      <c r="E1303" s="1">
        <v>15</v>
      </c>
      <c r="F1303" s="1" t="str">
        <f>VLOOKUP(E1303,Tabulka5[],3,FALSE)</f>
        <v>Colonel</v>
      </c>
      <c r="G1303" s="1" t="s">
        <v>3116</v>
      </c>
      <c r="H1303" s="1" t="s">
        <v>3193</v>
      </c>
      <c r="J1303" s="1" t="s">
        <v>2729</v>
      </c>
      <c r="K1303" s="1" t="s">
        <v>3129</v>
      </c>
      <c r="L1303" s="1" t="s">
        <v>3158</v>
      </c>
      <c r="M1303" s="1">
        <v>60000</v>
      </c>
      <c r="N1303" s="1">
        <v>1</v>
      </c>
      <c r="O1303" s="1" t="str">
        <f t="shared" si="107"/>
        <v>"WE_STG44_Woodland": 1,</v>
      </c>
      <c r="P1303" s="1" t="str">
        <f t="shared" si="108"/>
        <v>"WE_STG44_Woodland": 65,</v>
      </c>
      <c r="Q1303" s="1" t="str">
        <f t="shared" si="109"/>
        <v>"WE_STG44_Woodland": 60000,</v>
      </c>
      <c r="R1303" s="1" t="str">
        <f t="shared" si="110"/>
        <v>"WE_STG44_Woodland": 15,</v>
      </c>
    </row>
    <row r="1304" spans="1:18" ht="15" customHeight="1" x14ac:dyDescent="0.25">
      <c r="A1304" s="1" t="str">
        <f t="shared" ref="A1304:A1336" si="111">CONCATENATE(J1304,K1304,L1304)</f>
        <v>#tc_military#tc_weapons#tc_assaultrifles</v>
      </c>
      <c r="B1304" s="1">
        <f>VLOOKUP(A1304,TraderCategory!$A$63:$E$556,2,FALSE)</f>
        <v>65</v>
      </c>
      <c r="C1304" s="1">
        <f>VLOOKUP(A1304,TraderCategory!$A$63:$F$556,6,FALSE)</f>
        <v>10</v>
      </c>
      <c r="D1304" s="1" t="str">
        <f>VLOOKUP(C1304,Tabulka5[],3,FALSE)</f>
        <v>Second Lieutenant</v>
      </c>
      <c r="E1304" s="1">
        <v>15</v>
      </c>
      <c r="F1304" s="1" t="str">
        <f>VLOOKUP(E1304,Tabulka5[],3,FALSE)</f>
        <v>Colonel</v>
      </c>
      <c r="G1304" s="1" t="s">
        <v>3116</v>
      </c>
      <c r="H1304" s="1" t="s">
        <v>3194</v>
      </c>
      <c r="J1304" s="1" t="s">
        <v>2729</v>
      </c>
      <c r="K1304" s="1" t="s">
        <v>3129</v>
      </c>
      <c r="L1304" s="1" t="s">
        <v>3158</v>
      </c>
      <c r="M1304" s="1">
        <v>60000</v>
      </c>
      <c r="N1304" s="1">
        <v>1</v>
      </c>
      <c r="O1304" s="1" t="str">
        <f t="shared" si="107"/>
        <v>"WE_STG44_Snow": 1,</v>
      </c>
      <c r="P1304" s="1" t="str">
        <f t="shared" si="108"/>
        <v>"WE_STG44_Snow": 65,</v>
      </c>
      <c r="Q1304" s="1" t="str">
        <f t="shared" si="109"/>
        <v>"WE_STG44_Snow": 60000,</v>
      </c>
      <c r="R1304" s="1" t="str">
        <f t="shared" si="110"/>
        <v>"WE_STG44_Snow": 15,</v>
      </c>
    </row>
    <row r="1305" spans="1:18" ht="15" customHeight="1" x14ac:dyDescent="0.25">
      <c r="A1305" s="1" t="str">
        <f t="shared" si="111"/>
        <v>#tc_military#tc_weapons#tc_shotguns</v>
      </c>
      <c r="B1305" s="1">
        <f>VLOOKUP(A1305,TraderCategory!$A$63:$E$556,2,FALSE)</f>
        <v>62</v>
      </c>
      <c r="C1305" s="1">
        <f>VLOOKUP(A1305,TraderCategory!$A$63:$F$556,6,FALSE)</f>
        <v>3</v>
      </c>
      <c r="D1305" s="1" t="str">
        <f>VLOOKUP(C1305,Tabulka5[],3,FALSE)</f>
        <v>Sergeant</v>
      </c>
      <c r="E1305" s="1">
        <v>7</v>
      </c>
      <c r="F1305" s="1" t="str">
        <f>VLOOKUP(E1305,Tabulka5[],3,FALSE)</f>
        <v>First Sergeant</v>
      </c>
      <c r="G1305" s="1" t="s">
        <v>3116</v>
      </c>
      <c r="H1305" s="1" t="s">
        <v>3195</v>
      </c>
      <c r="J1305" s="1" t="s">
        <v>2729</v>
      </c>
      <c r="K1305" s="1" t="s">
        <v>3129</v>
      </c>
      <c r="L1305" s="1" t="s">
        <v>3155</v>
      </c>
      <c r="M1305" s="1">
        <v>30000</v>
      </c>
      <c r="N1305" s="1">
        <v>1</v>
      </c>
      <c r="O1305" s="1" t="str">
        <f t="shared" si="107"/>
        <v>"WE_M1014_Green": 1,</v>
      </c>
      <c r="P1305" s="1" t="str">
        <f t="shared" si="108"/>
        <v>"WE_M1014_Green": 62,</v>
      </c>
      <c r="Q1305" s="1" t="str">
        <f t="shared" si="109"/>
        <v>"WE_M1014_Green": 30000,</v>
      </c>
      <c r="R1305" s="1" t="str">
        <f t="shared" si="110"/>
        <v>"WE_M1014_Green": 7,</v>
      </c>
    </row>
    <row r="1306" spans="1:18" ht="15" customHeight="1" x14ac:dyDescent="0.25">
      <c r="A1306" s="1" t="str">
        <f t="shared" si="111"/>
        <v>#tc_military#tc_weapons#tc_shotguns</v>
      </c>
      <c r="B1306" s="1">
        <f>VLOOKUP(A1306,TraderCategory!$A$63:$E$556,2,FALSE)</f>
        <v>62</v>
      </c>
      <c r="C1306" s="1">
        <f>VLOOKUP(A1306,TraderCategory!$A$63:$F$556,6,FALSE)</f>
        <v>3</v>
      </c>
      <c r="D1306" s="1" t="str">
        <f>VLOOKUP(C1306,Tabulka5[],3,FALSE)</f>
        <v>Sergeant</v>
      </c>
      <c r="E1306" s="1">
        <v>7</v>
      </c>
      <c r="F1306" s="1" t="str">
        <f>VLOOKUP(E1306,Tabulka5[],3,FALSE)</f>
        <v>First Sergeant</v>
      </c>
      <c r="G1306" s="1" t="s">
        <v>3116</v>
      </c>
      <c r="H1306" s="1" t="s">
        <v>3196</v>
      </c>
      <c r="J1306" s="1" t="s">
        <v>2729</v>
      </c>
      <c r="K1306" s="1" t="s">
        <v>3129</v>
      </c>
      <c r="L1306" s="1" t="s">
        <v>3155</v>
      </c>
      <c r="M1306" s="1">
        <v>30000</v>
      </c>
      <c r="N1306" s="1">
        <v>1</v>
      </c>
      <c r="O1306" s="1" t="str">
        <f t="shared" si="107"/>
        <v>"WE_M1014_Tan": 1,</v>
      </c>
      <c r="P1306" s="1" t="str">
        <f t="shared" si="108"/>
        <v>"WE_M1014_Tan": 62,</v>
      </c>
      <c r="Q1306" s="1" t="str">
        <f t="shared" si="109"/>
        <v>"WE_M1014_Tan": 30000,</v>
      </c>
      <c r="R1306" s="1" t="str">
        <f t="shared" si="110"/>
        <v>"WE_M1014_Tan": 7,</v>
      </c>
    </row>
    <row r="1307" spans="1:18" ht="15" customHeight="1" x14ac:dyDescent="0.25">
      <c r="A1307" s="1" t="str">
        <f t="shared" si="111"/>
        <v>#tc_military#tc_weapons#tc_shotguns</v>
      </c>
      <c r="B1307" s="1">
        <f>VLOOKUP(A1307,TraderCategory!$A$63:$E$556,2,FALSE)</f>
        <v>62</v>
      </c>
      <c r="C1307" s="1">
        <f>VLOOKUP(A1307,TraderCategory!$A$63:$F$556,6,FALSE)</f>
        <v>3</v>
      </c>
      <c r="D1307" s="1" t="str">
        <f>VLOOKUP(C1307,Tabulka5[],3,FALSE)</f>
        <v>Sergeant</v>
      </c>
      <c r="E1307" s="1">
        <v>7</v>
      </c>
      <c r="F1307" s="1" t="str">
        <f>VLOOKUP(E1307,Tabulka5[],3,FALSE)</f>
        <v>First Sergeant</v>
      </c>
      <c r="G1307" s="1" t="s">
        <v>3116</v>
      </c>
      <c r="H1307" s="1" t="s">
        <v>3197</v>
      </c>
      <c r="J1307" s="1" t="s">
        <v>2729</v>
      </c>
      <c r="K1307" s="1" t="s">
        <v>3129</v>
      </c>
      <c r="L1307" s="1" t="s">
        <v>3155</v>
      </c>
      <c r="M1307" s="1">
        <v>30000</v>
      </c>
      <c r="N1307" s="1">
        <v>1</v>
      </c>
      <c r="O1307" s="1" t="str">
        <f t="shared" si="107"/>
        <v>"WE_M1014_Woodland": 1,</v>
      </c>
      <c r="P1307" s="1" t="str">
        <f t="shared" si="108"/>
        <v>"WE_M1014_Woodland": 62,</v>
      </c>
      <c r="Q1307" s="1" t="str">
        <f t="shared" si="109"/>
        <v>"WE_M1014_Woodland": 30000,</v>
      </c>
      <c r="R1307" s="1" t="str">
        <f t="shared" si="110"/>
        <v>"WE_M1014_Woodland": 7,</v>
      </c>
    </row>
    <row r="1308" spans="1:18" ht="15" customHeight="1" x14ac:dyDescent="0.25">
      <c r="A1308" s="1" t="str">
        <f t="shared" si="111"/>
        <v>#tc_military#tc_weapons#tc_shotguns</v>
      </c>
      <c r="B1308" s="1">
        <f>VLOOKUP(A1308,TraderCategory!$A$63:$E$556,2,FALSE)</f>
        <v>62</v>
      </c>
      <c r="C1308" s="1">
        <f>VLOOKUP(A1308,TraderCategory!$A$63:$F$556,6,FALSE)</f>
        <v>3</v>
      </c>
      <c r="D1308" s="1" t="str">
        <f>VLOOKUP(C1308,Tabulka5[],3,FALSE)</f>
        <v>Sergeant</v>
      </c>
      <c r="E1308" s="1">
        <v>7</v>
      </c>
      <c r="F1308" s="1" t="str">
        <f>VLOOKUP(E1308,Tabulka5[],3,FALSE)</f>
        <v>First Sergeant</v>
      </c>
      <c r="G1308" s="1" t="s">
        <v>3116</v>
      </c>
      <c r="H1308" s="1" t="s">
        <v>3198</v>
      </c>
      <c r="J1308" s="1" t="s">
        <v>2729</v>
      </c>
      <c r="K1308" s="1" t="s">
        <v>3129</v>
      </c>
      <c r="L1308" s="1" t="s">
        <v>3155</v>
      </c>
      <c r="M1308" s="1">
        <v>30000</v>
      </c>
      <c r="N1308" s="1">
        <v>1</v>
      </c>
      <c r="O1308" s="1" t="str">
        <f t="shared" si="107"/>
        <v>"WE_M1014_Snow": 1,</v>
      </c>
      <c r="P1308" s="1" t="str">
        <f t="shared" si="108"/>
        <v>"WE_M1014_Snow": 62,</v>
      </c>
      <c r="Q1308" s="1" t="str">
        <f t="shared" si="109"/>
        <v>"WE_M1014_Snow": 30000,</v>
      </c>
      <c r="R1308" s="1" t="str">
        <f t="shared" si="110"/>
        <v>"WE_M1014_Snow": 7,</v>
      </c>
    </row>
    <row r="1309" spans="1:18" ht="15" customHeight="1" x14ac:dyDescent="0.25">
      <c r="A1309" s="1" t="str">
        <f t="shared" si="111"/>
        <v>#tc_military#tc_weapons#tc_submachineguns</v>
      </c>
      <c r="B1309" s="1">
        <f>VLOOKUP(A1309,TraderCategory!$A$63:$E$556,2,FALSE)</f>
        <v>63</v>
      </c>
      <c r="C1309" s="1">
        <f>VLOOKUP(A1309,TraderCategory!$A$63:$F$556,6,FALSE)</f>
        <v>6</v>
      </c>
      <c r="D1309" s="1" t="str">
        <f>VLOOKUP(C1309,Tabulka5[],3,FALSE)</f>
        <v>Master Sergeant</v>
      </c>
      <c r="E1309" s="1">
        <v>15</v>
      </c>
      <c r="F1309" s="1" t="str">
        <f>VLOOKUP(E1309,Tabulka5[],3,FALSE)</f>
        <v>Colonel</v>
      </c>
      <c r="G1309" s="1" t="s">
        <v>3116</v>
      </c>
      <c r="H1309" s="1" t="s">
        <v>3199</v>
      </c>
      <c r="J1309" s="1" t="s">
        <v>2729</v>
      </c>
      <c r="K1309" s="1" t="s">
        <v>3129</v>
      </c>
      <c r="L1309" s="1" t="s">
        <v>3156</v>
      </c>
      <c r="M1309" s="1">
        <v>40000</v>
      </c>
      <c r="N1309" s="1">
        <v>1</v>
      </c>
      <c r="O1309" s="1" t="str">
        <f t="shared" si="107"/>
        <v>"WE_MP5SD_Green": 1,</v>
      </c>
      <c r="P1309" s="1" t="str">
        <f t="shared" si="108"/>
        <v>"WE_MP5SD_Green": 63,</v>
      </c>
      <c r="Q1309" s="1" t="str">
        <f t="shared" si="109"/>
        <v>"WE_MP5SD_Green": 40000,</v>
      </c>
      <c r="R1309" s="1" t="str">
        <f t="shared" si="110"/>
        <v>"WE_MP5SD_Green": 15,</v>
      </c>
    </row>
    <row r="1310" spans="1:18" ht="15" customHeight="1" x14ac:dyDescent="0.25">
      <c r="A1310" s="1" t="str">
        <f t="shared" si="111"/>
        <v>#tc_military#tc_weapons#tc_submachineguns</v>
      </c>
      <c r="B1310" s="1">
        <f>VLOOKUP(A1310,TraderCategory!$A$63:$E$556,2,FALSE)</f>
        <v>63</v>
      </c>
      <c r="C1310" s="1">
        <f>VLOOKUP(A1310,TraderCategory!$A$63:$F$556,6,FALSE)</f>
        <v>6</v>
      </c>
      <c r="D1310" s="1" t="str">
        <f>VLOOKUP(C1310,Tabulka5[],3,FALSE)</f>
        <v>Master Sergeant</v>
      </c>
      <c r="E1310" s="1">
        <v>15</v>
      </c>
      <c r="F1310" s="1" t="str">
        <f>VLOOKUP(E1310,Tabulka5[],3,FALSE)</f>
        <v>Colonel</v>
      </c>
      <c r="G1310" s="1" t="s">
        <v>3116</v>
      </c>
      <c r="H1310" s="1" t="s">
        <v>3200</v>
      </c>
      <c r="J1310" s="1" t="s">
        <v>2729</v>
      </c>
      <c r="K1310" s="1" t="s">
        <v>3129</v>
      </c>
      <c r="L1310" s="1" t="s">
        <v>3156</v>
      </c>
      <c r="M1310" s="1">
        <v>40000</v>
      </c>
      <c r="N1310" s="1">
        <v>1</v>
      </c>
      <c r="O1310" s="1" t="str">
        <f t="shared" si="107"/>
        <v>"WE_MP5SD_Tan": 1,</v>
      </c>
      <c r="P1310" s="1" t="str">
        <f t="shared" si="108"/>
        <v>"WE_MP5SD_Tan": 63,</v>
      </c>
      <c r="Q1310" s="1" t="str">
        <f t="shared" si="109"/>
        <v>"WE_MP5SD_Tan": 40000,</v>
      </c>
      <c r="R1310" s="1" t="str">
        <f t="shared" si="110"/>
        <v>"WE_MP5SD_Tan": 15,</v>
      </c>
    </row>
    <row r="1311" spans="1:18" ht="15" customHeight="1" x14ac:dyDescent="0.25">
      <c r="A1311" s="1" t="str">
        <f t="shared" si="111"/>
        <v>#tc_military#tc_weapons#tc_submachineguns</v>
      </c>
      <c r="B1311" s="1">
        <f>VLOOKUP(A1311,TraderCategory!$A$63:$E$556,2,FALSE)</f>
        <v>63</v>
      </c>
      <c r="C1311" s="1">
        <f>VLOOKUP(A1311,TraderCategory!$A$63:$F$556,6,FALSE)</f>
        <v>6</v>
      </c>
      <c r="D1311" s="1" t="str">
        <f>VLOOKUP(C1311,Tabulka5[],3,FALSE)</f>
        <v>Master Sergeant</v>
      </c>
      <c r="E1311" s="1">
        <v>15</v>
      </c>
      <c r="F1311" s="1" t="str">
        <f>VLOOKUP(E1311,Tabulka5[],3,FALSE)</f>
        <v>Colonel</v>
      </c>
      <c r="G1311" s="1" t="s">
        <v>3116</v>
      </c>
      <c r="H1311" s="1" t="s">
        <v>3201</v>
      </c>
      <c r="J1311" s="1" t="s">
        <v>2729</v>
      </c>
      <c r="K1311" s="1" t="s">
        <v>3129</v>
      </c>
      <c r="L1311" s="1" t="s">
        <v>3156</v>
      </c>
      <c r="M1311" s="1">
        <v>40000</v>
      </c>
      <c r="N1311" s="1">
        <v>1</v>
      </c>
      <c r="O1311" s="1" t="str">
        <f t="shared" si="107"/>
        <v>"WE_MP5SD_Woodland": 1,</v>
      </c>
      <c r="P1311" s="1" t="str">
        <f t="shared" si="108"/>
        <v>"WE_MP5SD_Woodland": 63,</v>
      </c>
      <c r="Q1311" s="1" t="str">
        <f t="shared" si="109"/>
        <v>"WE_MP5SD_Woodland": 40000,</v>
      </c>
      <c r="R1311" s="1" t="str">
        <f t="shared" si="110"/>
        <v>"WE_MP5SD_Woodland": 15,</v>
      </c>
    </row>
    <row r="1312" spans="1:18" ht="15" customHeight="1" x14ac:dyDescent="0.25">
      <c r="A1312" s="1" t="str">
        <f t="shared" si="111"/>
        <v>#tc_military#tc_weapons#tc_submachineguns</v>
      </c>
      <c r="B1312" s="1">
        <f>VLOOKUP(A1312,TraderCategory!$A$63:$E$556,2,FALSE)</f>
        <v>63</v>
      </c>
      <c r="C1312" s="1">
        <f>VLOOKUP(A1312,TraderCategory!$A$63:$F$556,6,FALSE)</f>
        <v>6</v>
      </c>
      <c r="D1312" s="1" t="str">
        <f>VLOOKUP(C1312,Tabulka5[],3,FALSE)</f>
        <v>Master Sergeant</v>
      </c>
      <c r="E1312" s="1">
        <v>15</v>
      </c>
      <c r="F1312" s="1" t="str">
        <f>VLOOKUP(E1312,Tabulka5[],3,FALSE)</f>
        <v>Colonel</v>
      </c>
      <c r="G1312" s="1" t="s">
        <v>3116</v>
      </c>
      <c r="H1312" s="1" t="s">
        <v>3202</v>
      </c>
      <c r="J1312" s="1" t="s">
        <v>2729</v>
      </c>
      <c r="K1312" s="1" t="s">
        <v>3129</v>
      </c>
      <c r="L1312" s="1" t="s">
        <v>3156</v>
      </c>
      <c r="M1312" s="1">
        <v>40000</v>
      </c>
      <c r="N1312" s="1">
        <v>1</v>
      </c>
      <c r="O1312" s="1" t="str">
        <f t="shared" si="107"/>
        <v>"WE_MP5SD_Snow": 1,</v>
      </c>
      <c r="P1312" s="1" t="str">
        <f t="shared" si="108"/>
        <v>"WE_MP5SD_Snow": 63,</v>
      </c>
      <c r="Q1312" s="1" t="str">
        <f t="shared" si="109"/>
        <v>"WE_MP5SD_Snow": 40000,</v>
      </c>
      <c r="R1312" s="1" t="str">
        <f t="shared" si="110"/>
        <v>"WE_MP5SD_Snow": 15,</v>
      </c>
    </row>
    <row r="1313" spans="1:18" ht="15" customHeight="1" x14ac:dyDescent="0.25">
      <c r="A1313" s="1" t="str">
        <f t="shared" si="111"/>
        <v>#tc_military#tc_weapons#tc_snipers</v>
      </c>
      <c r="B1313" s="1">
        <f>VLOOKUP(A1313,TraderCategory!$A$63:$E$556,2,FALSE)</f>
        <v>67</v>
      </c>
      <c r="C1313" s="1">
        <f>VLOOKUP(A1313,TraderCategory!$A$63:$F$556,6,FALSE)</f>
        <v>12</v>
      </c>
      <c r="D1313" s="1" t="str">
        <f>VLOOKUP(C1313,Tabulka5[],3,FALSE)</f>
        <v>Captain</v>
      </c>
      <c r="E1313" s="1">
        <v>16</v>
      </c>
      <c r="F1313" s="1" t="str">
        <f>VLOOKUP(E1313,Tabulka5[],3,FALSE)</f>
        <v>Brigadier General</v>
      </c>
      <c r="G1313" s="1" t="s">
        <v>3116</v>
      </c>
      <c r="H1313" s="1" t="s">
        <v>3203</v>
      </c>
      <c r="J1313" s="1" t="s">
        <v>2729</v>
      </c>
      <c r="K1313" s="1" t="s">
        <v>3129</v>
      </c>
      <c r="L1313" s="1" t="s">
        <v>3160</v>
      </c>
      <c r="M1313" s="1">
        <v>80000</v>
      </c>
      <c r="N1313" s="1">
        <v>1</v>
      </c>
      <c r="O1313" s="1" t="str">
        <f t="shared" si="107"/>
        <v>"WE_M14_Green": 1,</v>
      </c>
      <c r="P1313" s="1" t="str">
        <f t="shared" si="108"/>
        <v>"WE_M14_Green": 67,</v>
      </c>
      <c r="Q1313" s="1" t="str">
        <f t="shared" si="109"/>
        <v>"WE_M14_Green": 80000,</v>
      </c>
      <c r="R1313" s="1" t="str">
        <f t="shared" si="110"/>
        <v>"WE_M14_Green": 16,</v>
      </c>
    </row>
    <row r="1314" spans="1:18" ht="15" customHeight="1" x14ac:dyDescent="0.25">
      <c r="A1314" s="1" t="str">
        <f t="shared" si="111"/>
        <v>#tc_military#tc_weapons#tc_snipers</v>
      </c>
      <c r="B1314" s="1">
        <f>VLOOKUP(A1314,TraderCategory!$A$63:$E$556,2,FALSE)</f>
        <v>67</v>
      </c>
      <c r="C1314" s="1">
        <f>VLOOKUP(A1314,TraderCategory!$A$63:$F$556,6,FALSE)</f>
        <v>12</v>
      </c>
      <c r="D1314" s="1" t="str">
        <f>VLOOKUP(C1314,Tabulka5[],3,FALSE)</f>
        <v>Captain</v>
      </c>
      <c r="E1314" s="1">
        <v>16</v>
      </c>
      <c r="F1314" s="1" t="str">
        <f>VLOOKUP(E1314,Tabulka5[],3,FALSE)</f>
        <v>Brigadier General</v>
      </c>
      <c r="G1314" s="1" t="s">
        <v>3116</v>
      </c>
      <c r="H1314" s="1" t="s">
        <v>3204</v>
      </c>
      <c r="J1314" s="1" t="s">
        <v>2729</v>
      </c>
      <c r="K1314" s="1" t="s">
        <v>3129</v>
      </c>
      <c r="L1314" s="1" t="s">
        <v>3160</v>
      </c>
      <c r="M1314" s="1">
        <v>80000</v>
      </c>
      <c r="N1314" s="1">
        <v>1</v>
      </c>
      <c r="O1314" s="1" t="str">
        <f t="shared" si="107"/>
        <v>"WE_M14_Tan": 1,</v>
      </c>
      <c r="P1314" s="1" t="str">
        <f t="shared" si="108"/>
        <v>"WE_M14_Tan": 67,</v>
      </c>
      <c r="Q1314" s="1" t="str">
        <f t="shared" si="109"/>
        <v>"WE_M14_Tan": 80000,</v>
      </c>
      <c r="R1314" s="1" t="str">
        <f t="shared" si="110"/>
        <v>"WE_M14_Tan": 16,</v>
      </c>
    </row>
    <row r="1315" spans="1:18" ht="15" customHeight="1" x14ac:dyDescent="0.25">
      <c r="A1315" s="1" t="str">
        <f t="shared" si="111"/>
        <v>#tc_military#tc_weapons#tc_snipers</v>
      </c>
      <c r="B1315" s="1">
        <f>VLOOKUP(A1315,TraderCategory!$A$63:$E$556,2,FALSE)</f>
        <v>67</v>
      </c>
      <c r="C1315" s="1">
        <f>VLOOKUP(A1315,TraderCategory!$A$63:$F$556,6,FALSE)</f>
        <v>12</v>
      </c>
      <c r="D1315" s="1" t="str">
        <f>VLOOKUP(C1315,Tabulka5[],3,FALSE)</f>
        <v>Captain</v>
      </c>
      <c r="E1315" s="1">
        <v>16</v>
      </c>
      <c r="F1315" s="1" t="str">
        <f>VLOOKUP(E1315,Tabulka5[],3,FALSE)</f>
        <v>Brigadier General</v>
      </c>
      <c r="G1315" s="1" t="s">
        <v>3116</v>
      </c>
      <c r="H1315" s="1" t="s">
        <v>3205</v>
      </c>
      <c r="J1315" s="1" t="s">
        <v>2729</v>
      </c>
      <c r="K1315" s="1" t="s">
        <v>3129</v>
      </c>
      <c r="L1315" s="1" t="s">
        <v>3160</v>
      </c>
      <c r="M1315" s="1">
        <v>80000</v>
      </c>
      <c r="N1315" s="1">
        <v>1</v>
      </c>
      <c r="O1315" s="1" t="str">
        <f t="shared" si="107"/>
        <v>"WE_M14_Woodland": 1,</v>
      </c>
      <c r="P1315" s="1" t="str">
        <f t="shared" si="108"/>
        <v>"WE_M14_Woodland": 67,</v>
      </c>
      <c r="Q1315" s="1" t="str">
        <f t="shared" si="109"/>
        <v>"WE_M14_Woodland": 80000,</v>
      </c>
      <c r="R1315" s="1" t="str">
        <f t="shared" si="110"/>
        <v>"WE_M14_Woodland": 16,</v>
      </c>
    </row>
    <row r="1316" spans="1:18" ht="15" customHeight="1" x14ac:dyDescent="0.25">
      <c r="A1316" s="1" t="str">
        <f t="shared" si="111"/>
        <v>#tc_military#tc_weapons#tc_snipers</v>
      </c>
      <c r="B1316" s="1">
        <f>VLOOKUP(A1316,TraderCategory!$A$63:$E$556,2,FALSE)</f>
        <v>67</v>
      </c>
      <c r="C1316" s="1">
        <f>VLOOKUP(A1316,TraderCategory!$A$63:$F$556,6,FALSE)</f>
        <v>12</v>
      </c>
      <c r="D1316" s="1" t="str">
        <f>VLOOKUP(C1316,Tabulka5[],3,FALSE)</f>
        <v>Captain</v>
      </c>
      <c r="E1316" s="1">
        <v>16</v>
      </c>
      <c r="F1316" s="1" t="str">
        <f>VLOOKUP(E1316,Tabulka5[],3,FALSE)</f>
        <v>Brigadier General</v>
      </c>
      <c r="G1316" s="1" t="s">
        <v>3116</v>
      </c>
      <c r="H1316" s="1" t="s">
        <v>3206</v>
      </c>
      <c r="J1316" s="1" t="s">
        <v>2729</v>
      </c>
      <c r="K1316" s="1" t="s">
        <v>3129</v>
      </c>
      <c r="L1316" s="1" t="s">
        <v>3160</v>
      </c>
      <c r="M1316" s="1">
        <v>80000</v>
      </c>
      <c r="N1316" s="1">
        <v>1</v>
      </c>
      <c r="O1316" s="1" t="str">
        <f t="shared" si="107"/>
        <v>"WE_M14_Snow": 1,</v>
      </c>
      <c r="P1316" s="1" t="str">
        <f t="shared" si="108"/>
        <v>"WE_M14_Snow": 67,</v>
      </c>
      <c r="Q1316" s="1" t="str">
        <f t="shared" si="109"/>
        <v>"WE_M14_Snow": 80000,</v>
      </c>
      <c r="R1316" s="1" t="str">
        <f t="shared" si="110"/>
        <v>"WE_M14_Snow": 16,</v>
      </c>
    </row>
    <row r="1317" spans="1:18" ht="15" customHeight="1" x14ac:dyDescent="0.25">
      <c r="A1317" s="1" t="str">
        <f t="shared" si="111"/>
        <v>#tc_military#tc_weapons#tc_snipers</v>
      </c>
      <c r="B1317" s="1">
        <f>VLOOKUP(A1317,TraderCategory!$A$63:$E$556,2,FALSE)</f>
        <v>67</v>
      </c>
      <c r="C1317" s="1">
        <f>VLOOKUP(A1317,TraderCategory!$A$63:$F$556,6,FALSE)</f>
        <v>12</v>
      </c>
      <c r="D1317" s="1" t="str">
        <f>VLOOKUP(C1317,Tabulka5[],3,FALSE)</f>
        <v>Captain</v>
      </c>
      <c r="E1317" s="1">
        <v>19</v>
      </c>
      <c r="F1317" s="1" t="str">
        <f>VLOOKUP(E1317,Tabulka5[],3,FALSE)</f>
        <v>General</v>
      </c>
      <c r="G1317" s="1" t="s">
        <v>3116</v>
      </c>
      <c r="H1317" s="1" t="s">
        <v>3207</v>
      </c>
      <c r="J1317" s="1" t="s">
        <v>2729</v>
      </c>
      <c r="K1317" s="1" t="s">
        <v>3129</v>
      </c>
      <c r="L1317" s="1" t="s">
        <v>3160</v>
      </c>
      <c r="M1317" s="1">
        <v>250000</v>
      </c>
      <c r="N1317" s="1">
        <v>1</v>
      </c>
      <c r="O1317" s="1" t="str">
        <f t="shared" si="107"/>
        <v>"WE_M200_Green": 1,</v>
      </c>
      <c r="P1317" s="1" t="str">
        <f t="shared" si="108"/>
        <v>"WE_M200_Green": 67,</v>
      </c>
      <c r="Q1317" s="1" t="str">
        <f t="shared" si="109"/>
        <v>"WE_M200_Green": 250000,</v>
      </c>
      <c r="R1317" s="1" t="str">
        <f t="shared" si="110"/>
        <v>"WE_M200_Green": 19,</v>
      </c>
    </row>
    <row r="1318" spans="1:18" ht="15" customHeight="1" x14ac:dyDescent="0.25">
      <c r="A1318" s="1" t="str">
        <f t="shared" si="111"/>
        <v>#tc_military#tc_weapons#tc_snipers</v>
      </c>
      <c r="B1318" s="1">
        <f>VLOOKUP(A1318,TraderCategory!$A$63:$E$556,2,FALSE)</f>
        <v>67</v>
      </c>
      <c r="C1318" s="1">
        <f>VLOOKUP(A1318,TraderCategory!$A$63:$F$556,6,FALSE)</f>
        <v>12</v>
      </c>
      <c r="D1318" s="1" t="str">
        <f>VLOOKUP(C1318,Tabulka5[],3,FALSE)</f>
        <v>Captain</v>
      </c>
      <c r="E1318" s="1">
        <v>19</v>
      </c>
      <c r="F1318" s="1" t="str">
        <f>VLOOKUP(E1318,Tabulka5[],3,FALSE)</f>
        <v>General</v>
      </c>
      <c r="G1318" s="1" t="s">
        <v>3116</v>
      </c>
      <c r="H1318" s="1" t="s">
        <v>3208</v>
      </c>
      <c r="J1318" s="1" t="s">
        <v>2729</v>
      </c>
      <c r="K1318" s="1" t="s">
        <v>3129</v>
      </c>
      <c r="L1318" s="1" t="s">
        <v>3160</v>
      </c>
      <c r="M1318" s="1">
        <v>250000</v>
      </c>
      <c r="N1318" s="1">
        <v>1</v>
      </c>
      <c r="O1318" s="1" t="str">
        <f t="shared" si="107"/>
        <v>"WE_M200_Tan": 1,</v>
      </c>
      <c r="P1318" s="1" t="str">
        <f t="shared" si="108"/>
        <v>"WE_M200_Tan": 67,</v>
      </c>
      <c r="Q1318" s="1" t="str">
        <f t="shared" si="109"/>
        <v>"WE_M200_Tan": 250000,</v>
      </c>
      <c r="R1318" s="1" t="str">
        <f t="shared" si="110"/>
        <v>"WE_M200_Tan": 19,</v>
      </c>
    </row>
    <row r="1319" spans="1:18" ht="15" customHeight="1" x14ac:dyDescent="0.25">
      <c r="A1319" s="1" t="str">
        <f t="shared" si="111"/>
        <v>#tc_military#tc_weapons#tc_snipers</v>
      </c>
      <c r="B1319" s="1">
        <f>VLOOKUP(A1319,TraderCategory!$A$63:$E$556,2,FALSE)</f>
        <v>67</v>
      </c>
      <c r="C1319" s="1">
        <f>VLOOKUP(A1319,TraderCategory!$A$63:$F$556,6,FALSE)</f>
        <v>12</v>
      </c>
      <c r="D1319" s="1" t="str">
        <f>VLOOKUP(C1319,Tabulka5[],3,FALSE)</f>
        <v>Captain</v>
      </c>
      <c r="E1319" s="1">
        <v>19</v>
      </c>
      <c r="F1319" s="1" t="str">
        <f>VLOOKUP(E1319,Tabulka5[],3,FALSE)</f>
        <v>General</v>
      </c>
      <c r="G1319" s="1" t="s">
        <v>3116</v>
      </c>
      <c r="H1319" s="1" t="s">
        <v>3209</v>
      </c>
      <c r="J1319" s="1" t="s">
        <v>2729</v>
      </c>
      <c r="K1319" s="1" t="s">
        <v>3129</v>
      </c>
      <c r="L1319" s="1" t="s">
        <v>3160</v>
      </c>
      <c r="M1319" s="1">
        <v>250000</v>
      </c>
      <c r="N1319" s="1">
        <v>1</v>
      </c>
      <c r="O1319" s="1" t="str">
        <f t="shared" si="107"/>
        <v>"WE_M200_Woodland": 1,</v>
      </c>
      <c r="P1319" s="1" t="str">
        <f t="shared" si="108"/>
        <v>"WE_M200_Woodland": 67,</v>
      </c>
      <c r="Q1319" s="1" t="str">
        <f t="shared" si="109"/>
        <v>"WE_M200_Woodland": 250000,</v>
      </c>
      <c r="R1319" s="1" t="str">
        <f t="shared" si="110"/>
        <v>"WE_M200_Woodland": 19,</v>
      </c>
    </row>
    <row r="1320" spans="1:18" ht="15" customHeight="1" x14ac:dyDescent="0.25">
      <c r="A1320" s="1" t="str">
        <f t="shared" si="111"/>
        <v>#tc_military#tc_weapons#tc_snipers</v>
      </c>
      <c r="B1320" s="1">
        <f>VLOOKUP(A1320,TraderCategory!$A$63:$E$556,2,FALSE)</f>
        <v>67</v>
      </c>
      <c r="C1320" s="1">
        <f>VLOOKUP(A1320,TraderCategory!$A$63:$F$556,6,FALSE)</f>
        <v>12</v>
      </c>
      <c r="D1320" s="1" t="str">
        <f>VLOOKUP(C1320,Tabulka5[],3,FALSE)</f>
        <v>Captain</v>
      </c>
      <c r="E1320" s="1">
        <v>19</v>
      </c>
      <c r="F1320" s="1" t="str">
        <f>VLOOKUP(E1320,Tabulka5[],3,FALSE)</f>
        <v>General</v>
      </c>
      <c r="G1320" s="1" t="s">
        <v>3116</v>
      </c>
      <c r="H1320" s="1" t="s">
        <v>3210</v>
      </c>
      <c r="J1320" s="1" t="s">
        <v>2729</v>
      </c>
      <c r="K1320" s="1" t="s">
        <v>3129</v>
      </c>
      <c r="L1320" s="1" t="s">
        <v>3160</v>
      </c>
      <c r="M1320" s="1">
        <v>250000</v>
      </c>
      <c r="N1320" s="1">
        <v>1</v>
      </c>
      <c r="O1320" s="1" t="str">
        <f t="shared" si="107"/>
        <v>"WE_M200_Snow": 1,</v>
      </c>
      <c r="P1320" s="1" t="str">
        <f t="shared" si="108"/>
        <v>"WE_M200_Snow": 67,</v>
      </c>
      <c r="Q1320" s="1" t="str">
        <f t="shared" si="109"/>
        <v>"WE_M200_Snow": 250000,</v>
      </c>
      <c r="R1320" s="1" t="str">
        <f t="shared" si="110"/>
        <v>"WE_M200_Snow": 19,</v>
      </c>
    </row>
    <row r="1321" spans="1:18" ht="15" customHeight="1" x14ac:dyDescent="0.25">
      <c r="A1321" s="1" t="str">
        <f t="shared" si="111"/>
        <v>#tc_military#tc_weapons#tc_snipers</v>
      </c>
      <c r="B1321" s="1">
        <f>VLOOKUP(A1321,TraderCategory!$A$63:$E$556,2,FALSE)</f>
        <v>67</v>
      </c>
      <c r="C1321" s="1">
        <f>VLOOKUP(A1321,TraderCategory!$A$63:$F$556,6,FALSE)</f>
        <v>12</v>
      </c>
      <c r="D1321" s="1" t="str">
        <f>VLOOKUP(C1321,Tabulka5[],3,FALSE)</f>
        <v>Captain</v>
      </c>
      <c r="E1321" s="1">
        <v>18</v>
      </c>
      <c r="F1321" s="1" t="str">
        <f>VLOOKUP(E1321,Tabulka5[],3,FALSE)</f>
        <v>Lieutenant General</v>
      </c>
      <c r="G1321" s="1" t="s">
        <v>3116</v>
      </c>
      <c r="H1321" s="1" t="s">
        <v>3211</v>
      </c>
      <c r="J1321" s="1" t="s">
        <v>2729</v>
      </c>
      <c r="K1321" s="1" t="s">
        <v>3129</v>
      </c>
      <c r="L1321" s="1" t="s">
        <v>3160</v>
      </c>
      <c r="M1321" s="1">
        <v>180000</v>
      </c>
      <c r="N1321" s="1">
        <v>1</v>
      </c>
      <c r="O1321" s="1" t="str">
        <f t="shared" si="107"/>
        <v>"WE_M24A3_Green": 1,</v>
      </c>
      <c r="P1321" s="1" t="str">
        <f t="shared" si="108"/>
        <v>"WE_M24A3_Green": 67,</v>
      </c>
      <c r="Q1321" s="1" t="str">
        <f t="shared" si="109"/>
        <v>"WE_M24A3_Green": 180000,</v>
      </c>
      <c r="R1321" s="1" t="str">
        <f t="shared" si="110"/>
        <v>"WE_M24A3_Green": 18,</v>
      </c>
    </row>
    <row r="1322" spans="1:18" ht="15" customHeight="1" x14ac:dyDescent="0.25">
      <c r="A1322" s="1" t="str">
        <f t="shared" si="111"/>
        <v>#tc_military#tc_weapons#tc_snipers</v>
      </c>
      <c r="B1322" s="1">
        <f>VLOOKUP(A1322,TraderCategory!$A$63:$E$556,2,FALSE)</f>
        <v>67</v>
      </c>
      <c r="C1322" s="1">
        <f>VLOOKUP(A1322,TraderCategory!$A$63:$F$556,6,FALSE)</f>
        <v>12</v>
      </c>
      <c r="D1322" s="1" t="str">
        <f>VLOOKUP(C1322,Tabulka5[],3,FALSE)</f>
        <v>Captain</v>
      </c>
      <c r="E1322" s="1">
        <v>18</v>
      </c>
      <c r="F1322" s="1" t="str">
        <f>VLOOKUP(E1322,Tabulka5[],3,FALSE)</f>
        <v>Lieutenant General</v>
      </c>
      <c r="G1322" s="1" t="s">
        <v>3116</v>
      </c>
      <c r="H1322" s="1" t="s">
        <v>3212</v>
      </c>
      <c r="J1322" s="1" t="s">
        <v>2729</v>
      </c>
      <c r="K1322" s="1" t="s">
        <v>3129</v>
      </c>
      <c r="L1322" s="1" t="s">
        <v>3160</v>
      </c>
      <c r="M1322" s="1">
        <v>180000</v>
      </c>
      <c r="N1322" s="1">
        <v>1</v>
      </c>
      <c r="O1322" s="1" t="str">
        <f t="shared" si="107"/>
        <v>"WE_M24A3_Tan": 1,</v>
      </c>
      <c r="P1322" s="1" t="str">
        <f t="shared" si="108"/>
        <v>"WE_M24A3_Tan": 67,</v>
      </c>
      <c r="Q1322" s="1" t="str">
        <f t="shared" si="109"/>
        <v>"WE_M24A3_Tan": 180000,</v>
      </c>
      <c r="R1322" s="1" t="str">
        <f t="shared" si="110"/>
        <v>"WE_M24A3_Tan": 18,</v>
      </c>
    </row>
    <row r="1323" spans="1:18" ht="15" customHeight="1" x14ac:dyDescent="0.25">
      <c r="A1323" s="1" t="str">
        <f t="shared" si="111"/>
        <v>#tc_military#tc_weapons#tc_snipers</v>
      </c>
      <c r="B1323" s="1">
        <f>VLOOKUP(A1323,TraderCategory!$A$63:$E$556,2,FALSE)</f>
        <v>67</v>
      </c>
      <c r="C1323" s="1">
        <f>VLOOKUP(A1323,TraderCategory!$A$63:$F$556,6,FALSE)</f>
        <v>12</v>
      </c>
      <c r="D1323" s="1" t="str">
        <f>VLOOKUP(C1323,Tabulka5[],3,FALSE)</f>
        <v>Captain</v>
      </c>
      <c r="E1323" s="1">
        <v>18</v>
      </c>
      <c r="F1323" s="1" t="str">
        <f>VLOOKUP(E1323,Tabulka5[],3,FALSE)</f>
        <v>Lieutenant General</v>
      </c>
      <c r="G1323" s="1" t="s">
        <v>3116</v>
      </c>
      <c r="H1323" s="1" t="s">
        <v>3213</v>
      </c>
      <c r="J1323" s="1" t="s">
        <v>2729</v>
      </c>
      <c r="K1323" s="1" t="s">
        <v>3129</v>
      </c>
      <c r="L1323" s="1" t="s">
        <v>3160</v>
      </c>
      <c r="M1323" s="1">
        <v>180000</v>
      </c>
      <c r="N1323" s="1">
        <v>1</v>
      </c>
      <c r="O1323" s="1" t="str">
        <f t="shared" si="107"/>
        <v>"WE_M24A3_Woodland": 1,</v>
      </c>
      <c r="P1323" s="1" t="str">
        <f t="shared" si="108"/>
        <v>"WE_M24A3_Woodland": 67,</v>
      </c>
      <c r="Q1323" s="1" t="str">
        <f t="shared" si="109"/>
        <v>"WE_M24A3_Woodland": 180000,</v>
      </c>
      <c r="R1323" s="1" t="str">
        <f t="shared" si="110"/>
        <v>"WE_M24A3_Woodland": 18,</v>
      </c>
    </row>
    <row r="1324" spans="1:18" ht="15" customHeight="1" x14ac:dyDescent="0.25">
      <c r="A1324" s="1" t="str">
        <f t="shared" si="111"/>
        <v>#tc_military#tc_weapons#tc_snipers</v>
      </c>
      <c r="B1324" s="1">
        <f>VLOOKUP(A1324,TraderCategory!$A$63:$E$556,2,FALSE)</f>
        <v>67</v>
      </c>
      <c r="C1324" s="1">
        <f>VLOOKUP(A1324,TraderCategory!$A$63:$F$556,6,FALSE)</f>
        <v>12</v>
      </c>
      <c r="D1324" s="1" t="str">
        <f>VLOOKUP(C1324,Tabulka5[],3,FALSE)</f>
        <v>Captain</v>
      </c>
      <c r="E1324" s="1">
        <v>18</v>
      </c>
      <c r="F1324" s="1" t="str">
        <f>VLOOKUP(E1324,Tabulka5[],3,FALSE)</f>
        <v>Lieutenant General</v>
      </c>
      <c r="G1324" s="1" t="s">
        <v>3116</v>
      </c>
      <c r="H1324" s="1" t="s">
        <v>3214</v>
      </c>
      <c r="J1324" s="1" t="s">
        <v>2729</v>
      </c>
      <c r="K1324" s="1" t="s">
        <v>3129</v>
      </c>
      <c r="L1324" s="1" t="s">
        <v>3160</v>
      </c>
      <c r="M1324" s="1">
        <v>180000</v>
      </c>
      <c r="N1324" s="1">
        <v>1</v>
      </c>
      <c r="O1324" s="1" t="str">
        <f t="shared" si="107"/>
        <v>"WE_M24A3_Snow": 1,</v>
      </c>
      <c r="P1324" s="1" t="str">
        <f t="shared" si="108"/>
        <v>"WE_M24A3_Snow": 67,</v>
      </c>
      <c r="Q1324" s="1" t="str">
        <f t="shared" si="109"/>
        <v>"WE_M24A3_Snow": 180000,</v>
      </c>
      <c r="R1324" s="1" t="str">
        <f t="shared" si="110"/>
        <v>"WE_M24A3_Snow": 18,</v>
      </c>
    </row>
    <row r="1325" spans="1:18" ht="15" customHeight="1" x14ac:dyDescent="0.25">
      <c r="A1325" s="1" t="str">
        <f t="shared" si="111"/>
        <v>#tc_military#tc_weapons#tc_snipers</v>
      </c>
      <c r="B1325" s="1">
        <f>VLOOKUP(A1325,TraderCategory!$A$63:$E$556,2,FALSE)</f>
        <v>67</v>
      </c>
      <c r="C1325" s="1">
        <f>VLOOKUP(A1325,TraderCategory!$A$63:$F$556,6,FALSE)</f>
        <v>12</v>
      </c>
      <c r="D1325" s="1" t="str">
        <f>VLOOKUP(C1325,Tabulka5[],3,FALSE)</f>
        <v>Captain</v>
      </c>
      <c r="E1325" s="1">
        <v>19</v>
      </c>
      <c r="F1325" s="1" t="str">
        <f>VLOOKUP(E1325,Tabulka5[],3,FALSE)</f>
        <v>General</v>
      </c>
      <c r="G1325" s="1" t="s">
        <v>3116</v>
      </c>
      <c r="H1325" s="1" t="s">
        <v>3215</v>
      </c>
      <c r="J1325" s="1" t="s">
        <v>2729</v>
      </c>
      <c r="K1325" s="1" t="s">
        <v>3129</v>
      </c>
      <c r="L1325" s="1" t="s">
        <v>3160</v>
      </c>
      <c r="M1325" s="1">
        <v>250000</v>
      </c>
      <c r="N1325" s="1">
        <v>1</v>
      </c>
      <c r="O1325" s="1" t="str">
        <f t="shared" si="107"/>
        <v>"WE_M82_Green": 1,</v>
      </c>
      <c r="P1325" s="1" t="str">
        <f t="shared" si="108"/>
        <v>"WE_M82_Green": 67,</v>
      </c>
      <c r="Q1325" s="1" t="str">
        <f t="shared" si="109"/>
        <v>"WE_M82_Green": 250000,</v>
      </c>
      <c r="R1325" s="1" t="str">
        <f t="shared" si="110"/>
        <v>"WE_M82_Green": 19,</v>
      </c>
    </row>
    <row r="1326" spans="1:18" ht="15" customHeight="1" x14ac:dyDescent="0.25">
      <c r="A1326" s="1" t="str">
        <f t="shared" si="111"/>
        <v>#tc_military#tc_weapons#tc_snipers</v>
      </c>
      <c r="B1326" s="1">
        <f>VLOOKUP(A1326,TraderCategory!$A$63:$E$556,2,FALSE)</f>
        <v>67</v>
      </c>
      <c r="C1326" s="1">
        <f>VLOOKUP(A1326,TraderCategory!$A$63:$F$556,6,FALSE)</f>
        <v>12</v>
      </c>
      <c r="D1326" s="1" t="str">
        <f>VLOOKUP(C1326,Tabulka5[],3,FALSE)</f>
        <v>Captain</v>
      </c>
      <c r="E1326" s="1">
        <v>19</v>
      </c>
      <c r="F1326" s="1" t="str">
        <f>VLOOKUP(E1326,Tabulka5[],3,FALSE)</f>
        <v>General</v>
      </c>
      <c r="G1326" s="1" t="s">
        <v>3116</v>
      </c>
      <c r="H1326" s="1" t="s">
        <v>3216</v>
      </c>
      <c r="J1326" s="1" t="s">
        <v>2729</v>
      </c>
      <c r="K1326" s="1" t="s">
        <v>3129</v>
      </c>
      <c r="L1326" s="1" t="s">
        <v>3160</v>
      </c>
      <c r="M1326" s="1">
        <v>250000</v>
      </c>
      <c r="N1326" s="1">
        <v>1</v>
      </c>
      <c r="O1326" s="1" t="str">
        <f t="shared" si="107"/>
        <v>"WE_M82_Tan": 1,</v>
      </c>
      <c r="P1326" s="1" t="str">
        <f t="shared" si="108"/>
        <v>"WE_M82_Tan": 67,</v>
      </c>
      <c r="Q1326" s="1" t="str">
        <f t="shared" si="109"/>
        <v>"WE_M82_Tan": 250000,</v>
      </c>
      <c r="R1326" s="1" t="str">
        <f t="shared" si="110"/>
        <v>"WE_M82_Tan": 19,</v>
      </c>
    </row>
    <row r="1327" spans="1:18" ht="15" customHeight="1" x14ac:dyDescent="0.25">
      <c r="A1327" s="1" t="str">
        <f t="shared" si="111"/>
        <v>#tc_military#tc_weapons#tc_snipers</v>
      </c>
      <c r="B1327" s="1">
        <f>VLOOKUP(A1327,TraderCategory!$A$63:$E$556,2,FALSE)</f>
        <v>67</v>
      </c>
      <c r="C1327" s="1">
        <f>VLOOKUP(A1327,TraderCategory!$A$63:$F$556,6,FALSE)</f>
        <v>12</v>
      </c>
      <c r="D1327" s="1" t="str">
        <f>VLOOKUP(C1327,Tabulka5[],3,FALSE)</f>
        <v>Captain</v>
      </c>
      <c r="E1327" s="1">
        <v>19</v>
      </c>
      <c r="F1327" s="1" t="str">
        <f>VLOOKUP(E1327,Tabulka5[],3,FALSE)</f>
        <v>General</v>
      </c>
      <c r="G1327" s="1" t="s">
        <v>3116</v>
      </c>
      <c r="H1327" s="1" t="s">
        <v>3217</v>
      </c>
      <c r="J1327" s="1" t="s">
        <v>2729</v>
      </c>
      <c r="K1327" s="1" t="s">
        <v>3129</v>
      </c>
      <c r="L1327" s="1" t="s">
        <v>3160</v>
      </c>
      <c r="M1327" s="1">
        <v>250000</v>
      </c>
      <c r="N1327" s="1">
        <v>1</v>
      </c>
      <c r="O1327" s="1" t="str">
        <f t="shared" si="107"/>
        <v>"WE_M82_Woodland": 1,</v>
      </c>
      <c r="P1327" s="1" t="str">
        <f t="shared" si="108"/>
        <v>"WE_M82_Woodland": 67,</v>
      </c>
      <c r="Q1327" s="1" t="str">
        <f t="shared" si="109"/>
        <v>"WE_M82_Woodland": 250000,</v>
      </c>
      <c r="R1327" s="1" t="str">
        <f t="shared" si="110"/>
        <v>"WE_M82_Woodland": 19,</v>
      </c>
    </row>
    <row r="1328" spans="1:18" ht="15" customHeight="1" x14ac:dyDescent="0.25">
      <c r="A1328" s="1" t="str">
        <f t="shared" si="111"/>
        <v>#tc_military#tc_weapons#tc_snipers</v>
      </c>
      <c r="B1328" s="1">
        <f>VLOOKUP(A1328,TraderCategory!$A$63:$E$556,2,FALSE)</f>
        <v>67</v>
      </c>
      <c r="C1328" s="1">
        <f>VLOOKUP(A1328,TraderCategory!$A$63:$F$556,6,FALSE)</f>
        <v>12</v>
      </c>
      <c r="D1328" s="1" t="str">
        <f>VLOOKUP(C1328,Tabulka5[],3,FALSE)</f>
        <v>Captain</v>
      </c>
      <c r="E1328" s="1">
        <v>19</v>
      </c>
      <c r="F1328" s="1" t="str">
        <f>VLOOKUP(E1328,Tabulka5[],3,FALSE)</f>
        <v>General</v>
      </c>
      <c r="G1328" s="1" t="s">
        <v>3116</v>
      </c>
      <c r="H1328" s="1" t="s">
        <v>3218</v>
      </c>
      <c r="J1328" s="1" t="s">
        <v>2729</v>
      </c>
      <c r="K1328" s="1" t="s">
        <v>3129</v>
      </c>
      <c r="L1328" s="1" t="s">
        <v>3160</v>
      </c>
      <c r="M1328" s="1">
        <v>250000</v>
      </c>
      <c r="N1328" s="1">
        <v>1</v>
      </c>
      <c r="O1328" s="1" t="str">
        <f t="shared" si="107"/>
        <v>"WE_M82_Snow": 1,</v>
      </c>
      <c r="P1328" s="1" t="str">
        <f t="shared" si="108"/>
        <v>"WE_M82_Snow": 67,</v>
      </c>
      <c r="Q1328" s="1" t="str">
        <f t="shared" si="109"/>
        <v>"WE_M82_Snow": 250000,</v>
      </c>
      <c r="R1328" s="1" t="str">
        <f t="shared" si="110"/>
        <v>"WE_M82_Snow": 19,</v>
      </c>
    </row>
    <row r="1329" spans="1:18" ht="15" customHeight="1" x14ac:dyDescent="0.25">
      <c r="A1329" s="1" t="str">
        <f t="shared" si="111"/>
        <v>#tc_military#tc_weapons#tc_snipers</v>
      </c>
      <c r="B1329" s="1">
        <f>VLOOKUP(A1329,TraderCategory!$A$63:$E$556,2,FALSE)</f>
        <v>67</v>
      </c>
      <c r="C1329" s="1">
        <f>VLOOKUP(A1329,TraderCategory!$A$63:$F$556,6,FALSE)</f>
        <v>12</v>
      </c>
      <c r="D1329" s="1" t="str">
        <f>VLOOKUP(C1329,Tabulka5[],3,FALSE)</f>
        <v>Captain</v>
      </c>
      <c r="E1329" s="1">
        <v>15</v>
      </c>
      <c r="F1329" s="1" t="str">
        <f>VLOOKUP(E1329,Tabulka5[],3,FALSE)</f>
        <v>Colonel</v>
      </c>
      <c r="G1329" s="1" t="s">
        <v>3116</v>
      </c>
      <c r="H1329" s="1" t="s">
        <v>3219</v>
      </c>
      <c r="J1329" s="1" t="s">
        <v>2729</v>
      </c>
      <c r="K1329" s="1" t="s">
        <v>3129</v>
      </c>
      <c r="L1329" s="1" t="s">
        <v>3160</v>
      </c>
      <c r="M1329" s="1">
        <v>70000</v>
      </c>
      <c r="N1329" s="1">
        <v>1</v>
      </c>
      <c r="O1329" s="1" t="str">
        <f t="shared" si="107"/>
        <v>"WE_PSG1_Green": 1,</v>
      </c>
      <c r="P1329" s="1" t="str">
        <f t="shared" si="108"/>
        <v>"WE_PSG1_Green": 67,</v>
      </c>
      <c r="Q1329" s="1" t="str">
        <f t="shared" si="109"/>
        <v>"WE_PSG1_Green": 70000,</v>
      </c>
      <c r="R1329" s="1" t="str">
        <f t="shared" si="110"/>
        <v>"WE_PSG1_Green": 15,</v>
      </c>
    </row>
    <row r="1330" spans="1:18" ht="15" customHeight="1" x14ac:dyDescent="0.25">
      <c r="A1330" s="1" t="str">
        <f t="shared" si="111"/>
        <v>#tc_military#tc_weapons#tc_snipers</v>
      </c>
      <c r="B1330" s="1">
        <f>VLOOKUP(A1330,TraderCategory!$A$63:$E$556,2,FALSE)</f>
        <v>67</v>
      </c>
      <c r="C1330" s="1">
        <f>VLOOKUP(A1330,TraderCategory!$A$63:$F$556,6,FALSE)</f>
        <v>12</v>
      </c>
      <c r="D1330" s="1" t="str">
        <f>VLOOKUP(C1330,Tabulka5[],3,FALSE)</f>
        <v>Captain</v>
      </c>
      <c r="E1330" s="1">
        <v>15</v>
      </c>
      <c r="F1330" s="1" t="str">
        <f>VLOOKUP(E1330,Tabulka5[],3,FALSE)</f>
        <v>Colonel</v>
      </c>
      <c r="G1330" s="1" t="s">
        <v>3116</v>
      </c>
      <c r="H1330" s="1" t="s">
        <v>3220</v>
      </c>
      <c r="J1330" s="1" t="s">
        <v>2729</v>
      </c>
      <c r="K1330" s="1" t="s">
        <v>3129</v>
      </c>
      <c r="L1330" s="1" t="s">
        <v>3160</v>
      </c>
      <c r="M1330" s="1">
        <v>70000</v>
      </c>
      <c r="N1330" s="1">
        <v>1</v>
      </c>
      <c r="O1330" s="1" t="str">
        <f t="shared" si="107"/>
        <v>"WE_PSG1_Tan": 1,</v>
      </c>
      <c r="P1330" s="1" t="str">
        <f t="shared" si="108"/>
        <v>"WE_PSG1_Tan": 67,</v>
      </c>
      <c r="Q1330" s="1" t="str">
        <f t="shared" si="109"/>
        <v>"WE_PSG1_Tan": 70000,</v>
      </c>
      <c r="R1330" s="1" t="str">
        <f t="shared" si="110"/>
        <v>"WE_PSG1_Tan": 15,</v>
      </c>
    </row>
    <row r="1331" spans="1:18" ht="15" customHeight="1" x14ac:dyDescent="0.25">
      <c r="A1331" s="1" t="str">
        <f t="shared" si="111"/>
        <v>#tc_military#tc_weapons#tc_snipers</v>
      </c>
      <c r="B1331" s="1">
        <f>VLOOKUP(A1331,TraderCategory!$A$63:$E$556,2,FALSE)</f>
        <v>67</v>
      </c>
      <c r="C1331" s="1">
        <f>VLOOKUP(A1331,TraderCategory!$A$63:$F$556,6,FALSE)</f>
        <v>12</v>
      </c>
      <c r="D1331" s="1" t="str">
        <f>VLOOKUP(C1331,Tabulka5[],3,FALSE)</f>
        <v>Captain</v>
      </c>
      <c r="E1331" s="1">
        <v>15</v>
      </c>
      <c r="F1331" s="1" t="str">
        <f>VLOOKUP(E1331,Tabulka5[],3,FALSE)</f>
        <v>Colonel</v>
      </c>
      <c r="G1331" s="1" t="s">
        <v>3116</v>
      </c>
      <c r="H1331" s="1" t="s">
        <v>3221</v>
      </c>
      <c r="J1331" s="1" t="s">
        <v>2729</v>
      </c>
      <c r="K1331" s="1" t="s">
        <v>3129</v>
      </c>
      <c r="L1331" s="1" t="s">
        <v>3160</v>
      </c>
      <c r="M1331" s="1">
        <v>70000</v>
      </c>
      <c r="N1331" s="1">
        <v>1</v>
      </c>
      <c r="O1331" s="1" t="str">
        <f t="shared" si="107"/>
        <v>"WE_PSG1_Woodland": 1,</v>
      </c>
      <c r="P1331" s="1" t="str">
        <f t="shared" si="108"/>
        <v>"WE_PSG1_Woodland": 67,</v>
      </c>
      <c r="Q1331" s="1" t="str">
        <f t="shared" si="109"/>
        <v>"WE_PSG1_Woodland": 70000,</v>
      </c>
      <c r="R1331" s="1" t="str">
        <f t="shared" si="110"/>
        <v>"WE_PSG1_Woodland": 15,</v>
      </c>
    </row>
    <row r="1332" spans="1:18" ht="15" customHeight="1" x14ac:dyDescent="0.25">
      <c r="A1332" s="1" t="str">
        <f t="shared" si="111"/>
        <v>#tc_military#tc_weapons#tc_snipers</v>
      </c>
      <c r="B1332" s="1">
        <f>VLOOKUP(A1332,TraderCategory!$A$63:$E$556,2,FALSE)</f>
        <v>67</v>
      </c>
      <c r="C1332" s="1">
        <f>VLOOKUP(A1332,TraderCategory!$A$63:$F$556,6,FALSE)</f>
        <v>12</v>
      </c>
      <c r="D1332" s="1" t="str">
        <f>VLOOKUP(C1332,Tabulka5[],3,FALSE)</f>
        <v>Captain</v>
      </c>
      <c r="E1332" s="1">
        <v>15</v>
      </c>
      <c r="F1332" s="1" t="str">
        <f>VLOOKUP(E1332,Tabulka5[],3,FALSE)</f>
        <v>Colonel</v>
      </c>
      <c r="G1332" s="1" t="s">
        <v>3116</v>
      </c>
      <c r="H1332" s="1" t="s">
        <v>3222</v>
      </c>
      <c r="J1332" s="1" t="s">
        <v>2729</v>
      </c>
      <c r="K1332" s="1" t="s">
        <v>3129</v>
      </c>
      <c r="L1332" s="1" t="s">
        <v>3160</v>
      </c>
      <c r="M1332" s="1">
        <v>70000</v>
      </c>
      <c r="N1332" s="1">
        <v>1</v>
      </c>
      <c r="O1332" s="1" t="str">
        <f t="shared" si="107"/>
        <v>"WE_PSG1_Snow": 1,</v>
      </c>
      <c r="P1332" s="1" t="str">
        <f t="shared" si="108"/>
        <v>"WE_PSG1_Snow": 67,</v>
      </c>
      <c r="Q1332" s="1" t="str">
        <f t="shared" si="109"/>
        <v>"WE_PSG1_Snow": 70000,</v>
      </c>
      <c r="R1332" s="1" t="str">
        <f t="shared" si="110"/>
        <v>"WE_PSG1_Snow": 15,</v>
      </c>
    </row>
    <row r="1333" spans="1:18" ht="15" customHeight="1" x14ac:dyDescent="0.25">
      <c r="A1333" s="1" t="str">
        <f t="shared" si="111"/>
        <v>#tc_military#tc_weapons#tc_snipers</v>
      </c>
      <c r="B1333" s="1">
        <f>VLOOKUP(A1333,TraderCategory!$A$63:$E$556,2,FALSE)</f>
        <v>67</v>
      </c>
      <c r="C1333" s="1">
        <f>VLOOKUP(A1333,TraderCategory!$A$63:$F$556,6,FALSE)</f>
        <v>12</v>
      </c>
      <c r="D1333" s="1" t="str">
        <f>VLOOKUP(C1333,Tabulka5[],3,FALSE)</f>
        <v>Captain</v>
      </c>
      <c r="E1333" s="1">
        <v>15</v>
      </c>
      <c r="F1333" s="1" t="str">
        <f>VLOOKUP(E1333,Tabulka5[],3,FALSE)</f>
        <v>Colonel</v>
      </c>
      <c r="G1333" s="1" t="s">
        <v>3116</v>
      </c>
      <c r="H1333" s="1" t="s">
        <v>3223</v>
      </c>
      <c r="J1333" s="1" t="s">
        <v>2729</v>
      </c>
      <c r="K1333" s="1" t="s">
        <v>3129</v>
      </c>
      <c r="L1333" s="1" t="s">
        <v>3160</v>
      </c>
      <c r="M1333" s="1">
        <v>70000</v>
      </c>
      <c r="N1333" s="1">
        <v>1</v>
      </c>
      <c r="O1333" s="1" t="str">
        <f t="shared" si="107"/>
        <v>"WE_SSG69_Green": 1,</v>
      </c>
      <c r="P1333" s="1" t="str">
        <f t="shared" si="108"/>
        <v>"WE_SSG69_Green": 67,</v>
      </c>
      <c r="Q1333" s="1" t="str">
        <f t="shared" si="109"/>
        <v>"WE_SSG69_Green": 70000,</v>
      </c>
      <c r="R1333" s="1" t="str">
        <f t="shared" si="110"/>
        <v>"WE_SSG69_Green": 15,</v>
      </c>
    </row>
    <row r="1334" spans="1:18" ht="15" customHeight="1" x14ac:dyDescent="0.25">
      <c r="A1334" s="1" t="str">
        <f t="shared" si="111"/>
        <v>#tc_military#tc_weapons#tc_snipers</v>
      </c>
      <c r="B1334" s="1">
        <f>VLOOKUP(A1334,TraderCategory!$A$63:$E$556,2,FALSE)</f>
        <v>67</v>
      </c>
      <c r="C1334" s="1">
        <f>VLOOKUP(A1334,TraderCategory!$A$63:$F$556,6,FALSE)</f>
        <v>12</v>
      </c>
      <c r="D1334" s="1" t="str">
        <f>VLOOKUP(C1334,Tabulka5[],3,FALSE)</f>
        <v>Captain</v>
      </c>
      <c r="E1334" s="1">
        <v>15</v>
      </c>
      <c r="F1334" s="1" t="str">
        <f>VLOOKUP(E1334,Tabulka5[],3,FALSE)</f>
        <v>Colonel</v>
      </c>
      <c r="G1334" s="1" t="s">
        <v>3116</v>
      </c>
      <c r="H1334" s="1" t="s">
        <v>3224</v>
      </c>
      <c r="J1334" s="1" t="s">
        <v>2729</v>
      </c>
      <c r="K1334" s="1" t="s">
        <v>3129</v>
      </c>
      <c r="L1334" s="1" t="s">
        <v>3160</v>
      </c>
      <c r="M1334" s="1">
        <v>70000</v>
      </c>
      <c r="N1334" s="1">
        <v>1</v>
      </c>
      <c r="O1334" s="1" t="str">
        <f t="shared" si="107"/>
        <v>"WE_SSG69_Tan": 1,</v>
      </c>
      <c r="P1334" s="1" t="str">
        <f t="shared" si="108"/>
        <v>"WE_SSG69_Tan": 67,</v>
      </c>
      <c r="Q1334" s="1" t="str">
        <f t="shared" si="109"/>
        <v>"WE_SSG69_Tan": 70000,</v>
      </c>
      <c r="R1334" s="1" t="str">
        <f t="shared" si="110"/>
        <v>"WE_SSG69_Tan": 15,</v>
      </c>
    </row>
    <row r="1335" spans="1:18" ht="15" customHeight="1" x14ac:dyDescent="0.25">
      <c r="A1335" s="1" t="str">
        <f t="shared" si="111"/>
        <v>#tc_military#tc_weapons#tc_snipers</v>
      </c>
      <c r="B1335" s="1">
        <f>VLOOKUP(A1335,TraderCategory!$A$63:$E$556,2,FALSE)</f>
        <v>67</v>
      </c>
      <c r="C1335" s="1">
        <f>VLOOKUP(A1335,TraderCategory!$A$63:$F$556,6,FALSE)</f>
        <v>12</v>
      </c>
      <c r="D1335" s="1" t="str">
        <f>VLOOKUP(C1335,Tabulka5[],3,FALSE)</f>
        <v>Captain</v>
      </c>
      <c r="E1335" s="1">
        <v>15</v>
      </c>
      <c r="F1335" s="1" t="str">
        <f>VLOOKUP(E1335,Tabulka5[],3,FALSE)</f>
        <v>Colonel</v>
      </c>
      <c r="G1335" s="1" t="s">
        <v>3116</v>
      </c>
      <c r="H1335" s="1" t="s">
        <v>3225</v>
      </c>
      <c r="J1335" s="1" t="s">
        <v>2729</v>
      </c>
      <c r="K1335" s="1" t="s">
        <v>3129</v>
      </c>
      <c r="L1335" s="1" t="s">
        <v>3160</v>
      </c>
      <c r="M1335" s="1">
        <v>70000</v>
      </c>
      <c r="N1335" s="1">
        <v>1</v>
      </c>
      <c r="O1335" s="1" t="str">
        <f t="shared" si="107"/>
        <v>"WE_SSG69_Woodland": 1,</v>
      </c>
      <c r="P1335" s="1" t="str">
        <f t="shared" si="108"/>
        <v>"WE_SSG69_Woodland": 67,</v>
      </c>
      <c r="Q1335" s="1" t="str">
        <f t="shared" si="109"/>
        <v>"WE_SSG69_Woodland": 70000,</v>
      </c>
      <c r="R1335" s="1" t="str">
        <f t="shared" si="110"/>
        <v>"WE_SSG69_Woodland": 15,</v>
      </c>
    </row>
    <row r="1336" spans="1:18" ht="15" customHeight="1" x14ac:dyDescent="0.25">
      <c r="A1336" s="1" t="str">
        <f t="shared" si="111"/>
        <v>#tc_military#tc_weapons#tc_snipers</v>
      </c>
      <c r="B1336" s="1">
        <f>VLOOKUP(A1336,TraderCategory!$A$63:$E$556,2,FALSE)</f>
        <v>67</v>
      </c>
      <c r="C1336" s="1">
        <f>VLOOKUP(A1336,TraderCategory!$A$63:$F$556,6,FALSE)</f>
        <v>12</v>
      </c>
      <c r="D1336" s="1" t="str">
        <f>VLOOKUP(C1336,Tabulka5[],3,FALSE)</f>
        <v>Captain</v>
      </c>
      <c r="E1336" s="1">
        <v>15</v>
      </c>
      <c r="F1336" s="1" t="str">
        <f>VLOOKUP(E1336,Tabulka5[],3,FALSE)</f>
        <v>Colonel</v>
      </c>
      <c r="G1336" s="1" t="s">
        <v>3116</v>
      </c>
      <c r="H1336" s="1" t="s">
        <v>3226</v>
      </c>
      <c r="J1336" s="1" t="s">
        <v>2729</v>
      </c>
      <c r="K1336" s="1" t="s">
        <v>3129</v>
      </c>
      <c r="L1336" s="1" t="s">
        <v>3160</v>
      </c>
      <c r="M1336" s="1">
        <v>70000</v>
      </c>
      <c r="N1336" s="1">
        <v>1</v>
      </c>
      <c r="O1336" s="1" t="str">
        <f t="shared" si="107"/>
        <v>"WE_SSG69_Snow": 1,</v>
      </c>
      <c r="P1336" s="1" t="str">
        <f t="shared" si="108"/>
        <v>"WE_SSG69_Snow": 67,</v>
      </c>
      <c r="Q1336" s="1" t="str">
        <f t="shared" si="109"/>
        <v>"WE_SSG69_Snow": 70000,</v>
      </c>
      <c r="R1336" s="1" t="str">
        <f t="shared" si="110"/>
        <v>"WE_SSG69_Snow": 15,</v>
      </c>
    </row>
    <row r="1337" spans="1:18" ht="15" customHeight="1" x14ac:dyDescent="0.25">
      <c r="A1337" s="1" t="str">
        <f t="shared" ref="A1337:A1362" si="112">CONCATENATE(J1337,K1337,L1337)</f>
        <v>#tc_vehicles#tc_vehicles#tc_civil</v>
      </c>
      <c r="B1337" s="1">
        <f>VLOOKUP(A1337,TraderCategory!$A$63:$E$556,2,FALSE)</f>
        <v>73</v>
      </c>
      <c r="C1337" s="1">
        <f>VLOOKUP(A1337,TraderCategory!$A$63:$F$556,6,FALSE)</f>
        <v>9</v>
      </c>
      <c r="D1337" s="1" t="str">
        <f>VLOOKUP(C1337,Tabulka5[],3,FALSE)</f>
        <v>Sergeant Major of the Army</v>
      </c>
      <c r="E1337" s="1">
        <v>12</v>
      </c>
      <c r="F1337" s="1" t="str">
        <f>VLOOKUP(E1337,Tabulka5[],3,FALSE)</f>
        <v>Captain</v>
      </c>
      <c r="G1337" s="1" t="s">
        <v>3115</v>
      </c>
      <c r="H1337" s="1" t="s">
        <v>562</v>
      </c>
      <c r="J1337" s="1" t="s">
        <v>2743</v>
      </c>
      <c r="K1337" s="1" t="s">
        <v>2743</v>
      </c>
      <c r="L1337" s="1" t="s">
        <v>3126</v>
      </c>
      <c r="M1337" s="1">
        <v>500000</v>
      </c>
      <c r="N1337" s="1">
        <v>1</v>
      </c>
      <c r="O1337" s="1" t="str">
        <f t="shared" si="107"/>
        <v>"CivilianSedan": 1,</v>
      </c>
      <c r="P1337" s="1" t="str">
        <f t="shared" si="108"/>
        <v>"CivilianSedan": 73,</v>
      </c>
      <c r="Q1337" s="1" t="str">
        <f t="shared" si="109"/>
        <v>"CivilianSedan": 500000,</v>
      </c>
      <c r="R1337" s="1" t="str">
        <f t="shared" si="110"/>
        <v>"CivilianSedan": 12,</v>
      </c>
    </row>
    <row r="1338" spans="1:18" ht="15" customHeight="1" x14ac:dyDescent="0.25">
      <c r="A1338" s="1" t="str">
        <f t="shared" si="112"/>
        <v>#tc_vehicles#tc_vehicles#tc_civil</v>
      </c>
      <c r="B1338" s="1">
        <f>VLOOKUP(A1338,TraderCategory!$A$63:$E$556,2,FALSE)</f>
        <v>73</v>
      </c>
      <c r="C1338" s="1">
        <f>VLOOKUP(A1338,TraderCategory!$A$63:$F$556,6,FALSE)</f>
        <v>9</v>
      </c>
      <c r="D1338" s="1" t="str">
        <f>VLOOKUP(C1338,Tabulka5[],3,FALSE)</f>
        <v>Sergeant Major of the Army</v>
      </c>
      <c r="E1338" s="1">
        <v>12</v>
      </c>
      <c r="F1338" s="1" t="str">
        <f>VLOOKUP(E1338,Tabulka5[],3,FALSE)</f>
        <v>Captain</v>
      </c>
      <c r="G1338" s="1" t="s">
        <v>3115</v>
      </c>
      <c r="H1338" s="1" t="s">
        <v>563</v>
      </c>
      <c r="J1338" s="1" t="s">
        <v>2743</v>
      </c>
      <c r="K1338" s="1" t="s">
        <v>2743</v>
      </c>
      <c r="L1338" s="1" t="s">
        <v>3126</v>
      </c>
      <c r="M1338" s="1">
        <v>500000</v>
      </c>
      <c r="N1338" s="1">
        <v>1</v>
      </c>
      <c r="O1338" s="1" t="str">
        <f t="shared" si="107"/>
        <v>"CivilianSedan_Black": 1,</v>
      </c>
      <c r="P1338" s="1" t="str">
        <f t="shared" si="108"/>
        <v>"CivilianSedan_Black": 73,</v>
      </c>
      <c r="Q1338" s="1" t="str">
        <f t="shared" si="109"/>
        <v>"CivilianSedan_Black": 500000,</v>
      </c>
      <c r="R1338" s="1" t="str">
        <f t="shared" si="110"/>
        <v>"CivilianSedan_Black": 12,</v>
      </c>
    </row>
    <row r="1339" spans="1:18" ht="15" customHeight="1" x14ac:dyDescent="0.25">
      <c r="A1339" s="1" t="str">
        <f t="shared" si="112"/>
        <v>#tc_vehicles#tc_vehicles#tc_civil</v>
      </c>
      <c r="B1339" s="1">
        <f>VLOOKUP(A1339,TraderCategory!$A$63:$E$556,2,FALSE)</f>
        <v>73</v>
      </c>
      <c r="C1339" s="1">
        <f>VLOOKUP(A1339,TraderCategory!$A$63:$F$556,6,FALSE)</f>
        <v>9</v>
      </c>
      <c r="D1339" s="1" t="str">
        <f>VLOOKUP(C1339,Tabulka5[],3,FALSE)</f>
        <v>Sergeant Major of the Army</v>
      </c>
      <c r="E1339" s="1">
        <v>12</v>
      </c>
      <c r="F1339" s="1" t="str">
        <f>VLOOKUP(E1339,Tabulka5[],3,FALSE)</f>
        <v>Captain</v>
      </c>
      <c r="G1339" s="1" t="s">
        <v>3115</v>
      </c>
      <c r="H1339" s="1" t="s">
        <v>564</v>
      </c>
      <c r="J1339" s="1" t="s">
        <v>2743</v>
      </c>
      <c r="K1339" s="1" t="s">
        <v>2743</v>
      </c>
      <c r="L1339" s="1" t="s">
        <v>3126</v>
      </c>
      <c r="M1339" s="1">
        <v>500000</v>
      </c>
      <c r="N1339" s="1">
        <v>1</v>
      </c>
      <c r="O1339" s="1" t="str">
        <f t="shared" ref="O1339:O1363" si="113">"""" &amp;H1339 &amp; """: " &amp; N1339 &amp; ","</f>
        <v>"CivilianSedan_Wine": 1,</v>
      </c>
      <c r="P1339" s="1" t="str">
        <f t="shared" ref="P1339:P1363" si="114">"""" &amp;H1339 &amp; """: " &amp; B1339 &amp; ","</f>
        <v>"CivilianSedan_Wine": 73,</v>
      </c>
      <c r="Q1339" s="1" t="str">
        <f t="shared" ref="Q1339:Q1363" si="115">"""" &amp;H1339 &amp; """: " &amp; M1339 &amp; ","</f>
        <v>"CivilianSedan_Wine": 500000,</v>
      </c>
      <c r="R1339" s="1" t="str">
        <f t="shared" ref="R1339:R1363" si="116">"""" &amp;H1339 &amp; """: " &amp; E1339 &amp; ","</f>
        <v>"CivilianSedan_Wine": 12,</v>
      </c>
    </row>
    <row r="1340" spans="1:18" ht="15" customHeight="1" x14ac:dyDescent="0.25">
      <c r="A1340" s="1" t="str">
        <f t="shared" si="112"/>
        <v>#tc_vehicles#tc_vehicles#tc_civil</v>
      </c>
      <c r="B1340" s="1">
        <f>VLOOKUP(A1340,TraderCategory!$A$63:$E$556,2,FALSE)</f>
        <v>73</v>
      </c>
      <c r="C1340" s="1">
        <f>VLOOKUP(A1340,TraderCategory!$A$63:$F$556,6,FALSE)</f>
        <v>9</v>
      </c>
      <c r="D1340" s="1" t="str">
        <f>VLOOKUP(C1340,Tabulka5[],3,FALSE)</f>
        <v>Sergeant Major of the Army</v>
      </c>
      <c r="E1340" s="1">
        <v>13</v>
      </c>
      <c r="F1340" s="1" t="str">
        <f>VLOOKUP(E1340,Tabulka5[],3,FALSE)</f>
        <v>Major</v>
      </c>
      <c r="G1340" s="1" t="s">
        <v>3115</v>
      </c>
      <c r="H1340" s="1" t="s">
        <v>700</v>
      </c>
      <c r="J1340" s="1" t="s">
        <v>2743</v>
      </c>
      <c r="K1340" s="1" t="s">
        <v>2743</v>
      </c>
      <c r="L1340" s="1" t="s">
        <v>3126</v>
      </c>
      <c r="M1340" s="1">
        <v>600000</v>
      </c>
      <c r="N1340" s="1">
        <v>1</v>
      </c>
      <c r="O1340" s="1" t="str">
        <f t="shared" si="113"/>
        <v>"Hatchback_02": 1,</v>
      </c>
      <c r="P1340" s="1" t="str">
        <f t="shared" si="114"/>
        <v>"Hatchback_02": 73,</v>
      </c>
      <c r="Q1340" s="1" t="str">
        <f t="shared" si="115"/>
        <v>"Hatchback_02": 600000,</v>
      </c>
      <c r="R1340" s="1" t="str">
        <f t="shared" si="116"/>
        <v>"Hatchback_02": 13,</v>
      </c>
    </row>
    <row r="1341" spans="1:18" ht="15" customHeight="1" x14ac:dyDescent="0.25">
      <c r="A1341" s="1" t="str">
        <f t="shared" si="112"/>
        <v>#tc_vehicles#tc_vehicles#tc_civil</v>
      </c>
      <c r="B1341" s="1">
        <f>VLOOKUP(A1341,TraderCategory!$A$63:$E$556,2,FALSE)</f>
        <v>73</v>
      </c>
      <c r="C1341" s="1">
        <f>VLOOKUP(A1341,TraderCategory!$A$63:$F$556,6,FALSE)</f>
        <v>9</v>
      </c>
      <c r="D1341" s="1" t="str">
        <f>VLOOKUP(C1341,Tabulka5[],3,FALSE)</f>
        <v>Sergeant Major of the Army</v>
      </c>
      <c r="E1341" s="1">
        <v>14</v>
      </c>
      <c r="F1341" s="1" t="str">
        <f>VLOOKUP(E1341,Tabulka5[],3,FALSE)</f>
        <v>Lieutenant Colonel</v>
      </c>
      <c r="G1341" s="1" t="s">
        <v>3115</v>
      </c>
      <c r="H1341" s="1" t="s">
        <v>701</v>
      </c>
      <c r="J1341" s="1" t="s">
        <v>2743</v>
      </c>
      <c r="K1341" s="1" t="s">
        <v>2743</v>
      </c>
      <c r="L1341" s="1" t="s">
        <v>3126</v>
      </c>
      <c r="M1341" s="1">
        <v>600000</v>
      </c>
      <c r="N1341" s="1">
        <v>1</v>
      </c>
      <c r="O1341" s="1" t="str">
        <f t="shared" si="113"/>
        <v>"Hatchback_02_Black": 1,</v>
      </c>
      <c r="P1341" s="1" t="str">
        <f t="shared" si="114"/>
        <v>"Hatchback_02_Black": 73,</v>
      </c>
      <c r="Q1341" s="1" t="str">
        <f t="shared" si="115"/>
        <v>"Hatchback_02_Black": 600000,</v>
      </c>
      <c r="R1341" s="1" t="str">
        <f t="shared" si="116"/>
        <v>"Hatchback_02_Black": 14,</v>
      </c>
    </row>
    <row r="1342" spans="1:18" ht="15" customHeight="1" x14ac:dyDescent="0.25">
      <c r="A1342" s="1" t="str">
        <f t="shared" si="112"/>
        <v>#tc_vehicles#tc_vehicles#tc_civil</v>
      </c>
      <c r="B1342" s="1">
        <f>VLOOKUP(A1342,TraderCategory!$A$63:$E$556,2,FALSE)</f>
        <v>73</v>
      </c>
      <c r="C1342" s="1">
        <f>VLOOKUP(A1342,TraderCategory!$A$63:$F$556,6,FALSE)</f>
        <v>9</v>
      </c>
      <c r="D1342" s="1" t="str">
        <f>VLOOKUP(C1342,Tabulka5[],3,FALSE)</f>
        <v>Sergeant Major of the Army</v>
      </c>
      <c r="E1342" s="1">
        <v>13</v>
      </c>
      <c r="F1342" s="1" t="str">
        <f>VLOOKUP(E1342,Tabulka5[],3,FALSE)</f>
        <v>Major</v>
      </c>
      <c r="G1342" s="1" t="s">
        <v>3115</v>
      </c>
      <c r="H1342" s="1" t="s">
        <v>702</v>
      </c>
      <c r="J1342" s="1" t="s">
        <v>2743</v>
      </c>
      <c r="K1342" s="1" t="s">
        <v>2743</v>
      </c>
      <c r="L1342" s="1" t="s">
        <v>3126</v>
      </c>
      <c r="M1342" s="1">
        <v>600000</v>
      </c>
      <c r="N1342" s="1">
        <v>1</v>
      </c>
      <c r="O1342" s="1" t="str">
        <f t="shared" si="113"/>
        <v>"Hatchback_02_Blue": 1,</v>
      </c>
      <c r="P1342" s="1" t="str">
        <f t="shared" si="114"/>
        <v>"Hatchback_02_Blue": 73,</v>
      </c>
      <c r="Q1342" s="1" t="str">
        <f t="shared" si="115"/>
        <v>"Hatchback_02_Blue": 600000,</v>
      </c>
      <c r="R1342" s="1" t="str">
        <f t="shared" si="116"/>
        <v>"Hatchback_02_Blue": 13,</v>
      </c>
    </row>
    <row r="1343" spans="1:18" ht="15" customHeight="1" x14ac:dyDescent="0.25">
      <c r="A1343" s="1" t="str">
        <f t="shared" si="112"/>
        <v>#tc_vehicles#tc_vehicles#tc_civil</v>
      </c>
      <c r="B1343" s="1">
        <f>VLOOKUP(A1343,TraderCategory!$A$63:$E$556,2,FALSE)</f>
        <v>73</v>
      </c>
      <c r="C1343" s="1">
        <f>VLOOKUP(A1343,TraderCategory!$A$63:$F$556,6,FALSE)</f>
        <v>9</v>
      </c>
      <c r="D1343" s="1" t="str">
        <f>VLOOKUP(C1343,Tabulka5[],3,FALSE)</f>
        <v>Sergeant Major of the Army</v>
      </c>
      <c r="E1343" s="1">
        <v>11</v>
      </c>
      <c r="F1343" s="1" t="str">
        <f>VLOOKUP(E1343,Tabulka5[],3,FALSE)</f>
        <v>First Lieutenant</v>
      </c>
      <c r="G1343" s="1" t="s">
        <v>3115</v>
      </c>
      <c r="H1343" s="1" t="s">
        <v>924</v>
      </c>
      <c r="J1343" s="1" t="s">
        <v>2743</v>
      </c>
      <c r="K1343" s="1" t="s">
        <v>2743</v>
      </c>
      <c r="L1343" s="1" t="s">
        <v>3126</v>
      </c>
      <c r="M1343" s="1">
        <v>450000</v>
      </c>
      <c r="N1343" s="1">
        <v>1</v>
      </c>
      <c r="O1343" s="1" t="str">
        <f t="shared" si="113"/>
        <v>"OffroadHatchback": 1,</v>
      </c>
      <c r="P1343" s="1" t="str">
        <f t="shared" si="114"/>
        <v>"OffroadHatchback": 73,</v>
      </c>
      <c r="Q1343" s="1" t="str">
        <f t="shared" si="115"/>
        <v>"OffroadHatchback": 450000,</v>
      </c>
      <c r="R1343" s="1" t="str">
        <f t="shared" si="116"/>
        <v>"OffroadHatchback": 11,</v>
      </c>
    </row>
    <row r="1344" spans="1:18" ht="15" customHeight="1" x14ac:dyDescent="0.25">
      <c r="A1344" s="1" t="str">
        <f t="shared" si="112"/>
        <v>#tc_vehicles#tc_vehicles#tc_civil</v>
      </c>
      <c r="B1344" s="1">
        <f>VLOOKUP(A1344,TraderCategory!$A$63:$E$556,2,FALSE)</f>
        <v>73</v>
      </c>
      <c r="C1344" s="1">
        <f>VLOOKUP(A1344,TraderCategory!$A$63:$F$556,6,FALSE)</f>
        <v>9</v>
      </c>
      <c r="D1344" s="1" t="str">
        <f>VLOOKUP(C1344,Tabulka5[],3,FALSE)</f>
        <v>Sergeant Major of the Army</v>
      </c>
      <c r="E1344" s="1">
        <v>11</v>
      </c>
      <c r="F1344" s="1" t="str">
        <f>VLOOKUP(E1344,Tabulka5[],3,FALSE)</f>
        <v>First Lieutenant</v>
      </c>
      <c r="G1344" s="1" t="s">
        <v>3115</v>
      </c>
      <c r="H1344" s="1" t="s">
        <v>925</v>
      </c>
      <c r="J1344" s="1" t="s">
        <v>2743</v>
      </c>
      <c r="K1344" s="1" t="s">
        <v>2743</v>
      </c>
      <c r="L1344" s="1" t="s">
        <v>3126</v>
      </c>
      <c r="M1344" s="1">
        <v>450000</v>
      </c>
      <c r="N1344" s="1">
        <v>1</v>
      </c>
      <c r="O1344" s="1" t="str">
        <f t="shared" si="113"/>
        <v>"OffroadHatchback_Blue": 1,</v>
      </c>
      <c r="P1344" s="1" t="str">
        <f t="shared" si="114"/>
        <v>"OffroadHatchback_Blue": 73,</v>
      </c>
      <c r="Q1344" s="1" t="str">
        <f t="shared" si="115"/>
        <v>"OffroadHatchback_Blue": 450000,</v>
      </c>
      <c r="R1344" s="1" t="str">
        <f t="shared" si="116"/>
        <v>"OffroadHatchback_Blue": 11,</v>
      </c>
    </row>
    <row r="1345" spans="1:18" ht="15" customHeight="1" x14ac:dyDescent="0.25">
      <c r="A1345" s="1" t="str">
        <f t="shared" si="112"/>
        <v>#tc_vehicles#tc_vehicles#tc_civil</v>
      </c>
      <c r="B1345" s="1">
        <f>VLOOKUP(A1345,TraderCategory!$A$63:$E$556,2,FALSE)</f>
        <v>73</v>
      </c>
      <c r="C1345" s="1">
        <f>VLOOKUP(A1345,TraderCategory!$A$63:$F$556,6,FALSE)</f>
        <v>9</v>
      </c>
      <c r="D1345" s="1" t="str">
        <f>VLOOKUP(C1345,Tabulka5[],3,FALSE)</f>
        <v>Sergeant Major of the Army</v>
      </c>
      <c r="E1345" s="1">
        <v>11</v>
      </c>
      <c r="F1345" s="1" t="str">
        <f>VLOOKUP(E1345,Tabulka5[],3,FALSE)</f>
        <v>First Lieutenant</v>
      </c>
      <c r="G1345" s="1" t="s">
        <v>3115</v>
      </c>
      <c r="H1345" s="1" t="s">
        <v>926</v>
      </c>
      <c r="J1345" s="1" t="s">
        <v>2743</v>
      </c>
      <c r="K1345" s="1" t="s">
        <v>2743</v>
      </c>
      <c r="L1345" s="1" t="s">
        <v>3126</v>
      </c>
      <c r="M1345" s="1">
        <v>450000</v>
      </c>
      <c r="N1345" s="1">
        <v>1</v>
      </c>
      <c r="O1345" s="1" t="str">
        <f t="shared" si="113"/>
        <v>"OffroadHatchback_White": 1,</v>
      </c>
      <c r="P1345" s="1" t="str">
        <f t="shared" si="114"/>
        <v>"OffroadHatchback_White": 73,</v>
      </c>
      <c r="Q1345" s="1" t="str">
        <f t="shared" si="115"/>
        <v>"OffroadHatchback_White": 450000,</v>
      </c>
      <c r="R1345" s="1" t="str">
        <f t="shared" si="116"/>
        <v>"OffroadHatchback_White": 11,</v>
      </c>
    </row>
    <row r="1346" spans="1:18" ht="15" customHeight="1" x14ac:dyDescent="0.25">
      <c r="A1346" s="1" t="str">
        <f t="shared" si="112"/>
        <v>#tc_vehicles#tc_vehicles#tc_civil</v>
      </c>
      <c r="B1346" s="1">
        <f>VLOOKUP(A1346,TraderCategory!$A$63:$E$556,2,FALSE)</f>
        <v>73</v>
      </c>
      <c r="C1346" s="1">
        <f>VLOOKUP(A1346,TraderCategory!$A$63:$F$556,6,FALSE)</f>
        <v>9</v>
      </c>
      <c r="D1346" s="1" t="str">
        <f>VLOOKUP(C1346,Tabulka5[],3,FALSE)</f>
        <v>Sergeant Major of the Army</v>
      </c>
      <c r="E1346" s="1">
        <v>9</v>
      </c>
      <c r="F1346" s="1" t="str">
        <f>VLOOKUP(E1346,Tabulka5[],3,FALSE)</f>
        <v>Sergeant Major of the Army</v>
      </c>
      <c r="G1346" s="1" t="s">
        <v>3115</v>
      </c>
      <c r="H1346" s="1" t="s">
        <v>1008</v>
      </c>
      <c r="J1346" s="1" t="s">
        <v>2743</v>
      </c>
      <c r="K1346" s="1" t="s">
        <v>2743</v>
      </c>
      <c r="L1346" s="1" t="s">
        <v>3126</v>
      </c>
      <c r="M1346" s="1">
        <v>300000</v>
      </c>
      <c r="N1346" s="1">
        <v>1</v>
      </c>
      <c r="O1346" s="1" t="str">
        <f t="shared" si="113"/>
        <v>"Sedan_02": 1,</v>
      </c>
      <c r="P1346" s="1" t="str">
        <f t="shared" si="114"/>
        <v>"Sedan_02": 73,</v>
      </c>
      <c r="Q1346" s="1" t="str">
        <f t="shared" si="115"/>
        <v>"Sedan_02": 300000,</v>
      </c>
      <c r="R1346" s="1" t="str">
        <f t="shared" si="116"/>
        <v>"Sedan_02": 9,</v>
      </c>
    </row>
    <row r="1347" spans="1:18" ht="15" customHeight="1" x14ac:dyDescent="0.25">
      <c r="A1347" s="1" t="str">
        <f t="shared" si="112"/>
        <v>#tc_vehicles#tc_vehicles#tc_civil</v>
      </c>
      <c r="B1347" s="1">
        <f>VLOOKUP(A1347,TraderCategory!$A$63:$E$556,2,FALSE)</f>
        <v>73</v>
      </c>
      <c r="C1347" s="1">
        <f>VLOOKUP(A1347,TraderCategory!$A$63:$F$556,6,FALSE)</f>
        <v>9</v>
      </c>
      <c r="D1347" s="1" t="str">
        <f>VLOOKUP(C1347,Tabulka5[],3,FALSE)</f>
        <v>Sergeant Major of the Army</v>
      </c>
      <c r="E1347" s="1">
        <v>9</v>
      </c>
      <c r="F1347" s="1" t="str">
        <f>VLOOKUP(E1347,Tabulka5[],3,FALSE)</f>
        <v>Sergeant Major of the Army</v>
      </c>
      <c r="G1347" s="1" t="s">
        <v>3115</v>
      </c>
      <c r="H1347" s="1" t="s">
        <v>1021</v>
      </c>
      <c r="J1347" s="1" t="s">
        <v>2743</v>
      </c>
      <c r="K1347" s="1" t="s">
        <v>2743</v>
      </c>
      <c r="L1347" s="1" t="s">
        <v>3126</v>
      </c>
      <c r="M1347" s="1">
        <v>300000</v>
      </c>
      <c r="N1347" s="1">
        <v>1</v>
      </c>
      <c r="O1347" s="1" t="str">
        <f t="shared" si="113"/>
        <v>"Sedan_02_Grey": 1,</v>
      </c>
      <c r="P1347" s="1" t="str">
        <f t="shared" si="114"/>
        <v>"Sedan_02_Grey": 73,</v>
      </c>
      <c r="Q1347" s="1" t="str">
        <f t="shared" si="115"/>
        <v>"Sedan_02_Grey": 300000,</v>
      </c>
      <c r="R1347" s="1" t="str">
        <f t="shared" si="116"/>
        <v>"Sedan_02_Grey": 9,</v>
      </c>
    </row>
    <row r="1348" spans="1:18" ht="15" customHeight="1" x14ac:dyDescent="0.25">
      <c r="A1348" s="1" t="str">
        <f t="shared" si="112"/>
        <v>#tc_vehicles#tc_vehicles#tc_civil</v>
      </c>
      <c r="B1348" s="1">
        <f>VLOOKUP(A1348,TraderCategory!$A$63:$E$556,2,FALSE)</f>
        <v>73</v>
      </c>
      <c r="C1348" s="1">
        <f>VLOOKUP(A1348,TraderCategory!$A$63:$F$556,6,FALSE)</f>
        <v>9</v>
      </c>
      <c r="D1348" s="1" t="str">
        <f>VLOOKUP(C1348,Tabulka5[],3,FALSE)</f>
        <v>Sergeant Major of the Army</v>
      </c>
      <c r="E1348" s="1">
        <v>9</v>
      </c>
      <c r="F1348" s="1" t="str">
        <f>VLOOKUP(E1348,Tabulka5[],3,FALSE)</f>
        <v>Sergeant Major of the Army</v>
      </c>
      <c r="G1348" s="1" t="s">
        <v>3115</v>
      </c>
      <c r="H1348" s="1" t="s">
        <v>1025</v>
      </c>
      <c r="J1348" s="1" t="s">
        <v>2743</v>
      </c>
      <c r="K1348" s="1" t="s">
        <v>2743</v>
      </c>
      <c r="L1348" s="1" t="s">
        <v>3126</v>
      </c>
      <c r="M1348" s="1">
        <v>300000</v>
      </c>
      <c r="N1348" s="1">
        <v>1</v>
      </c>
      <c r="O1348" s="1" t="str">
        <f t="shared" si="113"/>
        <v>"Sedan_02_Red": 1,</v>
      </c>
      <c r="P1348" s="1" t="str">
        <f t="shared" si="114"/>
        <v>"Sedan_02_Red": 73,</v>
      </c>
      <c r="Q1348" s="1" t="str">
        <f t="shared" si="115"/>
        <v>"Sedan_02_Red": 300000,</v>
      </c>
      <c r="R1348" s="1" t="str">
        <f t="shared" si="116"/>
        <v>"Sedan_02_Red": 9,</v>
      </c>
    </row>
    <row r="1349" spans="1:18" ht="15" customHeight="1" x14ac:dyDescent="0.25">
      <c r="A1349" s="1" t="str">
        <f t="shared" si="112"/>
        <v>#tc_vehicles#tc_vehicles#tc_transport</v>
      </c>
      <c r="B1349" s="1">
        <f>VLOOKUP(A1349,TraderCategory!$A$63:$E$556,2,FALSE)</f>
        <v>75</v>
      </c>
      <c r="C1349" s="1">
        <f>VLOOKUP(A1349,TraderCategory!$A$63:$F$556,6,FALSE)</f>
        <v>9</v>
      </c>
      <c r="D1349" s="1" t="str">
        <f>VLOOKUP(C1349,Tabulka5[],3,FALSE)</f>
        <v>Sergeant Major of the Army</v>
      </c>
      <c r="E1349" s="1">
        <v>15</v>
      </c>
      <c r="F1349" s="1" t="str">
        <f>VLOOKUP(E1349,Tabulka5[],3,FALSE)</f>
        <v>Colonel</v>
      </c>
      <c r="G1349" s="1" t="s">
        <v>3228</v>
      </c>
      <c r="H1349" s="1" t="s">
        <v>1142</v>
      </c>
      <c r="J1349" s="1" t="s">
        <v>2743</v>
      </c>
      <c r="K1349" s="1" t="s">
        <v>2743</v>
      </c>
      <c r="L1349" s="1" t="s">
        <v>3166</v>
      </c>
      <c r="M1349" s="1">
        <v>900000</v>
      </c>
      <c r="N1349" s="1">
        <v>0</v>
      </c>
      <c r="O1349" s="1" t="str">
        <f t="shared" si="113"/>
        <v>"TransitBus": 0,</v>
      </c>
      <c r="P1349" s="1" t="str">
        <f t="shared" si="114"/>
        <v>"TransitBus": 75,</v>
      </c>
      <c r="Q1349" s="1" t="str">
        <f t="shared" si="115"/>
        <v>"TransitBus": 900000,</v>
      </c>
      <c r="R1349" s="1" t="str">
        <f t="shared" si="116"/>
        <v>"TransitBus": 15,</v>
      </c>
    </row>
    <row r="1350" spans="1:18" ht="15" customHeight="1" x14ac:dyDescent="0.25">
      <c r="A1350" s="1" t="str">
        <f t="shared" si="112"/>
        <v>#tc_vehicles#tc_vehicles#tc_cargo</v>
      </c>
      <c r="B1350" s="1">
        <f>VLOOKUP(A1350,TraderCategory!$A$63:$E$556,2,FALSE)</f>
        <v>74</v>
      </c>
      <c r="C1350" s="1">
        <f>VLOOKUP(A1350,TraderCategory!$A$63:$F$556,6,FALSE)</f>
        <v>9</v>
      </c>
      <c r="D1350" s="1" t="str">
        <f>VLOOKUP(C1350,Tabulka5[],3,FALSE)</f>
        <v>Sergeant Major of the Army</v>
      </c>
      <c r="E1350" s="1">
        <v>15</v>
      </c>
      <c r="F1350" s="1" t="str">
        <f>VLOOKUP(E1350,Tabulka5[],3,FALSE)</f>
        <v>Colonel</v>
      </c>
      <c r="G1350" s="1" t="s">
        <v>3228</v>
      </c>
      <c r="H1350" s="1" t="s">
        <v>1159</v>
      </c>
      <c r="J1350" s="1" t="s">
        <v>2743</v>
      </c>
      <c r="K1350" s="1" t="s">
        <v>2743</v>
      </c>
      <c r="L1350" s="1" t="s">
        <v>3137</v>
      </c>
      <c r="M1350" s="1">
        <v>750000</v>
      </c>
      <c r="N1350" s="1">
        <v>0</v>
      </c>
      <c r="O1350" s="1" t="str">
        <f t="shared" si="113"/>
        <v>"V3S_Cargo": 0,</v>
      </c>
      <c r="P1350" s="1" t="str">
        <f t="shared" si="114"/>
        <v>"V3S_Cargo": 74,</v>
      </c>
      <c r="Q1350" s="1" t="str">
        <f t="shared" si="115"/>
        <v>"V3S_Cargo": 750000,</v>
      </c>
      <c r="R1350" s="1" t="str">
        <f t="shared" si="116"/>
        <v>"V3S_Cargo": 15,</v>
      </c>
    </row>
    <row r="1351" spans="1:18" ht="15" customHeight="1" x14ac:dyDescent="0.25">
      <c r="A1351" s="1" t="str">
        <f t="shared" si="112"/>
        <v>#tc_vehicles#tc_vehicles#tc_cargo</v>
      </c>
      <c r="B1351" s="1">
        <f>VLOOKUP(A1351,TraderCategory!$A$63:$E$556,2,FALSE)</f>
        <v>74</v>
      </c>
      <c r="C1351" s="1">
        <f>VLOOKUP(A1351,TraderCategory!$A$63:$F$556,6,FALSE)</f>
        <v>9</v>
      </c>
      <c r="D1351" s="1" t="str">
        <f>VLOOKUP(C1351,Tabulka5[],3,FALSE)</f>
        <v>Sergeant Major of the Army</v>
      </c>
      <c r="E1351" s="1">
        <v>15</v>
      </c>
      <c r="F1351" s="1" t="str">
        <f>VLOOKUP(E1351,Tabulka5[],3,FALSE)</f>
        <v>Colonel</v>
      </c>
      <c r="G1351" s="1" t="s">
        <v>3228</v>
      </c>
      <c r="H1351" s="1" t="s">
        <v>1160</v>
      </c>
      <c r="J1351" s="1" t="s">
        <v>2743</v>
      </c>
      <c r="K1351" s="1" t="s">
        <v>2743</v>
      </c>
      <c r="L1351" s="1" t="s">
        <v>3137</v>
      </c>
      <c r="M1351" s="1">
        <v>750000</v>
      </c>
      <c r="N1351" s="1">
        <v>0</v>
      </c>
      <c r="O1351" s="1" t="str">
        <f t="shared" si="113"/>
        <v>"V3S_Cargo_Blue": 0,</v>
      </c>
      <c r="P1351" s="1" t="str">
        <f t="shared" si="114"/>
        <v>"V3S_Cargo_Blue": 74,</v>
      </c>
      <c r="Q1351" s="1" t="str">
        <f t="shared" si="115"/>
        <v>"V3S_Cargo_Blue": 750000,</v>
      </c>
      <c r="R1351" s="1" t="str">
        <f t="shared" si="116"/>
        <v>"V3S_Cargo_Blue": 15,</v>
      </c>
    </row>
    <row r="1352" spans="1:18" ht="15" customHeight="1" x14ac:dyDescent="0.25">
      <c r="A1352" s="1" t="str">
        <f t="shared" si="112"/>
        <v>#tc_vehicles#tc_vehicles#tc_cargo</v>
      </c>
      <c r="B1352" s="1">
        <f>VLOOKUP(A1352,TraderCategory!$A$63:$E$556,2,FALSE)</f>
        <v>74</v>
      </c>
      <c r="C1352" s="1">
        <f>VLOOKUP(A1352,TraderCategory!$A$63:$F$556,6,FALSE)</f>
        <v>9</v>
      </c>
      <c r="D1352" s="1" t="str">
        <f>VLOOKUP(C1352,Tabulka5[],3,FALSE)</f>
        <v>Sergeant Major of the Army</v>
      </c>
      <c r="E1352" s="1">
        <v>15</v>
      </c>
      <c r="F1352" s="1" t="str">
        <f>VLOOKUP(E1352,Tabulka5[],3,FALSE)</f>
        <v>Colonel</v>
      </c>
      <c r="G1352" s="1" t="s">
        <v>3228</v>
      </c>
      <c r="H1352" s="1" t="s">
        <v>1161</v>
      </c>
      <c r="J1352" s="1" t="s">
        <v>2743</v>
      </c>
      <c r="K1352" s="1" t="s">
        <v>2743</v>
      </c>
      <c r="L1352" s="1" t="s">
        <v>3137</v>
      </c>
      <c r="M1352" s="1">
        <v>750000</v>
      </c>
      <c r="N1352" s="1">
        <v>0</v>
      </c>
      <c r="O1352" s="1" t="str">
        <f t="shared" si="113"/>
        <v>"V3S_Cargo_Grey": 0,</v>
      </c>
      <c r="P1352" s="1" t="str">
        <f t="shared" si="114"/>
        <v>"V3S_Cargo_Grey": 74,</v>
      </c>
      <c r="Q1352" s="1" t="str">
        <f t="shared" si="115"/>
        <v>"V3S_Cargo_Grey": 750000,</v>
      </c>
      <c r="R1352" s="1" t="str">
        <f t="shared" si="116"/>
        <v>"V3S_Cargo_Grey": 15,</v>
      </c>
    </row>
    <row r="1353" spans="1:18" ht="15" customHeight="1" x14ac:dyDescent="0.25">
      <c r="A1353" s="1" t="str">
        <f t="shared" si="112"/>
        <v>#tc_vehicles#tc_vehicles#tc_cargo</v>
      </c>
      <c r="B1353" s="1">
        <f>VLOOKUP(A1353,TraderCategory!$A$63:$E$556,2,FALSE)</f>
        <v>74</v>
      </c>
      <c r="C1353" s="1">
        <f>VLOOKUP(A1353,TraderCategory!$A$63:$F$556,6,FALSE)</f>
        <v>9</v>
      </c>
      <c r="D1353" s="1" t="str">
        <f>VLOOKUP(C1353,Tabulka5[],3,FALSE)</f>
        <v>Sergeant Major of the Army</v>
      </c>
      <c r="E1353" s="1">
        <v>15</v>
      </c>
      <c r="F1353" s="1" t="str">
        <f>VLOOKUP(E1353,Tabulka5[],3,FALSE)</f>
        <v>Colonel</v>
      </c>
      <c r="G1353" s="1" t="s">
        <v>3228</v>
      </c>
      <c r="H1353" s="1" t="s">
        <v>1162</v>
      </c>
      <c r="J1353" s="1" t="s">
        <v>2743</v>
      </c>
      <c r="K1353" s="1" t="s">
        <v>2743</v>
      </c>
      <c r="L1353" s="1" t="s">
        <v>3137</v>
      </c>
      <c r="M1353" s="1">
        <v>750000</v>
      </c>
      <c r="N1353" s="1">
        <v>0</v>
      </c>
      <c r="O1353" s="1" t="str">
        <f t="shared" si="113"/>
        <v>"V3S_Cargo_Orange": 0,</v>
      </c>
      <c r="P1353" s="1" t="str">
        <f t="shared" si="114"/>
        <v>"V3S_Cargo_Orange": 74,</v>
      </c>
      <c r="Q1353" s="1" t="str">
        <f t="shared" si="115"/>
        <v>"V3S_Cargo_Orange": 750000,</v>
      </c>
      <c r="R1353" s="1" t="str">
        <f t="shared" si="116"/>
        <v>"V3S_Cargo_Orange": 15,</v>
      </c>
    </row>
    <row r="1354" spans="1:18" ht="15" customHeight="1" x14ac:dyDescent="0.25">
      <c r="A1354" s="1" t="str">
        <f t="shared" si="112"/>
        <v>#tc_vehicles#tc_vehicles#tc_cargo</v>
      </c>
      <c r="B1354" s="1">
        <f>VLOOKUP(A1354,TraderCategory!$A$63:$E$556,2,FALSE)</f>
        <v>74</v>
      </c>
      <c r="C1354" s="1">
        <f>VLOOKUP(A1354,TraderCategory!$A$63:$F$556,6,FALSE)</f>
        <v>9</v>
      </c>
      <c r="D1354" s="1" t="str">
        <f>VLOOKUP(C1354,Tabulka5[],3,FALSE)</f>
        <v>Sergeant Major of the Army</v>
      </c>
      <c r="E1354" s="1">
        <v>15</v>
      </c>
      <c r="F1354" s="1" t="str">
        <f>VLOOKUP(E1354,Tabulka5[],3,FALSE)</f>
        <v>Colonel</v>
      </c>
      <c r="G1354" s="1" t="s">
        <v>3228</v>
      </c>
      <c r="H1354" s="1" t="s">
        <v>1163</v>
      </c>
      <c r="J1354" s="1" t="s">
        <v>2743</v>
      </c>
      <c r="K1354" s="1" t="s">
        <v>2743</v>
      </c>
      <c r="L1354" s="1" t="s">
        <v>3137</v>
      </c>
      <c r="M1354" s="1">
        <v>750000</v>
      </c>
      <c r="N1354" s="1">
        <v>0</v>
      </c>
      <c r="O1354" s="1" t="str">
        <f t="shared" si="113"/>
        <v>"V3S_Chassis": 0,</v>
      </c>
      <c r="P1354" s="1" t="str">
        <f t="shared" si="114"/>
        <v>"V3S_Chassis": 74,</v>
      </c>
      <c r="Q1354" s="1" t="str">
        <f t="shared" si="115"/>
        <v>"V3S_Chassis": 750000,</v>
      </c>
      <c r="R1354" s="1" t="str">
        <f t="shared" si="116"/>
        <v>"V3S_Chassis": 15,</v>
      </c>
    </row>
    <row r="1355" spans="1:18" ht="15" customHeight="1" x14ac:dyDescent="0.25">
      <c r="A1355" s="1" t="str">
        <f t="shared" si="112"/>
        <v>#tc_vehicles#tc_vehicles#tc_cargo</v>
      </c>
      <c r="B1355" s="1">
        <f>VLOOKUP(A1355,TraderCategory!$A$63:$E$556,2,FALSE)</f>
        <v>74</v>
      </c>
      <c r="C1355" s="1">
        <f>VLOOKUP(A1355,TraderCategory!$A$63:$F$556,6,FALSE)</f>
        <v>9</v>
      </c>
      <c r="D1355" s="1" t="str">
        <f>VLOOKUP(C1355,Tabulka5[],3,FALSE)</f>
        <v>Sergeant Major of the Army</v>
      </c>
      <c r="E1355" s="1">
        <v>15</v>
      </c>
      <c r="F1355" s="1" t="str">
        <f>VLOOKUP(E1355,Tabulka5[],3,FALSE)</f>
        <v>Colonel</v>
      </c>
      <c r="G1355" s="1" t="s">
        <v>3228</v>
      </c>
      <c r="H1355" s="1" t="s">
        <v>1164</v>
      </c>
      <c r="J1355" s="1" t="s">
        <v>2743</v>
      </c>
      <c r="K1355" s="1" t="s">
        <v>2743</v>
      </c>
      <c r="L1355" s="1" t="s">
        <v>3137</v>
      </c>
      <c r="M1355" s="1">
        <v>750000</v>
      </c>
      <c r="N1355" s="1">
        <v>0</v>
      </c>
      <c r="O1355" s="1" t="str">
        <f t="shared" si="113"/>
        <v>"V3S_Chassis_Blue": 0,</v>
      </c>
      <c r="P1355" s="1" t="str">
        <f t="shared" si="114"/>
        <v>"V3S_Chassis_Blue": 74,</v>
      </c>
      <c r="Q1355" s="1" t="str">
        <f t="shared" si="115"/>
        <v>"V3S_Chassis_Blue": 750000,</v>
      </c>
      <c r="R1355" s="1" t="str">
        <f t="shared" si="116"/>
        <v>"V3S_Chassis_Blue": 15,</v>
      </c>
    </row>
    <row r="1356" spans="1:18" ht="15" customHeight="1" x14ac:dyDescent="0.25">
      <c r="A1356" s="1" t="str">
        <f t="shared" si="112"/>
        <v>#tc_vehicles#tc_vehicles#tc_cargo</v>
      </c>
      <c r="B1356" s="1">
        <f>VLOOKUP(A1356,TraderCategory!$A$63:$E$556,2,FALSE)</f>
        <v>74</v>
      </c>
      <c r="C1356" s="1">
        <f>VLOOKUP(A1356,TraderCategory!$A$63:$F$556,6,FALSE)</f>
        <v>9</v>
      </c>
      <c r="D1356" s="1" t="str">
        <f>VLOOKUP(C1356,Tabulka5[],3,FALSE)</f>
        <v>Sergeant Major of the Army</v>
      </c>
      <c r="E1356" s="1">
        <v>15</v>
      </c>
      <c r="F1356" s="1" t="str">
        <f>VLOOKUP(E1356,Tabulka5[],3,FALSE)</f>
        <v>Colonel</v>
      </c>
      <c r="G1356" s="1" t="s">
        <v>3228</v>
      </c>
      <c r="H1356" s="1" t="s">
        <v>1165</v>
      </c>
      <c r="J1356" s="1" t="s">
        <v>2743</v>
      </c>
      <c r="K1356" s="1" t="s">
        <v>2743</v>
      </c>
      <c r="L1356" s="1" t="s">
        <v>3137</v>
      </c>
      <c r="M1356" s="1">
        <v>750000</v>
      </c>
      <c r="N1356" s="1">
        <v>0</v>
      </c>
      <c r="O1356" s="1" t="str">
        <f t="shared" si="113"/>
        <v>"V3S_Chassis_Grey": 0,</v>
      </c>
      <c r="P1356" s="1" t="str">
        <f t="shared" si="114"/>
        <v>"V3S_Chassis_Grey": 74,</v>
      </c>
      <c r="Q1356" s="1" t="str">
        <f t="shared" si="115"/>
        <v>"V3S_Chassis_Grey": 750000,</v>
      </c>
      <c r="R1356" s="1" t="str">
        <f t="shared" si="116"/>
        <v>"V3S_Chassis_Grey": 15,</v>
      </c>
    </row>
    <row r="1357" spans="1:18" ht="15" customHeight="1" x14ac:dyDescent="0.25">
      <c r="A1357" s="1" t="str">
        <f t="shared" si="112"/>
        <v>#tc_vehicles#tc_vehicles#tc_cargo</v>
      </c>
      <c r="B1357" s="1">
        <f>VLOOKUP(A1357,TraderCategory!$A$63:$E$556,2,FALSE)</f>
        <v>74</v>
      </c>
      <c r="C1357" s="1">
        <f>VLOOKUP(A1357,TraderCategory!$A$63:$F$556,6,FALSE)</f>
        <v>9</v>
      </c>
      <c r="D1357" s="1" t="str">
        <f>VLOOKUP(C1357,Tabulka5[],3,FALSE)</f>
        <v>Sergeant Major of the Army</v>
      </c>
      <c r="E1357" s="1">
        <v>15</v>
      </c>
      <c r="F1357" s="1" t="str">
        <f>VLOOKUP(E1357,Tabulka5[],3,FALSE)</f>
        <v>Colonel</v>
      </c>
      <c r="G1357" s="1" t="s">
        <v>3228</v>
      </c>
      <c r="H1357" s="1" t="s">
        <v>1166</v>
      </c>
      <c r="J1357" s="1" t="s">
        <v>2743</v>
      </c>
      <c r="K1357" s="1" t="s">
        <v>2743</v>
      </c>
      <c r="L1357" s="1" t="s">
        <v>3137</v>
      </c>
      <c r="M1357" s="1">
        <v>750000</v>
      </c>
      <c r="N1357" s="1">
        <v>0</v>
      </c>
      <c r="O1357" s="1" t="str">
        <f t="shared" si="113"/>
        <v>"V3S_Chassis_Orange": 0,</v>
      </c>
      <c r="P1357" s="1" t="str">
        <f t="shared" si="114"/>
        <v>"V3S_Chassis_Orange": 74,</v>
      </c>
      <c r="Q1357" s="1" t="str">
        <f t="shared" si="115"/>
        <v>"V3S_Chassis_Orange": 750000,</v>
      </c>
      <c r="R1357" s="1" t="str">
        <f t="shared" si="116"/>
        <v>"V3S_Chassis_Orange": 15,</v>
      </c>
    </row>
    <row r="1358" spans="1:18" ht="15" customHeight="1" x14ac:dyDescent="0.25">
      <c r="A1358" s="1" t="str">
        <f t="shared" si="112"/>
        <v>#tc_vehicles#tc_vehicles#tc_civil</v>
      </c>
      <c r="B1358" s="1">
        <f>VLOOKUP(A1358,TraderCategory!$A$63:$E$556,2,FALSE)</f>
        <v>73</v>
      </c>
      <c r="C1358" s="1">
        <f>VLOOKUP(A1358,TraderCategory!$A$63:$F$556,6,FALSE)</f>
        <v>9</v>
      </c>
      <c r="D1358" s="1" t="str">
        <f>VLOOKUP(C1358,Tabulka5[],3,FALSE)</f>
        <v>Sergeant Major of the Army</v>
      </c>
      <c r="E1358" s="1">
        <v>17</v>
      </c>
      <c r="F1358" s="1" t="str">
        <f>VLOOKUP(E1358,Tabulka5[],3,FALSE)</f>
        <v>Major General</v>
      </c>
      <c r="G1358" s="1" t="s">
        <v>3123</v>
      </c>
      <c r="H1358" s="1" t="s">
        <v>1355</v>
      </c>
      <c r="J1358" s="1" t="s">
        <v>2743</v>
      </c>
      <c r="K1358" s="1" t="s">
        <v>2743</v>
      </c>
      <c r="L1358" s="1" t="s">
        <v>3126</v>
      </c>
      <c r="M1358" s="1">
        <v>1000000</v>
      </c>
      <c r="N1358" s="1">
        <v>1</v>
      </c>
      <c r="O1358" s="1" t="str">
        <f t="shared" si="113"/>
        <v>"CrSk_Land_Rover_Defender_110": 1,</v>
      </c>
      <c r="P1358" s="1" t="str">
        <f t="shared" si="114"/>
        <v>"CrSk_Land_Rover_Defender_110": 73,</v>
      </c>
      <c r="Q1358" s="1" t="str">
        <f t="shared" si="115"/>
        <v>"CrSk_Land_Rover_Defender_110": 1000000,</v>
      </c>
      <c r="R1358" s="1" t="str">
        <f t="shared" si="116"/>
        <v>"CrSk_Land_Rover_Defender_110": 17,</v>
      </c>
    </row>
    <row r="1359" spans="1:18" ht="15" customHeight="1" x14ac:dyDescent="0.25">
      <c r="A1359" s="1" t="str">
        <f t="shared" si="112"/>
        <v>#tc_vehicles#tc_vehicles#tc_civil</v>
      </c>
      <c r="B1359" s="1">
        <f>VLOOKUP(A1359,TraderCategory!$A$63:$E$556,2,FALSE)</f>
        <v>73</v>
      </c>
      <c r="C1359" s="1">
        <f>VLOOKUP(A1359,TraderCategory!$A$63:$F$556,6,FALSE)</f>
        <v>9</v>
      </c>
      <c r="D1359" s="1" t="str">
        <f>VLOOKUP(C1359,Tabulka5[],3,FALSE)</f>
        <v>Sergeant Major of the Army</v>
      </c>
      <c r="E1359" s="1">
        <v>18</v>
      </c>
      <c r="F1359" s="1" t="str">
        <f>VLOOKUP(E1359,Tabulka5[],3,FALSE)</f>
        <v>Lieutenant General</v>
      </c>
      <c r="G1359" s="1" t="s">
        <v>3123</v>
      </c>
      <c r="H1359" s="1" t="s">
        <v>1356</v>
      </c>
      <c r="J1359" s="1" t="s">
        <v>2743</v>
      </c>
      <c r="K1359" s="1" t="s">
        <v>2743</v>
      </c>
      <c r="L1359" s="1" t="s">
        <v>3126</v>
      </c>
      <c r="M1359" s="1">
        <v>1000000</v>
      </c>
      <c r="N1359" s="1">
        <v>1</v>
      </c>
      <c r="O1359" s="1" t="str">
        <f t="shared" si="113"/>
        <v>"CrSk_Land_Rover_Defender_110_Green": 1,</v>
      </c>
      <c r="P1359" s="1" t="str">
        <f t="shared" si="114"/>
        <v>"CrSk_Land_Rover_Defender_110_Green": 73,</v>
      </c>
      <c r="Q1359" s="1" t="str">
        <f t="shared" si="115"/>
        <v>"CrSk_Land_Rover_Defender_110_Green": 1000000,</v>
      </c>
      <c r="R1359" s="1" t="str">
        <f t="shared" si="116"/>
        <v>"CrSk_Land_Rover_Defender_110_Green": 18,</v>
      </c>
    </row>
    <row r="1360" spans="1:18" ht="15" customHeight="1" x14ac:dyDescent="0.25">
      <c r="A1360" s="1" t="str">
        <f t="shared" si="112"/>
        <v>#tc_vehicles#tc_vehicles#tc_civil</v>
      </c>
      <c r="B1360" s="1">
        <f>VLOOKUP(A1360,TraderCategory!$A$63:$E$556,2,FALSE)</f>
        <v>73</v>
      </c>
      <c r="C1360" s="1">
        <f>VLOOKUP(A1360,TraderCategory!$A$63:$F$556,6,FALSE)</f>
        <v>9</v>
      </c>
      <c r="D1360" s="1" t="str">
        <f>VLOOKUP(C1360,Tabulka5[],3,FALSE)</f>
        <v>Sergeant Major of the Army</v>
      </c>
      <c r="E1360" s="1">
        <v>17</v>
      </c>
      <c r="F1360" s="1" t="str">
        <f>VLOOKUP(E1360,Tabulka5[],3,FALSE)</f>
        <v>Major General</v>
      </c>
      <c r="G1360" s="1" t="s">
        <v>3123</v>
      </c>
      <c r="H1360" s="1" t="s">
        <v>1357</v>
      </c>
      <c r="J1360" s="1" t="s">
        <v>2743</v>
      </c>
      <c r="K1360" s="1" t="s">
        <v>2743</v>
      </c>
      <c r="L1360" s="1" t="s">
        <v>3126</v>
      </c>
      <c r="M1360" s="1">
        <v>1000000</v>
      </c>
      <c r="N1360" s="1">
        <v>1</v>
      </c>
      <c r="O1360" s="1" t="str">
        <f t="shared" si="113"/>
        <v>"CrSk_Land_Rover_Defender_110_UN": 1,</v>
      </c>
      <c r="P1360" s="1" t="str">
        <f t="shared" si="114"/>
        <v>"CrSk_Land_Rover_Defender_110_UN": 73,</v>
      </c>
      <c r="Q1360" s="1" t="str">
        <f t="shared" si="115"/>
        <v>"CrSk_Land_Rover_Defender_110_UN": 1000000,</v>
      </c>
      <c r="R1360" s="1" t="str">
        <f t="shared" si="116"/>
        <v>"CrSk_Land_Rover_Defender_110_UN": 17,</v>
      </c>
    </row>
    <row r="1361" spans="1:18" ht="15" customHeight="1" x14ac:dyDescent="0.25">
      <c r="A1361" s="1" t="str">
        <f t="shared" si="112"/>
        <v>#tc_vehicles#tc_vehicles#tc_cargo</v>
      </c>
      <c r="B1361" s="1">
        <f>VLOOKUP(A1361,TraderCategory!$A$63:$E$556,2,FALSE)</f>
        <v>74</v>
      </c>
      <c r="C1361" s="1">
        <f>VLOOKUP(A1361,TraderCategory!$A$63:$F$556,6,FALSE)</f>
        <v>9</v>
      </c>
      <c r="D1361" s="1" t="str">
        <f>VLOOKUP(C1361,Tabulka5[],3,FALSE)</f>
        <v>Sergeant Major of the Army</v>
      </c>
      <c r="E1361" s="1">
        <v>16</v>
      </c>
      <c r="F1361" s="1" t="str">
        <f>VLOOKUP(E1361,Tabulka5[],3,FALSE)</f>
        <v>Brigadier General</v>
      </c>
      <c r="G1361" s="1" t="s">
        <v>3122</v>
      </c>
      <c r="H1361" s="1" t="s">
        <v>1377</v>
      </c>
      <c r="J1361" s="1" t="s">
        <v>2743</v>
      </c>
      <c r="K1361" s="1" t="s">
        <v>2743</v>
      </c>
      <c r="L1361" s="1" t="s">
        <v>3137</v>
      </c>
      <c r="M1361" s="1">
        <v>850000</v>
      </c>
      <c r="N1361" s="1">
        <v>1</v>
      </c>
      <c r="O1361" s="1" t="str">
        <f t="shared" si="113"/>
        <v>"Gerph_Zil130": 1,</v>
      </c>
      <c r="P1361" s="1" t="str">
        <f t="shared" si="114"/>
        <v>"Gerph_Zil130": 74,</v>
      </c>
      <c r="Q1361" s="1" t="str">
        <f t="shared" si="115"/>
        <v>"Gerph_Zil130": 850000,</v>
      </c>
      <c r="R1361" s="1" t="str">
        <f t="shared" si="116"/>
        <v>"Gerph_Zil130": 16,</v>
      </c>
    </row>
    <row r="1362" spans="1:18" ht="15" customHeight="1" x14ac:dyDescent="0.25">
      <c r="A1362" s="1" t="str">
        <f t="shared" si="112"/>
        <v>#tc_groceries#tc_food#tc_meat</v>
      </c>
      <c r="B1362" s="1">
        <f>VLOOKUP(A1362,TraderCategory!$A$63:$E$556,2,FALSE)</f>
        <v>21</v>
      </c>
      <c r="C1362" s="1">
        <f>VLOOKUP(A1362,TraderCategory!$A$63:$F$556,6,FALSE)</f>
        <v>3</v>
      </c>
      <c r="D1362" s="1" t="str">
        <f>VLOOKUP(C1362,Tabulka5[],3,FALSE)</f>
        <v>Sergeant</v>
      </c>
      <c r="E1362" s="1">
        <v>3</v>
      </c>
      <c r="F1362" s="1" t="str">
        <f>VLOOKUP(E1362,Tabulka5[],3,FALSE)</f>
        <v>Sergeant</v>
      </c>
      <c r="G1362" s="1" t="s">
        <v>3115</v>
      </c>
      <c r="H1362" s="1" t="s">
        <v>752</v>
      </c>
      <c r="J1362" s="1" t="s">
        <v>3127</v>
      </c>
      <c r="K1362" s="1" t="s">
        <v>2730</v>
      </c>
      <c r="L1362" s="1" t="s">
        <v>3141</v>
      </c>
      <c r="M1362" s="1">
        <v>6000</v>
      </c>
      <c r="N1362" s="1">
        <v>1</v>
      </c>
      <c r="O1362" s="1" t="str">
        <f t="shared" si="113"/>
        <v>"HumanSteakMeat": 1,</v>
      </c>
      <c r="P1362" s="1" t="str">
        <f t="shared" si="114"/>
        <v>"HumanSteakMeat": 21,</v>
      </c>
      <c r="Q1362" s="1" t="str">
        <f t="shared" si="115"/>
        <v>"HumanSteakMeat": 6000,</v>
      </c>
      <c r="R1362" s="1" t="str">
        <f t="shared" si="116"/>
        <v>"HumanSteakMeat": 3,</v>
      </c>
    </row>
    <row r="1363" spans="1:18" ht="15" customHeight="1" x14ac:dyDescent="0.25">
      <c r="A1363" s="1" t="str">
        <f t="shared" ref="A1363" si="117">CONCATENATE(J1363,K1363,L1363)</f>
        <v>#tc_groceries#tc_medic#tc_insurance</v>
      </c>
      <c r="B1363" s="1">
        <f>VLOOKUP(A1363,TraderCategory!$A$63:$E$556,2,FALSE)</f>
        <v>27</v>
      </c>
      <c r="C1363" s="1">
        <f>VLOOKUP(A1363,TraderCategory!$A$63:$F$556,6,FALSE)</f>
        <v>3</v>
      </c>
      <c r="D1363" s="1" t="str">
        <f>VLOOKUP(C1363,Tabulka5[],3,FALSE)</f>
        <v>Sergeant</v>
      </c>
      <c r="E1363" s="1">
        <v>3</v>
      </c>
      <c r="F1363" s="1" t="str">
        <f>VLOOKUP(E1363,Tabulka5[],3,FALSE)</f>
        <v>Sergeant</v>
      </c>
      <c r="G1363" s="1" t="s">
        <v>3120</v>
      </c>
      <c r="H1363" s="1" t="s">
        <v>2781</v>
      </c>
      <c r="J1363" s="1" t="s">
        <v>3127</v>
      </c>
      <c r="K1363" s="1" t="s">
        <v>2739</v>
      </c>
      <c r="L1363" s="1" t="s">
        <v>3174</v>
      </c>
      <c r="M1363" s="1">
        <v>70000</v>
      </c>
      <c r="N1363" s="1">
        <v>1</v>
      </c>
      <c r="O1363" s="1" t="str">
        <f t="shared" si="113"/>
        <v>"alp_LifeInsuranceExclusive": 1,</v>
      </c>
      <c r="P1363" s="1" t="str">
        <f t="shared" si="114"/>
        <v>"alp_LifeInsuranceExclusive": 27,</v>
      </c>
      <c r="Q1363" s="1" t="str">
        <f t="shared" si="115"/>
        <v>"alp_LifeInsuranceExclusive": 70000,</v>
      </c>
      <c r="R1363" s="1" t="str">
        <f t="shared" si="116"/>
        <v>"alp_LifeInsuranceExclusive": 3,</v>
      </c>
    </row>
    <row r="1364" spans="1:18" x14ac:dyDescent="0.25">
      <c r="A1364" s="1" t="str">
        <f>CONCATENATE(J1364,K1364,L1364)</f>
        <v>#tc_groceries#tc_tools#tc_tools</v>
      </c>
      <c r="B1364" s="1">
        <f>VLOOKUP(A1364,TraderCategory!$A$63:$E$556,2,FALSE)</f>
        <v>30</v>
      </c>
      <c r="C1364" s="1">
        <f>VLOOKUP(A1364,TraderCategory!$A$63:$F$556,6,FALSE)</f>
        <v>0</v>
      </c>
      <c r="D1364" s="1" t="str">
        <f>VLOOKUP(C1364,Tabulka5[],3,FALSE)</f>
        <v>Private</v>
      </c>
      <c r="E1364" s="1">
        <v>1</v>
      </c>
      <c r="F1364" s="1" t="str">
        <f>VLOOKUP(E1364,Tabulka5[],3,FALSE)</f>
        <v>Private First Class</v>
      </c>
      <c r="G1364" s="1" t="s">
        <v>3120</v>
      </c>
      <c r="H1364" s="1" t="s">
        <v>3342</v>
      </c>
      <c r="J1364" s="1" t="s">
        <v>3127</v>
      </c>
      <c r="K1364" s="1" t="s">
        <v>2740</v>
      </c>
      <c r="L1364" s="1" t="s">
        <v>2740</v>
      </c>
      <c r="M1364" s="1">
        <v>100000</v>
      </c>
      <c r="N1364" s="1">
        <v>10</v>
      </c>
      <c r="O1364" s="1" t="str">
        <f>"""" &amp;H1364 &amp; """: " &amp; N1364 &amp; ","</f>
        <v>"alp_PlotPoleKit": 10,</v>
      </c>
      <c r="P1364" s="1" t="str">
        <f>"""" &amp;H1364 &amp; """: " &amp; B1364 &amp; ","</f>
        <v>"alp_PlotPoleKit": 30,</v>
      </c>
      <c r="Q1364" s="1" t="str">
        <f>"""" &amp;H1364 &amp; """: " &amp; M1364 &amp; ","</f>
        <v>"alp_PlotPoleKit": 100000,</v>
      </c>
      <c r="R1364" s="1" t="str">
        <f>"""" &amp;H1364 &amp; """: " &amp; E1364 &amp; ","</f>
        <v>"alp_PlotPoleKit": 1,</v>
      </c>
    </row>
  </sheetData>
  <mergeCells count="3">
    <mergeCell ref="H1:I1"/>
    <mergeCell ref="J1:N1"/>
    <mergeCell ref="O1:R1"/>
  </mergeCells>
  <dataValidations count="3">
    <dataValidation type="list" allowBlank="1" showInputMessage="1" showErrorMessage="1" sqref="J2:J1048576">
      <formula1>groups</formula1>
    </dataValidation>
    <dataValidation type="list" allowBlank="1" showInputMessage="1" showErrorMessage="1" sqref="K2:K1048576">
      <formula1>categories</formula1>
    </dataValidation>
    <dataValidation type="list" allowBlank="1" showInputMessage="1" showErrorMessage="1" sqref="L2:L1048576">
      <formula1>subcategories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L138"/>
  <sheetViews>
    <sheetView topLeftCell="A49" zoomScale="115" zoomScaleNormal="115" workbookViewId="0">
      <selection activeCell="H85" sqref="H85"/>
    </sheetView>
  </sheetViews>
  <sheetFormatPr defaultRowHeight="15" outlineLevelRow="1" x14ac:dyDescent="0.25"/>
  <cols>
    <col min="1" max="1" width="39.5703125" bestFit="1" customWidth="1"/>
    <col min="3" max="3" width="18" bestFit="1" customWidth="1"/>
    <col min="4" max="4" width="13.42578125" customWidth="1"/>
    <col min="5" max="5" width="24.5703125" bestFit="1" customWidth="1"/>
    <col min="6" max="6" width="24.5703125" customWidth="1"/>
    <col min="7" max="7" width="12.5703125" customWidth="1"/>
    <col min="8" max="8" width="15.7109375" customWidth="1"/>
    <col min="9" max="9" width="13.5703125" customWidth="1"/>
    <col min="10" max="10" width="19.42578125" customWidth="1"/>
    <col min="11" max="11" width="19.7109375" customWidth="1"/>
    <col min="12" max="12" width="18.5703125" customWidth="1"/>
  </cols>
  <sheetData>
    <row r="1" spans="1:5" x14ac:dyDescent="0.25">
      <c r="A1" s="12" t="s">
        <v>3232</v>
      </c>
      <c r="B1" s="12"/>
      <c r="C1" t="s">
        <v>3172</v>
      </c>
      <c r="D1" t="s">
        <v>3173</v>
      </c>
      <c r="E1" t="s">
        <v>3125</v>
      </c>
    </row>
    <row r="2" spans="1:5" outlineLevel="1" x14ac:dyDescent="0.25">
      <c r="A2" s="12"/>
      <c r="B2" s="12"/>
      <c r="C2" t="s">
        <v>2728</v>
      </c>
      <c r="D2" t="s">
        <v>3126</v>
      </c>
      <c r="E2" t="s">
        <v>3138</v>
      </c>
    </row>
    <row r="3" spans="1:5" outlineLevel="1" x14ac:dyDescent="0.25">
      <c r="A3" s="12"/>
      <c r="B3" s="12"/>
      <c r="C3" t="s">
        <v>3127</v>
      </c>
      <c r="D3" t="s">
        <v>2729</v>
      </c>
      <c r="E3" t="s">
        <v>3135</v>
      </c>
    </row>
    <row r="4" spans="1:5" outlineLevel="1" x14ac:dyDescent="0.25">
      <c r="A4" s="12"/>
      <c r="B4" s="12"/>
      <c r="C4" t="s">
        <v>2729</v>
      </c>
      <c r="D4" t="s">
        <v>2731</v>
      </c>
      <c r="E4" t="s">
        <v>3134</v>
      </c>
    </row>
    <row r="5" spans="1:5" outlineLevel="1" x14ac:dyDescent="0.25">
      <c r="A5" s="12"/>
      <c r="B5" s="12"/>
      <c r="C5" t="s">
        <v>2743</v>
      </c>
      <c r="D5" t="s">
        <v>2730</v>
      </c>
      <c r="E5" t="s">
        <v>3132</v>
      </c>
    </row>
    <row r="6" spans="1:5" outlineLevel="1" x14ac:dyDescent="0.25">
      <c r="A6" s="12"/>
      <c r="B6" s="12"/>
      <c r="D6" t="s">
        <v>2739</v>
      </c>
      <c r="E6" t="s">
        <v>3130</v>
      </c>
    </row>
    <row r="7" spans="1:5" outlineLevel="1" x14ac:dyDescent="0.25">
      <c r="A7" s="12"/>
      <c r="B7" s="12"/>
      <c r="D7" t="s">
        <v>2740</v>
      </c>
      <c r="E7" t="s">
        <v>3133</v>
      </c>
    </row>
    <row r="8" spans="1:5" outlineLevel="1" x14ac:dyDescent="0.25">
      <c r="A8" s="12"/>
      <c r="B8" s="12"/>
      <c r="D8" t="s">
        <v>2738</v>
      </c>
      <c r="E8" t="s">
        <v>3131</v>
      </c>
    </row>
    <row r="9" spans="1:5" outlineLevel="1" x14ac:dyDescent="0.25">
      <c r="A9" s="12"/>
      <c r="B9" s="12"/>
      <c r="D9" t="s">
        <v>2736</v>
      </c>
      <c r="E9" t="s">
        <v>3136</v>
      </c>
    </row>
    <row r="10" spans="1:5" outlineLevel="1" x14ac:dyDescent="0.25">
      <c r="A10" s="12"/>
      <c r="B10" s="12"/>
      <c r="D10" t="s">
        <v>2737</v>
      </c>
      <c r="E10" t="s">
        <v>3171</v>
      </c>
    </row>
    <row r="11" spans="1:5" outlineLevel="1" x14ac:dyDescent="0.25">
      <c r="A11" s="12"/>
      <c r="B11" s="12"/>
      <c r="D11" t="s">
        <v>3129</v>
      </c>
      <c r="E11" t="s">
        <v>3144</v>
      </c>
    </row>
    <row r="12" spans="1:5" outlineLevel="1" x14ac:dyDescent="0.25">
      <c r="A12" s="12"/>
      <c r="B12" s="12"/>
      <c r="D12" t="s">
        <v>2742</v>
      </c>
      <c r="E12" t="s">
        <v>2732</v>
      </c>
    </row>
    <row r="13" spans="1:5" outlineLevel="1" x14ac:dyDescent="0.25">
      <c r="A13" s="12"/>
      <c r="B13" s="12"/>
      <c r="D13" t="s">
        <v>2743</v>
      </c>
      <c r="E13" t="s">
        <v>2733</v>
      </c>
    </row>
    <row r="14" spans="1:5" outlineLevel="1" x14ac:dyDescent="0.25">
      <c r="A14" s="12"/>
      <c r="B14" s="12"/>
      <c r="E14" t="s">
        <v>3142</v>
      </c>
    </row>
    <row r="15" spans="1:5" outlineLevel="1" x14ac:dyDescent="0.25">
      <c r="A15" s="12"/>
      <c r="B15" s="12"/>
      <c r="E15" t="s">
        <v>3141</v>
      </c>
    </row>
    <row r="16" spans="1:5" outlineLevel="1" x14ac:dyDescent="0.25">
      <c r="A16" s="12"/>
      <c r="B16" s="12"/>
      <c r="E16" t="s">
        <v>3140</v>
      </c>
    </row>
    <row r="17" spans="1:5" outlineLevel="1" x14ac:dyDescent="0.25">
      <c r="A17" s="12"/>
      <c r="B17" s="12"/>
      <c r="E17" t="s">
        <v>2734</v>
      </c>
    </row>
    <row r="18" spans="1:5" outlineLevel="1" x14ac:dyDescent="0.25">
      <c r="A18" s="12"/>
      <c r="B18" s="12"/>
      <c r="E18" t="s">
        <v>3152</v>
      </c>
    </row>
    <row r="19" spans="1:5" outlineLevel="1" x14ac:dyDescent="0.25">
      <c r="A19" s="12"/>
      <c r="B19" s="12"/>
      <c r="E19" t="s">
        <v>3153</v>
      </c>
    </row>
    <row r="20" spans="1:5" outlineLevel="1" x14ac:dyDescent="0.25">
      <c r="A20" s="12"/>
      <c r="B20" s="12"/>
      <c r="E20" t="s">
        <v>2740</v>
      </c>
    </row>
    <row r="21" spans="1:5" outlineLevel="1" x14ac:dyDescent="0.25">
      <c r="A21" s="12"/>
      <c r="B21" s="12"/>
      <c r="E21" t="s">
        <v>3145</v>
      </c>
    </row>
    <row r="22" spans="1:5" outlineLevel="1" x14ac:dyDescent="0.25">
      <c r="A22" s="12"/>
      <c r="B22" s="12"/>
      <c r="E22" t="s">
        <v>3150</v>
      </c>
    </row>
    <row r="23" spans="1:5" outlineLevel="1" x14ac:dyDescent="0.25">
      <c r="A23" s="12"/>
      <c r="B23" s="12"/>
      <c r="E23" t="s">
        <v>3137</v>
      </c>
    </row>
    <row r="24" spans="1:5" outlineLevel="1" x14ac:dyDescent="0.25">
      <c r="A24" s="12"/>
      <c r="B24" s="12"/>
      <c r="E24" t="s">
        <v>3149</v>
      </c>
    </row>
    <row r="25" spans="1:5" outlineLevel="1" x14ac:dyDescent="0.25">
      <c r="A25" s="12"/>
      <c r="B25" s="12"/>
      <c r="E25" t="s">
        <v>3151</v>
      </c>
    </row>
    <row r="26" spans="1:5" outlineLevel="1" x14ac:dyDescent="0.25">
      <c r="A26" s="12"/>
      <c r="B26" s="12"/>
      <c r="E26" t="s">
        <v>3148</v>
      </c>
    </row>
    <row r="27" spans="1:5" outlineLevel="1" x14ac:dyDescent="0.25">
      <c r="A27" s="12"/>
      <c r="B27" s="12"/>
      <c r="E27" t="s">
        <v>3143</v>
      </c>
    </row>
    <row r="28" spans="1:5" outlineLevel="1" x14ac:dyDescent="0.25">
      <c r="A28" s="12"/>
      <c r="B28" s="12"/>
      <c r="E28" t="s">
        <v>3147</v>
      </c>
    </row>
    <row r="29" spans="1:5" outlineLevel="1" x14ac:dyDescent="0.25">
      <c r="A29" s="12"/>
      <c r="B29" s="12"/>
      <c r="E29" t="s">
        <v>3139</v>
      </c>
    </row>
    <row r="30" spans="1:5" outlineLevel="1" x14ac:dyDescent="0.25">
      <c r="A30" s="12"/>
      <c r="B30" s="12"/>
      <c r="E30" t="s">
        <v>2741</v>
      </c>
    </row>
    <row r="31" spans="1:5" outlineLevel="1" x14ac:dyDescent="0.25">
      <c r="A31" s="12"/>
      <c r="B31" s="12"/>
      <c r="E31" t="s">
        <v>3146</v>
      </c>
    </row>
    <row r="32" spans="1:5" outlineLevel="1" x14ac:dyDescent="0.25">
      <c r="A32" s="12"/>
      <c r="B32" s="12"/>
      <c r="E32" t="s">
        <v>2735</v>
      </c>
    </row>
    <row r="33" spans="1:5" outlineLevel="1" x14ac:dyDescent="0.25">
      <c r="A33" s="12"/>
      <c r="B33" s="12"/>
      <c r="E33" t="s">
        <v>3128</v>
      </c>
    </row>
    <row r="34" spans="1:5" outlineLevel="1" x14ac:dyDescent="0.25">
      <c r="A34" s="12"/>
      <c r="B34" s="12"/>
      <c r="E34" t="s">
        <v>3161</v>
      </c>
    </row>
    <row r="35" spans="1:5" outlineLevel="1" x14ac:dyDescent="0.25">
      <c r="A35" s="12"/>
      <c r="B35" s="12"/>
      <c r="E35" t="s">
        <v>3162</v>
      </c>
    </row>
    <row r="36" spans="1:5" outlineLevel="1" x14ac:dyDescent="0.25">
      <c r="A36" s="12"/>
      <c r="B36" s="12"/>
      <c r="E36" t="s">
        <v>3154</v>
      </c>
    </row>
    <row r="37" spans="1:5" outlineLevel="1" x14ac:dyDescent="0.25">
      <c r="A37" s="12"/>
      <c r="B37" s="12"/>
      <c r="E37" t="s">
        <v>3157</v>
      </c>
    </row>
    <row r="38" spans="1:5" outlineLevel="1" x14ac:dyDescent="0.25">
      <c r="A38" s="12"/>
      <c r="B38" s="12"/>
      <c r="E38" t="s">
        <v>3155</v>
      </c>
    </row>
    <row r="39" spans="1:5" outlineLevel="1" x14ac:dyDescent="0.25">
      <c r="A39" s="12"/>
      <c r="B39" s="12"/>
      <c r="E39" t="s">
        <v>3160</v>
      </c>
    </row>
    <row r="40" spans="1:5" outlineLevel="1" x14ac:dyDescent="0.25">
      <c r="A40" s="12"/>
      <c r="B40" s="12"/>
      <c r="E40" t="s">
        <v>2736</v>
      </c>
    </row>
    <row r="41" spans="1:5" outlineLevel="1" x14ac:dyDescent="0.25">
      <c r="A41" s="12"/>
      <c r="B41" s="12"/>
      <c r="E41" t="s">
        <v>3164</v>
      </c>
    </row>
    <row r="42" spans="1:5" outlineLevel="1" x14ac:dyDescent="0.25">
      <c r="A42" s="12"/>
      <c r="B42" s="12"/>
      <c r="E42" t="s">
        <v>3163</v>
      </c>
    </row>
    <row r="43" spans="1:5" outlineLevel="1" x14ac:dyDescent="0.25">
      <c r="A43" s="12"/>
      <c r="B43" s="12"/>
      <c r="E43" t="s">
        <v>3165</v>
      </c>
    </row>
    <row r="44" spans="1:5" outlineLevel="1" x14ac:dyDescent="0.25">
      <c r="A44" s="12"/>
      <c r="B44" s="12"/>
      <c r="E44" t="s">
        <v>3158</v>
      </c>
    </row>
    <row r="45" spans="1:5" outlineLevel="1" x14ac:dyDescent="0.25">
      <c r="A45" s="12"/>
      <c r="B45" s="12"/>
      <c r="E45" t="s">
        <v>3159</v>
      </c>
    </row>
    <row r="46" spans="1:5" outlineLevel="1" x14ac:dyDescent="0.25">
      <c r="A46" s="12"/>
      <c r="B46" s="12"/>
      <c r="E46" t="s">
        <v>3156</v>
      </c>
    </row>
    <row r="47" spans="1:5" outlineLevel="1" x14ac:dyDescent="0.25">
      <c r="A47" s="12"/>
      <c r="B47" s="12"/>
      <c r="E47" t="s">
        <v>3170</v>
      </c>
    </row>
    <row r="48" spans="1:5" outlineLevel="1" x14ac:dyDescent="0.25">
      <c r="A48" s="12"/>
      <c r="B48" s="12"/>
      <c r="E48" t="s">
        <v>3168</v>
      </c>
    </row>
    <row r="49" spans="1:12" outlineLevel="1" x14ac:dyDescent="0.25">
      <c r="A49" s="12"/>
      <c r="B49" s="12"/>
      <c r="E49" t="s">
        <v>2742</v>
      </c>
    </row>
    <row r="50" spans="1:12" outlineLevel="1" x14ac:dyDescent="0.25">
      <c r="A50" s="12"/>
      <c r="B50" s="12"/>
      <c r="E50" t="s">
        <v>3169</v>
      </c>
    </row>
    <row r="51" spans="1:12" outlineLevel="1" x14ac:dyDescent="0.25">
      <c r="A51" s="12"/>
      <c r="B51" s="12"/>
      <c r="E51" t="s">
        <v>3167</v>
      </c>
    </row>
    <row r="52" spans="1:12" outlineLevel="1" x14ac:dyDescent="0.25">
      <c r="A52" s="12"/>
      <c r="B52" s="12"/>
      <c r="E52" t="s">
        <v>3126</v>
      </c>
    </row>
    <row r="53" spans="1:12" outlineLevel="1" x14ac:dyDescent="0.25">
      <c r="A53" s="12"/>
      <c r="B53" s="12"/>
      <c r="E53" t="s">
        <v>3174</v>
      </c>
    </row>
    <row r="54" spans="1:12" outlineLevel="1" x14ac:dyDescent="0.25">
      <c r="A54" s="12"/>
      <c r="B54" s="12"/>
      <c r="E54" t="s">
        <v>3175</v>
      </c>
    </row>
    <row r="55" spans="1:12" outlineLevel="1" x14ac:dyDescent="0.25">
      <c r="A55" s="12"/>
      <c r="B55" s="12"/>
      <c r="E55" t="s">
        <v>3176</v>
      </c>
    </row>
    <row r="56" spans="1:12" outlineLevel="1" x14ac:dyDescent="0.25">
      <c r="A56" s="12"/>
      <c r="B56" s="12"/>
      <c r="E56" t="s">
        <v>3178</v>
      </c>
    </row>
    <row r="57" spans="1:12" outlineLevel="1" x14ac:dyDescent="0.25">
      <c r="A57" s="12"/>
      <c r="B57" s="12"/>
      <c r="E57" t="s">
        <v>3227</v>
      </c>
    </row>
    <row r="58" spans="1:12" outlineLevel="1" x14ac:dyDescent="0.25">
      <c r="A58" s="12"/>
      <c r="B58" s="12"/>
      <c r="E58" t="s">
        <v>3166</v>
      </c>
    </row>
    <row r="59" spans="1:12" outlineLevel="1" x14ac:dyDescent="0.25"/>
    <row r="60" spans="1:12" outlineLevel="1" x14ac:dyDescent="0.25"/>
    <row r="61" spans="1:12" ht="18.75" outlineLevel="1" x14ac:dyDescent="0.3">
      <c r="C61" s="13" t="s">
        <v>3287</v>
      </c>
      <c r="D61" s="13"/>
      <c r="E61" s="13"/>
      <c r="F61" s="13"/>
      <c r="G61" s="13"/>
      <c r="H61" s="13"/>
      <c r="I61" s="13"/>
      <c r="J61" s="13"/>
      <c r="K61" s="13"/>
      <c r="L61" s="13"/>
    </row>
    <row r="62" spans="1:12" x14ac:dyDescent="0.25">
      <c r="A62" t="s">
        <v>3231</v>
      </c>
      <c r="B62" t="s">
        <v>2744</v>
      </c>
      <c r="C62" t="s">
        <v>2754</v>
      </c>
      <c r="D62" t="s">
        <v>2753</v>
      </c>
      <c r="E62" t="s">
        <v>2752</v>
      </c>
      <c r="F62" t="s">
        <v>2751</v>
      </c>
      <c r="G62" t="s">
        <v>2745</v>
      </c>
      <c r="H62" t="s">
        <v>2746</v>
      </c>
      <c r="I62" t="s">
        <v>2747</v>
      </c>
      <c r="J62" t="s">
        <v>2748</v>
      </c>
      <c r="K62" t="s">
        <v>2749</v>
      </c>
      <c r="L62" t="s">
        <v>2750</v>
      </c>
    </row>
    <row r="63" spans="1:12" x14ac:dyDescent="0.25">
      <c r="A63" t="str">
        <f>CONCATENATE(C63,D63,E63)</f>
        <v>#tc_clothes#tc_civil#tc_head</v>
      </c>
      <c r="B63">
        <v>0</v>
      </c>
      <c r="C63" t="s">
        <v>2728</v>
      </c>
      <c r="D63" t="s">
        <v>3126</v>
      </c>
      <c r="E63" t="s">
        <v>3130</v>
      </c>
      <c r="F63">
        <v>0</v>
      </c>
      <c r="G63">
        <v>2</v>
      </c>
      <c r="H63">
        <v>20</v>
      </c>
      <c r="I63">
        <v>99</v>
      </c>
      <c r="J63">
        <v>0.01</v>
      </c>
      <c r="K63">
        <v>0.05</v>
      </c>
      <c r="L63">
        <v>0.95</v>
      </c>
    </row>
    <row r="64" spans="1:12" x14ac:dyDescent="0.25">
      <c r="A64" t="str">
        <f t="shared" ref="A64:A108" si="0">CONCATENATE(C64,D64,E64)</f>
        <v>#tc_clothes#tc_civil#tc_tops</v>
      </c>
      <c r="B64">
        <v>1</v>
      </c>
      <c r="C64" t="s">
        <v>2728</v>
      </c>
      <c r="D64" t="s">
        <v>3126</v>
      </c>
      <c r="E64" t="s">
        <v>3131</v>
      </c>
      <c r="F64">
        <v>0</v>
      </c>
      <c r="G64">
        <v>2</v>
      </c>
      <c r="H64">
        <v>20</v>
      </c>
      <c r="I64">
        <v>99</v>
      </c>
      <c r="J64">
        <v>0.01</v>
      </c>
      <c r="K64">
        <v>0.05</v>
      </c>
      <c r="L64">
        <v>0.95</v>
      </c>
    </row>
    <row r="65" spans="1:12" x14ac:dyDescent="0.25">
      <c r="A65" t="str">
        <f t="shared" si="0"/>
        <v>#tc_clothes#tc_civil#tc_gloves</v>
      </c>
      <c r="B65">
        <v>2</v>
      </c>
      <c r="C65" t="s">
        <v>2728</v>
      </c>
      <c r="D65" t="s">
        <v>3126</v>
      </c>
      <c r="E65" t="s">
        <v>3132</v>
      </c>
      <c r="F65">
        <v>0</v>
      </c>
      <c r="G65">
        <v>2</v>
      </c>
      <c r="H65">
        <v>20</v>
      </c>
      <c r="I65">
        <v>99</v>
      </c>
      <c r="J65">
        <v>0.01</v>
      </c>
      <c r="K65">
        <v>0.05</v>
      </c>
      <c r="L65">
        <v>0.95</v>
      </c>
    </row>
    <row r="66" spans="1:12" x14ac:dyDescent="0.25">
      <c r="A66" t="str">
        <f t="shared" si="0"/>
        <v>#tc_clothes#tc_civil#tc_belts</v>
      </c>
      <c r="B66">
        <v>3</v>
      </c>
      <c r="C66" t="s">
        <v>2728</v>
      </c>
      <c r="D66" t="s">
        <v>3126</v>
      </c>
      <c r="E66" t="s">
        <v>3135</v>
      </c>
      <c r="F66">
        <v>0</v>
      </c>
      <c r="G66">
        <v>2</v>
      </c>
      <c r="H66">
        <v>20</v>
      </c>
      <c r="I66">
        <v>99</v>
      </c>
      <c r="J66">
        <v>0.01</v>
      </c>
      <c r="K66">
        <v>0.05</v>
      </c>
      <c r="L66">
        <v>0.95</v>
      </c>
    </row>
    <row r="67" spans="1:12" x14ac:dyDescent="0.25">
      <c r="A67" t="str">
        <f t="shared" si="0"/>
        <v>#tc_clothes#tc_civil#tc_pants</v>
      </c>
      <c r="B67">
        <v>4</v>
      </c>
      <c r="C67" t="s">
        <v>2728</v>
      </c>
      <c r="D67" t="s">
        <v>3126</v>
      </c>
      <c r="E67" t="s">
        <v>3133</v>
      </c>
      <c r="F67">
        <v>0</v>
      </c>
      <c r="G67">
        <v>2</v>
      </c>
      <c r="H67">
        <v>20</v>
      </c>
      <c r="I67">
        <v>99</v>
      </c>
      <c r="J67">
        <v>0.01</v>
      </c>
      <c r="K67">
        <v>0.05</v>
      </c>
      <c r="L67">
        <v>0.95</v>
      </c>
    </row>
    <row r="68" spans="1:12" x14ac:dyDescent="0.25">
      <c r="A68" t="str">
        <f t="shared" si="0"/>
        <v>#tc_clothes#tc_civil#tc_boots</v>
      </c>
      <c r="B68">
        <v>5</v>
      </c>
      <c r="C68" t="s">
        <v>2728</v>
      </c>
      <c r="D68" t="s">
        <v>3126</v>
      </c>
      <c r="E68" t="s">
        <v>3134</v>
      </c>
      <c r="F68">
        <v>0</v>
      </c>
      <c r="G68">
        <v>2</v>
      </c>
      <c r="H68">
        <v>20</v>
      </c>
      <c r="I68">
        <v>99</v>
      </c>
      <c r="J68">
        <v>0.01</v>
      </c>
      <c r="K68">
        <v>0.05</v>
      </c>
      <c r="L68">
        <v>0.95</v>
      </c>
    </row>
    <row r="69" spans="1:12" x14ac:dyDescent="0.25">
      <c r="A69" t="str">
        <f t="shared" si="0"/>
        <v>#tc_clothes#tc_civil#tc_vests</v>
      </c>
      <c r="B69">
        <v>6</v>
      </c>
      <c r="C69" t="s">
        <v>2728</v>
      </c>
      <c r="D69" t="s">
        <v>3126</v>
      </c>
      <c r="E69" t="s">
        <v>3136</v>
      </c>
      <c r="F69">
        <v>0</v>
      </c>
      <c r="G69">
        <v>2</v>
      </c>
      <c r="H69">
        <v>20</v>
      </c>
      <c r="I69">
        <v>99</v>
      </c>
      <c r="J69">
        <v>0.01</v>
      </c>
      <c r="K69">
        <v>0.05</v>
      </c>
      <c r="L69">
        <v>0.95</v>
      </c>
    </row>
    <row r="70" spans="1:12" x14ac:dyDescent="0.25">
      <c r="A70" t="str">
        <f t="shared" si="0"/>
        <v>#tc_clothes#tc_civil#tc_bags</v>
      </c>
      <c r="B70">
        <v>7</v>
      </c>
      <c r="C70" t="s">
        <v>2728</v>
      </c>
      <c r="D70" t="s">
        <v>3126</v>
      </c>
      <c r="E70" t="s">
        <v>3138</v>
      </c>
      <c r="F70">
        <v>0</v>
      </c>
      <c r="G70">
        <v>2</v>
      </c>
      <c r="H70">
        <v>20</v>
      </c>
      <c r="I70">
        <v>99</v>
      </c>
      <c r="J70">
        <v>0.05</v>
      </c>
      <c r="K70">
        <v>0.1</v>
      </c>
      <c r="L70">
        <v>0.95</v>
      </c>
    </row>
    <row r="71" spans="1:12" x14ac:dyDescent="0.25">
      <c r="A71" t="str">
        <f t="shared" si="0"/>
        <v>#tc_clothes#tc_military#tc_head</v>
      </c>
      <c r="B71">
        <v>8</v>
      </c>
      <c r="C71" t="s">
        <v>2728</v>
      </c>
      <c r="D71" t="s">
        <v>2729</v>
      </c>
      <c r="E71" t="s">
        <v>3130</v>
      </c>
      <c r="F71">
        <v>1</v>
      </c>
      <c r="G71">
        <v>2</v>
      </c>
      <c r="H71">
        <v>10</v>
      </c>
      <c r="I71">
        <v>99</v>
      </c>
      <c r="J71">
        <v>0.05</v>
      </c>
      <c r="K71">
        <v>0.1</v>
      </c>
      <c r="L71">
        <v>0.95</v>
      </c>
    </row>
    <row r="72" spans="1:12" x14ac:dyDescent="0.25">
      <c r="A72" t="str">
        <f t="shared" si="0"/>
        <v>#tc_clothes#tc_military#tc_tops</v>
      </c>
      <c r="B72">
        <v>9</v>
      </c>
      <c r="C72" t="s">
        <v>2728</v>
      </c>
      <c r="D72" t="s">
        <v>2729</v>
      </c>
      <c r="E72" t="s">
        <v>3131</v>
      </c>
      <c r="F72">
        <v>1</v>
      </c>
      <c r="G72">
        <v>2</v>
      </c>
      <c r="H72">
        <v>10</v>
      </c>
      <c r="I72">
        <v>99</v>
      </c>
      <c r="J72">
        <v>0.05</v>
      </c>
      <c r="K72">
        <v>0.1</v>
      </c>
      <c r="L72">
        <v>0.95</v>
      </c>
    </row>
    <row r="73" spans="1:12" x14ac:dyDescent="0.25">
      <c r="A73" t="str">
        <f t="shared" si="0"/>
        <v>#tc_clothes#tc_military#tc_gloves</v>
      </c>
      <c r="B73">
        <v>10</v>
      </c>
      <c r="C73" t="s">
        <v>2728</v>
      </c>
      <c r="D73" t="s">
        <v>2729</v>
      </c>
      <c r="E73" t="s">
        <v>3132</v>
      </c>
      <c r="F73">
        <v>1</v>
      </c>
      <c r="G73">
        <v>2</v>
      </c>
      <c r="H73">
        <v>10</v>
      </c>
      <c r="I73">
        <v>99</v>
      </c>
      <c r="J73">
        <v>0.05</v>
      </c>
      <c r="K73">
        <v>0.1</v>
      </c>
      <c r="L73">
        <v>0.95</v>
      </c>
    </row>
    <row r="74" spans="1:12" x14ac:dyDescent="0.25">
      <c r="A74" t="str">
        <f t="shared" si="0"/>
        <v>#tc_clothes#tc_military#tc_belts</v>
      </c>
      <c r="B74">
        <v>11</v>
      </c>
      <c r="C74" t="s">
        <v>2728</v>
      </c>
      <c r="D74" t="s">
        <v>2729</v>
      </c>
      <c r="E74" t="s">
        <v>3135</v>
      </c>
      <c r="F74">
        <v>1</v>
      </c>
      <c r="G74">
        <v>2</v>
      </c>
      <c r="H74">
        <v>10</v>
      </c>
      <c r="I74">
        <v>99</v>
      </c>
      <c r="J74">
        <v>0.05</v>
      </c>
      <c r="K74">
        <v>0.1</v>
      </c>
      <c r="L74">
        <v>0.95</v>
      </c>
    </row>
    <row r="75" spans="1:12" x14ac:dyDescent="0.25">
      <c r="A75" t="str">
        <f t="shared" si="0"/>
        <v>#tc_clothes#tc_military#tc_pants</v>
      </c>
      <c r="B75">
        <v>12</v>
      </c>
      <c r="C75" t="s">
        <v>2728</v>
      </c>
      <c r="D75" t="s">
        <v>2729</v>
      </c>
      <c r="E75" t="s">
        <v>3133</v>
      </c>
      <c r="F75">
        <v>1</v>
      </c>
      <c r="G75">
        <v>2</v>
      </c>
      <c r="H75">
        <v>10</v>
      </c>
      <c r="I75">
        <v>99</v>
      </c>
      <c r="J75">
        <v>0.05</v>
      </c>
      <c r="K75">
        <v>0.1</v>
      </c>
      <c r="L75">
        <v>0.95</v>
      </c>
    </row>
    <row r="76" spans="1:12" x14ac:dyDescent="0.25">
      <c r="A76" t="str">
        <f t="shared" si="0"/>
        <v>#tc_clothes#tc_military#tc_boots</v>
      </c>
      <c r="B76">
        <v>13</v>
      </c>
      <c r="C76" t="s">
        <v>2728</v>
      </c>
      <c r="D76" t="s">
        <v>2729</v>
      </c>
      <c r="E76" t="s">
        <v>3134</v>
      </c>
      <c r="F76">
        <v>1</v>
      </c>
      <c r="G76">
        <v>2</v>
      </c>
      <c r="H76">
        <v>10</v>
      </c>
      <c r="I76">
        <v>99</v>
      </c>
      <c r="J76">
        <v>0.05</v>
      </c>
      <c r="K76">
        <v>0.1</v>
      </c>
      <c r="L76">
        <v>0.95</v>
      </c>
    </row>
    <row r="77" spans="1:12" x14ac:dyDescent="0.25">
      <c r="A77" t="str">
        <f t="shared" si="0"/>
        <v>#tc_clothes#tc_military#tc_vests</v>
      </c>
      <c r="B77">
        <v>14</v>
      </c>
      <c r="C77" t="s">
        <v>2728</v>
      </c>
      <c r="D77" t="s">
        <v>2729</v>
      </c>
      <c r="E77" t="s">
        <v>3136</v>
      </c>
      <c r="F77">
        <v>1</v>
      </c>
      <c r="G77">
        <v>2</v>
      </c>
      <c r="H77">
        <v>10</v>
      </c>
      <c r="I77">
        <v>99</v>
      </c>
      <c r="J77">
        <v>0.05</v>
      </c>
      <c r="K77">
        <v>0.1</v>
      </c>
      <c r="L77">
        <v>0.95</v>
      </c>
    </row>
    <row r="78" spans="1:12" x14ac:dyDescent="0.25">
      <c r="A78" t="str">
        <f t="shared" si="0"/>
        <v>#tc_clothes#tc_military#tc_bags</v>
      </c>
      <c r="B78">
        <v>15</v>
      </c>
      <c r="C78" t="s">
        <v>2728</v>
      </c>
      <c r="D78" t="s">
        <v>2729</v>
      </c>
      <c r="E78" t="s">
        <v>3138</v>
      </c>
      <c r="F78" s="1">
        <v>1</v>
      </c>
      <c r="G78">
        <v>2</v>
      </c>
      <c r="H78">
        <v>10</v>
      </c>
      <c r="I78">
        <v>99</v>
      </c>
      <c r="J78">
        <v>0.05</v>
      </c>
      <c r="K78">
        <v>0.1</v>
      </c>
      <c r="L78">
        <v>0.95</v>
      </c>
    </row>
    <row r="79" spans="1:12" x14ac:dyDescent="0.25">
      <c r="A79" t="str">
        <f t="shared" si="0"/>
        <v>#tc_groceries#tc_currency#tc_rareitems</v>
      </c>
      <c r="B79">
        <v>16</v>
      </c>
      <c r="C79" t="s">
        <v>3127</v>
      </c>
      <c r="D79" t="s">
        <v>2731</v>
      </c>
      <c r="E79" t="s">
        <v>3171</v>
      </c>
      <c r="F79">
        <v>3</v>
      </c>
      <c r="G79">
        <v>5</v>
      </c>
      <c r="H79">
        <v>20</v>
      </c>
      <c r="I79">
        <v>999</v>
      </c>
      <c r="J79">
        <v>1</v>
      </c>
      <c r="K79">
        <v>1</v>
      </c>
      <c r="L79">
        <v>1</v>
      </c>
    </row>
    <row r="80" spans="1:12" x14ac:dyDescent="0.25">
      <c r="A80" t="str">
        <f t="shared" si="0"/>
        <v>#tc_groceries#tc_food#tc_drinks</v>
      </c>
      <c r="B80">
        <v>17</v>
      </c>
      <c r="C80" t="s">
        <v>3127</v>
      </c>
      <c r="D80" t="s">
        <v>2730</v>
      </c>
      <c r="E80" t="s">
        <v>2733</v>
      </c>
      <c r="F80">
        <v>3</v>
      </c>
      <c r="G80">
        <v>0</v>
      </c>
      <c r="H80">
        <v>0</v>
      </c>
      <c r="I80">
        <v>999</v>
      </c>
      <c r="J80">
        <v>0.35</v>
      </c>
      <c r="K80">
        <v>0.4</v>
      </c>
      <c r="L80">
        <v>1</v>
      </c>
    </row>
    <row r="81" spans="1:12" x14ac:dyDescent="0.25">
      <c r="A81" t="str">
        <f t="shared" si="0"/>
        <v>#tc_groceries#tc_food#tc_canned</v>
      </c>
      <c r="B81">
        <v>18</v>
      </c>
      <c r="C81" t="s">
        <v>3127</v>
      </c>
      <c r="D81" t="s">
        <v>2730</v>
      </c>
      <c r="E81" t="s">
        <v>2732</v>
      </c>
      <c r="F81">
        <v>3</v>
      </c>
      <c r="G81">
        <v>0</v>
      </c>
      <c r="H81">
        <v>0</v>
      </c>
      <c r="I81">
        <v>999</v>
      </c>
      <c r="J81">
        <v>0.35</v>
      </c>
      <c r="K81">
        <v>0.4</v>
      </c>
      <c r="L81">
        <v>1</v>
      </c>
    </row>
    <row r="82" spans="1:12" x14ac:dyDescent="0.25">
      <c r="A82" t="str">
        <f t="shared" si="0"/>
        <v>#tc_groceries#tc_food#tc_packaged</v>
      </c>
      <c r="B82">
        <v>19</v>
      </c>
      <c r="C82" t="s">
        <v>3127</v>
      </c>
      <c r="D82" t="s">
        <v>2730</v>
      </c>
      <c r="E82" t="s">
        <v>3140</v>
      </c>
      <c r="F82">
        <v>3</v>
      </c>
      <c r="G82">
        <v>0</v>
      </c>
      <c r="H82">
        <v>0</v>
      </c>
      <c r="I82">
        <v>999</v>
      </c>
      <c r="J82">
        <v>0.35</v>
      </c>
      <c r="K82">
        <v>0.4</v>
      </c>
      <c r="L82">
        <v>1</v>
      </c>
    </row>
    <row r="83" spans="1:12" x14ac:dyDescent="0.25">
      <c r="A83" t="str">
        <f t="shared" si="0"/>
        <v>#tc_groceries#tc_food#tc_fruits</v>
      </c>
      <c r="B83">
        <v>20</v>
      </c>
      <c r="C83" t="s">
        <v>3127</v>
      </c>
      <c r="D83" t="s">
        <v>2730</v>
      </c>
      <c r="E83" t="s">
        <v>3142</v>
      </c>
      <c r="F83">
        <v>3</v>
      </c>
      <c r="G83">
        <v>0</v>
      </c>
      <c r="H83">
        <v>0</v>
      </c>
      <c r="I83">
        <v>999</v>
      </c>
      <c r="J83">
        <v>0.35</v>
      </c>
      <c r="K83">
        <v>0.4</v>
      </c>
      <c r="L83">
        <v>1</v>
      </c>
    </row>
    <row r="84" spans="1:12" x14ac:dyDescent="0.25">
      <c r="A84" t="str">
        <f t="shared" si="0"/>
        <v>#tc_groceries#tc_food#tc_meat</v>
      </c>
      <c r="B84">
        <v>21</v>
      </c>
      <c r="C84" t="s">
        <v>3127</v>
      </c>
      <c r="D84" t="s">
        <v>2730</v>
      </c>
      <c r="E84" t="s">
        <v>3141</v>
      </c>
      <c r="F84">
        <v>3</v>
      </c>
      <c r="G84">
        <v>0</v>
      </c>
      <c r="H84">
        <v>0</v>
      </c>
      <c r="I84">
        <v>999</v>
      </c>
      <c r="J84">
        <v>0.35</v>
      </c>
      <c r="K84">
        <v>0.4</v>
      </c>
      <c r="L84">
        <v>1</v>
      </c>
    </row>
    <row r="85" spans="1:12" x14ac:dyDescent="0.25">
      <c r="A85" t="str">
        <f t="shared" si="0"/>
        <v>#tc_groceries#tc_food#tc_pelts</v>
      </c>
      <c r="B85">
        <v>22</v>
      </c>
      <c r="C85" t="s">
        <v>3127</v>
      </c>
      <c r="D85" t="s">
        <v>2730</v>
      </c>
      <c r="E85" t="s">
        <v>2734</v>
      </c>
      <c r="F85">
        <v>3</v>
      </c>
      <c r="G85">
        <v>2</v>
      </c>
      <c r="H85">
        <v>10</v>
      </c>
      <c r="I85">
        <v>999</v>
      </c>
      <c r="J85">
        <v>0.35</v>
      </c>
      <c r="K85">
        <v>0.4</v>
      </c>
      <c r="L85">
        <v>1</v>
      </c>
    </row>
    <row r="86" spans="1:12" x14ac:dyDescent="0.25">
      <c r="A86" t="str">
        <f t="shared" si="0"/>
        <v>#tc_groceries#tc_food#tc_bones</v>
      </c>
      <c r="B86">
        <v>23</v>
      </c>
      <c r="C86" t="s">
        <v>3127</v>
      </c>
      <c r="D86" t="s">
        <v>2730</v>
      </c>
      <c r="E86" t="s">
        <v>3144</v>
      </c>
      <c r="F86">
        <v>3</v>
      </c>
      <c r="G86">
        <v>0</v>
      </c>
      <c r="H86">
        <v>0</v>
      </c>
      <c r="I86">
        <v>999</v>
      </c>
      <c r="J86">
        <v>0.35</v>
      </c>
      <c r="K86">
        <v>0.4</v>
      </c>
      <c r="L86">
        <v>1</v>
      </c>
    </row>
    <row r="87" spans="1:12" x14ac:dyDescent="0.25">
      <c r="A87" t="str">
        <f t="shared" si="0"/>
        <v>#tc_groceries#tc_medic#tc_medicaments</v>
      </c>
      <c r="B87">
        <v>24</v>
      </c>
      <c r="C87" t="s">
        <v>3127</v>
      </c>
      <c r="D87" t="s">
        <v>2739</v>
      </c>
      <c r="E87" t="s">
        <v>3153</v>
      </c>
      <c r="F87">
        <v>6</v>
      </c>
      <c r="G87">
        <v>2</v>
      </c>
      <c r="H87">
        <v>10</v>
      </c>
      <c r="I87">
        <v>999</v>
      </c>
      <c r="J87">
        <v>0.35</v>
      </c>
      <c r="K87">
        <v>0.4</v>
      </c>
      <c r="L87">
        <v>1</v>
      </c>
    </row>
    <row r="88" spans="1:12" x14ac:dyDescent="0.25">
      <c r="A88" t="str">
        <f t="shared" si="0"/>
        <v>#tc_groceries#tc_medic#tc_equipments</v>
      </c>
      <c r="B88">
        <v>25</v>
      </c>
      <c r="C88" t="s">
        <v>3127</v>
      </c>
      <c r="D88" t="s">
        <v>2739</v>
      </c>
      <c r="E88" t="s">
        <v>3152</v>
      </c>
      <c r="F88">
        <v>6</v>
      </c>
      <c r="G88">
        <v>2</v>
      </c>
      <c r="H88">
        <v>10</v>
      </c>
      <c r="I88">
        <v>999</v>
      </c>
      <c r="J88">
        <v>0.35</v>
      </c>
      <c r="K88">
        <v>0.4</v>
      </c>
      <c r="L88">
        <v>1</v>
      </c>
    </row>
    <row r="89" spans="1:12" x14ac:dyDescent="0.25">
      <c r="A89" t="str">
        <f t="shared" si="0"/>
        <v>#tc_groceries#tc_medic#tc_tools</v>
      </c>
      <c r="B89">
        <v>26</v>
      </c>
      <c r="C89" t="s">
        <v>3127</v>
      </c>
      <c r="D89" t="s">
        <v>2739</v>
      </c>
      <c r="E89" t="s">
        <v>2740</v>
      </c>
      <c r="F89">
        <v>6</v>
      </c>
      <c r="G89">
        <v>2</v>
      </c>
      <c r="H89">
        <v>10</v>
      </c>
      <c r="I89">
        <v>999</v>
      </c>
      <c r="J89">
        <v>0.35</v>
      </c>
      <c r="K89">
        <v>0.4</v>
      </c>
      <c r="L89">
        <v>1</v>
      </c>
    </row>
    <row r="90" spans="1:12" x14ac:dyDescent="0.25">
      <c r="A90" t="str">
        <f t="shared" si="0"/>
        <v>#tc_groceries#tc_medic#tc_insurance</v>
      </c>
      <c r="B90">
        <v>27</v>
      </c>
      <c r="C90" t="s">
        <v>3127</v>
      </c>
      <c r="D90" t="s">
        <v>2739</v>
      </c>
      <c r="E90" t="s">
        <v>3174</v>
      </c>
      <c r="F90">
        <v>3</v>
      </c>
      <c r="G90">
        <v>99</v>
      </c>
      <c r="H90">
        <v>499</v>
      </c>
      <c r="I90">
        <v>999</v>
      </c>
      <c r="J90">
        <v>0</v>
      </c>
      <c r="K90">
        <v>0</v>
      </c>
      <c r="L90">
        <v>1</v>
      </c>
    </row>
    <row r="91" spans="1:12" x14ac:dyDescent="0.25">
      <c r="A91" t="str">
        <f t="shared" si="0"/>
        <v>#tc_groceries#tc_tools#tc_knifes</v>
      </c>
      <c r="B91">
        <v>28</v>
      </c>
      <c r="C91" t="s">
        <v>3127</v>
      </c>
      <c r="D91" t="s">
        <v>2740</v>
      </c>
      <c r="E91" t="s">
        <v>3143</v>
      </c>
      <c r="F91">
        <v>0</v>
      </c>
      <c r="G91">
        <v>2</v>
      </c>
      <c r="H91">
        <v>20</v>
      </c>
      <c r="I91">
        <v>99</v>
      </c>
      <c r="J91">
        <v>0.01</v>
      </c>
      <c r="K91">
        <v>0.05</v>
      </c>
      <c r="L91">
        <v>0.95</v>
      </c>
    </row>
    <row r="92" spans="1:12" x14ac:dyDescent="0.25">
      <c r="A92" t="str">
        <f t="shared" si="0"/>
        <v>#tc_groceries#tc_tools#tc_axes</v>
      </c>
      <c r="B92">
        <v>29</v>
      </c>
      <c r="C92" t="s">
        <v>3127</v>
      </c>
      <c r="D92" t="s">
        <v>2740</v>
      </c>
      <c r="E92" t="s">
        <v>3145</v>
      </c>
      <c r="F92">
        <v>0</v>
      </c>
      <c r="G92">
        <v>2</v>
      </c>
      <c r="H92">
        <v>20</v>
      </c>
      <c r="I92">
        <v>99</v>
      </c>
      <c r="J92">
        <v>0.01</v>
      </c>
      <c r="K92">
        <v>0.05</v>
      </c>
      <c r="L92">
        <v>0.95</v>
      </c>
    </row>
    <row r="93" spans="1:12" x14ac:dyDescent="0.25">
      <c r="A93" t="str">
        <f t="shared" si="0"/>
        <v>#tc_groceries#tc_tools#tc_tools</v>
      </c>
      <c r="B93">
        <v>30</v>
      </c>
      <c r="C93" t="s">
        <v>3127</v>
      </c>
      <c r="D93" t="s">
        <v>2740</v>
      </c>
      <c r="E93" t="s">
        <v>2740</v>
      </c>
      <c r="F93">
        <v>0</v>
      </c>
      <c r="G93">
        <v>2</v>
      </c>
      <c r="H93">
        <v>20</v>
      </c>
      <c r="I93">
        <v>99</v>
      </c>
      <c r="J93">
        <v>0.01</v>
      </c>
      <c r="K93">
        <v>0.05</v>
      </c>
      <c r="L93">
        <v>0.95</v>
      </c>
    </row>
    <row r="94" spans="1:12" x14ac:dyDescent="0.25">
      <c r="A94" t="str">
        <f t="shared" si="0"/>
        <v>#tc_groceries#tc_tools#tc_repairs</v>
      </c>
      <c r="B94">
        <v>31</v>
      </c>
      <c r="C94" t="s">
        <v>3127</v>
      </c>
      <c r="D94" t="s">
        <v>2740</v>
      </c>
      <c r="E94" t="s">
        <v>3146</v>
      </c>
      <c r="F94">
        <v>3</v>
      </c>
      <c r="G94">
        <v>2</v>
      </c>
      <c r="H94">
        <v>20</v>
      </c>
      <c r="I94">
        <v>99</v>
      </c>
      <c r="J94">
        <v>0.01</v>
      </c>
      <c r="K94">
        <v>0.05</v>
      </c>
      <c r="L94">
        <v>0.95</v>
      </c>
    </row>
    <row r="95" spans="1:12" x14ac:dyDescent="0.25">
      <c r="A95" t="str">
        <f t="shared" si="0"/>
        <v>#tc_groceries#tc_tools#tc_crafting</v>
      </c>
      <c r="B95">
        <v>32</v>
      </c>
      <c r="C95" t="s">
        <v>3127</v>
      </c>
      <c r="D95" t="s">
        <v>2740</v>
      </c>
      <c r="E95" t="s">
        <v>3151</v>
      </c>
      <c r="F95">
        <v>3</v>
      </c>
      <c r="G95">
        <v>2</v>
      </c>
      <c r="H95">
        <v>20</v>
      </c>
      <c r="I95">
        <v>99</v>
      </c>
      <c r="J95">
        <v>0.01</v>
      </c>
      <c r="K95">
        <v>0.05</v>
      </c>
      <c r="L95">
        <v>0.95</v>
      </c>
    </row>
    <row r="96" spans="1:12" x14ac:dyDescent="0.25">
      <c r="A96" t="str">
        <f t="shared" si="0"/>
        <v>#tc_groceries#tc_tools#tc_camping</v>
      </c>
      <c r="B96">
        <v>33</v>
      </c>
      <c r="C96" t="s">
        <v>3127</v>
      </c>
      <c r="D96" t="s">
        <v>2740</v>
      </c>
      <c r="E96" t="s">
        <v>3150</v>
      </c>
      <c r="F96">
        <v>3</v>
      </c>
      <c r="G96">
        <v>2</v>
      </c>
      <c r="H96">
        <v>20</v>
      </c>
      <c r="I96">
        <v>99</v>
      </c>
      <c r="J96">
        <v>0.01</v>
      </c>
      <c r="K96">
        <v>0.05</v>
      </c>
      <c r="L96">
        <v>0.95</v>
      </c>
    </row>
    <row r="97" spans="1:12" x14ac:dyDescent="0.25">
      <c r="A97" t="str">
        <f t="shared" si="0"/>
        <v>#tc_groceries#tc_tools#tc_seeds</v>
      </c>
      <c r="B97">
        <v>34</v>
      </c>
      <c r="C97" t="s">
        <v>3127</v>
      </c>
      <c r="D97" t="s">
        <v>2740</v>
      </c>
      <c r="E97" t="s">
        <v>2735</v>
      </c>
      <c r="F97">
        <v>3</v>
      </c>
      <c r="G97">
        <v>2</v>
      </c>
      <c r="H97">
        <v>20</v>
      </c>
      <c r="I97">
        <v>99</v>
      </c>
      <c r="J97">
        <v>0.01</v>
      </c>
      <c r="K97">
        <v>0.05</v>
      </c>
      <c r="L97">
        <v>0.95</v>
      </c>
    </row>
    <row r="98" spans="1:12" x14ac:dyDescent="0.25">
      <c r="A98" t="str">
        <f t="shared" si="0"/>
        <v>#tc_groceries#tc_tools#tc_toys</v>
      </c>
      <c r="B98">
        <v>35</v>
      </c>
      <c r="C98" t="s">
        <v>3127</v>
      </c>
      <c r="D98" t="s">
        <v>2740</v>
      </c>
      <c r="E98" t="s">
        <v>3128</v>
      </c>
      <c r="F98">
        <v>0</v>
      </c>
      <c r="G98">
        <v>2</v>
      </c>
      <c r="H98">
        <v>20</v>
      </c>
      <c r="I98">
        <v>99</v>
      </c>
      <c r="J98">
        <v>0.01</v>
      </c>
      <c r="K98">
        <v>0.05</v>
      </c>
      <c r="L98">
        <v>0.95</v>
      </c>
    </row>
    <row r="99" spans="1:12" x14ac:dyDescent="0.25">
      <c r="A99" t="str">
        <f t="shared" si="0"/>
        <v>#tc_groceries#tc_tools#tc_eletronics</v>
      </c>
      <c r="B99">
        <v>36</v>
      </c>
      <c r="C99" t="s">
        <v>3127</v>
      </c>
      <c r="D99" t="s">
        <v>2740</v>
      </c>
      <c r="E99" t="s">
        <v>3148</v>
      </c>
      <c r="F99">
        <v>0</v>
      </c>
      <c r="G99">
        <v>2</v>
      </c>
      <c r="H99">
        <v>20</v>
      </c>
      <c r="I99">
        <v>99</v>
      </c>
      <c r="J99">
        <v>0.01</v>
      </c>
      <c r="K99">
        <v>0.05</v>
      </c>
      <c r="L99">
        <v>0.95</v>
      </c>
    </row>
    <row r="100" spans="1:12" x14ac:dyDescent="0.25">
      <c r="A100" t="str">
        <f t="shared" si="0"/>
        <v>#tc_groceries#tc_tools#tc_lights</v>
      </c>
      <c r="B100">
        <v>37</v>
      </c>
      <c r="C100" t="s">
        <v>3127</v>
      </c>
      <c r="D100" t="s">
        <v>2740</v>
      </c>
      <c r="E100" t="s">
        <v>3147</v>
      </c>
      <c r="F100">
        <v>0</v>
      </c>
      <c r="G100">
        <v>2</v>
      </c>
      <c r="H100">
        <v>20</v>
      </c>
      <c r="I100">
        <v>99</v>
      </c>
      <c r="J100">
        <v>0.01</v>
      </c>
      <c r="K100">
        <v>0.05</v>
      </c>
      <c r="L100">
        <v>0.95</v>
      </c>
    </row>
    <row r="101" spans="1:12" x14ac:dyDescent="0.25">
      <c r="A101" t="str">
        <f t="shared" si="0"/>
        <v>#tc_groceries#tc_tools#tc_locks</v>
      </c>
      <c r="B101">
        <v>38</v>
      </c>
      <c r="C101" t="s">
        <v>3127</v>
      </c>
      <c r="D101" t="s">
        <v>2740</v>
      </c>
      <c r="E101" t="s">
        <v>3139</v>
      </c>
      <c r="F101">
        <v>3</v>
      </c>
      <c r="G101">
        <v>2</v>
      </c>
      <c r="H101">
        <v>20</v>
      </c>
      <c r="I101">
        <v>99</v>
      </c>
      <c r="J101">
        <v>0.01</v>
      </c>
      <c r="K101">
        <v>0.05</v>
      </c>
      <c r="L101">
        <v>0.95</v>
      </c>
    </row>
    <row r="102" spans="1:12" x14ac:dyDescent="0.25">
      <c r="A102" t="str">
        <f t="shared" si="0"/>
        <v>#tc_groceries#tc_tools#tc_materials</v>
      </c>
      <c r="B102">
        <v>39</v>
      </c>
      <c r="C102" t="s">
        <v>3127</v>
      </c>
      <c r="D102" t="s">
        <v>2740</v>
      </c>
      <c r="E102" t="s">
        <v>2741</v>
      </c>
      <c r="F102">
        <v>3</v>
      </c>
      <c r="G102">
        <v>10</v>
      </c>
      <c r="H102">
        <v>99</v>
      </c>
      <c r="I102">
        <v>999</v>
      </c>
      <c r="J102">
        <v>0.01</v>
      </c>
      <c r="K102">
        <v>0.05</v>
      </c>
      <c r="L102">
        <v>0.95</v>
      </c>
    </row>
    <row r="103" spans="1:12" x14ac:dyDescent="0.25">
      <c r="A103" t="str">
        <f t="shared" si="0"/>
        <v>#tc_groceries#tc_tools#tc_furnishings</v>
      </c>
      <c r="B103">
        <v>40</v>
      </c>
      <c r="C103" t="s">
        <v>3127</v>
      </c>
      <c r="D103" t="s">
        <v>2740</v>
      </c>
      <c r="E103" t="s">
        <v>3178</v>
      </c>
      <c r="F103">
        <v>3</v>
      </c>
      <c r="G103">
        <v>2</v>
      </c>
      <c r="H103">
        <v>20</v>
      </c>
      <c r="I103">
        <v>99</v>
      </c>
      <c r="J103">
        <v>0.01</v>
      </c>
      <c r="K103">
        <v>0.05</v>
      </c>
      <c r="L103">
        <v>0.95</v>
      </c>
    </row>
    <row r="104" spans="1:12" x14ac:dyDescent="0.25">
      <c r="A104" t="str">
        <f t="shared" si="0"/>
        <v>#tc_groceries#tc_tools#tc_storages</v>
      </c>
      <c r="B104">
        <v>41</v>
      </c>
      <c r="C104" t="s">
        <v>3127</v>
      </c>
      <c r="D104" t="s">
        <v>2740</v>
      </c>
      <c r="E104" t="s">
        <v>3227</v>
      </c>
      <c r="F104">
        <v>3</v>
      </c>
      <c r="G104">
        <v>2</v>
      </c>
      <c r="H104">
        <v>20</v>
      </c>
      <c r="I104">
        <v>99</v>
      </c>
      <c r="J104">
        <v>0.01</v>
      </c>
      <c r="K104">
        <v>0.05</v>
      </c>
      <c r="L104">
        <v>0.95</v>
      </c>
    </row>
    <row r="105" spans="1:12" x14ac:dyDescent="0.25">
      <c r="A105" t="str">
        <f t="shared" si="0"/>
        <v>#tc_military#tc_ammo#tc_pistols</v>
      </c>
      <c r="B105">
        <v>42</v>
      </c>
      <c r="C105" t="s">
        <v>2729</v>
      </c>
      <c r="D105" t="s">
        <v>2738</v>
      </c>
      <c r="E105" t="s">
        <v>3154</v>
      </c>
      <c r="F105">
        <v>0</v>
      </c>
      <c r="G105">
        <v>2</v>
      </c>
      <c r="H105">
        <v>10</v>
      </c>
      <c r="I105">
        <v>99</v>
      </c>
      <c r="J105">
        <v>0.05</v>
      </c>
      <c r="K105">
        <v>0.1</v>
      </c>
      <c r="L105">
        <v>0.95</v>
      </c>
    </row>
    <row r="106" spans="1:12" x14ac:dyDescent="0.25">
      <c r="A106" t="str">
        <f t="shared" si="0"/>
        <v>#tc_military#tc_ammo#tc_shotguns</v>
      </c>
      <c r="B106">
        <v>43</v>
      </c>
      <c r="C106" t="s">
        <v>2729</v>
      </c>
      <c r="D106" t="s">
        <v>2738</v>
      </c>
      <c r="E106" t="s">
        <v>3155</v>
      </c>
      <c r="F106">
        <v>3</v>
      </c>
      <c r="G106">
        <v>2</v>
      </c>
      <c r="H106">
        <v>10</v>
      </c>
      <c r="I106">
        <v>99</v>
      </c>
      <c r="J106">
        <v>0.05</v>
      </c>
      <c r="K106">
        <v>0.1</v>
      </c>
      <c r="L106">
        <v>0.95</v>
      </c>
    </row>
    <row r="107" spans="1:12" x14ac:dyDescent="0.25">
      <c r="A107" t="str">
        <f t="shared" si="0"/>
        <v>#tc_military#tc_ammo#tc_rifles</v>
      </c>
      <c r="B107">
        <v>44</v>
      </c>
      <c r="C107" t="s">
        <v>2729</v>
      </c>
      <c r="D107" t="s">
        <v>2738</v>
      </c>
      <c r="E107" t="s">
        <v>3157</v>
      </c>
      <c r="F107">
        <v>9</v>
      </c>
      <c r="G107">
        <v>2</v>
      </c>
      <c r="H107">
        <v>10</v>
      </c>
      <c r="I107">
        <v>99</v>
      </c>
      <c r="J107">
        <v>0.05</v>
      </c>
      <c r="K107">
        <v>0.1</v>
      </c>
      <c r="L107">
        <v>0.95</v>
      </c>
    </row>
    <row r="108" spans="1:12" x14ac:dyDescent="0.25">
      <c r="A108" t="str">
        <f t="shared" si="0"/>
        <v>#tc_military#tc_ammo#tc_snipers</v>
      </c>
      <c r="B108">
        <v>45</v>
      </c>
      <c r="C108" t="s">
        <v>2729</v>
      </c>
      <c r="D108" t="s">
        <v>2738</v>
      </c>
      <c r="E108" t="s">
        <v>3160</v>
      </c>
      <c r="F108">
        <v>12</v>
      </c>
      <c r="G108">
        <v>2</v>
      </c>
      <c r="H108">
        <v>10</v>
      </c>
      <c r="I108">
        <v>99</v>
      </c>
      <c r="J108">
        <v>0.05</v>
      </c>
      <c r="K108">
        <v>0.1</v>
      </c>
      <c r="L108">
        <v>0.95</v>
      </c>
    </row>
    <row r="109" spans="1:12" x14ac:dyDescent="0.25">
      <c r="A109" t="str">
        <f t="shared" ref="A109:A138" si="1">CONCATENATE(C109,D109,E109)</f>
        <v>#tc_military#tc_ammo#tc_grenade</v>
      </c>
      <c r="B109">
        <v>46</v>
      </c>
      <c r="C109" t="s">
        <v>2729</v>
      </c>
      <c r="D109" t="s">
        <v>2738</v>
      </c>
      <c r="E109" t="s">
        <v>3161</v>
      </c>
      <c r="F109">
        <v>3</v>
      </c>
      <c r="G109">
        <v>2</v>
      </c>
      <c r="H109">
        <v>10</v>
      </c>
      <c r="I109">
        <v>99</v>
      </c>
      <c r="J109">
        <v>0.05</v>
      </c>
      <c r="K109">
        <v>0.1</v>
      </c>
      <c r="L109">
        <v>0.95</v>
      </c>
    </row>
    <row r="110" spans="1:12" x14ac:dyDescent="0.25">
      <c r="A110" t="str">
        <f t="shared" si="1"/>
        <v>#tc_military#tc_ammo#tc_mines</v>
      </c>
      <c r="B110">
        <v>47</v>
      </c>
      <c r="C110" t="s">
        <v>2729</v>
      </c>
      <c r="D110" t="s">
        <v>2738</v>
      </c>
      <c r="E110" t="s">
        <v>3162</v>
      </c>
      <c r="F110">
        <v>3</v>
      </c>
      <c r="G110">
        <v>2</v>
      </c>
      <c r="H110">
        <v>10</v>
      </c>
      <c r="I110">
        <v>99</v>
      </c>
      <c r="J110">
        <v>0.05</v>
      </c>
      <c r="K110">
        <v>0.1</v>
      </c>
      <c r="L110">
        <v>0.95</v>
      </c>
    </row>
    <row r="111" spans="1:12" x14ac:dyDescent="0.25">
      <c r="A111" t="str">
        <f t="shared" si="1"/>
        <v>#tc_military#tc_attachments#tc_attachments</v>
      </c>
      <c r="B111">
        <v>48</v>
      </c>
      <c r="C111" t="s">
        <v>2729</v>
      </c>
      <c r="D111" t="s">
        <v>2736</v>
      </c>
      <c r="E111" t="s">
        <v>2736</v>
      </c>
      <c r="F111">
        <v>0</v>
      </c>
      <c r="G111">
        <v>2</v>
      </c>
      <c r="H111">
        <v>20</v>
      </c>
      <c r="I111">
        <v>99</v>
      </c>
      <c r="J111">
        <v>0.01</v>
      </c>
      <c r="K111">
        <v>0.05</v>
      </c>
      <c r="L111">
        <v>0.95</v>
      </c>
    </row>
    <row r="112" spans="1:12" x14ac:dyDescent="0.25">
      <c r="A112" t="str">
        <f t="shared" si="1"/>
        <v>#tc_military#tc_attachments#tc_bayonets</v>
      </c>
      <c r="B112">
        <v>49</v>
      </c>
      <c r="C112" t="s">
        <v>2729</v>
      </c>
      <c r="D112" t="s">
        <v>2736</v>
      </c>
      <c r="E112" t="s">
        <v>3164</v>
      </c>
      <c r="F112">
        <v>1</v>
      </c>
      <c r="G112">
        <v>2</v>
      </c>
      <c r="H112">
        <v>20</v>
      </c>
      <c r="I112">
        <v>99</v>
      </c>
      <c r="J112">
        <v>0.01</v>
      </c>
      <c r="K112">
        <v>0.05</v>
      </c>
      <c r="L112">
        <v>0.95</v>
      </c>
    </row>
    <row r="113" spans="1:12" x14ac:dyDescent="0.25">
      <c r="A113" t="str">
        <f t="shared" ref="A113" si="2">CONCATENATE(C113,D113,E113)</f>
        <v>#tc_military#tc_attachments#tc_optic</v>
      </c>
      <c r="B113">
        <v>50</v>
      </c>
      <c r="C113" t="s">
        <v>2729</v>
      </c>
      <c r="D113" t="s">
        <v>2736</v>
      </c>
      <c r="E113" t="s">
        <v>3163</v>
      </c>
      <c r="F113">
        <v>10</v>
      </c>
      <c r="G113">
        <v>2</v>
      </c>
      <c r="H113">
        <v>10</v>
      </c>
      <c r="I113">
        <v>99</v>
      </c>
      <c r="J113">
        <v>0.05</v>
      </c>
      <c r="K113">
        <v>0.1</v>
      </c>
      <c r="L113">
        <v>0.95</v>
      </c>
    </row>
    <row r="114" spans="1:12" x14ac:dyDescent="0.25">
      <c r="A114" t="str">
        <f t="shared" si="1"/>
        <v>#tc_military#tc_attachments#tc_nvoptic</v>
      </c>
      <c r="B114">
        <v>51</v>
      </c>
      <c r="C114" t="s">
        <v>2729</v>
      </c>
      <c r="D114" t="s">
        <v>2736</v>
      </c>
      <c r="E114" t="s">
        <v>3175</v>
      </c>
      <c r="F114">
        <v>12</v>
      </c>
      <c r="G114">
        <v>2</v>
      </c>
      <c r="H114">
        <v>10</v>
      </c>
      <c r="I114">
        <v>99</v>
      </c>
      <c r="J114">
        <v>0.05</v>
      </c>
      <c r="K114">
        <v>0.1</v>
      </c>
      <c r="L114">
        <v>0.95</v>
      </c>
    </row>
    <row r="115" spans="1:12" x14ac:dyDescent="0.25">
      <c r="A115" t="str">
        <f t="shared" si="1"/>
        <v>#tc_military#tc_attachments#tc_suppressors</v>
      </c>
      <c r="B115">
        <v>52</v>
      </c>
      <c r="C115" t="s">
        <v>2729</v>
      </c>
      <c r="D115" t="s">
        <v>2736</v>
      </c>
      <c r="E115" t="s">
        <v>3165</v>
      </c>
      <c r="F115">
        <v>10</v>
      </c>
      <c r="G115">
        <v>2</v>
      </c>
      <c r="H115">
        <v>10</v>
      </c>
      <c r="I115">
        <v>99</v>
      </c>
      <c r="J115">
        <v>0.05</v>
      </c>
      <c r="K115">
        <v>0.1</v>
      </c>
      <c r="L115">
        <v>0.95</v>
      </c>
    </row>
    <row r="116" spans="1:12" x14ac:dyDescent="0.25">
      <c r="A116" t="str">
        <f t="shared" si="1"/>
        <v>#tc_military#tc_magazines#tc_pistols</v>
      </c>
      <c r="B116">
        <v>53</v>
      </c>
      <c r="C116" t="s">
        <v>2729</v>
      </c>
      <c r="D116" t="s">
        <v>2737</v>
      </c>
      <c r="E116" t="s">
        <v>3154</v>
      </c>
      <c r="F116">
        <v>0</v>
      </c>
      <c r="G116">
        <v>2</v>
      </c>
      <c r="H116">
        <v>10</v>
      </c>
      <c r="I116">
        <v>99</v>
      </c>
      <c r="J116">
        <v>0.05</v>
      </c>
      <c r="K116">
        <v>0.1</v>
      </c>
      <c r="L116">
        <v>0.95</v>
      </c>
    </row>
    <row r="117" spans="1:12" x14ac:dyDescent="0.25">
      <c r="A117" t="str">
        <f t="shared" si="1"/>
        <v>#tc_military#tc_magazines#tc_shotguns</v>
      </c>
      <c r="B117">
        <v>54</v>
      </c>
      <c r="C117" t="s">
        <v>2729</v>
      </c>
      <c r="D117" t="s">
        <v>2737</v>
      </c>
      <c r="E117" t="s">
        <v>3155</v>
      </c>
      <c r="F117">
        <v>3</v>
      </c>
      <c r="G117">
        <v>2</v>
      </c>
      <c r="H117">
        <v>10</v>
      </c>
      <c r="I117">
        <v>99</v>
      </c>
      <c r="J117">
        <v>0.05</v>
      </c>
      <c r="K117">
        <v>0.1</v>
      </c>
      <c r="L117">
        <v>0.95</v>
      </c>
    </row>
    <row r="118" spans="1:12" x14ac:dyDescent="0.25">
      <c r="A118" t="str">
        <f t="shared" si="1"/>
        <v>#tc_military#tc_magazines#tc_submachineguns</v>
      </c>
      <c r="B118">
        <v>55</v>
      </c>
      <c r="C118" t="s">
        <v>2729</v>
      </c>
      <c r="D118" t="s">
        <v>2737</v>
      </c>
      <c r="E118" t="s">
        <v>3156</v>
      </c>
      <c r="F118">
        <v>6</v>
      </c>
      <c r="G118">
        <v>2</v>
      </c>
      <c r="H118">
        <v>10</v>
      </c>
      <c r="I118">
        <v>99</v>
      </c>
      <c r="J118">
        <v>0.05</v>
      </c>
      <c r="K118">
        <v>0.1</v>
      </c>
      <c r="L118">
        <v>0.95</v>
      </c>
    </row>
    <row r="119" spans="1:12" x14ac:dyDescent="0.25">
      <c r="A119" t="str">
        <f t="shared" si="1"/>
        <v>#tc_military#tc_magazines#tc_rifles</v>
      </c>
      <c r="B119">
        <v>56</v>
      </c>
      <c r="C119" t="s">
        <v>2729</v>
      </c>
      <c r="D119" t="s">
        <v>2737</v>
      </c>
      <c r="E119" t="s">
        <v>3157</v>
      </c>
      <c r="F119">
        <v>0</v>
      </c>
      <c r="G119">
        <v>2</v>
      </c>
      <c r="H119">
        <v>10</v>
      </c>
      <c r="I119">
        <v>99</v>
      </c>
      <c r="J119">
        <v>0.05</v>
      </c>
      <c r="K119">
        <v>0.1</v>
      </c>
      <c r="L119">
        <v>0.95</v>
      </c>
    </row>
    <row r="120" spans="1:12" x14ac:dyDescent="0.25">
      <c r="A120" t="str">
        <f t="shared" ref="A120" si="3">CONCATENATE(C120,D120,E120)</f>
        <v>#tc_military#tc_magazines#tc_assaultrifles</v>
      </c>
      <c r="B120">
        <v>57</v>
      </c>
      <c r="C120" t="s">
        <v>2729</v>
      </c>
      <c r="D120" t="s">
        <v>2737</v>
      </c>
      <c r="E120" t="s">
        <v>3158</v>
      </c>
      <c r="F120">
        <v>10</v>
      </c>
      <c r="G120">
        <v>2</v>
      </c>
      <c r="H120">
        <v>10</v>
      </c>
      <c r="I120">
        <v>99</v>
      </c>
      <c r="J120">
        <v>0.05</v>
      </c>
      <c r="K120">
        <v>0.1</v>
      </c>
      <c r="L120">
        <v>0.95</v>
      </c>
    </row>
    <row r="121" spans="1:12" x14ac:dyDescent="0.25">
      <c r="A121" t="str">
        <f t="shared" ref="A121" si="4">CONCATENATE(C121,D121,E121)</f>
        <v>#tc_military#tc_magazines#tc_machineguns</v>
      </c>
      <c r="B121">
        <v>58</v>
      </c>
      <c r="C121" t="s">
        <v>2729</v>
      </c>
      <c r="D121" t="s">
        <v>2737</v>
      </c>
      <c r="E121" t="s">
        <v>3159</v>
      </c>
      <c r="F121">
        <v>10</v>
      </c>
      <c r="G121">
        <v>2</v>
      </c>
      <c r="H121">
        <v>10</v>
      </c>
      <c r="I121">
        <v>99</v>
      </c>
      <c r="J121">
        <v>0.05</v>
      </c>
      <c r="K121">
        <v>0.1</v>
      </c>
      <c r="L121">
        <v>0.95</v>
      </c>
    </row>
    <row r="122" spans="1:12" x14ac:dyDescent="0.25">
      <c r="A122" t="str">
        <f t="shared" si="1"/>
        <v>#tc_military#tc_magazines#tc_snipers</v>
      </c>
      <c r="B122">
        <v>59</v>
      </c>
      <c r="C122" t="s">
        <v>2729</v>
      </c>
      <c r="D122" t="s">
        <v>2737</v>
      </c>
      <c r="E122" t="s">
        <v>3160</v>
      </c>
      <c r="F122">
        <v>12</v>
      </c>
      <c r="G122">
        <v>2</v>
      </c>
      <c r="H122">
        <v>10</v>
      </c>
      <c r="I122">
        <v>99</v>
      </c>
      <c r="J122">
        <v>0.05</v>
      </c>
      <c r="K122">
        <v>0.1</v>
      </c>
      <c r="L122">
        <v>0.95</v>
      </c>
    </row>
    <row r="123" spans="1:12" x14ac:dyDescent="0.25">
      <c r="A123" t="str">
        <f t="shared" ref="A123" si="5">CONCATENATE(C123,D123,E123)</f>
        <v>#tc_military#tc_weapons#tc_handtohand</v>
      </c>
      <c r="B123">
        <v>60</v>
      </c>
      <c r="C123" t="s">
        <v>2729</v>
      </c>
      <c r="D123" t="s">
        <v>3129</v>
      </c>
      <c r="E123" t="s">
        <v>3176</v>
      </c>
      <c r="F123">
        <v>0</v>
      </c>
      <c r="G123">
        <v>2</v>
      </c>
      <c r="H123">
        <v>10</v>
      </c>
      <c r="I123">
        <v>99</v>
      </c>
      <c r="J123">
        <v>0.05</v>
      </c>
      <c r="K123">
        <v>0.1</v>
      </c>
      <c r="L123">
        <v>0.95</v>
      </c>
    </row>
    <row r="124" spans="1:12" x14ac:dyDescent="0.25">
      <c r="A124" t="str">
        <f t="shared" si="1"/>
        <v>#tc_military#tc_weapons#tc_pistols</v>
      </c>
      <c r="B124">
        <v>61</v>
      </c>
      <c r="C124" t="s">
        <v>2729</v>
      </c>
      <c r="D124" t="s">
        <v>3129</v>
      </c>
      <c r="E124" t="s">
        <v>3154</v>
      </c>
      <c r="F124">
        <v>0</v>
      </c>
      <c r="G124">
        <v>2</v>
      </c>
      <c r="H124">
        <v>10</v>
      </c>
      <c r="I124">
        <v>99</v>
      </c>
      <c r="J124">
        <v>0.05</v>
      </c>
      <c r="K124">
        <v>0.1</v>
      </c>
      <c r="L124">
        <v>0.95</v>
      </c>
    </row>
    <row r="125" spans="1:12" x14ac:dyDescent="0.25">
      <c r="A125" t="str">
        <f t="shared" si="1"/>
        <v>#tc_military#tc_weapons#tc_shotguns</v>
      </c>
      <c r="B125">
        <v>62</v>
      </c>
      <c r="C125" t="s">
        <v>2729</v>
      </c>
      <c r="D125" t="s">
        <v>3129</v>
      </c>
      <c r="E125" t="s">
        <v>3155</v>
      </c>
      <c r="F125">
        <v>3</v>
      </c>
      <c r="G125">
        <v>2</v>
      </c>
      <c r="H125">
        <v>10</v>
      </c>
      <c r="I125">
        <v>99</v>
      </c>
      <c r="J125">
        <v>0.05</v>
      </c>
      <c r="K125">
        <v>0.1</v>
      </c>
      <c r="L125">
        <v>0.95</v>
      </c>
    </row>
    <row r="126" spans="1:12" x14ac:dyDescent="0.25">
      <c r="A126" t="str">
        <f t="shared" si="1"/>
        <v>#tc_military#tc_weapons#tc_submachineguns</v>
      </c>
      <c r="B126">
        <v>63</v>
      </c>
      <c r="C126" t="s">
        <v>2729</v>
      </c>
      <c r="D126" t="s">
        <v>3129</v>
      </c>
      <c r="E126" t="s">
        <v>3156</v>
      </c>
      <c r="F126">
        <v>6</v>
      </c>
      <c r="G126">
        <v>2</v>
      </c>
      <c r="H126">
        <v>10</v>
      </c>
      <c r="I126">
        <v>99</v>
      </c>
      <c r="J126">
        <v>0.05</v>
      </c>
      <c r="K126">
        <v>0.1</v>
      </c>
      <c r="L126">
        <v>0.95</v>
      </c>
    </row>
    <row r="127" spans="1:12" x14ac:dyDescent="0.25">
      <c r="A127" t="str">
        <f t="shared" si="1"/>
        <v>#tc_military#tc_weapons#tc_rifles</v>
      </c>
      <c r="B127">
        <v>64</v>
      </c>
      <c r="C127" t="s">
        <v>2729</v>
      </c>
      <c r="D127" t="s">
        <v>3129</v>
      </c>
      <c r="E127" t="s">
        <v>3157</v>
      </c>
      <c r="F127">
        <v>0</v>
      </c>
      <c r="G127">
        <v>2</v>
      </c>
      <c r="H127">
        <v>10</v>
      </c>
      <c r="I127">
        <v>99</v>
      </c>
      <c r="J127">
        <v>0.05</v>
      </c>
      <c r="K127">
        <v>0.1</v>
      </c>
      <c r="L127">
        <v>0.95</v>
      </c>
    </row>
    <row r="128" spans="1:12" x14ac:dyDescent="0.25">
      <c r="A128" t="str">
        <f t="shared" si="1"/>
        <v>#tc_military#tc_weapons#tc_assaultrifles</v>
      </c>
      <c r="B128">
        <v>65</v>
      </c>
      <c r="C128" t="s">
        <v>2729</v>
      </c>
      <c r="D128" t="s">
        <v>3129</v>
      </c>
      <c r="E128" t="s">
        <v>3158</v>
      </c>
      <c r="F128">
        <v>10</v>
      </c>
      <c r="G128">
        <v>2</v>
      </c>
      <c r="H128">
        <v>10</v>
      </c>
      <c r="I128">
        <v>99</v>
      </c>
      <c r="J128">
        <v>0.05</v>
      </c>
      <c r="K128">
        <v>0.1</v>
      </c>
      <c r="L128">
        <v>0.95</v>
      </c>
    </row>
    <row r="129" spans="1:12" x14ac:dyDescent="0.25">
      <c r="A129" t="str">
        <f t="shared" si="1"/>
        <v>#tc_military#tc_weapons#tc_machineguns</v>
      </c>
      <c r="B129">
        <v>66</v>
      </c>
      <c r="C129" t="s">
        <v>2729</v>
      </c>
      <c r="D129" t="s">
        <v>3129</v>
      </c>
      <c r="E129" t="s">
        <v>3159</v>
      </c>
      <c r="F129">
        <v>10</v>
      </c>
      <c r="G129">
        <v>2</v>
      </c>
      <c r="H129">
        <v>10</v>
      </c>
      <c r="I129">
        <v>99</v>
      </c>
      <c r="J129">
        <v>0.05</v>
      </c>
      <c r="K129">
        <v>0.1</v>
      </c>
      <c r="L129">
        <v>0.95</v>
      </c>
    </row>
    <row r="130" spans="1:12" x14ac:dyDescent="0.25">
      <c r="A130" t="str">
        <f t="shared" si="1"/>
        <v>#tc_military#tc_weapons#tc_snipers</v>
      </c>
      <c r="B130">
        <v>67</v>
      </c>
      <c r="C130" t="s">
        <v>2729</v>
      </c>
      <c r="D130" t="s">
        <v>3129</v>
      </c>
      <c r="E130" t="s">
        <v>3160</v>
      </c>
      <c r="F130">
        <v>12</v>
      </c>
      <c r="G130">
        <v>1</v>
      </c>
      <c r="H130">
        <v>5</v>
      </c>
      <c r="I130">
        <v>99</v>
      </c>
      <c r="J130">
        <v>0.05</v>
      </c>
      <c r="K130">
        <v>0.1</v>
      </c>
      <c r="L130">
        <v>0.95</v>
      </c>
    </row>
    <row r="131" spans="1:12" x14ac:dyDescent="0.25">
      <c r="A131" t="str">
        <f t="shared" si="1"/>
        <v>#tc_vehicles#tc_parts#tc_parts</v>
      </c>
      <c r="B131">
        <v>68</v>
      </c>
      <c r="C131" t="s">
        <v>2743</v>
      </c>
      <c r="D131" t="s">
        <v>2742</v>
      </c>
      <c r="E131" t="s">
        <v>2742</v>
      </c>
      <c r="F131">
        <v>3</v>
      </c>
      <c r="G131">
        <v>2</v>
      </c>
      <c r="H131">
        <v>20</v>
      </c>
      <c r="I131">
        <v>99</v>
      </c>
      <c r="J131">
        <v>0.01</v>
      </c>
      <c r="K131">
        <v>0.05</v>
      </c>
      <c r="L131">
        <v>0.95</v>
      </c>
    </row>
    <row r="132" spans="1:12" x14ac:dyDescent="0.25">
      <c r="A132" t="str">
        <f t="shared" si="1"/>
        <v>#tc_vehicles#tc_parts#tc_wheels</v>
      </c>
      <c r="B132">
        <v>69</v>
      </c>
      <c r="C132" t="s">
        <v>2743</v>
      </c>
      <c r="D132" t="s">
        <v>2742</v>
      </c>
      <c r="E132" t="s">
        <v>3167</v>
      </c>
      <c r="F132">
        <v>3</v>
      </c>
      <c r="G132">
        <v>2</v>
      </c>
      <c r="H132">
        <v>20</v>
      </c>
      <c r="I132">
        <v>99</v>
      </c>
      <c r="J132">
        <v>0.01</v>
      </c>
      <c r="K132">
        <v>0.05</v>
      </c>
      <c r="L132">
        <v>0.95</v>
      </c>
    </row>
    <row r="133" spans="1:12" x14ac:dyDescent="0.25">
      <c r="A133" t="str">
        <f t="shared" si="1"/>
        <v>#tc_vehicles#tc_parts#tc_doors</v>
      </c>
      <c r="B133">
        <v>70</v>
      </c>
      <c r="C133" t="s">
        <v>2743</v>
      </c>
      <c r="D133" t="s">
        <v>2742</v>
      </c>
      <c r="E133" t="s">
        <v>3170</v>
      </c>
      <c r="F133">
        <v>3</v>
      </c>
      <c r="G133">
        <v>2</v>
      </c>
      <c r="H133">
        <v>20</v>
      </c>
      <c r="I133">
        <v>99</v>
      </c>
      <c r="J133">
        <v>0.01</v>
      </c>
      <c r="K133">
        <v>0.05</v>
      </c>
      <c r="L133">
        <v>0.95</v>
      </c>
    </row>
    <row r="134" spans="1:12" x14ac:dyDescent="0.25">
      <c r="A134" t="str">
        <f t="shared" si="1"/>
        <v>#tc_vehicles#tc_parts#tc_hood</v>
      </c>
      <c r="B134">
        <v>71</v>
      </c>
      <c r="C134" t="s">
        <v>2743</v>
      </c>
      <c r="D134" t="s">
        <v>2742</v>
      </c>
      <c r="E134" t="s">
        <v>3168</v>
      </c>
      <c r="F134">
        <v>3</v>
      </c>
      <c r="G134">
        <v>2</v>
      </c>
      <c r="H134">
        <v>20</v>
      </c>
      <c r="I134">
        <v>99</v>
      </c>
      <c r="J134">
        <v>0.01</v>
      </c>
      <c r="K134">
        <v>0.05</v>
      </c>
      <c r="L134">
        <v>0.95</v>
      </c>
    </row>
    <row r="135" spans="1:12" x14ac:dyDescent="0.25">
      <c r="A135" t="str">
        <f t="shared" si="1"/>
        <v>#tc_vehicles#tc_parts#tc_trunk</v>
      </c>
      <c r="B135">
        <v>72</v>
      </c>
      <c r="C135" t="s">
        <v>2743</v>
      </c>
      <c r="D135" t="s">
        <v>2742</v>
      </c>
      <c r="E135" t="s">
        <v>3169</v>
      </c>
      <c r="F135">
        <v>3</v>
      </c>
      <c r="G135">
        <v>2</v>
      </c>
      <c r="H135">
        <v>20</v>
      </c>
      <c r="I135">
        <v>99</v>
      </c>
      <c r="J135">
        <v>0.01</v>
      </c>
      <c r="K135">
        <v>0.05</v>
      </c>
      <c r="L135">
        <v>0.95</v>
      </c>
    </row>
    <row r="136" spans="1:12" x14ac:dyDescent="0.25">
      <c r="A136" t="str">
        <f t="shared" si="1"/>
        <v>#tc_vehicles#tc_vehicles#tc_civil</v>
      </c>
      <c r="B136">
        <v>73</v>
      </c>
      <c r="C136" t="s">
        <v>2743</v>
      </c>
      <c r="D136" t="s">
        <v>2743</v>
      </c>
      <c r="E136" t="s">
        <v>3126</v>
      </c>
      <c r="F136">
        <v>9</v>
      </c>
      <c r="G136">
        <v>1</v>
      </c>
      <c r="H136">
        <v>5</v>
      </c>
      <c r="I136">
        <v>99</v>
      </c>
      <c r="J136">
        <v>0.05</v>
      </c>
      <c r="K136">
        <v>0.1</v>
      </c>
      <c r="L136">
        <v>0.95</v>
      </c>
    </row>
    <row r="137" spans="1:12" x14ac:dyDescent="0.25">
      <c r="A137" t="str">
        <f t="shared" si="1"/>
        <v>#tc_vehicles#tc_vehicles#tc_cargo</v>
      </c>
      <c r="B137">
        <v>74</v>
      </c>
      <c r="C137" t="s">
        <v>2743</v>
      </c>
      <c r="D137" t="s">
        <v>2743</v>
      </c>
      <c r="E137" t="s">
        <v>3137</v>
      </c>
      <c r="F137">
        <v>9</v>
      </c>
      <c r="G137">
        <v>1</v>
      </c>
      <c r="H137">
        <v>5</v>
      </c>
      <c r="I137">
        <v>99</v>
      </c>
      <c r="J137">
        <v>0.05</v>
      </c>
      <c r="K137">
        <v>0.1</v>
      </c>
      <c r="L137">
        <v>0.95</v>
      </c>
    </row>
    <row r="138" spans="1:12" x14ac:dyDescent="0.25">
      <c r="A138" t="str">
        <f t="shared" si="1"/>
        <v>#tc_vehicles#tc_vehicles#tc_transport</v>
      </c>
      <c r="B138">
        <v>75</v>
      </c>
      <c r="C138" t="s">
        <v>2743</v>
      </c>
      <c r="D138" t="s">
        <v>2743</v>
      </c>
      <c r="E138" t="s">
        <v>3166</v>
      </c>
      <c r="F138">
        <v>9</v>
      </c>
      <c r="G138">
        <v>1</v>
      </c>
      <c r="H138">
        <v>5</v>
      </c>
      <c r="I138">
        <v>99</v>
      </c>
      <c r="J138">
        <v>0.05</v>
      </c>
      <c r="K138">
        <v>0.1</v>
      </c>
      <c r="L138">
        <v>0.95</v>
      </c>
    </row>
  </sheetData>
  <mergeCells count="2">
    <mergeCell ref="A1:B58"/>
    <mergeCell ref="C61:L61"/>
  </mergeCells>
  <dataValidations count="3">
    <dataValidation type="list" allowBlank="1" showInputMessage="1" showErrorMessage="1" sqref="C1:C60 C62:C1048576">
      <formula1>groups</formula1>
    </dataValidation>
    <dataValidation type="list" allowBlank="1" showInputMessage="1" showErrorMessage="1" sqref="D1:D60 D62:D1048576">
      <formula1>categories</formula1>
    </dataValidation>
    <dataValidation type="list" allowBlank="1" showInputMessage="1" showErrorMessage="1" sqref="E1:E60 E62:E1048576">
      <formula1>subcategories</formula1>
    </dataValidation>
  </dataValidations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B1681"/>
  <sheetViews>
    <sheetView topLeftCell="B870" workbookViewId="0">
      <selection activeCell="B914" sqref="B914"/>
    </sheetView>
  </sheetViews>
  <sheetFormatPr defaultRowHeight="15" outlineLevelCol="1" x14ac:dyDescent="0.25"/>
  <cols>
    <col min="1" max="1" width="9.140625" hidden="1" customWidth="1" outlineLevel="1"/>
    <col min="2" max="2" width="40" bestFit="1" customWidth="1" collapsed="1"/>
  </cols>
  <sheetData>
    <row r="1" spans="1:2" x14ac:dyDescent="0.25">
      <c r="B1" t="s">
        <v>2756</v>
      </c>
    </row>
    <row r="2" spans="1:2" x14ac:dyDescent="0.25">
      <c r="A2">
        <v>0</v>
      </c>
      <c r="B2" t="str">
        <f>"    """&amp;A2&amp;""": {"</f>
        <v xml:space="preserve">    "0": {</v>
      </c>
    </row>
    <row r="3" spans="1:2" x14ac:dyDescent="0.25">
      <c r="A3">
        <v>0</v>
      </c>
      <c r="B3" t="str">
        <f>"        ""Groups"": """&amp;VLOOKUP(A3,TraderCategory!$B$63:$L$546,2,FALSE)&amp;""","</f>
        <v xml:space="preserve">        "Groups": "#tc_clothes",</v>
      </c>
    </row>
    <row r="4" spans="1:2" x14ac:dyDescent="0.25">
      <c r="A4">
        <v>0</v>
      </c>
      <c r="B4" t="str">
        <f>"        ""Category"": """&amp;VLOOKUP(A4,TraderCategory!$B$63:$L$546,3,FALSE)&amp;""","</f>
        <v xml:space="preserve">        "Category": "#tc_civil",</v>
      </c>
    </row>
    <row r="5" spans="1:2" x14ac:dyDescent="0.25">
      <c r="A5">
        <v>0</v>
      </c>
      <c r="B5" t="str">
        <f>"        ""SubCategory"": """&amp;VLOOKUP(A5,TraderCategory!$B$63:$L$546,4,FALSE)&amp;""","</f>
        <v xml:space="preserve">        "SubCategory": "#tc_head",</v>
      </c>
    </row>
    <row r="6" spans="1:2" x14ac:dyDescent="0.25">
      <c r="A6">
        <v>0</v>
      </c>
      <c r="B6" t="str">
        <f>"        ""Reputation"": "&amp;VLOOKUP(A6,TraderCategory!$B$63:$L$546,5,FALSE)&amp;","</f>
        <v xml:space="preserve">        "Reputation": 0,</v>
      </c>
    </row>
    <row r="7" spans="1:2" x14ac:dyDescent="0.25">
      <c r="A7">
        <v>0</v>
      </c>
      <c r="B7" t="str">
        <f>"        ""Restock"": "&amp;VLOOKUP(A7,TraderCategory!$B$63:$L$546,6,FALSE)&amp;","</f>
        <v xml:space="preserve">        "Restock": 2,</v>
      </c>
    </row>
    <row r="8" spans="1:2" x14ac:dyDescent="0.25">
      <c r="A8">
        <v>0</v>
      </c>
      <c r="B8" t="str">
        <f>"        ""RestockCap"": "&amp;VLOOKUP(A8,TraderCategory!$B$63:$L$546,7,FALSE)&amp;","</f>
        <v xml:space="preserve">        "RestockCap": 20,</v>
      </c>
    </row>
    <row r="9" spans="1:2" x14ac:dyDescent="0.25">
      <c r="A9">
        <v>0</v>
      </c>
      <c r="B9" t="str">
        <f>"        ""StockCap"": "&amp;VLOOKUP(A9,TraderCategory!$B$63:$L$546,8,FALSE)&amp;","</f>
        <v xml:space="preserve">        "StockCap": 99,</v>
      </c>
    </row>
    <row r="10" spans="1:2" x14ac:dyDescent="0.25">
      <c r="A10">
        <v>0</v>
      </c>
      <c r="B10" t="str">
        <f>"        ""SellingRatioMin"": "&amp;VLOOKUP(A10,TraderCategory!$B$63:$L$546,9,FALSE)&amp;","</f>
        <v xml:space="preserve">        "SellingRatioMin": 0.01,</v>
      </c>
    </row>
    <row r="11" spans="1:2" x14ac:dyDescent="0.25">
      <c r="A11">
        <v>0</v>
      </c>
      <c r="B11" t="str">
        <f>"        ""SellingRatioMax"": "&amp;VLOOKUP(A11,TraderCategory!$B$63:$L$546,10,FALSE)&amp;","</f>
        <v xml:space="preserve">        "SellingRatioMax": 0.05,</v>
      </c>
    </row>
    <row r="12" spans="1:2" x14ac:dyDescent="0.25">
      <c r="A12">
        <v>0</v>
      </c>
      <c r="B12" t="str">
        <f>"        ""BuingRatioMin"": "&amp;VLOOKUP(A12,TraderCategory!$B$63:$L$546,11,FALSE)</f>
        <v xml:space="preserve">        "BuingRatioMin": 0.95</v>
      </c>
    </row>
    <row r="13" spans="1:2" x14ac:dyDescent="0.25">
      <c r="A13">
        <v>0</v>
      </c>
      <c r="B13" t="s">
        <v>2755</v>
      </c>
    </row>
    <row r="14" spans="1:2" x14ac:dyDescent="0.25">
      <c r="A14">
        <f>A2+1</f>
        <v>1</v>
      </c>
      <c r="B14" t="str">
        <f>"    """&amp;A14&amp;""": {"</f>
        <v xml:space="preserve">    "1": {</v>
      </c>
    </row>
    <row r="15" spans="1:2" x14ac:dyDescent="0.25">
      <c r="A15">
        <f t="shared" ref="A15:A78" si="0">A3+1</f>
        <v>1</v>
      </c>
      <c r="B15" t="str">
        <f>"        ""Groups"": """&amp;VLOOKUP(A15,TraderCategory!$B$63:$L$546,2,FALSE)&amp;""","</f>
        <v xml:space="preserve">        "Groups": "#tc_clothes",</v>
      </c>
    </row>
    <row r="16" spans="1:2" x14ac:dyDescent="0.25">
      <c r="A16">
        <f t="shared" si="0"/>
        <v>1</v>
      </c>
      <c r="B16" t="str">
        <f>"        ""Category"": """&amp;VLOOKUP(A16,TraderCategory!$B$63:$L$546,3,FALSE)&amp;""","</f>
        <v xml:space="preserve">        "Category": "#tc_civil",</v>
      </c>
    </row>
    <row r="17" spans="1:2" x14ac:dyDescent="0.25">
      <c r="A17">
        <f t="shared" si="0"/>
        <v>1</v>
      </c>
      <c r="B17" t="str">
        <f>"        ""SubCategory"": """&amp;VLOOKUP(A17,TraderCategory!$B$63:$L$546,4,FALSE)&amp;""","</f>
        <v xml:space="preserve">        "SubCategory": "#tc_tops",</v>
      </c>
    </row>
    <row r="18" spans="1:2" x14ac:dyDescent="0.25">
      <c r="A18">
        <f t="shared" si="0"/>
        <v>1</v>
      </c>
      <c r="B18" t="str">
        <f>"        ""Reputation"": "&amp;VLOOKUP(A18,TraderCategory!$B$63:$L$546,5,FALSE)&amp;","</f>
        <v xml:space="preserve">        "Reputation": 0,</v>
      </c>
    </row>
    <row r="19" spans="1:2" x14ac:dyDescent="0.25">
      <c r="A19">
        <f t="shared" si="0"/>
        <v>1</v>
      </c>
      <c r="B19" t="str">
        <f>"        ""Restock"": "&amp;VLOOKUP(A19,TraderCategory!$B$63:$L$546,6,FALSE)&amp;","</f>
        <v xml:space="preserve">        "Restock": 2,</v>
      </c>
    </row>
    <row r="20" spans="1:2" x14ac:dyDescent="0.25">
      <c r="A20">
        <f t="shared" si="0"/>
        <v>1</v>
      </c>
      <c r="B20" t="str">
        <f>"        ""RestockCap"": "&amp;VLOOKUP(A20,TraderCategory!$B$63:$L$546,7,FALSE)&amp;","</f>
        <v xml:space="preserve">        "RestockCap": 20,</v>
      </c>
    </row>
    <row r="21" spans="1:2" x14ac:dyDescent="0.25">
      <c r="A21">
        <f t="shared" si="0"/>
        <v>1</v>
      </c>
      <c r="B21" t="str">
        <f>"        ""StockCap"": "&amp;VLOOKUP(A21,TraderCategory!$B$63:$L$546,8,FALSE)&amp;","</f>
        <v xml:space="preserve">        "StockCap": 99,</v>
      </c>
    </row>
    <row r="22" spans="1:2" x14ac:dyDescent="0.25">
      <c r="A22">
        <f t="shared" si="0"/>
        <v>1</v>
      </c>
      <c r="B22" t="str">
        <f>"        ""SellingRatioMin"": "&amp;VLOOKUP(A22,TraderCategory!$B$63:$L$546,9,FALSE)&amp;","</f>
        <v xml:space="preserve">        "SellingRatioMin": 0.01,</v>
      </c>
    </row>
    <row r="23" spans="1:2" x14ac:dyDescent="0.25">
      <c r="A23">
        <f t="shared" si="0"/>
        <v>1</v>
      </c>
      <c r="B23" t="str">
        <f>"        ""SellingRatioMax"": "&amp;VLOOKUP(A23,TraderCategory!$B$63:$L$546,10,FALSE)&amp;","</f>
        <v xml:space="preserve">        "SellingRatioMax": 0.05,</v>
      </c>
    </row>
    <row r="24" spans="1:2" x14ac:dyDescent="0.25">
      <c r="A24">
        <f t="shared" si="0"/>
        <v>1</v>
      </c>
      <c r="B24" t="str">
        <f>"        ""BuingRatioMin"": "&amp;VLOOKUP(A24,TraderCategory!$B$63:$L$546,11,FALSE)</f>
        <v xml:space="preserve">        "BuingRatioMin": 0.95</v>
      </c>
    </row>
    <row r="25" spans="1:2" x14ac:dyDescent="0.25">
      <c r="A25">
        <f t="shared" si="0"/>
        <v>1</v>
      </c>
      <c r="B25" t="s">
        <v>2755</v>
      </c>
    </row>
    <row r="26" spans="1:2" x14ac:dyDescent="0.25">
      <c r="A26">
        <f>A14+1</f>
        <v>2</v>
      </c>
      <c r="B26" t="str">
        <f>"    """&amp;A26&amp;""": {"</f>
        <v xml:space="preserve">    "2": {</v>
      </c>
    </row>
    <row r="27" spans="1:2" x14ac:dyDescent="0.25">
      <c r="A27">
        <f t="shared" si="0"/>
        <v>2</v>
      </c>
      <c r="B27" t="str">
        <f>"        ""Groups"": """&amp;VLOOKUP(A27,TraderCategory!$B$63:$L$546,2,FALSE)&amp;""","</f>
        <v xml:space="preserve">        "Groups": "#tc_clothes",</v>
      </c>
    </row>
    <row r="28" spans="1:2" x14ac:dyDescent="0.25">
      <c r="A28">
        <f t="shared" si="0"/>
        <v>2</v>
      </c>
      <c r="B28" t="str">
        <f>"        ""Category"": """&amp;VLOOKUP(A28,TraderCategory!$B$63:$L$546,3,FALSE)&amp;""","</f>
        <v xml:space="preserve">        "Category": "#tc_civil",</v>
      </c>
    </row>
    <row r="29" spans="1:2" x14ac:dyDescent="0.25">
      <c r="A29">
        <f t="shared" si="0"/>
        <v>2</v>
      </c>
      <c r="B29" t="str">
        <f>"        ""SubCategory"": """&amp;VLOOKUP(A29,TraderCategory!$B$63:$L$546,4,FALSE)&amp;""","</f>
        <v xml:space="preserve">        "SubCategory": "#tc_gloves",</v>
      </c>
    </row>
    <row r="30" spans="1:2" x14ac:dyDescent="0.25">
      <c r="A30">
        <f t="shared" si="0"/>
        <v>2</v>
      </c>
      <c r="B30" t="str">
        <f>"        ""Reputation"": "&amp;VLOOKUP(A30,TraderCategory!$B$63:$L$546,5,FALSE)&amp;","</f>
        <v xml:space="preserve">        "Reputation": 0,</v>
      </c>
    </row>
    <row r="31" spans="1:2" x14ac:dyDescent="0.25">
      <c r="A31">
        <f t="shared" si="0"/>
        <v>2</v>
      </c>
      <c r="B31" t="str">
        <f>"        ""Restock"": "&amp;VLOOKUP(A31,TraderCategory!$B$63:$L$546,6,FALSE)&amp;","</f>
        <v xml:space="preserve">        "Restock": 2,</v>
      </c>
    </row>
    <row r="32" spans="1:2" x14ac:dyDescent="0.25">
      <c r="A32">
        <f t="shared" si="0"/>
        <v>2</v>
      </c>
      <c r="B32" t="str">
        <f>"        ""RestockCap"": "&amp;VLOOKUP(A32,TraderCategory!$B$63:$L$546,7,FALSE)&amp;","</f>
        <v xml:space="preserve">        "RestockCap": 20,</v>
      </c>
    </row>
    <row r="33" spans="1:2" x14ac:dyDescent="0.25">
      <c r="A33">
        <f t="shared" si="0"/>
        <v>2</v>
      </c>
      <c r="B33" t="str">
        <f>"        ""StockCap"": "&amp;VLOOKUP(A33,TraderCategory!$B$63:$L$546,8,FALSE)&amp;","</f>
        <v xml:space="preserve">        "StockCap": 99,</v>
      </c>
    </row>
    <row r="34" spans="1:2" x14ac:dyDescent="0.25">
      <c r="A34">
        <f t="shared" si="0"/>
        <v>2</v>
      </c>
      <c r="B34" t="str">
        <f>"        ""SellingRatioMin"": "&amp;VLOOKUP(A34,TraderCategory!$B$63:$L$546,9,FALSE)&amp;","</f>
        <v xml:space="preserve">        "SellingRatioMin": 0.01,</v>
      </c>
    </row>
    <row r="35" spans="1:2" x14ac:dyDescent="0.25">
      <c r="A35">
        <f t="shared" si="0"/>
        <v>2</v>
      </c>
      <c r="B35" t="str">
        <f>"        ""SellingRatioMax"": "&amp;VLOOKUP(A35,TraderCategory!$B$63:$L$546,10,FALSE)&amp;","</f>
        <v xml:space="preserve">        "SellingRatioMax": 0.05,</v>
      </c>
    </row>
    <row r="36" spans="1:2" x14ac:dyDescent="0.25">
      <c r="A36">
        <f t="shared" si="0"/>
        <v>2</v>
      </c>
      <c r="B36" t="str">
        <f>"        ""BuingRatioMin"": "&amp;VLOOKUP(A36,TraderCategory!$B$63:$L$546,11,FALSE)</f>
        <v xml:space="preserve">        "BuingRatioMin": 0.95</v>
      </c>
    </row>
    <row r="37" spans="1:2" x14ac:dyDescent="0.25">
      <c r="A37">
        <f t="shared" si="0"/>
        <v>2</v>
      </c>
      <c r="B37" t="s">
        <v>2755</v>
      </c>
    </row>
    <row r="38" spans="1:2" x14ac:dyDescent="0.25">
      <c r="A38">
        <f>A26+1</f>
        <v>3</v>
      </c>
      <c r="B38" t="str">
        <f>"    """&amp;A38&amp;""": {"</f>
        <v xml:space="preserve">    "3": {</v>
      </c>
    </row>
    <row r="39" spans="1:2" x14ac:dyDescent="0.25">
      <c r="A39">
        <f t="shared" si="0"/>
        <v>3</v>
      </c>
      <c r="B39" t="str">
        <f>"        ""Groups"": """&amp;VLOOKUP(A39,TraderCategory!$B$63:$L$546,2,FALSE)&amp;""","</f>
        <v xml:space="preserve">        "Groups": "#tc_clothes",</v>
      </c>
    </row>
    <row r="40" spans="1:2" x14ac:dyDescent="0.25">
      <c r="A40">
        <f t="shared" si="0"/>
        <v>3</v>
      </c>
      <c r="B40" t="str">
        <f>"        ""Category"": """&amp;VLOOKUP(A40,TraderCategory!$B$63:$L$546,3,FALSE)&amp;""","</f>
        <v xml:space="preserve">        "Category": "#tc_civil",</v>
      </c>
    </row>
    <row r="41" spans="1:2" x14ac:dyDescent="0.25">
      <c r="A41">
        <f t="shared" si="0"/>
        <v>3</v>
      </c>
      <c r="B41" t="str">
        <f>"        ""SubCategory"": """&amp;VLOOKUP(A41,TraderCategory!$B$63:$L$546,4,FALSE)&amp;""","</f>
        <v xml:space="preserve">        "SubCategory": "#tc_belts",</v>
      </c>
    </row>
    <row r="42" spans="1:2" x14ac:dyDescent="0.25">
      <c r="A42">
        <f t="shared" si="0"/>
        <v>3</v>
      </c>
      <c r="B42" t="str">
        <f>"        ""Reputation"": "&amp;VLOOKUP(A42,TraderCategory!$B$63:$L$546,5,FALSE)&amp;","</f>
        <v xml:space="preserve">        "Reputation": 0,</v>
      </c>
    </row>
    <row r="43" spans="1:2" x14ac:dyDescent="0.25">
      <c r="A43">
        <f t="shared" si="0"/>
        <v>3</v>
      </c>
      <c r="B43" t="str">
        <f>"        ""Restock"": "&amp;VLOOKUP(A43,TraderCategory!$B$63:$L$546,6,FALSE)&amp;","</f>
        <v xml:space="preserve">        "Restock": 2,</v>
      </c>
    </row>
    <row r="44" spans="1:2" x14ac:dyDescent="0.25">
      <c r="A44">
        <f t="shared" si="0"/>
        <v>3</v>
      </c>
      <c r="B44" t="str">
        <f>"        ""RestockCap"": "&amp;VLOOKUP(A44,TraderCategory!$B$63:$L$546,7,FALSE)&amp;","</f>
        <v xml:space="preserve">        "RestockCap": 20,</v>
      </c>
    </row>
    <row r="45" spans="1:2" x14ac:dyDescent="0.25">
      <c r="A45">
        <f t="shared" si="0"/>
        <v>3</v>
      </c>
      <c r="B45" t="str">
        <f>"        ""StockCap"": "&amp;VLOOKUP(A45,TraderCategory!$B$63:$L$546,8,FALSE)&amp;","</f>
        <v xml:space="preserve">        "StockCap": 99,</v>
      </c>
    </row>
    <row r="46" spans="1:2" x14ac:dyDescent="0.25">
      <c r="A46">
        <f t="shared" si="0"/>
        <v>3</v>
      </c>
      <c r="B46" t="str">
        <f>"        ""SellingRatioMin"": "&amp;VLOOKUP(A46,TraderCategory!$B$63:$L$546,9,FALSE)&amp;","</f>
        <v xml:space="preserve">        "SellingRatioMin": 0.01,</v>
      </c>
    </row>
    <row r="47" spans="1:2" x14ac:dyDescent="0.25">
      <c r="A47">
        <f t="shared" si="0"/>
        <v>3</v>
      </c>
      <c r="B47" t="str">
        <f>"        ""SellingRatioMax"": "&amp;VLOOKUP(A47,TraderCategory!$B$63:$L$546,10,FALSE)&amp;","</f>
        <v xml:space="preserve">        "SellingRatioMax": 0.05,</v>
      </c>
    </row>
    <row r="48" spans="1:2" x14ac:dyDescent="0.25">
      <c r="A48">
        <f t="shared" si="0"/>
        <v>3</v>
      </c>
      <c r="B48" t="str">
        <f>"        ""BuingRatioMin"": "&amp;VLOOKUP(A48,TraderCategory!$B$63:$L$546,11,FALSE)</f>
        <v xml:space="preserve">        "BuingRatioMin": 0.95</v>
      </c>
    </row>
    <row r="49" spans="1:2" x14ac:dyDescent="0.25">
      <c r="A49">
        <f t="shared" si="0"/>
        <v>3</v>
      </c>
      <c r="B49" t="s">
        <v>2755</v>
      </c>
    </row>
    <row r="50" spans="1:2" x14ac:dyDescent="0.25">
      <c r="A50">
        <f>A38+1</f>
        <v>4</v>
      </c>
      <c r="B50" t="str">
        <f>"    """&amp;A50&amp;""": {"</f>
        <v xml:space="preserve">    "4": {</v>
      </c>
    </row>
    <row r="51" spans="1:2" x14ac:dyDescent="0.25">
      <c r="A51">
        <f t="shared" si="0"/>
        <v>4</v>
      </c>
      <c r="B51" t="str">
        <f>"        ""Groups"": """&amp;VLOOKUP(A51,TraderCategory!$B$63:$L$546,2,FALSE)&amp;""","</f>
        <v xml:space="preserve">        "Groups": "#tc_clothes",</v>
      </c>
    </row>
    <row r="52" spans="1:2" x14ac:dyDescent="0.25">
      <c r="A52">
        <f t="shared" si="0"/>
        <v>4</v>
      </c>
      <c r="B52" t="str">
        <f>"        ""Category"": """&amp;VLOOKUP(A52,TraderCategory!$B$63:$L$546,3,FALSE)&amp;""","</f>
        <v xml:space="preserve">        "Category": "#tc_civil",</v>
      </c>
    </row>
    <row r="53" spans="1:2" x14ac:dyDescent="0.25">
      <c r="A53">
        <f t="shared" si="0"/>
        <v>4</v>
      </c>
      <c r="B53" t="str">
        <f>"        ""SubCategory"": """&amp;VLOOKUP(A53,TraderCategory!$B$63:$L$546,4,FALSE)&amp;""","</f>
        <v xml:space="preserve">        "SubCategory": "#tc_pants",</v>
      </c>
    </row>
    <row r="54" spans="1:2" x14ac:dyDescent="0.25">
      <c r="A54">
        <f t="shared" si="0"/>
        <v>4</v>
      </c>
      <c r="B54" t="str">
        <f>"        ""Reputation"": "&amp;VLOOKUP(A54,TraderCategory!$B$63:$L$546,5,FALSE)&amp;","</f>
        <v xml:space="preserve">        "Reputation": 0,</v>
      </c>
    </row>
    <row r="55" spans="1:2" x14ac:dyDescent="0.25">
      <c r="A55">
        <f t="shared" si="0"/>
        <v>4</v>
      </c>
      <c r="B55" t="str">
        <f>"        ""Restock"": "&amp;VLOOKUP(A55,TraderCategory!$B$63:$L$546,6,FALSE)&amp;","</f>
        <v xml:space="preserve">        "Restock": 2,</v>
      </c>
    </row>
    <row r="56" spans="1:2" x14ac:dyDescent="0.25">
      <c r="A56">
        <f t="shared" si="0"/>
        <v>4</v>
      </c>
      <c r="B56" t="str">
        <f>"        ""RestockCap"": "&amp;VLOOKUP(A56,TraderCategory!$B$63:$L$546,7,FALSE)&amp;","</f>
        <v xml:space="preserve">        "RestockCap": 20,</v>
      </c>
    </row>
    <row r="57" spans="1:2" x14ac:dyDescent="0.25">
      <c r="A57">
        <f t="shared" si="0"/>
        <v>4</v>
      </c>
      <c r="B57" t="str">
        <f>"        ""StockCap"": "&amp;VLOOKUP(A57,TraderCategory!$B$63:$L$546,8,FALSE)&amp;","</f>
        <v xml:space="preserve">        "StockCap": 99,</v>
      </c>
    </row>
    <row r="58" spans="1:2" x14ac:dyDescent="0.25">
      <c r="A58">
        <f t="shared" si="0"/>
        <v>4</v>
      </c>
      <c r="B58" t="str">
        <f>"        ""SellingRatioMin"": "&amp;VLOOKUP(A58,TraderCategory!$B$63:$L$546,9,FALSE)&amp;","</f>
        <v xml:space="preserve">        "SellingRatioMin": 0.01,</v>
      </c>
    </row>
    <row r="59" spans="1:2" x14ac:dyDescent="0.25">
      <c r="A59">
        <f t="shared" si="0"/>
        <v>4</v>
      </c>
      <c r="B59" t="str">
        <f>"        ""SellingRatioMax"": "&amp;VLOOKUP(A59,TraderCategory!$B$63:$L$546,10,FALSE)&amp;","</f>
        <v xml:space="preserve">        "SellingRatioMax": 0.05,</v>
      </c>
    </row>
    <row r="60" spans="1:2" x14ac:dyDescent="0.25">
      <c r="A60">
        <f t="shared" si="0"/>
        <v>4</v>
      </c>
      <c r="B60" t="str">
        <f>"        ""BuingRatioMin"": "&amp;VLOOKUP(A60,TraderCategory!$B$63:$L$546,11,FALSE)</f>
        <v xml:space="preserve">        "BuingRatioMin": 0.95</v>
      </c>
    </row>
    <row r="61" spans="1:2" x14ac:dyDescent="0.25">
      <c r="A61">
        <f t="shared" si="0"/>
        <v>4</v>
      </c>
      <c r="B61" t="s">
        <v>2755</v>
      </c>
    </row>
    <row r="62" spans="1:2" x14ac:dyDescent="0.25">
      <c r="A62">
        <f>A50+1</f>
        <v>5</v>
      </c>
      <c r="B62" t="str">
        <f>"    """&amp;A62&amp;""": {"</f>
        <v xml:space="preserve">    "5": {</v>
      </c>
    </row>
    <row r="63" spans="1:2" x14ac:dyDescent="0.25">
      <c r="A63">
        <f t="shared" si="0"/>
        <v>5</v>
      </c>
      <c r="B63" t="str">
        <f>"        ""Groups"": """&amp;VLOOKUP(A63,TraderCategory!$B$63:$L$546,2,FALSE)&amp;""","</f>
        <v xml:space="preserve">        "Groups": "#tc_clothes",</v>
      </c>
    </row>
    <row r="64" spans="1:2" x14ac:dyDescent="0.25">
      <c r="A64">
        <f t="shared" si="0"/>
        <v>5</v>
      </c>
      <c r="B64" t="str">
        <f>"        ""Category"": """&amp;VLOOKUP(A64,TraderCategory!$B$63:$L$546,3,FALSE)&amp;""","</f>
        <v xml:space="preserve">        "Category": "#tc_civil",</v>
      </c>
    </row>
    <row r="65" spans="1:2" x14ac:dyDescent="0.25">
      <c r="A65">
        <f t="shared" si="0"/>
        <v>5</v>
      </c>
      <c r="B65" t="str">
        <f>"        ""SubCategory"": """&amp;VLOOKUP(A65,TraderCategory!$B$63:$L$546,4,FALSE)&amp;""","</f>
        <v xml:space="preserve">        "SubCategory": "#tc_boots",</v>
      </c>
    </row>
    <row r="66" spans="1:2" x14ac:dyDescent="0.25">
      <c r="A66">
        <f t="shared" si="0"/>
        <v>5</v>
      </c>
      <c r="B66" t="str">
        <f>"        ""Reputation"": "&amp;VLOOKUP(A66,TraderCategory!$B$63:$L$546,5,FALSE)&amp;","</f>
        <v xml:space="preserve">        "Reputation": 0,</v>
      </c>
    </row>
    <row r="67" spans="1:2" x14ac:dyDescent="0.25">
      <c r="A67">
        <f t="shared" si="0"/>
        <v>5</v>
      </c>
      <c r="B67" t="str">
        <f>"        ""Restock"": "&amp;VLOOKUP(A67,TraderCategory!$B$63:$L$546,6,FALSE)&amp;","</f>
        <v xml:space="preserve">        "Restock": 2,</v>
      </c>
    </row>
    <row r="68" spans="1:2" x14ac:dyDescent="0.25">
      <c r="A68">
        <f t="shared" si="0"/>
        <v>5</v>
      </c>
      <c r="B68" t="str">
        <f>"        ""RestockCap"": "&amp;VLOOKUP(A68,TraderCategory!$B$63:$L$546,7,FALSE)&amp;","</f>
        <v xml:space="preserve">        "RestockCap": 20,</v>
      </c>
    </row>
    <row r="69" spans="1:2" x14ac:dyDescent="0.25">
      <c r="A69">
        <f t="shared" si="0"/>
        <v>5</v>
      </c>
      <c r="B69" t="str">
        <f>"        ""StockCap"": "&amp;VLOOKUP(A69,TraderCategory!$B$63:$L$546,8,FALSE)&amp;","</f>
        <v xml:space="preserve">        "StockCap": 99,</v>
      </c>
    </row>
    <row r="70" spans="1:2" x14ac:dyDescent="0.25">
      <c r="A70">
        <f t="shared" si="0"/>
        <v>5</v>
      </c>
      <c r="B70" t="str">
        <f>"        ""SellingRatioMin"": "&amp;VLOOKUP(A70,TraderCategory!$B$63:$L$546,9,FALSE)&amp;","</f>
        <v xml:space="preserve">        "SellingRatioMin": 0.01,</v>
      </c>
    </row>
    <row r="71" spans="1:2" x14ac:dyDescent="0.25">
      <c r="A71">
        <f t="shared" si="0"/>
        <v>5</v>
      </c>
      <c r="B71" t="str">
        <f>"        ""SellingRatioMax"": "&amp;VLOOKUP(A71,TraderCategory!$B$63:$L$546,10,FALSE)&amp;","</f>
        <v xml:space="preserve">        "SellingRatioMax": 0.05,</v>
      </c>
    </row>
    <row r="72" spans="1:2" x14ac:dyDescent="0.25">
      <c r="A72">
        <f t="shared" si="0"/>
        <v>5</v>
      </c>
      <c r="B72" t="str">
        <f>"        ""BuingRatioMin"": "&amp;VLOOKUP(A72,TraderCategory!$B$63:$L$546,11,FALSE)</f>
        <v xml:space="preserve">        "BuingRatioMin": 0.95</v>
      </c>
    </row>
    <row r="73" spans="1:2" x14ac:dyDescent="0.25">
      <c r="A73">
        <f t="shared" si="0"/>
        <v>5</v>
      </c>
      <c r="B73" t="s">
        <v>2755</v>
      </c>
    </row>
    <row r="74" spans="1:2" x14ac:dyDescent="0.25">
      <c r="A74">
        <f>A62+1</f>
        <v>6</v>
      </c>
      <c r="B74" t="str">
        <f>"    """&amp;A74&amp;""": {"</f>
        <v xml:space="preserve">    "6": {</v>
      </c>
    </row>
    <row r="75" spans="1:2" x14ac:dyDescent="0.25">
      <c r="A75">
        <f t="shared" si="0"/>
        <v>6</v>
      </c>
      <c r="B75" t="str">
        <f>"        ""Groups"": """&amp;VLOOKUP(A75,TraderCategory!$B$63:$L$546,2,FALSE)&amp;""","</f>
        <v xml:space="preserve">        "Groups": "#tc_clothes",</v>
      </c>
    </row>
    <row r="76" spans="1:2" x14ac:dyDescent="0.25">
      <c r="A76">
        <f t="shared" si="0"/>
        <v>6</v>
      </c>
      <c r="B76" t="str">
        <f>"        ""Category"": """&amp;VLOOKUP(A76,TraderCategory!$B$63:$L$546,3,FALSE)&amp;""","</f>
        <v xml:space="preserve">        "Category": "#tc_civil",</v>
      </c>
    </row>
    <row r="77" spans="1:2" x14ac:dyDescent="0.25">
      <c r="A77">
        <f t="shared" si="0"/>
        <v>6</v>
      </c>
      <c r="B77" t="str">
        <f>"        ""SubCategory"": """&amp;VLOOKUP(A77,TraderCategory!$B$63:$L$546,4,FALSE)&amp;""","</f>
        <v xml:space="preserve">        "SubCategory": "#tc_vests",</v>
      </c>
    </row>
    <row r="78" spans="1:2" x14ac:dyDescent="0.25">
      <c r="A78">
        <f t="shared" si="0"/>
        <v>6</v>
      </c>
      <c r="B78" t="str">
        <f>"        ""Reputation"": "&amp;VLOOKUP(A78,TraderCategory!$B$63:$L$546,5,FALSE)&amp;","</f>
        <v xml:space="preserve">        "Reputation": 0,</v>
      </c>
    </row>
    <row r="79" spans="1:2" x14ac:dyDescent="0.25">
      <c r="A79">
        <f t="shared" ref="A79:A85" si="1">A67+1</f>
        <v>6</v>
      </c>
      <c r="B79" t="str">
        <f>"        ""Restock"": "&amp;VLOOKUP(A79,TraderCategory!$B$63:$L$546,6,FALSE)&amp;","</f>
        <v xml:space="preserve">        "Restock": 2,</v>
      </c>
    </row>
    <row r="80" spans="1:2" x14ac:dyDescent="0.25">
      <c r="A80">
        <f t="shared" si="1"/>
        <v>6</v>
      </c>
      <c r="B80" t="str">
        <f>"        ""RestockCap"": "&amp;VLOOKUP(A80,TraderCategory!$B$63:$L$546,7,FALSE)&amp;","</f>
        <v xml:space="preserve">        "RestockCap": 20,</v>
      </c>
    </row>
    <row r="81" spans="1:2" x14ac:dyDescent="0.25">
      <c r="A81">
        <f t="shared" si="1"/>
        <v>6</v>
      </c>
      <c r="B81" t="str">
        <f>"        ""StockCap"": "&amp;VLOOKUP(A81,TraderCategory!$B$63:$L$546,8,FALSE)&amp;","</f>
        <v xml:space="preserve">        "StockCap": 99,</v>
      </c>
    </row>
    <row r="82" spans="1:2" x14ac:dyDescent="0.25">
      <c r="A82">
        <f t="shared" si="1"/>
        <v>6</v>
      </c>
      <c r="B82" t="str">
        <f>"        ""SellingRatioMin"": "&amp;VLOOKUP(A82,TraderCategory!$B$63:$L$546,9,FALSE)&amp;","</f>
        <v xml:space="preserve">        "SellingRatioMin": 0.01,</v>
      </c>
    </row>
    <row r="83" spans="1:2" x14ac:dyDescent="0.25">
      <c r="A83">
        <f t="shared" si="1"/>
        <v>6</v>
      </c>
      <c r="B83" t="str">
        <f>"        ""SellingRatioMax"": "&amp;VLOOKUP(A83,TraderCategory!$B$63:$L$546,10,FALSE)&amp;","</f>
        <v xml:space="preserve">        "SellingRatioMax": 0.05,</v>
      </c>
    </row>
    <row r="84" spans="1:2" x14ac:dyDescent="0.25">
      <c r="A84">
        <f t="shared" si="1"/>
        <v>6</v>
      </c>
      <c r="B84" t="str">
        <f>"        ""BuingRatioMin"": "&amp;VLOOKUP(A84,TraderCategory!$B$63:$L$546,11,FALSE)</f>
        <v xml:space="preserve">        "BuingRatioMin": 0.95</v>
      </c>
    </row>
    <row r="85" spans="1:2" x14ac:dyDescent="0.25">
      <c r="A85">
        <f t="shared" si="1"/>
        <v>6</v>
      </c>
      <c r="B85" t="s">
        <v>2755</v>
      </c>
    </row>
    <row r="86" spans="1:2" x14ac:dyDescent="0.25">
      <c r="A86">
        <f>A74+1</f>
        <v>7</v>
      </c>
      <c r="B86" t="str">
        <f>"    """&amp;A86&amp;""": {"</f>
        <v xml:space="preserve">    "7": {</v>
      </c>
    </row>
    <row r="87" spans="1:2" x14ac:dyDescent="0.25">
      <c r="A87">
        <f t="shared" ref="A87:A97" si="2">A75+1</f>
        <v>7</v>
      </c>
      <c r="B87" t="str">
        <f>"        ""Groups"": """&amp;VLOOKUP(A87,TraderCategory!$B$63:$L$546,2,FALSE)&amp;""","</f>
        <v xml:space="preserve">        "Groups": "#tc_clothes",</v>
      </c>
    </row>
    <row r="88" spans="1:2" x14ac:dyDescent="0.25">
      <c r="A88">
        <f t="shared" si="2"/>
        <v>7</v>
      </c>
      <c r="B88" t="str">
        <f>"        ""Category"": """&amp;VLOOKUP(A88,TraderCategory!$B$63:$L$546,3,FALSE)&amp;""","</f>
        <v xml:space="preserve">        "Category": "#tc_civil",</v>
      </c>
    </row>
    <row r="89" spans="1:2" x14ac:dyDescent="0.25">
      <c r="A89">
        <f t="shared" si="2"/>
        <v>7</v>
      </c>
      <c r="B89" t="str">
        <f>"        ""SubCategory"": """&amp;VLOOKUP(A89,TraderCategory!$B$63:$L$546,4,FALSE)&amp;""","</f>
        <v xml:space="preserve">        "SubCategory": "#tc_bags",</v>
      </c>
    </row>
    <row r="90" spans="1:2" x14ac:dyDescent="0.25">
      <c r="A90">
        <f t="shared" si="2"/>
        <v>7</v>
      </c>
      <c r="B90" t="str">
        <f>"        ""Reputation"": "&amp;VLOOKUP(A90,TraderCategory!$B$63:$L$546,5,FALSE)&amp;","</f>
        <v xml:space="preserve">        "Reputation": 0,</v>
      </c>
    </row>
    <row r="91" spans="1:2" x14ac:dyDescent="0.25">
      <c r="A91">
        <f t="shared" si="2"/>
        <v>7</v>
      </c>
      <c r="B91" t="str">
        <f>"        ""Restock"": "&amp;VLOOKUP(A91,TraderCategory!$B$63:$L$546,6,FALSE)&amp;","</f>
        <v xml:space="preserve">        "Restock": 2,</v>
      </c>
    </row>
    <row r="92" spans="1:2" x14ac:dyDescent="0.25">
      <c r="A92">
        <f t="shared" si="2"/>
        <v>7</v>
      </c>
      <c r="B92" t="str">
        <f>"        ""RestockCap"": "&amp;VLOOKUP(A92,TraderCategory!$B$63:$L$546,7,FALSE)&amp;","</f>
        <v xml:space="preserve">        "RestockCap": 20,</v>
      </c>
    </row>
    <row r="93" spans="1:2" x14ac:dyDescent="0.25">
      <c r="A93">
        <f t="shared" si="2"/>
        <v>7</v>
      </c>
      <c r="B93" t="str">
        <f>"        ""StockCap"": "&amp;VLOOKUP(A93,TraderCategory!$B$63:$L$546,8,FALSE)&amp;","</f>
        <v xml:space="preserve">        "StockCap": 99,</v>
      </c>
    </row>
    <row r="94" spans="1:2" x14ac:dyDescent="0.25">
      <c r="A94">
        <f t="shared" si="2"/>
        <v>7</v>
      </c>
      <c r="B94" t="str">
        <f>"        ""SellingRatioMin"": "&amp;VLOOKUP(A94,TraderCategory!$B$63:$L$546,9,FALSE)&amp;","</f>
        <v xml:space="preserve">        "SellingRatioMin": 0.05,</v>
      </c>
    </row>
    <row r="95" spans="1:2" x14ac:dyDescent="0.25">
      <c r="A95">
        <f t="shared" si="2"/>
        <v>7</v>
      </c>
      <c r="B95" t="str">
        <f>"        ""SellingRatioMax"": "&amp;VLOOKUP(A95,TraderCategory!$B$63:$L$546,10,FALSE)&amp;","</f>
        <v xml:space="preserve">        "SellingRatioMax": 0.1,</v>
      </c>
    </row>
    <row r="96" spans="1:2" x14ac:dyDescent="0.25">
      <c r="A96">
        <f t="shared" si="2"/>
        <v>7</v>
      </c>
      <c r="B96" t="str">
        <f>"        ""BuingRatioMin"": "&amp;VLOOKUP(A96,TraderCategory!$B$63:$L$546,11,FALSE)</f>
        <v xml:space="preserve">        "BuingRatioMin": 0.95</v>
      </c>
    </row>
    <row r="97" spans="1:2" x14ac:dyDescent="0.25">
      <c r="A97">
        <f t="shared" si="2"/>
        <v>7</v>
      </c>
      <c r="B97" t="s">
        <v>2755</v>
      </c>
    </row>
    <row r="98" spans="1:2" x14ac:dyDescent="0.25">
      <c r="A98">
        <f>A86+1</f>
        <v>8</v>
      </c>
      <c r="B98" t="str">
        <f>"    """&amp;A98&amp;""": {"</f>
        <v xml:space="preserve">    "8": {</v>
      </c>
    </row>
    <row r="99" spans="1:2" x14ac:dyDescent="0.25">
      <c r="A99">
        <f t="shared" ref="A99:A109" si="3">A87+1</f>
        <v>8</v>
      </c>
      <c r="B99" t="str">
        <f>"        ""Groups"": """&amp;VLOOKUP(A99,TraderCategory!$B$63:$L$546,2,FALSE)&amp;""","</f>
        <v xml:space="preserve">        "Groups": "#tc_clothes",</v>
      </c>
    </row>
    <row r="100" spans="1:2" x14ac:dyDescent="0.25">
      <c r="A100">
        <f t="shared" si="3"/>
        <v>8</v>
      </c>
      <c r="B100" t="str">
        <f>"        ""Category"": """&amp;VLOOKUP(A100,TraderCategory!$B$63:$L$546,3,FALSE)&amp;""","</f>
        <v xml:space="preserve">        "Category": "#tc_military",</v>
      </c>
    </row>
    <row r="101" spans="1:2" x14ac:dyDescent="0.25">
      <c r="A101">
        <f t="shared" si="3"/>
        <v>8</v>
      </c>
      <c r="B101" t="str">
        <f>"        ""SubCategory"": """&amp;VLOOKUP(A101,TraderCategory!$B$63:$L$546,4,FALSE)&amp;""","</f>
        <v xml:space="preserve">        "SubCategory": "#tc_head",</v>
      </c>
    </row>
    <row r="102" spans="1:2" x14ac:dyDescent="0.25">
      <c r="A102">
        <f t="shared" si="3"/>
        <v>8</v>
      </c>
      <c r="B102" t="str">
        <f>"        ""Reputation"": "&amp;VLOOKUP(A102,TraderCategory!$B$63:$L$546,5,FALSE)&amp;","</f>
        <v xml:space="preserve">        "Reputation": 1,</v>
      </c>
    </row>
    <row r="103" spans="1:2" x14ac:dyDescent="0.25">
      <c r="A103">
        <f t="shared" si="3"/>
        <v>8</v>
      </c>
      <c r="B103" t="str">
        <f>"        ""Restock"": "&amp;VLOOKUP(A103,TraderCategory!$B$63:$L$546,6,FALSE)&amp;","</f>
        <v xml:space="preserve">        "Restock": 2,</v>
      </c>
    </row>
    <row r="104" spans="1:2" x14ac:dyDescent="0.25">
      <c r="A104">
        <f t="shared" si="3"/>
        <v>8</v>
      </c>
      <c r="B104" t="str">
        <f>"        ""RestockCap"": "&amp;VLOOKUP(A104,TraderCategory!$B$63:$L$546,7,FALSE)&amp;","</f>
        <v xml:space="preserve">        "RestockCap": 10,</v>
      </c>
    </row>
    <row r="105" spans="1:2" x14ac:dyDescent="0.25">
      <c r="A105">
        <f t="shared" si="3"/>
        <v>8</v>
      </c>
      <c r="B105" t="str">
        <f>"        ""StockCap"": "&amp;VLOOKUP(A105,TraderCategory!$B$63:$L$546,8,FALSE)&amp;","</f>
        <v xml:space="preserve">        "StockCap": 99,</v>
      </c>
    </row>
    <row r="106" spans="1:2" x14ac:dyDescent="0.25">
      <c r="A106">
        <f t="shared" si="3"/>
        <v>8</v>
      </c>
      <c r="B106" t="str">
        <f>"        ""SellingRatioMin"": "&amp;VLOOKUP(A106,TraderCategory!$B$63:$L$546,9,FALSE)&amp;","</f>
        <v xml:space="preserve">        "SellingRatioMin": 0.05,</v>
      </c>
    </row>
    <row r="107" spans="1:2" x14ac:dyDescent="0.25">
      <c r="A107">
        <f t="shared" si="3"/>
        <v>8</v>
      </c>
      <c r="B107" t="str">
        <f>"        ""SellingRatioMax"": "&amp;VLOOKUP(A107,TraderCategory!$B$63:$L$546,10,FALSE)&amp;","</f>
        <v xml:space="preserve">        "SellingRatioMax": 0.1,</v>
      </c>
    </row>
    <row r="108" spans="1:2" x14ac:dyDescent="0.25">
      <c r="A108">
        <f t="shared" si="3"/>
        <v>8</v>
      </c>
      <c r="B108" t="str">
        <f>"        ""BuingRatioMin"": "&amp;VLOOKUP(A108,TraderCategory!$B$63:$L$546,11,FALSE)</f>
        <v xml:space="preserve">        "BuingRatioMin": 0.95</v>
      </c>
    </row>
    <row r="109" spans="1:2" x14ac:dyDescent="0.25">
      <c r="A109">
        <f t="shared" si="3"/>
        <v>8</v>
      </c>
      <c r="B109" t="s">
        <v>2755</v>
      </c>
    </row>
    <row r="110" spans="1:2" x14ac:dyDescent="0.25">
      <c r="A110">
        <f>A98+1</f>
        <v>9</v>
      </c>
      <c r="B110" t="str">
        <f>"    """&amp;A110&amp;""": {"</f>
        <v xml:space="preserve">    "9": {</v>
      </c>
    </row>
    <row r="111" spans="1:2" x14ac:dyDescent="0.25">
      <c r="A111">
        <f t="shared" ref="A111:A121" si="4">A99+1</f>
        <v>9</v>
      </c>
      <c r="B111" t="str">
        <f>"        ""Groups"": """&amp;VLOOKUP(A111,TraderCategory!$B$63:$L$546,2,FALSE)&amp;""","</f>
        <v xml:space="preserve">        "Groups": "#tc_clothes",</v>
      </c>
    </row>
    <row r="112" spans="1:2" x14ac:dyDescent="0.25">
      <c r="A112">
        <f t="shared" si="4"/>
        <v>9</v>
      </c>
      <c r="B112" t="str">
        <f>"        ""Category"": """&amp;VLOOKUP(A112,TraderCategory!$B$63:$L$546,3,FALSE)&amp;""","</f>
        <v xml:space="preserve">        "Category": "#tc_military",</v>
      </c>
    </row>
    <row r="113" spans="1:2" x14ac:dyDescent="0.25">
      <c r="A113">
        <f t="shared" si="4"/>
        <v>9</v>
      </c>
      <c r="B113" t="str">
        <f>"        ""SubCategory"": """&amp;VLOOKUP(A113,TraderCategory!$B$63:$L$546,4,FALSE)&amp;""","</f>
        <v xml:space="preserve">        "SubCategory": "#tc_tops",</v>
      </c>
    </row>
    <row r="114" spans="1:2" x14ac:dyDescent="0.25">
      <c r="A114">
        <f t="shared" si="4"/>
        <v>9</v>
      </c>
      <c r="B114" t="str">
        <f>"        ""Reputation"": "&amp;VLOOKUP(A114,TraderCategory!$B$63:$L$546,5,FALSE)&amp;","</f>
        <v xml:space="preserve">        "Reputation": 1,</v>
      </c>
    </row>
    <row r="115" spans="1:2" x14ac:dyDescent="0.25">
      <c r="A115">
        <f t="shared" si="4"/>
        <v>9</v>
      </c>
      <c r="B115" t="str">
        <f>"        ""Restock"": "&amp;VLOOKUP(A115,TraderCategory!$B$63:$L$546,6,FALSE)&amp;","</f>
        <v xml:space="preserve">        "Restock": 2,</v>
      </c>
    </row>
    <row r="116" spans="1:2" x14ac:dyDescent="0.25">
      <c r="A116">
        <f t="shared" si="4"/>
        <v>9</v>
      </c>
      <c r="B116" t="str">
        <f>"        ""RestockCap"": "&amp;VLOOKUP(A116,TraderCategory!$B$63:$L$546,7,FALSE)&amp;","</f>
        <v xml:space="preserve">        "RestockCap": 10,</v>
      </c>
    </row>
    <row r="117" spans="1:2" x14ac:dyDescent="0.25">
      <c r="A117">
        <f t="shared" si="4"/>
        <v>9</v>
      </c>
      <c r="B117" t="str">
        <f>"        ""StockCap"": "&amp;VLOOKUP(A117,TraderCategory!$B$63:$L$546,8,FALSE)&amp;","</f>
        <v xml:space="preserve">        "StockCap": 99,</v>
      </c>
    </row>
    <row r="118" spans="1:2" x14ac:dyDescent="0.25">
      <c r="A118">
        <f t="shared" si="4"/>
        <v>9</v>
      </c>
      <c r="B118" t="str">
        <f>"        ""SellingRatioMin"": "&amp;VLOOKUP(A118,TraderCategory!$B$63:$L$546,9,FALSE)&amp;","</f>
        <v xml:space="preserve">        "SellingRatioMin": 0.05,</v>
      </c>
    </row>
    <row r="119" spans="1:2" x14ac:dyDescent="0.25">
      <c r="A119">
        <f t="shared" si="4"/>
        <v>9</v>
      </c>
      <c r="B119" t="str">
        <f>"        ""SellingRatioMax"": "&amp;VLOOKUP(A119,TraderCategory!$B$63:$L$546,10,FALSE)&amp;","</f>
        <v xml:space="preserve">        "SellingRatioMax": 0.1,</v>
      </c>
    </row>
    <row r="120" spans="1:2" x14ac:dyDescent="0.25">
      <c r="A120">
        <f t="shared" si="4"/>
        <v>9</v>
      </c>
      <c r="B120" t="str">
        <f>"        ""BuingRatioMin"": "&amp;VLOOKUP(A120,TraderCategory!$B$63:$L$546,11,FALSE)</f>
        <v xml:space="preserve">        "BuingRatioMin": 0.95</v>
      </c>
    </row>
    <row r="121" spans="1:2" x14ac:dyDescent="0.25">
      <c r="A121">
        <f t="shared" si="4"/>
        <v>9</v>
      </c>
      <c r="B121" t="s">
        <v>2755</v>
      </c>
    </row>
    <row r="122" spans="1:2" x14ac:dyDescent="0.25">
      <c r="A122">
        <f>A110+1</f>
        <v>10</v>
      </c>
      <c r="B122" t="str">
        <f>"    """&amp;A122&amp;""": {"</f>
        <v xml:space="preserve">    "10": {</v>
      </c>
    </row>
    <row r="123" spans="1:2" x14ac:dyDescent="0.25">
      <c r="A123">
        <f t="shared" ref="A123:A133" si="5">A111+1</f>
        <v>10</v>
      </c>
      <c r="B123" t="str">
        <f>"        ""Groups"": """&amp;VLOOKUP(A123,TraderCategory!$B$63:$L$546,2,FALSE)&amp;""","</f>
        <v xml:space="preserve">        "Groups": "#tc_clothes",</v>
      </c>
    </row>
    <row r="124" spans="1:2" x14ac:dyDescent="0.25">
      <c r="A124">
        <f t="shared" si="5"/>
        <v>10</v>
      </c>
      <c r="B124" t="str">
        <f>"        ""Category"": """&amp;VLOOKUP(A124,TraderCategory!$B$63:$L$546,3,FALSE)&amp;""","</f>
        <v xml:space="preserve">        "Category": "#tc_military",</v>
      </c>
    </row>
    <row r="125" spans="1:2" x14ac:dyDescent="0.25">
      <c r="A125">
        <f t="shared" si="5"/>
        <v>10</v>
      </c>
      <c r="B125" t="str">
        <f>"        ""SubCategory"": """&amp;VLOOKUP(A125,TraderCategory!$B$63:$L$546,4,FALSE)&amp;""","</f>
        <v xml:space="preserve">        "SubCategory": "#tc_gloves",</v>
      </c>
    </row>
    <row r="126" spans="1:2" x14ac:dyDescent="0.25">
      <c r="A126">
        <f t="shared" si="5"/>
        <v>10</v>
      </c>
      <c r="B126" t="str">
        <f>"        ""Reputation"": "&amp;VLOOKUP(A126,TraderCategory!$B$63:$L$546,5,FALSE)&amp;","</f>
        <v xml:space="preserve">        "Reputation": 1,</v>
      </c>
    </row>
    <row r="127" spans="1:2" x14ac:dyDescent="0.25">
      <c r="A127">
        <f t="shared" si="5"/>
        <v>10</v>
      </c>
      <c r="B127" t="str">
        <f>"        ""Restock"": "&amp;VLOOKUP(A127,TraderCategory!$B$63:$L$546,6,FALSE)&amp;","</f>
        <v xml:space="preserve">        "Restock": 2,</v>
      </c>
    </row>
    <row r="128" spans="1:2" x14ac:dyDescent="0.25">
      <c r="A128">
        <f t="shared" si="5"/>
        <v>10</v>
      </c>
      <c r="B128" t="str">
        <f>"        ""RestockCap"": "&amp;VLOOKUP(A128,TraderCategory!$B$63:$L$546,7,FALSE)&amp;","</f>
        <v xml:space="preserve">        "RestockCap": 10,</v>
      </c>
    </row>
    <row r="129" spans="1:2" x14ac:dyDescent="0.25">
      <c r="A129">
        <f t="shared" si="5"/>
        <v>10</v>
      </c>
      <c r="B129" t="str">
        <f>"        ""StockCap"": "&amp;VLOOKUP(A129,TraderCategory!$B$63:$L$546,8,FALSE)&amp;","</f>
        <v xml:space="preserve">        "StockCap": 99,</v>
      </c>
    </row>
    <row r="130" spans="1:2" x14ac:dyDescent="0.25">
      <c r="A130">
        <f t="shared" si="5"/>
        <v>10</v>
      </c>
      <c r="B130" t="str">
        <f>"        ""SellingRatioMin"": "&amp;VLOOKUP(A130,TraderCategory!$B$63:$L$546,9,FALSE)&amp;","</f>
        <v xml:space="preserve">        "SellingRatioMin": 0.05,</v>
      </c>
    </row>
    <row r="131" spans="1:2" x14ac:dyDescent="0.25">
      <c r="A131">
        <f t="shared" si="5"/>
        <v>10</v>
      </c>
      <c r="B131" t="str">
        <f>"        ""SellingRatioMax"": "&amp;VLOOKUP(A131,TraderCategory!$B$63:$L$546,10,FALSE)&amp;","</f>
        <v xml:space="preserve">        "SellingRatioMax": 0.1,</v>
      </c>
    </row>
    <row r="132" spans="1:2" x14ac:dyDescent="0.25">
      <c r="A132">
        <f t="shared" si="5"/>
        <v>10</v>
      </c>
      <c r="B132" t="str">
        <f>"        ""BuingRatioMin"": "&amp;VLOOKUP(A132,TraderCategory!$B$63:$L$546,11,FALSE)</f>
        <v xml:space="preserve">        "BuingRatioMin": 0.95</v>
      </c>
    </row>
    <row r="133" spans="1:2" x14ac:dyDescent="0.25">
      <c r="A133">
        <f t="shared" si="5"/>
        <v>10</v>
      </c>
      <c r="B133" t="s">
        <v>2755</v>
      </c>
    </row>
    <row r="134" spans="1:2" x14ac:dyDescent="0.25">
      <c r="A134">
        <f>A122+1</f>
        <v>11</v>
      </c>
      <c r="B134" t="str">
        <f>"    """&amp;A134&amp;""": {"</f>
        <v xml:space="preserve">    "11": {</v>
      </c>
    </row>
    <row r="135" spans="1:2" x14ac:dyDescent="0.25">
      <c r="A135">
        <f t="shared" ref="A135:A145" si="6">A123+1</f>
        <v>11</v>
      </c>
      <c r="B135" t="str">
        <f>"        ""Groups"": """&amp;VLOOKUP(A135,TraderCategory!$B$63:$L$546,2,FALSE)&amp;""","</f>
        <v xml:space="preserve">        "Groups": "#tc_clothes",</v>
      </c>
    </row>
    <row r="136" spans="1:2" x14ac:dyDescent="0.25">
      <c r="A136">
        <f t="shared" si="6"/>
        <v>11</v>
      </c>
      <c r="B136" t="str">
        <f>"        ""Category"": """&amp;VLOOKUP(A136,TraderCategory!$B$63:$L$546,3,FALSE)&amp;""","</f>
        <v xml:space="preserve">        "Category": "#tc_military",</v>
      </c>
    </row>
    <row r="137" spans="1:2" x14ac:dyDescent="0.25">
      <c r="A137">
        <f t="shared" si="6"/>
        <v>11</v>
      </c>
      <c r="B137" t="str">
        <f>"        ""SubCategory"": """&amp;VLOOKUP(A137,TraderCategory!$B$63:$L$546,4,FALSE)&amp;""","</f>
        <v xml:space="preserve">        "SubCategory": "#tc_belts",</v>
      </c>
    </row>
    <row r="138" spans="1:2" x14ac:dyDescent="0.25">
      <c r="A138">
        <f t="shared" si="6"/>
        <v>11</v>
      </c>
      <c r="B138" t="str">
        <f>"        ""Reputation"": "&amp;VLOOKUP(A138,TraderCategory!$B$63:$L$546,5,FALSE)&amp;","</f>
        <v xml:space="preserve">        "Reputation": 1,</v>
      </c>
    </row>
    <row r="139" spans="1:2" x14ac:dyDescent="0.25">
      <c r="A139">
        <f t="shared" si="6"/>
        <v>11</v>
      </c>
      <c r="B139" t="str">
        <f>"        ""Restock"": "&amp;VLOOKUP(A139,TraderCategory!$B$63:$L$546,6,FALSE)&amp;","</f>
        <v xml:space="preserve">        "Restock": 2,</v>
      </c>
    </row>
    <row r="140" spans="1:2" x14ac:dyDescent="0.25">
      <c r="A140">
        <f t="shared" si="6"/>
        <v>11</v>
      </c>
      <c r="B140" t="str">
        <f>"        ""RestockCap"": "&amp;VLOOKUP(A140,TraderCategory!$B$63:$L$546,7,FALSE)&amp;","</f>
        <v xml:space="preserve">        "RestockCap": 10,</v>
      </c>
    </row>
    <row r="141" spans="1:2" x14ac:dyDescent="0.25">
      <c r="A141">
        <f t="shared" si="6"/>
        <v>11</v>
      </c>
      <c r="B141" t="str">
        <f>"        ""StockCap"": "&amp;VLOOKUP(A141,TraderCategory!$B$63:$L$546,8,FALSE)&amp;","</f>
        <v xml:space="preserve">        "StockCap": 99,</v>
      </c>
    </row>
    <row r="142" spans="1:2" x14ac:dyDescent="0.25">
      <c r="A142">
        <f t="shared" si="6"/>
        <v>11</v>
      </c>
      <c r="B142" t="str">
        <f>"        ""SellingRatioMin"": "&amp;VLOOKUP(A142,TraderCategory!$B$63:$L$546,9,FALSE)&amp;","</f>
        <v xml:space="preserve">        "SellingRatioMin": 0.05,</v>
      </c>
    </row>
    <row r="143" spans="1:2" x14ac:dyDescent="0.25">
      <c r="A143">
        <f t="shared" si="6"/>
        <v>11</v>
      </c>
      <c r="B143" t="str">
        <f>"        ""SellingRatioMax"": "&amp;VLOOKUP(A143,TraderCategory!$B$63:$L$546,10,FALSE)&amp;","</f>
        <v xml:space="preserve">        "SellingRatioMax": 0.1,</v>
      </c>
    </row>
    <row r="144" spans="1:2" x14ac:dyDescent="0.25">
      <c r="A144">
        <f t="shared" si="6"/>
        <v>11</v>
      </c>
      <c r="B144" t="str">
        <f>"        ""BuingRatioMin"": "&amp;VLOOKUP(A144,TraderCategory!$B$63:$L$546,11,FALSE)</f>
        <v xml:space="preserve">        "BuingRatioMin": 0.95</v>
      </c>
    </row>
    <row r="145" spans="1:2" x14ac:dyDescent="0.25">
      <c r="A145">
        <f t="shared" si="6"/>
        <v>11</v>
      </c>
      <c r="B145" t="s">
        <v>2755</v>
      </c>
    </row>
    <row r="146" spans="1:2" x14ac:dyDescent="0.25">
      <c r="A146">
        <f>A134+1</f>
        <v>12</v>
      </c>
      <c r="B146" t="str">
        <f>"    """&amp;A146&amp;""": {"</f>
        <v xml:space="preserve">    "12": {</v>
      </c>
    </row>
    <row r="147" spans="1:2" x14ac:dyDescent="0.25">
      <c r="A147">
        <f t="shared" ref="A147:A210" si="7">A135+1</f>
        <v>12</v>
      </c>
      <c r="B147" t="str">
        <f>"        ""Groups"": """&amp;VLOOKUP(A147,TraderCategory!$B$63:$L$546,2,FALSE)&amp;""","</f>
        <v xml:space="preserve">        "Groups": "#tc_clothes",</v>
      </c>
    </row>
    <row r="148" spans="1:2" x14ac:dyDescent="0.25">
      <c r="A148">
        <f t="shared" si="7"/>
        <v>12</v>
      </c>
      <c r="B148" t="str">
        <f>"        ""Category"": """&amp;VLOOKUP(A148,TraderCategory!$B$63:$L$546,3,FALSE)&amp;""","</f>
        <v xml:space="preserve">        "Category": "#tc_military",</v>
      </c>
    </row>
    <row r="149" spans="1:2" x14ac:dyDescent="0.25">
      <c r="A149">
        <f t="shared" si="7"/>
        <v>12</v>
      </c>
      <c r="B149" t="str">
        <f>"        ""SubCategory"": """&amp;VLOOKUP(A149,TraderCategory!$B$63:$L$546,4,FALSE)&amp;""","</f>
        <v xml:space="preserve">        "SubCategory": "#tc_pants",</v>
      </c>
    </row>
    <row r="150" spans="1:2" x14ac:dyDescent="0.25">
      <c r="A150">
        <f t="shared" si="7"/>
        <v>12</v>
      </c>
      <c r="B150" t="str">
        <f>"        ""Reputation"": "&amp;VLOOKUP(A150,TraderCategory!$B$63:$L$546,5,FALSE)&amp;","</f>
        <v xml:space="preserve">        "Reputation": 1,</v>
      </c>
    </row>
    <row r="151" spans="1:2" x14ac:dyDescent="0.25">
      <c r="A151">
        <f t="shared" si="7"/>
        <v>12</v>
      </c>
      <c r="B151" t="str">
        <f>"        ""Restock"": "&amp;VLOOKUP(A151,TraderCategory!$B$63:$L$546,6,FALSE)&amp;","</f>
        <v xml:space="preserve">        "Restock": 2,</v>
      </c>
    </row>
    <row r="152" spans="1:2" x14ac:dyDescent="0.25">
      <c r="A152">
        <f t="shared" si="7"/>
        <v>12</v>
      </c>
      <c r="B152" t="str">
        <f>"        ""RestockCap"": "&amp;VLOOKUP(A152,TraderCategory!$B$63:$L$546,7,FALSE)&amp;","</f>
        <v xml:space="preserve">        "RestockCap": 10,</v>
      </c>
    </row>
    <row r="153" spans="1:2" x14ac:dyDescent="0.25">
      <c r="A153">
        <f t="shared" si="7"/>
        <v>12</v>
      </c>
      <c r="B153" t="str">
        <f>"        ""StockCap"": "&amp;VLOOKUP(A153,TraderCategory!$B$63:$L$546,8,FALSE)&amp;","</f>
        <v xml:space="preserve">        "StockCap": 99,</v>
      </c>
    </row>
    <row r="154" spans="1:2" x14ac:dyDescent="0.25">
      <c r="A154">
        <f t="shared" si="7"/>
        <v>12</v>
      </c>
      <c r="B154" t="str">
        <f>"        ""SellingRatioMin"": "&amp;VLOOKUP(A154,TraderCategory!$B$63:$L$546,9,FALSE)&amp;","</f>
        <v xml:space="preserve">        "SellingRatioMin": 0.05,</v>
      </c>
    </row>
    <row r="155" spans="1:2" x14ac:dyDescent="0.25">
      <c r="A155">
        <f t="shared" si="7"/>
        <v>12</v>
      </c>
      <c r="B155" t="str">
        <f>"        ""SellingRatioMax"": "&amp;VLOOKUP(A155,TraderCategory!$B$63:$L$546,10,FALSE)&amp;","</f>
        <v xml:space="preserve">        "SellingRatioMax": 0.1,</v>
      </c>
    </row>
    <row r="156" spans="1:2" x14ac:dyDescent="0.25">
      <c r="A156">
        <f t="shared" si="7"/>
        <v>12</v>
      </c>
      <c r="B156" t="str">
        <f>"        ""BuingRatioMin"": "&amp;VLOOKUP(A156,TraderCategory!$B$63:$L$546,11,FALSE)</f>
        <v xml:space="preserve">        "BuingRatioMin": 0.95</v>
      </c>
    </row>
    <row r="157" spans="1:2" x14ac:dyDescent="0.25">
      <c r="A157">
        <f t="shared" si="7"/>
        <v>12</v>
      </c>
      <c r="B157" t="s">
        <v>2755</v>
      </c>
    </row>
    <row r="158" spans="1:2" x14ac:dyDescent="0.25">
      <c r="A158">
        <f>A146+1</f>
        <v>13</v>
      </c>
      <c r="B158" t="str">
        <f>"    """&amp;A158&amp;""": {"</f>
        <v xml:space="preserve">    "13": {</v>
      </c>
    </row>
    <row r="159" spans="1:2" x14ac:dyDescent="0.25">
      <c r="A159">
        <f t="shared" si="7"/>
        <v>13</v>
      </c>
      <c r="B159" t="str">
        <f>"        ""Groups"": """&amp;VLOOKUP(A159,TraderCategory!$B$63:$L$546,2,FALSE)&amp;""","</f>
        <v xml:space="preserve">        "Groups": "#tc_clothes",</v>
      </c>
    </row>
    <row r="160" spans="1:2" x14ac:dyDescent="0.25">
      <c r="A160">
        <f t="shared" si="7"/>
        <v>13</v>
      </c>
      <c r="B160" t="str">
        <f>"        ""Category"": """&amp;VLOOKUP(A160,TraderCategory!$B$63:$L$546,3,FALSE)&amp;""","</f>
        <v xml:space="preserve">        "Category": "#tc_military",</v>
      </c>
    </row>
    <row r="161" spans="1:2" x14ac:dyDescent="0.25">
      <c r="A161">
        <f t="shared" si="7"/>
        <v>13</v>
      </c>
      <c r="B161" t="str">
        <f>"        ""SubCategory"": """&amp;VLOOKUP(A161,TraderCategory!$B$63:$L$546,4,FALSE)&amp;""","</f>
        <v xml:space="preserve">        "SubCategory": "#tc_boots",</v>
      </c>
    </row>
    <row r="162" spans="1:2" x14ac:dyDescent="0.25">
      <c r="A162">
        <f t="shared" si="7"/>
        <v>13</v>
      </c>
      <c r="B162" t="str">
        <f>"        ""Reputation"": "&amp;VLOOKUP(A162,TraderCategory!$B$63:$L$546,5,FALSE)&amp;","</f>
        <v xml:space="preserve">        "Reputation": 1,</v>
      </c>
    </row>
    <row r="163" spans="1:2" x14ac:dyDescent="0.25">
      <c r="A163">
        <f t="shared" si="7"/>
        <v>13</v>
      </c>
      <c r="B163" t="str">
        <f>"        ""Restock"": "&amp;VLOOKUP(A163,TraderCategory!$B$63:$L$546,6,FALSE)&amp;","</f>
        <v xml:space="preserve">        "Restock": 2,</v>
      </c>
    </row>
    <row r="164" spans="1:2" x14ac:dyDescent="0.25">
      <c r="A164">
        <f t="shared" si="7"/>
        <v>13</v>
      </c>
      <c r="B164" t="str">
        <f>"        ""RestockCap"": "&amp;VLOOKUP(A164,TraderCategory!$B$63:$L$546,7,FALSE)&amp;","</f>
        <v xml:space="preserve">        "RestockCap": 10,</v>
      </c>
    </row>
    <row r="165" spans="1:2" x14ac:dyDescent="0.25">
      <c r="A165">
        <f t="shared" si="7"/>
        <v>13</v>
      </c>
      <c r="B165" t="str">
        <f>"        ""StockCap"": "&amp;VLOOKUP(A165,TraderCategory!$B$63:$L$546,8,FALSE)&amp;","</f>
        <v xml:space="preserve">        "StockCap": 99,</v>
      </c>
    </row>
    <row r="166" spans="1:2" x14ac:dyDescent="0.25">
      <c r="A166">
        <f t="shared" si="7"/>
        <v>13</v>
      </c>
      <c r="B166" t="str">
        <f>"        ""SellingRatioMin"": "&amp;VLOOKUP(A166,TraderCategory!$B$63:$L$546,9,FALSE)&amp;","</f>
        <v xml:space="preserve">        "SellingRatioMin": 0.05,</v>
      </c>
    </row>
    <row r="167" spans="1:2" x14ac:dyDescent="0.25">
      <c r="A167">
        <f t="shared" si="7"/>
        <v>13</v>
      </c>
      <c r="B167" t="str">
        <f>"        ""SellingRatioMax"": "&amp;VLOOKUP(A167,TraderCategory!$B$63:$L$546,10,FALSE)&amp;","</f>
        <v xml:space="preserve">        "SellingRatioMax": 0.1,</v>
      </c>
    </row>
    <row r="168" spans="1:2" x14ac:dyDescent="0.25">
      <c r="A168">
        <f t="shared" si="7"/>
        <v>13</v>
      </c>
      <c r="B168" t="str">
        <f>"        ""BuingRatioMin"": "&amp;VLOOKUP(A168,TraderCategory!$B$63:$L$546,11,FALSE)</f>
        <v xml:space="preserve">        "BuingRatioMin": 0.95</v>
      </c>
    </row>
    <row r="169" spans="1:2" x14ac:dyDescent="0.25">
      <c r="A169">
        <f t="shared" si="7"/>
        <v>13</v>
      </c>
      <c r="B169" t="s">
        <v>2755</v>
      </c>
    </row>
    <row r="170" spans="1:2" x14ac:dyDescent="0.25">
      <c r="A170">
        <f>A158+1</f>
        <v>14</v>
      </c>
      <c r="B170" t="str">
        <f>"    """&amp;A170&amp;""": {"</f>
        <v xml:space="preserve">    "14": {</v>
      </c>
    </row>
    <row r="171" spans="1:2" x14ac:dyDescent="0.25">
      <c r="A171">
        <f t="shared" si="7"/>
        <v>14</v>
      </c>
      <c r="B171" t="str">
        <f>"        ""Groups"": """&amp;VLOOKUP(A171,TraderCategory!$B$63:$L$546,2,FALSE)&amp;""","</f>
        <v xml:space="preserve">        "Groups": "#tc_clothes",</v>
      </c>
    </row>
    <row r="172" spans="1:2" x14ac:dyDescent="0.25">
      <c r="A172">
        <f t="shared" si="7"/>
        <v>14</v>
      </c>
      <c r="B172" t="str">
        <f>"        ""Category"": """&amp;VLOOKUP(A172,TraderCategory!$B$63:$L$546,3,FALSE)&amp;""","</f>
        <v xml:space="preserve">        "Category": "#tc_military",</v>
      </c>
    </row>
    <row r="173" spans="1:2" x14ac:dyDescent="0.25">
      <c r="A173">
        <f t="shared" si="7"/>
        <v>14</v>
      </c>
      <c r="B173" t="str">
        <f>"        ""SubCategory"": """&amp;VLOOKUP(A173,TraderCategory!$B$63:$L$546,4,FALSE)&amp;""","</f>
        <v xml:space="preserve">        "SubCategory": "#tc_vests",</v>
      </c>
    </row>
    <row r="174" spans="1:2" x14ac:dyDescent="0.25">
      <c r="A174">
        <f t="shared" si="7"/>
        <v>14</v>
      </c>
      <c r="B174" t="str">
        <f>"        ""Reputation"": "&amp;VLOOKUP(A174,TraderCategory!$B$63:$L$546,5,FALSE)&amp;","</f>
        <v xml:space="preserve">        "Reputation": 1,</v>
      </c>
    </row>
    <row r="175" spans="1:2" x14ac:dyDescent="0.25">
      <c r="A175">
        <f t="shared" si="7"/>
        <v>14</v>
      </c>
      <c r="B175" t="str">
        <f>"        ""Restock"": "&amp;VLOOKUP(A175,TraderCategory!$B$63:$L$546,6,FALSE)&amp;","</f>
        <v xml:space="preserve">        "Restock": 2,</v>
      </c>
    </row>
    <row r="176" spans="1:2" x14ac:dyDescent="0.25">
      <c r="A176">
        <f t="shared" si="7"/>
        <v>14</v>
      </c>
      <c r="B176" t="str">
        <f>"        ""RestockCap"": "&amp;VLOOKUP(A176,TraderCategory!$B$63:$L$546,7,FALSE)&amp;","</f>
        <v xml:space="preserve">        "RestockCap": 10,</v>
      </c>
    </row>
    <row r="177" spans="1:2" x14ac:dyDescent="0.25">
      <c r="A177">
        <f t="shared" si="7"/>
        <v>14</v>
      </c>
      <c r="B177" t="str">
        <f>"        ""StockCap"": "&amp;VLOOKUP(A177,TraderCategory!$B$63:$L$546,8,FALSE)&amp;","</f>
        <v xml:space="preserve">        "StockCap": 99,</v>
      </c>
    </row>
    <row r="178" spans="1:2" x14ac:dyDescent="0.25">
      <c r="A178">
        <f t="shared" si="7"/>
        <v>14</v>
      </c>
      <c r="B178" t="str">
        <f>"        ""SellingRatioMin"": "&amp;VLOOKUP(A178,TraderCategory!$B$63:$L$546,9,FALSE)&amp;","</f>
        <v xml:space="preserve">        "SellingRatioMin": 0.05,</v>
      </c>
    </row>
    <row r="179" spans="1:2" x14ac:dyDescent="0.25">
      <c r="A179">
        <f t="shared" si="7"/>
        <v>14</v>
      </c>
      <c r="B179" t="str">
        <f>"        ""SellingRatioMax"": "&amp;VLOOKUP(A179,TraderCategory!$B$63:$L$546,10,FALSE)&amp;","</f>
        <v xml:space="preserve">        "SellingRatioMax": 0.1,</v>
      </c>
    </row>
    <row r="180" spans="1:2" x14ac:dyDescent="0.25">
      <c r="A180">
        <f t="shared" si="7"/>
        <v>14</v>
      </c>
      <c r="B180" t="str">
        <f>"        ""BuingRatioMin"": "&amp;VLOOKUP(A180,TraderCategory!$B$63:$L$546,11,FALSE)</f>
        <v xml:space="preserve">        "BuingRatioMin": 0.95</v>
      </c>
    </row>
    <row r="181" spans="1:2" x14ac:dyDescent="0.25">
      <c r="A181">
        <f t="shared" si="7"/>
        <v>14</v>
      </c>
      <c r="B181" t="s">
        <v>2755</v>
      </c>
    </row>
    <row r="182" spans="1:2" x14ac:dyDescent="0.25">
      <c r="A182">
        <f>A170+1</f>
        <v>15</v>
      </c>
      <c r="B182" t="str">
        <f>"    """&amp;A182&amp;""": {"</f>
        <v xml:space="preserve">    "15": {</v>
      </c>
    </row>
    <row r="183" spans="1:2" x14ac:dyDescent="0.25">
      <c r="A183">
        <f t="shared" si="7"/>
        <v>15</v>
      </c>
      <c r="B183" t="str">
        <f>"        ""Groups"": """&amp;VLOOKUP(A183,TraderCategory!$B$63:$L$546,2,FALSE)&amp;""","</f>
        <v xml:space="preserve">        "Groups": "#tc_clothes",</v>
      </c>
    </row>
    <row r="184" spans="1:2" x14ac:dyDescent="0.25">
      <c r="A184">
        <f t="shared" si="7"/>
        <v>15</v>
      </c>
      <c r="B184" t="str">
        <f>"        ""Category"": """&amp;VLOOKUP(A184,TraderCategory!$B$63:$L$546,3,FALSE)&amp;""","</f>
        <v xml:space="preserve">        "Category": "#tc_military",</v>
      </c>
    </row>
    <row r="185" spans="1:2" x14ac:dyDescent="0.25">
      <c r="A185">
        <f t="shared" si="7"/>
        <v>15</v>
      </c>
      <c r="B185" t="str">
        <f>"        ""SubCategory"": """&amp;VLOOKUP(A185,TraderCategory!$B$63:$L$546,4,FALSE)&amp;""","</f>
        <v xml:space="preserve">        "SubCategory": "#tc_bags",</v>
      </c>
    </row>
    <row r="186" spans="1:2" x14ac:dyDescent="0.25">
      <c r="A186">
        <f t="shared" si="7"/>
        <v>15</v>
      </c>
      <c r="B186" t="str">
        <f>"        ""Reputation"": "&amp;VLOOKUP(A186,TraderCategory!$B$63:$L$546,5,FALSE)&amp;","</f>
        <v xml:space="preserve">        "Reputation": 1,</v>
      </c>
    </row>
    <row r="187" spans="1:2" x14ac:dyDescent="0.25">
      <c r="A187">
        <f t="shared" si="7"/>
        <v>15</v>
      </c>
      <c r="B187" t="str">
        <f>"        ""Restock"": "&amp;VLOOKUP(A187,TraderCategory!$B$63:$L$546,6,FALSE)&amp;","</f>
        <v xml:space="preserve">        "Restock": 2,</v>
      </c>
    </row>
    <row r="188" spans="1:2" x14ac:dyDescent="0.25">
      <c r="A188">
        <f t="shared" si="7"/>
        <v>15</v>
      </c>
      <c r="B188" t="str">
        <f>"        ""RestockCap"": "&amp;VLOOKUP(A188,TraderCategory!$B$63:$L$546,7,FALSE)&amp;","</f>
        <v xml:space="preserve">        "RestockCap": 10,</v>
      </c>
    </row>
    <row r="189" spans="1:2" x14ac:dyDescent="0.25">
      <c r="A189">
        <f t="shared" si="7"/>
        <v>15</v>
      </c>
      <c r="B189" t="str">
        <f>"        ""StockCap"": "&amp;VLOOKUP(A189,TraderCategory!$B$63:$L$546,8,FALSE)&amp;","</f>
        <v xml:space="preserve">        "StockCap": 99,</v>
      </c>
    </row>
    <row r="190" spans="1:2" x14ac:dyDescent="0.25">
      <c r="A190">
        <f t="shared" si="7"/>
        <v>15</v>
      </c>
      <c r="B190" t="str">
        <f>"        ""SellingRatioMin"": "&amp;VLOOKUP(A190,TraderCategory!$B$63:$L$546,9,FALSE)&amp;","</f>
        <v xml:space="preserve">        "SellingRatioMin": 0.05,</v>
      </c>
    </row>
    <row r="191" spans="1:2" x14ac:dyDescent="0.25">
      <c r="A191">
        <f t="shared" si="7"/>
        <v>15</v>
      </c>
      <c r="B191" t="str">
        <f>"        ""SellingRatioMax"": "&amp;VLOOKUP(A191,TraderCategory!$B$63:$L$546,10,FALSE)&amp;","</f>
        <v xml:space="preserve">        "SellingRatioMax": 0.1,</v>
      </c>
    </row>
    <row r="192" spans="1:2" x14ac:dyDescent="0.25">
      <c r="A192">
        <f t="shared" si="7"/>
        <v>15</v>
      </c>
      <c r="B192" t="str">
        <f>"        ""BuingRatioMin"": "&amp;VLOOKUP(A192,TraderCategory!$B$63:$L$546,11,FALSE)</f>
        <v xml:space="preserve">        "BuingRatioMin": 0.95</v>
      </c>
    </row>
    <row r="193" spans="1:2" x14ac:dyDescent="0.25">
      <c r="A193">
        <f t="shared" si="7"/>
        <v>15</v>
      </c>
      <c r="B193" t="s">
        <v>2755</v>
      </c>
    </row>
    <row r="194" spans="1:2" x14ac:dyDescent="0.25">
      <c r="A194">
        <f>A182+1</f>
        <v>16</v>
      </c>
      <c r="B194" t="str">
        <f>"    """&amp;A194&amp;""": {"</f>
        <v xml:space="preserve">    "16": {</v>
      </c>
    </row>
    <row r="195" spans="1:2" x14ac:dyDescent="0.25">
      <c r="A195">
        <f t="shared" si="7"/>
        <v>16</v>
      </c>
      <c r="B195" t="str">
        <f>"        ""Groups"": """&amp;VLOOKUP(A195,TraderCategory!$B$63:$L$546,2,FALSE)&amp;""","</f>
        <v xml:space="preserve">        "Groups": "#tc_groceries",</v>
      </c>
    </row>
    <row r="196" spans="1:2" x14ac:dyDescent="0.25">
      <c r="A196">
        <f t="shared" si="7"/>
        <v>16</v>
      </c>
      <c r="B196" t="str">
        <f>"        ""Category"": """&amp;VLOOKUP(A196,TraderCategory!$B$63:$L$546,3,FALSE)&amp;""","</f>
        <v xml:space="preserve">        "Category": "#tc_currency",</v>
      </c>
    </row>
    <row r="197" spans="1:2" x14ac:dyDescent="0.25">
      <c r="A197">
        <f t="shared" si="7"/>
        <v>16</v>
      </c>
      <c r="B197" t="str">
        <f>"        ""SubCategory"": """&amp;VLOOKUP(A197,TraderCategory!$B$63:$L$546,4,FALSE)&amp;""","</f>
        <v xml:space="preserve">        "SubCategory": "#tc_rareitems",</v>
      </c>
    </row>
    <row r="198" spans="1:2" x14ac:dyDescent="0.25">
      <c r="A198">
        <f t="shared" si="7"/>
        <v>16</v>
      </c>
      <c r="B198" t="str">
        <f>"        ""Reputation"": "&amp;VLOOKUP(A198,TraderCategory!$B$63:$L$546,5,FALSE)&amp;","</f>
        <v xml:space="preserve">        "Reputation": 3,</v>
      </c>
    </row>
    <row r="199" spans="1:2" x14ac:dyDescent="0.25">
      <c r="A199">
        <f t="shared" si="7"/>
        <v>16</v>
      </c>
      <c r="B199" t="str">
        <f>"        ""Restock"": "&amp;VLOOKUP(A199,TraderCategory!$B$63:$L$546,6,FALSE)&amp;","</f>
        <v xml:space="preserve">        "Restock": 5,</v>
      </c>
    </row>
    <row r="200" spans="1:2" x14ac:dyDescent="0.25">
      <c r="A200">
        <f t="shared" si="7"/>
        <v>16</v>
      </c>
      <c r="B200" t="str">
        <f>"        ""RestockCap"": "&amp;VLOOKUP(A200,TraderCategory!$B$63:$L$546,7,FALSE)&amp;","</f>
        <v xml:space="preserve">        "RestockCap": 20,</v>
      </c>
    </row>
    <row r="201" spans="1:2" x14ac:dyDescent="0.25">
      <c r="A201">
        <f t="shared" si="7"/>
        <v>16</v>
      </c>
      <c r="B201" t="str">
        <f>"        ""StockCap"": "&amp;VLOOKUP(A201,TraderCategory!$B$63:$L$546,8,FALSE)&amp;","</f>
        <v xml:space="preserve">        "StockCap": 999,</v>
      </c>
    </row>
    <row r="202" spans="1:2" x14ac:dyDescent="0.25">
      <c r="A202">
        <f t="shared" si="7"/>
        <v>16</v>
      </c>
      <c r="B202" t="str">
        <f>"        ""SellingRatioMin"": "&amp;VLOOKUP(A202,TraderCategory!$B$63:$L$546,9,FALSE)&amp;","</f>
        <v xml:space="preserve">        "SellingRatioMin": 1,</v>
      </c>
    </row>
    <row r="203" spans="1:2" x14ac:dyDescent="0.25">
      <c r="A203">
        <f t="shared" si="7"/>
        <v>16</v>
      </c>
      <c r="B203" t="str">
        <f>"        ""SellingRatioMax"": "&amp;VLOOKUP(A203,TraderCategory!$B$63:$L$546,10,FALSE)&amp;","</f>
        <v xml:space="preserve">        "SellingRatioMax": 1,</v>
      </c>
    </row>
    <row r="204" spans="1:2" x14ac:dyDescent="0.25">
      <c r="A204">
        <f t="shared" si="7"/>
        <v>16</v>
      </c>
      <c r="B204" t="str">
        <f>"        ""BuingRatioMin"": "&amp;VLOOKUP(A204,TraderCategory!$B$63:$L$546,11,FALSE)</f>
        <v xml:space="preserve">        "BuingRatioMin": 1</v>
      </c>
    </row>
    <row r="205" spans="1:2" x14ac:dyDescent="0.25">
      <c r="A205">
        <f t="shared" si="7"/>
        <v>16</v>
      </c>
      <c r="B205" t="s">
        <v>2755</v>
      </c>
    </row>
    <row r="206" spans="1:2" x14ac:dyDescent="0.25">
      <c r="A206">
        <f>A194+1</f>
        <v>17</v>
      </c>
      <c r="B206" t="str">
        <f>"    """&amp;A206&amp;""": {"</f>
        <v xml:space="preserve">    "17": {</v>
      </c>
    </row>
    <row r="207" spans="1:2" x14ac:dyDescent="0.25">
      <c r="A207">
        <f t="shared" si="7"/>
        <v>17</v>
      </c>
      <c r="B207" t="str">
        <f>"        ""Groups"": """&amp;VLOOKUP(A207,TraderCategory!$B$63:$L$546,2,FALSE)&amp;""","</f>
        <v xml:space="preserve">        "Groups": "#tc_groceries",</v>
      </c>
    </row>
    <row r="208" spans="1:2" x14ac:dyDescent="0.25">
      <c r="A208">
        <f t="shared" si="7"/>
        <v>17</v>
      </c>
      <c r="B208" t="str">
        <f>"        ""Category"": """&amp;VLOOKUP(A208,TraderCategory!$B$63:$L$546,3,FALSE)&amp;""","</f>
        <v xml:space="preserve">        "Category": "#tc_food",</v>
      </c>
    </row>
    <row r="209" spans="1:2" x14ac:dyDescent="0.25">
      <c r="A209">
        <f t="shared" si="7"/>
        <v>17</v>
      </c>
      <c r="B209" t="str">
        <f>"        ""SubCategory"": """&amp;VLOOKUP(A209,TraderCategory!$B$63:$L$546,4,FALSE)&amp;""","</f>
        <v xml:space="preserve">        "SubCategory": "#tc_drinks",</v>
      </c>
    </row>
    <row r="210" spans="1:2" x14ac:dyDescent="0.25">
      <c r="A210">
        <f t="shared" si="7"/>
        <v>17</v>
      </c>
      <c r="B210" t="str">
        <f>"        ""Reputation"": "&amp;VLOOKUP(A210,TraderCategory!$B$63:$L$546,5,FALSE)&amp;","</f>
        <v xml:space="preserve">        "Reputation": 3,</v>
      </c>
    </row>
    <row r="211" spans="1:2" x14ac:dyDescent="0.25">
      <c r="A211">
        <f t="shared" ref="A211:A217" si="8">A199+1</f>
        <v>17</v>
      </c>
      <c r="B211" t="str">
        <f>"        ""Restock"": "&amp;VLOOKUP(A211,TraderCategory!$B$63:$L$546,6,FALSE)&amp;","</f>
        <v xml:space="preserve">        "Restock": 0,</v>
      </c>
    </row>
    <row r="212" spans="1:2" x14ac:dyDescent="0.25">
      <c r="A212">
        <f t="shared" si="8"/>
        <v>17</v>
      </c>
      <c r="B212" t="str">
        <f>"        ""RestockCap"": "&amp;VLOOKUP(A212,TraderCategory!$B$63:$L$546,7,FALSE)&amp;","</f>
        <v xml:space="preserve">        "RestockCap": 0,</v>
      </c>
    </row>
    <row r="213" spans="1:2" x14ac:dyDescent="0.25">
      <c r="A213">
        <f t="shared" si="8"/>
        <v>17</v>
      </c>
      <c r="B213" t="str">
        <f>"        ""StockCap"": "&amp;VLOOKUP(A213,TraderCategory!$B$63:$L$546,8,FALSE)&amp;","</f>
        <v xml:space="preserve">        "StockCap": 999,</v>
      </c>
    </row>
    <row r="214" spans="1:2" x14ac:dyDescent="0.25">
      <c r="A214">
        <f t="shared" si="8"/>
        <v>17</v>
      </c>
      <c r="B214" t="str">
        <f>"        ""SellingRatioMin"": "&amp;VLOOKUP(A214,TraderCategory!$B$63:$L$546,9,FALSE)&amp;","</f>
        <v xml:space="preserve">        "SellingRatioMin": 0.35,</v>
      </c>
    </row>
    <row r="215" spans="1:2" x14ac:dyDescent="0.25">
      <c r="A215">
        <f t="shared" si="8"/>
        <v>17</v>
      </c>
      <c r="B215" t="str">
        <f>"        ""SellingRatioMax"": "&amp;VLOOKUP(A215,TraderCategory!$B$63:$L$546,10,FALSE)&amp;","</f>
        <v xml:space="preserve">        "SellingRatioMax": 0.4,</v>
      </c>
    </row>
    <row r="216" spans="1:2" x14ac:dyDescent="0.25">
      <c r="A216">
        <f t="shared" si="8"/>
        <v>17</v>
      </c>
      <c r="B216" t="str">
        <f>"        ""BuingRatioMin"": "&amp;VLOOKUP(A216,TraderCategory!$B$63:$L$546,11,FALSE)</f>
        <v xml:space="preserve">        "BuingRatioMin": 1</v>
      </c>
    </row>
    <row r="217" spans="1:2" x14ac:dyDescent="0.25">
      <c r="A217">
        <f t="shared" si="8"/>
        <v>17</v>
      </c>
      <c r="B217" t="s">
        <v>2755</v>
      </c>
    </row>
    <row r="218" spans="1:2" x14ac:dyDescent="0.25">
      <c r="A218">
        <f>A206+1</f>
        <v>18</v>
      </c>
      <c r="B218" t="str">
        <f>"    """&amp;A218&amp;""": {"</f>
        <v xml:space="preserve">    "18": {</v>
      </c>
    </row>
    <row r="219" spans="1:2" x14ac:dyDescent="0.25">
      <c r="A219">
        <f t="shared" ref="A219:A229" si="9">A207+1</f>
        <v>18</v>
      </c>
      <c r="B219" t="str">
        <f>"        ""Groups"": """&amp;VLOOKUP(A219,TraderCategory!$B$63:$L$546,2,FALSE)&amp;""","</f>
        <v xml:space="preserve">        "Groups": "#tc_groceries",</v>
      </c>
    </row>
    <row r="220" spans="1:2" x14ac:dyDescent="0.25">
      <c r="A220">
        <f t="shared" si="9"/>
        <v>18</v>
      </c>
      <c r="B220" t="str">
        <f>"        ""Category"": """&amp;VLOOKUP(A220,TraderCategory!$B$63:$L$546,3,FALSE)&amp;""","</f>
        <v xml:space="preserve">        "Category": "#tc_food",</v>
      </c>
    </row>
    <row r="221" spans="1:2" x14ac:dyDescent="0.25">
      <c r="A221">
        <f t="shared" si="9"/>
        <v>18</v>
      </c>
      <c r="B221" t="str">
        <f>"        ""SubCategory"": """&amp;VLOOKUP(A221,TraderCategory!$B$63:$L$546,4,FALSE)&amp;""","</f>
        <v xml:space="preserve">        "SubCategory": "#tc_canned",</v>
      </c>
    </row>
    <row r="222" spans="1:2" x14ac:dyDescent="0.25">
      <c r="A222">
        <f t="shared" si="9"/>
        <v>18</v>
      </c>
      <c r="B222" t="str">
        <f>"        ""Reputation"": "&amp;VLOOKUP(A222,TraderCategory!$B$63:$L$546,5,FALSE)&amp;","</f>
        <v xml:space="preserve">        "Reputation": 3,</v>
      </c>
    </row>
    <row r="223" spans="1:2" x14ac:dyDescent="0.25">
      <c r="A223">
        <f t="shared" si="9"/>
        <v>18</v>
      </c>
      <c r="B223" t="str">
        <f>"        ""Restock"": "&amp;VLOOKUP(A223,TraderCategory!$B$63:$L$546,6,FALSE)&amp;","</f>
        <v xml:space="preserve">        "Restock": 0,</v>
      </c>
    </row>
    <row r="224" spans="1:2" x14ac:dyDescent="0.25">
      <c r="A224">
        <f t="shared" si="9"/>
        <v>18</v>
      </c>
      <c r="B224" t="str">
        <f>"        ""RestockCap"": "&amp;VLOOKUP(A224,TraderCategory!$B$63:$L$546,7,FALSE)&amp;","</f>
        <v xml:space="preserve">        "RestockCap": 0,</v>
      </c>
    </row>
    <row r="225" spans="1:2" x14ac:dyDescent="0.25">
      <c r="A225">
        <f t="shared" si="9"/>
        <v>18</v>
      </c>
      <c r="B225" t="str">
        <f>"        ""StockCap"": "&amp;VLOOKUP(A225,TraderCategory!$B$63:$L$546,8,FALSE)&amp;","</f>
        <v xml:space="preserve">        "StockCap": 999,</v>
      </c>
    </row>
    <row r="226" spans="1:2" x14ac:dyDescent="0.25">
      <c r="A226">
        <f t="shared" si="9"/>
        <v>18</v>
      </c>
      <c r="B226" t="str">
        <f>"        ""SellingRatioMin"": "&amp;VLOOKUP(A226,TraderCategory!$B$63:$L$546,9,FALSE)&amp;","</f>
        <v xml:space="preserve">        "SellingRatioMin": 0.35,</v>
      </c>
    </row>
    <row r="227" spans="1:2" x14ac:dyDescent="0.25">
      <c r="A227">
        <f t="shared" si="9"/>
        <v>18</v>
      </c>
      <c r="B227" t="str">
        <f>"        ""SellingRatioMax"": "&amp;VLOOKUP(A227,TraderCategory!$B$63:$L$546,10,FALSE)&amp;","</f>
        <v xml:space="preserve">        "SellingRatioMax": 0.4,</v>
      </c>
    </row>
    <row r="228" spans="1:2" x14ac:dyDescent="0.25">
      <c r="A228">
        <f t="shared" si="9"/>
        <v>18</v>
      </c>
      <c r="B228" t="str">
        <f>"        ""BuingRatioMin"": "&amp;VLOOKUP(A228,TraderCategory!$B$63:$L$546,11,FALSE)</f>
        <v xml:space="preserve">        "BuingRatioMin": 1</v>
      </c>
    </row>
    <row r="229" spans="1:2" x14ac:dyDescent="0.25">
      <c r="A229">
        <f t="shared" si="9"/>
        <v>18</v>
      </c>
      <c r="B229" t="s">
        <v>2755</v>
      </c>
    </row>
    <row r="230" spans="1:2" x14ac:dyDescent="0.25">
      <c r="A230">
        <f>A218+1</f>
        <v>19</v>
      </c>
      <c r="B230" t="str">
        <f>"    """&amp;A230&amp;""": {"</f>
        <v xml:space="preserve">    "19": {</v>
      </c>
    </row>
    <row r="231" spans="1:2" x14ac:dyDescent="0.25">
      <c r="A231">
        <f t="shared" ref="A231:A241" si="10">A219+1</f>
        <v>19</v>
      </c>
      <c r="B231" t="str">
        <f>"        ""Groups"": """&amp;VLOOKUP(A231,TraderCategory!$B$63:$L$546,2,FALSE)&amp;""","</f>
        <v xml:space="preserve">        "Groups": "#tc_groceries",</v>
      </c>
    </row>
    <row r="232" spans="1:2" x14ac:dyDescent="0.25">
      <c r="A232">
        <f t="shared" si="10"/>
        <v>19</v>
      </c>
      <c r="B232" t="str">
        <f>"        ""Category"": """&amp;VLOOKUP(A232,TraderCategory!$B$63:$L$546,3,FALSE)&amp;""","</f>
        <v xml:space="preserve">        "Category": "#tc_food",</v>
      </c>
    </row>
    <row r="233" spans="1:2" x14ac:dyDescent="0.25">
      <c r="A233">
        <f t="shared" si="10"/>
        <v>19</v>
      </c>
      <c r="B233" t="str">
        <f>"        ""SubCategory"": """&amp;VLOOKUP(A233,TraderCategory!$B$63:$L$546,4,FALSE)&amp;""","</f>
        <v xml:space="preserve">        "SubCategory": "#tc_packaged",</v>
      </c>
    </row>
    <row r="234" spans="1:2" x14ac:dyDescent="0.25">
      <c r="A234">
        <f t="shared" si="10"/>
        <v>19</v>
      </c>
      <c r="B234" t="str">
        <f>"        ""Reputation"": "&amp;VLOOKUP(A234,TraderCategory!$B$63:$L$546,5,FALSE)&amp;","</f>
        <v xml:space="preserve">        "Reputation": 3,</v>
      </c>
    </row>
    <row r="235" spans="1:2" x14ac:dyDescent="0.25">
      <c r="A235">
        <f t="shared" si="10"/>
        <v>19</v>
      </c>
      <c r="B235" t="str">
        <f>"        ""Restock"": "&amp;VLOOKUP(A235,TraderCategory!$B$63:$L$546,6,FALSE)&amp;","</f>
        <v xml:space="preserve">        "Restock": 0,</v>
      </c>
    </row>
    <row r="236" spans="1:2" x14ac:dyDescent="0.25">
      <c r="A236">
        <f t="shared" si="10"/>
        <v>19</v>
      </c>
      <c r="B236" t="str">
        <f>"        ""RestockCap"": "&amp;VLOOKUP(A236,TraderCategory!$B$63:$L$546,7,FALSE)&amp;","</f>
        <v xml:space="preserve">        "RestockCap": 0,</v>
      </c>
    </row>
    <row r="237" spans="1:2" x14ac:dyDescent="0.25">
      <c r="A237">
        <f t="shared" si="10"/>
        <v>19</v>
      </c>
      <c r="B237" t="str">
        <f>"        ""StockCap"": "&amp;VLOOKUP(A237,TraderCategory!$B$63:$L$546,8,FALSE)&amp;","</f>
        <v xml:space="preserve">        "StockCap": 999,</v>
      </c>
    </row>
    <row r="238" spans="1:2" x14ac:dyDescent="0.25">
      <c r="A238">
        <f t="shared" si="10"/>
        <v>19</v>
      </c>
      <c r="B238" t="str">
        <f>"        ""SellingRatioMin"": "&amp;VLOOKUP(A238,TraderCategory!$B$63:$L$546,9,FALSE)&amp;","</f>
        <v xml:space="preserve">        "SellingRatioMin": 0.35,</v>
      </c>
    </row>
    <row r="239" spans="1:2" x14ac:dyDescent="0.25">
      <c r="A239">
        <f t="shared" si="10"/>
        <v>19</v>
      </c>
      <c r="B239" t="str">
        <f>"        ""SellingRatioMax"": "&amp;VLOOKUP(A239,TraderCategory!$B$63:$L$546,10,FALSE)&amp;","</f>
        <v xml:space="preserve">        "SellingRatioMax": 0.4,</v>
      </c>
    </row>
    <row r="240" spans="1:2" x14ac:dyDescent="0.25">
      <c r="A240">
        <f t="shared" si="10"/>
        <v>19</v>
      </c>
      <c r="B240" t="str">
        <f>"        ""BuingRatioMin"": "&amp;VLOOKUP(A240,TraderCategory!$B$63:$L$546,11,FALSE)</f>
        <v xml:space="preserve">        "BuingRatioMin": 1</v>
      </c>
    </row>
    <row r="241" spans="1:2" x14ac:dyDescent="0.25">
      <c r="A241">
        <f t="shared" si="10"/>
        <v>19</v>
      </c>
      <c r="B241" t="s">
        <v>2755</v>
      </c>
    </row>
    <row r="242" spans="1:2" x14ac:dyDescent="0.25">
      <c r="A242">
        <f>A230+1</f>
        <v>20</v>
      </c>
      <c r="B242" t="str">
        <f>"    """&amp;A242&amp;""": {"</f>
        <v xml:space="preserve">    "20": {</v>
      </c>
    </row>
    <row r="243" spans="1:2" x14ac:dyDescent="0.25">
      <c r="A243">
        <f t="shared" ref="A243:A253" si="11">A231+1</f>
        <v>20</v>
      </c>
      <c r="B243" t="str">
        <f>"        ""Groups"": """&amp;VLOOKUP(A243,TraderCategory!$B$63:$L$546,2,FALSE)&amp;""","</f>
        <v xml:space="preserve">        "Groups": "#tc_groceries",</v>
      </c>
    </row>
    <row r="244" spans="1:2" x14ac:dyDescent="0.25">
      <c r="A244">
        <f t="shared" si="11"/>
        <v>20</v>
      </c>
      <c r="B244" t="str">
        <f>"        ""Category"": """&amp;VLOOKUP(A244,TraderCategory!$B$63:$L$546,3,FALSE)&amp;""","</f>
        <v xml:space="preserve">        "Category": "#tc_food",</v>
      </c>
    </row>
    <row r="245" spans="1:2" x14ac:dyDescent="0.25">
      <c r="A245">
        <f t="shared" si="11"/>
        <v>20</v>
      </c>
      <c r="B245" t="str">
        <f>"        ""SubCategory"": """&amp;VLOOKUP(A245,TraderCategory!$B$63:$L$546,4,FALSE)&amp;""","</f>
        <v xml:space="preserve">        "SubCategory": "#tc_fruits",</v>
      </c>
    </row>
    <row r="246" spans="1:2" x14ac:dyDescent="0.25">
      <c r="A246">
        <f t="shared" si="11"/>
        <v>20</v>
      </c>
      <c r="B246" t="str">
        <f>"        ""Reputation"": "&amp;VLOOKUP(A246,TraderCategory!$B$63:$L$546,5,FALSE)&amp;","</f>
        <v xml:space="preserve">        "Reputation": 3,</v>
      </c>
    </row>
    <row r="247" spans="1:2" x14ac:dyDescent="0.25">
      <c r="A247">
        <f t="shared" si="11"/>
        <v>20</v>
      </c>
      <c r="B247" t="str">
        <f>"        ""Restock"": "&amp;VLOOKUP(A247,TraderCategory!$B$63:$L$546,6,FALSE)&amp;","</f>
        <v xml:space="preserve">        "Restock": 0,</v>
      </c>
    </row>
    <row r="248" spans="1:2" x14ac:dyDescent="0.25">
      <c r="A248">
        <f t="shared" si="11"/>
        <v>20</v>
      </c>
      <c r="B248" t="str">
        <f>"        ""RestockCap"": "&amp;VLOOKUP(A248,TraderCategory!$B$63:$L$546,7,FALSE)&amp;","</f>
        <v xml:space="preserve">        "RestockCap": 0,</v>
      </c>
    </row>
    <row r="249" spans="1:2" x14ac:dyDescent="0.25">
      <c r="A249">
        <f t="shared" si="11"/>
        <v>20</v>
      </c>
      <c r="B249" t="str">
        <f>"        ""StockCap"": "&amp;VLOOKUP(A249,TraderCategory!$B$63:$L$546,8,FALSE)&amp;","</f>
        <v xml:space="preserve">        "StockCap": 999,</v>
      </c>
    </row>
    <row r="250" spans="1:2" x14ac:dyDescent="0.25">
      <c r="A250">
        <f t="shared" si="11"/>
        <v>20</v>
      </c>
      <c r="B250" t="str">
        <f>"        ""SellingRatioMin"": "&amp;VLOOKUP(A250,TraderCategory!$B$63:$L$546,9,FALSE)&amp;","</f>
        <v xml:space="preserve">        "SellingRatioMin": 0.35,</v>
      </c>
    </row>
    <row r="251" spans="1:2" x14ac:dyDescent="0.25">
      <c r="A251">
        <f t="shared" si="11"/>
        <v>20</v>
      </c>
      <c r="B251" t="str">
        <f>"        ""SellingRatioMax"": "&amp;VLOOKUP(A251,TraderCategory!$B$63:$L$546,10,FALSE)&amp;","</f>
        <v xml:space="preserve">        "SellingRatioMax": 0.4,</v>
      </c>
    </row>
    <row r="252" spans="1:2" x14ac:dyDescent="0.25">
      <c r="A252">
        <f t="shared" si="11"/>
        <v>20</v>
      </c>
      <c r="B252" t="str">
        <f>"        ""BuingRatioMin"": "&amp;VLOOKUP(A252,TraderCategory!$B$63:$L$546,11,FALSE)</f>
        <v xml:space="preserve">        "BuingRatioMin": 1</v>
      </c>
    </row>
    <row r="253" spans="1:2" x14ac:dyDescent="0.25">
      <c r="A253">
        <f t="shared" si="11"/>
        <v>20</v>
      </c>
      <c r="B253" t="s">
        <v>2755</v>
      </c>
    </row>
    <row r="254" spans="1:2" x14ac:dyDescent="0.25">
      <c r="A254">
        <f>A242+1</f>
        <v>21</v>
      </c>
      <c r="B254" t="str">
        <f>"    """&amp;A254&amp;""": {"</f>
        <v xml:space="preserve">    "21": {</v>
      </c>
    </row>
    <row r="255" spans="1:2" x14ac:dyDescent="0.25">
      <c r="A255">
        <f t="shared" ref="A255:A265" si="12">A243+1</f>
        <v>21</v>
      </c>
      <c r="B255" t="str">
        <f>"        ""Groups"": """&amp;VLOOKUP(A255,TraderCategory!$B$63:$L$546,2,FALSE)&amp;""","</f>
        <v xml:space="preserve">        "Groups": "#tc_groceries",</v>
      </c>
    </row>
    <row r="256" spans="1:2" x14ac:dyDescent="0.25">
      <c r="A256">
        <f t="shared" si="12"/>
        <v>21</v>
      </c>
      <c r="B256" t="str">
        <f>"        ""Category"": """&amp;VLOOKUP(A256,TraderCategory!$B$63:$L$546,3,FALSE)&amp;""","</f>
        <v xml:space="preserve">        "Category": "#tc_food",</v>
      </c>
    </row>
    <row r="257" spans="1:2" x14ac:dyDescent="0.25">
      <c r="A257">
        <f t="shared" si="12"/>
        <v>21</v>
      </c>
      <c r="B257" t="str">
        <f>"        ""SubCategory"": """&amp;VLOOKUP(A257,TraderCategory!$B$63:$L$546,4,FALSE)&amp;""","</f>
        <v xml:space="preserve">        "SubCategory": "#tc_meat",</v>
      </c>
    </row>
    <row r="258" spans="1:2" x14ac:dyDescent="0.25">
      <c r="A258">
        <f t="shared" si="12"/>
        <v>21</v>
      </c>
      <c r="B258" t="str">
        <f>"        ""Reputation"": "&amp;VLOOKUP(A258,TraderCategory!$B$63:$L$546,5,FALSE)&amp;","</f>
        <v xml:space="preserve">        "Reputation": 3,</v>
      </c>
    </row>
    <row r="259" spans="1:2" x14ac:dyDescent="0.25">
      <c r="A259">
        <f t="shared" si="12"/>
        <v>21</v>
      </c>
      <c r="B259" t="str">
        <f>"        ""Restock"": "&amp;VLOOKUP(A259,TraderCategory!$B$63:$L$546,6,FALSE)&amp;","</f>
        <v xml:space="preserve">        "Restock": 0,</v>
      </c>
    </row>
    <row r="260" spans="1:2" x14ac:dyDescent="0.25">
      <c r="A260">
        <f t="shared" si="12"/>
        <v>21</v>
      </c>
      <c r="B260" t="str">
        <f>"        ""RestockCap"": "&amp;VLOOKUP(A260,TraderCategory!$B$63:$L$546,7,FALSE)&amp;","</f>
        <v xml:space="preserve">        "RestockCap": 0,</v>
      </c>
    </row>
    <row r="261" spans="1:2" x14ac:dyDescent="0.25">
      <c r="A261">
        <f t="shared" si="12"/>
        <v>21</v>
      </c>
      <c r="B261" t="str">
        <f>"        ""StockCap"": "&amp;VLOOKUP(A261,TraderCategory!$B$63:$L$546,8,FALSE)&amp;","</f>
        <v xml:space="preserve">        "StockCap": 999,</v>
      </c>
    </row>
    <row r="262" spans="1:2" x14ac:dyDescent="0.25">
      <c r="A262">
        <f t="shared" si="12"/>
        <v>21</v>
      </c>
      <c r="B262" t="str">
        <f>"        ""SellingRatioMin"": "&amp;VLOOKUP(A262,TraderCategory!$B$63:$L$546,9,FALSE)&amp;","</f>
        <v xml:space="preserve">        "SellingRatioMin": 0.35,</v>
      </c>
    </row>
    <row r="263" spans="1:2" x14ac:dyDescent="0.25">
      <c r="A263">
        <f t="shared" si="12"/>
        <v>21</v>
      </c>
      <c r="B263" t="str">
        <f>"        ""SellingRatioMax"": "&amp;VLOOKUP(A263,TraderCategory!$B$63:$L$546,10,FALSE)&amp;","</f>
        <v xml:space="preserve">        "SellingRatioMax": 0.4,</v>
      </c>
    </row>
    <row r="264" spans="1:2" x14ac:dyDescent="0.25">
      <c r="A264">
        <f t="shared" si="12"/>
        <v>21</v>
      </c>
      <c r="B264" t="str">
        <f>"        ""BuingRatioMin"": "&amp;VLOOKUP(A264,TraderCategory!$B$63:$L$546,11,FALSE)</f>
        <v xml:space="preserve">        "BuingRatioMin": 1</v>
      </c>
    </row>
    <row r="265" spans="1:2" x14ac:dyDescent="0.25">
      <c r="A265">
        <f t="shared" si="12"/>
        <v>21</v>
      </c>
      <c r="B265" t="s">
        <v>2755</v>
      </c>
    </row>
    <row r="266" spans="1:2" x14ac:dyDescent="0.25">
      <c r="A266">
        <f>A254+1</f>
        <v>22</v>
      </c>
      <c r="B266" t="str">
        <f>"    """&amp;A266&amp;""": {"</f>
        <v xml:space="preserve">    "22": {</v>
      </c>
    </row>
    <row r="267" spans="1:2" x14ac:dyDescent="0.25">
      <c r="A267">
        <f t="shared" ref="A267:A277" si="13">A255+1</f>
        <v>22</v>
      </c>
      <c r="B267" t="str">
        <f>"        ""Groups"": """&amp;VLOOKUP(A267,TraderCategory!$B$63:$L$546,2,FALSE)&amp;""","</f>
        <v xml:space="preserve">        "Groups": "#tc_groceries",</v>
      </c>
    </row>
    <row r="268" spans="1:2" x14ac:dyDescent="0.25">
      <c r="A268">
        <f t="shared" si="13"/>
        <v>22</v>
      </c>
      <c r="B268" t="str">
        <f>"        ""Category"": """&amp;VLOOKUP(A268,TraderCategory!$B$63:$L$546,3,FALSE)&amp;""","</f>
        <v xml:space="preserve">        "Category": "#tc_food",</v>
      </c>
    </row>
    <row r="269" spans="1:2" x14ac:dyDescent="0.25">
      <c r="A269">
        <f t="shared" si="13"/>
        <v>22</v>
      </c>
      <c r="B269" t="str">
        <f>"        ""SubCategory"": """&amp;VLOOKUP(A269,TraderCategory!$B$63:$L$546,4,FALSE)&amp;""","</f>
        <v xml:space="preserve">        "SubCategory": "#tc_pelts",</v>
      </c>
    </row>
    <row r="270" spans="1:2" x14ac:dyDescent="0.25">
      <c r="A270">
        <f t="shared" si="13"/>
        <v>22</v>
      </c>
      <c r="B270" t="str">
        <f>"        ""Reputation"": "&amp;VLOOKUP(A270,TraderCategory!$B$63:$L$546,5,FALSE)&amp;","</f>
        <v xml:space="preserve">        "Reputation": 3,</v>
      </c>
    </row>
    <row r="271" spans="1:2" x14ac:dyDescent="0.25">
      <c r="A271">
        <f t="shared" si="13"/>
        <v>22</v>
      </c>
      <c r="B271" t="str">
        <f>"        ""Restock"": "&amp;VLOOKUP(A271,TraderCategory!$B$63:$L$546,6,FALSE)&amp;","</f>
        <v xml:space="preserve">        "Restock": 2,</v>
      </c>
    </row>
    <row r="272" spans="1:2" x14ac:dyDescent="0.25">
      <c r="A272">
        <f t="shared" si="13"/>
        <v>22</v>
      </c>
      <c r="B272" t="str">
        <f>"        ""RestockCap"": "&amp;VLOOKUP(A272,TraderCategory!$B$63:$L$546,7,FALSE)&amp;","</f>
        <v xml:space="preserve">        "RestockCap": 10,</v>
      </c>
    </row>
    <row r="273" spans="1:2" x14ac:dyDescent="0.25">
      <c r="A273">
        <f t="shared" si="13"/>
        <v>22</v>
      </c>
      <c r="B273" t="str">
        <f>"        ""StockCap"": "&amp;VLOOKUP(A273,TraderCategory!$B$63:$L$546,8,FALSE)&amp;","</f>
        <v xml:space="preserve">        "StockCap": 999,</v>
      </c>
    </row>
    <row r="274" spans="1:2" x14ac:dyDescent="0.25">
      <c r="A274">
        <f t="shared" si="13"/>
        <v>22</v>
      </c>
      <c r="B274" t="str">
        <f>"        ""SellingRatioMin"": "&amp;VLOOKUP(A274,TraderCategory!$B$63:$L$546,9,FALSE)&amp;","</f>
        <v xml:space="preserve">        "SellingRatioMin": 0.35,</v>
      </c>
    </row>
    <row r="275" spans="1:2" x14ac:dyDescent="0.25">
      <c r="A275">
        <f t="shared" si="13"/>
        <v>22</v>
      </c>
      <c r="B275" t="str">
        <f>"        ""SellingRatioMax"": "&amp;VLOOKUP(A275,TraderCategory!$B$63:$L$546,10,FALSE)&amp;","</f>
        <v xml:space="preserve">        "SellingRatioMax": 0.4,</v>
      </c>
    </row>
    <row r="276" spans="1:2" x14ac:dyDescent="0.25">
      <c r="A276">
        <f t="shared" si="13"/>
        <v>22</v>
      </c>
      <c r="B276" t="str">
        <f>"        ""BuingRatioMin"": "&amp;VLOOKUP(A276,TraderCategory!$B$63:$L$546,11,FALSE)</f>
        <v xml:space="preserve">        "BuingRatioMin": 1</v>
      </c>
    </row>
    <row r="277" spans="1:2" x14ac:dyDescent="0.25">
      <c r="A277">
        <f t="shared" si="13"/>
        <v>22</v>
      </c>
      <c r="B277" t="s">
        <v>2755</v>
      </c>
    </row>
    <row r="278" spans="1:2" x14ac:dyDescent="0.25">
      <c r="A278">
        <f>A266+1</f>
        <v>23</v>
      </c>
      <c r="B278" t="str">
        <f>"    """&amp;A278&amp;""": {"</f>
        <v xml:space="preserve">    "23": {</v>
      </c>
    </row>
    <row r="279" spans="1:2" x14ac:dyDescent="0.25">
      <c r="A279">
        <f t="shared" ref="A279:A342" si="14">A267+1</f>
        <v>23</v>
      </c>
      <c r="B279" t="str">
        <f>"        ""Groups"": """&amp;VLOOKUP(A279,TraderCategory!$B$63:$L$546,2,FALSE)&amp;""","</f>
        <v xml:space="preserve">        "Groups": "#tc_groceries",</v>
      </c>
    </row>
    <row r="280" spans="1:2" x14ac:dyDescent="0.25">
      <c r="A280">
        <f t="shared" si="14"/>
        <v>23</v>
      </c>
      <c r="B280" t="str">
        <f>"        ""Category"": """&amp;VLOOKUP(A280,TraderCategory!$B$63:$L$546,3,FALSE)&amp;""","</f>
        <v xml:space="preserve">        "Category": "#tc_food",</v>
      </c>
    </row>
    <row r="281" spans="1:2" x14ac:dyDescent="0.25">
      <c r="A281">
        <f t="shared" si="14"/>
        <v>23</v>
      </c>
      <c r="B281" t="str">
        <f>"        ""SubCategory"": """&amp;VLOOKUP(A281,TraderCategory!$B$63:$L$546,4,FALSE)&amp;""","</f>
        <v xml:space="preserve">        "SubCategory": "#tc_bones",</v>
      </c>
    </row>
    <row r="282" spans="1:2" x14ac:dyDescent="0.25">
      <c r="A282">
        <f t="shared" si="14"/>
        <v>23</v>
      </c>
      <c r="B282" t="str">
        <f>"        ""Reputation"": "&amp;VLOOKUP(A282,TraderCategory!$B$63:$L$546,5,FALSE)&amp;","</f>
        <v xml:space="preserve">        "Reputation": 3,</v>
      </c>
    </row>
    <row r="283" spans="1:2" x14ac:dyDescent="0.25">
      <c r="A283">
        <f t="shared" si="14"/>
        <v>23</v>
      </c>
      <c r="B283" t="str">
        <f>"        ""Restock"": "&amp;VLOOKUP(A283,TraderCategory!$B$63:$L$546,6,FALSE)&amp;","</f>
        <v xml:space="preserve">        "Restock": 0,</v>
      </c>
    </row>
    <row r="284" spans="1:2" x14ac:dyDescent="0.25">
      <c r="A284">
        <f t="shared" si="14"/>
        <v>23</v>
      </c>
      <c r="B284" t="str">
        <f>"        ""RestockCap"": "&amp;VLOOKUP(A284,TraderCategory!$B$63:$L$546,7,FALSE)&amp;","</f>
        <v xml:space="preserve">        "RestockCap": 0,</v>
      </c>
    </row>
    <row r="285" spans="1:2" x14ac:dyDescent="0.25">
      <c r="A285">
        <f t="shared" si="14"/>
        <v>23</v>
      </c>
      <c r="B285" t="str">
        <f>"        ""StockCap"": "&amp;VLOOKUP(A285,TraderCategory!$B$63:$L$546,8,FALSE)&amp;","</f>
        <v xml:space="preserve">        "StockCap": 999,</v>
      </c>
    </row>
    <row r="286" spans="1:2" x14ac:dyDescent="0.25">
      <c r="A286">
        <f t="shared" si="14"/>
        <v>23</v>
      </c>
      <c r="B286" t="str">
        <f>"        ""SellingRatioMin"": "&amp;VLOOKUP(A286,TraderCategory!$B$63:$L$546,9,FALSE)&amp;","</f>
        <v xml:space="preserve">        "SellingRatioMin": 0.35,</v>
      </c>
    </row>
    <row r="287" spans="1:2" x14ac:dyDescent="0.25">
      <c r="A287">
        <f t="shared" si="14"/>
        <v>23</v>
      </c>
      <c r="B287" t="str">
        <f>"        ""SellingRatioMax"": "&amp;VLOOKUP(A287,TraderCategory!$B$63:$L$546,10,FALSE)&amp;","</f>
        <v xml:space="preserve">        "SellingRatioMax": 0.4,</v>
      </c>
    </row>
    <row r="288" spans="1:2" x14ac:dyDescent="0.25">
      <c r="A288">
        <f t="shared" si="14"/>
        <v>23</v>
      </c>
      <c r="B288" t="str">
        <f>"        ""BuingRatioMin"": "&amp;VLOOKUP(A288,TraderCategory!$B$63:$L$546,11,FALSE)</f>
        <v xml:space="preserve">        "BuingRatioMin": 1</v>
      </c>
    </row>
    <row r="289" spans="1:2" x14ac:dyDescent="0.25">
      <c r="A289">
        <f t="shared" si="14"/>
        <v>23</v>
      </c>
      <c r="B289" t="s">
        <v>2755</v>
      </c>
    </row>
    <row r="290" spans="1:2" x14ac:dyDescent="0.25">
      <c r="A290">
        <f>A278+1</f>
        <v>24</v>
      </c>
      <c r="B290" t="str">
        <f>"    """&amp;A290&amp;""": {"</f>
        <v xml:space="preserve">    "24": {</v>
      </c>
    </row>
    <row r="291" spans="1:2" x14ac:dyDescent="0.25">
      <c r="A291">
        <f t="shared" si="14"/>
        <v>24</v>
      </c>
      <c r="B291" t="str">
        <f>"        ""Groups"": """&amp;VLOOKUP(A291,TraderCategory!$B$63:$L$546,2,FALSE)&amp;""","</f>
        <v xml:space="preserve">        "Groups": "#tc_groceries",</v>
      </c>
    </row>
    <row r="292" spans="1:2" x14ac:dyDescent="0.25">
      <c r="A292">
        <f t="shared" si="14"/>
        <v>24</v>
      </c>
      <c r="B292" t="str">
        <f>"        ""Category"": """&amp;VLOOKUP(A292,TraderCategory!$B$63:$L$546,3,FALSE)&amp;""","</f>
        <v xml:space="preserve">        "Category": "#tc_medic",</v>
      </c>
    </row>
    <row r="293" spans="1:2" x14ac:dyDescent="0.25">
      <c r="A293">
        <f t="shared" si="14"/>
        <v>24</v>
      </c>
      <c r="B293" t="str">
        <f>"        ""SubCategory"": """&amp;VLOOKUP(A293,TraderCategory!$B$63:$L$546,4,FALSE)&amp;""","</f>
        <v xml:space="preserve">        "SubCategory": "#tc_medicaments",</v>
      </c>
    </row>
    <row r="294" spans="1:2" x14ac:dyDescent="0.25">
      <c r="A294">
        <f t="shared" si="14"/>
        <v>24</v>
      </c>
      <c r="B294" t="str">
        <f>"        ""Reputation"": "&amp;VLOOKUP(A294,TraderCategory!$B$63:$L$546,5,FALSE)&amp;","</f>
        <v xml:space="preserve">        "Reputation": 6,</v>
      </c>
    </row>
    <row r="295" spans="1:2" x14ac:dyDescent="0.25">
      <c r="A295">
        <f t="shared" si="14"/>
        <v>24</v>
      </c>
      <c r="B295" t="str">
        <f>"        ""Restock"": "&amp;VLOOKUP(A295,TraderCategory!$B$63:$L$546,6,FALSE)&amp;","</f>
        <v xml:space="preserve">        "Restock": 2,</v>
      </c>
    </row>
    <row r="296" spans="1:2" x14ac:dyDescent="0.25">
      <c r="A296">
        <f t="shared" si="14"/>
        <v>24</v>
      </c>
      <c r="B296" t="str">
        <f>"        ""RestockCap"": "&amp;VLOOKUP(A296,TraderCategory!$B$63:$L$546,7,FALSE)&amp;","</f>
        <v xml:space="preserve">        "RestockCap": 10,</v>
      </c>
    </row>
    <row r="297" spans="1:2" x14ac:dyDescent="0.25">
      <c r="A297">
        <f t="shared" si="14"/>
        <v>24</v>
      </c>
      <c r="B297" t="str">
        <f>"        ""StockCap"": "&amp;VLOOKUP(A297,TraderCategory!$B$63:$L$546,8,FALSE)&amp;","</f>
        <v xml:space="preserve">        "StockCap": 999,</v>
      </c>
    </row>
    <row r="298" spans="1:2" x14ac:dyDescent="0.25">
      <c r="A298">
        <f t="shared" si="14"/>
        <v>24</v>
      </c>
      <c r="B298" t="str">
        <f>"        ""SellingRatioMin"": "&amp;VLOOKUP(A298,TraderCategory!$B$63:$L$546,9,FALSE)&amp;","</f>
        <v xml:space="preserve">        "SellingRatioMin": 0.35,</v>
      </c>
    </row>
    <row r="299" spans="1:2" x14ac:dyDescent="0.25">
      <c r="A299">
        <f t="shared" si="14"/>
        <v>24</v>
      </c>
      <c r="B299" t="str">
        <f>"        ""SellingRatioMax"": "&amp;VLOOKUP(A299,TraderCategory!$B$63:$L$546,10,FALSE)&amp;","</f>
        <v xml:space="preserve">        "SellingRatioMax": 0.4,</v>
      </c>
    </row>
    <row r="300" spans="1:2" x14ac:dyDescent="0.25">
      <c r="A300">
        <f t="shared" si="14"/>
        <v>24</v>
      </c>
      <c r="B300" t="str">
        <f>"        ""BuingRatioMin"": "&amp;VLOOKUP(A300,TraderCategory!$B$63:$L$546,11,FALSE)</f>
        <v xml:space="preserve">        "BuingRatioMin": 1</v>
      </c>
    </row>
    <row r="301" spans="1:2" x14ac:dyDescent="0.25">
      <c r="A301">
        <f t="shared" si="14"/>
        <v>24</v>
      </c>
      <c r="B301" t="s">
        <v>2755</v>
      </c>
    </row>
    <row r="302" spans="1:2" x14ac:dyDescent="0.25">
      <c r="A302">
        <f>A290+1</f>
        <v>25</v>
      </c>
      <c r="B302" t="str">
        <f>"    """&amp;A302&amp;""": {"</f>
        <v xml:space="preserve">    "25": {</v>
      </c>
    </row>
    <row r="303" spans="1:2" x14ac:dyDescent="0.25">
      <c r="A303">
        <f t="shared" si="14"/>
        <v>25</v>
      </c>
      <c r="B303" t="str">
        <f>"        ""Groups"": """&amp;VLOOKUP(A303,TraderCategory!$B$63:$L$546,2,FALSE)&amp;""","</f>
        <v xml:space="preserve">        "Groups": "#tc_groceries",</v>
      </c>
    </row>
    <row r="304" spans="1:2" x14ac:dyDescent="0.25">
      <c r="A304">
        <f t="shared" si="14"/>
        <v>25</v>
      </c>
      <c r="B304" t="str">
        <f>"        ""Category"": """&amp;VLOOKUP(A304,TraderCategory!$B$63:$L$546,3,FALSE)&amp;""","</f>
        <v xml:space="preserve">        "Category": "#tc_medic",</v>
      </c>
    </row>
    <row r="305" spans="1:2" x14ac:dyDescent="0.25">
      <c r="A305">
        <f t="shared" si="14"/>
        <v>25</v>
      </c>
      <c r="B305" t="str">
        <f>"        ""SubCategory"": """&amp;VLOOKUP(A305,TraderCategory!$B$63:$L$546,4,FALSE)&amp;""","</f>
        <v xml:space="preserve">        "SubCategory": "#tc_equipments",</v>
      </c>
    </row>
    <row r="306" spans="1:2" x14ac:dyDescent="0.25">
      <c r="A306">
        <f t="shared" si="14"/>
        <v>25</v>
      </c>
      <c r="B306" t="str">
        <f>"        ""Reputation"": "&amp;VLOOKUP(A306,TraderCategory!$B$63:$L$546,5,FALSE)&amp;","</f>
        <v xml:space="preserve">        "Reputation": 6,</v>
      </c>
    </row>
    <row r="307" spans="1:2" x14ac:dyDescent="0.25">
      <c r="A307">
        <f t="shared" si="14"/>
        <v>25</v>
      </c>
      <c r="B307" t="str">
        <f>"        ""Restock"": "&amp;VLOOKUP(A307,TraderCategory!$B$63:$L$546,6,FALSE)&amp;","</f>
        <v xml:space="preserve">        "Restock": 2,</v>
      </c>
    </row>
    <row r="308" spans="1:2" x14ac:dyDescent="0.25">
      <c r="A308">
        <f t="shared" si="14"/>
        <v>25</v>
      </c>
      <c r="B308" t="str">
        <f>"        ""RestockCap"": "&amp;VLOOKUP(A308,TraderCategory!$B$63:$L$546,7,FALSE)&amp;","</f>
        <v xml:space="preserve">        "RestockCap": 10,</v>
      </c>
    </row>
    <row r="309" spans="1:2" x14ac:dyDescent="0.25">
      <c r="A309">
        <f t="shared" si="14"/>
        <v>25</v>
      </c>
      <c r="B309" t="str">
        <f>"        ""StockCap"": "&amp;VLOOKUP(A309,TraderCategory!$B$63:$L$546,8,FALSE)&amp;","</f>
        <v xml:space="preserve">        "StockCap": 999,</v>
      </c>
    </row>
    <row r="310" spans="1:2" x14ac:dyDescent="0.25">
      <c r="A310">
        <f t="shared" si="14"/>
        <v>25</v>
      </c>
      <c r="B310" t="str">
        <f>"        ""SellingRatioMin"": "&amp;VLOOKUP(A310,TraderCategory!$B$63:$L$546,9,FALSE)&amp;","</f>
        <v xml:space="preserve">        "SellingRatioMin": 0.35,</v>
      </c>
    </row>
    <row r="311" spans="1:2" x14ac:dyDescent="0.25">
      <c r="A311">
        <f t="shared" si="14"/>
        <v>25</v>
      </c>
      <c r="B311" t="str">
        <f>"        ""SellingRatioMax"": "&amp;VLOOKUP(A311,TraderCategory!$B$63:$L$546,10,FALSE)&amp;","</f>
        <v xml:space="preserve">        "SellingRatioMax": 0.4,</v>
      </c>
    </row>
    <row r="312" spans="1:2" x14ac:dyDescent="0.25">
      <c r="A312">
        <f t="shared" si="14"/>
        <v>25</v>
      </c>
      <c r="B312" t="str">
        <f>"        ""BuingRatioMin"": "&amp;VLOOKUP(A312,TraderCategory!$B$63:$L$546,11,FALSE)</f>
        <v xml:space="preserve">        "BuingRatioMin": 1</v>
      </c>
    </row>
    <row r="313" spans="1:2" x14ac:dyDescent="0.25">
      <c r="A313">
        <f t="shared" si="14"/>
        <v>25</v>
      </c>
      <c r="B313" t="s">
        <v>2755</v>
      </c>
    </row>
    <row r="314" spans="1:2" x14ac:dyDescent="0.25">
      <c r="A314">
        <f>A302+1</f>
        <v>26</v>
      </c>
      <c r="B314" t="str">
        <f>"    """&amp;A314&amp;""": {"</f>
        <v xml:space="preserve">    "26": {</v>
      </c>
    </row>
    <row r="315" spans="1:2" x14ac:dyDescent="0.25">
      <c r="A315">
        <f t="shared" si="14"/>
        <v>26</v>
      </c>
      <c r="B315" t="str">
        <f>"        ""Groups"": """&amp;VLOOKUP(A315,TraderCategory!$B$63:$L$546,2,FALSE)&amp;""","</f>
        <v xml:space="preserve">        "Groups": "#tc_groceries",</v>
      </c>
    </row>
    <row r="316" spans="1:2" x14ac:dyDescent="0.25">
      <c r="A316">
        <f t="shared" si="14"/>
        <v>26</v>
      </c>
      <c r="B316" t="str">
        <f>"        ""Category"": """&amp;VLOOKUP(A316,TraderCategory!$B$63:$L$546,3,FALSE)&amp;""","</f>
        <v xml:space="preserve">        "Category": "#tc_medic",</v>
      </c>
    </row>
    <row r="317" spans="1:2" x14ac:dyDescent="0.25">
      <c r="A317">
        <f t="shared" si="14"/>
        <v>26</v>
      </c>
      <c r="B317" t="str">
        <f>"        ""SubCategory"": """&amp;VLOOKUP(A317,TraderCategory!$B$63:$L$546,4,FALSE)&amp;""","</f>
        <v xml:space="preserve">        "SubCategory": "#tc_tools",</v>
      </c>
    </row>
    <row r="318" spans="1:2" x14ac:dyDescent="0.25">
      <c r="A318">
        <f t="shared" si="14"/>
        <v>26</v>
      </c>
      <c r="B318" t="str">
        <f>"        ""Reputation"": "&amp;VLOOKUP(A318,TraderCategory!$B$63:$L$546,5,FALSE)&amp;","</f>
        <v xml:space="preserve">        "Reputation": 6,</v>
      </c>
    </row>
    <row r="319" spans="1:2" x14ac:dyDescent="0.25">
      <c r="A319">
        <f t="shared" si="14"/>
        <v>26</v>
      </c>
      <c r="B319" t="str">
        <f>"        ""Restock"": "&amp;VLOOKUP(A319,TraderCategory!$B$63:$L$546,6,FALSE)&amp;","</f>
        <v xml:space="preserve">        "Restock": 2,</v>
      </c>
    </row>
    <row r="320" spans="1:2" x14ac:dyDescent="0.25">
      <c r="A320">
        <f t="shared" si="14"/>
        <v>26</v>
      </c>
      <c r="B320" t="str">
        <f>"        ""RestockCap"": "&amp;VLOOKUP(A320,TraderCategory!$B$63:$L$546,7,FALSE)&amp;","</f>
        <v xml:space="preserve">        "RestockCap": 10,</v>
      </c>
    </row>
    <row r="321" spans="1:2" x14ac:dyDescent="0.25">
      <c r="A321">
        <f t="shared" si="14"/>
        <v>26</v>
      </c>
      <c r="B321" t="str">
        <f>"        ""StockCap"": "&amp;VLOOKUP(A321,TraderCategory!$B$63:$L$546,8,FALSE)&amp;","</f>
        <v xml:space="preserve">        "StockCap": 999,</v>
      </c>
    </row>
    <row r="322" spans="1:2" x14ac:dyDescent="0.25">
      <c r="A322">
        <f t="shared" si="14"/>
        <v>26</v>
      </c>
      <c r="B322" t="str">
        <f>"        ""SellingRatioMin"": "&amp;VLOOKUP(A322,TraderCategory!$B$63:$L$546,9,FALSE)&amp;","</f>
        <v xml:space="preserve">        "SellingRatioMin": 0.35,</v>
      </c>
    </row>
    <row r="323" spans="1:2" x14ac:dyDescent="0.25">
      <c r="A323">
        <f t="shared" si="14"/>
        <v>26</v>
      </c>
      <c r="B323" t="str">
        <f>"        ""SellingRatioMax"": "&amp;VLOOKUP(A323,TraderCategory!$B$63:$L$546,10,FALSE)&amp;","</f>
        <v xml:space="preserve">        "SellingRatioMax": 0.4,</v>
      </c>
    </row>
    <row r="324" spans="1:2" x14ac:dyDescent="0.25">
      <c r="A324">
        <f t="shared" si="14"/>
        <v>26</v>
      </c>
      <c r="B324" t="str">
        <f>"        ""BuingRatioMin"": "&amp;VLOOKUP(A324,TraderCategory!$B$63:$L$546,11,FALSE)</f>
        <v xml:space="preserve">        "BuingRatioMin": 1</v>
      </c>
    </row>
    <row r="325" spans="1:2" x14ac:dyDescent="0.25">
      <c r="A325">
        <f t="shared" si="14"/>
        <v>26</v>
      </c>
      <c r="B325" t="s">
        <v>2755</v>
      </c>
    </row>
    <row r="326" spans="1:2" x14ac:dyDescent="0.25">
      <c r="A326">
        <f>A314+1</f>
        <v>27</v>
      </c>
      <c r="B326" t="str">
        <f>"    """&amp;A326&amp;""": {"</f>
        <v xml:space="preserve">    "27": {</v>
      </c>
    </row>
    <row r="327" spans="1:2" x14ac:dyDescent="0.25">
      <c r="A327">
        <f t="shared" si="14"/>
        <v>27</v>
      </c>
      <c r="B327" t="str">
        <f>"        ""Groups"": """&amp;VLOOKUP(A327,TraderCategory!$B$63:$L$546,2,FALSE)&amp;""","</f>
        <v xml:space="preserve">        "Groups": "#tc_groceries",</v>
      </c>
    </row>
    <row r="328" spans="1:2" x14ac:dyDescent="0.25">
      <c r="A328">
        <f t="shared" si="14"/>
        <v>27</v>
      </c>
      <c r="B328" t="str">
        <f>"        ""Category"": """&amp;VLOOKUP(A328,TraderCategory!$B$63:$L$546,3,FALSE)&amp;""","</f>
        <v xml:space="preserve">        "Category": "#tc_medic",</v>
      </c>
    </row>
    <row r="329" spans="1:2" x14ac:dyDescent="0.25">
      <c r="A329">
        <f t="shared" si="14"/>
        <v>27</v>
      </c>
      <c r="B329" t="str">
        <f>"        ""SubCategory"": """&amp;VLOOKUP(A329,TraderCategory!$B$63:$L$546,4,FALSE)&amp;""","</f>
        <v xml:space="preserve">        "SubCategory": "#tc_insurance",</v>
      </c>
    </row>
    <row r="330" spans="1:2" x14ac:dyDescent="0.25">
      <c r="A330">
        <f t="shared" si="14"/>
        <v>27</v>
      </c>
      <c r="B330" t="str">
        <f>"        ""Reputation"": "&amp;VLOOKUP(A330,TraderCategory!$B$63:$L$546,5,FALSE)&amp;","</f>
        <v xml:space="preserve">        "Reputation": 3,</v>
      </c>
    </row>
    <row r="331" spans="1:2" x14ac:dyDescent="0.25">
      <c r="A331">
        <f t="shared" si="14"/>
        <v>27</v>
      </c>
      <c r="B331" t="str">
        <f>"        ""Restock"": "&amp;VLOOKUP(A331,TraderCategory!$B$63:$L$546,6,FALSE)&amp;","</f>
        <v xml:space="preserve">        "Restock": 99,</v>
      </c>
    </row>
    <row r="332" spans="1:2" x14ac:dyDescent="0.25">
      <c r="A332">
        <f t="shared" si="14"/>
        <v>27</v>
      </c>
      <c r="B332" t="str">
        <f>"        ""RestockCap"": "&amp;VLOOKUP(A332,TraderCategory!$B$63:$L$546,7,FALSE)&amp;","</f>
        <v xml:space="preserve">        "RestockCap": 499,</v>
      </c>
    </row>
    <row r="333" spans="1:2" x14ac:dyDescent="0.25">
      <c r="A333">
        <f t="shared" si="14"/>
        <v>27</v>
      </c>
      <c r="B333" t="str">
        <f>"        ""StockCap"": "&amp;VLOOKUP(A333,TraderCategory!$B$63:$L$546,8,FALSE)&amp;","</f>
        <v xml:space="preserve">        "StockCap": 999,</v>
      </c>
    </row>
    <row r="334" spans="1:2" x14ac:dyDescent="0.25">
      <c r="A334">
        <f t="shared" si="14"/>
        <v>27</v>
      </c>
      <c r="B334" t="str">
        <f>"        ""SellingRatioMin"": "&amp;VLOOKUP(A334,TraderCategory!$B$63:$L$546,9,FALSE)&amp;","</f>
        <v xml:space="preserve">        "SellingRatioMin": 0,</v>
      </c>
    </row>
    <row r="335" spans="1:2" x14ac:dyDescent="0.25">
      <c r="A335">
        <f t="shared" si="14"/>
        <v>27</v>
      </c>
      <c r="B335" t="str">
        <f>"        ""SellingRatioMax"": "&amp;VLOOKUP(A335,TraderCategory!$B$63:$L$546,10,FALSE)&amp;","</f>
        <v xml:space="preserve">        "SellingRatioMax": 0,</v>
      </c>
    </row>
    <row r="336" spans="1:2" x14ac:dyDescent="0.25">
      <c r="A336">
        <f t="shared" si="14"/>
        <v>27</v>
      </c>
      <c r="B336" t="str">
        <f>"        ""BuingRatioMin"": "&amp;VLOOKUP(A336,TraderCategory!$B$63:$L$546,11,FALSE)</f>
        <v xml:space="preserve">        "BuingRatioMin": 1</v>
      </c>
    </row>
    <row r="337" spans="1:2" x14ac:dyDescent="0.25">
      <c r="A337">
        <f t="shared" si="14"/>
        <v>27</v>
      </c>
      <c r="B337" t="s">
        <v>2755</v>
      </c>
    </row>
    <row r="338" spans="1:2" x14ac:dyDescent="0.25">
      <c r="A338">
        <f>A326+1</f>
        <v>28</v>
      </c>
      <c r="B338" t="str">
        <f>"    """&amp;A338&amp;""": {"</f>
        <v xml:space="preserve">    "28": {</v>
      </c>
    </row>
    <row r="339" spans="1:2" x14ac:dyDescent="0.25">
      <c r="A339">
        <f t="shared" si="14"/>
        <v>28</v>
      </c>
      <c r="B339" t="str">
        <f>"        ""Groups"": """&amp;VLOOKUP(A339,TraderCategory!$B$63:$L$546,2,FALSE)&amp;""","</f>
        <v xml:space="preserve">        "Groups": "#tc_groceries",</v>
      </c>
    </row>
    <row r="340" spans="1:2" x14ac:dyDescent="0.25">
      <c r="A340">
        <f t="shared" si="14"/>
        <v>28</v>
      </c>
      <c r="B340" t="str">
        <f>"        ""Category"": """&amp;VLOOKUP(A340,TraderCategory!$B$63:$L$546,3,FALSE)&amp;""","</f>
        <v xml:space="preserve">        "Category": "#tc_tools",</v>
      </c>
    </row>
    <row r="341" spans="1:2" x14ac:dyDescent="0.25">
      <c r="A341">
        <f t="shared" si="14"/>
        <v>28</v>
      </c>
      <c r="B341" t="str">
        <f>"        ""SubCategory"": """&amp;VLOOKUP(A341,TraderCategory!$B$63:$L$546,4,FALSE)&amp;""","</f>
        <v xml:space="preserve">        "SubCategory": "#tc_knifes",</v>
      </c>
    </row>
    <row r="342" spans="1:2" x14ac:dyDescent="0.25">
      <c r="A342">
        <f t="shared" si="14"/>
        <v>28</v>
      </c>
      <c r="B342" t="str">
        <f>"        ""Reputation"": "&amp;VLOOKUP(A342,TraderCategory!$B$63:$L$546,5,FALSE)&amp;","</f>
        <v xml:space="preserve">        "Reputation": 0,</v>
      </c>
    </row>
    <row r="343" spans="1:2" x14ac:dyDescent="0.25">
      <c r="A343">
        <f t="shared" ref="A343:A349" si="15">A331+1</f>
        <v>28</v>
      </c>
      <c r="B343" t="str">
        <f>"        ""Restock"": "&amp;VLOOKUP(A343,TraderCategory!$B$63:$L$546,6,FALSE)&amp;","</f>
        <v xml:space="preserve">        "Restock": 2,</v>
      </c>
    </row>
    <row r="344" spans="1:2" x14ac:dyDescent="0.25">
      <c r="A344">
        <f t="shared" si="15"/>
        <v>28</v>
      </c>
      <c r="B344" t="str">
        <f>"        ""RestockCap"": "&amp;VLOOKUP(A344,TraderCategory!$B$63:$L$546,7,FALSE)&amp;","</f>
        <v xml:space="preserve">        "RestockCap": 20,</v>
      </c>
    </row>
    <row r="345" spans="1:2" x14ac:dyDescent="0.25">
      <c r="A345">
        <f t="shared" si="15"/>
        <v>28</v>
      </c>
      <c r="B345" t="str">
        <f>"        ""StockCap"": "&amp;VLOOKUP(A345,TraderCategory!$B$63:$L$546,8,FALSE)&amp;","</f>
        <v xml:space="preserve">        "StockCap": 99,</v>
      </c>
    </row>
    <row r="346" spans="1:2" x14ac:dyDescent="0.25">
      <c r="A346">
        <f t="shared" si="15"/>
        <v>28</v>
      </c>
      <c r="B346" t="str">
        <f>"        ""SellingRatioMin"": "&amp;VLOOKUP(A346,TraderCategory!$B$63:$L$546,9,FALSE)&amp;","</f>
        <v xml:space="preserve">        "SellingRatioMin": 0.01,</v>
      </c>
    </row>
    <row r="347" spans="1:2" x14ac:dyDescent="0.25">
      <c r="A347">
        <f t="shared" si="15"/>
        <v>28</v>
      </c>
      <c r="B347" t="str">
        <f>"        ""SellingRatioMax"": "&amp;VLOOKUP(A347,TraderCategory!$B$63:$L$546,10,FALSE)&amp;","</f>
        <v xml:space="preserve">        "SellingRatioMax": 0.05,</v>
      </c>
    </row>
    <row r="348" spans="1:2" x14ac:dyDescent="0.25">
      <c r="A348">
        <f t="shared" si="15"/>
        <v>28</v>
      </c>
      <c r="B348" t="str">
        <f>"        ""BuingRatioMin"": "&amp;VLOOKUP(A348,TraderCategory!$B$63:$L$546,11,FALSE)</f>
        <v xml:space="preserve">        "BuingRatioMin": 0.95</v>
      </c>
    </row>
    <row r="349" spans="1:2" x14ac:dyDescent="0.25">
      <c r="A349">
        <f t="shared" si="15"/>
        <v>28</v>
      </c>
      <c r="B349" t="s">
        <v>2755</v>
      </c>
    </row>
    <row r="350" spans="1:2" x14ac:dyDescent="0.25">
      <c r="A350">
        <f>A338+1</f>
        <v>29</v>
      </c>
      <c r="B350" t="str">
        <f>"    """&amp;A350&amp;""": {"</f>
        <v xml:space="preserve">    "29": {</v>
      </c>
    </row>
    <row r="351" spans="1:2" x14ac:dyDescent="0.25">
      <c r="A351">
        <f t="shared" ref="A351:A361" si="16">A339+1</f>
        <v>29</v>
      </c>
      <c r="B351" t="str">
        <f>"        ""Groups"": """&amp;VLOOKUP(A351,TraderCategory!$B$63:$L$546,2,FALSE)&amp;""","</f>
        <v xml:space="preserve">        "Groups": "#tc_groceries",</v>
      </c>
    </row>
    <row r="352" spans="1:2" x14ac:dyDescent="0.25">
      <c r="A352">
        <f t="shared" si="16"/>
        <v>29</v>
      </c>
      <c r="B352" t="str">
        <f>"        ""Category"": """&amp;VLOOKUP(A352,TraderCategory!$B$63:$L$546,3,FALSE)&amp;""","</f>
        <v xml:space="preserve">        "Category": "#tc_tools",</v>
      </c>
    </row>
    <row r="353" spans="1:2" x14ac:dyDescent="0.25">
      <c r="A353">
        <f t="shared" si="16"/>
        <v>29</v>
      </c>
      <c r="B353" t="str">
        <f>"        ""SubCategory"": """&amp;VLOOKUP(A353,TraderCategory!$B$63:$L$546,4,FALSE)&amp;""","</f>
        <v xml:space="preserve">        "SubCategory": "#tc_axes",</v>
      </c>
    </row>
    <row r="354" spans="1:2" x14ac:dyDescent="0.25">
      <c r="A354">
        <f t="shared" si="16"/>
        <v>29</v>
      </c>
      <c r="B354" t="str">
        <f>"        ""Reputation"": "&amp;VLOOKUP(A354,TraderCategory!$B$63:$L$546,5,FALSE)&amp;","</f>
        <v xml:space="preserve">        "Reputation": 0,</v>
      </c>
    </row>
    <row r="355" spans="1:2" x14ac:dyDescent="0.25">
      <c r="A355">
        <f t="shared" si="16"/>
        <v>29</v>
      </c>
      <c r="B355" t="str">
        <f>"        ""Restock"": "&amp;VLOOKUP(A355,TraderCategory!$B$63:$L$546,6,FALSE)&amp;","</f>
        <v xml:space="preserve">        "Restock": 2,</v>
      </c>
    </row>
    <row r="356" spans="1:2" x14ac:dyDescent="0.25">
      <c r="A356">
        <f t="shared" si="16"/>
        <v>29</v>
      </c>
      <c r="B356" t="str">
        <f>"        ""RestockCap"": "&amp;VLOOKUP(A356,TraderCategory!$B$63:$L$546,7,FALSE)&amp;","</f>
        <v xml:space="preserve">        "RestockCap": 20,</v>
      </c>
    </row>
    <row r="357" spans="1:2" x14ac:dyDescent="0.25">
      <c r="A357">
        <f t="shared" si="16"/>
        <v>29</v>
      </c>
      <c r="B357" t="str">
        <f>"        ""StockCap"": "&amp;VLOOKUP(A357,TraderCategory!$B$63:$L$546,8,FALSE)&amp;","</f>
        <v xml:space="preserve">        "StockCap": 99,</v>
      </c>
    </row>
    <row r="358" spans="1:2" x14ac:dyDescent="0.25">
      <c r="A358">
        <f t="shared" si="16"/>
        <v>29</v>
      </c>
      <c r="B358" t="str">
        <f>"        ""SellingRatioMin"": "&amp;VLOOKUP(A358,TraderCategory!$B$63:$L$546,9,FALSE)&amp;","</f>
        <v xml:space="preserve">        "SellingRatioMin": 0.01,</v>
      </c>
    </row>
    <row r="359" spans="1:2" x14ac:dyDescent="0.25">
      <c r="A359">
        <f t="shared" si="16"/>
        <v>29</v>
      </c>
      <c r="B359" t="str">
        <f>"        ""SellingRatioMax"": "&amp;VLOOKUP(A359,TraderCategory!$B$63:$L$546,10,FALSE)&amp;","</f>
        <v xml:space="preserve">        "SellingRatioMax": 0.05,</v>
      </c>
    </row>
    <row r="360" spans="1:2" x14ac:dyDescent="0.25">
      <c r="A360">
        <f t="shared" si="16"/>
        <v>29</v>
      </c>
      <c r="B360" t="str">
        <f>"        ""BuingRatioMin"": "&amp;VLOOKUP(A360,TraderCategory!$B$63:$L$546,11,FALSE)</f>
        <v xml:space="preserve">        "BuingRatioMin": 0.95</v>
      </c>
    </row>
    <row r="361" spans="1:2" x14ac:dyDescent="0.25">
      <c r="A361">
        <f t="shared" si="16"/>
        <v>29</v>
      </c>
      <c r="B361" t="s">
        <v>2755</v>
      </c>
    </row>
    <row r="362" spans="1:2" x14ac:dyDescent="0.25">
      <c r="A362">
        <f>A350+1</f>
        <v>30</v>
      </c>
      <c r="B362" t="str">
        <f>"    """&amp;A362&amp;""": {"</f>
        <v xml:space="preserve">    "30": {</v>
      </c>
    </row>
    <row r="363" spans="1:2" x14ac:dyDescent="0.25">
      <c r="A363">
        <f t="shared" ref="A363:A373" si="17">A351+1</f>
        <v>30</v>
      </c>
      <c r="B363" t="str">
        <f>"        ""Groups"": """&amp;VLOOKUP(A363,TraderCategory!$B$63:$L$546,2,FALSE)&amp;""","</f>
        <v xml:space="preserve">        "Groups": "#tc_groceries",</v>
      </c>
    </row>
    <row r="364" spans="1:2" x14ac:dyDescent="0.25">
      <c r="A364">
        <f t="shared" si="17"/>
        <v>30</v>
      </c>
      <c r="B364" t="str">
        <f>"        ""Category"": """&amp;VLOOKUP(A364,TraderCategory!$B$63:$L$546,3,FALSE)&amp;""","</f>
        <v xml:space="preserve">        "Category": "#tc_tools",</v>
      </c>
    </row>
    <row r="365" spans="1:2" x14ac:dyDescent="0.25">
      <c r="A365">
        <f t="shared" si="17"/>
        <v>30</v>
      </c>
      <c r="B365" t="str">
        <f>"        ""SubCategory"": """&amp;VLOOKUP(A365,TraderCategory!$B$63:$L$546,4,FALSE)&amp;""","</f>
        <v xml:space="preserve">        "SubCategory": "#tc_tools",</v>
      </c>
    </row>
    <row r="366" spans="1:2" x14ac:dyDescent="0.25">
      <c r="A366">
        <f t="shared" si="17"/>
        <v>30</v>
      </c>
      <c r="B366" t="str">
        <f>"        ""Reputation"": "&amp;VLOOKUP(A366,TraderCategory!$B$63:$L$546,5,FALSE)&amp;","</f>
        <v xml:space="preserve">        "Reputation": 0,</v>
      </c>
    </row>
    <row r="367" spans="1:2" x14ac:dyDescent="0.25">
      <c r="A367">
        <f t="shared" si="17"/>
        <v>30</v>
      </c>
      <c r="B367" t="str">
        <f>"        ""Restock"": "&amp;VLOOKUP(A367,TraderCategory!$B$63:$L$546,6,FALSE)&amp;","</f>
        <v xml:space="preserve">        "Restock": 2,</v>
      </c>
    </row>
    <row r="368" spans="1:2" x14ac:dyDescent="0.25">
      <c r="A368">
        <f t="shared" si="17"/>
        <v>30</v>
      </c>
      <c r="B368" t="str">
        <f>"        ""RestockCap"": "&amp;VLOOKUP(A368,TraderCategory!$B$63:$L$546,7,FALSE)&amp;","</f>
        <v xml:space="preserve">        "RestockCap": 20,</v>
      </c>
    </row>
    <row r="369" spans="1:2" x14ac:dyDescent="0.25">
      <c r="A369">
        <f t="shared" si="17"/>
        <v>30</v>
      </c>
      <c r="B369" t="str">
        <f>"        ""StockCap"": "&amp;VLOOKUP(A369,TraderCategory!$B$63:$L$546,8,FALSE)&amp;","</f>
        <v xml:space="preserve">        "StockCap": 99,</v>
      </c>
    </row>
    <row r="370" spans="1:2" x14ac:dyDescent="0.25">
      <c r="A370">
        <f t="shared" si="17"/>
        <v>30</v>
      </c>
      <c r="B370" t="str">
        <f>"        ""SellingRatioMin"": "&amp;VLOOKUP(A370,TraderCategory!$B$63:$L$546,9,FALSE)&amp;","</f>
        <v xml:space="preserve">        "SellingRatioMin": 0.01,</v>
      </c>
    </row>
    <row r="371" spans="1:2" x14ac:dyDescent="0.25">
      <c r="A371">
        <f t="shared" si="17"/>
        <v>30</v>
      </c>
      <c r="B371" t="str">
        <f>"        ""SellingRatioMax"": "&amp;VLOOKUP(A371,TraderCategory!$B$63:$L$546,10,FALSE)&amp;","</f>
        <v xml:space="preserve">        "SellingRatioMax": 0.05,</v>
      </c>
    </row>
    <row r="372" spans="1:2" x14ac:dyDescent="0.25">
      <c r="A372">
        <f t="shared" si="17"/>
        <v>30</v>
      </c>
      <c r="B372" t="str">
        <f>"        ""BuingRatioMin"": "&amp;VLOOKUP(A372,TraderCategory!$B$63:$L$546,11,FALSE)</f>
        <v xml:space="preserve">        "BuingRatioMin": 0.95</v>
      </c>
    </row>
    <row r="373" spans="1:2" x14ac:dyDescent="0.25">
      <c r="A373">
        <f t="shared" si="17"/>
        <v>30</v>
      </c>
      <c r="B373" t="s">
        <v>2755</v>
      </c>
    </row>
    <row r="374" spans="1:2" x14ac:dyDescent="0.25">
      <c r="A374">
        <f>A362+1</f>
        <v>31</v>
      </c>
      <c r="B374" t="str">
        <f>"    """&amp;A374&amp;""": {"</f>
        <v xml:space="preserve">    "31": {</v>
      </c>
    </row>
    <row r="375" spans="1:2" x14ac:dyDescent="0.25">
      <c r="A375">
        <f t="shared" ref="A375:A385" si="18">A363+1</f>
        <v>31</v>
      </c>
      <c r="B375" t="str">
        <f>"        ""Groups"": """&amp;VLOOKUP(A375,TraderCategory!$B$63:$L$546,2,FALSE)&amp;""","</f>
        <v xml:space="preserve">        "Groups": "#tc_groceries",</v>
      </c>
    </row>
    <row r="376" spans="1:2" x14ac:dyDescent="0.25">
      <c r="A376">
        <f t="shared" si="18"/>
        <v>31</v>
      </c>
      <c r="B376" t="str">
        <f>"        ""Category"": """&amp;VLOOKUP(A376,TraderCategory!$B$63:$L$546,3,FALSE)&amp;""","</f>
        <v xml:space="preserve">        "Category": "#tc_tools",</v>
      </c>
    </row>
    <row r="377" spans="1:2" x14ac:dyDescent="0.25">
      <c r="A377">
        <f t="shared" si="18"/>
        <v>31</v>
      </c>
      <c r="B377" t="str">
        <f>"        ""SubCategory"": """&amp;VLOOKUP(A377,TraderCategory!$B$63:$L$546,4,FALSE)&amp;""","</f>
        <v xml:space="preserve">        "SubCategory": "#tc_repairs",</v>
      </c>
    </row>
    <row r="378" spans="1:2" x14ac:dyDescent="0.25">
      <c r="A378">
        <f t="shared" si="18"/>
        <v>31</v>
      </c>
      <c r="B378" t="str">
        <f>"        ""Reputation"": "&amp;VLOOKUP(A378,TraderCategory!$B$63:$L$546,5,FALSE)&amp;","</f>
        <v xml:space="preserve">        "Reputation": 3,</v>
      </c>
    </row>
    <row r="379" spans="1:2" x14ac:dyDescent="0.25">
      <c r="A379">
        <f t="shared" si="18"/>
        <v>31</v>
      </c>
      <c r="B379" t="str">
        <f>"        ""Restock"": "&amp;VLOOKUP(A379,TraderCategory!$B$63:$L$546,6,FALSE)&amp;","</f>
        <v xml:space="preserve">        "Restock": 2,</v>
      </c>
    </row>
    <row r="380" spans="1:2" x14ac:dyDescent="0.25">
      <c r="A380">
        <f t="shared" si="18"/>
        <v>31</v>
      </c>
      <c r="B380" t="str">
        <f>"        ""RestockCap"": "&amp;VLOOKUP(A380,TraderCategory!$B$63:$L$546,7,FALSE)&amp;","</f>
        <v xml:space="preserve">        "RestockCap": 20,</v>
      </c>
    </row>
    <row r="381" spans="1:2" x14ac:dyDescent="0.25">
      <c r="A381">
        <f t="shared" si="18"/>
        <v>31</v>
      </c>
      <c r="B381" t="str">
        <f>"        ""StockCap"": "&amp;VLOOKUP(A381,TraderCategory!$B$63:$L$546,8,FALSE)&amp;","</f>
        <v xml:space="preserve">        "StockCap": 99,</v>
      </c>
    </row>
    <row r="382" spans="1:2" x14ac:dyDescent="0.25">
      <c r="A382">
        <f t="shared" si="18"/>
        <v>31</v>
      </c>
      <c r="B382" t="str">
        <f>"        ""SellingRatioMin"": "&amp;VLOOKUP(A382,TraderCategory!$B$63:$L$546,9,FALSE)&amp;","</f>
        <v xml:space="preserve">        "SellingRatioMin": 0.01,</v>
      </c>
    </row>
    <row r="383" spans="1:2" x14ac:dyDescent="0.25">
      <c r="A383">
        <f t="shared" si="18"/>
        <v>31</v>
      </c>
      <c r="B383" t="str">
        <f>"        ""SellingRatioMax"": "&amp;VLOOKUP(A383,TraderCategory!$B$63:$L$546,10,FALSE)&amp;","</f>
        <v xml:space="preserve">        "SellingRatioMax": 0.05,</v>
      </c>
    </row>
    <row r="384" spans="1:2" x14ac:dyDescent="0.25">
      <c r="A384">
        <f t="shared" si="18"/>
        <v>31</v>
      </c>
      <c r="B384" t="str">
        <f>"        ""BuingRatioMin"": "&amp;VLOOKUP(A384,TraderCategory!$B$63:$L$546,11,FALSE)</f>
        <v xml:space="preserve">        "BuingRatioMin": 0.95</v>
      </c>
    </row>
    <row r="385" spans="1:2" x14ac:dyDescent="0.25">
      <c r="A385">
        <f t="shared" si="18"/>
        <v>31</v>
      </c>
      <c r="B385" t="s">
        <v>2755</v>
      </c>
    </row>
    <row r="386" spans="1:2" x14ac:dyDescent="0.25">
      <c r="A386">
        <f>A374+1</f>
        <v>32</v>
      </c>
      <c r="B386" t="str">
        <f>"    """&amp;A386&amp;""": {"</f>
        <v xml:space="preserve">    "32": {</v>
      </c>
    </row>
    <row r="387" spans="1:2" x14ac:dyDescent="0.25">
      <c r="A387">
        <f t="shared" ref="A387:A397" si="19">A375+1</f>
        <v>32</v>
      </c>
      <c r="B387" t="str">
        <f>"        ""Groups"": """&amp;VLOOKUP(A387,TraderCategory!$B$63:$L$546,2,FALSE)&amp;""","</f>
        <v xml:space="preserve">        "Groups": "#tc_groceries",</v>
      </c>
    </row>
    <row r="388" spans="1:2" x14ac:dyDescent="0.25">
      <c r="A388">
        <f t="shared" si="19"/>
        <v>32</v>
      </c>
      <c r="B388" t="str">
        <f>"        ""Category"": """&amp;VLOOKUP(A388,TraderCategory!$B$63:$L$546,3,FALSE)&amp;""","</f>
        <v xml:space="preserve">        "Category": "#tc_tools",</v>
      </c>
    </row>
    <row r="389" spans="1:2" x14ac:dyDescent="0.25">
      <c r="A389">
        <f t="shared" si="19"/>
        <v>32</v>
      </c>
      <c r="B389" t="str">
        <f>"        ""SubCategory"": """&amp;VLOOKUP(A389,TraderCategory!$B$63:$L$546,4,FALSE)&amp;""","</f>
        <v xml:space="preserve">        "SubCategory": "#tc_crafting",</v>
      </c>
    </row>
    <row r="390" spans="1:2" x14ac:dyDescent="0.25">
      <c r="A390">
        <f t="shared" si="19"/>
        <v>32</v>
      </c>
      <c r="B390" t="str">
        <f>"        ""Reputation"": "&amp;VLOOKUP(A390,TraderCategory!$B$63:$L$546,5,FALSE)&amp;","</f>
        <v xml:space="preserve">        "Reputation": 3,</v>
      </c>
    </row>
    <row r="391" spans="1:2" x14ac:dyDescent="0.25">
      <c r="A391">
        <f t="shared" si="19"/>
        <v>32</v>
      </c>
      <c r="B391" t="str">
        <f>"        ""Restock"": "&amp;VLOOKUP(A391,TraderCategory!$B$63:$L$546,6,FALSE)&amp;","</f>
        <v xml:space="preserve">        "Restock": 2,</v>
      </c>
    </row>
    <row r="392" spans="1:2" x14ac:dyDescent="0.25">
      <c r="A392">
        <f t="shared" si="19"/>
        <v>32</v>
      </c>
      <c r="B392" t="str">
        <f>"        ""RestockCap"": "&amp;VLOOKUP(A392,TraderCategory!$B$63:$L$546,7,FALSE)&amp;","</f>
        <v xml:space="preserve">        "RestockCap": 20,</v>
      </c>
    </row>
    <row r="393" spans="1:2" x14ac:dyDescent="0.25">
      <c r="A393">
        <f t="shared" si="19"/>
        <v>32</v>
      </c>
      <c r="B393" t="str">
        <f>"        ""StockCap"": "&amp;VLOOKUP(A393,TraderCategory!$B$63:$L$546,8,FALSE)&amp;","</f>
        <v xml:space="preserve">        "StockCap": 99,</v>
      </c>
    </row>
    <row r="394" spans="1:2" x14ac:dyDescent="0.25">
      <c r="A394">
        <f t="shared" si="19"/>
        <v>32</v>
      </c>
      <c r="B394" t="str">
        <f>"        ""SellingRatioMin"": "&amp;VLOOKUP(A394,TraderCategory!$B$63:$L$546,9,FALSE)&amp;","</f>
        <v xml:space="preserve">        "SellingRatioMin": 0.01,</v>
      </c>
    </row>
    <row r="395" spans="1:2" x14ac:dyDescent="0.25">
      <c r="A395">
        <f t="shared" si="19"/>
        <v>32</v>
      </c>
      <c r="B395" t="str">
        <f>"        ""SellingRatioMax"": "&amp;VLOOKUP(A395,TraderCategory!$B$63:$L$546,10,FALSE)&amp;","</f>
        <v xml:space="preserve">        "SellingRatioMax": 0.05,</v>
      </c>
    </row>
    <row r="396" spans="1:2" x14ac:dyDescent="0.25">
      <c r="A396">
        <f t="shared" si="19"/>
        <v>32</v>
      </c>
      <c r="B396" t="str">
        <f>"        ""BuingRatioMin"": "&amp;VLOOKUP(A396,TraderCategory!$B$63:$L$546,11,FALSE)</f>
        <v xml:space="preserve">        "BuingRatioMin": 0.95</v>
      </c>
    </row>
    <row r="397" spans="1:2" x14ac:dyDescent="0.25">
      <c r="A397">
        <f t="shared" si="19"/>
        <v>32</v>
      </c>
      <c r="B397" t="s">
        <v>2755</v>
      </c>
    </row>
    <row r="398" spans="1:2" x14ac:dyDescent="0.25">
      <c r="A398">
        <f>A386+1</f>
        <v>33</v>
      </c>
      <c r="B398" t="str">
        <f>"    """&amp;A398&amp;""": {"</f>
        <v xml:space="preserve">    "33": {</v>
      </c>
    </row>
    <row r="399" spans="1:2" x14ac:dyDescent="0.25">
      <c r="A399">
        <f t="shared" ref="A399:A409" si="20">A387+1</f>
        <v>33</v>
      </c>
      <c r="B399" t="str">
        <f>"        ""Groups"": """&amp;VLOOKUP(A399,TraderCategory!$B$63:$L$546,2,FALSE)&amp;""","</f>
        <v xml:space="preserve">        "Groups": "#tc_groceries",</v>
      </c>
    </row>
    <row r="400" spans="1:2" x14ac:dyDescent="0.25">
      <c r="A400">
        <f t="shared" si="20"/>
        <v>33</v>
      </c>
      <c r="B400" t="str">
        <f>"        ""Category"": """&amp;VLOOKUP(A400,TraderCategory!$B$63:$L$546,3,FALSE)&amp;""","</f>
        <v xml:space="preserve">        "Category": "#tc_tools",</v>
      </c>
    </row>
    <row r="401" spans="1:2" x14ac:dyDescent="0.25">
      <c r="A401">
        <f t="shared" si="20"/>
        <v>33</v>
      </c>
      <c r="B401" t="str">
        <f>"        ""SubCategory"": """&amp;VLOOKUP(A401,TraderCategory!$B$63:$L$546,4,FALSE)&amp;""","</f>
        <v xml:space="preserve">        "SubCategory": "#tc_camping",</v>
      </c>
    </row>
    <row r="402" spans="1:2" x14ac:dyDescent="0.25">
      <c r="A402">
        <f t="shared" si="20"/>
        <v>33</v>
      </c>
      <c r="B402" t="str">
        <f>"        ""Reputation"": "&amp;VLOOKUP(A402,TraderCategory!$B$63:$L$546,5,FALSE)&amp;","</f>
        <v xml:space="preserve">        "Reputation": 3,</v>
      </c>
    </row>
    <row r="403" spans="1:2" x14ac:dyDescent="0.25">
      <c r="A403">
        <f t="shared" si="20"/>
        <v>33</v>
      </c>
      <c r="B403" t="str">
        <f>"        ""Restock"": "&amp;VLOOKUP(A403,TraderCategory!$B$63:$L$546,6,FALSE)&amp;","</f>
        <v xml:space="preserve">        "Restock": 2,</v>
      </c>
    </row>
    <row r="404" spans="1:2" x14ac:dyDescent="0.25">
      <c r="A404">
        <f t="shared" si="20"/>
        <v>33</v>
      </c>
      <c r="B404" t="str">
        <f>"        ""RestockCap"": "&amp;VLOOKUP(A404,TraderCategory!$B$63:$L$546,7,FALSE)&amp;","</f>
        <v xml:space="preserve">        "RestockCap": 20,</v>
      </c>
    </row>
    <row r="405" spans="1:2" x14ac:dyDescent="0.25">
      <c r="A405">
        <f t="shared" si="20"/>
        <v>33</v>
      </c>
      <c r="B405" t="str">
        <f>"        ""StockCap"": "&amp;VLOOKUP(A405,TraderCategory!$B$63:$L$546,8,FALSE)&amp;","</f>
        <v xml:space="preserve">        "StockCap": 99,</v>
      </c>
    </row>
    <row r="406" spans="1:2" x14ac:dyDescent="0.25">
      <c r="A406">
        <f t="shared" si="20"/>
        <v>33</v>
      </c>
      <c r="B406" t="str">
        <f>"        ""SellingRatioMin"": "&amp;VLOOKUP(A406,TraderCategory!$B$63:$L$546,9,FALSE)&amp;","</f>
        <v xml:space="preserve">        "SellingRatioMin": 0.01,</v>
      </c>
    </row>
    <row r="407" spans="1:2" x14ac:dyDescent="0.25">
      <c r="A407">
        <f t="shared" si="20"/>
        <v>33</v>
      </c>
      <c r="B407" t="str">
        <f>"        ""SellingRatioMax"": "&amp;VLOOKUP(A407,TraderCategory!$B$63:$L$546,10,FALSE)&amp;","</f>
        <v xml:space="preserve">        "SellingRatioMax": 0.05,</v>
      </c>
    </row>
    <row r="408" spans="1:2" x14ac:dyDescent="0.25">
      <c r="A408">
        <f t="shared" si="20"/>
        <v>33</v>
      </c>
      <c r="B408" t="str">
        <f>"        ""BuingRatioMin"": "&amp;VLOOKUP(A408,TraderCategory!$B$63:$L$546,11,FALSE)</f>
        <v xml:space="preserve">        "BuingRatioMin": 0.95</v>
      </c>
    </row>
    <row r="409" spans="1:2" x14ac:dyDescent="0.25">
      <c r="A409">
        <f t="shared" si="20"/>
        <v>33</v>
      </c>
      <c r="B409" t="s">
        <v>2755</v>
      </c>
    </row>
    <row r="410" spans="1:2" x14ac:dyDescent="0.25">
      <c r="A410">
        <f>A398+1</f>
        <v>34</v>
      </c>
      <c r="B410" t="str">
        <f>"    """&amp;A410&amp;""": {"</f>
        <v xml:space="preserve">    "34": {</v>
      </c>
    </row>
    <row r="411" spans="1:2" x14ac:dyDescent="0.25">
      <c r="A411">
        <f t="shared" ref="A411:A474" si="21">A399+1</f>
        <v>34</v>
      </c>
      <c r="B411" t="str">
        <f>"        ""Groups"": """&amp;VLOOKUP(A411,TraderCategory!$B$63:$L$546,2,FALSE)&amp;""","</f>
        <v xml:space="preserve">        "Groups": "#tc_groceries",</v>
      </c>
    </row>
    <row r="412" spans="1:2" x14ac:dyDescent="0.25">
      <c r="A412">
        <f t="shared" si="21"/>
        <v>34</v>
      </c>
      <c r="B412" t="str">
        <f>"        ""Category"": """&amp;VLOOKUP(A412,TraderCategory!$B$63:$L$546,3,FALSE)&amp;""","</f>
        <v xml:space="preserve">        "Category": "#tc_tools",</v>
      </c>
    </row>
    <row r="413" spans="1:2" x14ac:dyDescent="0.25">
      <c r="A413">
        <f t="shared" si="21"/>
        <v>34</v>
      </c>
      <c r="B413" t="str">
        <f>"        ""SubCategory"": """&amp;VLOOKUP(A413,TraderCategory!$B$63:$L$546,4,FALSE)&amp;""","</f>
        <v xml:space="preserve">        "SubCategory": "#tc_seeds",</v>
      </c>
    </row>
    <row r="414" spans="1:2" x14ac:dyDescent="0.25">
      <c r="A414">
        <f t="shared" si="21"/>
        <v>34</v>
      </c>
      <c r="B414" t="str">
        <f>"        ""Reputation"": "&amp;VLOOKUP(A414,TraderCategory!$B$63:$L$546,5,FALSE)&amp;","</f>
        <v xml:space="preserve">        "Reputation": 3,</v>
      </c>
    </row>
    <row r="415" spans="1:2" x14ac:dyDescent="0.25">
      <c r="A415">
        <f t="shared" si="21"/>
        <v>34</v>
      </c>
      <c r="B415" t="str">
        <f>"        ""Restock"": "&amp;VLOOKUP(A415,TraderCategory!$B$63:$L$546,6,FALSE)&amp;","</f>
        <v xml:space="preserve">        "Restock": 2,</v>
      </c>
    </row>
    <row r="416" spans="1:2" x14ac:dyDescent="0.25">
      <c r="A416">
        <f t="shared" si="21"/>
        <v>34</v>
      </c>
      <c r="B416" t="str">
        <f>"        ""RestockCap"": "&amp;VLOOKUP(A416,TraderCategory!$B$63:$L$546,7,FALSE)&amp;","</f>
        <v xml:space="preserve">        "RestockCap": 20,</v>
      </c>
    </row>
    <row r="417" spans="1:2" x14ac:dyDescent="0.25">
      <c r="A417">
        <f t="shared" si="21"/>
        <v>34</v>
      </c>
      <c r="B417" t="str">
        <f>"        ""StockCap"": "&amp;VLOOKUP(A417,TraderCategory!$B$63:$L$546,8,FALSE)&amp;","</f>
        <v xml:space="preserve">        "StockCap": 99,</v>
      </c>
    </row>
    <row r="418" spans="1:2" x14ac:dyDescent="0.25">
      <c r="A418">
        <f t="shared" si="21"/>
        <v>34</v>
      </c>
      <c r="B418" t="str">
        <f>"        ""SellingRatioMin"": "&amp;VLOOKUP(A418,TraderCategory!$B$63:$L$546,9,FALSE)&amp;","</f>
        <v xml:space="preserve">        "SellingRatioMin": 0.01,</v>
      </c>
    </row>
    <row r="419" spans="1:2" x14ac:dyDescent="0.25">
      <c r="A419">
        <f t="shared" si="21"/>
        <v>34</v>
      </c>
      <c r="B419" t="str">
        <f>"        ""SellingRatioMax"": "&amp;VLOOKUP(A419,TraderCategory!$B$63:$L$546,10,FALSE)&amp;","</f>
        <v xml:space="preserve">        "SellingRatioMax": 0.05,</v>
      </c>
    </row>
    <row r="420" spans="1:2" x14ac:dyDescent="0.25">
      <c r="A420">
        <f t="shared" si="21"/>
        <v>34</v>
      </c>
      <c r="B420" t="str">
        <f>"        ""BuingRatioMin"": "&amp;VLOOKUP(A420,TraderCategory!$B$63:$L$546,11,FALSE)</f>
        <v xml:space="preserve">        "BuingRatioMin": 0.95</v>
      </c>
    </row>
    <row r="421" spans="1:2" x14ac:dyDescent="0.25">
      <c r="A421">
        <f t="shared" si="21"/>
        <v>34</v>
      </c>
      <c r="B421" t="s">
        <v>2755</v>
      </c>
    </row>
    <row r="422" spans="1:2" x14ac:dyDescent="0.25">
      <c r="A422">
        <f>A410+1</f>
        <v>35</v>
      </c>
      <c r="B422" t="str">
        <f>"    """&amp;A422&amp;""": {"</f>
        <v xml:space="preserve">    "35": {</v>
      </c>
    </row>
    <row r="423" spans="1:2" x14ac:dyDescent="0.25">
      <c r="A423">
        <f t="shared" si="21"/>
        <v>35</v>
      </c>
      <c r="B423" t="str">
        <f>"        ""Groups"": """&amp;VLOOKUP(A423,TraderCategory!$B$63:$L$546,2,FALSE)&amp;""","</f>
        <v xml:space="preserve">        "Groups": "#tc_groceries",</v>
      </c>
    </row>
    <row r="424" spans="1:2" x14ac:dyDescent="0.25">
      <c r="A424">
        <f t="shared" si="21"/>
        <v>35</v>
      </c>
      <c r="B424" t="str">
        <f>"        ""Category"": """&amp;VLOOKUP(A424,TraderCategory!$B$63:$L$546,3,FALSE)&amp;""","</f>
        <v xml:space="preserve">        "Category": "#tc_tools",</v>
      </c>
    </row>
    <row r="425" spans="1:2" x14ac:dyDescent="0.25">
      <c r="A425">
        <f t="shared" si="21"/>
        <v>35</v>
      </c>
      <c r="B425" t="str">
        <f>"        ""SubCategory"": """&amp;VLOOKUP(A425,TraderCategory!$B$63:$L$546,4,FALSE)&amp;""","</f>
        <v xml:space="preserve">        "SubCategory": "#tc_toys",</v>
      </c>
    </row>
    <row r="426" spans="1:2" x14ac:dyDescent="0.25">
      <c r="A426">
        <f t="shared" si="21"/>
        <v>35</v>
      </c>
      <c r="B426" t="str">
        <f>"        ""Reputation"": "&amp;VLOOKUP(A426,TraderCategory!$B$63:$L$546,5,FALSE)&amp;","</f>
        <v xml:space="preserve">        "Reputation": 0,</v>
      </c>
    </row>
    <row r="427" spans="1:2" x14ac:dyDescent="0.25">
      <c r="A427">
        <f t="shared" si="21"/>
        <v>35</v>
      </c>
      <c r="B427" t="str">
        <f>"        ""Restock"": "&amp;VLOOKUP(A427,TraderCategory!$B$63:$L$546,6,FALSE)&amp;","</f>
        <v xml:space="preserve">        "Restock": 2,</v>
      </c>
    </row>
    <row r="428" spans="1:2" x14ac:dyDescent="0.25">
      <c r="A428">
        <f t="shared" si="21"/>
        <v>35</v>
      </c>
      <c r="B428" t="str">
        <f>"        ""RestockCap"": "&amp;VLOOKUP(A428,TraderCategory!$B$63:$L$546,7,FALSE)&amp;","</f>
        <v xml:space="preserve">        "RestockCap": 20,</v>
      </c>
    </row>
    <row r="429" spans="1:2" x14ac:dyDescent="0.25">
      <c r="A429">
        <f t="shared" si="21"/>
        <v>35</v>
      </c>
      <c r="B429" t="str">
        <f>"        ""StockCap"": "&amp;VLOOKUP(A429,TraderCategory!$B$63:$L$546,8,FALSE)&amp;","</f>
        <v xml:space="preserve">        "StockCap": 99,</v>
      </c>
    </row>
    <row r="430" spans="1:2" x14ac:dyDescent="0.25">
      <c r="A430">
        <f t="shared" si="21"/>
        <v>35</v>
      </c>
      <c r="B430" t="str">
        <f>"        ""SellingRatioMin"": "&amp;VLOOKUP(A430,TraderCategory!$B$63:$L$546,9,FALSE)&amp;","</f>
        <v xml:space="preserve">        "SellingRatioMin": 0.01,</v>
      </c>
    </row>
    <row r="431" spans="1:2" x14ac:dyDescent="0.25">
      <c r="A431">
        <f t="shared" si="21"/>
        <v>35</v>
      </c>
      <c r="B431" t="str">
        <f>"        ""SellingRatioMax"": "&amp;VLOOKUP(A431,TraderCategory!$B$63:$L$546,10,FALSE)&amp;","</f>
        <v xml:space="preserve">        "SellingRatioMax": 0.05,</v>
      </c>
    </row>
    <row r="432" spans="1:2" x14ac:dyDescent="0.25">
      <c r="A432">
        <f t="shared" si="21"/>
        <v>35</v>
      </c>
      <c r="B432" t="str">
        <f>"        ""BuingRatioMin"": "&amp;VLOOKUP(A432,TraderCategory!$B$63:$L$546,11,FALSE)</f>
        <v xml:space="preserve">        "BuingRatioMin": 0.95</v>
      </c>
    </row>
    <row r="433" spans="1:2" x14ac:dyDescent="0.25">
      <c r="A433">
        <f t="shared" si="21"/>
        <v>35</v>
      </c>
      <c r="B433" t="s">
        <v>2755</v>
      </c>
    </row>
    <row r="434" spans="1:2" x14ac:dyDescent="0.25">
      <c r="A434">
        <f>A422+1</f>
        <v>36</v>
      </c>
      <c r="B434" t="str">
        <f>"    """&amp;A434&amp;""": {"</f>
        <v xml:space="preserve">    "36": {</v>
      </c>
    </row>
    <row r="435" spans="1:2" x14ac:dyDescent="0.25">
      <c r="A435">
        <f t="shared" si="21"/>
        <v>36</v>
      </c>
      <c r="B435" t="str">
        <f>"        ""Groups"": """&amp;VLOOKUP(A435,TraderCategory!$B$63:$L$546,2,FALSE)&amp;""","</f>
        <v xml:space="preserve">        "Groups": "#tc_groceries",</v>
      </c>
    </row>
    <row r="436" spans="1:2" x14ac:dyDescent="0.25">
      <c r="A436">
        <f t="shared" si="21"/>
        <v>36</v>
      </c>
      <c r="B436" t="str">
        <f>"        ""Category"": """&amp;VLOOKUP(A436,TraderCategory!$B$63:$L$546,3,FALSE)&amp;""","</f>
        <v xml:space="preserve">        "Category": "#tc_tools",</v>
      </c>
    </row>
    <row r="437" spans="1:2" x14ac:dyDescent="0.25">
      <c r="A437">
        <f t="shared" si="21"/>
        <v>36</v>
      </c>
      <c r="B437" t="str">
        <f>"        ""SubCategory"": """&amp;VLOOKUP(A437,TraderCategory!$B$63:$L$546,4,FALSE)&amp;""","</f>
        <v xml:space="preserve">        "SubCategory": "#tc_eletronics",</v>
      </c>
    </row>
    <row r="438" spans="1:2" x14ac:dyDescent="0.25">
      <c r="A438">
        <f t="shared" si="21"/>
        <v>36</v>
      </c>
      <c r="B438" t="str">
        <f>"        ""Reputation"": "&amp;VLOOKUP(A438,TraderCategory!$B$63:$L$546,5,FALSE)&amp;","</f>
        <v xml:space="preserve">        "Reputation": 0,</v>
      </c>
    </row>
    <row r="439" spans="1:2" x14ac:dyDescent="0.25">
      <c r="A439">
        <f t="shared" si="21"/>
        <v>36</v>
      </c>
      <c r="B439" t="str">
        <f>"        ""Restock"": "&amp;VLOOKUP(A439,TraderCategory!$B$63:$L$546,6,FALSE)&amp;","</f>
        <v xml:space="preserve">        "Restock": 2,</v>
      </c>
    </row>
    <row r="440" spans="1:2" x14ac:dyDescent="0.25">
      <c r="A440">
        <f t="shared" si="21"/>
        <v>36</v>
      </c>
      <c r="B440" t="str">
        <f>"        ""RestockCap"": "&amp;VLOOKUP(A440,TraderCategory!$B$63:$L$546,7,FALSE)&amp;","</f>
        <v xml:space="preserve">        "RestockCap": 20,</v>
      </c>
    </row>
    <row r="441" spans="1:2" x14ac:dyDescent="0.25">
      <c r="A441">
        <f t="shared" si="21"/>
        <v>36</v>
      </c>
      <c r="B441" t="str">
        <f>"        ""StockCap"": "&amp;VLOOKUP(A441,TraderCategory!$B$63:$L$546,8,FALSE)&amp;","</f>
        <v xml:space="preserve">        "StockCap": 99,</v>
      </c>
    </row>
    <row r="442" spans="1:2" x14ac:dyDescent="0.25">
      <c r="A442">
        <f t="shared" si="21"/>
        <v>36</v>
      </c>
      <c r="B442" t="str">
        <f>"        ""SellingRatioMin"": "&amp;VLOOKUP(A442,TraderCategory!$B$63:$L$546,9,FALSE)&amp;","</f>
        <v xml:space="preserve">        "SellingRatioMin": 0.01,</v>
      </c>
    </row>
    <row r="443" spans="1:2" x14ac:dyDescent="0.25">
      <c r="A443">
        <f t="shared" si="21"/>
        <v>36</v>
      </c>
      <c r="B443" t="str">
        <f>"        ""SellingRatioMax"": "&amp;VLOOKUP(A443,TraderCategory!$B$63:$L$546,10,FALSE)&amp;","</f>
        <v xml:space="preserve">        "SellingRatioMax": 0.05,</v>
      </c>
    </row>
    <row r="444" spans="1:2" x14ac:dyDescent="0.25">
      <c r="A444">
        <f t="shared" si="21"/>
        <v>36</v>
      </c>
      <c r="B444" t="str">
        <f>"        ""BuingRatioMin"": "&amp;VLOOKUP(A444,TraderCategory!$B$63:$L$546,11,FALSE)</f>
        <v xml:space="preserve">        "BuingRatioMin": 0.95</v>
      </c>
    </row>
    <row r="445" spans="1:2" x14ac:dyDescent="0.25">
      <c r="A445">
        <f t="shared" si="21"/>
        <v>36</v>
      </c>
      <c r="B445" t="s">
        <v>2755</v>
      </c>
    </row>
    <row r="446" spans="1:2" x14ac:dyDescent="0.25">
      <c r="A446">
        <f>A434+1</f>
        <v>37</v>
      </c>
      <c r="B446" t="str">
        <f>"    """&amp;A446&amp;""": {"</f>
        <v xml:space="preserve">    "37": {</v>
      </c>
    </row>
    <row r="447" spans="1:2" x14ac:dyDescent="0.25">
      <c r="A447">
        <f t="shared" si="21"/>
        <v>37</v>
      </c>
      <c r="B447" t="str">
        <f>"        ""Groups"": """&amp;VLOOKUP(A447,TraderCategory!$B$63:$L$546,2,FALSE)&amp;""","</f>
        <v xml:space="preserve">        "Groups": "#tc_groceries",</v>
      </c>
    </row>
    <row r="448" spans="1:2" x14ac:dyDescent="0.25">
      <c r="A448">
        <f t="shared" si="21"/>
        <v>37</v>
      </c>
      <c r="B448" t="str">
        <f>"        ""Category"": """&amp;VLOOKUP(A448,TraderCategory!$B$63:$L$546,3,FALSE)&amp;""","</f>
        <v xml:space="preserve">        "Category": "#tc_tools",</v>
      </c>
    </row>
    <row r="449" spans="1:2" x14ac:dyDescent="0.25">
      <c r="A449">
        <f t="shared" si="21"/>
        <v>37</v>
      </c>
      <c r="B449" t="str">
        <f>"        ""SubCategory"": """&amp;VLOOKUP(A449,TraderCategory!$B$63:$L$546,4,FALSE)&amp;""","</f>
        <v xml:space="preserve">        "SubCategory": "#tc_lights",</v>
      </c>
    </row>
    <row r="450" spans="1:2" x14ac:dyDescent="0.25">
      <c r="A450">
        <f t="shared" si="21"/>
        <v>37</v>
      </c>
      <c r="B450" t="str">
        <f>"        ""Reputation"": "&amp;VLOOKUP(A450,TraderCategory!$B$63:$L$546,5,FALSE)&amp;","</f>
        <v xml:space="preserve">        "Reputation": 0,</v>
      </c>
    </row>
    <row r="451" spans="1:2" x14ac:dyDescent="0.25">
      <c r="A451">
        <f t="shared" si="21"/>
        <v>37</v>
      </c>
      <c r="B451" t="str">
        <f>"        ""Restock"": "&amp;VLOOKUP(A451,TraderCategory!$B$63:$L$546,6,FALSE)&amp;","</f>
        <v xml:space="preserve">        "Restock": 2,</v>
      </c>
    </row>
    <row r="452" spans="1:2" x14ac:dyDescent="0.25">
      <c r="A452">
        <f t="shared" si="21"/>
        <v>37</v>
      </c>
      <c r="B452" t="str">
        <f>"        ""RestockCap"": "&amp;VLOOKUP(A452,TraderCategory!$B$63:$L$546,7,FALSE)&amp;","</f>
        <v xml:space="preserve">        "RestockCap": 20,</v>
      </c>
    </row>
    <row r="453" spans="1:2" x14ac:dyDescent="0.25">
      <c r="A453">
        <f t="shared" si="21"/>
        <v>37</v>
      </c>
      <c r="B453" t="str">
        <f>"        ""StockCap"": "&amp;VLOOKUP(A453,TraderCategory!$B$63:$L$546,8,FALSE)&amp;","</f>
        <v xml:space="preserve">        "StockCap": 99,</v>
      </c>
    </row>
    <row r="454" spans="1:2" x14ac:dyDescent="0.25">
      <c r="A454">
        <f t="shared" si="21"/>
        <v>37</v>
      </c>
      <c r="B454" t="str">
        <f>"        ""SellingRatioMin"": "&amp;VLOOKUP(A454,TraderCategory!$B$63:$L$546,9,FALSE)&amp;","</f>
        <v xml:space="preserve">        "SellingRatioMin": 0.01,</v>
      </c>
    </row>
    <row r="455" spans="1:2" x14ac:dyDescent="0.25">
      <c r="A455">
        <f t="shared" si="21"/>
        <v>37</v>
      </c>
      <c r="B455" t="str">
        <f>"        ""SellingRatioMax"": "&amp;VLOOKUP(A455,TraderCategory!$B$63:$L$546,10,FALSE)&amp;","</f>
        <v xml:space="preserve">        "SellingRatioMax": 0.05,</v>
      </c>
    </row>
    <row r="456" spans="1:2" x14ac:dyDescent="0.25">
      <c r="A456">
        <f t="shared" si="21"/>
        <v>37</v>
      </c>
      <c r="B456" t="str">
        <f>"        ""BuingRatioMin"": "&amp;VLOOKUP(A456,TraderCategory!$B$63:$L$546,11,FALSE)</f>
        <v xml:space="preserve">        "BuingRatioMin": 0.95</v>
      </c>
    </row>
    <row r="457" spans="1:2" x14ac:dyDescent="0.25">
      <c r="A457">
        <f t="shared" si="21"/>
        <v>37</v>
      </c>
      <c r="B457" t="s">
        <v>2755</v>
      </c>
    </row>
    <row r="458" spans="1:2" x14ac:dyDescent="0.25">
      <c r="A458">
        <f>A446+1</f>
        <v>38</v>
      </c>
      <c r="B458" t="str">
        <f>"    """&amp;A458&amp;""": {"</f>
        <v xml:space="preserve">    "38": {</v>
      </c>
    </row>
    <row r="459" spans="1:2" x14ac:dyDescent="0.25">
      <c r="A459">
        <f t="shared" si="21"/>
        <v>38</v>
      </c>
      <c r="B459" t="str">
        <f>"        ""Groups"": """&amp;VLOOKUP(A459,TraderCategory!$B$63:$L$546,2,FALSE)&amp;""","</f>
        <v xml:space="preserve">        "Groups": "#tc_groceries",</v>
      </c>
    </row>
    <row r="460" spans="1:2" x14ac:dyDescent="0.25">
      <c r="A460">
        <f t="shared" si="21"/>
        <v>38</v>
      </c>
      <c r="B460" t="str">
        <f>"        ""Category"": """&amp;VLOOKUP(A460,TraderCategory!$B$63:$L$546,3,FALSE)&amp;""","</f>
        <v xml:space="preserve">        "Category": "#tc_tools",</v>
      </c>
    </row>
    <row r="461" spans="1:2" x14ac:dyDescent="0.25">
      <c r="A461">
        <f t="shared" si="21"/>
        <v>38</v>
      </c>
      <c r="B461" t="str">
        <f>"        ""SubCategory"": """&amp;VLOOKUP(A461,TraderCategory!$B$63:$L$546,4,FALSE)&amp;""","</f>
        <v xml:space="preserve">        "SubCategory": "#tc_locks",</v>
      </c>
    </row>
    <row r="462" spans="1:2" x14ac:dyDescent="0.25">
      <c r="A462">
        <f t="shared" si="21"/>
        <v>38</v>
      </c>
      <c r="B462" t="str">
        <f>"        ""Reputation"": "&amp;VLOOKUP(A462,TraderCategory!$B$63:$L$546,5,FALSE)&amp;","</f>
        <v xml:space="preserve">        "Reputation": 3,</v>
      </c>
    </row>
    <row r="463" spans="1:2" x14ac:dyDescent="0.25">
      <c r="A463">
        <f t="shared" si="21"/>
        <v>38</v>
      </c>
      <c r="B463" t="str">
        <f>"        ""Restock"": "&amp;VLOOKUP(A463,TraderCategory!$B$63:$L$546,6,FALSE)&amp;","</f>
        <v xml:space="preserve">        "Restock": 2,</v>
      </c>
    </row>
    <row r="464" spans="1:2" x14ac:dyDescent="0.25">
      <c r="A464">
        <f t="shared" si="21"/>
        <v>38</v>
      </c>
      <c r="B464" t="str">
        <f>"        ""RestockCap"": "&amp;VLOOKUP(A464,TraderCategory!$B$63:$L$546,7,FALSE)&amp;","</f>
        <v xml:space="preserve">        "RestockCap": 20,</v>
      </c>
    </row>
    <row r="465" spans="1:2" x14ac:dyDescent="0.25">
      <c r="A465">
        <f t="shared" si="21"/>
        <v>38</v>
      </c>
      <c r="B465" t="str">
        <f>"        ""StockCap"": "&amp;VLOOKUP(A465,TraderCategory!$B$63:$L$546,8,FALSE)&amp;","</f>
        <v xml:space="preserve">        "StockCap": 99,</v>
      </c>
    </row>
    <row r="466" spans="1:2" x14ac:dyDescent="0.25">
      <c r="A466">
        <f t="shared" si="21"/>
        <v>38</v>
      </c>
      <c r="B466" t="str">
        <f>"        ""SellingRatioMin"": "&amp;VLOOKUP(A466,TraderCategory!$B$63:$L$546,9,FALSE)&amp;","</f>
        <v xml:space="preserve">        "SellingRatioMin": 0.01,</v>
      </c>
    </row>
    <row r="467" spans="1:2" x14ac:dyDescent="0.25">
      <c r="A467">
        <f t="shared" si="21"/>
        <v>38</v>
      </c>
      <c r="B467" t="str">
        <f>"        ""SellingRatioMax"": "&amp;VLOOKUP(A467,TraderCategory!$B$63:$L$546,10,FALSE)&amp;","</f>
        <v xml:space="preserve">        "SellingRatioMax": 0.05,</v>
      </c>
    </row>
    <row r="468" spans="1:2" x14ac:dyDescent="0.25">
      <c r="A468">
        <f t="shared" si="21"/>
        <v>38</v>
      </c>
      <c r="B468" t="str">
        <f>"        ""BuingRatioMin"": "&amp;VLOOKUP(A468,TraderCategory!$B$63:$L$546,11,FALSE)</f>
        <v xml:space="preserve">        "BuingRatioMin": 0.95</v>
      </c>
    </row>
    <row r="469" spans="1:2" x14ac:dyDescent="0.25">
      <c r="A469">
        <f t="shared" si="21"/>
        <v>38</v>
      </c>
      <c r="B469" t="s">
        <v>2755</v>
      </c>
    </row>
    <row r="470" spans="1:2" x14ac:dyDescent="0.25">
      <c r="A470">
        <f>A458+1</f>
        <v>39</v>
      </c>
      <c r="B470" t="str">
        <f>"    """&amp;A470&amp;""": {"</f>
        <v xml:space="preserve">    "39": {</v>
      </c>
    </row>
    <row r="471" spans="1:2" x14ac:dyDescent="0.25">
      <c r="A471">
        <f t="shared" si="21"/>
        <v>39</v>
      </c>
      <c r="B471" t="str">
        <f>"        ""Groups"": """&amp;VLOOKUP(A471,TraderCategory!$B$63:$L$546,2,FALSE)&amp;""","</f>
        <v xml:space="preserve">        "Groups": "#tc_groceries",</v>
      </c>
    </row>
    <row r="472" spans="1:2" x14ac:dyDescent="0.25">
      <c r="A472">
        <f t="shared" si="21"/>
        <v>39</v>
      </c>
      <c r="B472" t="str">
        <f>"        ""Category"": """&amp;VLOOKUP(A472,TraderCategory!$B$63:$L$546,3,FALSE)&amp;""","</f>
        <v xml:space="preserve">        "Category": "#tc_tools",</v>
      </c>
    </row>
    <row r="473" spans="1:2" x14ac:dyDescent="0.25">
      <c r="A473">
        <f t="shared" si="21"/>
        <v>39</v>
      </c>
      <c r="B473" t="str">
        <f>"        ""SubCategory"": """&amp;VLOOKUP(A473,TraderCategory!$B$63:$L$546,4,FALSE)&amp;""","</f>
        <v xml:space="preserve">        "SubCategory": "#tc_materials",</v>
      </c>
    </row>
    <row r="474" spans="1:2" x14ac:dyDescent="0.25">
      <c r="A474">
        <f t="shared" si="21"/>
        <v>39</v>
      </c>
      <c r="B474" t="str">
        <f>"        ""Reputation"": "&amp;VLOOKUP(A474,TraderCategory!$B$63:$L$546,5,FALSE)&amp;","</f>
        <v xml:space="preserve">        "Reputation": 3,</v>
      </c>
    </row>
    <row r="475" spans="1:2" x14ac:dyDescent="0.25">
      <c r="A475">
        <f t="shared" ref="A475:A481" si="22">A463+1</f>
        <v>39</v>
      </c>
      <c r="B475" t="str">
        <f>"        ""Restock"": "&amp;VLOOKUP(A475,TraderCategory!$B$63:$L$546,6,FALSE)&amp;","</f>
        <v xml:space="preserve">        "Restock": 10,</v>
      </c>
    </row>
    <row r="476" spans="1:2" x14ac:dyDescent="0.25">
      <c r="A476">
        <f t="shared" si="22"/>
        <v>39</v>
      </c>
      <c r="B476" t="str">
        <f>"        ""RestockCap"": "&amp;VLOOKUP(A476,TraderCategory!$B$63:$L$546,7,FALSE)&amp;","</f>
        <v xml:space="preserve">        "RestockCap": 99,</v>
      </c>
    </row>
    <row r="477" spans="1:2" x14ac:dyDescent="0.25">
      <c r="A477">
        <f t="shared" si="22"/>
        <v>39</v>
      </c>
      <c r="B477" t="str">
        <f>"        ""StockCap"": "&amp;VLOOKUP(A477,TraderCategory!$B$63:$L$546,8,FALSE)&amp;","</f>
        <v xml:space="preserve">        "StockCap": 999,</v>
      </c>
    </row>
    <row r="478" spans="1:2" x14ac:dyDescent="0.25">
      <c r="A478">
        <f t="shared" si="22"/>
        <v>39</v>
      </c>
      <c r="B478" t="str">
        <f>"        ""SellingRatioMin"": "&amp;VLOOKUP(A478,TraderCategory!$B$63:$L$546,9,FALSE)&amp;","</f>
        <v xml:space="preserve">        "SellingRatioMin": 0.01,</v>
      </c>
    </row>
    <row r="479" spans="1:2" x14ac:dyDescent="0.25">
      <c r="A479">
        <f t="shared" si="22"/>
        <v>39</v>
      </c>
      <c r="B479" t="str">
        <f>"        ""SellingRatioMax"": "&amp;VLOOKUP(A479,TraderCategory!$B$63:$L$546,10,FALSE)&amp;","</f>
        <v xml:space="preserve">        "SellingRatioMax": 0.05,</v>
      </c>
    </row>
    <row r="480" spans="1:2" x14ac:dyDescent="0.25">
      <c r="A480">
        <f t="shared" si="22"/>
        <v>39</v>
      </c>
      <c r="B480" t="str">
        <f>"        ""BuingRatioMin"": "&amp;VLOOKUP(A480,TraderCategory!$B$63:$L$546,11,FALSE)</f>
        <v xml:space="preserve">        "BuingRatioMin": 0.95</v>
      </c>
    </row>
    <row r="481" spans="1:2" x14ac:dyDescent="0.25">
      <c r="A481">
        <f t="shared" si="22"/>
        <v>39</v>
      </c>
      <c r="B481" t="s">
        <v>2755</v>
      </c>
    </row>
    <row r="482" spans="1:2" x14ac:dyDescent="0.25">
      <c r="A482">
        <f>A470+1</f>
        <v>40</v>
      </c>
      <c r="B482" t="str">
        <f>"    """&amp;A482&amp;""": {"</f>
        <v xml:space="preserve">    "40": {</v>
      </c>
    </row>
    <row r="483" spans="1:2" x14ac:dyDescent="0.25">
      <c r="A483">
        <f t="shared" ref="A483:A493" si="23">A471+1</f>
        <v>40</v>
      </c>
      <c r="B483" t="str">
        <f>"        ""Groups"": """&amp;VLOOKUP(A483,TraderCategory!$B$63:$L$546,2,FALSE)&amp;""","</f>
        <v xml:space="preserve">        "Groups": "#tc_groceries",</v>
      </c>
    </row>
    <row r="484" spans="1:2" x14ac:dyDescent="0.25">
      <c r="A484">
        <f t="shared" si="23"/>
        <v>40</v>
      </c>
      <c r="B484" t="str">
        <f>"        ""Category"": """&amp;VLOOKUP(A484,TraderCategory!$B$63:$L$546,3,FALSE)&amp;""","</f>
        <v xml:space="preserve">        "Category": "#tc_tools",</v>
      </c>
    </row>
    <row r="485" spans="1:2" x14ac:dyDescent="0.25">
      <c r="A485">
        <f t="shared" si="23"/>
        <v>40</v>
      </c>
      <c r="B485" t="str">
        <f>"        ""SubCategory"": """&amp;VLOOKUP(A485,TraderCategory!$B$63:$L$546,4,FALSE)&amp;""","</f>
        <v xml:space="preserve">        "SubCategory": "#tc_furnishings",</v>
      </c>
    </row>
    <row r="486" spans="1:2" x14ac:dyDescent="0.25">
      <c r="A486">
        <f t="shared" si="23"/>
        <v>40</v>
      </c>
      <c r="B486" t="str">
        <f>"        ""Reputation"": "&amp;VLOOKUP(A486,TraderCategory!$B$63:$L$546,5,FALSE)&amp;","</f>
        <v xml:space="preserve">        "Reputation": 3,</v>
      </c>
    </row>
    <row r="487" spans="1:2" x14ac:dyDescent="0.25">
      <c r="A487">
        <f t="shared" si="23"/>
        <v>40</v>
      </c>
      <c r="B487" t="str">
        <f>"        ""Restock"": "&amp;VLOOKUP(A487,TraderCategory!$B$63:$L$546,6,FALSE)&amp;","</f>
        <v xml:space="preserve">        "Restock": 2,</v>
      </c>
    </row>
    <row r="488" spans="1:2" x14ac:dyDescent="0.25">
      <c r="A488">
        <f t="shared" si="23"/>
        <v>40</v>
      </c>
      <c r="B488" t="str">
        <f>"        ""RestockCap"": "&amp;VLOOKUP(A488,TraderCategory!$B$63:$L$546,7,FALSE)&amp;","</f>
        <v xml:space="preserve">        "RestockCap": 20,</v>
      </c>
    </row>
    <row r="489" spans="1:2" x14ac:dyDescent="0.25">
      <c r="A489">
        <f t="shared" si="23"/>
        <v>40</v>
      </c>
      <c r="B489" t="str">
        <f>"        ""StockCap"": "&amp;VLOOKUP(A489,TraderCategory!$B$63:$L$546,8,FALSE)&amp;","</f>
        <v xml:space="preserve">        "StockCap": 99,</v>
      </c>
    </row>
    <row r="490" spans="1:2" x14ac:dyDescent="0.25">
      <c r="A490">
        <f t="shared" si="23"/>
        <v>40</v>
      </c>
      <c r="B490" t="str">
        <f>"        ""SellingRatioMin"": "&amp;VLOOKUP(A490,TraderCategory!$B$63:$L$546,9,FALSE)&amp;","</f>
        <v xml:space="preserve">        "SellingRatioMin": 0.01,</v>
      </c>
    </row>
    <row r="491" spans="1:2" x14ac:dyDescent="0.25">
      <c r="A491">
        <f t="shared" si="23"/>
        <v>40</v>
      </c>
      <c r="B491" t="str">
        <f>"        ""SellingRatioMax"": "&amp;VLOOKUP(A491,TraderCategory!$B$63:$L$546,10,FALSE)&amp;","</f>
        <v xml:space="preserve">        "SellingRatioMax": 0.05,</v>
      </c>
    </row>
    <row r="492" spans="1:2" x14ac:dyDescent="0.25">
      <c r="A492">
        <f t="shared" si="23"/>
        <v>40</v>
      </c>
      <c r="B492" t="str">
        <f>"        ""BuingRatioMin"": "&amp;VLOOKUP(A492,TraderCategory!$B$63:$L$546,11,FALSE)</f>
        <v xml:space="preserve">        "BuingRatioMin": 0.95</v>
      </c>
    </row>
    <row r="493" spans="1:2" x14ac:dyDescent="0.25">
      <c r="A493">
        <f t="shared" si="23"/>
        <v>40</v>
      </c>
      <c r="B493" t="s">
        <v>2755</v>
      </c>
    </row>
    <row r="494" spans="1:2" x14ac:dyDescent="0.25">
      <c r="A494">
        <f>A482+1</f>
        <v>41</v>
      </c>
      <c r="B494" t="str">
        <f>"    """&amp;A494&amp;""": {"</f>
        <v xml:space="preserve">    "41": {</v>
      </c>
    </row>
    <row r="495" spans="1:2" x14ac:dyDescent="0.25">
      <c r="A495">
        <f t="shared" ref="A495:A505" si="24">A483+1</f>
        <v>41</v>
      </c>
      <c r="B495" t="str">
        <f>"        ""Groups"": """&amp;VLOOKUP(A495,TraderCategory!$B$63:$L$546,2,FALSE)&amp;""","</f>
        <v xml:space="preserve">        "Groups": "#tc_groceries",</v>
      </c>
    </row>
    <row r="496" spans="1:2" x14ac:dyDescent="0.25">
      <c r="A496">
        <f t="shared" si="24"/>
        <v>41</v>
      </c>
      <c r="B496" t="str">
        <f>"        ""Category"": """&amp;VLOOKUP(A496,TraderCategory!$B$63:$L$546,3,FALSE)&amp;""","</f>
        <v xml:space="preserve">        "Category": "#tc_tools",</v>
      </c>
    </row>
    <row r="497" spans="1:2" x14ac:dyDescent="0.25">
      <c r="A497">
        <f t="shared" si="24"/>
        <v>41</v>
      </c>
      <c r="B497" t="str">
        <f>"        ""SubCategory"": """&amp;VLOOKUP(A497,TraderCategory!$B$63:$L$546,4,FALSE)&amp;""","</f>
        <v xml:space="preserve">        "SubCategory": "#tc_storages",</v>
      </c>
    </row>
    <row r="498" spans="1:2" x14ac:dyDescent="0.25">
      <c r="A498">
        <f t="shared" si="24"/>
        <v>41</v>
      </c>
      <c r="B498" t="str">
        <f>"        ""Reputation"": "&amp;VLOOKUP(A498,TraderCategory!$B$63:$L$546,5,FALSE)&amp;","</f>
        <v xml:space="preserve">        "Reputation": 3,</v>
      </c>
    </row>
    <row r="499" spans="1:2" x14ac:dyDescent="0.25">
      <c r="A499">
        <f t="shared" si="24"/>
        <v>41</v>
      </c>
      <c r="B499" t="str">
        <f>"        ""Restock"": "&amp;VLOOKUP(A499,TraderCategory!$B$63:$L$546,6,FALSE)&amp;","</f>
        <v xml:space="preserve">        "Restock": 2,</v>
      </c>
    </row>
    <row r="500" spans="1:2" x14ac:dyDescent="0.25">
      <c r="A500">
        <f t="shared" si="24"/>
        <v>41</v>
      </c>
      <c r="B500" t="str">
        <f>"        ""RestockCap"": "&amp;VLOOKUP(A500,TraderCategory!$B$63:$L$546,7,FALSE)&amp;","</f>
        <v xml:space="preserve">        "RestockCap": 20,</v>
      </c>
    </row>
    <row r="501" spans="1:2" x14ac:dyDescent="0.25">
      <c r="A501">
        <f t="shared" si="24"/>
        <v>41</v>
      </c>
      <c r="B501" t="str">
        <f>"        ""StockCap"": "&amp;VLOOKUP(A501,TraderCategory!$B$63:$L$546,8,FALSE)&amp;","</f>
        <v xml:space="preserve">        "StockCap": 99,</v>
      </c>
    </row>
    <row r="502" spans="1:2" x14ac:dyDescent="0.25">
      <c r="A502">
        <f t="shared" si="24"/>
        <v>41</v>
      </c>
      <c r="B502" t="str">
        <f>"        ""SellingRatioMin"": "&amp;VLOOKUP(A502,TraderCategory!$B$63:$L$546,9,FALSE)&amp;","</f>
        <v xml:space="preserve">        "SellingRatioMin": 0.01,</v>
      </c>
    </row>
    <row r="503" spans="1:2" x14ac:dyDescent="0.25">
      <c r="A503">
        <f t="shared" si="24"/>
        <v>41</v>
      </c>
      <c r="B503" t="str">
        <f>"        ""SellingRatioMax"": "&amp;VLOOKUP(A503,TraderCategory!$B$63:$L$546,10,FALSE)&amp;","</f>
        <v xml:space="preserve">        "SellingRatioMax": 0.05,</v>
      </c>
    </row>
    <row r="504" spans="1:2" x14ac:dyDescent="0.25">
      <c r="A504">
        <f t="shared" si="24"/>
        <v>41</v>
      </c>
      <c r="B504" t="str">
        <f>"        ""BuingRatioMin"": "&amp;VLOOKUP(A504,TraderCategory!$B$63:$L$546,11,FALSE)</f>
        <v xml:space="preserve">        "BuingRatioMin": 0.95</v>
      </c>
    </row>
    <row r="505" spans="1:2" x14ac:dyDescent="0.25">
      <c r="A505">
        <f t="shared" si="24"/>
        <v>41</v>
      </c>
      <c r="B505" t="s">
        <v>2755</v>
      </c>
    </row>
    <row r="506" spans="1:2" x14ac:dyDescent="0.25">
      <c r="A506">
        <f>A494+1</f>
        <v>42</v>
      </c>
      <c r="B506" t="str">
        <f>"    """&amp;A506&amp;""": {"</f>
        <v xml:space="preserve">    "42": {</v>
      </c>
    </row>
    <row r="507" spans="1:2" x14ac:dyDescent="0.25">
      <c r="A507">
        <f t="shared" ref="A507:A517" si="25">A495+1</f>
        <v>42</v>
      </c>
      <c r="B507" t="str">
        <f>"        ""Groups"": """&amp;VLOOKUP(A507,TraderCategory!$B$63:$L$546,2,FALSE)&amp;""","</f>
        <v xml:space="preserve">        "Groups": "#tc_military",</v>
      </c>
    </row>
    <row r="508" spans="1:2" x14ac:dyDescent="0.25">
      <c r="A508">
        <f t="shared" si="25"/>
        <v>42</v>
      </c>
      <c r="B508" t="str">
        <f>"        ""Category"": """&amp;VLOOKUP(A508,TraderCategory!$B$63:$L$546,3,FALSE)&amp;""","</f>
        <v xml:space="preserve">        "Category": "#tc_ammo",</v>
      </c>
    </row>
    <row r="509" spans="1:2" x14ac:dyDescent="0.25">
      <c r="A509">
        <f t="shared" si="25"/>
        <v>42</v>
      </c>
      <c r="B509" t="str">
        <f>"        ""SubCategory"": """&amp;VLOOKUP(A509,TraderCategory!$B$63:$L$546,4,FALSE)&amp;""","</f>
        <v xml:space="preserve">        "SubCategory": "#tc_pistols",</v>
      </c>
    </row>
    <row r="510" spans="1:2" x14ac:dyDescent="0.25">
      <c r="A510">
        <f t="shared" si="25"/>
        <v>42</v>
      </c>
      <c r="B510" t="str">
        <f>"        ""Reputation"": "&amp;VLOOKUP(A510,TraderCategory!$B$63:$L$546,5,FALSE)&amp;","</f>
        <v xml:space="preserve">        "Reputation": 0,</v>
      </c>
    </row>
    <row r="511" spans="1:2" x14ac:dyDescent="0.25">
      <c r="A511">
        <f t="shared" si="25"/>
        <v>42</v>
      </c>
      <c r="B511" t="str">
        <f>"        ""Restock"": "&amp;VLOOKUP(A511,TraderCategory!$B$63:$L$546,6,FALSE)&amp;","</f>
        <v xml:space="preserve">        "Restock": 2,</v>
      </c>
    </row>
    <row r="512" spans="1:2" x14ac:dyDescent="0.25">
      <c r="A512">
        <f t="shared" si="25"/>
        <v>42</v>
      </c>
      <c r="B512" t="str">
        <f>"        ""RestockCap"": "&amp;VLOOKUP(A512,TraderCategory!$B$63:$L$546,7,FALSE)&amp;","</f>
        <v xml:space="preserve">        "RestockCap": 10,</v>
      </c>
    </row>
    <row r="513" spans="1:2" x14ac:dyDescent="0.25">
      <c r="A513">
        <f t="shared" si="25"/>
        <v>42</v>
      </c>
      <c r="B513" t="str">
        <f>"        ""StockCap"": "&amp;VLOOKUP(A513,TraderCategory!$B$63:$L$546,8,FALSE)&amp;","</f>
        <v xml:space="preserve">        "StockCap": 99,</v>
      </c>
    </row>
    <row r="514" spans="1:2" x14ac:dyDescent="0.25">
      <c r="A514">
        <f t="shared" si="25"/>
        <v>42</v>
      </c>
      <c r="B514" t="str">
        <f>"        ""SellingRatioMin"": "&amp;VLOOKUP(A514,TraderCategory!$B$63:$L$546,9,FALSE)&amp;","</f>
        <v xml:space="preserve">        "SellingRatioMin": 0.05,</v>
      </c>
    </row>
    <row r="515" spans="1:2" x14ac:dyDescent="0.25">
      <c r="A515">
        <f t="shared" si="25"/>
        <v>42</v>
      </c>
      <c r="B515" t="str">
        <f>"        ""SellingRatioMax"": "&amp;VLOOKUP(A515,TraderCategory!$B$63:$L$546,10,FALSE)&amp;","</f>
        <v xml:space="preserve">        "SellingRatioMax": 0.1,</v>
      </c>
    </row>
    <row r="516" spans="1:2" x14ac:dyDescent="0.25">
      <c r="A516">
        <f t="shared" si="25"/>
        <v>42</v>
      </c>
      <c r="B516" t="str">
        <f>"        ""BuingRatioMin"": "&amp;VLOOKUP(A516,TraderCategory!$B$63:$L$546,11,FALSE)</f>
        <v xml:space="preserve">        "BuingRatioMin": 0.95</v>
      </c>
    </row>
    <row r="517" spans="1:2" x14ac:dyDescent="0.25">
      <c r="A517">
        <f t="shared" si="25"/>
        <v>42</v>
      </c>
      <c r="B517" t="s">
        <v>2755</v>
      </c>
    </row>
    <row r="518" spans="1:2" x14ac:dyDescent="0.25">
      <c r="A518">
        <f>A506+1</f>
        <v>43</v>
      </c>
      <c r="B518" t="str">
        <f>"    """&amp;A518&amp;""": {"</f>
        <v xml:space="preserve">    "43": {</v>
      </c>
    </row>
    <row r="519" spans="1:2" x14ac:dyDescent="0.25">
      <c r="A519">
        <f t="shared" ref="A519:A529" si="26">A507+1</f>
        <v>43</v>
      </c>
      <c r="B519" t="str">
        <f>"        ""Groups"": """&amp;VLOOKUP(A519,TraderCategory!$B$63:$L$546,2,FALSE)&amp;""","</f>
        <v xml:space="preserve">        "Groups": "#tc_military",</v>
      </c>
    </row>
    <row r="520" spans="1:2" x14ac:dyDescent="0.25">
      <c r="A520">
        <f t="shared" si="26"/>
        <v>43</v>
      </c>
      <c r="B520" t="str">
        <f>"        ""Category"": """&amp;VLOOKUP(A520,TraderCategory!$B$63:$L$546,3,FALSE)&amp;""","</f>
        <v xml:space="preserve">        "Category": "#tc_ammo",</v>
      </c>
    </row>
    <row r="521" spans="1:2" x14ac:dyDescent="0.25">
      <c r="A521">
        <f t="shared" si="26"/>
        <v>43</v>
      </c>
      <c r="B521" t="str">
        <f>"        ""SubCategory"": """&amp;VLOOKUP(A521,TraderCategory!$B$63:$L$546,4,FALSE)&amp;""","</f>
        <v xml:space="preserve">        "SubCategory": "#tc_shotguns",</v>
      </c>
    </row>
    <row r="522" spans="1:2" x14ac:dyDescent="0.25">
      <c r="A522">
        <f t="shared" si="26"/>
        <v>43</v>
      </c>
      <c r="B522" t="str">
        <f>"        ""Reputation"": "&amp;VLOOKUP(A522,TraderCategory!$B$63:$L$546,5,FALSE)&amp;","</f>
        <v xml:space="preserve">        "Reputation": 3,</v>
      </c>
    </row>
    <row r="523" spans="1:2" x14ac:dyDescent="0.25">
      <c r="A523">
        <f t="shared" si="26"/>
        <v>43</v>
      </c>
      <c r="B523" t="str">
        <f>"        ""Restock"": "&amp;VLOOKUP(A523,TraderCategory!$B$63:$L$546,6,FALSE)&amp;","</f>
        <v xml:space="preserve">        "Restock": 2,</v>
      </c>
    </row>
    <row r="524" spans="1:2" x14ac:dyDescent="0.25">
      <c r="A524">
        <f t="shared" si="26"/>
        <v>43</v>
      </c>
      <c r="B524" t="str">
        <f>"        ""RestockCap"": "&amp;VLOOKUP(A524,TraderCategory!$B$63:$L$546,7,FALSE)&amp;","</f>
        <v xml:space="preserve">        "RestockCap": 10,</v>
      </c>
    </row>
    <row r="525" spans="1:2" x14ac:dyDescent="0.25">
      <c r="A525">
        <f t="shared" si="26"/>
        <v>43</v>
      </c>
      <c r="B525" t="str">
        <f>"        ""StockCap"": "&amp;VLOOKUP(A525,TraderCategory!$B$63:$L$546,8,FALSE)&amp;","</f>
        <v xml:space="preserve">        "StockCap": 99,</v>
      </c>
    </row>
    <row r="526" spans="1:2" x14ac:dyDescent="0.25">
      <c r="A526">
        <f t="shared" si="26"/>
        <v>43</v>
      </c>
      <c r="B526" t="str">
        <f>"        ""SellingRatioMin"": "&amp;VLOOKUP(A526,TraderCategory!$B$63:$L$546,9,FALSE)&amp;","</f>
        <v xml:space="preserve">        "SellingRatioMin": 0.05,</v>
      </c>
    </row>
    <row r="527" spans="1:2" x14ac:dyDescent="0.25">
      <c r="A527">
        <f t="shared" si="26"/>
        <v>43</v>
      </c>
      <c r="B527" t="str">
        <f>"        ""SellingRatioMax"": "&amp;VLOOKUP(A527,TraderCategory!$B$63:$L$546,10,FALSE)&amp;","</f>
        <v xml:space="preserve">        "SellingRatioMax": 0.1,</v>
      </c>
    </row>
    <row r="528" spans="1:2" x14ac:dyDescent="0.25">
      <c r="A528">
        <f t="shared" si="26"/>
        <v>43</v>
      </c>
      <c r="B528" t="str">
        <f>"        ""BuingRatioMin"": "&amp;VLOOKUP(A528,TraderCategory!$B$63:$L$546,11,FALSE)</f>
        <v xml:space="preserve">        "BuingRatioMin": 0.95</v>
      </c>
    </row>
    <row r="529" spans="1:2" x14ac:dyDescent="0.25">
      <c r="A529">
        <f t="shared" si="26"/>
        <v>43</v>
      </c>
      <c r="B529" t="s">
        <v>2755</v>
      </c>
    </row>
    <row r="530" spans="1:2" x14ac:dyDescent="0.25">
      <c r="A530">
        <f>A518+1</f>
        <v>44</v>
      </c>
      <c r="B530" t="str">
        <f>"    """&amp;A530&amp;""": {"</f>
        <v xml:space="preserve">    "44": {</v>
      </c>
    </row>
    <row r="531" spans="1:2" x14ac:dyDescent="0.25">
      <c r="A531">
        <f t="shared" ref="A531:A541" si="27">A519+1</f>
        <v>44</v>
      </c>
      <c r="B531" t="str">
        <f>"        ""Groups"": """&amp;VLOOKUP(A531,TraderCategory!$B$63:$L$546,2,FALSE)&amp;""","</f>
        <v xml:space="preserve">        "Groups": "#tc_military",</v>
      </c>
    </row>
    <row r="532" spans="1:2" x14ac:dyDescent="0.25">
      <c r="A532">
        <f t="shared" si="27"/>
        <v>44</v>
      </c>
      <c r="B532" t="str">
        <f>"        ""Category"": """&amp;VLOOKUP(A532,TraderCategory!$B$63:$L$546,3,FALSE)&amp;""","</f>
        <v xml:space="preserve">        "Category": "#tc_ammo",</v>
      </c>
    </row>
    <row r="533" spans="1:2" x14ac:dyDescent="0.25">
      <c r="A533">
        <f t="shared" si="27"/>
        <v>44</v>
      </c>
      <c r="B533" t="str">
        <f>"        ""SubCategory"": """&amp;VLOOKUP(A533,TraderCategory!$B$63:$L$546,4,FALSE)&amp;""","</f>
        <v xml:space="preserve">        "SubCategory": "#tc_rifles",</v>
      </c>
    </row>
    <row r="534" spans="1:2" x14ac:dyDescent="0.25">
      <c r="A534">
        <f t="shared" si="27"/>
        <v>44</v>
      </c>
      <c r="B534" t="str">
        <f>"        ""Reputation"": "&amp;VLOOKUP(A534,TraderCategory!$B$63:$L$546,5,FALSE)&amp;","</f>
        <v xml:space="preserve">        "Reputation": 9,</v>
      </c>
    </row>
    <row r="535" spans="1:2" x14ac:dyDescent="0.25">
      <c r="A535">
        <f t="shared" si="27"/>
        <v>44</v>
      </c>
      <c r="B535" t="str">
        <f>"        ""Restock"": "&amp;VLOOKUP(A535,TraderCategory!$B$63:$L$546,6,FALSE)&amp;","</f>
        <v xml:space="preserve">        "Restock": 2,</v>
      </c>
    </row>
    <row r="536" spans="1:2" x14ac:dyDescent="0.25">
      <c r="A536">
        <f t="shared" si="27"/>
        <v>44</v>
      </c>
      <c r="B536" t="str">
        <f>"        ""RestockCap"": "&amp;VLOOKUP(A536,TraderCategory!$B$63:$L$546,7,FALSE)&amp;","</f>
        <v xml:space="preserve">        "RestockCap": 10,</v>
      </c>
    </row>
    <row r="537" spans="1:2" x14ac:dyDescent="0.25">
      <c r="A537">
        <f t="shared" si="27"/>
        <v>44</v>
      </c>
      <c r="B537" t="str">
        <f>"        ""StockCap"": "&amp;VLOOKUP(A537,TraderCategory!$B$63:$L$546,8,FALSE)&amp;","</f>
        <v xml:space="preserve">        "StockCap": 99,</v>
      </c>
    </row>
    <row r="538" spans="1:2" x14ac:dyDescent="0.25">
      <c r="A538">
        <f t="shared" si="27"/>
        <v>44</v>
      </c>
      <c r="B538" t="str">
        <f>"        ""SellingRatioMin"": "&amp;VLOOKUP(A538,TraderCategory!$B$63:$L$546,9,FALSE)&amp;","</f>
        <v xml:space="preserve">        "SellingRatioMin": 0.05,</v>
      </c>
    </row>
    <row r="539" spans="1:2" x14ac:dyDescent="0.25">
      <c r="A539">
        <f t="shared" si="27"/>
        <v>44</v>
      </c>
      <c r="B539" t="str">
        <f>"        ""SellingRatioMax"": "&amp;VLOOKUP(A539,TraderCategory!$B$63:$L$546,10,FALSE)&amp;","</f>
        <v xml:space="preserve">        "SellingRatioMax": 0.1,</v>
      </c>
    </row>
    <row r="540" spans="1:2" x14ac:dyDescent="0.25">
      <c r="A540">
        <f t="shared" si="27"/>
        <v>44</v>
      </c>
      <c r="B540" t="str">
        <f>"        ""BuingRatioMin"": "&amp;VLOOKUP(A540,TraderCategory!$B$63:$L$546,11,FALSE)</f>
        <v xml:space="preserve">        "BuingRatioMin": 0.95</v>
      </c>
    </row>
    <row r="541" spans="1:2" x14ac:dyDescent="0.25">
      <c r="A541">
        <f t="shared" si="27"/>
        <v>44</v>
      </c>
      <c r="B541" t="s">
        <v>2755</v>
      </c>
    </row>
    <row r="542" spans="1:2" x14ac:dyDescent="0.25">
      <c r="A542">
        <f>A530+1</f>
        <v>45</v>
      </c>
      <c r="B542" t="str">
        <f>"    """&amp;A542&amp;""": {"</f>
        <v xml:space="preserve">    "45": {</v>
      </c>
    </row>
    <row r="543" spans="1:2" x14ac:dyDescent="0.25">
      <c r="A543">
        <f t="shared" ref="A543:A606" si="28">A531+1</f>
        <v>45</v>
      </c>
      <c r="B543" t="str">
        <f>"        ""Groups"": """&amp;VLOOKUP(A543,TraderCategory!$B$63:$L$546,2,FALSE)&amp;""","</f>
        <v xml:space="preserve">        "Groups": "#tc_military",</v>
      </c>
    </row>
    <row r="544" spans="1:2" x14ac:dyDescent="0.25">
      <c r="A544">
        <f t="shared" si="28"/>
        <v>45</v>
      </c>
      <c r="B544" t="str">
        <f>"        ""Category"": """&amp;VLOOKUP(A544,TraderCategory!$B$63:$L$546,3,FALSE)&amp;""","</f>
        <v xml:space="preserve">        "Category": "#tc_ammo",</v>
      </c>
    </row>
    <row r="545" spans="1:2" x14ac:dyDescent="0.25">
      <c r="A545">
        <f t="shared" si="28"/>
        <v>45</v>
      </c>
      <c r="B545" t="str">
        <f>"        ""SubCategory"": """&amp;VLOOKUP(A545,TraderCategory!$B$63:$L$546,4,FALSE)&amp;""","</f>
        <v xml:space="preserve">        "SubCategory": "#tc_snipers",</v>
      </c>
    </row>
    <row r="546" spans="1:2" x14ac:dyDescent="0.25">
      <c r="A546">
        <f t="shared" si="28"/>
        <v>45</v>
      </c>
      <c r="B546" t="str">
        <f>"        ""Reputation"": "&amp;VLOOKUP(A546,TraderCategory!$B$63:$L$546,5,FALSE)&amp;","</f>
        <v xml:space="preserve">        "Reputation": 12,</v>
      </c>
    </row>
    <row r="547" spans="1:2" x14ac:dyDescent="0.25">
      <c r="A547">
        <f t="shared" si="28"/>
        <v>45</v>
      </c>
      <c r="B547" t="str">
        <f>"        ""Restock"": "&amp;VLOOKUP(A547,TraderCategory!$B$63:$L$546,6,FALSE)&amp;","</f>
        <v xml:space="preserve">        "Restock": 2,</v>
      </c>
    </row>
    <row r="548" spans="1:2" x14ac:dyDescent="0.25">
      <c r="A548">
        <f t="shared" si="28"/>
        <v>45</v>
      </c>
      <c r="B548" t="str">
        <f>"        ""RestockCap"": "&amp;VLOOKUP(A548,TraderCategory!$B$63:$L$546,7,FALSE)&amp;","</f>
        <v xml:space="preserve">        "RestockCap": 10,</v>
      </c>
    </row>
    <row r="549" spans="1:2" x14ac:dyDescent="0.25">
      <c r="A549">
        <f t="shared" si="28"/>
        <v>45</v>
      </c>
      <c r="B549" t="str">
        <f>"        ""StockCap"": "&amp;VLOOKUP(A549,TraderCategory!$B$63:$L$546,8,FALSE)&amp;","</f>
        <v xml:space="preserve">        "StockCap": 99,</v>
      </c>
    </row>
    <row r="550" spans="1:2" x14ac:dyDescent="0.25">
      <c r="A550">
        <f t="shared" si="28"/>
        <v>45</v>
      </c>
      <c r="B550" t="str">
        <f>"        ""SellingRatioMin"": "&amp;VLOOKUP(A550,TraderCategory!$B$63:$L$546,9,FALSE)&amp;","</f>
        <v xml:space="preserve">        "SellingRatioMin": 0.05,</v>
      </c>
    </row>
    <row r="551" spans="1:2" x14ac:dyDescent="0.25">
      <c r="A551">
        <f t="shared" si="28"/>
        <v>45</v>
      </c>
      <c r="B551" t="str">
        <f>"        ""SellingRatioMax"": "&amp;VLOOKUP(A551,TraderCategory!$B$63:$L$546,10,FALSE)&amp;","</f>
        <v xml:space="preserve">        "SellingRatioMax": 0.1,</v>
      </c>
    </row>
    <row r="552" spans="1:2" x14ac:dyDescent="0.25">
      <c r="A552">
        <f t="shared" si="28"/>
        <v>45</v>
      </c>
      <c r="B552" t="str">
        <f>"        ""BuingRatioMin"": "&amp;VLOOKUP(A552,TraderCategory!$B$63:$L$546,11,FALSE)</f>
        <v xml:space="preserve">        "BuingRatioMin": 0.95</v>
      </c>
    </row>
    <row r="553" spans="1:2" x14ac:dyDescent="0.25">
      <c r="A553">
        <f t="shared" si="28"/>
        <v>45</v>
      </c>
      <c r="B553" t="s">
        <v>2755</v>
      </c>
    </row>
    <row r="554" spans="1:2" x14ac:dyDescent="0.25">
      <c r="A554">
        <f>A542+1</f>
        <v>46</v>
      </c>
      <c r="B554" t="str">
        <f>"    """&amp;A554&amp;""": {"</f>
        <v xml:space="preserve">    "46": {</v>
      </c>
    </row>
    <row r="555" spans="1:2" x14ac:dyDescent="0.25">
      <c r="A555">
        <f t="shared" si="28"/>
        <v>46</v>
      </c>
      <c r="B555" t="str">
        <f>"        ""Groups"": """&amp;VLOOKUP(A555,TraderCategory!$B$63:$L$546,2,FALSE)&amp;""","</f>
        <v xml:space="preserve">        "Groups": "#tc_military",</v>
      </c>
    </row>
    <row r="556" spans="1:2" x14ac:dyDescent="0.25">
      <c r="A556">
        <f t="shared" si="28"/>
        <v>46</v>
      </c>
      <c r="B556" t="str">
        <f>"        ""Category"": """&amp;VLOOKUP(A556,TraderCategory!$B$63:$L$546,3,FALSE)&amp;""","</f>
        <v xml:space="preserve">        "Category": "#tc_ammo",</v>
      </c>
    </row>
    <row r="557" spans="1:2" x14ac:dyDescent="0.25">
      <c r="A557">
        <f t="shared" si="28"/>
        <v>46</v>
      </c>
      <c r="B557" t="str">
        <f>"        ""SubCategory"": """&amp;VLOOKUP(A557,TraderCategory!$B$63:$L$546,4,FALSE)&amp;""","</f>
        <v xml:space="preserve">        "SubCategory": "#tc_grenade",</v>
      </c>
    </row>
    <row r="558" spans="1:2" x14ac:dyDescent="0.25">
      <c r="A558">
        <f t="shared" si="28"/>
        <v>46</v>
      </c>
      <c r="B558" t="str">
        <f>"        ""Reputation"": "&amp;VLOOKUP(A558,TraderCategory!$B$63:$L$546,5,FALSE)&amp;","</f>
        <v xml:space="preserve">        "Reputation": 3,</v>
      </c>
    </row>
    <row r="559" spans="1:2" x14ac:dyDescent="0.25">
      <c r="A559">
        <f t="shared" si="28"/>
        <v>46</v>
      </c>
      <c r="B559" t="str">
        <f>"        ""Restock"": "&amp;VLOOKUP(A559,TraderCategory!$B$63:$L$546,6,FALSE)&amp;","</f>
        <v xml:space="preserve">        "Restock": 2,</v>
      </c>
    </row>
    <row r="560" spans="1:2" x14ac:dyDescent="0.25">
      <c r="A560">
        <f t="shared" si="28"/>
        <v>46</v>
      </c>
      <c r="B560" t="str">
        <f>"        ""RestockCap"": "&amp;VLOOKUP(A560,TraderCategory!$B$63:$L$546,7,FALSE)&amp;","</f>
        <v xml:space="preserve">        "RestockCap": 10,</v>
      </c>
    </row>
    <row r="561" spans="1:2" x14ac:dyDescent="0.25">
      <c r="A561">
        <f t="shared" si="28"/>
        <v>46</v>
      </c>
      <c r="B561" t="str">
        <f>"        ""StockCap"": "&amp;VLOOKUP(A561,TraderCategory!$B$63:$L$546,8,FALSE)&amp;","</f>
        <v xml:space="preserve">        "StockCap": 99,</v>
      </c>
    </row>
    <row r="562" spans="1:2" x14ac:dyDescent="0.25">
      <c r="A562">
        <f t="shared" si="28"/>
        <v>46</v>
      </c>
      <c r="B562" t="str">
        <f>"        ""SellingRatioMin"": "&amp;VLOOKUP(A562,TraderCategory!$B$63:$L$546,9,FALSE)&amp;","</f>
        <v xml:space="preserve">        "SellingRatioMin": 0.05,</v>
      </c>
    </row>
    <row r="563" spans="1:2" x14ac:dyDescent="0.25">
      <c r="A563">
        <f t="shared" si="28"/>
        <v>46</v>
      </c>
      <c r="B563" t="str">
        <f>"        ""SellingRatioMax"": "&amp;VLOOKUP(A563,TraderCategory!$B$63:$L$546,10,FALSE)&amp;","</f>
        <v xml:space="preserve">        "SellingRatioMax": 0.1,</v>
      </c>
    </row>
    <row r="564" spans="1:2" x14ac:dyDescent="0.25">
      <c r="A564">
        <f t="shared" si="28"/>
        <v>46</v>
      </c>
      <c r="B564" t="str">
        <f>"        ""BuingRatioMin"": "&amp;VLOOKUP(A564,TraderCategory!$B$63:$L$546,11,FALSE)</f>
        <v xml:space="preserve">        "BuingRatioMin": 0.95</v>
      </c>
    </row>
    <row r="565" spans="1:2" x14ac:dyDescent="0.25">
      <c r="A565">
        <f t="shared" si="28"/>
        <v>46</v>
      </c>
      <c r="B565" t="s">
        <v>2755</v>
      </c>
    </row>
    <row r="566" spans="1:2" x14ac:dyDescent="0.25">
      <c r="A566">
        <f>A554+1</f>
        <v>47</v>
      </c>
      <c r="B566" t="str">
        <f>"    """&amp;A566&amp;""": {"</f>
        <v xml:space="preserve">    "47": {</v>
      </c>
    </row>
    <row r="567" spans="1:2" x14ac:dyDescent="0.25">
      <c r="A567">
        <f t="shared" si="28"/>
        <v>47</v>
      </c>
      <c r="B567" t="str">
        <f>"        ""Groups"": """&amp;VLOOKUP(A567,TraderCategory!$B$63:$L$546,2,FALSE)&amp;""","</f>
        <v xml:space="preserve">        "Groups": "#tc_military",</v>
      </c>
    </row>
    <row r="568" spans="1:2" x14ac:dyDescent="0.25">
      <c r="A568">
        <f t="shared" si="28"/>
        <v>47</v>
      </c>
      <c r="B568" t="str">
        <f>"        ""Category"": """&amp;VLOOKUP(A568,TraderCategory!$B$63:$L$546,3,FALSE)&amp;""","</f>
        <v xml:space="preserve">        "Category": "#tc_ammo",</v>
      </c>
    </row>
    <row r="569" spans="1:2" x14ac:dyDescent="0.25">
      <c r="A569">
        <f t="shared" si="28"/>
        <v>47</v>
      </c>
      <c r="B569" t="str">
        <f>"        ""SubCategory"": """&amp;VLOOKUP(A569,TraderCategory!$B$63:$L$546,4,FALSE)&amp;""","</f>
        <v xml:space="preserve">        "SubCategory": "#tc_mines",</v>
      </c>
    </row>
    <row r="570" spans="1:2" x14ac:dyDescent="0.25">
      <c r="A570">
        <f t="shared" si="28"/>
        <v>47</v>
      </c>
      <c r="B570" t="str">
        <f>"        ""Reputation"": "&amp;VLOOKUP(A570,TraderCategory!$B$63:$L$546,5,FALSE)&amp;","</f>
        <v xml:space="preserve">        "Reputation": 3,</v>
      </c>
    </row>
    <row r="571" spans="1:2" x14ac:dyDescent="0.25">
      <c r="A571">
        <f t="shared" si="28"/>
        <v>47</v>
      </c>
      <c r="B571" t="str">
        <f>"        ""Restock"": "&amp;VLOOKUP(A571,TraderCategory!$B$63:$L$546,6,FALSE)&amp;","</f>
        <v xml:space="preserve">        "Restock": 2,</v>
      </c>
    </row>
    <row r="572" spans="1:2" x14ac:dyDescent="0.25">
      <c r="A572">
        <f t="shared" si="28"/>
        <v>47</v>
      </c>
      <c r="B572" t="str">
        <f>"        ""RestockCap"": "&amp;VLOOKUP(A572,TraderCategory!$B$63:$L$546,7,FALSE)&amp;","</f>
        <v xml:space="preserve">        "RestockCap": 10,</v>
      </c>
    </row>
    <row r="573" spans="1:2" x14ac:dyDescent="0.25">
      <c r="A573">
        <f t="shared" si="28"/>
        <v>47</v>
      </c>
      <c r="B573" t="str">
        <f>"        ""StockCap"": "&amp;VLOOKUP(A573,TraderCategory!$B$63:$L$546,8,FALSE)&amp;","</f>
        <v xml:space="preserve">        "StockCap": 99,</v>
      </c>
    </row>
    <row r="574" spans="1:2" x14ac:dyDescent="0.25">
      <c r="A574">
        <f t="shared" si="28"/>
        <v>47</v>
      </c>
      <c r="B574" t="str">
        <f>"        ""SellingRatioMin"": "&amp;VLOOKUP(A574,TraderCategory!$B$63:$L$546,9,FALSE)&amp;","</f>
        <v xml:space="preserve">        "SellingRatioMin": 0.05,</v>
      </c>
    </row>
    <row r="575" spans="1:2" x14ac:dyDescent="0.25">
      <c r="A575">
        <f t="shared" si="28"/>
        <v>47</v>
      </c>
      <c r="B575" t="str">
        <f>"        ""SellingRatioMax"": "&amp;VLOOKUP(A575,TraderCategory!$B$63:$L$546,10,FALSE)&amp;","</f>
        <v xml:space="preserve">        "SellingRatioMax": 0.1,</v>
      </c>
    </row>
    <row r="576" spans="1:2" x14ac:dyDescent="0.25">
      <c r="A576">
        <f t="shared" si="28"/>
        <v>47</v>
      </c>
      <c r="B576" t="str">
        <f>"        ""BuingRatioMin"": "&amp;VLOOKUP(A576,TraderCategory!$B$63:$L$546,11,FALSE)</f>
        <v xml:space="preserve">        "BuingRatioMin": 0.95</v>
      </c>
    </row>
    <row r="577" spans="1:2" x14ac:dyDescent="0.25">
      <c r="A577">
        <f t="shared" si="28"/>
        <v>47</v>
      </c>
      <c r="B577" t="s">
        <v>2755</v>
      </c>
    </row>
    <row r="578" spans="1:2" x14ac:dyDescent="0.25">
      <c r="A578">
        <f>A566+1</f>
        <v>48</v>
      </c>
      <c r="B578" t="str">
        <f>"    """&amp;A578&amp;""": {"</f>
        <v xml:space="preserve">    "48": {</v>
      </c>
    </row>
    <row r="579" spans="1:2" x14ac:dyDescent="0.25">
      <c r="A579">
        <f t="shared" si="28"/>
        <v>48</v>
      </c>
      <c r="B579" t="str">
        <f>"        ""Groups"": """&amp;VLOOKUP(A579,TraderCategory!$B$63:$L$546,2,FALSE)&amp;""","</f>
        <v xml:space="preserve">        "Groups": "#tc_military",</v>
      </c>
    </row>
    <row r="580" spans="1:2" x14ac:dyDescent="0.25">
      <c r="A580">
        <f t="shared" si="28"/>
        <v>48</v>
      </c>
      <c r="B580" t="str">
        <f>"        ""Category"": """&amp;VLOOKUP(A580,TraderCategory!$B$63:$L$546,3,FALSE)&amp;""","</f>
        <v xml:space="preserve">        "Category": "#tc_attachments",</v>
      </c>
    </row>
    <row r="581" spans="1:2" x14ac:dyDescent="0.25">
      <c r="A581">
        <f t="shared" si="28"/>
        <v>48</v>
      </c>
      <c r="B581" t="str">
        <f>"        ""SubCategory"": """&amp;VLOOKUP(A581,TraderCategory!$B$63:$L$546,4,FALSE)&amp;""","</f>
        <v xml:space="preserve">        "SubCategory": "#tc_attachments",</v>
      </c>
    </row>
    <row r="582" spans="1:2" x14ac:dyDescent="0.25">
      <c r="A582">
        <f t="shared" si="28"/>
        <v>48</v>
      </c>
      <c r="B582" t="str">
        <f>"        ""Reputation"": "&amp;VLOOKUP(A582,TraderCategory!$B$63:$L$546,5,FALSE)&amp;","</f>
        <v xml:space="preserve">        "Reputation": 0,</v>
      </c>
    </row>
    <row r="583" spans="1:2" x14ac:dyDescent="0.25">
      <c r="A583">
        <f t="shared" si="28"/>
        <v>48</v>
      </c>
      <c r="B583" t="str">
        <f>"        ""Restock"": "&amp;VLOOKUP(A583,TraderCategory!$B$63:$L$546,6,FALSE)&amp;","</f>
        <v xml:space="preserve">        "Restock": 2,</v>
      </c>
    </row>
    <row r="584" spans="1:2" x14ac:dyDescent="0.25">
      <c r="A584">
        <f t="shared" si="28"/>
        <v>48</v>
      </c>
      <c r="B584" t="str">
        <f>"        ""RestockCap"": "&amp;VLOOKUP(A584,TraderCategory!$B$63:$L$546,7,FALSE)&amp;","</f>
        <v xml:space="preserve">        "RestockCap": 20,</v>
      </c>
    </row>
    <row r="585" spans="1:2" x14ac:dyDescent="0.25">
      <c r="A585">
        <f t="shared" si="28"/>
        <v>48</v>
      </c>
      <c r="B585" t="str">
        <f>"        ""StockCap"": "&amp;VLOOKUP(A585,TraderCategory!$B$63:$L$546,8,FALSE)&amp;","</f>
        <v xml:space="preserve">        "StockCap": 99,</v>
      </c>
    </row>
    <row r="586" spans="1:2" x14ac:dyDescent="0.25">
      <c r="A586">
        <f t="shared" si="28"/>
        <v>48</v>
      </c>
      <c r="B586" t="str">
        <f>"        ""SellingRatioMin"": "&amp;VLOOKUP(A586,TraderCategory!$B$63:$L$546,9,FALSE)&amp;","</f>
        <v xml:space="preserve">        "SellingRatioMin": 0.01,</v>
      </c>
    </row>
    <row r="587" spans="1:2" x14ac:dyDescent="0.25">
      <c r="A587">
        <f t="shared" si="28"/>
        <v>48</v>
      </c>
      <c r="B587" t="str">
        <f>"        ""SellingRatioMax"": "&amp;VLOOKUP(A587,TraderCategory!$B$63:$L$546,10,FALSE)&amp;","</f>
        <v xml:space="preserve">        "SellingRatioMax": 0.05,</v>
      </c>
    </row>
    <row r="588" spans="1:2" x14ac:dyDescent="0.25">
      <c r="A588">
        <f t="shared" si="28"/>
        <v>48</v>
      </c>
      <c r="B588" t="str">
        <f>"        ""BuingRatioMin"": "&amp;VLOOKUP(A588,TraderCategory!$B$63:$L$546,11,FALSE)</f>
        <v xml:space="preserve">        "BuingRatioMin": 0.95</v>
      </c>
    </row>
    <row r="589" spans="1:2" x14ac:dyDescent="0.25">
      <c r="A589">
        <f t="shared" si="28"/>
        <v>48</v>
      </c>
      <c r="B589" t="s">
        <v>2755</v>
      </c>
    </row>
    <row r="590" spans="1:2" x14ac:dyDescent="0.25">
      <c r="A590">
        <f>A578+1</f>
        <v>49</v>
      </c>
      <c r="B590" t="str">
        <f>"    """&amp;A590&amp;""": {"</f>
        <v xml:space="preserve">    "49": {</v>
      </c>
    </row>
    <row r="591" spans="1:2" x14ac:dyDescent="0.25">
      <c r="A591">
        <f t="shared" si="28"/>
        <v>49</v>
      </c>
      <c r="B591" t="str">
        <f>"        ""Groups"": """&amp;VLOOKUP(A591,TraderCategory!$B$63:$L$546,2,FALSE)&amp;""","</f>
        <v xml:space="preserve">        "Groups": "#tc_military",</v>
      </c>
    </row>
    <row r="592" spans="1:2" x14ac:dyDescent="0.25">
      <c r="A592">
        <f t="shared" si="28"/>
        <v>49</v>
      </c>
      <c r="B592" t="str">
        <f>"        ""Category"": """&amp;VLOOKUP(A592,TraderCategory!$B$63:$L$546,3,FALSE)&amp;""","</f>
        <v xml:space="preserve">        "Category": "#tc_attachments",</v>
      </c>
    </row>
    <row r="593" spans="1:2" x14ac:dyDescent="0.25">
      <c r="A593">
        <f t="shared" si="28"/>
        <v>49</v>
      </c>
      <c r="B593" t="str">
        <f>"        ""SubCategory"": """&amp;VLOOKUP(A593,TraderCategory!$B$63:$L$546,4,FALSE)&amp;""","</f>
        <v xml:space="preserve">        "SubCategory": "#tc_bayonets",</v>
      </c>
    </row>
    <row r="594" spans="1:2" x14ac:dyDescent="0.25">
      <c r="A594">
        <f t="shared" si="28"/>
        <v>49</v>
      </c>
      <c r="B594" t="str">
        <f>"        ""Reputation"": "&amp;VLOOKUP(A594,TraderCategory!$B$63:$L$546,5,FALSE)&amp;","</f>
        <v xml:space="preserve">        "Reputation": 1,</v>
      </c>
    </row>
    <row r="595" spans="1:2" x14ac:dyDescent="0.25">
      <c r="A595">
        <f t="shared" si="28"/>
        <v>49</v>
      </c>
      <c r="B595" t="str">
        <f>"        ""Restock"": "&amp;VLOOKUP(A595,TraderCategory!$B$63:$L$546,6,FALSE)&amp;","</f>
        <v xml:space="preserve">        "Restock": 2,</v>
      </c>
    </row>
    <row r="596" spans="1:2" x14ac:dyDescent="0.25">
      <c r="A596">
        <f t="shared" si="28"/>
        <v>49</v>
      </c>
      <c r="B596" t="str">
        <f>"        ""RestockCap"": "&amp;VLOOKUP(A596,TraderCategory!$B$63:$L$546,7,FALSE)&amp;","</f>
        <v xml:space="preserve">        "RestockCap": 20,</v>
      </c>
    </row>
    <row r="597" spans="1:2" x14ac:dyDescent="0.25">
      <c r="A597">
        <f t="shared" si="28"/>
        <v>49</v>
      </c>
      <c r="B597" t="str">
        <f>"        ""StockCap"": "&amp;VLOOKUP(A597,TraderCategory!$B$63:$L$546,8,FALSE)&amp;","</f>
        <v xml:space="preserve">        "StockCap": 99,</v>
      </c>
    </row>
    <row r="598" spans="1:2" x14ac:dyDescent="0.25">
      <c r="A598">
        <f t="shared" si="28"/>
        <v>49</v>
      </c>
      <c r="B598" t="str">
        <f>"        ""SellingRatioMin"": "&amp;VLOOKUP(A598,TraderCategory!$B$63:$L$546,9,FALSE)&amp;","</f>
        <v xml:space="preserve">        "SellingRatioMin": 0.01,</v>
      </c>
    </row>
    <row r="599" spans="1:2" x14ac:dyDescent="0.25">
      <c r="A599">
        <f t="shared" si="28"/>
        <v>49</v>
      </c>
      <c r="B599" t="str">
        <f>"        ""SellingRatioMax"": "&amp;VLOOKUP(A599,TraderCategory!$B$63:$L$546,10,FALSE)&amp;","</f>
        <v xml:space="preserve">        "SellingRatioMax": 0.05,</v>
      </c>
    </row>
    <row r="600" spans="1:2" x14ac:dyDescent="0.25">
      <c r="A600">
        <f t="shared" si="28"/>
        <v>49</v>
      </c>
      <c r="B600" t="str">
        <f>"        ""BuingRatioMin"": "&amp;VLOOKUP(A600,TraderCategory!$B$63:$L$546,11,FALSE)</f>
        <v xml:space="preserve">        "BuingRatioMin": 0.95</v>
      </c>
    </row>
    <row r="601" spans="1:2" x14ac:dyDescent="0.25">
      <c r="A601">
        <f t="shared" si="28"/>
        <v>49</v>
      </c>
      <c r="B601" t="s">
        <v>2755</v>
      </c>
    </row>
    <row r="602" spans="1:2" x14ac:dyDescent="0.25">
      <c r="A602">
        <f>A590+1</f>
        <v>50</v>
      </c>
      <c r="B602" t="str">
        <f>"    """&amp;A602&amp;""": {"</f>
        <v xml:space="preserve">    "50": {</v>
      </c>
    </row>
    <row r="603" spans="1:2" x14ac:dyDescent="0.25">
      <c r="A603">
        <f t="shared" si="28"/>
        <v>50</v>
      </c>
      <c r="B603" t="str">
        <f>"        ""Groups"": """&amp;VLOOKUP(A603,TraderCategory!$B$63:$L$546,2,FALSE)&amp;""","</f>
        <v xml:space="preserve">        "Groups": "#tc_military",</v>
      </c>
    </row>
    <row r="604" spans="1:2" x14ac:dyDescent="0.25">
      <c r="A604">
        <f t="shared" si="28"/>
        <v>50</v>
      </c>
      <c r="B604" t="str">
        <f>"        ""Category"": """&amp;VLOOKUP(A604,TraderCategory!$B$63:$L$546,3,FALSE)&amp;""","</f>
        <v xml:space="preserve">        "Category": "#tc_attachments",</v>
      </c>
    </row>
    <row r="605" spans="1:2" x14ac:dyDescent="0.25">
      <c r="A605">
        <f t="shared" si="28"/>
        <v>50</v>
      </c>
      <c r="B605" t="str">
        <f>"        ""SubCategory"": """&amp;VLOOKUP(A605,TraderCategory!$B$63:$L$546,4,FALSE)&amp;""","</f>
        <v xml:space="preserve">        "SubCategory": "#tc_optic",</v>
      </c>
    </row>
    <row r="606" spans="1:2" x14ac:dyDescent="0.25">
      <c r="A606">
        <f t="shared" si="28"/>
        <v>50</v>
      </c>
      <c r="B606" t="str">
        <f>"        ""Reputation"": "&amp;VLOOKUP(A606,TraderCategory!$B$63:$L$546,5,FALSE)&amp;","</f>
        <v xml:space="preserve">        "Reputation": 10,</v>
      </c>
    </row>
    <row r="607" spans="1:2" x14ac:dyDescent="0.25">
      <c r="A607">
        <f t="shared" ref="A607:A613" si="29">A595+1</f>
        <v>50</v>
      </c>
      <c r="B607" t="str">
        <f>"        ""Restock"": "&amp;VLOOKUP(A607,TraderCategory!$B$63:$L$546,6,FALSE)&amp;","</f>
        <v xml:space="preserve">        "Restock": 2,</v>
      </c>
    </row>
    <row r="608" spans="1:2" x14ac:dyDescent="0.25">
      <c r="A608">
        <f t="shared" si="29"/>
        <v>50</v>
      </c>
      <c r="B608" t="str">
        <f>"        ""RestockCap"": "&amp;VLOOKUP(A608,TraderCategory!$B$63:$L$546,7,FALSE)&amp;","</f>
        <v xml:space="preserve">        "RestockCap": 10,</v>
      </c>
    </row>
    <row r="609" spans="1:2" x14ac:dyDescent="0.25">
      <c r="A609">
        <f t="shared" si="29"/>
        <v>50</v>
      </c>
      <c r="B609" t="str">
        <f>"        ""StockCap"": "&amp;VLOOKUP(A609,TraderCategory!$B$63:$L$546,8,FALSE)&amp;","</f>
        <v xml:space="preserve">        "StockCap": 99,</v>
      </c>
    </row>
    <row r="610" spans="1:2" x14ac:dyDescent="0.25">
      <c r="A610">
        <f t="shared" si="29"/>
        <v>50</v>
      </c>
      <c r="B610" t="str">
        <f>"        ""SellingRatioMin"": "&amp;VLOOKUP(A610,TraderCategory!$B$63:$L$546,9,FALSE)&amp;","</f>
        <v xml:space="preserve">        "SellingRatioMin": 0.05,</v>
      </c>
    </row>
    <row r="611" spans="1:2" x14ac:dyDescent="0.25">
      <c r="A611">
        <f t="shared" si="29"/>
        <v>50</v>
      </c>
      <c r="B611" t="str">
        <f>"        ""SellingRatioMax"": "&amp;VLOOKUP(A611,TraderCategory!$B$63:$L$546,10,FALSE)&amp;","</f>
        <v xml:space="preserve">        "SellingRatioMax": 0.1,</v>
      </c>
    </row>
    <row r="612" spans="1:2" x14ac:dyDescent="0.25">
      <c r="A612">
        <f t="shared" si="29"/>
        <v>50</v>
      </c>
      <c r="B612" t="str">
        <f>"        ""BuingRatioMin"": "&amp;VLOOKUP(A612,TraderCategory!$B$63:$L$546,11,FALSE)</f>
        <v xml:space="preserve">        "BuingRatioMin": 0.95</v>
      </c>
    </row>
    <row r="613" spans="1:2" x14ac:dyDescent="0.25">
      <c r="A613">
        <f t="shared" si="29"/>
        <v>50</v>
      </c>
      <c r="B613" t="s">
        <v>2755</v>
      </c>
    </row>
    <row r="614" spans="1:2" x14ac:dyDescent="0.25">
      <c r="A614">
        <f>A602+1</f>
        <v>51</v>
      </c>
      <c r="B614" t="str">
        <f>"    """&amp;A614&amp;""": {"</f>
        <v xml:space="preserve">    "51": {</v>
      </c>
    </row>
    <row r="615" spans="1:2" x14ac:dyDescent="0.25">
      <c r="A615">
        <f t="shared" ref="A615:A625" si="30">A603+1</f>
        <v>51</v>
      </c>
      <c r="B615" t="str">
        <f>"        ""Groups"": """&amp;VLOOKUP(A615,TraderCategory!$B$63:$L$546,2,FALSE)&amp;""","</f>
        <v xml:space="preserve">        "Groups": "#tc_military",</v>
      </c>
    </row>
    <row r="616" spans="1:2" x14ac:dyDescent="0.25">
      <c r="A616">
        <f t="shared" si="30"/>
        <v>51</v>
      </c>
      <c r="B616" t="str">
        <f>"        ""Category"": """&amp;VLOOKUP(A616,TraderCategory!$B$63:$L$546,3,FALSE)&amp;""","</f>
        <v xml:space="preserve">        "Category": "#tc_attachments",</v>
      </c>
    </row>
    <row r="617" spans="1:2" x14ac:dyDescent="0.25">
      <c r="A617">
        <f t="shared" si="30"/>
        <v>51</v>
      </c>
      <c r="B617" t="str">
        <f>"        ""SubCategory"": """&amp;VLOOKUP(A617,TraderCategory!$B$63:$L$546,4,FALSE)&amp;""","</f>
        <v xml:space="preserve">        "SubCategory": "#tc_nvoptic",</v>
      </c>
    </row>
    <row r="618" spans="1:2" x14ac:dyDescent="0.25">
      <c r="A618">
        <f t="shared" si="30"/>
        <v>51</v>
      </c>
      <c r="B618" t="str">
        <f>"        ""Reputation"": "&amp;VLOOKUP(A618,TraderCategory!$B$63:$L$546,5,FALSE)&amp;","</f>
        <v xml:space="preserve">        "Reputation": 12,</v>
      </c>
    </row>
    <row r="619" spans="1:2" x14ac:dyDescent="0.25">
      <c r="A619">
        <f t="shared" si="30"/>
        <v>51</v>
      </c>
      <c r="B619" t="str">
        <f>"        ""Restock"": "&amp;VLOOKUP(A619,TraderCategory!$B$63:$L$546,6,FALSE)&amp;","</f>
        <v xml:space="preserve">        "Restock": 2,</v>
      </c>
    </row>
    <row r="620" spans="1:2" x14ac:dyDescent="0.25">
      <c r="A620">
        <f t="shared" si="30"/>
        <v>51</v>
      </c>
      <c r="B620" t="str">
        <f>"        ""RestockCap"": "&amp;VLOOKUP(A620,TraderCategory!$B$63:$L$546,7,FALSE)&amp;","</f>
        <v xml:space="preserve">        "RestockCap": 10,</v>
      </c>
    </row>
    <row r="621" spans="1:2" x14ac:dyDescent="0.25">
      <c r="A621">
        <f t="shared" si="30"/>
        <v>51</v>
      </c>
      <c r="B621" t="str">
        <f>"        ""StockCap"": "&amp;VLOOKUP(A621,TraderCategory!$B$63:$L$546,8,FALSE)&amp;","</f>
        <v xml:space="preserve">        "StockCap": 99,</v>
      </c>
    </row>
    <row r="622" spans="1:2" x14ac:dyDescent="0.25">
      <c r="A622">
        <f t="shared" si="30"/>
        <v>51</v>
      </c>
      <c r="B622" t="str">
        <f>"        ""SellingRatioMin"": "&amp;VLOOKUP(A622,TraderCategory!$B$63:$L$546,9,FALSE)&amp;","</f>
        <v xml:space="preserve">        "SellingRatioMin": 0.05,</v>
      </c>
    </row>
    <row r="623" spans="1:2" x14ac:dyDescent="0.25">
      <c r="A623">
        <f t="shared" si="30"/>
        <v>51</v>
      </c>
      <c r="B623" t="str">
        <f>"        ""SellingRatioMax"": "&amp;VLOOKUP(A623,TraderCategory!$B$63:$L$546,10,FALSE)&amp;","</f>
        <v xml:space="preserve">        "SellingRatioMax": 0.1,</v>
      </c>
    </row>
    <row r="624" spans="1:2" x14ac:dyDescent="0.25">
      <c r="A624">
        <f t="shared" si="30"/>
        <v>51</v>
      </c>
      <c r="B624" t="str">
        <f>"        ""BuingRatioMin"": "&amp;VLOOKUP(A624,TraderCategory!$B$63:$L$546,11,FALSE)</f>
        <v xml:space="preserve">        "BuingRatioMin": 0.95</v>
      </c>
    </row>
    <row r="625" spans="1:2" x14ac:dyDescent="0.25">
      <c r="A625">
        <f t="shared" si="30"/>
        <v>51</v>
      </c>
      <c r="B625" t="s">
        <v>2755</v>
      </c>
    </row>
    <row r="626" spans="1:2" x14ac:dyDescent="0.25">
      <c r="A626">
        <f>A614+1</f>
        <v>52</v>
      </c>
      <c r="B626" t="str">
        <f>"    """&amp;A626&amp;""": {"</f>
        <v xml:space="preserve">    "52": {</v>
      </c>
    </row>
    <row r="627" spans="1:2" x14ac:dyDescent="0.25">
      <c r="A627">
        <f t="shared" ref="A627:A637" si="31">A615+1</f>
        <v>52</v>
      </c>
      <c r="B627" t="str">
        <f>"        ""Groups"": """&amp;VLOOKUP(A627,TraderCategory!$B$63:$L$546,2,FALSE)&amp;""","</f>
        <v xml:space="preserve">        "Groups": "#tc_military",</v>
      </c>
    </row>
    <row r="628" spans="1:2" x14ac:dyDescent="0.25">
      <c r="A628">
        <f t="shared" si="31"/>
        <v>52</v>
      </c>
      <c r="B628" t="str">
        <f>"        ""Category"": """&amp;VLOOKUP(A628,TraderCategory!$B$63:$L$546,3,FALSE)&amp;""","</f>
        <v xml:space="preserve">        "Category": "#tc_attachments",</v>
      </c>
    </row>
    <row r="629" spans="1:2" x14ac:dyDescent="0.25">
      <c r="A629">
        <f t="shared" si="31"/>
        <v>52</v>
      </c>
      <c r="B629" t="str">
        <f>"        ""SubCategory"": """&amp;VLOOKUP(A629,TraderCategory!$B$63:$L$546,4,FALSE)&amp;""","</f>
        <v xml:space="preserve">        "SubCategory": "#tc_suppressors",</v>
      </c>
    </row>
    <row r="630" spans="1:2" x14ac:dyDescent="0.25">
      <c r="A630">
        <f t="shared" si="31"/>
        <v>52</v>
      </c>
      <c r="B630" t="str">
        <f>"        ""Reputation"": "&amp;VLOOKUP(A630,TraderCategory!$B$63:$L$546,5,FALSE)&amp;","</f>
        <v xml:space="preserve">        "Reputation": 10,</v>
      </c>
    </row>
    <row r="631" spans="1:2" x14ac:dyDescent="0.25">
      <c r="A631">
        <f t="shared" si="31"/>
        <v>52</v>
      </c>
      <c r="B631" t="str">
        <f>"        ""Restock"": "&amp;VLOOKUP(A631,TraderCategory!$B$63:$L$546,6,FALSE)&amp;","</f>
        <v xml:space="preserve">        "Restock": 2,</v>
      </c>
    </row>
    <row r="632" spans="1:2" x14ac:dyDescent="0.25">
      <c r="A632">
        <f t="shared" si="31"/>
        <v>52</v>
      </c>
      <c r="B632" t="str">
        <f>"        ""RestockCap"": "&amp;VLOOKUP(A632,TraderCategory!$B$63:$L$546,7,FALSE)&amp;","</f>
        <v xml:space="preserve">        "RestockCap": 10,</v>
      </c>
    </row>
    <row r="633" spans="1:2" x14ac:dyDescent="0.25">
      <c r="A633">
        <f t="shared" si="31"/>
        <v>52</v>
      </c>
      <c r="B633" t="str">
        <f>"        ""StockCap"": "&amp;VLOOKUP(A633,TraderCategory!$B$63:$L$546,8,FALSE)&amp;","</f>
        <v xml:space="preserve">        "StockCap": 99,</v>
      </c>
    </row>
    <row r="634" spans="1:2" x14ac:dyDescent="0.25">
      <c r="A634">
        <f t="shared" si="31"/>
        <v>52</v>
      </c>
      <c r="B634" t="str">
        <f>"        ""SellingRatioMin"": "&amp;VLOOKUP(A634,TraderCategory!$B$63:$L$546,9,FALSE)&amp;","</f>
        <v xml:space="preserve">        "SellingRatioMin": 0.05,</v>
      </c>
    </row>
    <row r="635" spans="1:2" x14ac:dyDescent="0.25">
      <c r="A635">
        <f t="shared" si="31"/>
        <v>52</v>
      </c>
      <c r="B635" t="str">
        <f>"        ""SellingRatioMax"": "&amp;VLOOKUP(A635,TraderCategory!$B$63:$L$546,10,FALSE)&amp;","</f>
        <v xml:space="preserve">        "SellingRatioMax": 0.1,</v>
      </c>
    </row>
    <row r="636" spans="1:2" x14ac:dyDescent="0.25">
      <c r="A636">
        <f t="shared" si="31"/>
        <v>52</v>
      </c>
      <c r="B636" t="str">
        <f>"        ""BuingRatioMin"": "&amp;VLOOKUP(A636,TraderCategory!$B$63:$L$546,11,FALSE)</f>
        <v xml:space="preserve">        "BuingRatioMin": 0.95</v>
      </c>
    </row>
    <row r="637" spans="1:2" x14ac:dyDescent="0.25">
      <c r="A637">
        <f t="shared" si="31"/>
        <v>52</v>
      </c>
      <c r="B637" t="s">
        <v>2755</v>
      </c>
    </row>
    <row r="638" spans="1:2" x14ac:dyDescent="0.25">
      <c r="A638">
        <f>A626+1</f>
        <v>53</v>
      </c>
      <c r="B638" t="str">
        <f>"    """&amp;A638&amp;""": {"</f>
        <v xml:space="preserve">    "53": {</v>
      </c>
    </row>
    <row r="639" spans="1:2" x14ac:dyDescent="0.25">
      <c r="A639">
        <f t="shared" ref="A639:A649" si="32">A627+1</f>
        <v>53</v>
      </c>
      <c r="B639" t="str">
        <f>"        ""Groups"": """&amp;VLOOKUP(A639,TraderCategory!$B$63:$L$546,2,FALSE)&amp;""","</f>
        <v xml:space="preserve">        "Groups": "#tc_military",</v>
      </c>
    </row>
    <row r="640" spans="1:2" x14ac:dyDescent="0.25">
      <c r="A640">
        <f t="shared" si="32"/>
        <v>53</v>
      </c>
      <c r="B640" t="str">
        <f>"        ""Category"": """&amp;VLOOKUP(A640,TraderCategory!$B$63:$L$546,3,FALSE)&amp;""","</f>
        <v xml:space="preserve">        "Category": "#tc_magazines",</v>
      </c>
    </row>
    <row r="641" spans="1:2" x14ac:dyDescent="0.25">
      <c r="A641">
        <f t="shared" si="32"/>
        <v>53</v>
      </c>
      <c r="B641" t="str">
        <f>"        ""SubCategory"": """&amp;VLOOKUP(A641,TraderCategory!$B$63:$L$546,4,FALSE)&amp;""","</f>
        <v xml:space="preserve">        "SubCategory": "#tc_pistols",</v>
      </c>
    </row>
    <row r="642" spans="1:2" x14ac:dyDescent="0.25">
      <c r="A642">
        <f t="shared" si="32"/>
        <v>53</v>
      </c>
      <c r="B642" t="str">
        <f>"        ""Reputation"": "&amp;VLOOKUP(A642,TraderCategory!$B$63:$L$546,5,FALSE)&amp;","</f>
        <v xml:space="preserve">        "Reputation": 0,</v>
      </c>
    </row>
    <row r="643" spans="1:2" x14ac:dyDescent="0.25">
      <c r="A643">
        <f t="shared" si="32"/>
        <v>53</v>
      </c>
      <c r="B643" t="str">
        <f>"        ""Restock"": "&amp;VLOOKUP(A643,TraderCategory!$B$63:$L$546,6,FALSE)&amp;","</f>
        <v xml:space="preserve">        "Restock": 2,</v>
      </c>
    </row>
    <row r="644" spans="1:2" x14ac:dyDescent="0.25">
      <c r="A644">
        <f t="shared" si="32"/>
        <v>53</v>
      </c>
      <c r="B644" t="str">
        <f>"        ""RestockCap"": "&amp;VLOOKUP(A644,TraderCategory!$B$63:$L$546,7,FALSE)&amp;","</f>
        <v xml:space="preserve">        "RestockCap": 10,</v>
      </c>
    </row>
    <row r="645" spans="1:2" x14ac:dyDescent="0.25">
      <c r="A645">
        <f t="shared" si="32"/>
        <v>53</v>
      </c>
      <c r="B645" t="str">
        <f>"        ""StockCap"": "&amp;VLOOKUP(A645,TraderCategory!$B$63:$L$546,8,FALSE)&amp;","</f>
        <v xml:space="preserve">        "StockCap": 99,</v>
      </c>
    </row>
    <row r="646" spans="1:2" x14ac:dyDescent="0.25">
      <c r="A646">
        <f t="shared" si="32"/>
        <v>53</v>
      </c>
      <c r="B646" t="str">
        <f>"        ""SellingRatioMin"": "&amp;VLOOKUP(A646,TraderCategory!$B$63:$L$546,9,FALSE)&amp;","</f>
        <v xml:space="preserve">        "SellingRatioMin": 0.05,</v>
      </c>
    </row>
    <row r="647" spans="1:2" x14ac:dyDescent="0.25">
      <c r="A647">
        <f t="shared" si="32"/>
        <v>53</v>
      </c>
      <c r="B647" t="str">
        <f>"        ""SellingRatioMax"": "&amp;VLOOKUP(A647,TraderCategory!$B$63:$L$546,10,FALSE)&amp;","</f>
        <v xml:space="preserve">        "SellingRatioMax": 0.1,</v>
      </c>
    </row>
    <row r="648" spans="1:2" x14ac:dyDescent="0.25">
      <c r="A648">
        <f t="shared" si="32"/>
        <v>53</v>
      </c>
      <c r="B648" t="str">
        <f>"        ""BuingRatioMin"": "&amp;VLOOKUP(A648,TraderCategory!$B$63:$L$546,11,FALSE)</f>
        <v xml:space="preserve">        "BuingRatioMin": 0.95</v>
      </c>
    </row>
    <row r="649" spans="1:2" x14ac:dyDescent="0.25">
      <c r="A649">
        <f t="shared" si="32"/>
        <v>53</v>
      </c>
      <c r="B649" t="s">
        <v>2755</v>
      </c>
    </row>
    <row r="650" spans="1:2" x14ac:dyDescent="0.25">
      <c r="A650">
        <f>A638+1</f>
        <v>54</v>
      </c>
      <c r="B650" t="str">
        <f>"    """&amp;A650&amp;""": {"</f>
        <v xml:space="preserve">    "54": {</v>
      </c>
    </row>
    <row r="651" spans="1:2" x14ac:dyDescent="0.25">
      <c r="A651">
        <f t="shared" ref="A651:A661" si="33">A639+1</f>
        <v>54</v>
      </c>
      <c r="B651" t="str">
        <f>"        ""Groups"": """&amp;VLOOKUP(A651,TraderCategory!$B$63:$L$546,2,FALSE)&amp;""","</f>
        <v xml:space="preserve">        "Groups": "#tc_military",</v>
      </c>
    </row>
    <row r="652" spans="1:2" x14ac:dyDescent="0.25">
      <c r="A652">
        <f t="shared" si="33"/>
        <v>54</v>
      </c>
      <c r="B652" t="str">
        <f>"        ""Category"": """&amp;VLOOKUP(A652,TraderCategory!$B$63:$L$546,3,FALSE)&amp;""","</f>
        <v xml:space="preserve">        "Category": "#tc_magazines",</v>
      </c>
    </row>
    <row r="653" spans="1:2" x14ac:dyDescent="0.25">
      <c r="A653">
        <f t="shared" si="33"/>
        <v>54</v>
      </c>
      <c r="B653" t="str">
        <f>"        ""SubCategory"": """&amp;VLOOKUP(A653,TraderCategory!$B$63:$L$546,4,FALSE)&amp;""","</f>
        <v xml:space="preserve">        "SubCategory": "#tc_shotguns",</v>
      </c>
    </row>
    <row r="654" spans="1:2" x14ac:dyDescent="0.25">
      <c r="A654">
        <f t="shared" si="33"/>
        <v>54</v>
      </c>
      <c r="B654" t="str">
        <f>"        ""Reputation"": "&amp;VLOOKUP(A654,TraderCategory!$B$63:$L$546,5,FALSE)&amp;","</f>
        <v xml:space="preserve">        "Reputation": 3,</v>
      </c>
    </row>
    <row r="655" spans="1:2" x14ac:dyDescent="0.25">
      <c r="A655">
        <f t="shared" si="33"/>
        <v>54</v>
      </c>
      <c r="B655" t="str">
        <f>"        ""Restock"": "&amp;VLOOKUP(A655,TraderCategory!$B$63:$L$546,6,FALSE)&amp;","</f>
        <v xml:space="preserve">        "Restock": 2,</v>
      </c>
    </row>
    <row r="656" spans="1:2" x14ac:dyDescent="0.25">
      <c r="A656">
        <f t="shared" si="33"/>
        <v>54</v>
      </c>
      <c r="B656" t="str">
        <f>"        ""RestockCap"": "&amp;VLOOKUP(A656,TraderCategory!$B$63:$L$546,7,FALSE)&amp;","</f>
        <v xml:space="preserve">        "RestockCap": 10,</v>
      </c>
    </row>
    <row r="657" spans="1:2" x14ac:dyDescent="0.25">
      <c r="A657">
        <f t="shared" si="33"/>
        <v>54</v>
      </c>
      <c r="B657" t="str">
        <f>"        ""StockCap"": "&amp;VLOOKUP(A657,TraderCategory!$B$63:$L$546,8,FALSE)&amp;","</f>
        <v xml:space="preserve">        "StockCap": 99,</v>
      </c>
    </row>
    <row r="658" spans="1:2" x14ac:dyDescent="0.25">
      <c r="A658">
        <f t="shared" si="33"/>
        <v>54</v>
      </c>
      <c r="B658" t="str">
        <f>"        ""SellingRatioMin"": "&amp;VLOOKUP(A658,TraderCategory!$B$63:$L$546,9,FALSE)&amp;","</f>
        <v xml:space="preserve">        "SellingRatioMin": 0.05,</v>
      </c>
    </row>
    <row r="659" spans="1:2" x14ac:dyDescent="0.25">
      <c r="A659">
        <f t="shared" si="33"/>
        <v>54</v>
      </c>
      <c r="B659" t="str">
        <f>"        ""SellingRatioMax"": "&amp;VLOOKUP(A659,TraderCategory!$B$63:$L$546,10,FALSE)&amp;","</f>
        <v xml:space="preserve">        "SellingRatioMax": 0.1,</v>
      </c>
    </row>
    <row r="660" spans="1:2" x14ac:dyDescent="0.25">
      <c r="A660">
        <f t="shared" si="33"/>
        <v>54</v>
      </c>
      <c r="B660" t="str">
        <f>"        ""BuingRatioMin"": "&amp;VLOOKUP(A660,TraderCategory!$B$63:$L$546,11,FALSE)</f>
        <v xml:space="preserve">        "BuingRatioMin": 0.95</v>
      </c>
    </row>
    <row r="661" spans="1:2" x14ac:dyDescent="0.25">
      <c r="A661">
        <f t="shared" si="33"/>
        <v>54</v>
      </c>
      <c r="B661" t="s">
        <v>2755</v>
      </c>
    </row>
    <row r="662" spans="1:2" x14ac:dyDescent="0.25">
      <c r="A662">
        <f>A650+1</f>
        <v>55</v>
      </c>
      <c r="B662" t="str">
        <f>"    """&amp;A662&amp;""": {"</f>
        <v xml:space="preserve">    "55": {</v>
      </c>
    </row>
    <row r="663" spans="1:2" x14ac:dyDescent="0.25">
      <c r="A663">
        <f t="shared" ref="A663:A673" si="34">A651+1</f>
        <v>55</v>
      </c>
      <c r="B663" t="str">
        <f>"        ""Groups"": """&amp;VLOOKUP(A663,TraderCategory!$B$63:$L$546,2,FALSE)&amp;""","</f>
        <v xml:space="preserve">        "Groups": "#tc_military",</v>
      </c>
    </row>
    <row r="664" spans="1:2" x14ac:dyDescent="0.25">
      <c r="A664">
        <f t="shared" si="34"/>
        <v>55</v>
      </c>
      <c r="B664" t="str">
        <f>"        ""Category"": """&amp;VLOOKUP(A664,TraderCategory!$B$63:$L$546,3,FALSE)&amp;""","</f>
        <v xml:space="preserve">        "Category": "#tc_magazines",</v>
      </c>
    </row>
    <row r="665" spans="1:2" x14ac:dyDescent="0.25">
      <c r="A665">
        <f t="shared" si="34"/>
        <v>55</v>
      </c>
      <c r="B665" t="str">
        <f>"        ""SubCategory"": """&amp;VLOOKUP(A665,TraderCategory!$B$63:$L$546,4,FALSE)&amp;""","</f>
        <v xml:space="preserve">        "SubCategory": "#tc_submachineguns",</v>
      </c>
    </row>
    <row r="666" spans="1:2" x14ac:dyDescent="0.25">
      <c r="A666">
        <f t="shared" si="34"/>
        <v>55</v>
      </c>
      <c r="B666" t="str">
        <f>"        ""Reputation"": "&amp;VLOOKUP(A666,TraderCategory!$B$63:$L$546,5,FALSE)&amp;","</f>
        <v xml:space="preserve">        "Reputation": 6,</v>
      </c>
    </row>
    <row r="667" spans="1:2" x14ac:dyDescent="0.25">
      <c r="A667">
        <f t="shared" si="34"/>
        <v>55</v>
      </c>
      <c r="B667" t="str">
        <f>"        ""Restock"": "&amp;VLOOKUP(A667,TraderCategory!$B$63:$L$546,6,FALSE)&amp;","</f>
        <v xml:space="preserve">        "Restock": 2,</v>
      </c>
    </row>
    <row r="668" spans="1:2" x14ac:dyDescent="0.25">
      <c r="A668">
        <f t="shared" si="34"/>
        <v>55</v>
      </c>
      <c r="B668" t="str">
        <f>"        ""RestockCap"": "&amp;VLOOKUP(A668,TraderCategory!$B$63:$L$546,7,FALSE)&amp;","</f>
        <v xml:space="preserve">        "RestockCap": 10,</v>
      </c>
    </row>
    <row r="669" spans="1:2" x14ac:dyDescent="0.25">
      <c r="A669">
        <f t="shared" si="34"/>
        <v>55</v>
      </c>
      <c r="B669" t="str">
        <f>"        ""StockCap"": "&amp;VLOOKUP(A669,TraderCategory!$B$63:$L$546,8,FALSE)&amp;","</f>
        <v xml:space="preserve">        "StockCap": 99,</v>
      </c>
    </row>
    <row r="670" spans="1:2" x14ac:dyDescent="0.25">
      <c r="A670">
        <f t="shared" si="34"/>
        <v>55</v>
      </c>
      <c r="B670" t="str">
        <f>"        ""SellingRatioMin"": "&amp;VLOOKUP(A670,TraderCategory!$B$63:$L$546,9,FALSE)&amp;","</f>
        <v xml:space="preserve">        "SellingRatioMin": 0.05,</v>
      </c>
    </row>
    <row r="671" spans="1:2" x14ac:dyDescent="0.25">
      <c r="A671">
        <f t="shared" si="34"/>
        <v>55</v>
      </c>
      <c r="B671" t="str">
        <f>"        ""SellingRatioMax"": "&amp;VLOOKUP(A671,TraderCategory!$B$63:$L$546,10,FALSE)&amp;","</f>
        <v xml:space="preserve">        "SellingRatioMax": 0.1,</v>
      </c>
    </row>
    <row r="672" spans="1:2" x14ac:dyDescent="0.25">
      <c r="A672">
        <f t="shared" si="34"/>
        <v>55</v>
      </c>
      <c r="B672" t="str">
        <f>"        ""BuingRatioMin"": "&amp;VLOOKUP(A672,TraderCategory!$B$63:$L$546,11,FALSE)</f>
        <v xml:space="preserve">        "BuingRatioMin": 0.95</v>
      </c>
    </row>
    <row r="673" spans="1:2" x14ac:dyDescent="0.25">
      <c r="A673">
        <f t="shared" si="34"/>
        <v>55</v>
      </c>
      <c r="B673" t="s">
        <v>2755</v>
      </c>
    </row>
    <row r="674" spans="1:2" x14ac:dyDescent="0.25">
      <c r="A674">
        <f>A662+1</f>
        <v>56</v>
      </c>
      <c r="B674" t="str">
        <f>"    """&amp;A674&amp;""": {"</f>
        <v xml:space="preserve">    "56": {</v>
      </c>
    </row>
    <row r="675" spans="1:2" x14ac:dyDescent="0.25">
      <c r="A675">
        <f t="shared" ref="A675:A738" si="35">A663+1</f>
        <v>56</v>
      </c>
      <c r="B675" t="str">
        <f>"        ""Groups"": """&amp;VLOOKUP(A675,TraderCategory!$B$63:$L$546,2,FALSE)&amp;""","</f>
        <v xml:space="preserve">        "Groups": "#tc_military",</v>
      </c>
    </row>
    <row r="676" spans="1:2" x14ac:dyDescent="0.25">
      <c r="A676">
        <f t="shared" si="35"/>
        <v>56</v>
      </c>
      <c r="B676" t="str">
        <f>"        ""Category"": """&amp;VLOOKUP(A676,TraderCategory!$B$63:$L$546,3,FALSE)&amp;""","</f>
        <v xml:space="preserve">        "Category": "#tc_magazines",</v>
      </c>
    </row>
    <row r="677" spans="1:2" x14ac:dyDescent="0.25">
      <c r="A677">
        <f t="shared" si="35"/>
        <v>56</v>
      </c>
      <c r="B677" t="str">
        <f>"        ""SubCategory"": """&amp;VLOOKUP(A677,TraderCategory!$B$63:$L$546,4,FALSE)&amp;""","</f>
        <v xml:space="preserve">        "SubCategory": "#tc_rifles",</v>
      </c>
    </row>
    <row r="678" spans="1:2" x14ac:dyDescent="0.25">
      <c r="A678">
        <f t="shared" si="35"/>
        <v>56</v>
      </c>
      <c r="B678" t="str">
        <f>"        ""Reputation"": "&amp;VLOOKUP(A678,TraderCategory!$B$63:$L$546,5,FALSE)&amp;","</f>
        <v xml:space="preserve">        "Reputation": 0,</v>
      </c>
    </row>
    <row r="679" spans="1:2" x14ac:dyDescent="0.25">
      <c r="A679">
        <f t="shared" si="35"/>
        <v>56</v>
      </c>
      <c r="B679" t="str">
        <f>"        ""Restock"": "&amp;VLOOKUP(A679,TraderCategory!$B$63:$L$546,6,FALSE)&amp;","</f>
        <v xml:space="preserve">        "Restock": 2,</v>
      </c>
    </row>
    <row r="680" spans="1:2" x14ac:dyDescent="0.25">
      <c r="A680">
        <f t="shared" si="35"/>
        <v>56</v>
      </c>
      <c r="B680" t="str">
        <f>"        ""RestockCap"": "&amp;VLOOKUP(A680,TraderCategory!$B$63:$L$546,7,FALSE)&amp;","</f>
        <v xml:space="preserve">        "RestockCap": 10,</v>
      </c>
    </row>
    <row r="681" spans="1:2" x14ac:dyDescent="0.25">
      <c r="A681">
        <f t="shared" si="35"/>
        <v>56</v>
      </c>
      <c r="B681" t="str">
        <f>"        ""StockCap"": "&amp;VLOOKUP(A681,TraderCategory!$B$63:$L$546,8,FALSE)&amp;","</f>
        <v xml:space="preserve">        "StockCap": 99,</v>
      </c>
    </row>
    <row r="682" spans="1:2" x14ac:dyDescent="0.25">
      <c r="A682">
        <f t="shared" si="35"/>
        <v>56</v>
      </c>
      <c r="B682" t="str">
        <f>"        ""SellingRatioMin"": "&amp;VLOOKUP(A682,TraderCategory!$B$63:$L$546,9,FALSE)&amp;","</f>
        <v xml:space="preserve">        "SellingRatioMin": 0.05,</v>
      </c>
    </row>
    <row r="683" spans="1:2" x14ac:dyDescent="0.25">
      <c r="A683">
        <f t="shared" si="35"/>
        <v>56</v>
      </c>
      <c r="B683" t="str">
        <f>"        ""SellingRatioMax"": "&amp;VLOOKUP(A683,TraderCategory!$B$63:$L$546,10,FALSE)&amp;","</f>
        <v xml:space="preserve">        "SellingRatioMax": 0.1,</v>
      </c>
    </row>
    <row r="684" spans="1:2" x14ac:dyDescent="0.25">
      <c r="A684">
        <f t="shared" si="35"/>
        <v>56</v>
      </c>
      <c r="B684" t="str">
        <f>"        ""BuingRatioMin"": "&amp;VLOOKUP(A684,TraderCategory!$B$63:$L$546,11,FALSE)</f>
        <v xml:space="preserve">        "BuingRatioMin": 0.95</v>
      </c>
    </row>
    <row r="685" spans="1:2" x14ac:dyDescent="0.25">
      <c r="A685">
        <f t="shared" si="35"/>
        <v>56</v>
      </c>
      <c r="B685" t="s">
        <v>2755</v>
      </c>
    </row>
    <row r="686" spans="1:2" x14ac:dyDescent="0.25">
      <c r="A686">
        <f>A674+1</f>
        <v>57</v>
      </c>
      <c r="B686" t="str">
        <f>"    """&amp;A686&amp;""": {"</f>
        <v xml:space="preserve">    "57": {</v>
      </c>
    </row>
    <row r="687" spans="1:2" x14ac:dyDescent="0.25">
      <c r="A687">
        <f t="shared" si="35"/>
        <v>57</v>
      </c>
      <c r="B687" t="str">
        <f>"        ""Groups"": """&amp;VLOOKUP(A687,TraderCategory!$B$63:$L$546,2,FALSE)&amp;""","</f>
        <v xml:space="preserve">        "Groups": "#tc_military",</v>
      </c>
    </row>
    <row r="688" spans="1:2" x14ac:dyDescent="0.25">
      <c r="A688">
        <f t="shared" si="35"/>
        <v>57</v>
      </c>
      <c r="B688" t="str">
        <f>"        ""Category"": """&amp;VLOOKUP(A688,TraderCategory!$B$63:$L$546,3,FALSE)&amp;""","</f>
        <v xml:space="preserve">        "Category": "#tc_magazines",</v>
      </c>
    </row>
    <row r="689" spans="1:2" x14ac:dyDescent="0.25">
      <c r="A689">
        <f t="shared" si="35"/>
        <v>57</v>
      </c>
      <c r="B689" t="str">
        <f>"        ""SubCategory"": """&amp;VLOOKUP(A689,TraderCategory!$B$63:$L$546,4,FALSE)&amp;""","</f>
        <v xml:space="preserve">        "SubCategory": "#tc_assaultrifles",</v>
      </c>
    </row>
    <row r="690" spans="1:2" x14ac:dyDescent="0.25">
      <c r="A690">
        <f t="shared" si="35"/>
        <v>57</v>
      </c>
      <c r="B690" t="str">
        <f>"        ""Reputation"": "&amp;VLOOKUP(A690,TraderCategory!$B$63:$L$546,5,FALSE)&amp;","</f>
        <v xml:space="preserve">        "Reputation": 10,</v>
      </c>
    </row>
    <row r="691" spans="1:2" x14ac:dyDescent="0.25">
      <c r="A691">
        <f t="shared" si="35"/>
        <v>57</v>
      </c>
      <c r="B691" t="str">
        <f>"        ""Restock"": "&amp;VLOOKUP(A691,TraderCategory!$B$63:$L$546,6,FALSE)&amp;","</f>
        <v xml:space="preserve">        "Restock": 2,</v>
      </c>
    </row>
    <row r="692" spans="1:2" x14ac:dyDescent="0.25">
      <c r="A692">
        <f t="shared" si="35"/>
        <v>57</v>
      </c>
      <c r="B692" t="str">
        <f>"        ""RestockCap"": "&amp;VLOOKUP(A692,TraderCategory!$B$63:$L$546,7,FALSE)&amp;","</f>
        <v xml:space="preserve">        "RestockCap": 10,</v>
      </c>
    </row>
    <row r="693" spans="1:2" x14ac:dyDescent="0.25">
      <c r="A693">
        <f t="shared" si="35"/>
        <v>57</v>
      </c>
      <c r="B693" t="str">
        <f>"        ""StockCap"": "&amp;VLOOKUP(A693,TraderCategory!$B$63:$L$546,8,FALSE)&amp;","</f>
        <v xml:space="preserve">        "StockCap": 99,</v>
      </c>
    </row>
    <row r="694" spans="1:2" x14ac:dyDescent="0.25">
      <c r="A694">
        <f t="shared" si="35"/>
        <v>57</v>
      </c>
      <c r="B694" t="str">
        <f>"        ""SellingRatioMin"": "&amp;VLOOKUP(A694,TraderCategory!$B$63:$L$546,9,FALSE)&amp;","</f>
        <v xml:space="preserve">        "SellingRatioMin": 0.05,</v>
      </c>
    </row>
    <row r="695" spans="1:2" x14ac:dyDescent="0.25">
      <c r="A695">
        <f t="shared" si="35"/>
        <v>57</v>
      </c>
      <c r="B695" t="str">
        <f>"        ""SellingRatioMax"": "&amp;VLOOKUP(A695,TraderCategory!$B$63:$L$546,10,FALSE)&amp;","</f>
        <v xml:space="preserve">        "SellingRatioMax": 0.1,</v>
      </c>
    </row>
    <row r="696" spans="1:2" x14ac:dyDescent="0.25">
      <c r="A696">
        <f t="shared" si="35"/>
        <v>57</v>
      </c>
      <c r="B696" t="str">
        <f>"        ""BuingRatioMin"": "&amp;VLOOKUP(A696,TraderCategory!$B$63:$L$546,11,FALSE)</f>
        <v xml:space="preserve">        "BuingRatioMin": 0.95</v>
      </c>
    </row>
    <row r="697" spans="1:2" x14ac:dyDescent="0.25">
      <c r="A697">
        <f t="shared" si="35"/>
        <v>57</v>
      </c>
      <c r="B697" t="s">
        <v>2755</v>
      </c>
    </row>
    <row r="698" spans="1:2" x14ac:dyDescent="0.25">
      <c r="A698">
        <f>A686+1</f>
        <v>58</v>
      </c>
      <c r="B698" t="str">
        <f>"    """&amp;A698&amp;""": {"</f>
        <v xml:space="preserve">    "58": {</v>
      </c>
    </row>
    <row r="699" spans="1:2" x14ac:dyDescent="0.25">
      <c r="A699">
        <f t="shared" si="35"/>
        <v>58</v>
      </c>
      <c r="B699" t="str">
        <f>"        ""Groups"": """&amp;VLOOKUP(A699,TraderCategory!$B$63:$L$546,2,FALSE)&amp;""","</f>
        <v xml:space="preserve">        "Groups": "#tc_military",</v>
      </c>
    </row>
    <row r="700" spans="1:2" x14ac:dyDescent="0.25">
      <c r="A700">
        <f t="shared" si="35"/>
        <v>58</v>
      </c>
      <c r="B700" t="str">
        <f>"        ""Category"": """&amp;VLOOKUP(A700,TraderCategory!$B$63:$L$546,3,FALSE)&amp;""","</f>
        <v xml:space="preserve">        "Category": "#tc_magazines",</v>
      </c>
    </row>
    <row r="701" spans="1:2" x14ac:dyDescent="0.25">
      <c r="A701">
        <f t="shared" si="35"/>
        <v>58</v>
      </c>
      <c r="B701" t="str">
        <f>"        ""SubCategory"": """&amp;VLOOKUP(A701,TraderCategory!$B$63:$L$546,4,FALSE)&amp;""","</f>
        <v xml:space="preserve">        "SubCategory": "#tc_machineguns",</v>
      </c>
    </row>
    <row r="702" spans="1:2" x14ac:dyDescent="0.25">
      <c r="A702">
        <f t="shared" si="35"/>
        <v>58</v>
      </c>
      <c r="B702" t="str">
        <f>"        ""Reputation"": "&amp;VLOOKUP(A702,TraderCategory!$B$63:$L$546,5,FALSE)&amp;","</f>
        <v xml:space="preserve">        "Reputation": 10,</v>
      </c>
    </row>
    <row r="703" spans="1:2" x14ac:dyDescent="0.25">
      <c r="A703">
        <f t="shared" si="35"/>
        <v>58</v>
      </c>
      <c r="B703" t="str">
        <f>"        ""Restock"": "&amp;VLOOKUP(A703,TraderCategory!$B$63:$L$546,6,FALSE)&amp;","</f>
        <v xml:space="preserve">        "Restock": 2,</v>
      </c>
    </row>
    <row r="704" spans="1:2" x14ac:dyDescent="0.25">
      <c r="A704">
        <f t="shared" si="35"/>
        <v>58</v>
      </c>
      <c r="B704" t="str">
        <f>"        ""RestockCap"": "&amp;VLOOKUP(A704,TraderCategory!$B$63:$L$546,7,FALSE)&amp;","</f>
        <v xml:space="preserve">        "RestockCap": 10,</v>
      </c>
    </row>
    <row r="705" spans="1:2" x14ac:dyDescent="0.25">
      <c r="A705">
        <f t="shared" si="35"/>
        <v>58</v>
      </c>
      <c r="B705" t="str">
        <f>"        ""StockCap"": "&amp;VLOOKUP(A705,TraderCategory!$B$63:$L$546,8,FALSE)&amp;","</f>
        <v xml:space="preserve">        "StockCap": 99,</v>
      </c>
    </row>
    <row r="706" spans="1:2" x14ac:dyDescent="0.25">
      <c r="A706">
        <f t="shared" si="35"/>
        <v>58</v>
      </c>
      <c r="B706" t="str">
        <f>"        ""SellingRatioMin"": "&amp;VLOOKUP(A706,TraderCategory!$B$63:$L$546,9,FALSE)&amp;","</f>
        <v xml:space="preserve">        "SellingRatioMin": 0.05,</v>
      </c>
    </row>
    <row r="707" spans="1:2" x14ac:dyDescent="0.25">
      <c r="A707">
        <f t="shared" si="35"/>
        <v>58</v>
      </c>
      <c r="B707" t="str">
        <f>"        ""SellingRatioMax"": "&amp;VLOOKUP(A707,TraderCategory!$B$63:$L$546,10,FALSE)&amp;","</f>
        <v xml:space="preserve">        "SellingRatioMax": 0.1,</v>
      </c>
    </row>
    <row r="708" spans="1:2" x14ac:dyDescent="0.25">
      <c r="A708">
        <f t="shared" si="35"/>
        <v>58</v>
      </c>
      <c r="B708" t="str">
        <f>"        ""BuingRatioMin"": "&amp;VLOOKUP(A708,TraderCategory!$B$63:$L$546,11,FALSE)</f>
        <v xml:space="preserve">        "BuingRatioMin": 0.95</v>
      </c>
    </row>
    <row r="709" spans="1:2" x14ac:dyDescent="0.25">
      <c r="A709">
        <f t="shared" si="35"/>
        <v>58</v>
      </c>
      <c r="B709" t="s">
        <v>2755</v>
      </c>
    </row>
    <row r="710" spans="1:2" x14ac:dyDescent="0.25">
      <c r="A710">
        <f>A698+1</f>
        <v>59</v>
      </c>
      <c r="B710" t="str">
        <f>"    """&amp;A710&amp;""": {"</f>
        <v xml:space="preserve">    "59": {</v>
      </c>
    </row>
    <row r="711" spans="1:2" x14ac:dyDescent="0.25">
      <c r="A711">
        <f t="shared" si="35"/>
        <v>59</v>
      </c>
      <c r="B711" t="str">
        <f>"        ""Groups"": """&amp;VLOOKUP(A711,TraderCategory!$B$63:$L$546,2,FALSE)&amp;""","</f>
        <v xml:space="preserve">        "Groups": "#tc_military",</v>
      </c>
    </row>
    <row r="712" spans="1:2" x14ac:dyDescent="0.25">
      <c r="A712">
        <f t="shared" si="35"/>
        <v>59</v>
      </c>
      <c r="B712" t="str">
        <f>"        ""Category"": """&amp;VLOOKUP(A712,TraderCategory!$B$63:$L$546,3,FALSE)&amp;""","</f>
        <v xml:space="preserve">        "Category": "#tc_magazines",</v>
      </c>
    </row>
    <row r="713" spans="1:2" x14ac:dyDescent="0.25">
      <c r="A713">
        <f t="shared" si="35"/>
        <v>59</v>
      </c>
      <c r="B713" t="str">
        <f>"        ""SubCategory"": """&amp;VLOOKUP(A713,TraderCategory!$B$63:$L$546,4,FALSE)&amp;""","</f>
        <v xml:space="preserve">        "SubCategory": "#tc_snipers",</v>
      </c>
    </row>
    <row r="714" spans="1:2" x14ac:dyDescent="0.25">
      <c r="A714">
        <f t="shared" si="35"/>
        <v>59</v>
      </c>
      <c r="B714" t="str">
        <f>"        ""Reputation"": "&amp;VLOOKUP(A714,TraderCategory!$B$63:$L$546,5,FALSE)&amp;","</f>
        <v xml:space="preserve">        "Reputation": 12,</v>
      </c>
    </row>
    <row r="715" spans="1:2" x14ac:dyDescent="0.25">
      <c r="A715">
        <f t="shared" si="35"/>
        <v>59</v>
      </c>
      <c r="B715" t="str">
        <f>"        ""Restock"": "&amp;VLOOKUP(A715,TraderCategory!$B$63:$L$546,6,FALSE)&amp;","</f>
        <v xml:space="preserve">        "Restock": 2,</v>
      </c>
    </row>
    <row r="716" spans="1:2" x14ac:dyDescent="0.25">
      <c r="A716">
        <f t="shared" si="35"/>
        <v>59</v>
      </c>
      <c r="B716" t="str">
        <f>"        ""RestockCap"": "&amp;VLOOKUP(A716,TraderCategory!$B$63:$L$546,7,FALSE)&amp;","</f>
        <v xml:space="preserve">        "RestockCap": 10,</v>
      </c>
    </row>
    <row r="717" spans="1:2" x14ac:dyDescent="0.25">
      <c r="A717">
        <f t="shared" si="35"/>
        <v>59</v>
      </c>
      <c r="B717" t="str">
        <f>"        ""StockCap"": "&amp;VLOOKUP(A717,TraderCategory!$B$63:$L$546,8,FALSE)&amp;","</f>
        <v xml:space="preserve">        "StockCap": 99,</v>
      </c>
    </row>
    <row r="718" spans="1:2" x14ac:dyDescent="0.25">
      <c r="A718">
        <f t="shared" si="35"/>
        <v>59</v>
      </c>
      <c r="B718" t="str">
        <f>"        ""SellingRatioMin"": "&amp;VLOOKUP(A718,TraderCategory!$B$63:$L$546,9,FALSE)&amp;","</f>
        <v xml:space="preserve">        "SellingRatioMin": 0.05,</v>
      </c>
    </row>
    <row r="719" spans="1:2" x14ac:dyDescent="0.25">
      <c r="A719">
        <f t="shared" si="35"/>
        <v>59</v>
      </c>
      <c r="B719" t="str">
        <f>"        ""SellingRatioMax"": "&amp;VLOOKUP(A719,TraderCategory!$B$63:$L$546,10,FALSE)&amp;","</f>
        <v xml:space="preserve">        "SellingRatioMax": 0.1,</v>
      </c>
    </row>
    <row r="720" spans="1:2" x14ac:dyDescent="0.25">
      <c r="A720">
        <f t="shared" si="35"/>
        <v>59</v>
      </c>
      <c r="B720" t="str">
        <f>"        ""BuingRatioMin"": "&amp;VLOOKUP(A720,TraderCategory!$B$63:$L$546,11,FALSE)</f>
        <v xml:space="preserve">        "BuingRatioMin": 0.95</v>
      </c>
    </row>
    <row r="721" spans="1:2" x14ac:dyDescent="0.25">
      <c r="A721">
        <f t="shared" si="35"/>
        <v>59</v>
      </c>
      <c r="B721" t="s">
        <v>2755</v>
      </c>
    </row>
    <row r="722" spans="1:2" x14ac:dyDescent="0.25">
      <c r="A722">
        <f>A710+1</f>
        <v>60</v>
      </c>
      <c r="B722" t="str">
        <f>"    """&amp;A722&amp;""": {"</f>
        <v xml:space="preserve">    "60": {</v>
      </c>
    </row>
    <row r="723" spans="1:2" x14ac:dyDescent="0.25">
      <c r="A723">
        <f t="shared" si="35"/>
        <v>60</v>
      </c>
      <c r="B723" t="str">
        <f>"        ""Groups"": """&amp;VLOOKUP(A723,TraderCategory!$B$63:$L$546,2,FALSE)&amp;""","</f>
        <v xml:space="preserve">        "Groups": "#tc_military",</v>
      </c>
    </row>
    <row r="724" spans="1:2" x14ac:dyDescent="0.25">
      <c r="A724">
        <f t="shared" si="35"/>
        <v>60</v>
      </c>
      <c r="B724" t="str">
        <f>"        ""Category"": """&amp;VLOOKUP(A724,TraderCategory!$B$63:$L$546,3,FALSE)&amp;""","</f>
        <v xml:space="preserve">        "Category": "#tc_weapons",</v>
      </c>
    </row>
    <row r="725" spans="1:2" x14ac:dyDescent="0.25">
      <c r="A725">
        <f t="shared" si="35"/>
        <v>60</v>
      </c>
      <c r="B725" t="str">
        <f>"        ""SubCategory"": """&amp;VLOOKUP(A725,TraderCategory!$B$63:$L$546,4,FALSE)&amp;""","</f>
        <v xml:space="preserve">        "SubCategory": "#tc_handtohand",</v>
      </c>
    </row>
    <row r="726" spans="1:2" x14ac:dyDescent="0.25">
      <c r="A726">
        <f t="shared" si="35"/>
        <v>60</v>
      </c>
      <c r="B726" t="str">
        <f>"        ""Reputation"": "&amp;VLOOKUP(A726,TraderCategory!$B$63:$L$546,5,FALSE)&amp;","</f>
        <v xml:space="preserve">        "Reputation": 0,</v>
      </c>
    </row>
    <row r="727" spans="1:2" x14ac:dyDescent="0.25">
      <c r="A727">
        <f t="shared" si="35"/>
        <v>60</v>
      </c>
      <c r="B727" t="str">
        <f>"        ""Restock"": "&amp;VLOOKUP(A727,TraderCategory!$B$63:$L$546,6,FALSE)&amp;","</f>
        <v xml:space="preserve">        "Restock": 2,</v>
      </c>
    </row>
    <row r="728" spans="1:2" x14ac:dyDescent="0.25">
      <c r="A728">
        <f t="shared" si="35"/>
        <v>60</v>
      </c>
      <c r="B728" t="str">
        <f>"        ""RestockCap"": "&amp;VLOOKUP(A728,TraderCategory!$B$63:$L$546,7,FALSE)&amp;","</f>
        <v xml:space="preserve">        "RestockCap": 10,</v>
      </c>
    </row>
    <row r="729" spans="1:2" x14ac:dyDescent="0.25">
      <c r="A729">
        <f t="shared" si="35"/>
        <v>60</v>
      </c>
      <c r="B729" t="str">
        <f>"        ""StockCap"": "&amp;VLOOKUP(A729,TraderCategory!$B$63:$L$546,8,FALSE)&amp;","</f>
        <v xml:space="preserve">        "StockCap": 99,</v>
      </c>
    </row>
    <row r="730" spans="1:2" x14ac:dyDescent="0.25">
      <c r="A730">
        <f t="shared" si="35"/>
        <v>60</v>
      </c>
      <c r="B730" t="str">
        <f>"        ""SellingRatioMin"": "&amp;VLOOKUP(A730,TraderCategory!$B$63:$L$546,9,FALSE)&amp;","</f>
        <v xml:space="preserve">        "SellingRatioMin": 0.05,</v>
      </c>
    </row>
    <row r="731" spans="1:2" x14ac:dyDescent="0.25">
      <c r="A731">
        <f t="shared" si="35"/>
        <v>60</v>
      </c>
      <c r="B731" t="str">
        <f>"        ""SellingRatioMax"": "&amp;VLOOKUP(A731,TraderCategory!$B$63:$L$546,10,FALSE)&amp;","</f>
        <v xml:space="preserve">        "SellingRatioMax": 0.1,</v>
      </c>
    </row>
    <row r="732" spans="1:2" x14ac:dyDescent="0.25">
      <c r="A732">
        <f t="shared" si="35"/>
        <v>60</v>
      </c>
      <c r="B732" t="str">
        <f>"        ""BuingRatioMin"": "&amp;VLOOKUP(A732,TraderCategory!$B$63:$L$546,11,FALSE)</f>
        <v xml:space="preserve">        "BuingRatioMin": 0.95</v>
      </c>
    </row>
    <row r="733" spans="1:2" x14ac:dyDescent="0.25">
      <c r="A733">
        <f t="shared" si="35"/>
        <v>60</v>
      </c>
      <c r="B733" t="s">
        <v>2755</v>
      </c>
    </row>
    <row r="734" spans="1:2" x14ac:dyDescent="0.25">
      <c r="A734">
        <f>A722+1</f>
        <v>61</v>
      </c>
      <c r="B734" t="str">
        <f>"    """&amp;A734&amp;""": {"</f>
        <v xml:space="preserve">    "61": {</v>
      </c>
    </row>
    <row r="735" spans="1:2" x14ac:dyDescent="0.25">
      <c r="A735">
        <f t="shared" si="35"/>
        <v>61</v>
      </c>
      <c r="B735" t="str">
        <f>"        ""Groups"": """&amp;VLOOKUP(A735,TraderCategory!$B$63:$L$546,2,FALSE)&amp;""","</f>
        <v xml:space="preserve">        "Groups": "#tc_military",</v>
      </c>
    </row>
    <row r="736" spans="1:2" x14ac:dyDescent="0.25">
      <c r="A736">
        <f t="shared" si="35"/>
        <v>61</v>
      </c>
      <c r="B736" t="str">
        <f>"        ""Category"": """&amp;VLOOKUP(A736,TraderCategory!$B$63:$L$546,3,FALSE)&amp;""","</f>
        <v xml:space="preserve">        "Category": "#tc_weapons",</v>
      </c>
    </row>
    <row r="737" spans="1:2" x14ac:dyDescent="0.25">
      <c r="A737">
        <f t="shared" si="35"/>
        <v>61</v>
      </c>
      <c r="B737" t="str">
        <f>"        ""SubCategory"": """&amp;VLOOKUP(A737,TraderCategory!$B$63:$L$546,4,FALSE)&amp;""","</f>
        <v xml:space="preserve">        "SubCategory": "#tc_pistols",</v>
      </c>
    </row>
    <row r="738" spans="1:2" x14ac:dyDescent="0.25">
      <c r="A738">
        <f t="shared" si="35"/>
        <v>61</v>
      </c>
      <c r="B738" t="str">
        <f>"        ""Reputation"": "&amp;VLOOKUP(A738,TraderCategory!$B$63:$L$546,5,FALSE)&amp;","</f>
        <v xml:space="preserve">        "Reputation": 0,</v>
      </c>
    </row>
    <row r="739" spans="1:2" x14ac:dyDescent="0.25">
      <c r="A739">
        <f t="shared" ref="A739:A745" si="36">A727+1</f>
        <v>61</v>
      </c>
      <c r="B739" t="str">
        <f>"        ""Restock"": "&amp;VLOOKUP(A739,TraderCategory!$B$63:$L$546,6,FALSE)&amp;","</f>
        <v xml:space="preserve">        "Restock": 2,</v>
      </c>
    </row>
    <row r="740" spans="1:2" x14ac:dyDescent="0.25">
      <c r="A740">
        <f t="shared" si="36"/>
        <v>61</v>
      </c>
      <c r="B740" t="str">
        <f>"        ""RestockCap"": "&amp;VLOOKUP(A740,TraderCategory!$B$63:$L$546,7,FALSE)&amp;","</f>
        <v xml:space="preserve">        "RestockCap": 10,</v>
      </c>
    </row>
    <row r="741" spans="1:2" x14ac:dyDescent="0.25">
      <c r="A741">
        <f t="shared" si="36"/>
        <v>61</v>
      </c>
      <c r="B741" t="str">
        <f>"        ""StockCap"": "&amp;VLOOKUP(A741,TraderCategory!$B$63:$L$546,8,FALSE)&amp;","</f>
        <v xml:space="preserve">        "StockCap": 99,</v>
      </c>
    </row>
    <row r="742" spans="1:2" x14ac:dyDescent="0.25">
      <c r="A742">
        <f t="shared" si="36"/>
        <v>61</v>
      </c>
      <c r="B742" t="str">
        <f>"        ""SellingRatioMin"": "&amp;VLOOKUP(A742,TraderCategory!$B$63:$L$546,9,FALSE)&amp;","</f>
        <v xml:space="preserve">        "SellingRatioMin": 0.05,</v>
      </c>
    </row>
    <row r="743" spans="1:2" x14ac:dyDescent="0.25">
      <c r="A743">
        <f t="shared" si="36"/>
        <v>61</v>
      </c>
      <c r="B743" t="str">
        <f>"        ""SellingRatioMax"": "&amp;VLOOKUP(A743,TraderCategory!$B$63:$L$546,10,FALSE)&amp;","</f>
        <v xml:space="preserve">        "SellingRatioMax": 0.1,</v>
      </c>
    </row>
    <row r="744" spans="1:2" x14ac:dyDescent="0.25">
      <c r="A744">
        <f t="shared" si="36"/>
        <v>61</v>
      </c>
      <c r="B744" t="str">
        <f>"        ""BuingRatioMin"": "&amp;VLOOKUP(A744,TraderCategory!$B$63:$L$546,11,FALSE)</f>
        <v xml:space="preserve">        "BuingRatioMin": 0.95</v>
      </c>
    </row>
    <row r="745" spans="1:2" x14ac:dyDescent="0.25">
      <c r="A745">
        <f t="shared" si="36"/>
        <v>61</v>
      </c>
      <c r="B745" t="s">
        <v>2755</v>
      </c>
    </row>
    <row r="746" spans="1:2" x14ac:dyDescent="0.25">
      <c r="A746">
        <f>A734+1</f>
        <v>62</v>
      </c>
      <c r="B746" t="str">
        <f>"    """&amp;A746&amp;""": {"</f>
        <v xml:space="preserve">    "62": {</v>
      </c>
    </row>
    <row r="747" spans="1:2" x14ac:dyDescent="0.25">
      <c r="A747">
        <f t="shared" ref="A747:A757" si="37">A735+1</f>
        <v>62</v>
      </c>
      <c r="B747" t="str">
        <f>"        ""Groups"": """&amp;VLOOKUP(A747,TraderCategory!$B$63:$L$546,2,FALSE)&amp;""","</f>
        <v xml:space="preserve">        "Groups": "#tc_military",</v>
      </c>
    </row>
    <row r="748" spans="1:2" x14ac:dyDescent="0.25">
      <c r="A748">
        <f t="shared" si="37"/>
        <v>62</v>
      </c>
      <c r="B748" t="str">
        <f>"        ""Category"": """&amp;VLOOKUP(A748,TraderCategory!$B$63:$L$546,3,FALSE)&amp;""","</f>
        <v xml:space="preserve">        "Category": "#tc_weapons",</v>
      </c>
    </row>
    <row r="749" spans="1:2" x14ac:dyDescent="0.25">
      <c r="A749">
        <f t="shared" si="37"/>
        <v>62</v>
      </c>
      <c r="B749" t="str">
        <f>"        ""SubCategory"": """&amp;VLOOKUP(A749,TraderCategory!$B$63:$L$546,4,FALSE)&amp;""","</f>
        <v xml:space="preserve">        "SubCategory": "#tc_shotguns",</v>
      </c>
    </row>
    <row r="750" spans="1:2" x14ac:dyDescent="0.25">
      <c r="A750">
        <f t="shared" si="37"/>
        <v>62</v>
      </c>
      <c r="B750" t="str">
        <f>"        ""Reputation"": "&amp;VLOOKUP(A750,TraderCategory!$B$63:$L$546,5,FALSE)&amp;","</f>
        <v xml:space="preserve">        "Reputation": 3,</v>
      </c>
    </row>
    <row r="751" spans="1:2" x14ac:dyDescent="0.25">
      <c r="A751">
        <f t="shared" si="37"/>
        <v>62</v>
      </c>
      <c r="B751" t="str">
        <f>"        ""Restock"": "&amp;VLOOKUP(A751,TraderCategory!$B$63:$L$546,6,FALSE)&amp;","</f>
        <v xml:space="preserve">        "Restock": 2,</v>
      </c>
    </row>
    <row r="752" spans="1:2" x14ac:dyDescent="0.25">
      <c r="A752">
        <f t="shared" si="37"/>
        <v>62</v>
      </c>
      <c r="B752" t="str">
        <f>"        ""RestockCap"": "&amp;VLOOKUP(A752,TraderCategory!$B$63:$L$546,7,FALSE)&amp;","</f>
        <v xml:space="preserve">        "RestockCap": 10,</v>
      </c>
    </row>
    <row r="753" spans="1:2" x14ac:dyDescent="0.25">
      <c r="A753">
        <f t="shared" si="37"/>
        <v>62</v>
      </c>
      <c r="B753" t="str">
        <f>"        ""StockCap"": "&amp;VLOOKUP(A753,TraderCategory!$B$63:$L$546,8,FALSE)&amp;","</f>
        <v xml:space="preserve">        "StockCap": 99,</v>
      </c>
    </row>
    <row r="754" spans="1:2" x14ac:dyDescent="0.25">
      <c r="A754">
        <f t="shared" si="37"/>
        <v>62</v>
      </c>
      <c r="B754" t="str">
        <f>"        ""SellingRatioMin"": "&amp;VLOOKUP(A754,TraderCategory!$B$63:$L$546,9,FALSE)&amp;","</f>
        <v xml:space="preserve">        "SellingRatioMin": 0.05,</v>
      </c>
    </row>
    <row r="755" spans="1:2" x14ac:dyDescent="0.25">
      <c r="A755">
        <f t="shared" si="37"/>
        <v>62</v>
      </c>
      <c r="B755" t="str">
        <f>"        ""SellingRatioMax"": "&amp;VLOOKUP(A755,TraderCategory!$B$63:$L$546,10,FALSE)&amp;","</f>
        <v xml:space="preserve">        "SellingRatioMax": 0.1,</v>
      </c>
    </row>
    <row r="756" spans="1:2" x14ac:dyDescent="0.25">
      <c r="A756">
        <f t="shared" si="37"/>
        <v>62</v>
      </c>
      <c r="B756" t="str">
        <f>"        ""BuingRatioMin"": "&amp;VLOOKUP(A756,TraderCategory!$B$63:$L$546,11,FALSE)</f>
        <v xml:space="preserve">        "BuingRatioMin": 0.95</v>
      </c>
    </row>
    <row r="757" spans="1:2" x14ac:dyDescent="0.25">
      <c r="A757">
        <f t="shared" si="37"/>
        <v>62</v>
      </c>
      <c r="B757" t="s">
        <v>2755</v>
      </c>
    </row>
    <row r="758" spans="1:2" x14ac:dyDescent="0.25">
      <c r="A758">
        <f>A746+1</f>
        <v>63</v>
      </c>
      <c r="B758" t="str">
        <f>"    """&amp;A758&amp;""": {"</f>
        <v xml:space="preserve">    "63": {</v>
      </c>
    </row>
    <row r="759" spans="1:2" x14ac:dyDescent="0.25">
      <c r="A759">
        <f t="shared" ref="A759:A769" si="38">A747+1</f>
        <v>63</v>
      </c>
      <c r="B759" t="str">
        <f>"        ""Groups"": """&amp;VLOOKUP(A759,TraderCategory!$B$63:$L$546,2,FALSE)&amp;""","</f>
        <v xml:space="preserve">        "Groups": "#tc_military",</v>
      </c>
    </row>
    <row r="760" spans="1:2" x14ac:dyDescent="0.25">
      <c r="A760">
        <f t="shared" si="38"/>
        <v>63</v>
      </c>
      <c r="B760" t="str">
        <f>"        ""Category"": """&amp;VLOOKUP(A760,TraderCategory!$B$63:$L$546,3,FALSE)&amp;""","</f>
        <v xml:space="preserve">        "Category": "#tc_weapons",</v>
      </c>
    </row>
    <row r="761" spans="1:2" x14ac:dyDescent="0.25">
      <c r="A761">
        <f t="shared" si="38"/>
        <v>63</v>
      </c>
      <c r="B761" t="str">
        <f>"        ""SubCategory"": """&amp;VLOOKUP(A761,TraderCategory!$B$63:$L$546,4,FALSE)&amp;""","</f>
        <v xml:space="preserve">        "SubCategory": "#tc_submachineguns",</v>
      </c>
    </row>
    <row r="762" spans="1:2" x14ac:dyDescent="0.25">
      <c r="A762">
        <f t="shared" si="38"/>
        <v>63</v>
      </c>
      <c r="B762" t="str">
        <f>"        ""Reputation"": "&amp;VLOOKUP(A762,TraderCategory!$B$63:$L$546,5,FALSE)&amp;","</f>
        <v xml:space="preserve">        "Reputation": 6,</v>
      </c>
    </row>
    <row r="763" spans="1:2" x14ac:dyDescent="0.25">
      <c r="A763">
        <f t="shared" si="38"/>
        <v>63</v>
      </c>
      <c r="B763" t="str">
        <f>"        ""Restock"": "&amp;VLOOKUP(A763,TraderCategory!$B$63:$L$546,6,FALSE)&amp;","</f>
        <v xml:space="preserve">        "Restock": 2,</v>
      </c>
    </row>
    <row r="764" spans="1:2" x14ac:dyDescent="0.25">
      <c r="A764">
        <f t="shared" si="38"/>
        <v>63</v>
      </c>
      <c r="B764" t="str">
        <f>"        ""RestockCap"": "&amp;VLOOKUP(A764,TraderCategory!$B$63:$L$546,7,FALSE)&amp;","</f>
        <v xml:space="preserve">        "RestockCap": 10,</v>
      </c>
    </row>
    <row r="765" spans="1:2" x14ac:dyDescent="0.25">
      <c r="A765">
        <f t="shared" si="38"/>
        <v>63</v>
      </c>
      <c r="B765" t="str">
        <f>"        ""StockCap"": "&amp;VLOOKUP(A765,TraderCategory!$B$63:$L$546,8,FALSE)&amp;","</f>
        <v xml:space="preserve">        "StockCap": 99,</v>
      </c>
    </row>
    <row r="766" spans="1:2" x14ac:dyDescent="0.25">
      <c r="A766">
        <f t="shared" si="38"/>
        <v>63</v>
      </c>
      <c r="B766" t="str">
        <f>"        ""SellingRatioMin"": "&amp;VLOOKUP(A766,TraderCategory!$B$63:$L$546,9,FALSE)&amp;","</f>
        <v xml:space="preserve">        "SellingRatioMin": 0.05,</v>
      </c>
    </row>
    <row r="767" spans="1:2" x14ac:dyDescent="0.25">
      <c r="A767">
        <f t="shared" si="38"/>
        <v>63</v>
      </c>
      <c r="B767" t="str">
        <f>"        ""SellingRatioMax"": "&amp;VLOOKUP(A767,TraderCategory!$B$63:$L$546,10,FALSE)&amp;","</f>
        <v xml:space="preserve">        "SellingRatioMax": 0.1,</v>
      </c>
    </row>
    <row r="768" spans="1:2" x14ac:dyDescent="0.25">
      <c r="A768">
        <f t="shared" si="38"/>
        <v>63</v>
      </c>
      <c r="B768" t="str">
        <f>"        ""BuingRatioMin"": "&amp;VLOOKUP(A768,TraderCategory!$B$63:$L$546,11,FALSE)</f>
        <v xml:space="preserve">        "BuingRatioMin": 0.95</v>
      </c>
    </row>
    <row r="769" spans="1:2" x14ac:dyDescent="0.25">
      <c r="A769">
        <f t="shared" si="38"/>
        <v>63</v>
      </c>
      <c r="B769" t="s">
        <v>2755</v>
      </c>
    </row>
    <row r="770" spans="1:2" x14ac:dyDescent="0.25">
      <c r="A770">
        <f>A758+1</f>
        <v>64</v>
      </c>
      <c r="B770" t="str">
        <f>"    """&amp;A770&amp;""": {"</f>
        <v xml:space="preserve">    "64": {</v>
      </c>
    </row>
    <row r="771" spans="1:2" x14ac:dyDescent="0.25">
      <c r="A771">
        <f t="shared" ref="A771:A781" si="39">A759+1</f>
        <v>64</v>
      </c>
      <c r="B771" t="str">
        <f>"        ""Groups"": """&amp;VLOOKUP(A771,TraderCategory!$B$63:$L$546,2,FALSE)&amp;""","</f>
        <v xml:space="preserve">        "Groups": "#tc_military",</v>
      </c>
    </row>
    <row r="772" spans="1:2" x14ac:dyDescent="0.25">
      <c r="A772">
        <f t="shared" si="39"/>
        <v>64</v>
      </c>
      <c r="B772" t="str">
        <f>"        ""Category"": """&amp;VLOOKUP(A772,TraderCategory!$B$63:$L$546,3,FALSE)&amp;""","</f>
        <v xml:space="preserve">        "Category": "#tc_weapons",</v>
      </c>
    </row>
    <row r="773" spans="1:2" x14ac:dyDescent="0.25">
      <c r="A773">
        <f t="shared" si="39"/>
        <v>64</v>
      </c>
      <c r="B773" t="str">
        <f>"        ""SubCategory"": """&amp;VLOOKUP(A773,TraderCategory!$B$63:$L$546,4,FALSE)&amp;""","</f>
        <v xml:space="preserve">        "SubCategory": "#tc_rifles",</v>
      </c>
    </row>
    <row r="774" spans="1:2" x14ac:dyDescent="0.25">
      <c r="A774">
        <f t="shared" si="39"/>
        <v>64</v>
      </c>
      <c r="B774" t="str">
        <f>"        ""Reputation"": "&amp;VLOOKUP(A774,TraderCategory!$B$63:$L$546,5,FALSE)&amp;","</f>
        <v xml:space="preserve">        "Reputation": 0,</v>
      </c>
    </row>
    <row r="775" spans="1:2" x14ac:dyDescent="0.25">
      <c r="A775">
        <f t="shared" si="39"/>
        <v>64</v>
      </c>
      <c r="B775" t="str">
        <f>"        ""Restock"": "&amp;VLOOKUP(A775,TraderCategory!$B$63:$L$546,6,FALSE)&amp;","</f>
        <v xml:space="preserve">        "Restock": 2,</v>
      </c>
    </row>
    <row r="776" spans="1:2" x14ac:dyDescent="0.25">
      <c r="A776">
        <f t="shared" si="39"/>
        <v>64</v>
      </c>
      <c r="B776" t="str">
        <f>"        ""RestockCap"": "&amp;VLOOKUP(A776,TraderCategory!$B$63:$L$546,7,FALSE)&amp;","</f>
        <v xml:space="preserve">        "RestockCap": 10,</v>
      </c>
    </row>
    <row r="777" spans="1:2" x14ac:dyDescent="0.25">
      <c r="A777">
        <f t="shared" si="39"/>
        <v>64</v>
      </c>
      <c r="B777" t="str">
        <f>"        ""StockCap"": "&amp;VLOOKUP(A777,TraderCategory!$B$63:$L$546,8,FALSE)&amp;","</f>
        <v xml:space="preserve">        "StockCap": 99,</v>
      </c>
    </row>
    <row r="778" spans="1:2" x14ac:dyDescent="0.25">
      <c r="A778">
        <f t="shared" si="39"/>
        <v>64</v>
      </c>
      <c r="B778" t="str">
        <f>"        ""SellingRatioMin"": "&amp;VLOOKUP(A778,TraderCategory!$B$63:$L$546,9,FALSE)&amp;","</f>
        <v xml:space="preserve">        "SellingRatioMin": 0.05,</v>
      </c>
    </row>
    <row r="779" spans="1:2" x14ac:dyDescent="0.25">
      <c r="A779">
        <f t="shared" si="39"/>
        <v>64</v>
      </c>
      <c r="B779" t="str">
        <f>"        ""SellingRatioMax"": "&amp;VLOOKUP(A779,TraderCategory!$B$63:$L$546,10,FALSE)&amp;","</f>
        <v xml:space="preserve">        "SellingRatioMax": 0.1,</v>
      </c>
    </row>
    <row r="780" spans="1:2" x14ac:dyDescent="0.25">
      <c r="A780">
        <f t="shared" si="39"/>
        <v>64</v>
      </c>
      <c r="B780" t="str">
        <f>"        ""BuingRatioMin"": "&amp;VLOOKUP(A780,TraderCategory!$B$63:$L$546,11,FALSE)</f>
        <v xml:space="preserve">        "BuingRatioMin": 0.95</v>
      </c>
    </row>
    <row r="781" spans="1:2" x14ac:dyDescent="0.25">
      <c r="A781">
        <f t="shared" si="39"/>
        <v>64</v>
      </c>
      <c r="B781" t="s">
        <v>2755</v>
      </c>
    </row>
    <row r="782" spans="1:2" x14ac:dyDescent="0.25">
      <c r="A782">
        <f>A770+1</f>
        <v>65</v>
      </c>
      <c r="B782" t="str">
        <f>"    """&amp;A782&amp;""": {"</f>
        <v xml:space="preserve">    "65": {</v>
      </c>
    </row>
    <row r="783" spans="1:2" x14ac:dyDescent="0.25">
      <c r="A783">
        <f t="shared" ref="A783:A793" si="40">A771+1</f>
        <v>65</v>
      </c>
      <c r="B783" t="str">
        <f>"        ""Groups"": """&amp;VLOOKUP(A783,TraderCategory!$B$63:$L$546,2,FALSE)&amp;""","</f>
        <v xml:space="preserve">        "Groups": "#tc_military",</v>
      </c>
    </row>
    <row r="784" spans="1:2" x14ac:dyDescent="0.25">
      <c r="A784">
        <f t="shared" si="40"/>
        <v>65</v>
      </c>
      <c r="B784" t="str">
        <f>"        ""Category"": """&amp;VLOOKUP(A784,TraderCategory!$B$63:$L$546,3,FALSE)&amp;""","</f>
        <v xml:space="preserve">        "Category": "#tc_weapons",</v>
      </c>
    </row>
    <row r="785" spans="1:2" x14ac:dyDescent="0.25">
      <c r="A785">
        <f t="shared" si="40"/>
        <v>65</v>
      </c>
      <c r="B785" t="str">
        <f>"        ""SubCategory"": """&amp;VLOOKUP(A785,TraderCategory!$B$63:$L$546,4,FALSE)&amp;""","</f>
        <v xml:space="preserve">        "SubCategory": "#tc_assaultrifles",</v>
      </c>
    </row>
    <row r="786" spans="1:2" x14ac:dyDescent="0.25">
      <c r="A786">
        <f t="shared" si="40"/>
        <v>65</v>
      </c>
      <c r="B786" t="str">
        <f>"        ""Reputation"": "&amp;VLOOKUP(A786,TraderCategory!$B$63:$L$546,5,FALSE)&amp;","</f>
        <v xml:space="preserve">        "Reputation": 10,</v>
      </c>
    </row>
    <row r="787" spans="1:2" x14ac:dyDescent="0.25">
      <c r="A787">
        <f t="shared" si="40"/>
        <v>65</v>
      </c>
      <c r="B787" t="str">
        <f>"        ""Restock"": "&amp;VLOOKUP(A787,TraderCategory!$B$63:$L$546,6,FALSE)&amp;","</f>
        <v xml:space="preserve">        "Restock": 2,</v>
      </c>
    </row>
    <row r="788" spans="1:2" x14ac:dyDescent="0.25">
      <c r="A788">
        <f t="shared" si="40"/>
        <v>65</v>
      </c>
      <c r="B788" t="str">
        <f>"        ""RestockCap"": "&amp;VLOOKUP(A788,TraderCategory!$B$63:$L$546,7,FALSE)&amp;","</f>
        <v xml:space="preserve">        "RestockCap": 10,</v>
      </c>
    </row>
    <row r="789" spans="1:2" x14ac:dyDescent="0.25">
      <c r="A789">
        <f t="shared" si="40"/>
        <v>65</v>
      </c>
      <c r="B789" t="str">
        <f>"        ""StockCap"": "&amp;VLOOKUP(A789,TraderCategory!$B$63:$L$546,8,FALSE)&amp;","</f>
        <v xml:space="preserve">        "StockCap": 99,</v>
      </c>
    </row>
    <row r="790" spans="1:2" x14ac:dyDescent="0.25">
      <c r="A790">
        <f t="shared" si="40"/>
        <v>65</v>
      </c>
      <c r="B790" t="str">
        <f>"        ""SellingRatioMin"": "&amp;VLOOKUP(A790,TraderCategory!$B$63:$L$546,9,FALSE)&amp;","</f>
        <v xml:space="preserve">        "SellingRatioMin": 0.05,</v>
      </c>
    </row>
    <row r="791" spans="1:2" x14ac:dyDescent="0.25">
      <c r="A791">
        <f t="shared" si="40"/>
        <v>65</v>
      </c>
      <c r="B791" t="str">
        <f>"        ""SellingRatioMax"": "&amp;VLOOKUP(A791,TraderCategory!$B$63:$L$546,10,FALSE)&amp;","</f>
        <v xml:space="preserve">        "SellingRatioMax": 0.1,</v>
      </c>
    </row>
    <row r="792" spans="1:2" x14ac:dyDescent="0.25">
      <c r="A792">
        <f t="shared" si="40"/>
        <v>65</v>
      </c>
      <c r="B792" t="str">
        <f>"        ""BuingRatioMin"": "&amp;VLOOKUP(A792,TraderCategory!$B$63:$L$546,11,FALSE)</f>
        <v xml:space="preserve">        "BuingRatioMin": 0.95</v>
      </c>
    </row>
    <row r="793" spans="1:2" x14ac:dyDescent="0.25">
      <c r="A793">
        <f t="shared" si="40"/>
        <v>65</v>
      </c>
      <c r="B793" t="s">
        <v>2755</v>
      </c>
    </row>
    <row r="794" spans="1:2" x14ac:dyDescent="0.25">
      <c r="A794">
        <f>A782+1</f>
        <v>66</v>
      </c>
      <c r="B794" t="str">
        <f>"    """&amp;A794&amp;""": {"</f>
        <v xml:space="preserve">    "66": {</v>
      </c>
    </row>
    <row r="795" spans="1:2" x14ac:dyDescent="0.25">
      <c r="A795">
        <f t="shared" ref="A795:A805" si="41">A783+1</f>
        <v>66</v>
      </c>
      <c r="B795" t="str">
        <f>"        ""Groups"": """&amp;VLOOKUP(A795,TraderCategory!$B$63:$L$546,2,FALSE)&amp;""","</f>
        <v xml:space="preserve">        "Groups": "#tc_military",</v>
      </c>
    </row>
    <row r="796" spans="1:2" x14ac:dyDescent="0.25">
      <c r="A796">
        <f t="shared" si="41"/>
        <v>66</v>
      </c>
      <c r="B796" t="str">
        <f>"        ""Category"": """&amp;VLOOKUP(A796,TraderCategory!$B$63:$L$546,3,FALSE)&amp;""","</f>
        <v xml:space="preserve">        "Category": "#tc_weapons",</v>
      </c>
    </row>
    <row r="797" spans="1:2" x14ac:dyDescent="0.25">
      <c r="A797">
        <f t="shared" si="41"/>
        <v>66</v>
      </c>
      <c r="B797" t="str">
        <f>"        ""SubCategory"": """&amp;VLOOKUP(A797,TraderCategory!$B$63:$L$546,4,FALSE)&amp;""","</f>
        <v xml:space="preserve">        "SubCategory": "#tc_machineguns",</v>
      </c>
    </row>
    <row r="798" spans="1:2" x14ac:dyDescent="0.25">
      <c r="A798">
        <f t="shared" si="41"/>
        <v>66</v>
      </c>
      <c r="B798" t="str">
        <f>"        ""Reputation"": "&amp;VLOOKUP(A798,TraderCategory!$B$63:$L$546,5,FALSE)&amp;","</f>
        <v xml:space="preserve">        "Reputation": 10,</v>
      </c>
    </row>
    <row r="799" spans="1:2" x14ac:dyDescent="0.25">
      <c r="A799">
        <f t="shared" si="41"/>
        <v>66</v>
      </c>
      <c r="B799" t="str">
        <f>"        ""Restock"": "&amp;VLOOKUP(A799,TraderCategory!$B$63:$L$546,6,FALSE)&amp;","</f>
        <v xml:space="preserve">        "Restock": 2,</v>
      </c>
    </row>
    <row r="800" spans="1:2" x14ac:dyDescent="0.25">
      <c r="A800">
        <f t="shared" si="41"/>
        <v>66</v>
      </c>
      <c r="B800" t="str">
        <f>"        ""RestockCap"": "&amp;VLOOKUP(A800,TraderCategory!$B$63:$L$546,7,FALSE)&amp;","</f>
        <v xml:space="preserve">        "RestockCap": 10,</v>
      </c>
    </row>
    <row r="801" spans="1:2" x14ac:dyDescent="0.25">
      <c r="A801">
        <f t="shared" si="41"/>
        <v>66</v>
      </c>
      <c r="B801" t="str">
        <f>"        ""StockCap"": "&amp;VLOOKUP(A801,TraderCategory!$B$63:$L$546,8,FALSE)&amp;","</f>
        <v xml:space="preserve">        "StockCap": 99,</v>
      </c>
    </row>
    <row r="802" spans="1:2" x14ac:dyDescent="0.25">
      <c r="A802">
        <f t="shared" si="41"/>
        <v>66</v>
      </c>
      <c r="B802" t="str">
        <f>"        ""SellingRatioMin"": "&amp;VLOOKUP(A802,TraderCategory!$B$63:$L$546,9,FALSE)&amp;","</f>
        <v xml:space="preserve">        "SellingRatioMin": 0.05,</v>
      </c>
    </row>
    <row r="803" spans="1:2" x14ac:dyDescent="0.25">
      <c r="A803">
        <f t="shared" si="41"/>
        <v>66</v>
      </c>
      <c r="B803" t="str">
        <f>"        ""SellingRatioMax"": "&amp;VLOOKUP(A803,TraderCategory!$B$63:$L$546,10,FALSE)&amp;","</f>
        <v xml:space="preserve">        "SellingRatioMax": 0.1,</v>
      </c>
    </row>
    <row r="804" spans="1:2" x14ac:dyDescent="0.25">
      <c r="A804">
        <f t="shared" si="41"/>
        <v>66</v>
      </c>
      <c r="B804" t="str">
        <f>"        ""BuingRatioMin"": "&amp;VLOOKUP(A804,TraderCategory!$B$63:$L$546,11,FALSE)</f>
        <v xml:space="preserve">        "BuingRatioMin": 0.95</v>
      </c>
    </row>
    <row r="805" spans="1:2" x14ac:dyDescent="0.25">
      <c r="A805">
        <f t="shared" si="41"/>
        <v>66</v>
      </c>
      <c r="B805" t="s">
        <v>2755</v>
      </c>
    </row>
    <row r="806" spans="1:2" x14ac:dyDescent="0.25">
      <c r="A806">
        <f>A794+1</f>
        <v>67</v>
      </c>
      <c r="B806" t="str">
        <f>"    """&amp;A806&amp;""": {"</f>
        <v xml:space="preserve">    "67": {</v>
      </c>
    </row>
    <row r="807" spans="1:2" x14ac:dyDescent="0.25">
      <c r="A807">
        <f t="shared" ref="A807:A870" si="42">A795+1</f>
        <v>67</v>
      </c>
      <c r="B807" t="str">
        <f>"        ""Groups"": """&amp;VLOOKUP(A807,TraderCategory!$B$63:$L$546,2,FALSE)&amp;""","</f>
        <v xml:space="preserve">        "Groups": "#tc_military",</v>
      </c>
    </row>
    <row r="808" spans="1:2" x14ac:dyDescent="0.25">
      <c r="A808">
        <f t="shared" si="42"/>
        <v>67</v>
      </c>
      <c r="B808" t="str">
        <f>"        ""Category"": """&amp;VLOOKUP(A808,TraderCategory!$B$63:$L$546,3,FALSE)&amp;""","</f>
        <v xml:space="preserve">        "Category": "#tc_weapons",</v>
      </c>
    </row>
    <row r="809" spans="1:2" x14ac:dyDescent="0.25">
      <c r="A809">
        <f t="shared" si="42"/>
        <v>67</v>
      </c>
      <c r="B809" t="str">
        <f>"        ""SubCategory"": """&amp;VLOOKUP(A809,TraderCategory!$B$63:$L$546,4,FALSE)&amp;""","</f>
        <v xml:space="preserve">        "SubCategory": "#tc_snipers",</v>
      </c>
    </row>
    <row r="810" spans="1:2" x14ac:dyDescent="0.25">
      <c r="A810">
        <f t="shared" si="42"/>
        <v>67</v>
      </c>
      <c r="B810" t="str">
        <f>"        ""Reputation"": "&amp;VLOOKUP(A810,TraderCategory!$B$63:$L$546,5,FALSE)&amp;","</f>
        <v xml:space="preserve">        "Reputation": 12,</v>
      </c>
    </row>
    <row r="811" spans="1:2" x14ac:dyDescent="0.25">
      <c r="A811">
        <f t="shared" si="42"/>
        <v>67</v>
      </c>
      <c r="B811" t="str">
        <f>"        ""Restock"": "&amp;VLOOKUP(A811,TraderCategory!$B$63:$L$546,6,FALSE)&amp;","</f>
        <v xml:space="preserve">        "Restock": 1,</v>
      </c>
    </row>
    <row r="812" spans="1:2" x14ac:dyDescent="0.25">
      <c r="A812">
        <f t="shared" si="42"/>
        <v>67</v>
      </c>
      <c r="B812" t="str">
        <f>"        ""RestockCap"": "&amp;VLOOKUP(A812,TraderCategory!$B$63:$L$546,7,FALSE)&amp;","</f>
        <v xml:space="preserve">        "RestockCap": 5,</v>
      </c>
    </row>
    <row r="813" spans="1:2" x14ac:dyDescent="0.25">
      <c r="A813">
        <f t="shared" si="42"/>
        <v>67</v>
      </c>
      <c r="B813" t="str">
        <f>"        ""StockCap"": "&amp;VLOOKUP(A813,TraderCategory!$B$63:$L$546,8,FALSE)&amp;","</f>
        <v xml:space="preserve">        "StockCap": 99,</v>
      </c>
    </row>
    <row r="814" spans="1:2" x14ac:dyDescent="0.25">
      <c r="A814">
        <f t="shared" si="42"/>
        <v>67</v>
      </c>
      <c r="B814" t="str">
        <f>"        ""SellingRatioMin"": "&amp;VLOOKUP(A814,TraderCategory!$B$63:$L$546,9,FALSE)&amp;","</f>
        <v xml:space="preserve">        "SellingRatioMin": 0.05,</v>
      </c>
    </row>
    <row r="815" spans="1:2" x14ac:dyDescent="0.25">
      <c r="A815">
        <f t="shared" si="42"/>
        <v>67</v>
      </c>
      <c r="B815" t="str">
        <f>"        ""SellingRatioMax"": "&amp;VLOOKUP(A815,TraderCategory!$B$63:$L$546,10,FALSE)&amp;","</f>
        <v xml:space="preserve">        "SellingRatioMax": 0.1,</v>
      </c>
    </row>
    <row r="816" spans="1:2" x14ac:dyDescent="0.25">
      <c r="A816">
        <f t="shared" si="42"/>
        <v>67</v>
      </c>
      <c r="B816" t="str">
        <f>"        ""BuingRatioMin"": "&amp;VLOOKUP(A816,TraderCategory!$B$63:$L$546,11,FALSE)</f>
        <v xml:space="preserve">        "BuingRatioMin": 0.95</v>
      </c>
    </row>
    <row r="817" spans="1:2" x14ac:dyDescent="0.25">
      <c r="A817">
        <f t="shared" si="42"/>
        <v>67</v>
      </c>
      <c r="B817" t="s">
        <v>2755</v>
      </c>
    </row>
    <row r="818" spans="1:2" x14ac:dyDescent="0.25">
      <c r="A818">
        <f>A806+1</f>
        <v>68</v>
      </c>
      <c r="B818" t="str">
        <f>"    """&amp;A818&amp;""": {"</f>
        <v xml:space="preserve">    "68": {</v>
      </c>
    </row>
    <row r="819" spans="1:2" x14ac:dyDescent="0.25">
      <c r="A819">
        <f t="shared" si="42"/>
        <v>68</v>
      </c>
      <c r="B819" t="str">
        <f>"        ""Groups"": """&amp;VLOOKUP(A819,TraderCategory!$B$63:$L$546,2,FALSE)&amp;""","</f>
        <v xml:space="preserve">        "Groups": "#tc_vehicles",</v>
      </c>
    </row>
    <row r="820" spans="1:2" x14ac:dyDescent="0.25">
      <c r="A820">
        <f t="shared" si="42"/>
        <v>68</v>
      </c>
      <c r="B820" t="str">
        <f>"        ""Category"": """&amp;VLOOKUP(A820,TraderCategory!$B$63:$L$546,3,FALSE)&amp;""","</f>
        <v xml:space="preserve">        "Category": "#tc_parts",</v>
      </c>
    </row>
    <row r="821" spans="1:2" x14ac:dyDescent="0.25">
      <c r="A821">
        <f t="shared" si="42"/>
        <v>68</v>
      </c>
      <c r="B821" t="str">
        <f>"        ""SubCategory"": """&amp;VLOOKUP(A821,TraderCategory!$B$63:$L$546,4,FALSE)&amp;""","</f>
        <v xml:space="preserve">        "SubCategory": "#tc_parts",</v>
      </c>
    </row>
    <row r="822" spans="1:2" x14ac:dyDescent="0.25">
      <c r="A822">
        <f t="shared" si="42"/>
        <v>68</v>
      </c>
      <c r="B822" t="str">
        <f>"        ""Reputation"": "&amp;VLOOKUP(A822,TraderCategory!$B$63:$L$546,5,FALSE)&amp;","</f>
        <v xml:space="preserve">        "Reputation": 3,</v>
      </c>
    </row>
    <row r="823" spans="1:2" x14ac:dyDescent="0.25">
      <c r="A823">
        <f t="shared" si="42"/>
        <v>68</v>
      </c>
      <c r="B823" t="str">
        <f>"        ""Restock"": "&amp;VLOOKUP(A823,TraderCategory!$B$63:$L$546,6,FALSE)&amp;","</f>
        <v xml:space="preserve">        "Restock": 2,</v>
      </c>
    </row>
    <row r="824" spans="1:2" x14ac:dyDescent="0.25">
      <c r="A824">
        <f t="shared" si="42"/>
        <v>68</v>
      </c>
      <c r="B824" t="str">
        <f>"        ""RestockCap"": "&amp;VLOOKUP(A824,TraderCategory!$B$63:$L$546,7,FALSE)&amp;","</f>
        <v xml:space="preserve">        "RestockCap": 20,</v>
      </c>
    </row>
    <row r="825" spans="1:2" x14ac:dyDescent="0.25">
      <c r="A825">
        <f t="shared" si="42"/>
        <v>68</v>
      </c>
      <c r="B825" t="str">
        <f>"        ""StockCap"": "&amp;VLOOKUP(A825,TraderCategory!$B$63:$L$546,8,FALSE)&amp;","</f>
        <v xml:space="preserve">        "StockCap": 99,</v>
      </c>
    </row>
    <row r="826" spans="1:2" x14ac:dyDescent="0.25">
      <c r="A826">
        <f t="shared" si="42"/>
        <v>68</v>
      </c>
      <c r="B826" t="str">
        <f>"        ""SellingRatioMin"": "&amp;VLOOKUP(A826,TraderCategory!$B$63:$L$546,9,FALSE)&amp;","</f>
        <v xml:space="preserve">        "SellingRatioMin": 0.01,</v>
      </c>
    </row>
    <row r="827" spans="1:2" x14ac:dyDescent="0.25">
      <c r="A827">
        <f t="shared" si="42"/>
        <v>68</v>
      </c>
      <c r="B827" t="str">
        <f>"        ""SellingRatioMax"": "&amp;VLOOKUP(A827,TraderCategory!$B$63:$L$546,10,FALSE)&amp;","</f>
        <v xml:space="preserve">        "SellingRatioMax": 0.05,</v>
      </c>
    </row>
    <row r="828" spans="1:2" x14ac:dyDescent="0.25">
      <c r="A828">
        <f t="shared" si="42"/>
        <v>68</v>
      </c>
      <c r="B828" t="str">
        <f>"        ""BuingRatioMin"": "&amp;VLOOKUP(A828,TraderCategory!$B$63:$L$546,11,FALSE)</f>
        <v xml:space="preserve">        "BuingRatioMin": 0.95</v>
      </c>
    </row>
    <row r="829" spans="1:2" x14ac:dyDescent="0.25">
      <c r="A829">
        <f t="shared" si="42"/>
        <v>68</v>
      </c>
      <c r="B829" t="s">
        <v>2755</v>
      </c>
    </row>
    <row r="830" spans="1:2" x14ac:dyDescent="0.25">
      <c r="A830">
        <f>A818+1</f>
        <v>69</v>
      </c>
      <c r="B830" t="str">
        <f>"    """&amp;A830&amp;""": {"</f>
        <v xml:space="preserve">    "69": {</v>
      </c>
    </row>
    <row r="831" spans="1:2" x14ac:dyDescent="0.25">
      <c r="A831">
        <f t="shared" si="42"/>
        <v>69</v>
      </c>
      <c r="B831" t="str">
        <f>"        ""Groups"": """&amp;VLOOKUP(A831,TraderCategory!$B$63:$L$546,2,FALSE)&amp;""","</f>
        <v xml:space="preserve">        "Groups": "#tc_vehicles",</v>
      </c>
    </row>
    <row r="832" spans="1:2" x14ac:dyDescent="0.25">
      <c r="A832">
        <f t="shared" si="42"/>
        <v>69</v>
      </c>
      <c r="B832" t="str">
        <f>"        ""Category"": """&amp;VLOOKUP(A832,TraderCategory!$B$63:$L$546,3,FALSE)&amp;""","</f>
        <v xml:space="preserve">        "Category": "#tc_parts",</v>
      </c>
    </row>
    <row r="833" spans="1:2" x14ac:dyDescent="0.25">
      <c r="A833">
        <f t="shared" si="42"/>
        <v>69</v>
      </c>
      <c r="B833" t="str">
        <f>"        ""SubCategory"": """&amp;VLOOKUP(A833,TraderCategory!$B$63:$L$546,4,FALSE)&amp;""","</f>
        <v xml:space="preserve">        "SubCategory": "#tc_wheels",</v>
      </c>
    </row>
    <row r="834" spans="1:2" x14ac:dyDescent="0.25">
      <c r="A834">
        <f t="shared" si="42"/>
        <v>69</v>
      </c>
      <c r="B834" t="str">
        <f>"        ""Reputation"": "&amp;VLOOKUP(A834,TraderCategory!$B$63:$L$546,5,FALSE)&amp;","</f>
        <v xml:space="preserve">        "Reputation": 3,</v>
      </c>
    </row>
    <row r="835" spans="1:2" x14ac:dyDescent="0.25">
      <c r="A835">
        <f t="shared" si="42"/>
        <v>69</v>
      </c>
      <c r="B835" t="str">
        <f>"        ""Restock"": "&amp;VLOOKUP(A835,TraderCategory!$B$63:$L$546,6,FALSE)&amp;","</f>
        <v xml:space="preserve">        "Restock": 2,</v>
      </c>
    </row>
    <row r="836" spans="1:2" x14ac:dyDescent="0.25">
      <c r="A836">
        <f t="shared" si="42"/>
        <v>69</v>
      </c>
      <c r="B836" t="str">
        <f>"        ""RestockCap"": "&amp;VLOOKUP(A836,TraderCategory!$B$63:$L$546,7,FALSE)&amp;","</f>
        <v xml:space="preserve">        "RestockCap": 20,</v>
      </c>
    </row>
    <row r="837" spans="1:2" x14ac:dyDescent="0.25">
      <c r="A837">
        <f t="shared" si="42"/>
        <v>69</v>
      </c>
      <c r="B837" t="str">
        <f>"        ""StockCap"": "&amp;VLOOKUP(A837,TraderCategory!$B$63:$L$546,8,FALSE)&amp;","</f>
        <v xml:space="preserve">        "StockCap": 99,</v>
      </c>
    </row>
    <row r="838" spans="1:2" x14ac:dyDescent="0.25">
      <c r="A838">
        <f t="shared" si="42"/>
        <v>69</v>
      </c>
      <c r="B838" t="str">
        <f>"        ""SellingRatioMin"": "&amp;VLOOKUP(A838,TraderCategory!$B$63:$L$546,9,FALSE)&amp;","</f>
        <v xml:space="preserve">        "SellingRatioMin": 0.01,</v>
      </c>
    </row>
    <row r="839" spans="1:2" x14ac:dyDescent="0.25">
      <c r="A839">
        <f t="shared" si="42"/>
        <v>69</v>
      </c>
      <c r="B839" t="str">
        <f>"        ""SellingRatioMax"": "&amp;VLOOKUP(A839,TraderCategory!$B$63:$L$546,10,FALSE)&amp;","</f>
        <v xml:space="preserve">        "SellingRatioMax": 0.05,</v>
      </c>
    </row>
    <row r="840" spans="1:2" x14ac:dyDescent="0.25">
      <c r="A840">
        <f t="shared" si="42"/>
        <v>69</v>
      </c>
      <c r="B840" t="str">
        <f>"        ""BuingRatioMin"": "&amp;VLOOKUP(A840,TraderCategory!$B$63:$L$546,11,FALSE)</f>
        <v xml:space="preserve">        "BuingRatioMin": 0.95</v>
      </c>
    </row>
    <row r="841" spans="1:2" x14ac:dyDescent="0.25">
      <c r="A841">
        <f t="shared" si="42"/>
        <v>69</v>
      </c>
      <c r="B841" t="s">
        <v>2755</v>
      </c>
    </row>
    <row r="842" spans="1:2" x14ac:dyDescent="0.25">
      <c r="A842">
        <f>A830+1</f>
        <v>70</v>
      </c>
      <c r="B842" t="str">
        <f>"    """&amp;A842&amp;""": {"</f>
        <v xml:space="preserve">    "70": {</v>
      </c>
    </row>
    <row r="843" spans="1:2" x14ac:dyDescent="0.25">
      <c r="A843">
        <f t="shared" si="42"/>
        <v>70</v>
      </c>
      <c r="B843" t="str">
        <f>"        ""Groups"": """&amp;VLOOKUP(A843,TraderCategory!$B$63:$L$546,2,FALSE)&amp;""","</f>
        <v xml:space="preserve">        "Groups": "#tc_vehicles",</v>
      </c>
    </row>
    <row r="844" spans="1:2" x14ac:dyDescent="0.25">
      <c r="A844">
        <f t="shared" si="42"/>
        <v>70</v>
      </c>
      <c r="B844" t="str">
        <f>"        ""Category"": """&amp;VLOOKUP(A844,TraderCategory!$B$63:$L$546,3,FALSE)&amp;""","</f>
        <v xml:space="preserve">        "Category": "#tc_parts",</v>
      </c>
    </row>
    <row r="845" spans="1:2" x14ac:dyDescent="0.25">
      <c r="A845">
        <f t="shared" si="42"/>
        <v>70</v>
      </c>
      <c r="B845" t="str">
        <f>"        ""SubCategory"": """&amp;VLOOKUP(A845,TraderCategory!$B$63:$L$546,4,FALSE)&amp;""","</f>
        <v xml:space="preserve">        "SubCategory": "#tc_doors",</v>
      </c>
    </row>
    <row r="846" spans="1:2" x14ac:dyDescent="0.25">
      <c r="A846">
        <f t="shared" si="42"/>
        <v>70</v>
      </c>
      <c r="B846" t="str">
        <f>"        ""Reputation"": "&amp;VLOOKUP(A846,TraderCategory!$B$63:$L$546,5,FALSE)&amp;","</f>
        <v xml:space="preserve">        "Reputation": 3,</v>
      </c>
    </row>
    <row r="847" spans="1:2" x14ac:dyDescent="0.25">
      <c r="A847">
        <f t="shared" si="42"/>
        <v>70</v>
      </c>
      <c r="B847" t="str">
        <f>"        ""Restock"": "&amp;VLOOKUP(A847,TraderCategory!$B$63:$L$546,6,FALSE)&amp;","</f>
        <v xml:space="preserve">        "Restock": 2,</v>
      </c>
    </row>
    <row r="848" spans="1:2" x14ac:dyDescent="0.25">
      <c r="A848">
        <f t="shared" si="42"/>
        <v>70</v>
      </c>
      <c r="B848" t="str">
        <f>"        ""RestockCap"": "&amp;VLOOKUP(A848,TraderCategory!$B$63:$L$546,7,FALSE)&amp;","</f>
        <v xml:space="preserve">        "RestockCap": 20,</v>
      </c>
    </row>
    <row r="849" spans="1:2" x14ac:dyDescent="0.25">
      <c r="A849">
        <f t="shared" si="42"/>
        <v>70</v>
      </c>
      <c r="B849" t="str">
        <f>"        ""StockCap"": "&amp;VLOOKUP(A849,TraderCategory!$B$63:$L$546,8,FALSE)&amp;","</f>
        <v xml:space="preserve">        "StockCap": 99,</v>
      </c>
    </row>
    <row r="850" spans="1:2" x14ac:dyDescent="0.25">
      <c r="A850">
        <f t="shared" si="42"/>
        <v>70</v>
      </c>
      <c r="B850" t="str">
        <f>"        ""SellingRatioMin"": "&amp;VLOOKUP(A850,TraderCategory!$B$63:$L$546,9,FALSE)&amp;","</f>
        <v xml:space="preserve">        "SellingRatioMin": 0.01,</v>
      </c>
    </row>
    <row r="851" spans="1:2" x14ac:dyDescent="0.25">
      <c r="A851">
        <f t="shared" si="42"/>
        <v>70</v>
      </c>
      <c r="B851" t="str">
        <f>"        ""SellingRatioMax"": "&amp;VLOOKUP(A851,TraderCategory!$B$63:$L$546,10,FALSE)&amp;","</f>
        <v xml:space="preserve">        "SellingRatioMax": 0.05,</v>
      </c>
    </row>
    <row r="852" spans="1:2" x14ac:dyDescent="0.25">
      <c r="A852">
        <f t="shared" si="42"/>
        <v>70</v>
      </c>
      <c r="B852" t="str">
        <f>"        ""BuingRatioMin"": "&amp;VLOOKUP(A852,TraderCategory!$B$63:$L$546,11,FALSE)</f>
        <v xml:space="preserve">        "BuingRatioMin": 0.95</v>
      </c>
    </row>
    <row r="853" spans="1:2" x14ac:dyDescent="0.25">
      <c r="A853">
        <f t="shared" si="42"/>
        <v>70</v>
      </c>
      <c r="B853" t="s">
        <v>2755</v>
      </c>
    </row>
    <row r="854" spans="1:2" x14ac:dyDescent="0.25">
      <c r="A854">
        <f>A842+1</f>
        <v>71</v>
      </c>
      <c r="B854" t="str">
        <f>"    """&amp;A854&amp;""": {"</f>
        <v xml:space="preserve">    "71": {</v>
      </c>
    </row>
    <row r="855" spans="1:2" x14ac:dyDescent="0.25">
      <c r="A855">
        <f t="shared" si="42"/>
        <v>71</v>
      </c>
      <c r="B855" t="str">
        <f>"        ""Groups"": """&amp;VLOOKUP(A855,TraderCategory!$B$63:$L$546,2,FALSE)&amp;""","</f>
        <v xml:space="preserve">        "Groups": "#tc_vehicles",</v>
      </c>
    </row>
    <row r="856" spans="1:2" x14ac:dyDescent="0.25">
      <c r="A856">
        <f t="shared" si="42"/>
        <v>71</v>
      </c>
      <c r="B856" t="str">
        <f>"        ""Category"": """&amp;VLOOKUP(A856,TraderCategory!$B$63:$L$546,3,FALSE)&amp;""","</f>
        <v xml:space="preserve">        "Category": "#tc_parts",</v>
      </c>
    </row>
    <row r="857" spans="1:2" x14ac:dyDescent="0.25">
      <c r="A857">
        <f t="shared" si="42"/>
        <v>71</v>
      </c>
      <c r="B857" t="str">
        <f>"        ""SubCategory"": """&amp;VLOOKUP(A857,TraderCategory!$B$63:$L$546,4,FALSE)&amp;""","</f>
        <v xml:space="preserve">        "SubCategory": "#tc_hood",</v>
      </c>
    </row>
    <row r="858" spans="1:2" x14ac:dyDescent="0.25">
      <c r="A858">
        <f t="shared" si="42"/>
        <v>71</v>
      </c>
      <c r="B858" t="str">
        <f>"        ""Reputation"": "&amp;VLOOKUP(A858,TraderCategory!$B$63:$L$546,5,FALSE)&amp;","</f>
        <v xml:space="preserve">        "Reputation": 3,</v>
      </c>
    </row>
    <row r="859" spans="1:2" x14ac:dyDescent="0.25">
      <c r="A859">
        <f t="shared" si="42"/>
        <v>71</v>
      </c>
      <c r="B859" t="str">
        <f>"        ""Restock"": "&amp;VLOOKUP(A859,TraderCategory!$B$63:$L$546,6,FALSE)&amp;","</f>
        <v xml:space="preserve">        "Restock": 2,</v>
      </c>
    </row>
    <row r="860" spans="1:2" x14ac:dyDescent="0.25">
      <c r="A860">
        <f t="shared" si="42"/>
        <v>71</v>
      </c>
      <c r="B860" t="str">
        <f>"        ""RestockCap"": "&amp;VLOOKUP(A860,TraderCategory!$B$63:$L$546,7,FALSE)&amp;","</f>
        <v xml:space="preserve">        "RestockCap": 20,</v>
      </c>
    </row>
    <row r="861" spans="1:2" x14ac:dyDescent="0.25">
      <c r="A861">
        <f t="shared" si="42"/>
        <v>71</v>
      </c>
      <c r="B861" t="str">
        <f>"        ""StockCap"": "&amp;VLOOKUP(A861,TraderCategory!$B$63:$L$546,8,FALSE)&amp;","</f>
        <v xml:space="preserve">        "StockCap": 99,</v>
      </c>
    </row>
    <row r="862" spans="1:2" x14ac:dyDescent="0.25">
      <c r="A862">
        <f t="shared" si="42"/>
        <v>71</v>
      </c>
      <c r="B862" t="str">
        <f>"        ""SellingRatioMin"": "&amp;VLOOKUP(A862,TraderCategory!$B$63:$L$546,9,FALSE)&amp;","</f>
        <v xml:space="preserve">        "SellingRatioMin": 0.01,</v>
      </c>
    </row>
    <row r="863" spans="1:2" x14ac:dyDescent="0.25">
      <c r="A863">
        <f t="shared" si="42"/>
        <v>71</v>
      </c>
      <c r="B863" t="str">
        <f>"        ""SellingRatioMax"": "&amp;VLOOKUP(A863,TraderCategory!$B$63:$L$546,10,FALSE)&amp;","</f>
        <v xml:space="preserve">        "SellingRatioMax": 0.05,</v>
      </c>
    </row>
    <row r="864" spans="1:2" x14ac:dyDescent="0.25">
      <c r="A864">
        <f t="shared" si="42"/>
        <v>71</v>
      </c>
      <c r="B864" t="str">
        <f>"        ""BuingRatioMin"": "&amp;VLOOKUP(A864,TraderCategory!$B$63:$L$546,11,FALSE)</f>
        <v xml:space="preserve">        "BuingRatioMin": 0.95</v>
      </c>
    </row>
    <row r="865" spans="1:2" x14ac:dyDescent="0.25">
      <c r="A865">
        <f t="shared" si="42"/>
        <v>71</v>
      </c>
      <c r="B865" t="s">
        <v>2755</v>
      </c>
    </row>
    <row r="866" spans="1:2" x14ac:dyDescent="0.25">
      <c r="A866">
        <f>A854+1</f>
        <v>72</v>
      </c>
      <c r="B866" t="str">
        <f>"    """&amp;A866&amp;""": {"</f>
        <v xml:space="preserve">    "72": {</v>
      </c>
    </row>
    <row r="867" spans="1:2" x14ac:dyDescent="0.25">
      <c r="A867">
        <f t="shared" si="42"/>
        <v>72</v>
      </c>
      <c r="B867" t="str">
        <f>"        ""Groups"": """&amp;VLOOKUP(A867,TraderCategory!$B$63:$L$546,2,FALSE)&amp;""","</f>
        <v xml:space="preserve">        "Groups": "#tc_vehicles",</v>
      </c>
    </row>
    <row r="868" spans="1:2" x14ac:dyDescent="0.25">
      <c r="A868">
        <f t="shared" si="42"/>
        <v>72</v>
      </c>
      <c r="B868" t="str">
        <f>"        ""Category"": """&amp;VLOOKUP(A868,TraderCategory!$B$63:$L$546,3,FALSE)&amp;""","</f>
        <v xml:space="preserve">        "Category": "#tc_parts",</v>
      </c>
    </row>
    <row r="869" spans="1:2" x14ac:dyDescent="0.25">
      <c r="A869">
        <f t="shared" si="42"/>
        <v>72</v>
      </c>
      <c r="B869" t="str">
        <f>"        ""SubCategory"": """&amp;VLOOKUP(A869,TraderCategory!$B$63:$L$546,4,FALSE)&amp;""","</f>
        <v xml:space="preserve">        "SubCategory": "#tc_trunk",</v>
      </c>
    </row>
    <row r="870" spans="1:2" x14ac:dyDescent="0.25">
      <c r="A870">
        <f t="shared" si="42"/>
        <v>72</v>
      </c>
      <c r="B870" t="str">
        <f>"        ""Reputation"": "&amp;VLOOKUP(A870,TraderCategory!$B$63:$L$546,5,FALSE)&amp;","</f>
        <v xml:space="preserve">        "Reputation": 3,</v>
      </c>
    </row>
    <row r="871" spans="1:2" x14ac:dyDescent="0.25">
      <c r="A871">
        <f t="shared" ref="A871:A877" si="43">A859+1</f>
        <v>72</v>
      </c>
      <c r="B871" t="str">
        <f>"        ""Restock"": "&amp;VLOOKUP(A871,TraderCategory!$B$63:$L$546,6,FALSE)&amp;","</f>
        <v xml:space="preserve">        "Restock": 2,</v>
      </c>
    </row>
    <row r="872" spans="1:2" x14ac:dyDescent="0.25">
      <c r="A872">
        <f t="shared" si="43"/>
        <v>72</v>
      </c>
      <c r="B872" t="str">
        <f>"        ""RestockCap"": "&amp;VLOOKUP(A872,TraderCategory!$B$63:$L$546,7,FALSE)&amp;","</f>
        <v xml:space="preserve">        "RestockCap": 20,</v>
      </c>
    </row>
    <row r="873" spans="1:2" x14ac:dyDescent="0.25">
      <c r="A873">
        <f t="shared" si="43"/>
        <v>72</v>
      </c>
      <c r="B873" t="str">
        <f>"        ""StockCap"": "&amp;VLOOKUP(A873,TraderCategory!$B$63:$L$546,8,FALSE)&amp;","</f>
        <v xml:space="preserve">        "StockCap": 99,</v>
      </c>
    </row>
    <row r="874" spans="1:2" x14ac:dyDescent="0.25">
      <c r="A874">
        <f t="shared" si="43"/>
        <v>72</v>
      </c>
      <c r="B874" t="str">
        <f>"        ""SellingRatioMin"": "&amp;VLOOKUP(A874,TraderCategory!$B$63:$L$546,9,FALSE)&amp;","</f>
        <v xml:space="preserve">        "SellingRatioMin": 0.01,</v>
      </c>
    </row>
    <row r="875" spans="1:2" x14ac:dyDescent="0.25">
      <c r="A875">
        <f t="shared" si="43"/>
        <v>72</v>
      </c>
      <c r="B875" t="str">
        <f>"        ""SellingRatioMax"": "&amp;VLOOKUP(A875,TraderCategory!$B$63:$L$546,10,FALSE)&amp;","</f>
        <v xml:space="preserve">        "SellingRatioMax": 0.05,</v>
      </c>
    </row>
    <row r="876" spans="1:2" x14ac:dyDescent="0.25">
      <c r="A876">
        <f t="shared" si="43"/>
        <v>72</v>
      </c>
      <c r="B876" t="str">
        <f>"        ""BuingRatioMin"": "&amp;VLOOKUP(A876,TraderCategory!$B$63:$L$546,11,FALSE)</f>
        <v xml:space="preserve">        "BuingRatioMin": 0.95</v>
      </c>
    </row>
    <row r="877" spans="1:2" x14ac:dyDescent="0.25">
      <c r="A877">
        <f t="shared" si="43"/>
        <v>72</v>
      </c>
      <c r="B877" t="s">
        <v>2755</v>
      </c>
    </row>
    <row r="878" spans="1:2" x14ac:dyDescent="0.25">
      <c r="A878">
        <f>A866+1</f>
        <v>73</v>
      </c>
      <c r="B878" t="str">
        <f>"    """&amp;A878&amp;""": {"</f>
        <v xml:space="preserve">    "73": {</v>
      </c>
    </row>
    <row r="879" spans="1:2" x14ac:dyDescent="0.25">
      <c r="A879">
        <f t="shared" ref="A879:A889" si="44">A867+1</f>
        <v>73</v>
      </c>
      <c r="B879" t="str">
        <f>"        ""Groups"": """&amp;VLOOKUP(A879,TraderCategory!$B$63:$L$546,2,FALSE)&amp;""","</f>
        <v xml:space="preserve">        "Groups": "#tc_vehicles",</v>
      </c>
    </row>
    <row r="880" spans="1:2" x14ac:dyDescent="0.25">
      <c r="A880">
        <f t="shared" si="44"/>
        <v>73</v>
      </c>
      <c r="B880" t="str">
        <f>"        ""Category"": """&amp;VLOOKUP(A880,TraderCategory!$B$63:$L$546,3,FALSE)&amp;""","</f>
        <v xml:space="preserve">        "Category": "#tc_vehicles",</v>
      </c>
    </row>
    <row r="881" spans="1:2" x14ac:dyDescent="0.25">
      <c r="A881">
        <f t="shared" si="44"/>
        <v>73</v>
      </c>
      <c r="B881" t="str">
        <f>"        ""SubCategory"": """&amp;VLOOKUP(A881,TraderCategory!$B$63:$L$546,4,FALSE)&amp;""","</f>
        <v xml:space="preserve">        "SubCategory": "#tc_civil",</v>
      </c>
    </row>
    <row r="882" spans="1:2" x14ac:dyDescent="0.25">
      <c r="A882">
        <f t="shared" si="44"/>
        <v>73</v>
      </c>
      <c r="B882" t="str">
        <f>"        ""Reputation"": "&amp;VLOOKUP(A882,TraderCategory!$B$63:$L$546,5,FALSE)&amp;","</f>
        <v xml:space="preserve">        "Reputation": 9,</v>
      </c>
    </row>
    <row r="883" spans="1:2" x14ac:dyDescent="0.25">
      <c r="A883">
        <f t="shared" si="44"/>
        <v>73</v>
      </c>
      <c r="B883" t="str">
        <f>"        ""Restock"": "&amp;VLOOKUP(A883,TraderCategory!$B$63:$L$546,6,FALSE)&amp;","</f>
        <v xml:space="preserve">        "Restock": 1,</v>
      </c>
    </row>
    <row r="884" spans="1:2" x14ac:dyDescent="0.25">
      <c r="A884">
        <f t="shared" si="44"/>
        <v>73</v>
      </c>
      <c r="B884" t="str">
        <f>"        ""RestockCap"": "&amp;VLOOKUP(A884,TraderCategory!$B$63:$L$546,7,FALSE)&amp;","</f>
        <v xml:space="preserve">        "RestockCap": 5,</v>
      </c>
    </row>
    <row r="885" spans="1:2" x14ac:dyDescent="0.25">
      <c r="A885">
        <f t="shared" si="44"/>
        <v>73</v>
      </c>
      <c r="B885" t="str">
        <f>"        ""StockCap"": "&amp;VLOOKUP(A885,TraderCategory!$B$63:$L$546,8,FALSE)&amp;","</f>
        <v xml:space="preserve">        "StockCap": 99,</v>
      </c>
    </row>
    <row r="886" spans="1:2" x14ac:dyDescent="0.25">
      <c r="A886">
        <f t="shared" si="44"/>
        <v>73</v>
      </c>
      <c r="B886" t="str">
        <f>"        ""SellingRatioMin"": "&amp;VLOOKUP(A886,TraderCategory!$B$63:$L$546,9,FALSE)&amp;","</f>
        <v xml:space="preserve">        "SellingRatioMin": 0.05,</v>
      </c>
    </row>
    <row r="887" spans="1:2" x14ac:dyDescent="0.25">
      <c r="A887">
        <f t="shared" si="44"/>
        <v>73</v>
      </c>
      <c r="B887" t="str">
        <f>"        ""SellingRatioMax"": "&amp;VLOOKUP(A887,TraderCategory!$B$63:$L$546,10,FALSE)&amp;","</f>
        <v xml:space="preserve">        "SellingRatioMax": 0.1,</v>
      </c>
    </row>
    <row r="888" spans="1:2" x14ac:dyDescent="0.25">
      <c r="A888">
        <f t="shared" si="44"/>
        <v>73</v>
      </c>
      <c r="B888" t="str">
        <f>"        ""BuingRatioMin"": "&amp;VLOOKUP(A888,TraderCategory!$B$63:$L$546,11,FALSE)</f>
        <v xml:space="preserve">        "BuingRatioMin": 0.95</v>
      </c>
    </row>
    <row r="889" spans="1:2" x14ac:dyDescent="0.25">
      <c r="A889">
        <f t="shared" si="44"/>
        <v>73</v>
      </c>
      <c r="B889" t="s">
        <v>2755</v>
      </c>
    </row>
    <row r="890" spans="1:2" x14ac:dyDescent="0.25">
      <c r="A890">
        <f>A878+1</f>
        <v>74</v>
      </c>
      <c r="B890" t="str">
        <f>"    """&amp;A890&amp;""": {"</f>
        <v xml:space="preserve">    "74": {</v>
      </c>
    </row>
    <row r="891" spans="1:2" x14ac:dyDescent="0.25">
      <c r="A891">
        <f t="shared" ref="A891:A901" si="45">A879+1</f>
        <v>74</v>
      </c>
      <c r="B891" t="str">
        <f>"        ""Groups"": """&amp;VLOOKUP(A891,TraderCategory!$B$63:$L$546,2,FALSE)&amp;""","</f>
        <v xml:space="preserve">        "Groups": "#tc_vehicles",</v>
      </c>
    </row>
    <row r="892" spans="1:2" x14ac:dyDescent="0.25">
      <c r="A892">
        <f t="shared" si="45"/>
        <v>74</v>
      </c>
      <c r="B892" t="str">
        <f>"        ""Category"": """&amp;VLOOKUP(A892,TraderCategory!$B$63:$L$546,3,FALSE)&amp;""","</f>
        <v xml:space="preserve">        "Category": "#tc_vehicles",</v>
      </c>
    </row>
    <row r="893" spans="1:2" x14ac:dyDescent="0.25">
      <c r="A893">
        <f t="shared" si="45"/>
        <v>74</v>
      </c>
      <c r="B893" t="str">
        <f>"        ""SubCategory"": """&amp;VLOOKUP(A893,TraderCategory!$B$63:$L$546,4,FALSE)&amp;""","</f>
        <v xml:space="preserve">        "SubCategory": "#tc_cargo",</v>
      </c>
    </row>
    <row r="894" spans="1:2" x14ac:dyDescent="0.25">
      <c r="A894">
        <f t="shared" si="45"/>
        <v>74</v>
      </c>
      <c r="B894" t="str">
        <f>"        ""Reputation"": "&amp;VLOOKUP(A894,TraderCategory!$B$63:$L$546,5,FALSE)&amp;","</f>
        <v xml:space="preserve">        "Reputation": 9,</v>
      </c>
    </row>
    <row r="895" spans="1:2" x14ac:dyDescent="0.25">
      <c r="A895">
        <f t="shared" si="45"/>
        <v>74</v>
      </c>
      <c r="B895" t="str">
        <f>"        ""Restock"": "&amp;VLOOKUP(A895,TraderCategory!$B$63:$L$546,6,FALSE)&amp;","</f>
        <v xml:space="preserve">        "Restock": 1,</v>
      </c>
    </row>
    <row r="896" spans="1:2" x14ac:dyDescent="0.25">
      <c r="A896">
        <f t="shared" si="45"/>
        <v>74</v>
      </c>
      <c r="B896" t="str">
        <f>"        ""RestockCap"": "&amp;VLOOKUP(A896,TraderCategory!$B$63:$L$546,7,FALSE)&amp;","</f>
        <v xml:space="preserve">        "RestockCap": 5,</v>
      </c>
    </row>
    <row r="897" spans="1:2" x14ac:dyDescent="0.25">
      <c r="A897">
        <f t="shared" si="45"/>
        <v>74</v>
      </c>
      <c r="B897" t="str">
        <f>"        ""StockCap"": "&amp;VLOOKUP(A897,TraderCategory!$B$63:$L$546,8,FALSE)&amp;","</f>
        <v xml:space="preserve">        "StockCap": 99,</v>
      </c>
    </row>
    <row r="898" spans="1:2" x14ac:dyDescent="0.25">
      <c r="A898">
        <f t="shared" si="45"/>
        <v>74</v>
      </c>
      <c r="B898" t="str">
        <f>"        ""SellingRatioMin"": "&amp;VLOOKUP(A898,TraderCategory!$B$63:$L$546,9,FALSE)&amp;","</f>
        <v xml:space="preserve">        "SellingRatioMin": 0.05,</v>
      </c>
    </row>
    <row r="899" spans="1:2" x14ac:dyDescent="0.25">
      <c r="A899">
        <f t="shared" si="45"/>
        <v>74</v>
      </c>
      <c r="B899" t="str">
        <f>"        ""SellingRatioMax"": "&amp;VLOOKUP(A899,TraderCategory!$B$63:$L$546,10,FALSE)&amp;","</f>
        <v xml:space="preserve">        "SellingRatioMax": 0.1,</v>
      </c>
    </row>
    <row r="900" spans="1:2" x14ac:dyDescent="0.25">
      <c r="A900">
        <f t="shared" si="45"/>
        <v>74</v>
      </c>
      <c r="B900" t="str">
        <f>"        ""BuingRatioMin"": "&amp;VLOOKUP(A900,TraderCategory!$B$63:$L$546,11,FALSE)</f>
        <v xml:space="preserve">        "BuingRatioMin": 0.95</v>
      </c>
    </row>
    <row r="901" spans="1:2" x14ac:dyDescent="0.25">
      <c r="A901">
        <f t="shared" si="45"/>
        <v>74</v>
      </c>
      <c r="B901" t="s">
        <v>2755</v>
      </c>
    </row>
    <row r="902" spans="1:2" x14ac:dyDescent="0.25">
      <c r="A902">
        <f>A890+1</f>
        <v>75</v>
      </c>
      <c r="B902" t="str">
        <f>"    """&amp;A902&amp;""": {"</f>
        <v xml:space="preserve">    "75": {</v>
      </c>
    </row>
    <row r="903" spans="1:2" x14ac:dyDescent="0.25">
      <c r="A903">
        <f t="shared" ref="A903:A913" si="46">A891+1</f>
        <v>75</v>
      </c>
      <c r="B903" t="str">
        <f>"        ""Groups"": """&amp;VLOOKUP(A903,TraderCategory!$B$63:$L$546,2,FALSE)&amp;""","</f>
        <v xml:space="preserve">        "Groups": "#tc_vehicles",</v>
      </c>
    </row>
    <row r="904" spans="1:2" x14ac:dyDescent="0.25">
      <c r="A904">
        <f t="shared" si="46"/>
        <v>75</v>
      </c>
      <c r="B904" t="str">
        <f>"        ""Category"": """&amp;VLOOKUP(A904,TraderCategory!$B$63:$L$546,3,FALSE)&amp;""","</f>
        <v xml:space="preserve">        "Category": "#tc_vehicles",</v>
      </c>
    </row>
    <row r="905" spans="1:2" x14ac:dyDescent="0.25">
      <c r="A905">
        <f t="shared" si="46"/>
        <v>75</v>
      </c>
      <c r="B905" t="str">
        <f>"        ""SubCategory"": """&amp;VLOOKUP(A905,TraderCategory!$B$63:$L$546,4,FALSE)&amp;""","</f>
        <v xml:space="preserve">        "SubCategory": "#tc_transport",</v>
      </c>
    </row>
    <row r="906" spans="1:2" x14ac:dyDescent="0.25">
      <c r="A906">
        <f t="shared" si="46"/>
        <v>75</v>
      </c>
      <c r="B906" t="str">
        <f>"        ""Reputation"": "&amp;VLOOKUP(A906,TraderCategory!$B$63:$L$546,5,FALSE)&amp;","</f>
        <v xml:space="preserve">        "Reputation": 9,</v>
      </c>
    </row>
    <row r="907" spans="1:2" x14ac:dyDescent="0.25">
      <c r="A907">
        <f t="shared" si="46"/>
        <v>75</v>
      </c>
      <c r="B907" t="str">
        <f>"        ""Restock"": "&amp;VLOOKUP(A907,TraderCategory!$B$63:$L$546,6,FALSE)&amp;","</f>
        <v xml:space="preserve">        "Restock": 1,</v>
      </c>
    </row>
    <row r="908" spans="1:2" x14ac:dyDescent="0.25">
      <c r="A908">
        <f t="shared" si="46"/>
        <v>75</v>
      </c>
      <c r="B908" t="str">
        <f>"        ""RestockCap"": "&amp;VLOOKUP(A908,TraderCategory!$B$63:$L$546,7,FALSE)&amp;","</f>
        <v xml:space="preserve">        "RestockCap": 5,</v>
      </c>
    </row>
    <row r="909" spans="1:2" x14ac:dyDescent="0.25">
      <c r="A909">
        <f t="shared" si="46"/>
        <v>75</v>
      </c>
      <c r="B909" t="str">
        <f>"        ""StockCap"": "&amp;VLOOKUP(A909,TraderCategory!$B$63:$L$546,8,FALSE)&amp;","</f>
        <v xml:space="preserve">        "StockCap": 99,</v>
      </c>
    </row>
    <row r="910" spans="1:2" x14ac:dyDescent="0.25">
      <c r="A910">
        <f t="shared" si="46"/>
        <v>75</v>
      </c>
      <c r="B910" t="str">
        <f>"        ""SellingRatioMin"": "&amp;VLOOKUP(A910,TraderCategory!$B$63:$L$546,9,FALSE)&amp;","</f>
        <v xml:space="preserve">        "SellingRatioMin": 0.05,</v>
      </c>
    </row>
    <row r="911" spans="1:2" x14ac:dyDescent="0.25">
      <c r="A911">
        <f t="shared" si="46"/>
        <v>75</v>
      </c>
      <c r="B911" t="str">
        <f>"        ""SellingRatioMax"": "&amp;VLOOKUP(A911,TraderCategory!$B$63:$L$546,10,FALSE)&amp;","</f>
        <v xml:space="preserve">        "SellingRatioMax": 0.1,</v>
      </c>
    </row>
    <row r="912" spans="1:2" x14ac:dyDescent="0.25">
      <c r="A912">
        <f t="shared" si="46"/>
        <v>75</v>
      </c>
      <c r="B912" t="str">
        <f>"        ""BuingRatioMin"": "&amp;VLOOKUP(A912,TraderCategory!$B$63:$L$546,11,FALSE)</f>
        <v xml:space="preserve">        "BuingRatioMin": 0.95</v>
      </c>
    </row>
    <row r="913" spans="1:2" x14ac:dyDescent="0.25">
      <c r="A913">
        <f t="shared" si="46"/>
        <v>75</v>
      </c>
      <c r="B913" t="s">
        <v>2755</v>
      </c>
    </row>
    <row r="914" spans="1:2" x14ac:dyDescent="0.25">
      <c r="A914">
        <f>A902+1</f>
        <v>76</v>
      </c>
      <c r="B914" t="str">
        <f>"    """&amp;A914&amp;""": {"</f>
        <v xml:space="preserve">    "76": {</v>
      </c>
    </row>
    <row r="915" spans="1:2" x14ac:dyDescent="0.25">
      <c r="A915">
        <f t="shared" ref="A915:A925" si="47">A903+1</f>
        <v>76</v>
      </c>
      <c r="B915" t="e">
        <f>"        ""Groups"": """&amp;VLOOKUP(A915,TraderCategory!$B$63:$L$546,2,FALSE)&amp;""","</f>
        <v>#N/A</v>
      </c>
    </row>
    <row r="916" spans="1:2" x14ac:dyDescent="0.25">
      <c r="A916">
        <f t="shared" si="47"/>
        <v>76</v>
      </c>
      <c r="B916" t="e">
        <f>"        ""Category"": """&amp;VLOOKUP(A916,TraderCategory!$B$63:$L$546,3,FALSE)&amp;""","</f>
        <v>#N/A</v>
      </c>
    </row>
    <row r="917" spans="1:2" x14ac:dyDescent="0.25">
      <c r="A917">
        <f t="shared" si="47"/>
        <v>76</v>
      </c>
      <c r="B917" t="e">
        <f>"        ""SubCategory"": """&amp;VLOOKUP(A917,TraderCategory!$B$63:$L$546,4,FALSE)&amp;""","</f>
        <v>#N/A</v>
      </c>
    </row>
    <row r="918" spans="1:2" x14ac:dyDescent="0.25">
      <c r="A918">
        <f t="shared" si="47"/>
        <v>76</v>
      </c>
      <c r="B918" t="e">
        <f>"        ""Reputation"": "&amp;VLOOKUP(A918,TraderCategory!$B$63:$L$546,5,FALSE)&amp;","</f>
        <v>#N/A</v>
      </c>
    </row>
    <row r="919" spans="1:2" x14ac:dyDescent="0.25">
      <c r="A919">
        <f t="shared" si="47"/>
        <v>76</v>
      </c>
      <c r="B919" t="e">
        <f>"        ""Restock"": "&amp;VLOOKUP(A919,TraderCategory!$B$63:$L$546,6,FALSE)&amp;","</f>
        <v>#N/A</v>
      </c>
    </row>
    <row r="920" spans="1:2" x14ac:dyDescent="0.25">
      <c r="A920">
        <f t="shared" si="47"/>
        <v>76</v>
      </c>
      <c r="B920" t="e">
        <f>"        ""RestockCap"": "&amp;VLOOKUP(A920,TraderCategory!$B$63:$L$546,7,FALSE)&amp;","</f>
        <v>#N/A</v>
      </c>
    </row>
    <row r="921" spans="1:2" x14ac:dyDescent="0.25">
      <c r="A921">
        <f t="shared" si="47"/>
        <v>76</v>
      </c>
      <c r="B921" t="e">
        <f>"        ""StockCap"": "&amp;VLOOKUP(A921,TraderCategory!$B$63:$L$546,8,FALSE)&amp;","</f>
        <v>#N/A</v>
      </c>
    </row>
    <row r="922" spans="1:2" x14ac:dyDescent="0.25">
      <c r="A922">
        <f t="shared" si="47"/>
        <v>76</v>
      </c>
      <c r="B922" t="e">
        <f>"        ""SellingRatioMin"": "&amp;VLOOKUP(A922,TraderCategory!$B$63:$L$546,9,FALSE)&amp;","</f>
        <v>#N/A</v>
      </c>
    </row>
    <row r="923" spans="1:2" x14ac:dyDescent="0.25">
      <c r="A923">
        <f t="shared" si="47"/>
        <v>76</v>
      </c>
      <c r="B923" t="e">
        <f>"        ""SellingRatioMax"": "&amp;VLOOKUP(A923,TraderCategory!$B$63:$L$546,10,FALSE)&amp;","</f>
        <v>#N/A</v>
      </c>
    </row>
    <row r="924" spans="1:2" x14ac:dyDescent="0.25">
      <c r="A924">
        <f t="shared" si="47"/>
        <v>76</v>
      </c>
      <c r="B924" t="e">
        <f>"        ""BuingRatioMin"": "&amp;VLOOKUP(A924,TraderCategory!$B$63:$L$546,11,FALSE)</f>
        <v>#N/A</v>
      </c>
    </row>
    <row r="925" spans="1:2" x14ac:dyDescent="0.25">
      <c r="A925">
        <f t="shared" si="47"/>
        <v>76</v>
      </c>
      <c r="B925" t="s">
        <v>2755</v>
      </c>
    </row>
    <row r="926" spans="1:2" x14ac:dyDescent="0.25">
      <c r="A926">
        <f>A914+1</f>
        <v>77</v>
      </c>
      <c r="B926" t="str">
        <f>"    """&amp;A926&amp;""": {"</f>
        <v xml:space="preserve">    "77": {</v>
      </c>
    </row>
    <row r="927" spans="1:2" x14ac:dyDescent="0.25">
      <c r="A927">
        <f t="shared" ref="A927:A937" si="48">A915+1</f>
        <v>77</v>
      </c>
      <c r="B927" t="e">
        <f>"        ""Groups"": """&amp;VLOOKUP(A927,TraderCategory!$B$63:$L$546,2,FALSE)&amp;""","</f>
        <v>#N/A</v>
      </c>
    </row>
    <row r="928" spans="1:2" x14ac:dyDescent="0.25">
      <c r="A928">
        <f t="shared" si="48"/>
        <v>77</v>
      </c>
      <c r="B928" t="e">
        <f>"        ""Category"": """&amp;VLOOKUP(A928,TraderCategory!$B$63:$L$546,3,FALSE)&amp;""","</f>
        <v>#N/A</v>
      </c>
    </row>
    <row r="929" spans="1:2" x14ac:dyDescent="0.25">
      <c r="A929">
        <f t="shared" si="48"/>
        <v>77</v>
      </c>
      <c r="B929" t="e">
        <f>"        ""SubCategory"": """&amp;VLOOKUP(A929,TraderCategory!$B$63:$L$546,4,FALSE)&amp;""","</f>
        <v>#N/A</v>
      </c>
    </row>
    <row r="930" spans="1:2" x14ac:dyDescent="0.25">
      <c r="A930">
        <f t="shared" si="48"/>
        <v>77</v>
      </c>
      <c r="B930" t="e">
        <f>"        ""Reputation"": "&amp;VLOOKUP(A930,TraderCategory!$B$63:$L$546,5,FALSE)&amp;","</f>
        <v>#N/A</v>
      </c>
    </row>
    <row r="931" spans="1:2" x14ac:dyDescent="0.25">
      <c r="A931">
        <f t="shared" si="48"/>
        <v>77</v>
      </c>
      <c r="B931" t="e">
        <f>"        ""Restock"": "&amp;VLOOKUP(A931,TraderCategory!$B$63:$L$546,6,FALSE)&amp;","</f>
        <v>#N/A</v>
      </c>
    </row>
    <row r="932" spans="1:2" x14ac:dyDescent="0.25">
      <c r="A932">
        <f t="shared" si="48"/>
        <v>77</v>
      </c>
      <c r="B932" t="e">
        <f>"        ""RestockCap"": "&amp;VLOOKUP(A932,TraderCategory!$B$63:$L$546,7,FALSE)&amp;","</f>
        <v>#N/A</v>
      </c>
    </row>
    <row r="933" spans="1:2" x14ac:dyDescent="0.25">
      <c r="A933">
        <f t="shared" si="48"/>
        <v>77</v>
      </c>
      <c r="B933" t="e">
        <f>"        ""StockCap"": "&amp;VLOOKUP(A933,TraderCategory!$B$63:$L$546,8,FALSE)&amp;","</f>
        <v>#N/A</v>
      </c>
    </row>
    <row r="934" spans="1:2" x14ac:dyDescent="0.25">
      <c r="A934">
        <f t="shared" si="48"/>
        <v>77</v>
      </c>
      <c r="B934" t="e">
        <f>"        ""SellingRatioMin"": "&amp;VLOOKUP(A934,TraderCategory!$B$63:$L$546,9,FALSE)&amp;","</f>
        <v>#N/A</v>
      </c>
    </row>
    <row r="935" spans="1:2" x14ac:dyDescent="0.25">
      <c r="A935">
        <f t="shared" si="48"/>
        <v>77</v>
      </c>
      <c r="B935" t="e">
        <f>"        ""SellingRatioMax"": "&amp;VLOOKUP(A935,TraderCategory!$B$63:$L$546,10,FALSE)&amp;","</f>
        <v>#N/A</v>
      </c>
    </row>
    <row r="936" spans="1:2" x14ac:dyDescent="0.25">
      <c r="A936">
        <f t="shared" si="48"/>
        <v>77</v>
      </c>
      <c r="B936" t="e">
        <f>"        ""BuingRatioMin"": "&amp;VLOOKUP(A936,TraderCategory!$B$63:$L$546,11,FALSE)</f>
        <v>#N/A</v>
      </c>
    </row>
    <row r="937" spans="1:2" x14ac:dyDescent="0.25">
      <c r="A937">
        <f t="shared" si="48"/>
        <v>77</v>
      </c>
      <c r="B937" t="s">
        <v>2755</v>
      </c>
    </row>
    <row r="938" spans="1:2" x14ac:dyDescent="0.25">
      <c r="A938">
        <f>A926+1</f>
        <v>78</v>
      </c>
      <c r="B938" t="str">
        <f>"    """&amp;A938&amp;""": {"</f>
        <v xml:space="preserve">    "78": {</v>
      </c>
    </row>
    <row r="939" spans="1:2" x14ac:dyDescent="0.25">
      <c r="A939">
        <f t="shared" ref="A939:A1002" si="49">A927+1</f>
        <v>78</v>
      </c>
      <c r="B939" t="e">
        <f>"        ""Groups"": """&amp;VLOOKUP(A939,TraderCategory!$B$63:$L$546,2,FALSE)&amp;""","</f>
        <v>#N/A</v>
      </c>
    </row>
    <row r="940" spans="1:2" x14ac:dyDescent="0.25">
      <c r="A940">
        <f t="shared" si="49"/>
        <v>78</v>
      </c>
      <c r="B940" t="e">
        <f>"        ""Category"": """&amp;VLOOKUP(A940,TraderCategory!$B$63:$L$546,3,FALSE)&amp;""","</f>
        <v>#N/A</v>
      </c>
    </row>
    <row r="941" spans="1:2" x14ac:dyDescent="0.25">
      <c r="A941">
        <f t="shared" si="49"/>
        <v>78</v>
      </c>
      <c r="B941" t="e">
        <f>"        ""SubCategory"": """&amp;VLOOKUP(A941,TraderCategory!$B$63:$L$546,4,FALSE)&amp;""","</f>
        <v>#N/A</v>
      </c>
    </row>
    <row r="942" spans="1:2" x14ac:dyDescent="0.25">
      <c r="A942">
        <f t="shared" si="49"/>
        <v>78</v>
      </c>
      <c r="B942" t="e">
        <f>"        ""Reputation"": "&amp;VLOOKUP(A942,TraderCategory!$B$63:$L$546,5,FALSE)&amp;","</f>
        <v>#N/A</v>
      </c>
    </row>
    <row r="943" spans="1:2" x14ac:dyDescent="0.25">
      <c r="A943">
        <f t="shared" si="49"/>
        <v>78</v>
      </c>
      <c r="B943" t="e">
        <f>"        ""Restock"": "&amp;VLOOKUP(A943,TraderCategory!$B$63:$L$546,6,FALSE)&amp;","</f>
        <v>#N/A</v>
      </c>
    </row>
    <row r="944" spans="1:2" x14ac:dyDescent="0.25">
      <c r="A944">
        <f t="shared" si="49"/>
        <v>78</v>
      </c>
      <c r="B944" t="e">
        <f>"        ""RestockCap"": "&amp;VLOOKUP(A944,TraderCategory!$B$63:$L$546,7,FALSE)&amp;","</f>
        <v>#N/A</v>
      </c>
    </row>
    <row r="945" spans="1:2" x14ac:dyDescent="0.25">
      <c r="A945">
        <f t="shared" si="49"/>
        <v>78</v>
      </c>
      <c r="B945" t="e">
        <f>"        ""StockCap"": "&amp;VLOOKUP(A945,TraderCategory!$B$63:$L$546,8,FALSE)&amp;","</f>
        <v>#N/A</v>
      </c>
    </row>
    <row r="946" spans="1:2" x14ac:dyDescent="0.25">
      <c r="A946">
        <f t="shared" si="49"/>
        <v>78</v>
      </c>
      <c r="B946" t="e">
        <f>"        ""SellingRatioMin"": "&amp;VLOOKUP(A946,TraderCategory!$B$63:$L$546,9,FALSE)&amp;","</f>
        <v>#N/A</v>
      </c>
    </row>
    <row r="947" spans="1:2" x14ac:dyDescent="0.25">
      <c r="A947">
        <f t="shared" si="49"/>
        <v>78</v>
      </c>
      <c r="B947" t="e">
        <f>"        ""SellingRatioMax"": "&amp;VLOOKUP(A947,TraderCategory!$B$63:$L$546,10,FALSE)&amp;","</f>
        <v>#N/A</v>
      </c>
    </row>
    <row r="948" spans="1:2" x14ac:dyDescent="0.25">
      <c r="A948">
        <f t="shared" si="49"/>
        <v>78</v>
      </c>
      <c r="B948" t="e">
        <f>"        ""BuingRatioMin"": "&amp;VLOOKUP(A948,TraderCategory!$B$63:$L$546,11,FALSE)</f>
        <v>#N/A</v>
      </c>
    </row>
    <row r="949" spans="1:2" x14ac:dyDescent="0.25">
      <c r="A949">
        <f t="shared" si="49"/>
        <v>78</v>
      </c>
      <c r="B949" t="s">
        <v>2755</v>
      </c>
    </row>
    <row r="950" spans="1:2" x14ac:dyDescent="0.25">
      <c r="A950">
        <f>A938+1</f>
        <v>79</v>
      </c>
      <c r="B950" t="str">
        <f>"    """&amp;A950&amp;""": {"</f>
        <v xml:space="preserve">    "79": {</v>
      </c>
    </row>
    <row r="951" spans="1:2" x14ac:dyDescent="0.25">
      <c r="A951">
        <f t="shared" si="49"/>
        <v>79</v>
      </c>
      <c r="B951" t="e">
        <f>"        ""Groups"": """&amp;VLOOKUP(A951,TraderCategory!$B$63:$L$546,2,FALSE)&amp;""","</f>
        <v>#N/A</v>
      </c>
    </row>
    <row r="952" spans="1:2" x14ac:dyDescent="0.25">
      <c r="A952">
        <f t="shared" si="49"/>
        <v>79</v>
      </c>
      <c r="B952" t="e">
        <f>"        ""Category"": """&amp;VLOOKUP(A952,TraderCategory!$B$63:$L$546,3,FALSE)&amp;""","</f>
        <v>#N/A</v>
      </c>
    </row>
    <row r="953" spans="1:2" x14ac:dyDescent="0.25">
      <c r="A953">
        <f t="shared" si="49"/>
        <v>79</v>
      </c>
      <c r="B953" t="e">
        <f>"        ""SubCategory"": """&amp;VLOOKUP(A953,TraderCategory!$B$63:$L$546,4,FALSE)&amp;""","</f>
        <v>#N/A</v>
      </c>
    </row>
    <row r="954" spans="1:2" x14ac:dyDescent="0.25">
      <c r="A954">
        <f t="shared" si="49"/>
        <v>79</v>
      </c>
      <c r="B954" t="e">
        <f>"        ""Reputation"": "&amp;VLOOKUP(A954,TraderCategory!$B$63:$L$546,5,FALSE)&amp;","</f>
        <v>#N/A</v>
      </c>
    </row>
    <row r="955" spans="1:2" x14ac:dyDescent="0.25">
      <c r="A955">
        <f t="shared" si="49"/>
        <v>79</v>
      </c>
      <c r="B955" t="e">
        <f>"        ""Restock"": "&amp;VLOOKUP(A955,TraderCategory!$B$63:$L$546,6,FALSE)&amp;","</f>
        <v>#N/A</v>
      </c>
    </row>
    <row r="956" spans="1:2" x14ac:dyDescent="0.25">
      <c r="A956">
        <f t="shared" si="49"/>
        <v>79</v>
      </c>
      <c r="B956" t="e">
        <f>"        ""RestockCap"": "&amp;VLOOKUP(A956,TraderCategory!$B$63:$L$546,7,FALSE)&amp;","</f>
        <v>#N/A</v>
      </c>
    </row>
    <row r="957" spans="1:2" x14ac:dyDescent="0.25">
      <c r="A957">
        <f t="shared" si="49"/>
        <v>79</v>
      </c>
      <c r="B957" t="e">
        <f>"        ""StockCap"": "&amp;VLOOKUP(A957,TraderCategory!$B$63:$L$546,8,FALSE)&amp;","</f>
        <v>#N/A</v>
      </c>
    </row>
    <row r="958" spans="1:2" x14ac:dyDescent="0.25">
      <c r="A958">
        <f t="shared" si="49"/>
        <v>79</v>
      </c>
      <c r="B958" t="e">
        <f>"        ""SellingRatioMin"": "&amp;VLOOKUP(A958,TraderCategory!$B$63:$L$546,9,FALSE)&amp;","</f>
        <v>#N/A</v>
      </c>
    </row>
    <row r="959" spans="1:2" x14ac:dyDescent="0.25">
      <c r="A959">
        <f t="shared" si="49"/>
        <v>79</v>
      </c>
      <c r="B959" t="e">
        <f>"        ""SellingRatioMax"": "&amp;VLOOKUP(A959,TraderCategory!$B$63:$L$546,10,FALSE)&amp;","</f>
        <v>#N/A</v>
      </c>
    </row>
    <row r="960" spans="1:2" x14ac:dyDescent="0.25">
      <c r="A960">
        <f t="shared" si="49"/>
        <v>79</v>
      </c>
      <c r="B960" t="e">
        <f>"        ""BuingRatioMin"": "&amp;VLOOKUP(A960,TraderCategory!$B$63:$L$546,11,FALSE)</f>
        <v>#N/A</v>
      </c>
    </row>
    <row r="961" spans="1:2" x14ac:dyDescent="0.25">
      <c r="A961">
        <f t="shared" si="49"/>
        <v>79</v>
      </c>
      <c r="B961" t="s">
        <v>2755</v>
      </c>
    </row>
    <row r="962" spans="1:2" x14ac:dyDescent="0.25">
      <c r="A962">
        <f>A950+1</f>
        <v>80</v>
      </c>
      <c r="B962" t="str">
        <f>"    """&amp;A962&amp;""": {"</f>
        <v xml:space="preserve">    "80": {</v>
      </c>
    </row>
    <row r="963" spans="1:2" x14ac:dyDescent="0.25">
      <c r="A963">
        <f t="shared" si="49"/>
        <v>80</v>
      </c>
      <c r="B963" t="e">
        <f>"        ""Groups"": """&amp;VLOOKUP(A963,TraderCategory!$B$63:$L$546,2,FALSE)&amp;""","</f>
        <v>#N/A</v>
      </c>
    </row>
    <row r="964" spans="1:2" x14ac:dyDescent="0.25">
      <c r="A964">
        <f t="shared" si="49"/>
        <v>80</v>
      </c>
      <c r="B964" t="e">
        <f>"        ""Category"": """&amp;VLOOKUP(A964,TraderCategory!$B$63:$L$546,3,FALSE)&amp;""","</f>
        <v>#N/A</v>
      </c>
    </row>
    <row r="965" spans="1:2" x14ac:dyDescent="0.25">
      <c r="A965">
        <f t="shared" si="49"/>
        <v>80</v>
      </c>
      <c r="B965" t="e">
        <f>"        ""SubCategory"": """&amp;VLOOKUP(A965,TraderCategory!$B$63:$L$546,4,FALSE)&amp;""","</f>
        <v>#N/A</v>
      </c>
    </row>
    <row r="966" spans="1:2" x14ac:dyDescent="0.25">
      <c r="A966">
        <f t="shared" si="49"/>
        <v>80</v>
      </c>
      <c r="B966" t="e">
        <f>"        ""Reputation"": "&amp;VLOOKUP(A966,TraderCategory!$B$63:$L$546,5,FALSE)&amp;","</f>
        <v>#N/A</v>
      </c>
    </row>
    <row r="967" spans="1:2" x14ac:dyDescent="0.25">
      <c r="A967">
        <f t="shared" si="49"/>
        <v>80</v>
      </c>
      <c r="B967" t="e">
        <f>"        ""Restock"": "&amp;VLOOKUP(A967,TraderCategory!$B$63:$L$546,6,FALSE)&amp;","</f>
        <v>#N/A</v>
      </c>
    </row>
    <row r="968" spans="1:2" x14ac:dyDescent="0.25">
      <c r="A968">
        <f t="shared" si="49"/>
        <v>80</v>
      </c>
      <c r="B968" t="e">
        <f>"        ""RestockCap"": "&amp;VLOOKUP(A968,TraderCategory!$B$63:$L$546,7,FALSE)&amp;","</f>
        <v>#N/A</v>
      </c>
    </row>
    <row r="969" spans="1:2" x14ac:dyDescent="0.25">
      <c r="A969">
        <f t="shared" si="49"/>
        <v>80</v>
      </c>
      <c r="B969" t="e">
        <f>"        ""StockCap"": "&amp;VLOOKUP(A969,TraderCategory!$B$63:$L$546,8,FALSE)&amp;","</f>
        <v>#N/A</v>
      </c>
    </row>
    <row r="970" spans="1:2" x14ac:dyDescent="0.25">
      <c r="A970">
        <f t="shared" si="49"/>
        <v>80</v>
      </c>
      <c r="B970" t="e">
        <f>"        ""SellingRatioMin"": "&amp;VLOOKUP(A970,TraderCategory!$B$63:$L$546,9,FALSE)&amp;","</f>
        <v>#N/A</v>
      </c>
    </row>
    <row r="971" spans="1:2" x14ac:dyDescent="0.25">
      <c r="A971">
        <f t="shared" si="49"/>
        <v>80</v>
      </c>
      <c r="B971" t="e">
        <f>"        ""SellingRatioMax"": "&amp;VLOOKUP(A971,TraderCategory!$B$63:$L$546,10,FALSE)&amp;","</f>
        <v>#N/A</v>
      </c>
    </row>
    <row r="972" spans="1:2" x14ac:dyDescent="0.25">
      <c r="A972">
        <f t="shared" si="49"/>
        <v>80</v>
      </c>
      <c r="B972" t="e">
        <f>"        ""BuingRatioMin"": "&amp;VLOOKUP(A972,TraderCategory!$B$63:$L$546,11,FALSE)</f>
        <v>#N/A</v>
      </c>
    </row>
    <row r="973" spans="1:2" x14ac:dyDescent="0.25">
      <c r="A973">
        <f t="shared" si="49"/>
        <v>80</v>
      </c>
      <c r="B973" t="s">
        <v>2755</v>
      </c>
    </row>
    <row r="974" spans="1:2" x14ac:dyDescent="0.25">
      <c r="A974">
        <f>A962+1</f>
        <v>81</v>
      </c>
      <c r="B974" t="str">
        <f>"    """&amp;A974&amp;""": {"</f>
        <v xml:space="preserve">    "81": {</v>
      </c>
    </row>
    <row r="975" spans="1:2" x14ac:dyDescent="0.25">
      <c r="A975">
        <f t="shared" si="49"/>
        <v>81</v>
      </c>
      <c r="B975" t="e">
        <f>"        ""Groups"": """&amp;VLOOKUP(A975,TraderCategory!$B$63:$L$546,2,FALSE)&amp;""","</f>
        <v>#N/A</v>
      </c>
    </row>
    <row r="976" spans="1:2" x14ac:dyDescent="0.25">
      <c r="A976">
        <f t="shared" si="49"/>
        <v>81</v>
      </c>
      <c r="B976" t="e">
        <f>"        ""Category"": """&amp;VLOOKUP(A976,TraderCategory!$B$63:$L$546,3,FALSE)&amp;""","</f>
        <v>#N/A</v>
      </c>
    </row>
    <row r="977" spans="1:2" x14ac:dyDescent="0.25">
      <c r="A977">
        <f t="shared" si="49"/>
        <v>81</v>
      </c>
      <c r="B977" t="e">
        <f>"        ""SubCategory"": """&amp;VLOOKUP(A977,TraderCategory!$B$63:$L$546,4,FALSE)&amp;""","</f>
        <v>#N/A</v>
      </c>
    </row>
    <row r="978" spans="1:2" x14ac:dyDescent="0.25">
      <c r="A978">
        <f t="shared" si="49"/>
        <v>81</v>
      </c>
      <c r="B978" t="e">
        <f>"        ""Reputation"": "&amp;VLOOKUP(A978,TraderCategory!$B$63:$L$546,5,FALSE)&amp;","</f>
        <v>#N/A</v>
      </c>
    </row>
    <row r="979" spans="1:2" x14ac:dyDescent="0.25">
      <c r="A979">
        <f t="shared" si="49"/>
        <v>81</v>
      </c>
      <c r="B979" t="e">
        <f>"        ""Restock"": "&amp;VLOOKUP(A979,TraderCategory!$B$63:$L$546,6,FALSE)&amp;","</f>
        <v>#N/A</v>
      </c>
    </row>
    <row r="980" spans="1:2" x14ac:dyDescent="0.25">
      <c r="A980">
        <f t="shared" si="49"/>
        <v>81</v>
      </c>
      <c r="B980" t="e">
        <f>"        ""RestockCap"": "&amp;VLOOKUP(A980,TraderCategory!$B$63:$L$546,7,FALSE)&amp;","</f>
        <v>#N/A</v>
      </c>
    </row>
    <row r="981" spans="1:2" x14ac:dyDescent="0.25">
      <c r="A981">
        <f t="shared" si="49"/>
        <v>81</v>
      </c>
      <c r="B981" t="e">
        <f>"        ""StockCap"": "&amp;VLOOKUP(A981,TraderCategory!$B$63:$L$546,8,FALSE)&amp;","</f>
        <v>#N/A</v>
      </c>
    </row>
    <row r="982" spans="1:2" x14ac:dyDescent="0.25">
      <c r="A982">
        <f t="shared" si="49"/>
        <v>81</v>
      </c>
      <c r="B982" t="e">
        <f>"        ""SellingRatioMin"": "&amp;VLOOKUP(A982,TraderCategory!$B$63:$L$546,9,FALSE)&amp;","</f>
        <v>#N/A</v>
      </c>
    </row>
    <row r="983" spans="1:2" x14ac:dyDescent="0.25">
      <c r="A983">
        <f t="shared" si="49"/>
        <v>81</v>
      </c>
      <c r="B983" t="e">
        <f>"        ""SellingRatioMax"": "&amp;VLOOKUP(A983,TraderCategory!$B$63:$L$546,10,FALSE)&amp;","</f>
        <v>#N/A</v>
      </c>
    </row>
    <row r="984" spans="1:2" x14ac:dyDescent="0.25">
      <c r="A984">
        <f t="shared" si="49"/>
        <v>81</v>
      </c>
      <c r="B984" t="e">
        <f>"        ""BuingRatioMin"": "&amp;VLOOKUP(A984,TraderCategory!$B$63:$L$546,11,FALSE)</f>
        <v>#N/A</v>
      </c>
    </row>
    <row r="985" spans="1:2" x14ac:dyDescent="0.25">
      <c r="A985">
        <f t="shared" si="49"/>
        <v>81</v>
      </c>
      <c r="B985" t="s">
        <v>2755</v>
      </c>
    </row>
    <row r="986" spans="1:2" x14ac:dyDescent="0.25">
      <c r="A986">
        <f>A974+1</f>
        <v>82</v>
      </c>
      <c r="B986" t="str">
        <f>"    """&amp;A986&amp;""": {"</f>
        <v xml:space="preserve">    "82": {</v>
      </c>
    </row>
    <row r="987" spans="1:2" x14ac:dyDescent="0.25">
      <c r="A987">
        <f t="shared" si="49"/>
        <v>82</v>
      </c>
      <c r="B987" t="e">
        <f>"        ""Groups"": """&amp;VLOOKUP(A987,TraderCategory!$B$63:$L$546,2,FALSE)&amp;""","</f>
        <v>#N/A</v>
      </c>
    </row>
    <row r="988" spans="1:2" x14ac:dyDescent="0.25">
      <c r="A988">
        <f t="shared" si="49"/>
        <v>82</v>
      </c>
      <c r="B988" t="e">
        <f>"        ""Category"": """&amp;VLOOKUP(A988,TraderCategory!$B$63:$L$546,3,FALSE)&amp;""","</f>
        <v>#N/A</v>
      </c>
    </row>
    <row r="989" spans="1:2" x14ac:dyDescent="0.25">
      <c r="A989">
        <f t="shared" si="49"/>
        <v>82</v>
      </c>
      <c r="B989" t="e">
        <f>"        ""SubCategory"": """&amp;VLOOKUP(A989,TraderCategory!$B$63:$L$546,4,FALSE)&amp;""","</f>
        <v>#N/A</v>
      </c>
    </row>
    <row r="990" spans="1:2" x14ac:dyDescent="0.25">
      <c r="A990">
        <f t="shared" si="49"/>
        <v>82</v>
      </c>
      <c r="B990" t="e">
        <f>"        ""Reputation"": "&amp;VLOOKUP(A990,TraderCategory!$B$63:$L$546,5,FALSE)&amp;","</f>
        <v>#N/A</v>
      </c>
    </row>
    <row r="991" spans="1:2" x14ac:dyDescent="0.25">
      <c r="A991">
        <f t="shared" si="49"/>
        <v>82</v>
      </c>
      <c r="B991" t="e">
        <f>"        ""Restock"": "&amp;VLOOKUP(A991,TraderCategory!$B$63:$L$546,6,FALSE)&amp;","</f>
        <v>#N/A</v>
      </c>
    </row>
    <row r="992" spans="1:2" x14ac:dyDescent="0.25">
      <c r="A992">
        <f t="shared" si="49"/>
        <v>82</v>
      </c>
      <c r="B992" t="e">
        <f>"        ""RestockCap"": "&amp;VLOOKUP(A992,TraderCategory!$B$63:$L$546,7,FALSE)&amp;","</f>
        <v>#N/A</v>
      </c>
    </row>
    <row r="993" spans="1:2" x14ac:dyDescent="0.25">
      <c r="A993">
        <f t="shared" si="49"/>
        <v>82</v>
      </c>
      <c r="B993" t="e">
        <f>"        ""StockCap"": "&amp;VLOOKUP(A993,TraderCategory!$B$63:$L$546,8,FALSE)&amp;","</f>
        <v>#N/A</v>
      </c>
    </row>
    <row r="994" spans="1:2" x14ac:dyDescent="0.25">
      <c r="A994">
        <f t="shared" si="49"/>
        <v>82</v>
      </c>
      <c r="B994" t="e">
        <f>"        ""SellingRatioMin"": "&amp;VLOOKUP(A994,TraderCategory!$B$63:$L$546,9,FALSE)&amp;","</f>
        <v>#N/A</v>
      </c>
    </row>
    <row r="995" spans="1:2" x14ac:dyDescent="0.25">
      <c r="A995">
        <f t="shared" si="49"/>
        <v>82</v>
      </c>
      <c r="B995" t="e">
        <f>"        ""SellingRatioMax"": "&amp;VLOOKUP(A995,TraderCategory!$B$63:$L$546,10,FALSE)&amp;","</f>
        <v>#N/A</v>
      </c>
    </row>
    <row r="996" spans="1:2" x14ac:dyDescent="0.25">
      <c r="A996">
        <f t="shared" si="49"/>
        <v>82</v>
      </c>
      <c r="B996" t="e">
        <f>"        ""BuingRatioMin"": "&amp;VLOOKUP(A996,TraderCategory!$B$63:$L$546,11,FALSE)</f>
        <v>#N/A</v>
      </c>
    </row>
    <row r="997" spans="1:2" x14ac:dyDescent="0.25">
      <c r="A997">
        <f t="shared" si="49"/>
        <v>82</v>
      </c>
      <c r="B997" t="s">
        <v>2755</v>
      </c>
    </row>
    <row r="998" spans="1:2" x14ac:dyDescent="0.25">
      <c r="A998">
        <f>A986+1</f>
        <v>83</v>
      </c>
      <c r="B998" t="str">
        <f>"    """&amp;A998&amp;""": {"</f>
        <v xml:space="preserve">    "83": {</v>
      </c>
    </row>
    <row r="999" spans="1:2" x14ac:dyDescent="0.25">
      <c r="A999">
        <f t="shared" si="49"/>
        <v>83</v>
      </c>
      <c r="B999" t="e">
        <f>"        ""Groups"": """&amp;VLOOKUP(A999,TraderCategory!$B$63:$L$546,2,FALSE)&amp;""","</f>
        <v>#N/A</v>
      </c>
    </row>
    <row r="1000" spans="1:2" x14ac:dyDescent="0.25">
      <c r="A1000">
        <f t="shared" si="49"/>
        <v>83</v>
      </c>
      <c r="B1000" t="e">
        <f>"        ""Category"": """&amp;VLOOKUP(A1000,TraderCategory!$B$63:$L$546,3,FALSE)&amp;""","</f>
        <v>#N/A</v>
      </c>
    </row>
    <row r="1001" spans="1:2" x14ac:dyDescent="0.25">
      <c r="A1001">
        <f t="shared" si="49"/>
        <v>83</v>
      </c>
      <c r="B1001" t="e">
        <f>"        ""SubCategory"": """&amp;VLOOKUP(A1001,TraderCategory!$B$63:$L$546,4,FALSE)&amp;""","</f>
        <v>#N/A</v>
      </c>
    </row>
    <row r="1002" spans="1:2" x14ac:dyDescent="0.25">
      <c r="A1002">
        <f t="shared" si="49"/>
        <v>83</v>
      </c>
      <c r="B1002" t="e">
        <f>"        ""Reputation"": "&amp;VLOOKUP(A1002,TraderCategory!$B$63:$L$546,5,FALSE)&amp;","</f>
        <v>#N/A</v>
      </c>
    </row>
    <row r="1003" spans="1:2" x14ac:dyDescent="0.25">
      <c r="A1003">
        <f t="shared" ref="A1003:A1009" si="50">A991+1</f>
        <v>83</v>
      </c>
      <c r="B1003" t="e">
        <f>"        ""Restock"": "&amp;VLOOKUP(A1003,TraderCategory!$B$63:$L$546,6,FALSE)&amp;","</f>
        <v>#N/A</v>
      </c>
    </row>
    <row r="1004" spans="1:2" x14ac:dyDescent="0.25">
      <c r="A1004">
        <f t="shared" si="50"/>
        <v>83</v>
      </c>
      <c r="B1004" t="e">
        <f>"        ""RestockCap"": "&amp;VLOOKUP(A1004,TraderCategory!$B$63:$L$546,7,FALSE)&amp;","</f>
        <v>#N/A</v>
      </c>
    </row>
    <row r="1005" spans="1:2" x14ac:dyDescent="0.25">
      <c r="A1005">
        <f t="shared" si="50"/>
        <v>83</v>
      </c>
      <c r="B1005" t="e">
        <f>"        ""StockCap"": "&amp;VLOOKUP(A1005,TraderCategory!$B$63:$L$546,8,FALSE)&amp;","</f>
        <v>#N/A</v>
      </c>
    </row>
    <row r="1006" spans="1:2" x14ac:dyDescent="0.25">
      <c r="A1006">
        <f t="shared" si="50"/>
        <v>83</v>
      </c>
      <c r="B1006" t="e">
        <f>"        ""SellingRatioMin"": "&amp;VLOOKUP(A1006,TraderCategory!$B$63:$L$546,9,FALSE)&amp;","</f>
        <v>#N/A</v>
      </c>
    </row>
    <row r="1007" spans="1:2" x14ac:dyDescent="0.25">
      <c r="A1007">
        <f t="shared" si="50"/>
        <v>83</v>
      </c>
      <c r="B1007" t="e">
        <f>"        ""SellingRatioMax"": "&amp;VLOOKUP(A1007,TraderCategory!$B$63:$L$546,10,FALSE)&amp;","</f>
        <v>#N/A</v>
      </c>
    </row>
    <row r="1008" spans="1:2" x14ac:dyDescent="0.25">
      <c r="A1008">
        <f t="shared" si="50"/>
        <v>83</v>
      </c>
      <c r="B1008" t="e">
        <f>"        ""BuingRatioMin"": "&amp;VLOOKUP(A1008,TraderCategory!$B$63:$L$546,11,FALSE)</f>
        <v>#N/A</v>
      </c>
    </row>
    <row r="1009" spans="1:2" x14ac:dyDescent="0.25">
      <c r="A1009">
        <f t="shared" si="50"/>
        <v>83</v>
      </c>
      <c r="B1009" t="s">
        <v>2755</v>
      </c>
    </row>
    <row r="1010" spans="1:2" x14ac:dyDescent="0.25">
      <c r="A1010">
        <f>A998+1</f>
        <v>84</v>
      </c>
      <c r="B1010" t="str">
        <f>"    """&amp;A1010&amp;""": {"</f>
        <v xml:space="preserve">    "84": {</v>
      </c>
    </row>
    <row r="1011" spans="1:2" x14ac:dyDescent="0.25">
      <c r="A1011">
        <f t="shared" ref="A1011:A1021" si="51">A999+1</f>
        <v>84</v>
      </c>
      <c r="B1011" t="e">
        <f>"        ""Groups"": """&amp;VLOOKUP(A1011,TraderCategory!$B$63:$L$546,2,FALSE)&amp;""","</f>
        <v>#N/A</v>
      </c>
    </row>
    <row r="1012" spans="1:2" x14ac:dyDescent="0.25">
      <c r="A1012">
        <f t="shared" si="51"/>
        <v>84</v>
      </c>
      <c r="B1012" t="e">
        <f>"        ""Category"": """&amp;VLOOKUP(A1012,TraderCategory!$B$63:$L$546,3,FALSE)&amp;""","</f>
        <v>#N/A</v>
      </c>
    </row>
    <row r="1013" spans="1:2" x14ac:dyDescent="0.25">
      <c r="A1013">
        <f t="shared" si="51"/>
        <v>84</v>
      </c>
      <c r="B1013" t="e">
        <f>"        ""SubCategory"": """&amp;VLOOKUP(A1013,TraderCategory!$B$63:$L$546,4,FALSE)&amp;""","</f>
        <v>#N/A</v>
      </c>
    </row>
    <row r="1014" spans="1:2" x14ac:dyDescent="0.25">
      <c r="A1014">
        <f t="shared" si="51"/>
        <v>84</v>
      </c>
      <c r="B1014" t="e">
        <f>"        ""Reputation"": "&amp;VLOOKUP(A1014,TraderCategory!$B$63:$L$546,5,FALSE)&amp;","</f>
        <v>#N/A</v>
      </c>
    </row>
    <row r="1015" spans="1:2" x14ac:dyDescent="0.25">
      <c r="A1015">
        <f t="shared" si="51"/>
        <v>84</v>
      </c>
      <c r="B1015" t="e">
        <f>"        ""Restock"": "&amp;VLOOKUP(A1015,TraderCategory!$B$63:$L$546,6,FALSE)&amp;","</f>
        <v>#N/A</v>
      </c>
    </row>
    <row r="1016" spans="1:2" x14ac:dyDescent="0.25">
      <c r="A1016">
        <f t="shared" si="51"/>
        <v>84</v>
      </c>
      <c r="B1016" t="e">
        <f>"        ""RestockCap"": "&amp;VLOOKUP(A1016,TraderCategory!$B$63:$L$546,7,FALSE)&amp;","</f>
        <v>#N/A</v>
      </c>
    </row>
    <row r="1017" spans="1:2" x14ac:dyDescent="0.25">
      <c r="A1017">
        <f t="shared" si="51"/>
        <v>84</v>
      </c>
      <c r="B1017" t="e">
        <f>"        ""StockCap"": "&amp;VLOOKUP(A1017,TraderCategory!$B$63:$L$546,8,FALSE)&amp;","</f>
        <v>#N/A</v>
      </c>
    </row>
    <row r="1018" spans="1:2" x14ac:dyDescent="0.25">
      <c r="A1018">
        <f t="shared" si="51"/>
        <v>84</v>
      </c>
      <c r="B1018" t="e">
        <f>"        ""SellingRatioMin"": "&amp;VLOOKUP(A1018,TraderCategory!$B$63:$L$546,9,FALSE)&amp;","</f>
        <v>#N/A</v>
      </c>
    </row>
    <row r="1019" spans="1:2" x14ac:dyDescent="0.25">
      <c r="A1019">
        <f t="shared" si="51"/>
        <v>84</v>
      </c>
      <c r="B1019" t="e">
        <f>"        ""SellingRatioMax"": "&amp;VLOOKUP(A1019,TraderCategory!$B$63:$L$546,10,FALSE)&amp;","</f>
        <v>#N/A</v>
      </c>
    </row>
    <row r="1020" spans="1:2" x14ac:dyDescent="0.25">
      <c r="A1020">
        <f t="shared" si="51"/>
        <v>84</v>
      </c>
      <c r="B1020" t="e">
        <f>"        ""BuingRatioMin"": "&amp;VLOOKUP(A1020,TraderCategory!$B$63:$L$546,11,FALSE)</f>
        <v>#N/A</v>
      </c>
    </row>
    <row r="1021" spans="1:2" x14ac:dyDescent="0.25">
      <c r="A1021">
        <f t="shared" si="51"/>
        <v>84</v>
      </c>
      <c r="B1021" t="s">
        <v>2755</v>
      </c>
    </row>
    <row r="1022" spans="1:2" x14ac:dyDescent="0.25">
      <c r="A1022">
        <f>A1010+1</f>
        <v>85</v>
      </c>
      <c r="B1022" t="str">
        <f>"    """&amp;A1022&amp;""": {"</f>
        <v xml:space="preserve">    "85": {</v>
      </c>
    </row>
    <row r="1023" spans="1:2" x14ac:dyDescent="0.25">
      <c r="A1023">
        <f t="shared" ref="A1023:A1033" si="52">A1011+1</f>
        <v>85</v>
      </c>
      <c r="B1023" t="e">
        <f>"        ""Groups"": """&amp;VLOOKUP(A1023,TraderCategory!$B$63:$L$546,2,FALSE)&amp;""","</f>
        <v>#N/A</v>
      </c>
    </row>
    <row r="1024" spans="1:2" x14ac:dyDescent="0.25">
      <c r="A1024">
        <f t="shared" si="52"/>
        <v>85</v>
      </c>
      <c r="B1024" t="e">
        <f>"        ""Category"": """&amp;VLOOKUP(A1024,TraderCategory!$B$63:$L$546,3,FALSE)&amp;""","</f>
        <v>#N/A</v>
      </c>
    </row>
    <row r="1025" spans="1:2" x14ac:dyDescent="0.25">
      <c r="A1025">
        <f t="shared" si="52"/>
        <v>85</v>
      </c>
      <c r="B1025" t="e">
        <f>"        ""SubCategory"": """&amp;VLOOKUP(A1025,TraderCategory!$B$63:$L$546,4,FALSE)&amp;""","</f>
        <v>#N/A</v>
      </c>
    </row>
    <row r="1026" spans="1:2" x14ac:dyDescent="0.25">
      <c r="A1026">
        <f t="shared" si="52"/>
        <v>85</v>
      </c>
      <c r="B1026" t="e">
        <f>"        ""Reputation"": "&amp;VLOOKUP(A1026,TraderCategory!$B$63:$L$546,5,FALSE)&amp;","</f>
        <v>#N/A</v>
      </c>
    </row>
    <row r="1027" spans="1:2" x14ac:dyDescent="0.25">
      <c r="A1027">
        <f t="shared" si="52"/>
        <v>85</v>
      </c>
      <c r="B1027" t="e">
        <f>"        ""Restock"": "&amp;VLOOKUP(A1027,TraderCategory!$B$63:$L$546,6,FALSE)&amp;","</f>
        <v>#N/A</v>
      </c>
    </row>
    <row r="1028" spans="1:2" x14ac:dyDescent="0.25">
      <c r="A1028">
        <f t="shared" si="52"/>
        <v>85</v>
      </c>
      <c r="B1028" t="e">
        <f>"        ""RestockCap"": "&amp;VLOOKUP(A1028,TraderCategory!$B$63:$L$546,7,FALSE)&amp;","</f>
        <v>#N/A</v>
      </c>
    </row>
    <row r="1029" spans="1:2" x14ac:dyDescent="0.25">
      <c r="A1029">
        <f t="shared" si="52"/>
        <v>85</v>
      </c>
      <c r="B1029" t="e">
        <f>"        ""StockCap"": "&amp;VLOOKUP(A1029,TraderCategory!$B$63:$L$546,8,FALSE)&amp;","</f>
        <v>#N/A</v>
      </c>
    </row>
    <row r="1030" spans="1:2" x14ac:dyDescent="0.25">
      <c r="A1030">
        <f t="shared" si="52"/>
        <v>85</v>
      </c>
      <c r="B1030" t="e">
        <f>"        ""SellingRatioMin"": "&amp;VLOOKUP(A1030,TraderCategory!$B$63:$L$546,9,FALSE)&amp;","</f>
        <v>#N/A</v>
      </c>
    </row>
    <row r="1031" spans="1:2" x14ac:dyDescent="0.25">
      <c r="A1031">
        <f t="shared" si="52"/>
        <v>85</v>
      </c>
      <c r="B1031" t="e">
        <f>"        ""SellingRatioMax"": "&amp;VLOOKUP(A1031,TraderCategory!$B$63:$L$546,10,FALSE)&amp;","</f>
        <v>#N/A</v>
      </c>
    </row>
    <row r="1032" spans="1:2" x14ac:dyDescent="0.25">
      <c r="A1032">
        <f t="shared" si="52"/>
        <v>85</v>
      </c>
      <c r="B1032" t="e">
        <f>"        ""BuingRatioMin"": "&amp;VLOOKUP(A1032,TraderCategory!$B$63:$L$546,11,FALSE)</f>
        <v>#N/A</v>
      </c>
    </row>
    <row r="1033" spans="1:2" x14ac:dyDescent="0.25">
      <c r="A1033">
        <f t="shared" si="52"/>
        <v>85</v>
      </c>
      <c r="B1033" t="s">
        <v>2755</v>
      </c>
    </row>
    <row r="1034" spans="1:2" x14ac:dyDescent="0.25">
      <c r="A1034">
        <f>A1022+1</f>
        <v>86</v>
      </c>
      <c r="B1034" t="str">
        <f>"    """&amp;A1034&amp;""": {"</f>
        <v xml:space="preserve">    "86": {</v>
      </c>
    </row>
    <row r="1035" spans="1:2" x14ac:dyDescent="0.25">
      <c r="A1035">
        <f t="shared" ref="A1035:A1045" si="53">A1023+1</f>
        <v>86</v>
      </c>
      <c r="B1035" t="e">
        <f>"        ""Groups"": """&amp;VLOOKUP(A1035,TraderCategory!$B$63:$L$546,2,FALSE)&amp;""","</f>
        <v>#N/A</v>
      </c>
    </row>
    <row r="1036" spans="1:2" x14ac:dyDescent="0.25">
      <c r="A1036">
        <f t="shared" si="53"/>
        <v>86</v>
      </c>
      <c r="B1036" t="e">
        <f>"        ""Category"": """&amp;VLOOKUP(A1036,TraderCategory!$B$63:$L$546,3,FALSE)&amp;""","</f>
        <v>#N/A</v>
      </c>
    </row>
    <row r="1037" spans="1:2" x14ac:dyDescent="0.25">
      <c r="A1037">
        <f t="shared" si="53"/>
        <v>86</v>
      </c>
      <c r="B1037" t="e">
        <f>"        ""SubCategory"": """&amp;VLOOKUP(A1037,TraderCategory!$B$63:$L$546,4,FALSE)&amp;""","</f>
        <v>#N/A</v>
      </c>
    </row>
    <row r="1038" spans="1:2" x14ac:dyDescent="0.25">
      <c r="A1038">
        <f t="shared" si="53"/>
        <v>86</v>
      </c>
      <c r="B1038" t="e">
        <f>"        ""Reputation"": "&amp;VLOOKUP(A1038,TraderCategory!$B$63:$L$546,5,FALSE)&amp;","</f>
        <v>#N/A</v>
      </c>
    </row>
    <row r="1039" spans="1:2" x14ac:dyDescent="0.25">
      <c r="A1039">
        <f t="shared" si="53"/>
        <v>86</v>
      </c>
      <c r="B1039" t="e">
        <f>"        ""Restock"": "&amp;VLOOKUP(A1039,TraderCategory!$B$63:$L$546,6,FALSE)&amp;","</f>
        <v>#N/A</v>
      </c>
    </row>
    <row r="1040" spans="1:2" x14ac:dyDescent="0.25">
      <c r="A1040">
        <f t="shared" si="53"/>
        <v>86</v>
      </c>
      <c r="B1040" t="e">
        <f>"        ""RestockCap"": "&amp;VLOOKUP(A1040,TraderCategory!$B$63:$L$546,7,FALSE)&amp;","</f>
        <v>#N/A</v>
      </c>
    </row>
    <row r="1041" spans="1:2" x14ac:dyDescent="0.25">
      <c r="A1041">
        <f t="shared" si="53"/>
        <v>86</v>
      </c>
      <c r="B1041" t="e">
        <f>"        ""StockCap"": "&amp;VLOOKUP(A1041,TraderCategory!$B$63:$L$546,8,FALSE)&amp;","</f>
        <v>#N/A</v>
      </c>
    </row>
    <row r="1042" spans="1:2" x14ac:dyDescent="0.25">
      <c r="A1042">
        <f t="shared" si="53"/>
        <v>86</v>
      </c>
      <c r="B1042" t="e">
        <f>"        ""SellingRatioMin"": "&amp;VLOOKUP(A1042,TraderCategory!$B$63:$L$546,9,FALSE)&amp;","</f>
        <v>#N/A</v>
      </c>
    </row>
    <row r="1043" spans="1:2" x14ac:dyDescent="0.25">
      <c r="A1043">
        <f t="shared" si="53"/>
        <v>86</v>
      </c>
      <c r="B1043" t="e">
        <f>"        ""SellingRatioMax"": "&amp;VLOOKUP(A1043,TraderCategory!$B$63:$L$546,10,FALSE)&amp;","</f>
        <v>#N/A</v>
      </c>
    </row>
    <row r="1044" spans="1:2" x14ac:dyDescent="0.25">
      <c r="A1044">
        <f t="shared" si="53"/>
        <v>86</v>
      </c>
      <c r="B1044" t="e">
        <f>"        ""BuingRatioMin"": "&amp;VLOOKUP(A1044,TraderCategory!$B$63:$L$546,11,FALSE)</f>
        <v>#N/A</v>
      </c>
    </row>
    <row r="1045" spans="1:2" x14ac:dyDescent="0.25">
      <c r="A1045">
        <f t="shared" si="53"/>
        <v>86</v>
      </c>
      <c r="B1045" t="s">
        <v>2755</v>
      </c>
    </row>
    <row r="1046" spans="1:2" x14ac:dyDescent="0.25">
      <c r="A1046">
        <f>A1034+1</f>
        <v>87</v>
      </c>
      <c r="B1046" t="str">
        <f>"    """&amp;A1046&amp;""": {"</f>
        <v xml:space="preserve">    "87": {</v>
      </c>
    </row>
    <row r="1047" spans="1:2" x14ac:dyDescent="0.25">
      <c r="A1047">
        <f t="shared" ref="A1047:A1057" si="54">A1035+1</f>
        <v>87</v>
      </c>
      <c r="B1047" t="e">
        <f>"        ""Groups"": """&amp;VLOOKUP(A1047,TraderCategory!$B$63:$L$546,2,FALSE)&amp;""","</f>
        <v>#N/A</v>
      </c>
    </row>
    <row r="1048" spans="1:2" x14ac:dyDescent="0.25">
      <c r="A1048">
        <f t="shared" si="54"/>
        <v>87</v>
      </c>
      <c r="B1048" t="e">
        <f>"        ""Category"": """&amp;VLOOKUP(A1048,TraderCategory!$B$63:$L$546,3,FALSE)&amp;""","</f>
        <v>#N/A</v>
      </c>
    </row>
    <row r="1049" spans="1:2" x14ac:dyDescent="0.25">
      <c r="A1049">
        <f t="shared" si="54"/>
        <v>87</v>
      </c>
      <c r="B1049" t="e">
        <f>"        ""SubCategory"": """&amp;VLOOKUP(A1049,TraderCategory!$B$63:$L$546,4,FALSE)&amp;""","</f>
        <v>#N/A</v>
      </c>
    </row>
    <row r="1050" spans="1:2" x14ac:dyDescent="0.25">
      <c r="A1050">
        <f t="shared" si="54"/>
        <v>87</v>
      </c>
      <c r="B1050" t="e">
        <f>"        ""Reputation"": "&amp;VLOOKUP(A1050,TraderCategory!$B$63:$L$546,5,FALSE)&amp;","</f>
        <v>#N/A</v>
      </c>
    </row>
    <row r="1051" spans="1:2" x14ac:dyDescent="0.25">
      <c r="A1051">
        <f t="shared" si="54"/>
        <v>87</v>
      </c>
      <c r="B1051" t="e">
        <f>"        ""Restock"": "&amp;VLOOKUP(A1051,TraderCategory!$B$63:$L$546,6,FALSE)&amp;","</f>
        <v>#N/A</v>
      </c>
    </row>
    <row r="1052" spans="1:2" x14ac:dyDescent="0.25">
      <c r="A1052">
        <f t="shared" si="54"/>
        <v>87</v>
      </c>
      <c r="B1052" t="e">
        <f>"        ""RestockCap"": "&amp;VLOOKUP(A1052,TraderCategory!$B$63:$L$546,7,FALSE)&amp;","</f>
        <v>#N/A</v>
      </c>
    </row>
    <row r="1053" spans="1:2" x14ac:dyDescent="0.25">
      <c r="A1053">
        <f t="shared" si="54"/>
        <v>87</v>
      </c>
      <c r="B1053" t="e">
        <f>"        ""StockCap"": "&amp;VLOOKUP(A1053,TraderCategory!$B$63:$L$546,8,FALSE)&amp;","</f>
        <v>#N/A</v>
      </c>
    </row>
    <row r="1054" spans="1:2" x14ac:dyDescent="0.25">
      <c r="A1054">
        <f t="shared" si="54"/>
        <v>87</v>
      </c>
      <c r="B1054" t="e">
        <f>"        ""SellingRatioMin"": "&amp;VLOOKUP(A1054,TraderCategory!$B$63:$L$546,9,FALSE)&amp;","</f>
        <v>#N/A</v>
      </c>
    </row>
    <row r="1055" spans="1:2" x14ac:dyDescent="0.25">
      <c r="A1055">
        <f t="shared" si="54"/>
        <v>87</v>
      </c>
      <c r="B1055" t="e">
        <f>"        ""SellingRatioMax"": "&amp;VLOOKUP(A1055,TraderCategory!$B$63:$L$546,10,FALSE)&amp;","</f>
        <v>#N/A</v>
      </c>
    </row>
    <row r="1056" spans="1:2" x14ac:dyDescent="0.25">
      <c r="A1056">
        <f t="shared" si="54"/>
        <v>87</v>
      </c>
      <c r="B1056" t="e">
        <f>"        ""BuingRatioMin"": "&amp;VLOOKUP(A1056,TraderCategory!$B$63:$L$546,11,FALSE)</f>
        <v>#N/A</v>
      </c>
    </row>
    <row r="1057" spans="1:2" x14ac:dyDescent="0.25">
      <c r="A1057">
        <f t="shared" si="54"/>
        <v>87</v>
      </c>
      <c r="B1057" t="s">
        <v>2755</v>
      </c>
    </row>
    <row r="1058" spans="1:2" x14ac:dyDescent="0.25">
      <c r="A1058">
        <f>A1046+1</f>
        <v>88</v>
      </c>
      <c r="B1058" t="str">
        <f>"    """&amp;A1058&amp;""": {"</f>
        <v xml:space="preserve">    "88": {</v>
      </c>
    </row>
    <row r="1059" spans="1:2" x14ac:dyDescent="0.25">
      <c r="A1059">
        <f t="shared" ref="A1059:A1069" si="55">A1047+1</f>
        <v>88</v>
      </c>
      <c r="B1059" t="e">
        <f>"        ""Groups"": """&amp;VLOOKUP(A1059,TraderCategory!$B$63:$L$546,2,FALSE)&amp;""","</f>
        <v>#N/A</v>
      </c>
    </row>
    <row r="1060" spans="1:2" x14ac:dyDescent="0.25">
      <c r="A1060">
        <f t="shared" si="55"/>
        <v>88</v>
      </c>
      <c r="B1060" t="e">
        <f>"        ""Category"": """&amp;VLOOKUP(A1060,TraderCategory!$B$63:$L$546,3,FALSE)&amp;""","</f>
        <v>#N/A</v>
      </c>
    </row>
    <row r="1061" spans="1:2" x14ac:dyDescent="0.25">
      <c r="A1061">
        <f t="shared" si="55"/>
        <v>88</v>
      </c>
      <c r="B1061" t="e">
        <f>"        ""SubCategory"": """&amp;VLOOKUP(A1061,TraderCategory!$B$63:$L$546,4,FALSE)&amp;""","</f>
        <v>#N/A</v>
      </c>
    </row>
    <row r="1062" spans="1:2" x14ac:dyDescent="0.25">
      <c r="A1062">
        <f t="shared" si="55"/>
        <v>88</v>
      </c>
      <c r="B1062" t="e">
        <f>"        ""Reputation"": "&amp;VLOOKUP(A1062,TraderCategory!$B$63:$L$546,5,FALSE)&amp;","</f>
        <v>#N/A</v>
      </c>
    </row>
    <row r="1063" spans="1:2" x14ac:dyDescent="0.25">
      <c r="A1063">
        <f t="shared" si="55"/>
        <v>88</v>
      </c>
      <c r="B1063" t="e">
        <f>"        ""Restock"": "&amp;VLOOKUP(A1063,TraderCategory!$B$63:$L$546,6,FALSE)&amp;","</f>
        <v>#N/A</v>
      </c>
    </row>
    <row r="1064" spans="1:2" x14ac:dyDescent="0.25">
      <c r="A1064">
        <f t="shared" si="55"/>
        <v>88</v>
      </c>
      <c r="B1064" t="e">
        <f>"        ""RestockCap"": "&amp;VLOOKUP(A1064,TraderCategory!$B$63:$L$546,7,FALSE)&amp;","</f>
        <v>#N/A</v>
      </c>
    </row>
    <row r="1065" spans="1:2" x14ac:dyDescent="0.25">
      <c r="A1065">
        <f t="shared" si="55"/>
        <v>88</v>
      </c>
      <c r="B1065" t="e">
        <f>"        ""StockCap"": "&amp;VLOOKUP(A1065,TraderCategory!$B$63:$L$546,8,FALSE)&amp;","</f>
        <v>#N/A</v>
      </c>
    </row>
    <row r="1066" spans="1:2" x14ac:dyDescent="0.25">
      <c r="A1066">
        <f t="shared" si="55"/>
        <v>88</v>
      </c>
      <c r="B1066" t="e">
        <f>"        ""SellingRatioMin"": "&amp;VLOOKUP(A1066,TraderCategory!$B$63:$L$546,9,FALSE)&amp;","</f>
        <v>#N/A</v>
      </c>
    </row>
    <row r="1067" spans="1:2" x14ac:dyDescent="0.25">
      <c r="A1067">
        <f t="shared" si="55"/>
        <v>88</v>
      </c>
      <c r="B1067" t="e">
        <f>"        ""SellingRatioMax"": "&amp;VLOOKUP(A1067,TraderCategory!$B$63:$L$546,10,FALSE)&amp;","</f>
        <v>#N/A</v>
      </c>
    </row>
    <row r="1068" spans="1:2" x14ac:dyDescent="0.25">
      <c r="A1068">
        <f t="shared" si="55"/>
        <v>88</v>
      </c>
      <c r="B1068" t="e">
        <f>"        ""BuingRatioMin"": "&amp;VLOOKUP(A1068,TraderCategory!$B$63:$L$546,11,FALSE)</f>
        <v>#N/A</v>
      </c>
    </row>
    <row r="1069" spans="1:2" x14ac:dyDescent="0.25">
      <c r="A1069">
        <f t="shared" si="55"/>
        <v>88</v>
      </c>
      <c r="B1069" t="s">
        <v>2755</v>
      </c>
    </row>
    <row r="1070" spans="1:2" x14ac:dyDescent="0.25">
      <c r="A1070">
        <f>A1058+1</f>
        <v>89</v>
      </c>
      <c r="B1070" t="str">
        <f>"    """&amp;A1070&amp;""": {"</f>
        <v xml:space="preserve">    "89": {</v>
      </c>
    </row>
    <row r="1071" spans="1:2" x14ac:dyDescent="0.25">
      <c r="A1071">
        <f t="shared" ref="A1071:A1134" si="56">A1059+1</f>
        <v>89</v>
      </c>
      <c r="B1071" t="e">
        <f>"        ""Groups"": """&amp;VLOOKUP(A1071,TraderCategory!$B$63:$L$546,2,FALSE)&amp;""","</f>
        <v>#N/A</v>
      </c>
    </row>
    <row r="1072" spans="1:2" x14ac:dyDescent="0.25">
      <c r="A1072">
        <f t="shared" si="56"/>
        <v>89</v>
      </c>
      <c r="B1072" t="e">
        <f>"        ""Category"": """&amp;VLOOKUP(A1072,TraderCategory!$B$63:$L$546,3,FALSE)&amp;""","</f>
        <v>#N/A</v>
      </c>
    </row>
    <row r="1073" spans="1:2" x14ac:dyDescent="0.25">
      <c r="A1073">
        <f t="shared" si="56"/>
        <v>89</v>
      </c>
      <c r="B1073" t="e">
        <f>"        ""SubCategory"": """&amp;VLOOKUP(A1073,TraderCategory!$B$63:$L$546,4,FALSE)&amp;""","</f>
        <v>#N/A</v>
      </c>
    </row>
    <row r="1074" spans="1:2" x14ac:dyDescent="0.25">
      <c r="A1074">
        <f t="shared" si="56"/>
        <v>89</v>
      </c>
      <c r="B1074" t="e">
        <f>"        ""Reputation"": "&amp;VLOOKUP(A1074,TraderCategory!$B$63:$L$546,5,FALSE)&amp;","</f>
        <v>#N/A</v>
      </c>
    </row>
    <row r="1075" spans="1:2" x14ac:dyDescent="0.25">
      <c r="A1075">
        <f t="shared" si="56"/>
        <v>89</v>
      </c>
      <c r="B1075" t="e">
        <f>"        ""Restock"": "&amp;VLOOKUP(A1075,TraderCategory!$B$63:$L$546,6,FALSE)&amp;","</f>
        <v>#N/A</v>
      </c>
    </row>
    <row r="1076" spans="1:2" x14ac:dyDescent="0.25">
      <c r="A1076">
        <f t="shared" si="56"/>
        <v>89</v>
      </c>
      <c r="B1076" t="e">
        <f>"        ""RestockCap"": "&amp;VLOOKUP(A1076,TraderCategory!$B$63:$L$546,7,FALSE)&amp;","</f>
        <v>#N/A</v>
      </c>
    </row>
    <row r="1077" spans="1:2" x14ac:dyDescent="0.25">
      <c r="A1077">
        <f t="shared" si="56"/>
        <v>89</v>
      </c>
      <c r="B1077" t="e">
        <f>"        ""StockCap"": "&amp;VLOOKUP(A1077,TraderCategory!$B$63:$L$546,8,FALSE)&amp;","</f>
        <v>#N/A</v>
      </c>
    </row>
    <row r="1078" spans="1:2" x14ac:dyDescent="0.25">
      <c r="A1078">
        <f t="shared" si="56"/>
        <v>89</v>
      </c>
      <c r="B1078" t="e">
        <f>"        ""SellingRatioMin"": "&amp;VLOOKUP(A1078,TraderCategory!$B$63:$L$546,9,FALSE)&amp;","</f>
        <v>#N/A</v>
      </c>
    </row>
    <row r="1079" spans="1:2" x14ac:dyDescent="0.25">
      <c r="A1079">
        <f t="shared" si="56"/>
        <v>89</v>
      </c>
      <c r="B1079" t="e">
        <f>"        ""SellingRatioMax"": "&amp;VLOOKUP(A1079,TraderCategory!$B$63:$L$546,10,FALSE)&amp;","</f>
        <v>#N/A</v>
      </c>
    </row>
    <row r="1080" spans="1:2" x14ac:dyDescent="0.25">
      <c r="A1080">
        <f t="shared" si="56"/>
        <v>89</v>
      </c>
      <c r="B1080" t="e">
        <f>"        ""BuingRatioMin"": "&amp;VLOOKUP(A1080,TraderCategory!$B$63:$L$546,11,FALSE)</f>
        <v>#N/A</v>
      </c>
    </row>
    <row r="1081" spans="1:2" x14ac:dyDescent="0.25">
      <c r="A1081">
        <f t="shared" si="56"/>
        <v>89</v>
      </c>
      <c r="B1081" t="s">
        <v>2755</v>
      </c>
    </row>
    <row r="1082" spans="1:2" x14ac:dyDescent="0.25">
      <c r="A1082">
        <f>A1070+1</f>
        <v>90</v>
      </c>
      <c r="B1082" t="str">
        <f>"    """&amp;A1082&amp;""": {"</f>
        <v xml:space="preserve">    "90": {</v>
      </c>
    </row>
    <row r="1083" spans="1:2" x14ac:dyDescent="0.25">
      <c r="A1083">
        <f t="shared" si="56"/>
        <v>90</v>
      </c>
      <c r="B1083" t="e">
        <f>"        ""Groups"": """&amp;VLOOKUP(A1083,TraderCategory!$B$63:$L$546,2,FALSE)&amp;""","</f>
        <v>#N/A</v>
      </c>
    </row>
    <row r="1084" spans="1:2" x14ac:dyDescent="0.25">
      <c r="A1084">
        <f t="shared" si="56"/>
        <v>90</v>
      </c>
      <c r="B1084" t="e">
        <f>"        ""Category"": """&amp;VLOOKUP(A1084,TraderCategory!$B$63:$L$546,3,FALSE)&amp;""","</f>
        <v>#N/A</v>
      </c>
    </row>
    <row r="1085" spans="1:2" x14ac:dyDescent="0.25">
      <c r="A1085">
        <f t="shared" si="56"/>
        <v>90</v>
      </c>
      <c r="B1085" t="e">
        <f>"        ""SubCategory"": """&amp;VLOOKUP(A1085,TraderCategory!$B$63:$L$546,4,FALSE)&amp;""","</f>
        <v>#N/A</v>
      </c>
    </row>
    <row r="1086" spans="1:2" x14ac:dyDescent="0.25">
      <c r="A1086">
        <f t="shared" si="56"/>
        <v>90</v>
      </c>
      <c r="B1086" t="e">
        <f>"        ""Reputation"": "&amp;VLOOKUP(A1086,TraderCategory!$B$63:$L$546,5,FALSE)&amp;","</f>
        <v>#N/A</v>
      </c>
    </row>
    <row r="1087" spans="1:2" x14ac:dyDescent="0.25">
      <c r="A1087">
        <f t="shared" si="56"/>
        <v>90</v>
      </c>
      <c r="B1087" t="e">
        <f>"        ""Restock"": "&amp;VLOOKUP(A1087,TraderCategory!$B$63:$L$546,6,FALSE)&amp;","</f>
        <v>#N/A</v>
      </c>
    </row>
    <row r="1088" spans="1:2" x14ac:dyDescent="0.25">
      <c r="A1088">
        <f t="shared" si="56"/>
        <v>90</v>
      </c>
      <c r="B1088" t="e">
        <f>"        ""RestockCap"": "&amp;VLOOKUP(A1088,TraderCategory!$B$63:$L$546,7,FALSE)&amp;","</f>
        <v>#N/A</v>
      </c>
    </row>
    <row r="1089" spans="1:2" x14ac:dyDescent="0.25">
      <c r="A1089">
        <f t="shared" si="56"/>
        <v>90</v>
      </c>
      <c r="B1089" t="e">
        <f>"        ""StockCap"": "&amp;VLOOKUP(A1089,TraderCategory!$B$63:$L$546,8,FALSE)&amp;","</f>
        <v>#N/A</v>
      </c>
    </row>
    <row r="1090" spans="1:2" x14ac:dyDescent="0.25">
      <c r="A1090">
        <f t="shared" si="56"/>
        <v>90</v>
      </c>
      <c r="B1090" t="e">
        <f>"        ""SellingRatioMin"": "&amp;VLOOKUP(A1090,TraderCategory!$B$63:$L$546,9,FALSE)&amp;","</f>
        <v>#N/A</v>
      </c>
    </row>
    <row r="1091" spans="1:2" x14ac:dyDescent="0.25">
      <c r="A1091">
        <f t="shared" si="56"/>
        <v>90</v>
      </c>
      <c r="B1091" t="e">
        <f>"        ""SellingRatioMax"": "&amp;VLOOKUP(A1091,TraderCategory!$B$63:$L$546,10,FALSE)&amp;","</f>
        <v>#N/A</v>
      </c>
    </row>
    <row r="1092" spans="1:2" x14ac:dyDescent="0.25">
      <c r="A1092">
        <f t="shared" si="56"/>
        <v>90</v>
      </c>
      <c r="B1092" t="e">
        <f>"        ""BuingRatioMin"": "&amp;VLOOKUP(A1092,TraderCategory!$B$63:$L$546,11,FALSE)</f>
        <v>#N/A</v>
      </c>
    </row>
    <row r="1093" spans="1:2" x14ac:dyDescent="0.25">
      <c r="A1093">
        <f t="shared" si="56"/>
        <v>90</v>
      </c>
      <c r="B1093" t="s">
        <v>2755</v>
      </c>
    </row>
    <row r="1094" spans="1:2" x14ac:dyDescent="0.25">
      <c r="A1094">
        <f>A1082+1</f>
        <v>91</v>
      </c>
      <c r="B1094" t="str">
        <f>"    """&amp;A1094&amp;""": {"</f>
        <v xml:space="preserve">    "91": {</v>
      </c>
    </row>
    <row r="1095" spans="1:2" x14ac:dyDescent="0.25">
      <c r="A1095">
        <f t="shared" si="56"/>
        <v>91</v>
      </c>
      <c r="B1095" t="e">
        <f>"        ""Groups"": """&amp;VLOOKUP(A1095,TraderCategory!$B$63:$L$546,2,FALSE)&amp;""","</f>
        <v>#N/A</v>
      </c>
    </row>
    <row r="1096" spans="1:2" x14ac:dyDescent="0.25">
      <c r="A1096">
        <f t="shared" si="56"/>
        <v>91</v>
      </c>
      <c r="B1096" t="e">
        <f>"        ""Category"": """&amp;VLOOKUP(A1096,TraderCategory!$B$63:$L$546,3,FALSE)&amp;""","</f>
        <v>#N/A</v>
      </c>
    </row>
    <row r="1097" spans="1:2" x14ac:dyDescent="0.25">
      <c r="A1097">
        <f t="shared" si="56"/>
        <v>91</v>
      </c>
      <c r="B1097" t="e">
        <f>"        ""SubCategory"": """&amp;VLOOKUP(A1097,TraderCategory!$B$63:$L$546,4,FALSE)&amp;""","</f>
        <v>#N/A</v>
      </c>
    </row>
    <row r="1098" spans="1:2" x14ac:dyDescent="0.25">
      <c r="A1098">
        <f t="shared" si="56"/>
        <v>91</v>
      </c>
      <c r="B1098" t="e">
        <f>"        ""Reputation"": "&amp;VLOOKUP(A1098,TraderCategory!$B$63:$L$546,5,FALSE)&amp;","</f>
        <v>#N/A</v>
      </c>
    </row>
    <row r="1099" spans="1:2" x14ac:dyDescent="0.25">
      <c r="A1099">
        <f t="shared" si="56"/>
        <v>91</v>
      </c>
      <c r="B1099" t="e">
        <f>"        ""Restock"": "&amp;VLOOKUP(A1099,TraderCategory!$B$63:$L$546,6,FALSE)&amp;","</f>
        <v>#N/A</v>
      </c>
    </row>
    <row r="1100" spans="1:2" x14ac:dyDescent="0.25">
      <c r="A1100">
        <f t="shared" si="56"/>
        <v>91</v>
      </c>
      <c r="B1100" t="e">
        <f>"        ""RestockCap"": "&amp;VLOOKUP(A1100,TraderCategory!$B$63:$L$546,7,FALSE)&amp;","</f>
        <v>#N/A</v>
      </c>
    </row>
    <row r="1101" spans="1:2" x14ac:dyDescent="0.25">
      <c r="A1101">
        <f t="shared" si="56"/>
        <v>91</v>
      </c>
      <c r="B1101" t="e">
        <f>"        ""StockCap"": "&amp;VLOOKUP(A1101,TraderCategory!$B$63:$L$546,8,FALSE)&amp;","</f>
        <v>#N/A</v>
      </c>
    </row>
    <row r="1102" spans="1:2" x14ac:dyDescent="0.25">
      <c r="A1102">
        <f t="shared" si="56"/>
        <v>91</v>
      </c>
      <c r="B1102" t="e">
        <f>"        ""SellingRatioMin"": "&amp;VLOOKUP(A1102,TraderCategory!$B$63:$L$546,9,FALSE)&amp;","</f>
        <v>#N/A</v>
      </c>
    </row>
    <row r="1103" spans="1:2" x14ac:dyDescent="0.25">
      <c r="A1103">
        <f t="shared" si="56"/>
        <v>91</v>
      </c>
      <c r="B1103" t="e">
        <f>"        ""SellingRatioMax"": "&amp;VLOOKUP(A1103,TraderCategory!$B$63:$L$546,10,FALSE)&amp;","</f>
        <v>#N/A</v>
      </c>
    </row>
    <row r="1104" spans="1:2" x14ac:dyDescent="0.25">
      <c r="A1104">
        <f t="shared" si="56"/>
        <v>91</v>
      </c>
      <c r="B1104" t="e">
        <f>"        ""BuingRatioMin"": "&amp;VLOOKUP(A1104,TraderCategory!$B$63:$L$546,11,FALSE)</f>
        <v>#N/A</v>
      </c>
    </row>
    <row r="1105" spans="1:2" x14ac:dyDescent="0.25">
      <c r="A1105">
        <f t="shared" si="56"/>
        <v>91</v>
      </c>
      <c r="B1105" t="s">
        <v>2755</v>
      </c>
    </row>
    <row r="1106" spans="1:2" x14ac:dyDescent="0.25">
      <c r="A1106">
        <f>A1094+1</f>
        <v>92</v>
      </c>
      <c r="B1106" t="str">
        <f>"    """&amp;A1106&amp;""": {"</f>
        <v xml:space="preserve">    "92": {</v>
      </c>
    </row>
    <row r="1107" spans="1:2" x14ac:dyDescent="0.25">
      <c r="A1107">
        <f t="shared" si="56"/>
        <v>92</v>
      </c>
      <c r="B1107" t="e">
        <f>"        ""Groups"": """&amp;VLOOKUP(A1107,TraderCategory!$B$63:$L$546,2,FALSE)&amp;""","</f>
        <v>#N/A</v>
      </c>
    </row>
    <row r="1108" spans="1:2" x14ac:dyDescent="0.25">
      <c r="A1108">
        <f t="shared" si="56"/>
        <v>92</v>
      </c>
      <c r="B1108" t="e">
        <f>"        ""Category"": """&amp;VLOOKUP(A1108,TraderCategory!$B$63:$L$546,3,FALSE)&amp;""","</f>
        <v>#N/A</v>
      </c>
    </row>
    <row r="1109" spans="1:2" x14ac:dyDescent="0.25">
      <c r="A1109">
        <f t="shared" si="56"/>
        <v>92</v>
      </c>
      <c r="B1109" t="e">
        <f>"        ""SubCategory"": """&amp;VLOOKUP(A1109,TraderCategory!$B$63:$L$546,4,FALSE)&amp;""","</f>
        <v>#N/A</v>
      </c>
    </row>
    <row r="1110" spans="1:2" x14ac:dyDescent="0.25">
      <c r="A1110">
        <f t="shared" si="56"/>
        <v>92</v>
      </c>
      <c r="B1110" t="e">
        <f>"        ""Reputation"": "&amp;VLOOKUP(A1110,TraderCategory!$B$63:$L$546,5,FALSE)&amp;","</f>
        <v>#N/A</v>
      </c>
    </row>
    <row r="1111" spans="1:2" x14ac:dyDescent="0.25">
      <c r="A1111">
        <f t="shared" si="56"/>
        <v>92</v>
      </c>
      <c r="B1111" t="e">
        <f>"        ""Restock"": "&amp;VLOOKUP(A1111,TraderCategory!$B$63:$L$546,6,FALSE)&amp;","</f>
        <v>#N/A</v>
      </c>
    </row>
    <row r="1112" spans="1:2" x14ac:dyDescent="0.25">
      <c r="A1112">
        <f t="shared" si="56"/>
        <v>92</v>
      </c>
      <c r="B1112" t="e">
        <f>"        ""RestockCap"": "&amp;VLOOKUP(A1112,TraderCategory!$B$63:$L$546,7,FALSE)&amp;","</f>
        <v>#N/A</v>
      </c>
    </row>
    <row r="1113" spans="1:2" x14ac:dyDescent="0.25">
      <c r="A1113">
        <f t="shared" si="56"/>
        <v>92</v>
      </c>
      <c r="B1113" t="e">
        <f>"        ""StockCap"": "&amp;VLOOKUP(A1113,TraderCategory!$B$63:$L$546,8,FALSE)&amp;","</f>
        <v>#N/A</v>
      </c>
    </row>
    <row r="1114" spans="1:2" x14ac:dyDescent="0.25">
      <c r="A1114">
        <f t="shared" si="56"/>
        <v>92</v>
      </c>
      <c r="B1114" t="e">
        <f>"        ""SellingRatioMin"": "&amp;VLOOKUP(A1114,TraderCategory!$B$63:$L$546,9,FALSE)&amp;","</f>
        <v>#N/A</v>
      </c>
    </row>
    <row r="1115" spans="1:2" x14ac:dyDescent="0.25">
      <c r="A1115">
        <f t="shared" si="56"/>
        <v>92</v>
      </c>
      <c r="B1115" t="e">
        <f>"        ""SellingRatioMax"": "&amp;VLOOKUP(A1115,TraderCategory!$B$63:$L$546,10,FALSE)&amp;","</f>
        <v>#N/A</v>
      </c>
    </row>
    <row r="1116" spans="1:2" x14ac:dyDescent="0.25">
      <c r="A1116">
        <f t="shared" si="56"/>
        <v>92</v>
      </c>
      <c r="B1116" t="e">
        <f>"        ""BuingRatioMin"": "&amp;VLOOKUP(A1116,TraderCategory!$B$63:$L$546,11,FALSE)</f>
        <v>#N/A</v>
      </c>
    </row>
    <row r="1117" spans="1:2" x14ac:dyDescent="0.25">
      <c r="A1117">
        <f t="shared" si="56"/>
        <v>92</v>
      </c>
      <c r="B1117" t="s">
        <v>2755</v>
      </c>
    </row>
    <row r="1118" spans="1:2" x14ac:dyDescent="0.25">
      <c r="A1118">
        <f>A1106+1</f>
        <v>93</v>
      </c>
      <c r="B1118" t="str">
        <f>"    """&amp;A1118&amp;""": {"</f>
        <v xml:space="preserve">    "93": {</v>
      </c>
    </row>
    <row r="1119" spans="1:2" x14ac:dyDescent="0.25">
      <c r="A1119">
        <f t="shared" si="56"/>
        <v>93</v>
      </c>
      <c r="B1119" t="e">
        <f>"        ""Groups"": """&amp;VLOOKUP(A1119,TraderCategory!$B$63:$L$546,2,FALSE)&amp;""","</f>
        <v>#N/A</v>
      </c>
    </row>
    <row r="1120" spans="1:2" x14ac:dyDescent="0.25">
      <c r="A1120">
        <f t="shared" si="56"/>
        <v>93</v>
      </c>
      <c r="B1120" t="e">
        <f>"        ""Category"": """&amp;VLOOKUP(A1120,TraderCategory!$B$63:$L$546,3,FALSE)&amp;""","</f>
        <v>#N/A</v>
      </c>
    </row>
    <row r="1121" spans="1:2" x14ac:dyDescent="0.25">
      <c r="A1121">
        <f t="shared" si="56"/>
        <v>93</v>
      </c>
      <c r="B1121" t="e">
        <f>"        ""SubCategory"": """&amp;VLOOKUP(A1121,TraderCategory!$B$63:$L$546,4,FALSE)&amp;""","</f>
        <v>#N/A</v>
      </c>
    </row>
    <row r="1122" spans="1:2" x14ac:dyDescent="0.25">
      <c r="A1122">
        <f t="shared" si="56"/>
        <v>93</v>
      </c>
      <c r="B1122" t="e">
        <f>"        ""Reputation"": "&amp;VLOOKUP(A1122,TraderCategory!$B$63:$L$546,5,FALSE)&amp;","</f>
        <v>#N/A</v>
      </c>
    </row>
    <row r="1123" spans="1:2" x14ac:dyDescent="0.25">
      <c r="A1123">
        <f t="shared" si="56"/>
        <v>93</v>
      </c>
      <c r="B1123" t="e">
        <f>"        ""Restock"": "&amp;VLOOKUP(A1123,TraderCategory!$B$63:$L$546,6,FALSE)&amp;","</f>
        <v>#N/A</v>
      </c>
    </row>
    <row r="1124" spans="1:2" x14ac:dyDescent="0.25">
      <c r="A1124">
        <f t="shared" si="56"/>
        <v>93</v>
      </c>
      <c r="B1124" t="e">
        <f>"        ""RestockCap"": "&amp;VLOOKUP(A1124,TraderCategory!$B$63:$L$546,7,FALSE)&amp;","</f>
        <v>#N/A</v>
      </c>
    </row>
    <row r="1125" spans="1:2" x14ac:dyDescent="0.25">
      <c r="A1125">
        <f t="shared" si="56"/>
        <v>93</v>
      </c>
      <c r="B1125" t="e">
        <f>"        ""StockCap"": "&amp;VLOOKUP(A1125,TraderCategory!$B$63:$L$546,8,FALSE)&amp;","</f>
        <v>#N/A</v>
      </c>
    </row>
    <row r="1126" spans="1:2" x14ac:dyDescent="0.25">
      <c r="A1126">
        <f t="shared" si="56"/>
        <v>93</v>
      </c>
      <c r="B1126" t="e">
        <f>"        ""SellingRatioMin"": "&amp;VLOOKUP(A1126,TraderCategory!$B$63:$L$546,9,FALSE)&amp;","</f>
        <v>#N/A</v>
      </c>
    </row>
    <row r="1127" spans="1:2" x14ac:dyDescent="0.25">
      <c r="A1127">
        <f t="shared" si="56"/>
        <v>93</v>
      </c>
      <c r="B1127" t="e">
        <f>"        ""SellingRatioMax"": "&amp;VLOOKUP(A1127,TraderCategory!$B$63:$L$546,10,FALSE)&amp;","</f>
        <v>#N/A</v>
      </c>
    </row>
    <row r="1128" spans="1:2" x14ac:dyDescent="0.25">
      <c r="A1128">
        <f t="shared" si="56"/>
        <v>93</v>
      </c>
      <c r="B1128" t="e">
        <f>"        ""BuingRatioMin"": "&amp;VLOOKUP(A1128,TraderCategory!$B$63:$L$546,11,FALSE)</f>
        <v>#N/A</v>
      </c>
    </row>
    <row r="1129" spans="1:2" x14ac:dyDescent="0.25">
      <c r="A1129">
        <f t="shared" si="56"/>
        <v>93</v>
      </c>
      <c r="B1129" t="s">
        <v>2755</v>
      </c>
    </row>
    <row r="1130" spans="1:2" x14ac:dyDescent="0.25">
      <c r="A1130">
        <f>A1118+1</f>
        <v>94</v>
      </c>
      <c r="B1130" t="str">
        <f>"    """&amp;A1130&amp;""": {"</f>
        <v xml:space="preserve">    "94": {</v>
      </c>
    </row>
    <row r="1131" spans="1:2" x14ac:dyDescent="0.25">
      <c r="A1131">
        <f t="shared" si="56"/>
        <v>94</v>
      </c>
      <c r="B1131" t="e">
        <f>"        ""Groups"": """&amp;VLOOKUP(A1131,TraderCategory!$B$63:$L$546,2,FALSE)&amp;""","</f>
        <v>#N/A</v>
      </c>
    </row>
    <row r="1132" spans="1:2" x14ac:dyDescent="0.25">
      <c r="A1132">
        <f t="shared" si="56"/>
        <v>94</v>
      </c>
      <c r="B1132" t="e">
        <f>"        ""Category"": """&amp;VLOOKUP(A1132,TraderCategory!$B$63:$L$546,3,FALSE)&amp;""","</f>
        <v>#N/A</v>
      </c>
    </row>
    <row r="1133" spans="1:2" x14ac:dyDescent="0.25">
      <c r="A1133">
        <f t="shared" si="56"/>
        <v>94</v>
      </c>
      <c r="B1133" t="e">
        <f>"        ""SubCategory"": """&amp;VLOOKUP(A1133,TraderCategory!$B$63:$L$546,4,FALSE)&amp;""","</f>
        <v>#N/A</v>
      </c>
    </row>
    <row r="1134" spans="1:2" x14ac:dyDescent="0.25">
      <c r="A1134">
        <f t="shared" si="56"/>
        <v>94</v>
      </c>
      <c r="B1134" t="e">
        <f>"        ""Reputation"": "&amp;VLOOKUP(A1134,TraderCategory!$B$63:$L$546,5,FALSE)&amp;","</f>
        <v>#N/A</v>
      </c>
    </row>
    <row r="1135" spans="1:2" x14ac:dyDescent="0.25">
      <c r="A1135">
        <f t="shared" ref="A1135:A1141" si="57">A1123+1</f>
        <v>94</v>
      </c>
      <c r="B1135" t="e">
        <f>"        ""Restock"": "&amp;VLOOKUP(A1135,TraderCategory!$B$63:$L$546,6,FALSE)&amp;","</f>
        <v>#N/A</v>
      </c>
    </row>
    <row r="1136" spans="1:2" x14ac:dyDescent="0.25">
      <c r="A1136">
        <f t="shared" si="57"/>
        <v>94</v>
      </c>
      <c r="B1136" t="e">
        <f>"        ""RestockCap"": "&amp;VLOOKUP(A1136,TraderCategory!$B$63:$L$546,7,FALSE)&amp;","</f>
        <v>#N/A</v>
      </c>
    </row>
    <row r="1137" spans="1:2" x14ac:dyDescent="0.25">
      <c r="A1137">
        <f t="shared" si="57"/>
        <v>94</v>
      </c>
      <c r="B1137" t="e">
        <f>"        ""StockCap"": "&amp;VLOOKUP(A1137,TraderCategory!$B$63:$L$546,8,FALSE)&amp;","</f>
        <v>#N/A</v>
      </c>
    </row>
    <row r="1138" spans="1:2" x14ac:dyDescent="0.25">
      <c r="A1138">
        <f t="shared" si="57"/>
        <v>94</v>
      </c>
      <c r="B1138" t="e">
        <f>"        ""SellingRatioMin"": "&amp;VLOOKUP(A1138,TraderCategory!$B$63:$L$546,9,FALSE)&amp;","</f>
        <v>#N/A</v>
      </c>
    </row>
    <row r="1139" spans="1:2" x14ac:dyDescent="0.25">
      <c r="A1139">
        <f t="shared" si="57"/>
        <v>94</v>
      </c>
      <c r="B1139" t="e">
        <f>"        ""SellingRatioMax"": "&amp;VLOOKUP(A1139,TraderCategory!$B$63:$L$546,10,FALSE)&amp;","</f>
        <v>#N/A</v>
      </c>
    </row>
    <row r="1140" spans="1:2" x14ac:dyDescent="0.25">
      <c r="A1140">
        <f t="shared" si="57"/>
        <v>94</v>
      </c>
      <c r="B1140" t="e">
        <f>"        ""BuingRatioMin"": "&amp;VLOOKUP(A1140,TraderCategory!$B$63:$L$546,11,FALSE)</f>
        <v>#N/A</v>
      </c>
    </row>
    <row r="1141" spans="1:2" x14ac:dyDescent="0.25">
      <c r="A1141">
        <f t="shared" si="57"/>
        <v>94</v>
      </c>
      <c r="B1141" t="s">
        <v>2755</v>
      </c>
    </row>
    <row r="1142" spans="1:2" x14ac:dyDescent="0.25">
      <c r="A1142">
        <f>A1130+1</f>
        <v>95</v>
      </c>
      <c r="B1142" t="str">
        <f>"    """&amp;A1142&amp;""": {"</f>
        <v xml:space="preserve">    "95": {</v>
      </c>
    </row>
    <row r="1143" spans="1:2" x14ac:dyDescent="0.25">
      <c r="A1143">
        <f t="shared" ref="A1143:A1153" si="58">A1131+1</f>
        <v>95</v>
      </c>
      <c r="B1143" t="e">
        <f>"        ""Groups"": """&amp;VLOOKUP(A1143,TraderCategory!$B$63:$L$546,2,FALSE)&amp;""","</f>
        <v>#N/A</v>
      </c>
    </row>
    <row r="1144" spans="1:2" x14ac:dyDescent="0.25">
      <c r="A1144">
        <f t="shared" si="58"/>
        <v>95</v>
      </c>
      <c r="B1144" t="e">
        <f>"        ""Category"": """&amp;VLOOKUP(A1144,TraderCategory!$B$63:$L$546,3,FALSE)&amp;""","</f>
        <v>#N/A</v>
      </c>
    </row>
    <row r="1145" spans="1:2" x14ac:dyDescent="0.25">
      <c r="A1145">
        <f t="shared" si="58"/>
        <v>95</v>
      </c>
      <c r="B1145" t="e">
        <f>"        ""SubCategory"": """&amp;VLOOKUP(A1145,TraderCategory!$B$63:$L$546,4,FALSE)&amp;""","</f>
        <v>#N/A</v>
      </c>
    </row>
    <row r="1146" spans="1:2" x14ac:dyDescent="0.25">
      <c r="A1146">
        <f t="shared" si="58"/>
        <v>95</v>
      </c>
      <c r="B1146" t="e">
        <f>"        ""Reputation"": "&amp;VLOOKUP(A1146,TraderCategory!$B$63:$L$546,5,FALSE)&amp;","</f>
        <v>#N/A</v>
      </c>
    </row>
    <row r="1147" spans="1:2" x14ac:dyDescent="0.25">
      <c r="A1147">
        <f t="shared" si="58"/>
        <v>95</v>
      </c>
      <c r="B1147" t="e">
        <f>"        ""Restock"": "&amp;VLOOKUP(A1147,TraderCategory!$B$63:$L$546,6,FALSE)&amp;","</f>
        <v>#N/A</v>
      </c>
    </row>
    <row r="1148" spans="1:2" x14ac:dyDescent="0.25">
      <c r="A1148">
        <f t="shared" si="58"/>
        <v>95</v>
      </c>
      <c r="B1148" t="e">
        <f>"        ""RestockCap"": "&amp;VLOOKUP(A1148,TraderCategory!$B$63:$L$546,7,FALSE)&amp;","</f>
        <v>#N/A</v>
      </c>
    </row>
    <row r="1149" spans="1:2" x14ac:dyDescent="0.25">
      <c r="A1149">
        <f t="shared" si="58"/>
        <v>95</v>
      </c>
      <c r="B1149" t="e">
        <f>"        ""StockCap"": "&amp;VLOOKUP(A1149,TraderCategory!$B$63:$L$546,8,FALSE)&amp;","</f>
        <v>#N/A</v>
      </c>
    </row>
    <row r="1150" spans="1:2" x14ac:dyDescent="0.25">
      <c r="A1150">
        <f t="shared" si="58"/>
        <v>95</v>
      </c>
      <c r="B1150" t="e">
        <f>"        ""SellingRatioMin"": "&amp;VLOOKUP(A1150,TraderCategory!$B$63:$L$546,9,FALSE)&amp;","</f>
        <v>#N/A</v>
      </c>
    </row>
    <row r="1151" spans="1:2" x14ac:dyDescent="0.25">
      <c r="A1151">
        <f t="shared" si="58"/>
        <v>95</v>
      </c>
      <c r="B1151" t="e">
        <f>"        ""SellingRatioMax"": "&amp;VLOOKUP(A1151,TraderCategory!$B$63:$L$546,10,FALSE)&amp;","</f>
        <v>#N/A</v>
      </c>
    </row>
    <row r="1152" spans="1:2" x14ac:dyDescent="0.25">
      <c r="A1152">
        <f t="shared" si="58"/>
        <v>95</v>
      </c>
      <c r="B1152" t="e">
        <f>"        ""BuingRatioMin"": "&amp;VLOOKUP(A1152,TraderCategory!$B$63:$L$546,11,FALSE)</f>
        <v>#N/A</v>
      </c>
    </row>
    <row r="1153" spans="1:2" x14ac:dyDescent="0.25">
      <c r="A1153">
        <f t="shared" si="58"/>
        <v>95</v>
      </c>
      <c r="B1153" t="s">
        <v>2755</v>
      </c>
    </row>
    <row r="1154" spans="1:2" x14ac:dyDescent="0.25">
      <c r="A1154">
        <f>A1142+1</f>
        <v>96</v>
      </c>
      <c r="B1154" t="str">
        <f>"    """&amp;A1154&amp;""": {"</f>
        <v xml:space="preserve">    "96": {</v>
      </c>
    </row>
    <row r="1155" spans="1:2" x14ac:dyDescent="0.25">
      <c r="A1155">
        <f t="shared" ref="A1155:A1165" si="59">A1143+1</f>
        <v>96</v>
      </c>
      <c r="B1155" t="e">
        <f>"        ""Groups"": """&amp;VLOOKUP(A1155,TraderCategory!$B$63:$L$546,2,FALSE)&amp;""","</f>
        <v>#N/A</v>
      </c>
    </row>
    <row r="1156" spans="1:2" x14ac:dyDescent="0.25">
      <c r="A1156">
        <f t="shared" si="59"/>
        <v>96</v>
      </c>
      <c r="B1156" t="e">
        <f>"        ""Category"": """&amp;VLOOKUP(A1156,TraderCategory!$B$63:$L$546,3,FALSE)&amp;""","</f>
        <v>#N/A</v>
      </c>
    </row>
    <row r="1157" spans="1:2" x14ac:dyDescent="0.25">
      <c r="A1157">
        <f t="shared" si="59"/>
        <v>96</v>
      </c>
      <c r="B1157" t="e">
        <f>"        ""SubCategory"": """&amp;VLOOKUP(A1157,TraderCategory!$B$63:$L$546,4,FALSE)&amp;""","</f>
        <v>#N/A</v>
      </c>
    </row>
    <row r="1158" spans="1:2" x14ac:dyDescent="0.25">
      <c r="A1158">
        <f t="shared" si="59"/>
        <v>96</v>
      </c>
      <c r="B1158" t="e">
        <f>"        ""Reputation"": "&amp;VLOOKUP(A1158,TraderCategory!$B$63:$L$546,5,FALSE)&amp;","</f>
        <v>#N/A</v>
      </c>
    </row>
    <row r="1159" spans="1:2" x14ac:dyDescent="0.25">
      <c r="A1159">
        <f t="shared" si="59"/>
        <v>96</v>
      </c>
      <c r="B1159" t="e">
        <f>"        ""Restock"": "&amp;VLOOKUP(A1159,TraderCategory!$B$63:$L$546,6,FALSE)&amp;","</f>
        <v>#N/A</v>
      </c>
    </row>
    <row r="1160" spans="1:2" x14ac:dyDescent="0.25">
      <c r="A1160">
        <f t="shared" si="59"/>
        <v>96</v>
      </c>
      <c r="B1160" t="e">
        <f>"        ""RestockCap"": "&amp;VLOOKUP(A1160,TraderCategory!$B$63:$L$546,7,FALSE)&amp;","</f>
        <v>#N/A</v>
      </c>
    </row>
    <row r="1161" spans="1:2" x14ac:dyDescent="0.25">
      <c r="A1161">
        <f t="shared" si="59"/>
        <v>96</v>
      </c>
      <c r="B1161" t="e">
        <f>"        ""StockCap"": "&amp;VLOOKUP(A1161,TraderCategory!$B$63:$L$546,8,FALSE)&amp;","</f>
        <v>#N/A</v>
      </c>
    </row>
    <row r="1162" spans="1:2" x14ac:dyDescent="0.25">
      <c r="A1162">
        <f t="shared" si="59"/>
        <v>96</v>
      </c>
      <c r="B1162" t="e">
        <f>"        ""SellingRatioMin"": "&amp;VLOOKUP(A1162,TraderCategory!$B$63:$L$546,9,FALSE)&amp;","</f>
        <v>#N/A</v>
      </c>
    </row>
    <row r="1163" spans="1:2" x14ac:dyDescent="0.25">
      <c r="A1163">
        <f t="shared" si="59"/>
        <v>96</v>
      </c>
      <c r="B1163" t="e">
        <f>"        ""SellingRatioMax"": "&amp;VLOOKUP(A1163,TraderCategory!$B$63:$L$546,10,FALSE)&amp;","</f>
        <v>#N/A</v>
      </c>
    </row>
    <row r="1164" spans="1:2" x14ac:dyDescent="0.25">
      <c r="A1164">
        <f t="shared" si="59"/>
        <v>96</v>
      </c>
      <c r="B1164" t="e">
        <f>"        ""BuingRatioMin"": "&amp;VLOOKUP(A1164,TraderCategory!$B$63:$L$546,11,FALSE)</f>
        <v>#N/A</v>
      </c>
    </row>
    <row r="1165" spans="1:2" x14ac:dyDescent="0.25">
      <c r="A1165">
        <f t="shared" si="59"/>
        <v>96</v>
      </c>
      <c r="B1165" t="s">
        <v>2755</v>
      </c>
    </row>
    <row r="1166" spans="1:2" x14ac:dyDescent="0.25">
      <c r="A1166">
        <f>A1154+1</f>
        <v>97</v>
      </c>
      <c r="B1166" t="str">
        <f>"    """&amp;A1166&amp;""": {"</f>
        <v xml:space="preserve">    "97": {</v>
      </c>
    </row>
    <row r="1167" spans="1:2" x14ac:dyDescent="0.25">
      <c r="A1167">
        <f t="shared" ref="A1167:A1177" si="60">A1155+1</f>
        <v>97</v>
      </c>
      <c r="B1167" t="e">
        <f>"        ""Groups"": """&amp;VLOOKUP(A1167,TraderCategory!$B$63:$L$546,2,FALSE)&amp;""","</f>
        <v>#N/A</v>
      </c>
    </row>
    <row r="1168" spans="1:2" x14ac:dyDescent="0.25">
      <c r="A1168">
        <f t="shared" si="60"/>
        <v>97</v>
      </c>
      <c r="B1168" t="e">
        <f>"        ""Category"": """&amp;VLOOKUP(A1168,TraderCategory!$B$63:$L$546,3,FALSE)&amp;""","</f>
        <v>#N/A</v>
      </c>
    </row>
    <row r="1169" spans="1:2" x14ac:dyDescent="0.25">
      <c r="A1169">
        <f t="shared" si="60"/>
        <v>97</v>
      </c>
      <c r="B1169" t="e">
        <f>"        ""SubCategory"": """&amp;VLOOKUP(A1169,TraderCategory!$B$63:$L$546,4,FALSE)&amp;""","</f>
        <v>#N/A</v>
      </c>
    </row>
    <row r="1170" spans="1:2" x14ac:dyDescent="0.25">
      <c r="A1170">
        <f t="shared" si="60"/>
        <v>97</v>
      </c>
      <c r="B1170" t="e">
        <f>"        ""Reputation"": "&amp;VLOOKUP(A1170,TraderCategory!$B$63:$L$546,5,FALSE)&amp;","</f>
        <v>#N/A</v>
      </c>
    </row>
    <row r="1171" spans="1:2" x14ac:dyDescent="0.25">
      <c r="A1171">
        <f t="shared" si="60"/>
        <v>97</v>
      </c>
      <c r="B1171" t="e">
        <f>"        ""Restock"": "&amp;VLOOKUP(A1171,TraderCategory!$B$63:$L$546,6,FALSE)&amp;","</f>
        <v>#N/A</v>
      </c>
    </row>
    <row r="1172" spans="1:2" x14ac:dyDescent="0.25">
      <c r="A1172">
        <f t="shared" si="60"/>
        <v>97</v>
      </c>
      <c r="B1172" t="e">
        <f>"        ""RestockCap"": "&amp;VLOOKUP(A1172,TraderCategory!$B$63:$L$546,7,FALSE)&amp;","</f>
        <v>#N/A</v>
      </c>
    </row>
    <row r="1173" spans="1:2" x14ac:dyDescent="0.25">
      <c r="A1173">
        <f t="shared" si="60"/>
        <v>97</v>
      </c>
      <c r="B1173" t="e">
        <f>"        ""StockCap"": "&amp;VLOOKUP(A1173,TraderCategory!$B$63:$L$546,8,FALSE)&amp;","</f>
        <v>#N/A</v>
      </c>
    </row>
    <row r="1174" spans="1:2" x14ac:dyDescent="0.25">
      <c r="A1174">
        <f t="shared" si="60"/>
        <v>97</v>
      </c>
      <c r="B1174" t="e">
        <f>"        ""SellingRatioMin"": "&amp;VLOOKUP(A1174,TraderCategory!$B$63:$L$546,9,FALSE)&amp;","</f>
        <v>#N/A</v>
      </c>
    </row>
    <row r="1175" spans="1:2" x14ac:dyDescent="0.25">
      <c r="A1175">
        <f t="shared" si="60"/>
        <v>97</v>
      </c>
      <c r="B1175" t="e">
        <f>"        ""SellingRatioMax"": "&amp;VLOOKUP(A1175,TraderCategory!$B$63:$L$546,10,FALSE)&amp;","</f>
        <v>#N/A</v>
      </c>
    </row>
    <row r="1176" spans="1:2" x14ac:dyDescent="0.25">
      <c r="A1176">
        <f t="shared" si="60"/>
        <v>97</v>
      </c>
      <c r="B1176" t="e">
        <f>"        ""BuingRatioMin"": "&amp;VLOOKUP(A1176,TraderCategory!$B$63:$L$546,11,FALSE)</f>
        <v>#N/A</v>
      </c>
    </row>
    <row r="1177" spans="1:2" x14ac:dyDescent="0.25">
      <c r="A1177">
        <f t="shared" si="60"/>
        <v>97</v>
      </c>
      <c r="B1177" t="s">
        <v>2755</v>
      </c>
    </row>
    <row r="1178" spans="1:2" x14ac:dyDescent="0.25">
      <c r="A1178">
        <f>A1166+1</f>
        <v>98</v>
      </c>
      <c r="B1178" t="str">
        <f>"    """&amp;A1178&amp;""": {"</f>
        <v xml:space="preserve">    "98": {</v>
      </c>
    </row>
    <row r="1179" spans="1:2" x14ac:dyDescent="0.25">
      <c r="A1179">
        <f t="shared" ref="A1179:A1189" si="61">A1167+1</f>
        <v>98</v>
      </c>
      <c r="B1179" t="e">
        <f>"        ""Groups"": """&amp;VLOOKUP(A1179,TraderCategory!$B$63:$L$546,2,FALSE)&amp;""","</f>
        <v>#N/A</v>
      </c>
    </row>
    <row r="1180" spans="1:2" x14ac:dyDescent="0.25">
      <c r="A1180">
        <f t="shared" si="61"/>
        <v>98</v>
      </c>
      <c r="B1180" t="e">
        <f>"        ""Category"": """&amp;VLOOKUP(A1180,TraderCategory!$B$63:$L$546,3,FALSE)&amp;""","</f>
        <v>#N/A</v>
      </c>
    </row>
    <row r="1181" spans="1:2" x14ac:dyDescent="0.25">
      <c r="A1181">
        <f t="shared" si="61"/>
        <v>98</v>
      </c>
      <c r="B1181" t="e">
        <f>"        ""SubCategory"": """&amp;VLOOKUP(A1181,TraderCategory!$B$63:$L$546,4,FALSE)&amp;""","</f>
        <v>#N/A</v>
      </c>
    </row>
    <row r="1182" spans="1:2" x14ac:dyDescent="0.25">
      <c r="A1182">
        <f t="shared" si="61"/>
        <v>98</v>
      </c>
      <c r="B1182" t="e">
        <f>"        ""Reputation"": "&amp;VLOOKUP(A1182,TraderCategory!$B$63:$L$546,5,FALSE)&amp;","</f>
        <v>#N/A</v>
      </c>
    </row>
    <row r="1183" spans="1:2" x14ac:dyDescent="0.25">
      <c r="A1183">
        <f t="shared" si="61"/>
        <v>98</v>
      </c>
      <c r="B1183" t="e">
        <f>"        ""Restock"": "&amp;VLOOKUP(A1183,TraderCategory!$B$63:$L$546,6,FALSE)&amp;","</f>
        <v>#N/A</v>
      </c>
    </row>
    <row r="1184" spans="1:2" x14ac:dyDescent="0.25">
      <c r="A1184">
        <f t="shared" si="61"/>
        <v>98</v>
      </c>
      <c r="B1184" t="e">
        <f>"        ""RestockCap"": "&amp;VLOOKUP(A1184,TraderCategory!$B$63:$L$546,7,FALSE)&amp;","</f>
        <v>#N/A</v>
      </c>
    </row>
    <row r="1185" spans="1:2" x14ac:dyDescent="0.25">
      <c r="A1185">
        <f t="shared" si="61"/>
        <v>98</v>
      </c>
      <c r="B1185" t="e">
        <f>"        ""StockCap"": "&amp;VLOOKUP(A1185,TraderCategory!$B$63:$L$546,8,FALSE)&amp;","</f>
        <v>#N/A</v>
      </c>
    </row>
    <row r="1186" spans="1:2" x14ac:dyDescent="0.25">
      <c r="A1186">
        <f t="shared" si="61"/>
        <v>98</v>
      </c>
      <c r="B1186" t="e">
        <f>"        ""SellingRatioMin"": "&amp;VLOOKUP(A1186,TraderCategory!$B$63:$L$546,9,FALSE)&amp;","</f>
        <v>#N/A</v>
      </c>
    </row>
    <row r="1187" spans="1:2" x14ac:dyDescent="0.25">
      <c r="A1187">
        <f t="shared" si="61"/>
        <v>98</v>
      </c>
      <c r="B1187" t="e">
        <f>"        ""SellingRatioMax"": "&amp;VLOOKUP(A1187,TraderCategory!$B$63:$L$546,10,FALSE)&amp;","</f>
        <v>#N/A</v>
      </c>
    </row>
    <row r="1188" spans="1:2" x14ac:dyDescent="0.25">
      <c r="A1188">
        <f t="shared" si="61"/>
        <v>98</v>
      </c>
      <c r="B1188" t="e">
        <f>"        ""BuingRatioMin"": "&amp;VLOOKUP(A1188,TraderCategory!$B$63:$L$546,11,FALSE)</f>
        <v>#N/A</v>
      </c>
    </row>
    <row r="1189" spans="1:2" x14ac:dyDescent="0.25">
      <c r="A1189">
        <f t="shared" si="61"/>
        <v>98</v>
      </c>
      <c r="B1189" t="s">
        <v>2755</v>
      </c>
    </row>
    <row r="1190" spans="1:2" x14ac:dyDescent="0.25">
      <c r="A1190">
        <f>A1178+1</f>
        <v>99</v>
      </c>
      <c r="B1190" t="str">
        <f>"    """&amp;A1190&amp;""": {"</f>
        <v xml:space="preserve">    "99": {</v>
      </c>
    </row>
    <row r="1191" spans="1:2" x14ac:dyDescent="0.25">
      <c r="A1191">
        <f t="shared" ref="A1191:A1201" si="62">A1179+1</f>
        <v>99</v>
      </c>
      <c r="B1191" t="e">
        <f>"        ""Groups"": """&amp;VLOOKUP(A1191,TraderCategory!$B$63:$L$546,2,FALSE)&amp;""","</f>
        <v>#N/A</v>
      </c>
    </row>
    <row r="1192" spans="1:2" x14ac:dyDescent="0.25">
      <c r="A1192">
        <f t="shared" si="62"/>
        <v>99</v>
      </c>
      <c r="B1192" t="e">
        <f>"        ""Category"": """&amp;VLOOKUP(A1192,TraderCategory!$B$63:$L$546,3,FALSE)&amp;""","</f>
        <v>#N/A</v>
      </c>
    </row>
    <row r="1193" spans="1:2" x14ac:dyDescent="0.25">
      <c r="A1193">
        <f t="shared" si="62"/>
        <v>99</v>
      </c>
      <c r="B1193" t="e">
        <f>"        ""SubCategory"": """&amp;VLOOKUP(A1193,TraderCategory!$B$63:$L$546,4,FALSE)&amp;""","</f>
        <v>#N/A</v>
      </c>
    </row>
    <row r="1194" spans="1:2" x14ac:dyDescent="0.25">
      <c r="A1194">
        <f t="shared" si="62"/>
        <v>99</v>
      </c>
      <c r="B1194" t="e">
        <f>"        ""Reputation"": "&amp;VLOOKUP(A1194,TraderCategory!$B$63:$L$546,5,FALSE)&amp;","</f>
        <v>#N/A</v>
      </c>
    </row>
    <row r="1195" spans="1:2" x14ac:dyDescent="0.25">
      <c r="A1195">
        <f t="shared" si="62"/>
        <v>99</v>
      </c>
      <c r="B1195" t="e">
        <f>"        ""Restock"": "&amp;VLOOKUP(A1195,TraderCategory!$B$63:$L$546,6,FALSE)&amp;","</f>
        <v>#N/A</v>
      </c>
    </row>
    <row r="1196" spans="1:2" x14ac:dyDescent="0.25">
      <c r="A1196">
        <f t="shared" si="62"/>
        <v>99</v>
      </c>
      <c r="B1196" t="e">
        <f>"        ""RestockCap"": "&amp;VLOOKUP(A1196,TraderCategory!$B$63:$L$546,7,FALSE)&amp;","</f>
        <v>#N/A</v>
      </c>
    </row>
    <row r="1197" spans="1:2" x14ac:dyDescent="0.25">
      <c r="A1197">
        <f t="shared" si="62"/>
        <v>99</v>
      </c>
      <c r="B1197" t="e">
        <f>"        ""StockCap"": "&amp;VLOOKUP(A1197,TraderCategory!$B$63:$L$546,8,FALSE)&amp;","</f>
        <v>#N/A</v>
      </c>
    </row>
    <row r="1198" spans="1:2" x14ac:dyDescent="0.25">
      <c r="A1198">
        <f t="shared" si="62"/>
        <v>99</v>
      </c>
      <c r="B1198" t="e">
        <f>"        ""SellingRatioMin"": "&amp;VLOOKUP(A1198,TraderCategory!$B$63:$L$546,9,FALSE)&amp;","</f>
        <v>#N/A</v>
      </c>
    </row>
    <row r="1199" spans="1:2" x14ac:dyDescent="0.25">
      <c r="A1199">
        <f t="shared" si="62"/>
        <v>99</v>
      </c>
      <c r="B1199" t="e">
        <f>"        ""SellingRatioMax"": "&amp;VLOOKUP(A1199,TraderCategory!$B$63:$L$546,10,FALSE)&amp;","</f>
        <v>#N/A</v>
      </c>
    </row>
    <row r="1200" spans="1:2" x14ac:dyDescent="0.25">
      <c r="A1200">
        <f t="shared" si="62"/>
        <v>99</v>
      </c>
      <c r="B1200" t="e">
        <f>"        ""BuingRatioMin"": "&amp;VLOOKUP(A1200,TraderCategory!$B$63:$L$546,11,FALSE)</f>
        <v>#N/A</v>
      </c>
    </row>
    <row r="1201" spans="1:2" x14ac:dyDescent="0.25">
      <c r="A1201">
        <f t="shared" si="62"/>
        <v>99</v>
      </c>
      <c r="B1201" t="s">
        <v>2755</v>
      </c>
    </row>
    <row r="1202" spans="1:2" x14ac:dyDescent="0.25">
      <c r="A1202">
        <f>A1190+1</f>
        <v>100</v>
      </c>
      <c r="B1202" t="str">
        <f>"    """&amp;A1202&amp;""": {"</f>
        <v xml:space="preserve">    "100": {</v>
      </c>
    </row>
    <row r="1203" spans="1:2" x14ac:dyDescent="0.25">
      <c r="A1203">
        <f t="shared" ref="A1203:A1261" si="63">A1191+1</f>
        <v>100</v>
      </c>
      <c r="B1203" t="e">
        <f>"        ""Groups"": """&amp;VLOOKUP(A1203,TraderCategory!$B$63:$L$546,2,FALSE)&amp;""","</f>
        <v>#N/A</v>
      </c>
    </row>
    <row r="1204" spans="1:2" x14ac:dyDescent="0.25">
      <c r="A1204">
        <f t="shared" si="63"/>
        <v>100</v>
      </c>
      <c r="B1204" t="e">
        <f>"        ""Category"": """&amp;VLOOKUP(A1204,TraderCategory!$B$63:$L$546,3,FALSE)&amp;""","</f>
        <v>#N/A</v>
      </c>
    </row>
    <row r="1205" spans="1:2" x14ac:dyDescent="0.25">
      <c r="A1205">
        <f t="shared" si="63"/>
        <v>100</v>
      </c>
      <c r="B1205" t="e">
        <f>"        ""SubCategory"": """&amp;VLOOKUP(A1205,TraderCategory!$B$63:$L$546,4,FALSE)&amp;""","</f>
        <v>#N/A</v>
      </c>
    </row>
    <row r="1206" spans="1:2" x14ac:dyDescent="0.25">
      <c r="A1206">
        <f t="shared" si="63"/>
        <v>100</v>
      </c>
      <c r="B1206" t="e">
        <f>"        ""Reputation"": "&amp;VLOOKUP(A1206,TraderCategory!$B$63:$L$546,5,FALSE)&amp;","</f>
        <v>#N/A</v>
      </c>
    </row>
    <row r="1207" spans="1:2" x14ac:dyDescent="0.25">
      <c r="A1207">
        <f t="shared" si="63"/>
        <v>100</v>
      </c>
      <c r="B1207" t="e">
        <f>"        ""Restock"": "&amp;VLOOKUP(A1207,TraderCategory!$B$63:$L$546,6,FALSE)&amp;","</f>
        <v>#N/A</v>
      </c>
    </row>
    <row r="1208" spans="1:2" x14ac:dyDescent="0.25">
      <c r="A1208">
        <f t="shared" si="63"/>
        <v>100</v>
      </c>
      <c r="B1208" t="e">
        <f>"        ""RestockCap"": "&amp;VLOOKUP(A1208,TraderCategory!$B$63:$L$546,7,FALSE)&amp;","</f>
        <v>#N/A</v>
      </c>
    </row>
    <row r="1209" spans="1:2" x14ac:dyDescent="0.25">
      <c r="A1209">
        <f t="shared" si="63"/>
        <v>100</v>
      </c>
      <c r="B1209" t="e">
        <f>"        ""StockCap"": "&amp;VLOOKUP(A1209,TraderCategory!$B$63:$L$546,8,FALSE)&amp;","</f>
        <v>#N/A</v>
      </c>
    </row>
    <row r="1210" spans="1:2" x14ac:dyDescent="0.25">
      <c r="A1210">
        <f t="shared" si="63"/>
        <v>100</v>
      </c>
      <c r="B1210" t="e">
        <f>"        ""SellingRatioMin"": "&amp;VLOOKUP(A1210,TraderCategory!$B$63:$L$546,9,FALSE)&amp;","</f>
        <v>#N/A</v>
      </c>
    </row>
    <row r="1211" spans="1:2" x14ac:dyDescent="0.25">
      <c r="A1211">
        <f t="shared" si="63"/>
        <v>100</v>
      </c>
      <c r="B1211" t="e">
        <f>"        ""SellingRatioMax"": "&amp;VLOOKUP(A1211,TraderCategory!$B$63:$L$546,10,FALSE)&amp;","</f>
        <v>#N/A</v>
      </c>
    </row>
    <row r="1212" spans="1:2" x14ac:dyDescent="0.25">
      <c r="A1212">
        <f t="shared" si="63"/>
        <v>100</v>
      </c>
      <c r="B1212" t="e">
        <f>"        ""BuingRatioMin"": "&amp;VLOOKUP(A1212,TraderCategory!$B$63:$L$546,11,FALSE)</f>
        <v>#N/A</v>
      </c>
    </row>
    <row r="1213" spans="1:2" x14ac:dyDescent="0.25">
      <c r="A1213">
        <f t="shared" si="63"/>
        <v>100</v>
      </c>
      <c r="B1213" t="s">
        <v>2755</v>
      </c>
    </row>
    <row r="1214" spans="1:2" x14ac:dyDescent="0.25">
      <c r="A1214">
        <f>A1202+1</f>
        <v>101</v>
      </c>
      <c r="B1214" t="str">
        <f>"    """&amp;A1214&amp;""": {"</f>
        <v xml:space="preserve">    "101": {</v>
      </c>
    </row>
    <row r="1215" spans="1:2" x14ac:dyDescent="0.25">
      <c r="A1215">
        <f t="shared" si="63"/>
        <v>101</v>
      </c>
      <c r="B1215" t="e">
        <f>"        ""Groups"": """&amp;VLOOKUP(A1215,TraderCategory!$B$63:$L$546,2,FALSE)&amp;""","</f>
        <v>#N/A</v>
      </c>
    </row>
    <row r="1216" spans="1:2" x14ac:dyDescent="0.25">
      <c r="A1216">
        <f t="shared" si="63"/>
        <v>101</v>
      </c>
      <c r="B1216" t="e">
        <f>"        ""Category"": """&amp;VLOOKUP(A1216,TraderCategory!$B$63:$L$546,3,FALSE)&amp;""","</f>
        <v>#N/A</v>
      </c>
    </row>
    <row r="1217" spans="1:2" x14ac:dyDescent="0.25">
      <c r="A1217">
        <f t="shared" si="63"/>
        <v>101</v>
      </c>
      <c r="B1217" t="e">
        <f>"        ""SubCategory"": """&amp;VLOOKUP(A1217,TraderCategory!$B$63:$L$546,4,FALSE)&amp;""","</f>
        <v>#N/A</v>
      </c>
    </row>
    <row r="1218" spans="1:2" x14ac:dyDescent="0.25">
      <c r="A1218">
        <f t="shared" si="63"/>
        <v>101</v>
      </c>
      <c r="B1218" t="e">
        <f>"        ""Reputation"": "&amp;VLOOKUP(A1218,TraderCategory!$B$63:$L$546,5,FALSE)&amp;","</f>
        <v>#N/A</v>
      </c>
    </row>
    <row r="1219" spans="1:2" x14ac:dyDescent="0.25">
      <c r="A1219">
        <f t="shared" si="63"/>
        <v>101</v>
      </c>
      <c r="B1219" t="e">
        <f>"        ""Restock"": "&amp;VLOOKUP(A1219,TraderCategory!$B$63:$L$546,6,FALSE)&amp;","</f>
        <v>#N/A</v>
      </c>
    </row>
    <row r="1220" spans="1:2" x14ac:dyDescent="0.25">
      <c r="A1220">
        <f t="shared" si="63"/>
        <v>101</v>
      </c>
      <c r="B1220" t="e">
        <f>"        ""RestockCap"": "&amp;VLOOKUP(A1220,TraderCategory!$B$63:$L$546,7,FALSE)&amp;","</f>
        <v>#N/A</v>
      </c>
    </row>
    <row r="1221" spans="1:2" x14ac:dyDescent="0.25">
      <c r="A1221">
        <f t="shared" si="63"/>
        <v>101</v>
      </c>
      <c r="B1221" t="e">
        <f>"        ""StockCap"": "&amp;VLOOKUP(A1221,TraderCategory!$B$63:$L$546,8,FALSE)&amp;","</f>
        <v>#N/A</v>
      </c>
    </row>
    <row r="1222" spans="1:2" x14ac:dyDescent="0.25">
      <c r="A1222">
        <f t="shared" si="63"/>
        <v>101</v>
      </c>
      <c r="B1222" t="e">
        <f>"        ""SellingRatioMin"": "&amp;VLOOKUP(A1222,TraderCategory!$B$63:$L$546,9,FALSE)&amp;","</f>
        <v>#N/A</v>
      </c>
    </row>
    <row r="1223" spans="1:2" x14ac:dyDescent="0.25">
      <c r="A1223">
        <f t="shared" si="63"/>
        <v>101</v>
      </c>
      <c r="B1223" t="e">
        <f>"        ""SellingRatioMax"": "&amp;VLOOKUP(A1223,TraderCategory!$B$63:$L$546,10,FALSE)&amp;","</f>
        <v>#N/A</v>
      </c>
    </row>
    <row r="1224" spans="1:2" x14ac:dyDescent="0.25">
      <c r="A1224">
        <f t="shared" si="63"/>
        <v>101</v>
      </c>
      <c r="B1224" t="e">
        <f>"        ""BuingRatioMin"": "&amp;VLOOKUP(A1224,TraderCategory!$B$63:$L$546,11,FALSE)</f>
        <v>#N/A</v>
      </c>
    </row>
    <row r="1225" spans="1:2" x14ac:dyDescent="0.25">
      <c r="A1225">
        <f t="shared" si="63"/>
        <v>101</v>
      </c>
      <c r="B1225" t="s">
        <v>2755</v>
      </c>
    </row>
    <row r="1226" spans="1:2" x14ac:dyDescent="0.25">
      <c r="A1226">
        <f>A1214+1</f>
        <v>102</v>
      </c>
      <c r="B1226" t="str">
        <f>"    """&amp;A1226&amp;""": {"</f>
        <v xml:space="preserve">    "102": {</v>
      </c>
    </row>
    <row r="1227" spans="1:2" x14ac:dyDescent="0.25">
      <c r="A1227">
        <f t="shared" si="63"/>
        <v>102</v>
      </c>
      <c r="B1227" t="e">
        <f>"        ""Groups"": """&amp;VLOOKUP(A1227,TraderCategory!$B$63:$L$546,2,FALSE)&amp;""","</f>
        <v>#N/A</v>
      </c>
    </row>
    <row r="1228" spans="1:2" x14ac:dyDescent="0.25">
      <c r="A1228">
        <f t="shared" si="63"/>
        <v>102</v>
      </c>
      <c r="B1228" t="e">
        <f>"        ""Category"": """&amp;VLOOKUP(A1228,TraderCategory!$B$63:$L$546,3,FALSE)&amp;""","</f>
        <v>#N/A</v>
      </c>
    </row>
    <row r="1229" spans="1:2" x14ac:dyDescent="0.25">
      <c r="A1229">
        <f t="shared" si="63"/>
        <v>102</v>
      </c>
      <c r="B1229" t="e">
        <f>"        ""SubCategory"": """&amp;VLOOKUP(A1229,TraderCategory!$B$63:$L$546,4,FALSE)&amp;""","</f>
        <v>#N/A</v>
      </c>
    </row>
    <row r="1230" spans="1:2" x14ac:dyDescent="0.25">
      <c r="A1230">
        <f t="shared" si="63"/>
        <v>102</v>
      </c>
      <c r="B1230" t="e">
        <f>"        ""Reputation"": "&amp;VLOOKUP(A1230,TraderCategory!$B$63:$L$546,5,FALSE)&amp;","</f>
        <v>#N/A</v>
      </c>
    </row>
    <row r="1231" spans="1:2" x14ac:dyDescent="0.25">
      <c r="A1231">
        <f t="shared" si="63"/>
        <v>102</v>
      </c>
      <c r="B1231" t="e">
        <f>"        ""Restock"": "&amp;VLOOKUP(A1231,TraderCategory!$B$63:$L$546,6,FALSE)&amp;","</f>
        <v>#N/A</v>
      </c>
    </row>
    <row r="1232" spans="1:2" x14ac:dyDescent="0.25">
      <c r="A1232">
        <f t="shared" si="63"/>
        <v>102</v>
      </c>
      <c r="B1232" t="e">
        <f>"        ""RestockCap"": "&amp;VLOOKUP(A1232,TraderCategory!$B$63:$L$546,7,FALSE)&amp;","</f>
        <v>#N/A</v>
      </c>
    </row>
    <row r="1233" spans="1:2" x14ac:dyDescent="0.25">
      <c r="A1233">
        <f t="shared" si="63"/>
        <v>102</v>
      </c>
      <c r="B1233" t="e">
        <f>"        ""StockCap"": "&amp;VLOOKUP(A1233,TraderCategory!$B$63:$L$546,8,FALSE)&amp;","</f>
        <v>#N/A</v>
      </c>
    </row>
    <row r="1234" spans="1:2" x14ac:dyDescent="0.25">
      <c r="A1234">
        <f t="shared" si="63"/>
        <v>102</v>
      </c>
      <c r="B1234" t="e">
        <f>"        ""SellingRatioMin"": "&amp;VLOOKUP(A1234,TraderCategory!$B$63:$L$546,9,FALSE)&amp;","</f>
        <v>#N/A</v>
      </c>
    </row>
    <row r="1235" spans="1:2" x14ac:dyDescent="0.25">
      <c r="A1235">
        <f t="shared" si="63"/>
        <v>102</v>
      </c>
      <c r="B1235" t="e">
        <f>"        ""SellingRatioMax"": "&amp;VLOOKUP(A1235,TraderCategory!$B$63:$L$546,10,FALSE)&amp;","</f>
        <v>#N/A</v>
      </c>
    </row>
    <row r="1236" spans="1:2" x14ac:dyDescent="0.25">
      <c r="A1236">
        <f t="shared" si="63"/>
        <v>102</v>
      </c>
      <c r="B1236" t="e">
        <f>"        ""BuingRatioMin"": "&amp;VLOOKUP(A1236,TraderCategory!$B$63:$L$546,11,FALSE)</f>
        <v>#N/A</v>
      </c>
    </row>
    <row r="1237" spans="1:2" x14ac:dyDescent="0.25">
      <c r="A1237">
        <f t="shared" si="63"/>
        <v>102</v>
      </c>
      <c r="B1237" t="s">
        <v>2755</v>
      </c>
    </row>
    <row r="1238" spans="1:2" x14ac:dyDescent="0.25">
      <c r="A1238">
        <f>A1226+1</f>
        <v>103</v>
      </c>
      <c r="B1238" t="str">
        <f>"    """&amp;A1238&amp;""": {"</f>
        <v xml:space="preserve">    "103": {</v>
      </c>
    </row>
    <row r="1239" spans="1:2" x14ac:dyDescent="0.25">
      <c r="A1239">
        <f t="shared" si="63"/>
        <v>103</v>
      </c>
      <c r="B1239" t="e">
        <f>"        ""Groups"": """&amp;VLOOKUP(A1239,TraderCategory!$B$63:$L$546,2,FALSE)&amp;""","</f>
        <v>#N/A</v>
      </c>
    </row>
    <row r="1240" spans="1:2" x14ac:dyDescent="0.25">
      <c r="A1240">
        <f t="shared" si="63"/>
        <v>103</v>
      </c>
      <c r="B1240" t="e">
        <f>"        ""Category"": """&amp;VLOOKUP(A1240,TraderCategory!$B$63:$L$546,3,FALSE)&amp;""","</f>
        <v>#N/A</v>
      </c>
    </row>
    <row r="1241" spans="1:2" x14ac:dyDescent="0.25">
      <c r="A1241">
        <f t="shared" si="63"/>
        <v>103</v>
      </c>
      <c r="B1241" t="e">
        <f>"        ""SubCategory"": """&amp;VLOOKUP(A1241,TraderCategory!$B$63:$L$546,4,FALSE)&amp;""","</f>
        <v>#N/A</v>
      </c>
    </row>
    <row r="1242" spans="1:2" x14ac:dyDescent="0.25">
      <c r="A1242">
        <f t="shared" si="63"/>
        <v>103</v>
      </c>
      <c r="B1242" t="e">
        <f>"        ""Reputation"": "&amp;VLOOKUP(A1242,TraderCategory!$B$63:$L$546,5,FALSE)&amp;","</f>
        <v>#N/A</v>
      </c>
    </row>
    <row r="1243" spans="1:2" x14ac:dyDescent="0.25">
      <c r="A1243">
        <f t="shared" si="63"/>
        <v>103</v>
      </c>
      <c r="B1243" t="e">
        <f>"        ""Restock"": "&amp;VLOOKUP(A1243,TraderCategory!$B$63:$L$546,6,FALSE)&amp;","</f>
        <v>#N/A</v>
      </c>
    </row>
    <row r="1244" spans="1:2" x14ac:dyDescent="0.25">
      <c r="A1244">
        <f t="shared" si="63"/>
        <v>103</v>
      </c>
      <c r="B1244" t="e">
        <f>"        ""RestockCap"": "&amp;VLOOKUP(A1244,TraderCategory!$B$63:$L$546,7,FALSE)&amp;","</f>
        <v>#N/A</v>
      </c>
    </row>
    <row r="1245" spans="1:2" x14ac:dyDescent="0.25">
      <c r="A1245">
        <f t="shared" si="63"/>
        <v>103</v>
      </c>
      <c r="B1245" t="e">
        <f>"        ""StockCap"": "&amp;VLOOKUP(A1245,TraderCategory!$B$63:$L$546,8,FALSE)&amp;","</f>
        <v>#N/A</v>
      </c>
    </row>
    <row r="1246" spans="1:2" x14ac:dyDescent="0.25">
      <c r="A1246">
        <f t="shared" si="63"/>
        <v>103</v>
      </c>
      <c r="B1246" t="e">
        <f>"        ""SellingRatioMin"": "&amp;VLOOKUP(A1246,TraderCategory!$B$63:$L$546,9,FALSE)&amp;","</f>
        <v>#N/A</v>
      </c>
    </row>
    <row r="1247" spans="1:2" x14ac:dyDescent="0.25">
      <c r="A1247">
        <f t="shared" si="63"/>
        <v>103</v>
      </c>
      <c r="B1247" t="e">
        <f>"        ""SellingRatioMax"": "&amp;VLOOKUP(A1247,TraderCategory!$B$63:$L$546,10,FALSE)&amp;","</f>
        <v>#N/A</v>
      </c>
    </row>
    <row r="1248" spans="1:2" x14ac:dyDescent="0.25">
      <c r="A1248">
        <f t="shared" si="63"/>
        <v>103</v>
      </c>
      <c r="B1248" t="e">
        <f>"        ""BuingRatioMin"": "&amp;VLOOKUP(A1248,TraderCategory!$B$63:$L$546,11,FALSE)</f>
        <v>#N/A</v>
      </c>
    </row>
    <row r="1249" spans="1:2" x14ac:dyDescent="0.25">
      <c r="A1249">
        <f t="shared" si="63"/>
        <v>103</v>
      </c>
      <c r="B1249" t="s">
        <v>2755</v>
      </c>
    </row>
    <row r="1250" spans="1:2" x14ac:dyDescent="0.25">
      <c r="A1250">
        <f>A1238+1</f>
        <v>104</v>
      </c>
      <c r="B1250" t="str">
        <f>"    """&amp;A1250&amp;""": {"</f>
        <v xml:space="preserve">    "104": {</v>
      </c>
    </row>
    <row r="1251" spans="1:2" x14ac:dyDescent="0.25">
      <c r="A1251">
        <f t="shared" si="63"/>
        <v>104</v>
      </c>
      <c r="B1251" t="e">
        <f>"        ""Groups"": """&amp;VLOOKUP(A1251,TraderCategory!$B$63:$L$546,2,FALSE)&amp;""","</f>
        <v>#N/A</v>
      </c>
    </row>
    <row r="1252" spans="1:2" x14ac:dyDescent="0.25">
      <c r="A1252">
        <f t="shared" si="63"/>
        <v>104</v>
      </c>
      <c r="B1252" t="e">
        <f>"        ""Category"": """&amp;VLOOKUP(A1252,TraderCategory!$B$63:$L$546,3,FALSE)&amp;""","</f>
        <v>#N/A</v>
      </c>
    </row>
    <row r="1253" spans="1:2" x14ac:dyDescent="0.25">
      <c r="A1253">
        <f t="shared" si="63"/>
        <v>104</v>
      </c>
      <c r="B1253" t="e">
        <f>"        ""SubCategory"": """&amp;VLOOKUP(A1253,TraderCategory!$B$63:$L$546,4,FALSE)&amp;""","</f>
        <v>#N/A</v>
      </c>
    </row>
    <row r="1254" spans="1:2" x14ac:dyDescent="0.25">
      <c r="A1254">
        <f t="shared" si="63"/>
        <v>104</v>
      </c>
      <c r="B1254" t="e">
        <f>"        ""Reputation"": "&amp;VLOOKUP(A1254,TraderCategory!$B$63:$L$546,5,FALSE)&amp;","</f>
        <v>#N/A</v>
      </c>
    </row>
    <row r="1255" spans="1:2" x14ac:dyDescent="0.25">
      <c r="A1255">
        <f t="shared" si="63"/>
        <v>104</v>
      </c>
      <c r="B1255" t="e">
        <f>"        ""Restock"": "&amp;VLOOKUP(A1255,TraderCategory!$B$63:$L$546,6,FALSE)&amp;","</f>
        <v>#N/A</v>
      </c>
    </row>
    <row r="1256" spans="1:2" x14ac:dyDescent="0.25">
      <c r="A1256">
        <f t="shared" si="63"/>
        <v>104</v>
      </c>
      <c r="B1256" t="e">
        <f>"        ""RestockCap"": "&amp;VLOOKUP(A1256,TraderCategory!$B$63:$L$546,7,FALSE)&amp;","</f>
        <v>#N/A</v>
      </c>
    </row>
    <row r="1257" spans="1:2" x14ac:dyDescent="0.25">
      <c r="A1257">
        <f t="shared" si="63"/>
        <v>104</v>
      </c>
      <c r="B1257" t="e">
        <f>"        ""StockCap"": "&amp;VLOOKUP(A1257,TraderCategory!$B$63:$L$546,8,FALSE)&amp;","</f>
        <v>#N/A</v>
      </c>
    </row>
    <row r="1258" spans="1:2" x14ac:dyDescent="0.25">
      <c r="A1258">
        <f t="shared" si="63"/>
        <v>104</v>
      </c>
      <c r="B1258" t="e">
        <f>"        ""SellingRatioMin"": "&amp;VLOOKUP(A1258,TraderCategory!$B$63:$L$546,9,FALSE)&amp;","</f>
        <v>#N/A</v>
      </c>
    </row>
    <row r="1259" spans="1:2" x14ac:dyDescent="0.25">
      <c r="A1259">
        <f t="shared" si="63"/>
        <v>104</v>
      </c>
      <c r="B1259" t="e">
        <f>"        ""SellingRatioMax"": "&amp;VLOOKUP(A1259,TraderCategory!$B$63:$L$546,10,FALSE)&amp;","</f>
        <v>#N/A</v>
      </c>
    </row>
    <row r="1260" spans="1:2" x14ac:dyDescent="0.25">
      <c r="A1260">
        <f t="shared" si="63"/>
        <v>104</v>
      </c>
      <c r="B1260" t="e">
        <f>"        ""BuingRatioMin"": "&amp;VLOOKUP(A1260,TraderCategory!$B$63:$L$546,11,FALSE)</f>
        <v>#N/A</v>
      </c>
    </row>
    <row r="1261" spans="1:2" x14ac:dyDescent="0.25">
      <c r="A1261">
        <f t="shared" si="63"/>
        <v>104</v>
      </c>
      <c r="B1261" t="s">
        <v>2755</v>
      </c>
    </row>
    <row r="1262" spans="1:2" x14ac:dyDescent="0.25">
      <c r="A1262">
        <f>A1250+1</f>
        <v>105</v>
      </c>
      <c r="B1262" t="str">
        <f>"    """&amp;A1262&amp;""": {"</f>
        <v xml:space="preserve">    "105": {</v>
      </c>
    </row>
    <row r="1263" spans="1:2" x14ac:dyDescent="0.25">
      <c r="A1263">
        <f t="shared" ref="A1263:A1273" si="64">A1251+1</f>
        <v>105</v>
      </c>
      <c r="B1263" t="e">
        <f>"        ""Groups"": """&amp;VLOOKUP(A1263,TraderCategory!$B$63:$L$546,2,FALSE)&amp;""","</f>
        <v>#N/A</v>
      </c>
    </row>
    <row r="1264" spans="1:2" x14ac:dyDescent="0.25">
      <c r="A1264">
        <f t="shared" si="64"/>
        <v>105</v>
      </c>
      <c r="B1264" t="e">
        <f>"        ""Category"": """&amp;VLOOKUP(A1264,TraderCategory!$B$63:$L$546,3,FALSE)&amp;""","</f>
        <v>#N/A</v>
      </c>
    </row>
    <row r="1265" spans="1:2" x14ac:dyDescent="0.25">
      <c r="A1265">
        <f t="shared" si="64"/>
        <v>105</v>
      </c>
      <c r="B1265" t="e">
        <f>"        ""SubCategory"": """&amp;VLOOKUP(A1265,TraderCategory!$B$63:$L$546,4,FALSE)&amp;""","</f>
        <v>#N/A</v>
      </c>
    </row>
    <row r="1266" spans="1:2" x14ac:dyDescent="0.25">
      <c r="A1266">
        <f t="shared" si="64"/>
        <v>105</v>
      </c>
      <c r="B1266" t="e">
        <f>"        ""Reputation"": "&amp;VLOOKUP(A1266,TraderCategory!$B$63:$L$546,5,FALSE)&amp;","</f>
        <v>#N/A</v>
      </c>
    </row>
    <row r="1267" spans="1:2" x14ac:dyDescent="0.25">
      <c r="A1267">
        <f t="shared" si="64"/>
        <v>105</v>
      </c>
      <c r="B1267" t="e">
        <f>"        ""Restock"": "&amp;VLOOKUP(A1267,TraderCategory!$B$63:$L$546,6,FALSE)&amp;","</f>
        <v>#N/A</v>
      </c>
    </row>
    <row r="1268" spans="1:2" x14ac:dyDescent="0.25">
      <c r="A1268">
        <f t="shared" si="64"/>
        <v>105</v>
      </c>
      <c r="B1268" t="e">
        <f>"        ""RestockCap"": "&amp;VLOOKUP(A1268,TraderCategory!$B$63:$L$546,7,FALSE)&amp;","</f>
        <v>#N/A</v>
      </c>
    </row>
    <row r="1269" spans="1:2" x14ac:dyDescent="0.25">
      <c r="A1269">
        <f t="shared" si="64"/>
        <v>105</v>
      </c>
      <c r="B1269" t="e">
        <f>"        ""StockCap"": "&amp;VLOOKUP(A1269,TraderCategory!$B$63:$L$546,8,FALSE)&amp;","</f>
        <v>#N/A</v>
      </c>
    </row>
    <row r="1270" spans="1:2" x14ac:dyDescent="0.25">
      <c r="A1270">
        <f t="shared" si="64"/>
        <v>105</v>
      </c>
      <c r="B1270" t="e">
        <f>"        ""SellingRatioMin"": "&amp;VLOOKUP(A1270,TraderCategory!$B$63:$L$546,9,FALSE)&amp;","</f>
        <v>#N/A</v>
      </c>
    </row>
    <row r="1271" spans="1:2" x14ac:dyDescent="0.25">
      <c r="A1271">
        <f t="shared" si="64"/>
        <v>105</v>
      </c>
      <c r="B1271" t="e">
        <f>"        ""SellingRatioMax"": "&amp;VLOOKUP(A1271,TraderCategory!$B$63:$L$546,10,FALSE)&amp;","</f>
        <v>#N/A</v>
      </c>
    </row>
    <row r="1272" spans="1:2" x14ac:dyDescent="0.25">
      <c r="A1272">
        <f t="shared" si="64"/>
        <v>105</v>
      </c>
      <c r="B1272" t="e">
        <f>"        ""BuingRatioMin"": "&amp;VLOOKUP(A1272,TraderCategory!$B$63:$L$546,11,FALSE)</f>
        <v>#N/A</v>
      </c>
    </row>
    <row r="1273" spans="1:2" x14ac:dyDescent="0.25">
      <c r="A1273">
        <f t="shared" si="64"/>
        <v>105</v>
      </c>
      <c r="B1273" t="s">
        <v>2755</v>
      </c>
    </row>
    <row r="1274" spans="1:2" x14ac:dyDescent="0.25">
      <c r="A1274">
        <f>A1262+1</f>
        <v>106</v>
      </c>
      <c r="B1274" t="str">
        <f>"    """&amp;A1274&amp;""": {"</f>
        <v xml:space="preserve">    "106": {</v>
      </c>
    </row>
    <row r="1275" spans="1:2" x14ac:dyDescent="0.25">
      <c r="A1275">
        <f t="shared" ref="A1275:A1285" si="65">A1263+1</f>
        <v>106</v>
      </c>
      <c r="B1275" t="e">
        <f>"        ""Groups"": """&amp;VLOOKUP(A1275,TraderCategory!$B$63:$L$546,2,FALSE)&amp;""","</f>
        <v>#N/A</v>
      </c>
    </row>
    <row r="1276" spans="1:2" x14ac:dyDescent="0.25">
      <c r="A1276">
        <f t="shared" si="65"/>
        <v>106</v>
      </c>
      <c r="B1276" t="e">
        <f>"        ""Category"": """&amp;VLOOKUP(A1276,TraderCategory!$B$63:$L$546,3,FALSE)&amp;""","</f>
        <v>#N/A</v>
      </c>
    </row>
    <row r="1277" spans="1:2" x14ac:dyDescent="0.25">
      <c r="A1277">
        <f t="shared" si="65"/>
        <v>106</v>
      </c>
      <c r="B1277" t="e">
        <f>"        ""SubCategory"": """&amp;VLOOKUP(A1277,TraderCategory!$B$63:$L$546,4,FALSE)&amp;""","</f>
        <v>#N/A</v>
      </c>
    </row>
    <row r="1278" spans="1:2" x14ac:dyDescent="0.25">
      <c r="A1278">
        <f t="shared" si="65"/>
        <v>106</v>
      </c>
      <c r="B1278" t="e">
        <f>"        ""Reputation"": "&amp;VLOOKUP(A1278,TraderCategory!$B$63:$L$546,5,FALSE)&amp;","</f>
        <v>#N/A</v>
      </c>
    </row>
    <row r="1279" spans="1:2" x14ac:dyDescent="0.25">
      <c r="A1279">
        <f t="shared" si="65"/>
        <v>106</v>
      </c>
      <c r="B1279" t="e">
        <f>"        ""Restock"": "&amp;VLOOKUP(A1279,TraderCategory!$B$63:$L$546,6,FALSE)&amp;","</f>
        <v>#N/A</v>
      </c>
    </row>
    <row r="1280" spans="1:2" x14ac:dyDescent="0.25">
      <c r="A1280">
        <f t="shared" si="65"/>
        <v>106</v>
      </c>
      <c r="B1280" t="e">
        <f>"        ""RestockCap"": "&amp;VLOOKUP(A1280,TraderCategory!$B$63:$L$546,7,FALSE)&amp;","</f>
        <v>#N/A</v>
      </c>
    </row>
    <row r="1281" spans="1:2" x14ac:dyDescent="0.25">
      <c r="A1281">
        <f t="shared" si="65"/>
        <v>106</v>
      </c>
      <c r="B1281" t="e">
        <f>"        ""StockCap"": "&amp;VLOOKUP(A1281,TraderCategory!$B$63:$L$546,8,FALSE)&amp;","</f>
        <v>#N/A</v>
      </c>
    </row>
    <row r="1282" spans="1:2" x14ac:dyDescent="0.25">
      <c r="A1282">
        <f t="shared" si="65"/>
        <v>106</v>
      </c>
      <c r="B1282" t="e">
        <f>"        ""SellingRatioMin"": "&amp;VLOOKUP(A1282,TraderCategory!$B$63:$L$546,9,FALSE)&amp;","</f>
        <v>#N/A</v>
      </c>
    </row>
    <row r="1283" spans="1:2" x14ac:dyDescent="0.25">
      <c r="A1283">
        <f t="shared" si="65"/>
        <v>106</v>
      </c>
      <c r="B1283" t="e">
        <f>"        ""SellingRatioMax"": "&amp;VLOOKUP(A1283,TraderCategory!$B$63:$L$546,10,FALSE)&amp;","</f>
        <v>#N/A</v>
      </c>
    </row>
    <row r="1284" spans="1:2" x14ac:dyDescent="0.25">
      <c r="A1284">
        <f t="shared" si="65"/>
        <v>106</v>
      </c>
      <c r="B1284" t="e">
        <f>"        ""BuingRatioMin"": "&amp;VLOOKUP(A1284,TraderCategory!$B$63:$L$546,11,FALSE)</f>
        <v>#N/A</v>
      </c>
    </row>
    <row r="1285" spans="1:2" x14ac:dyDescent="0.25">
      <c r="A1285">
        <f t="shared" si="65"/>
        <v>106</v>
      </c>
      <c r="B1285" t="s">
        <v>2755</v>
      </c>
    </row>
    <row r="1286" spans="1:2" x14ac:dyDescent="0.25">
      <c r="A1286">
        <f>A1274+1</f>
        <v>107</v>
      </c>
      <c r="B1286" t="str">
        <f>"    """&amp;A1286&amp;""": {"</f>
        <v xml:space="preserve">    "107": {</v>
      </c>
    </row>
    <row r="1287" spans="1:2" x14ac:dyDescent="0.25">
      <c r="A1287">
        <f t="shared" ref="A1287:A1297" si="66">A1275+1</f>
        <v>107</v>
      </c>
      <c r="B1287" t="e">
        <f>"        ""Groups"": """&amp;VLOOKUP(A1287,TraderCategory!$B$63:$L$546,2,FALSE)&amp;""","</f>
        <v>#N/A</v>
      </c>
    </row>
    <row r="1288" spans="1:2" x14ac:dyDescent="0.25">
      <c r="A1288">
        <f t="shared" si="66"/>
        <v>107</v>
      </c>
      <c r="B1288" t="e">
        <f>"        ""Category"": """&amp;VLOOKUP(A1288,TraderCategory!$B$63:$L$546,3,FALSE)&amp;""","</f>
        <v>#N/A</v>
      </c>
    </row>
    <row r="1289" spans="1:2" x14ac:dyDescent="0.25">
      <c r="A1289">
        <f t="shared" si="66"/>
        <v>107</v>
      </c>
      <c r="B1289" t="e">
        <f>"        ""SubCategory"": """&amp;VLOOKUP(A1289,TraderCategory!$B$63:$L$546,4,FALSE)&amp;""","</f>
        <v>#N/A</v>
      </c>
    </row>
    <row r="1290" spans="1:2" x14ac:dyDescent="0.25">
      <c r="A1290">
        <f t="shared" si="66"/>
        <v>107</v>
      </c>
      <c r="B1290" t="e">
        <f>"        ""Reputation"": "&amp;VLOOKUP(A1290,TraderCategory!$B$63:$L$546,5,FALSE)&amp;","</f>
        <v>#N/A</v>
      </c>
    </row>
    <row r="1291" spans="1:2" x14ac:dyDescent="0.25">
      <c r="A1291">
        <f t="shared" si="66"/>
        <v>107</v>
      </c>
      <c r="B1291" t="e">
        <f>"        ""Restock"": "&amp;VLOOKUP(A1291,TraderCategory!$B$63:$L$546,6,FALSE)&amp;","</f>
        <v>#N/A</v>
      </c>
    </row>
    <row r="1292" spans="1:2" x14ac:dyDescent="0.25">
      <c r="A1292">
        <f t="shared" si="66"/>
        <v>107</v>
      </c>
      <c r="B1292" t="e">
        <f>"        ""RestockCap"": "&amp;VLOOKUP(A1292,TraderCategory!$B$63:$L$546,7,FALSE)&amp;","</f>
        <v>#N/A</v>
      </c>
    </row>
    <row r="1293" spans="1:2" x14ac:dyDescent="0.25">
      <c r="A1293">
        <f t="shared" si="66"/>
        <v>107</v>
      </c>
      <c r="B1293" t="e">
        <f>"        ""StockCap"": "&amp;VLOOKUP(A1293,TraderCategory!$B$63:$L$546,8,FALSE)&amp;","</f>
        <v>#N/A</v>
      </c>
    </row>
    <row r="1294" spans="1:2" x14ac:dyDescent="0.25">
      <c r="A1294">
        <f t="shared" si="66"/>
        <v>107</v>
      </c>
      <c r="B1294" t="e">
        <f>"        ""SellingRatioMin"": "&amp;VLOOKUP(A1294,TraderCategory!$B$63:$L$546,9,FALSE)&amp;","</f>
        <v>#N/A</v>
      </c>
    </row>
    <row r="1295" spans="1:2" x14ac:dyDescent="0.25">
      <c r="A1295">
        <f t="shared" si="66"/>
        <v>107</v>
      </c>
      <c r="B1295" t="e">
        <f>"        ""SellingRatioMax"": "&amp;VLOOKUP(A1295,TraderCategory!$B$63:$L$546,10,FALSE)&amp;","</f>
        <v>#N/A</v>
      </c>
    </row>
    <row r="1296" spans="1:2" x14ac:dyDescent="0.25">
      <c r="A1296">
        <f t="shared" si="66"/>
        <v>107</v>
      </c>
      <c r="B1296" t="e">
        <f>"        ""BuingRatioMin"": "&amp;VLOOKUP(A1296,TraderCategory!$B$63:$L$546,11,FALSE)</f>
        <v>#N/A</v>
      </c>
    </row>
    <row r="1297" spans="1:2" x14ac:dyDescent="0.25">
      <c r="A1297">
        <f t="shared" si="66"/>
        <v>107</v>
      </c>
      <c r="B1297" t="s">
        <v>2755</v>
      </c>
    </row>
    <row r="1298" spans="1:2" x14ac:dyDescent="0.25">
      <c r="A1298">
        <f>A1286+1</f>
        <v>108</v>
      </c>
      <c r="B1298" t="str">
        <f>"    """&amp;A1298&amp;""": {"</f>
        <v xml:space="preserve">    "108": {</v>
      </c>
    </row>
    <row r="1299" spans="1:2" x14ac:dyDescent="0.25">
      <c r="A1299">
        <f t="shared" ref="A1299:A1309" si="67">A1287+1</f>
        <v>108</v>
      </c>
      <c r="B1299" t="e">
        <f>"        ""Groups"": """&amp;VLOOKUP(A1299,TraderCategory!$B$63:$L$546,2,FALSE)&amp;""","</f>
        <v>#N/A</v>
      </c>
    </row>
    <row r="1300" spans="1:2" x14ac:dyDescent="0.25">
      <c r="A1300">
        <f t="shared" si="67"/>
        <v>108</v>
      </c>
      <c r="B1300" t="e">
        <f>"        ""Category"": """&amp;VLOOKUP(A1300,TraderCategory!$B$63:$L$546,3,FALSE)&amp;""","</f>
        <v>#N/A</v>
      </c>
    </row>
    <row r="1301" spans="1:2" x14ac:dyDescent="0.25">
      <c r="A1301">
        <f t="shared" si="67"/>
        <v>108</v>
      </c>
      <c r="B1301" t="e">
        <f>"        ""SubCategory"": """&amp;VLOOKUP(A1301,TraderCategory!$B$63:$L$546,4,FALSE)&amp;""","</f>
        <v>#N/A</v>
      </c>
    </row>
    <row r="1302" spans="1:2" x14ac:dyDescent="0.25">
      <c r="A1302">
        <f t="shared" si="67"/>
        <v>108</v>
      </c>
      <c r="B1302" t="e">
        <f>"        ""Reputation"": "&amp;VLOOKUP(A1302,TraderCategory!$B$63:$L$546,5,FALSE)&amp;","</f>
        <v>#N/A</v>
      </c>
    </row>
    <row r="1303" spans="1:2" x14ac:dyDescent="0.25">
      <c r="A1303">
        <f t="shared" si="67"/>
        <v>108</v>
      </c>
      <c r="B1303" t="e">
        <f>"        ""Restock"": "&amp;VLOOKUP(A1303,TraderCategory!$B$63:$L$546,6,FALSE)&amp;","</f>
        <v>#N/A</v>
      </c>
    </row>
    <row r="1304" spans="1:2" x14ac:dyDescent="0.25">
      <c r="A1304">
        <f t="shared" si="67"/>
        <v>108</v>
      </c>
      <c r="B1304" t="e">
        <f>"        ""RestockCap"": "&amp;VLOOKUP(A1304,TraderCategory!$B$63:$L$546,7,FALSE)&amp;","</f>
        <v>#N/A</v>
      </c>
    </row>
    <row r="1305" spans="1:2" x14ac:dyDescent="0.25">
      <c r="A1305">
        <f t="shared" si="67"/>
        <v>108</v>
      </c>
      <c r="B1305" t="e">
        <f>"        ""StockCap"": "&amp;VLOOKUP(A1305,TraderCategory!$B$63:$L$546,8,FALSE)&amp;","</f>
        <v>#N/A</v>
      </c>
    </row>
    <row r="1306" spans="1:2" x14ac:dyDescent="0.25">
      <c r="A1306">
        <f t="shared" si="67"/>
        <v>108</v>
      </c>
      <c r="B1306" t="e">
        <f>"        ""SellingRatioMin"": "&amp;VLOOKUP(A1306,TraderCategory!$B$63:$L$546,9,FALSE)&amp;","</f>
        <v>#N/A</v>
      </c>
    </row>
    <row r="1307" spans="1:2" x14ac:dyDescent="0.25">
      <c r="A1307">
        <f t="shared" si="67"/>
        <v>108</v>
      </c>
      <c r="B1307" t="e">
        <f>"        ""SellingRatioMax"": "&amp;VLOOKUP(A1307,TraderCategory!$B$63:$L$546,10,FALSE)&amp;","</f>
        <v>#N/A</v>
      </c>
    </row>
    <row r="1308" spans="1:2" x14ac:dyDescent="0.25">
      <c r="A1308">
        <f t="shared" si="67"/>
        <v>108</v>
      </c>
      <c r="B1308" t="e">
        <f>"        ""BuingRatioMin"": "&amp;VLOOKUP(A1308,TraderCategory!$B$63:$L$546,11,FALSE)</f>
        <v>#N/A</v>
      </c>
    </row>
    <row r="1309" spans="1:2" x14ac:dyDescent="0.25">
      <c r="A1309">
        <f t="shared" si="67"/>
        <v>108</v>
      </c>
      <c r="B1309" t="s">
        <v>2755</v>
      </c>
    </row>
    <row r="1310" spans="1:2" x14ac:dyDescent="0.25">
      <c r="A1310">
        <f>A1298+1</f>
        <v>109</v>
      </c>
      <c r="B1310" t="str">
        <f>"    """&amp;A1310&amp;""": {"</f>
        <v xml:space="preserve">    "109": {</v>
      </c>
    </row>
    <row r="1311" spans="1:2" x14ac:dyDescent="0.25">
      <c r="A1311">
        <f t="shared" ref="A1311:A1321" si="68">A1299+1</f>
        <v>109</v>
      </c>
      <c r="B1311" t="e">
        <f>"        ""Groups"": """&amp;VLOOKUP(A1311,TraderCategory!$B$63:$L$546,2,FALSE)&amp;""","</f>
        <v>#N/A</v>
      </c>
    </row>
    <row r="1312" spans="1:2" x14ac:dyDescent="0.25">
      <c r="A1312">
        <f t="shared" si="68"/>
        <v>109</v>
      </c>
      <c r="B1312" t="e">
        <f>"        ""Category"": """&amp;VLOOKUP(A1312,TraderCategory!$B$63:$L$546,3,FALSE)&amp;""","</f>
        <v>#N/A</v>
      </c>
    </row>
    <row r="1313" spans="1:2" x14ac:dyDescent="0.25">
      <c r="A1313">
        <f t="shared" si="68"/>
        <v>109</v>
      </c>
      <c r="B1313" t="e">
        <f>"        ""SubCategory"": """&amp;VLOOKUP(A1313,TraderCategory!$B$63:$L$546,4,FALSE)&amp;""","</f>
        <v>#N/A</v>
      </c>
    </row>
    <row r="1314" spans="1:2" x14ac:dyDescent="0.25">
      <c r="A1314">
        <f t="shared" si="68"/>
        <v>109</v>
      </c>
      <c r="B1314" t="e">
        <f>"        ""Reputation"": "&amp;VLOOKUP(A1314,TraderCategory!$B$63:$L$546,5,FALSE)&amp;","</f>
        <v>#N/A</v>
      </c>
    </row>
    <row r="1315" spans="1:2" x14ac:dyDescent="0.25">
      <c r="A1315">
        <f t="shared" si="68"/>
        <v>109</v>
      </c>
      <c r="B1315" t="e">
        <f>"        ""Restock"": "&amp;VLOOKUP(A1315,TraderCategory!$B$63:$L$546,6,FALSE)&amp;","</f>
        <v>#N/A</v>
      </c>
    </row>
    <row r="1316" spans="1:2" x14ac:dyDescent="0.25">
      <c r="A1316">
        <f t="shared" si="68"/>
        <v>109</v>
      </c>
      <c r="B1316" t="e">
        <f>"        ""RestockCap"": "&amp;VLOOKUP(A1316,TraderCategory!$B$63:$L$546,7,FALSE)&amp;","</f>
        <v>#N/A</v>
      </c>
    </row>
    <row r="1317" spans="1:2" x14ac:dyDescent="0.25">
      <c r="A1317">
        <f t="shared" si="68"/>
        <v>109</v>
      </c>
      <c r="B1317" t="e">
        <f>"        ""StockCap"": "&amp;VLOOKUP(A1317,TraderCategory!$B$63:$L$546,8,FALSE)&amp;","</f>
        <v>#N/A</v>
      </c>
    </row>
    <row r="1318" spans="1:2" x14ac:dyDescent="0.25">
      <c r="A1318">
        <f t="shared" si="68"/>
        <v>109</v>
      </c>
      <c r="B1318" t="e">
        <f>"        ""SellingRatioMin"": "&amp;VLOOKUP(A1318,TraderCategory!$B$63:$L$546,9,FALSE)&amp;","</f>
        <v>#N/A</v>
      </c>
    </row>
    <row r="1319" spans="1:2" x14ac:dyDescent="0.25">
      <c r="A1319">
        <f t="shared" si="68"/>
        <v>109</v>
      </c>
      <c r="B1319" t="e">
        <f>"        ""SellingRatioMax"": "&amp;VLOOKUP(A1319,TraderCategory!$B$63:$L$546,10,FALSE)&amp;","</f>
        <v>#N/A</v>
      </c>
    </row>
    <row r="1320" spans="1:2" x14ac:dyDescent="0.25">
      <c r="A1320">
        <f t="shared" si="68"/>
        <v>109</v>
      </c>
      <c r="B1320" t="e">
        <f>"        ""BuingRatioMin"": "&amp;VLOOKUP(A1320,TraderCategory!$B$63:$L$546,11,FALSE)</f>
        <v>#N/A</v>
      </c>
    </row>
    <row r="1321" spans="1:2" x14ac:dyDescent="0.25">
      <c r="A1321">
        <f t="shared" si="68"/>
        <v>109</v>
      </c>
      <c r="B1321" t="s">
        <v>2755</v>
      </c>
    </row>
    <row r="1322" spans="1:2" x14ac:dyDescent="0.25">
      <c r="A1322">
        <f>A1310+1</f>
        <v>110</v>
      </c>
      <c r="B1322" t="str">
        <f>"    """&amp;A1322&amp;""": {"</f>
        <v xml:space="preserve">    "110": {</v>
      </c>
    </row>
    <row r="1323" spans="1:2" x14ac:dyDescent="0.25">
      <c r="A1323">
        <f t="shared" ref="A1323:A1381" si="69">A1311+1</f>
        <v>110</v>
      </c>
      <c r="B1323" t="e">
        <f>"        ""Groups"": """&amp;VLOOKUP(A1323,TraderCategory!$B$63:$L$546,2,FALSE)&amp;""","</f>
        <v>#N/A</v>
      </c>
    </row>
    <row r="1324" spans="1:2" x14ac:dyDescent="0.25">
      <c r="A1324">
        <f t="shared" si="69"/>
        <v>110</v>
      </c>
      <c r="B1324" t="e">
        <f>"        ""Category"": """&amp;VLOOKUP(A1324,TraderCategory!$B$63:$L$546,3,FALSE)&amp;""","</f>
        <v>#N/A</v>
      </c>
    </row>
    <row r="1325" spans="1:2" x14ac:dyDescent="0.25">
      <c r="A1325">
        <f t="shared" si="69"/>
        <v>110</v>
      </c>
      <c r="B1325" t="e">
        <f>"        ""SubCategory"": """&amp;VLOOKUP(A1325,TraderCategory!$B$63:$L$546,4,FALSE)&amp;""","</f>
        <v>#N/A</v>
      </c>
    </row>
    <row r="1326" spans="1:2" x14ac:dyDescent="0.25">
      <c r="A1326">
        <f t="shared" si="69"/>
        <v>110</v>
      </c>
      <c r="B1326" t="e">
        <f>"        ""Reputation"": "&amp;VLOOKUP(A1326,TraderCategory!$B$63:$L$546,5,FALSE)&amp;","</f>
        <v>#N/A</v>
      </c>
    </row>
    <row r="1327" spans="1:2" x14ac:dyDescent="0.25">
      <c r="A1327">
        <f t="shared" si="69"/>
        <v>110</v>
      </c>
      <c r="B1327" t="e">
        <f>"        ""Restock"": "&amp;VLOOKUP(A1327,TraderCategory!$B$63:$L$546,6,FALSE)&amp;","</f>
        <v>#N/A</v>
      </c>
    </row>
    <row r="1328" spans="1:2" x14ac:dyDescent="0.25">
      <c r="A1328">
        <f t="shared" si="69"/>
        <v>110</v>
      </c>
      <c r="B1328" t="e">
        <f>"        ""RestockCap"": "&amp;VLOOKUP(A1328,TraderCategory!$B$63:$L$546,7,FALSE)&amp;","</f>
        <v>#N/A</v>
      </c>
    </row>
    <row r="1329" spans="1:2" x14ac:dyDescent="0.25">
      <c r="A1329">
        <f t="shared" si="69"/>
        <v>110</v>
      </c>
      <c r="B1329" t="e">
        <f>"        ""StockCap"": "&amp;VLOOKUP(A1329,TraderCategory!$B$63:$L$546,8,FALSE)&amp;","</f>
        <v>#N/A</v>
      </c>
    </row>
    <row r="1330" spans="1:2" x14ac:dyDescent="0.25">
      <c r="A1330">
        <f t="shared" si="69"/>
        <v>110</v>
      </c>
      <c r="B1330" t="e">
        <f>"        ""SellingRatioMin"": "&amp;VLOOKUP(A1330,TraderCategory!$B$63:$L$546,9,FALSE)&amp;","</f>
        <v>#N/A</v>
      </c>
    </row>
    <row r="1331" spans="1:2" x14ac:dyDescent="0.25">
      <c r="A1331">
        <f t="shared" si="69"/>
        <v>110</v>
      </c>
      <c r="B1331" t="e">
        <f>"        ""SellingRatioMax"": "&amp;VLOOKUP(A1331,TraderCategory!$B$63:$L$546,10,FALSE)&amp;","</f>
        <v>#N/A</v>
      </c>
    </row>
    <row r="1332" spans="1:2" x14ac:dyDescent="0.25">
      <c r="A1332">
        <f t="shared" si="69"/>
        <v>110</v>
      </c>
      <c r="B1332" t="e">
        <f>"        ""BuingRatioMin"": "&amp;VLOOKUP(A1332,TraderCategory!$B$63:$L$546,11,FALSE)</f>
        <v>#N/A</v>
      </c>
    </row>
    <row r="1333" spans="1:2" x14ac:dyDescent="0.25">
      <c r="A1333">
        <f t="shared" si="69"/>
        <v>110</v>
      </c>
      <c r="B1333" t="s">
        <v>2755</v>
      </c>
    </row>
    <row r="1334" spans="1:2" x14ac:dyDescent="0.25">
      <c r="A1334">
        <f>A1322+1</f>
        <v>111</v>
      </c>
      <c r="B1334" t="str">
        <f>"    """&amp;A1334&amp;""": {"</f>
        <v xml:space="preserve">    "111": {</v>
      </c>
    </row>
    <row r="1335" spans="1:2" x14ac:dyDescent="0.25">
      <c r="A1335">
        <f t="shared" si="69"/>
        <v>111</v>
      </c>
      <c r="B1335" t="e">
        <f>"        ""Groups"": """&amp;VLOOKUP(A1335,TraderCategory!$B$63:$L$546,2,FALSE)&amp;""","</f>
        <v>#N/A</v>
      </c>
    </row>
    <row r="1336" spans="1:2" x14ac:dyDescent="0.25">
      <c r="A1336">
        <f t="shared" si="69"/>
        <v>111</v>
      </c>
      <c r="B1336" t="e">
        <f>"        ""Category"": """&amp;VLOOKUP(A1336,TraderCategory!$B$63:$L$546,3,FALSE)&amp;""","</f>
        <v>#N/A</v>
      </c>
    </row>
    <row r="1337" spans="1:2" x14ac:dyDescent="0.25">
      <c r="A1337">
        <f t="shared" si="69"/>
        <v>111</v>
      </c>
      <c r="B1337" t="e">
        <f>"        ""SubCategory"": """&amp;VLOOKUP(A1337,TraderCategory!$B$63:$L$546,4,FALSE)&amp;""","</f>
        <v>#N/A</v>
      </c>
    </row>
    <row r="1338" spans="1:2" x14ac:dyDescent="0.25">
      <c r="A1338">
        <f t="shared" si="69"/>
        <v>111</v>
      </c>
      <c r="B1338" t="e">
        <f>"        ""Reputation"": "&amp;VLOOKUP(A1338,TraderCategory!$B$63:$L$546,5,FALSE)&amp;","</f>
        <v>#N/A</v>
      </c>
    </row>
    <row r="1339" spans="1:2" x14ac:dyDescent="0.25">
      <c r="A1339">
        <f t="shared" si="69"/>
        <v>111</v>
      </c>
      <c r="B1339" t="e">
        <f>"        ""Restock"": "&amp;VLOOKUP(A1339,TraderCategory!$B$63:$L$546,6,FALSE)&amp;","</f>
        <v>#N/A</v>
      </c>
    </row>
    <row r="1340" spans="1:2" x14ac:dyDescent="0.25">
      <c r="A1340">
        <f t="shared" si="69"/>
        <v>111</v>
      </c>
      <c r="B1340" t="e">
        <f>"        ""RestockCap"": "&amp;VLOOKUP(A1340,TraderCategory!$B$63:$L$546,7,FALSE)&amp;","</f>
        <v>#N/A</v>
      </c>
    </row>
    <row r="1341" spans="1:2" x14ac:dyDescent="0.25">
      <c r="A1341">
        <f t="shared" si="69"/>
        <v>111</v>
      </c>
      <c r="B1341" t="e">
        <f>"        ""StockCap"": "&amp;VLOOKUP(A1341,TraderCategory!$B$63:$L$546,8,FALSE)&amp;","</f>
        <v>#N/A</v>
      </c>
    </row>
    <row r="1342" spans="1:2" x14ac:dyDescent="0.25">
      <c r="A1342">
        <f t="shared" si="69"/>
        <v>111</v>
      </c>
      <c r="B1342" t="e">
        <f>"        ""SellingRatioMin"": "&amp;VLOOKUP(A1342,TraderCategory!$B$63:$L$546,9,FALSE)&amp;","</f>
        <v>#N/A</v>
      </c>
    </row>
    <row r="1343" spans="1:2" x14ac:dyDescent="0.25">
      <c r="A1343">
        <f t="shared" si="69"/>
        <v>111</v>
      </c>
      <c r="B1343" t="e">
        <f>"        ""SellingRatioMax"": "&amp;VLOOKUP(A1343,TraderCategory!$B$63:$L$546,10,FALSE)&amp;","</f>
        <v>#N/A</v>
      </c>
    </row>
    <row r="1344" spans="1:2" x14ac:dyDescent="0.25">
      <c r="A1344">
        <f t="shared" si="69"/>
        <v>111</v>
      </c>
      <c r="B1344" t="e">
        <f>"        ""BuingRatioMin"": "&amp;VLOOKUP(A1344,TraderCategory!$B$63:$L$546,11,FALSE)</f>
        <v>#N/A</v>
      </c>
    </row>
    <row r="1345" spans="1:2" x14ac:dyDescent="0.25">
      <c r="A1345">
        <f t="shared" si="69"/>
        <v>111</v>
      </c>
      <c r="B1345" t="s">
        <v>2755</v>
      </c>
    </row>
    <row r="1346" spans="1:2" x14ac:dyDescent="0.25">
      <c r="A1346">
        <f>A1334+1</f>
        <v>112</v>
      </c>
      <c r="B1346" t="str">
        <f>"    """&amp;A1346&amp;""": {"</f>
        <v xml:space="preserve">    "112": {</v>
      </c>
    </row>
    <row r="1347" spans="1:2" x14ac:dyDescent="0.25">
      <c r="A1347">
        <f t="shared" si="69"/>
        <v>112</v>
      </c>
      <c r="B1347" t="e">
        <f>"        ""Groups"": """&amp;VLOOKUP(A1347,TraderCategory!$B$63:$L$546,2,FALSE)&amp;""","</f>
        <v>#N/A</v>
      </c>
    </row>
    <row r="1348" spans="1:2" x14ac:dyDescent="0.25">
      <c r="A1348">
        <f t="shared" si="69"/>
        <v>112</v>
      </c>
      <c r="B1348" t="e">
        <f>"        ""Category"": """&amp;VLOOKUP(A1348,TraderCategory!$B$63:$L$546,3,FALSE)&amp;""","</f>
        <v>#N/A</v>
      </c>
    </row>
    <row r="1349" spans="1:2" x14ac:dyDescent="0.25">
      <c r="A1349">
        <f t="shared" si="69"/>
        <v>112</v>
      </c>
      <c r="B1349" t="e">
        <f>"        ""SubCategory"": """&amp;VLOOKUP(A1349,TraderCategory!$B$63:$L$546,4,FALSE)&amp;""","</f>
        <v>#N/A</v>
      </c>
    </row>
    <row r="1350" spans="1:2" x14ac:dyDescent="0.25">
      <c r="A1350">
        <f t="shared" si="69"/>
        <v>112</v>
      </c>
      <c r="B1350" t="e">
        <f>"        ""Reputation"": "&amp;VLOOKUP(A1350,TraderCategory!$B$63:$L$546,5,FALSE)&amp;","</f>
        <v>#N/A</v>
      </c>
    </row>
    <row r="1351" spans="1:2" x14ac:dyDescent="0.25">
      <c r="A1351">
        <f t="shared" si="69"/>
        <v>112</v>
      </c>
      <c r="B1351" t="e">
        <f>"        ""Restock"": "&amp;VLOOKUP(A1351,TraderCategory!$B$63:$L$546,6,FALSE)&amp;","</f>
        <v>#N/A</v>
      </c>
    </row>
    <row r="1352" spans="1:2" x14ac:dyDescent="0.25">
      <c r="A1352">
        <f t="shared" si="69"/>
        <v>112</v>
      </c>
      <c r="B1352" t="e">
        <f>"        ""RestockCap"": "&amp;VLOOKUP(A1352,TraderCategory!$B$63:$L$546,7,FALSE)&amp;","</f>
        <v>#N/A</v>
      </c>
    </row>
    <row r="1353" spans="1:2" x14ac:dyDescent="0.25">
      <c r="A1353">
        <f t="shared" si="69"/>
        <v>112</v>
      </c>
      <c r="B1353" t="e">
        <f>"        ""StockCap"": "&amp;VLOOKUP(A1353,TraderCategory!$B$63:$L$546,8,FALSE)&amp;","</f>
        <v>#N/A</v>
      </c>
    </row>
    <row r="1354" spans="1:2" x14ac:dyDescent="0.25">
      <c r="A1354">
        <f t="shared" si="69"/>
        <v>112</v>
      </c>
      <c r="B1354" t="e">
        <f>"        ""SellingRatioMin"": "&amp;VLOOKUP(A1354,TraderCategory!$B$63:$L$546,9,FALSE)&amp;","</f>
        <v>#N/A</v>
      </c>
    </row>
    <row r="1355" spans="1:2" x14ac:dyDescent="0.25">
      <c r="A1355">
        <f t="shared" si="69"/>
        <v>112</v>
      </c>
      <c r="B1355" t="e">
        <f>"        ""SellingRatioMax"": "&amp;VLOOKUP(A1355,TraderCategory!$B$63:$L$546,10,FALSE)&amp;","</f>
        <v>#N/A</v>
      </c>
    </row>
    <row r="1356" spans="1:2" x14ac:dyDescent="0.25">
      <c r="A1356">
        <f t="shared" si="69"/>
        <v>112</v>
      </c>
      <c r="B1356" t="e">
        <f>"        ""BuingRatioMin"": "&amp;VLOOKUP(A1356,TraderCategory!$B$63:$L$546,11,FALSE)</f>
        <v>#N/A</v>
      </c>
    </row>
    <row r="1357" spans="1:2" x14ac:dyDescent="0.25">
      <c r="A1357">
        <f t="shared" si="69"/>
        <v>112</v>
      </c>
      <c r="B1357" t="s">
        <v>2755</v>
      </c>
    </row>
    <row r="1358" spans="1:2" x14ac:dyDescent="0.25">
      <c r="A1358">
        <f>A1346+1</f>
        <v>113</v>
      </c>
      <c r="B1358" t="str">
        <f>"    """&amp;A1358&amp;""": {"</f>
        <v xml:space="preserve">    "113": {</v>
      </c>
    </row>
    <row r="1359" spans="1:2" x14ac:dyDescent="0.25">
      <c r="A1359">
        <f t="shared" si="69"/>
        <v>113</v>
      </c>
      <c r="B1359" t="e">
        <f>"        ""Groups"": """&amp;VLOOKUP(A1359,TraderCategory!$B$63:$L$546,2,FALSE)&amp;""","</f>
        <v>#N/A</v>
      </c>
    </row>
    <row r="1360" spans="1:2" x14ac:dyDescent="0.25">
      <c r="A1360">
        <f t="shared" si="69"/>
        <v>113</v>
      </c>
      <c r="B1360" t="e">
        <f>"        ""Category"": """&amp;VLOOKUP(A1360,TraderCategory!$B$63:$L$546,3,FALSE)&amp;""","</f>
        <v>#N/A</v>
      </c>
    </row>
    <row r="1361" spans="1:2" x14ac:dyDescent="0.25">
      <c r="A1361">
        <f t="shared" si="69"/>
        <v>113</v>
      </c>
      <c r="B1361" t="e">
        <f>"        ""SubCategory"": """&amp;VLOOKUP(A1361,TraderCategory!$B$63:$L$546,4,FALSE)&amp;""","</f>
        <v>#N/A</v>
      </c>
    </row>
    <row r="1362" spans="1:2" x14ac:dyDescent="0.25">
      <c r="A1362">
        <f t="shared" si="69"/>
        <v>113</v>
      </c>
      <c r="B1362" t="e">
        <f>"        ""Reputation"": "&amp;VLOOKUP(A1362,TraderCategory!$B$63:$L$546,5,FALSE)&amp;","</f>
        <v>#N/A</v>
      </c>
    </row>
    <row r="1363" spans="1:2" x14ac:dyDescent="0.25">
      <c r="A1363">
        <f t="shared" si="69"/>
        <v>113</v>
      </c>
      <c r="B1363" t="e">
        <f>"        ""Restock"": "&amp;VLOOKUP(A1363,TraderCategory!$B$63:$L$546,6,FALSE)&amp;","</f>
        <v>#N/A</v>
      </c>
    </row>
    <row r="1364" spans="1:2" x14ac:dyDescent="0.25">
      <c r="A1364">
        <f t="shared" si="69"/>
        <v>113</v>
      </c>
      <c r="B1364" t="e">
        <f>"        ""RestockCap"": "&amp;VLOOKUP(A1364,TraderCategory!$B$63:$L$546,7,FALSE)&amp;","</f>
        <v>#N/A</v>
      </c>
    </row>
    <row r="1365" spans="1:2" x14ac:dyDescent="0.25">
      <c r="A1365">
        <f t="shared" si="69"/>
        <v>113</v>
      </c>
      <c r="B1365" t="e">
        <f>"        ""StockCap"": "&amp;VLOOKUP(A1365,TraderCategory!$B$63:$L$546,8,FALSE)&amp;","</f>
        <v>#N/A</v>
      </c>
    </row>
    <row r="1366" spans="1:2" x14ac:dyDescent="0.25">
      <c r="A1366">
        <f t="shared" si="69"/>
        <v>113</v>
      </c>
      <c r="B1366" t="e">
        <f>"        ""SellingRatioMin"": "&amp;VLOOKUP(A1366,TraderCategory!$B$63:$L$546,9,FALSE)&amp;","</f>
        <v>#N/A</v>
      </c>
    </row>
    <row r="1367" spans="1:2" x14ac:dyDescent="0.25">
      <c r="A1367">
        <f t="shared" si="69"/>
        <v>113</v>
      </c>
      <c r="B1367" t="e">
        <f>"        ""SellingRatioMax"": "&amp;VLOOKUP(A1367,TraderCategory!$B$63:$L$546,10,FALSE)&amp;","</f>
        <v>#N/A</v>
      </c>
    </row>
    <row r="1368" spans="1:2" x14ac:dyDescent="0.25">
      <c r="A1368">
        <f t="shared" si="69"/>
        <v>113</v>
      </c>
      <c r="B1368" t="e">
        <f>"        ""BuingRatioMin"": "&amp;VLOOKUP(A1368,TraderCategory!$B$63:$L$546,11,FALSE)</f>
        <v>#N/A</v>
      </c>
    </row>
    <row r="1369" spans="1:2" x14ac:dyDescent="0.25">
      <c r="A1369">
        <f t="shared" si="69"/>
        <v>113</v>
      </c>
      <c r="B1369" t="s">
        <v>2755</v>
      </c>
    </row>
    <row r="1370" spans="1:2" x14ac:dyDescent="0.25">
      <c r="A1370">
        <f>A1358+1</f>
        <v>114</v>
      </c>
      <c r="B1370" t="str">
        <f>"    """&amp;A1370&amp;""": {"</f>
        <v xml:space="preserve">    "114": {</v>
      </c>
    </row>
    <row r="1371" spans="1:2" x14ac:dyDescent="0.25">
      <c r="A1371">
        <f t="shared" si="69"/>
        <v>114</v>
      </c>
      <c r="B1371" t="e">
        <f>"        ""Groups"": """&amp;VLOOKUP(A1371,TraderCategory!$B$63:$L$546,2,FALSE)&amp;""","</f>
        <v>#N/A</v>
      </c>
    </row>
    <row r="1372" spans="1:2" x14ac:dyDescent="0.25">
      <c r="A1372">
        <f t="shared" si="69"/>
        <v>114</v>
      </c>
      <c r="B1372" t="e">
        <f>"        ""Category"": """&amp;VLOOKUP(A1372,TraderCategory!$B$63:$L$546,3,FALSE)&amp;""","</f>
        <v>#N/A</v>
      </c>
    </row>
    <row r="1373" spans="1:2" x14ac:dyDescent="0.25">
      <c r="A1373">
        <f t="shared" si="69"/>
        <v>114</v>
      </c>
      <c r="B1373" t="e">
        <f>"        ""SubCategory"": """&amp;VLOOKUP(A1373,TraderCategory!$B$63:$L$546,4,FALSE)&amp;""","</f>
        <v>#N/A</v>
      </c>
    </row>
    <row r="1374" spans="1:2" x14ac:dyDescent="0.25">
      <c r="A1374">
        <f t="shared" si="69"/>
        <v>114</v>
      </c>
      <c r="B1374" t="e">
        <f>"        ""Reputation"": "&amp;VLOOKUP(A1374,TraderCategory!$B$63:$L$546,5,FALSE)&amp;","</f>
        <v>#N/A</v>
      </c>
    </row>
    <row r="1375" spans="1:2" x14ac:dyDescent="0.25">
      <c r="A1375">
        <f t="shared" si="69"/>
        <v>114</v>
      </c>
      <c r="B1375" t="e">
        <f>"        ""Restock"": "&amp;VLOOKUP(A1375,TraderCategory!$B$63:$L$546,6,FALSE)&amp;","</f>
        <v>#N/A</v>
      </c>
    </row>
    <row r="1376" spans="1:2" x14ac:dyDescent="0.25">
      <c r="A1376">
        <f t="shared" si="69"/>
        <v>114</v>
      </c>
      <c r="B1376" t="e">
        <f>"        ""RestockCap"": "&amp;VLOOKUP(A1376,TraderCategory!$B$63:$L$546,7,FALSE)&amp;","</f>
        <v>#N/A</v>
      </c>
    </row>
    <row r="1377" spans="1:2" x14ac:dyDescent="0.25">
      <c r="A1377">
        <f t="shared" si="69"/>
        <v>114</v>
      </c>
      <c r="B1377" t="e">
        <f>"        ""StockCap"": "&amp;VLOOKUP(A1377,TraderCategory!$B$63:$L$546,8,FALSE)&amp;","</f>
        <v>#N/A</v>
      </c>
    </row>
    <row r="1378" spans="1:2" x14ac:dyDescent="0.25">
      <c r="A1378">
        <f t="shared" si="69"/>
        <v>114</v>
      </c>
      <c r="B1378" t="e">
        <f>"        ""SellingRatioMin"": "&amp;VLOOKUP(A1378,TraderCategory!$B$63:$L$546,9,FALSE)&amp;","</f>
        <v>#N/A</v>
      </c>
    </row>
    <row r="1379" spans="1:2" x14ac:dyDescent="0.25">
      <c r="A1379">
        <f t="shared" si="69"/>
        <v>114</v>
      </c>
      <c r="B1379" t="e">
        <f>"        ""SellingRatioMax"": "&amp;VLOOKUP(A1379,TraderCategory!$B$63:$L$546,10,FALSE)&amp;","</f>
        <v>#N/A</v>
      </c>
    </row>
    <row r="1380" spans="1:2" x14ac:dyDescent="0.25">
      <c r="A1380">
        <f t="shared" si="69"/>
        <v>114</v>
      </c>
      <c r="B1380" t="e">
        <f>"        ""BuingRatioMin"": "&amp;VLOOKUP(A1380,TraderCategory!$B$63:$L$546,11,FALSE)</f>
        <v>#N/A</v>
      </c>
    </row>
    <row r="1381" spans="1:2" x14ac:dyDescent="0.25">
      <c r="A1381">
        <f t="shared" si="69"/>
        <v>114</v>
      </c>
      <c r="B1381" t="s">
        <v>2755</v>
      </c>
    </row>
    <row r="1382" spans="1:2" x14ac:dyDescent="0.25">
      <c r="A1382">
        <f>A1370+1</f>
        <v>115</v>
      </c>
      <c r="B1382" t="str">
        <f>"    """&amp;A1382&amp;""": {"</f>
        <v xml:space="preserve">    "115": {</v>
      </c>
    </row>
    <row r="1383" spans="1:2" x14ac:dyDescent="0.25">
      <c r="A1383">
        <f t="shared" ref="A1383:A1393" si="70">A1371+1</f>
        <v>115</v>
      </c>
      <c r="B1383" t="e">
        <f>"        ""Groups"": """&amp;VLOOKUP(A1383,TraderCategory!$B$63:$L$546,2,FALSE)&amp;""","</f>
        <v>#N/A</v>
      </c>
    </row>
    <row r="1384" spans="1:2" x14ac:dyDescent="0.25">
      <c r="A1384">
        <f t="shared" si="70"/>
        <v>115</v>
      </c>
      <c r="B1384" t="e">
        <f>"        ""Category"": """&amp;VLOOKUP(A1384,TraderCategory!$B$63:$L$546,3,FALSE)&amp;""","</f>
        <v>#N/A</v>
      </c>
    </row>
    <row r="1385" spans="1:2" x14ac:dyDescent="0.25">
      <c r="A1385">
        <f t="shared" si="70"/>
        <v>115</v>
      </c>
      <c r="B1385" t="e">
        <f>"        ""SubCategory"": """&amp;VLOOKUP(A1385,TraderCategory!$B$63:$L$546,4,FALSE)&amp;""","</f>
        <v>#N/A</v>
      </c>
    </row>
    <row r="1386" spans="1:2" x14ac:dyDescent="0.25">
      <c r="A1386">
        <f t="shared" si="70"/>
        <v>115</v>
      </c>
      <c r="B1386" t="e">
        <f>"        ""Reputation"": "&amp;VLOOKUP(A1386,TraderCategory!$B$63:$L$546,5,FALSE)&amp;","</f>
        <v>#N/A</v>
      </c>
    </row>
    <row r="1387" spans="1:2" x14ac:dyDescent="0.25">
      <c r="A1387">
        <f t="shared" si="70"/>
        <v>115</v>
      </c>
      <c r="B1387" t="e">
        <f>"        ""Restock"": "&amp;VLOOKUP(A1387,TraderCategory!$B$63:$L$546,6,FALSE)&amp;","</f>
        <v>#N/A</v>
      </c>
    </row>
    <row r="1388" spans="1:2" x14ac:dyDescent="0.25">
      <c r="A1388">
        <f t="shared" si="70"/>
        <v>115</v>
      </c>
      <c r="B1388" t="e">
        <f>"        ""RestockCap"": "&amp;VLOOKUP(A1388,TraderCategory!$B$63:$L$546,7,FALSE)&amp;","</f>
        <v>#N/A</v>
      </c>
    </row>
    <row r="1389" spans="1:2" x14ac:dyDescent="0.25">
      <c r="A1389">
        <f t="shared" si="70"/>
        <v>115</v>
      </c>
      <c r="B1389" t="e">
        <f>"        ""StockCap"": "&amp;VLOOKUP(A1389,TraderCategory!$B$63:$L$546,8,FALSE)&amp;","</f>
        <v>#N/A</v>
      </c>
    </row>
    <row r="1390" spans="1:2" x14ac:dyDescent="0.25">
      <c r="A1390">
        <f t="shared" si="70"/>
        <v>115</v>
      </c>
      <c r="B1390" t="e">
        <f>"        ""SellingRatioMin"": "&amp;VLOOKUP(A1390,TraderCategory!$B$63:$L$546,9,FALSE)&amp;","</f>
        <v>#N/A</v>
      </c>
    </row>
    <row r="1391" spans="1:2" x14ac:dyDescent="0.25">
      <c r="A1391">
        <f t="shared" si="70"/>
        <v>115</v>
      </c>
      <c r="B1391" t="e">
        <f>"        ""SellingRatioMax"": "&amp;VLOOKUP(A1391,TraderCategory!$B$63:$L$546,10,FALSE)&amp;","</f>
        <v>#N/A</v>
      </c>
    </row>
    <row r="1392" spans="1:2" x14ac:dyDescent="0.25">
      <c r="A1392">
        <f t="shared" si="70"/>
        <v>115</v>
      </c>
      <c r="B1392" t="e">
        <f>"        ""BuingRatioMin"": "&amp;VLOOKUP(A1392,TraderCategory!$B$63:$L$546,11,FALSE)</f>
        <v>#N/A</v>
      </c>
    </row>
    <row r="1393" spans="1:2" x14ac:dyDescent="0.25">
      <c r="A1393">
        <f t="shared" si="70"/>
        <v>115</v>
      </c>
      <c r="B1393" t="s">
        <v>2755</v>
      </c>
    </row>
    <row r="1394" spans="1:2" x14ac:dyDescent="0.25">
      <c r="A1394">
        <f>A1382+1</f>
        <v>116</v>
      </c>
      <c r="B1394" t="str">
        <f>"    """&amp;A1394&amp;""": {"</f>
        <v xml:space="preserve">    "116": {</v>
      </c>
    </row>
    <row r="1395" spans="1:2" x14ac:dyDescent="0.25">
      <c r="A1395">
        <f t="shared" ref="A1395:A1405" si="71">A1383+1</f>
        <v>116</v>
      </c>
      <c r="B1395" t="e">
        <f>"        ""Groups"": """&amp;VLOOKUP(A1395,TraderCategory!$B$63:$L$546,2,FALSE)&amp;""","</f>
        <v>#N/A</v>
      </c>
    </row>
    <row r="1396" spans="1:2" x14ac:dyDescent="0.25">
      <c r="A1396">
        <f t="shared" si="71"/>
        <v>116</v>
      </c>
      <c r="B1396" t="e">
        <f>"        ""Category"": """&amp;VLOOKUP(A1396,TraderCategory!$B$63:$L$546,3,FALSE)&amp;""","</f>
        <v>#N/A</v>
      </c>
    </row>
    <row r="1397" spans="1:2" x14ac:dyDescent="0.25">
      <c r="A1397">
        <f t="shared" si="71"/>
        <v>116</v>
      </c>
      <c r="B1397" t="e">
        <f>"        ""SubCategory"": """&amp;VLOOKUP(A1397,TraderCategory!$B$63:$L$546,4,FALSE)&amp;""","</f>
        <v>#N/A</v>
      </c>
    </row>
    <row r="1398" spans="1:2" x14ac:dyDescent="0.25">
      <c r="A1398">
        <f t="shared" si="71"/>
        <v>116</v>
      </c>
      <c r="B1398" t="e">
        <f>"        ""Reputation"": "&amp;VLOOKUP(A1398,TraderCategory!$B$63:$L$546,5,FALSE)&amp;","</f>
        <v>#N/A</v>
      </c>
    </row>
    <row r="1399" spans="1:2" x14ac:dyDescent="0.25">
      <c r="A1399">
        <f t="shared" si="71"/>
        <v>116</v>
      </c>
      <c r="B1399" t="e">
        <f>"        ""Restock"": "&amp;VLOOKUP(A1399,TraderCategory!$B$63:$L$546,6,FALSE)&amp;","</f>
        <v>#N/A</v>
      </c>
    </row>
    <row r="1400" spans="1:2" x14ac:dyDescent="0.25">
      <c r="A1400">
        <f t="shared" si="71"/>
        <v>116</v>
      </c>
      <c r="B1400" t="e">
        <f>"        ""RestockCap"": "&amp;VLOOKUP(A1400,TraderCategory!$B$63:$L$546,7,FALSE)&amp;","</f>
        <v>#N/A</v>
      </c>
    </row>
    <row r="1401" spans="1:2" x14ac:dyDescent="0.25">
      <c r="A1401">
        <f t="shared" si="71"/>
        <v>116</v>
      </c>
      <c r="B1401" t="e">
        <f>"        ""StockCap"": "&amp;VLOOKUP(A1401,TraderCategory!$B$63:$L$546,8,FALSE)&amp;","</f>
        <v>#N/A</v>
      </c>
    </row>
    <row r="1402" spans="1:2" x14ac:dyDescent="0.25">
      <c r="A1402">
        <f t="shared" si="71"/>
        <v>116</v>
      </c>
      <c r="B1402" t="e">
        <f>"        ""SellingRatioMin"": "&amp;VLOOKUP(A1402,TraderCategory!$B$63:$L$546,9,FALSE)&amp;","</f>
        <v>#N/A</v>
      </c>
    </row>
    <row r="1403" spans="1:2" x14ac:dyDescent="0.25">
      <c r="A1403">
        <f t="shared" si="71"/>
        <v>116</v>
      </c>
      <c r="B1403" t="e">
        <f>"        ""SellingRatioMax"": "&amp;VLOOKUP(A1403,TraderCategory!$B$63:$L$546,10,FALSE)&amp;","</f>
        <v>#N/A</v>
      </c>
    </row>
    <row r="1404" spans="1:2" x14ac:dyDescent="0.25">
      <c r="A1404">
        <f t="shared" si="71"/>
        <v>116</v>
      </c>
      <c r="B1404" t="e">
        <f>"        ""BuingRatioMin"": "&amp;VLOOKUP(A1404,TraderCategory!$B$63:$L$546,11,FALSE)</f>
        <v>#N/A</v>
      </c>
    </row>
    <row r="1405" spans="1:2" x14ac:dyDescent="0.25">
      <c r="A1405">
        <f t="shared" si="71"/>
        <v>116</v>
      </c>
      <c r="B1405" t="s">
        <v>2755</v>
      </c>
    </row>
    <row r="1406" spans="1:2" x14ac:dyDescent="0.25">
      <c r="A1406">
        <f>A1394+1</f>
        <v>117</v>
      </c>
      <c r="B1406" t="str">
        <f>"    """&amp;A1406&amp;""": {"</f>
        <v xml:space="preserve">    "117": {</v>
      </c>
    </row>
    <row r="1407" spans="1:2" x14ac:dyDescent="0.25">
      <c r="A1407">
        <f t="shared" ref="A1407:A1417" si="72">A1395+1</f>
        <v>117</v>
      </c>
      <c r="B1407" t="e">
        <f>"        ""Groups"": """&amp;VLOOKUP(A1407,TraderCategory!$B$63:$L$546,2,FALSE)&amp;""","</f>
        <v>#N/A</v>
      </c>
    </row>
    <row r="1408" spans="1:2" x14ac:dyDescent="0.25">
      <c r="A1408">
        <f t="shared" si="72"/>
        <v>117</v>
      </c>
      <c r="B1408" t="e">
        <f>"        ""Category"": """&amp;VLOOKUP(A1408,TraderCategory!$B$63:$L$546,3,FALSE)&amp;""","</f>
        <v>#N/A</v>
      </c>
    </row>
    <row r="1409" spans="1:2" x14ac:dyDescent="0.25">
      <c r="A1409">
        <f t="shared" si="72"/>
        <v>117</v>
      </c>
      <c r="B1409" t="e">
        <f>"        ""SubCategory"": """&amp;VLOOKUP(A1409,TraderCategory!$B$63:$L$546,4,FALSE)&amp;""","</f>
        <v>#N/A</v>
      </c>
    </row>
    <row r="1410" spans="1:2" x14ac:dyDescent="0.25">
      <c r="A1410">
        <f t="shared" si="72"/>
        <v>117</v>
      </c>
      <c r="B1410" t="e">
        <f>"        ""Reputation"": "&amp;VLOOKUP(A1410,TraderCategory!$B$63:$L$546,5,FALSE)&amp;","</f>
        <v>#N/A</v>
      </c>
    </row>
    <row r="1411" spans="1:2" x14ac:dyDescent="0.25">
      <c r="A1411">
        <f t="shared" si="72"/>
        <v>117</v>
      </c>
      <c r="B1411" t="e">
        <f>"        ""Restock"": "&amp;VLOOKUP(A1411,TraderCategory!$B$63:$L$546,6,FALSE)&amp;","</f>
        <v>#N/A</v>
      </c>
    </row>
    <row r="1412" spans="1:2" x14ac:dyDescent="0.25">
      <c r="A1412">
        <f t="shared" si="72"/>
        <v>117</v>
      </c>
      <c r="B1412" t="e">
        <f>"        ""RestockCap"": "&amp;VLOOKUP(A1412,TraderCategory!$B$63:$L$546,7,FALSE)&amp;","</f>
        <v>#N/A</v>
      </c>
    </row>
    <row r="1413" spans="1:2" x14ac:dyDescent="0.25">
      <c r="A1413">
        <f t="shared" si="72"/>
        <v>117</v>
      </c>
      <c r="B1413" t="e">
        <f>"        ""StockCap"": "&amp;VLOOKUP(A1413,TraderCategory!$B$63:$L$546,8,FALSE)&amp;","</f>
        <v>#N/A</v>
      </c>
    </row>
    <row r="1414" spans="1:2" x14ac:dyDescent="0.25">
      <c r="A1414">
        <f t="shared" si="72"/>
        <v>117</v>
      </c>
      <c r="B1414" t="e">
        <f>"        ""SellingRatioMin"": "&amp;VLOOKUP(A1414,TraderCategory!$B$63:$L$546,9,FALSE)&amp;","</f>
        <v>#N/A</v>
      </c>
    </row>
    <row r="1415" spans="1:2" x14ac:dyDescent="0.25">
      <c r="A1415">
        <f t="shared" si="72"/>
        <v>117</v>
      </c>
      <c r="B1415" t="e">
        <f>"        ""SellingRatioMax"": "&amp;VLOOKUP(A1415,TraderCategory!$B$63:$L$546,10,FALSE)&amp;","</f>
        <v>#N/A</v>
      </c>
    </row>
    <row r="1416" spans="1:2" x14ac:dyDescent="0.25">
      <c r="A1416">
        <f t="shared" si="72"/>
        <v>117</v>
      </c>
      <c r="B1416" t="e">
        <f>"        ""BuingRatioMin"": "&amp;VLOOKUP(A1416,TraderCategory!$B$63:$L$546,11,FALSE)</f>
        <v>#N/A</v>
      </c>
    </row>
    <row r="1417" spans="1:2" x14ac:dyDescent="0.25">
      <c r="A1417">
        <f t="shared" si="72"/>
        <v>117</v>
      </c>
      <c r="B1417" t="s">
        <v>2755</v>
      </c>
    </row>
    <row r="1418" spans="1:2" x14ac:dyDescent="0.25">
      <c r="A1418">
        <f>A1406+1</f>
        <v>118</v>
      </c>
      <c r="B1418" t="str">
        <f>"    """&amp;A1418&amp;""": {"</f>
        <v xml:space="preserve">    "118": {</v>
      </c>
    </row>
    <row r="1419" spans="1:2" x14ac:dyDescent="0.25">
      <c r="A1419">
        <f t="shared" ref="A1419:A1429" si="73">A1407+1</f>
        <v>118</v>
      </c>
      <c r="B1419" t="e">
        <f>"        ""Groups"": """&amp;VLOOKUP(A1419,TraderCategory!$B$63:$L$546,2,FALSE)&amp;""","</f>
        <v>#N/A</v>
      </c>
    </row>
    <row r="1420" spans="1:2" x14ac:dyDescent="0.25">
      <c r="A1420">
        <f t="shared" si="73"/>
        <v>118</v>
      </c>
      <c r="B1420" t="e">
        <f>"        ""Category"": """&amp;VLOOKUP(A1420,TraderCategory!$B$63:$L$546,3,FALSE)&amp;""","</f>
        <v>#N/A</v>
      </c>
    </row>
    <row r="1421" spans="1:2" x14ac:dyDescent="0.25">
      <c r="A1421">
        <f t="shared" si="73"/>
        <v>118</v>
      </c>
      <c r="B1421" t="e">
        <f>"        ""SubCategory"": """&amp;VLOOKUP(A1421,TraderCategory!$B$63:$L$546,4,FALSE)&amp;""","</f>
        <v>#N/A</v>
      </c>
    </row>
    <row r="1422" spans="1:2" x14ac:dyDescent="0.25">
      <c r="A1422">
        <f t="shared" si="73"/>
        <v>118</v>
      </c>
      <c r="B1422" t="e">
        <f>"        ""Reputation"": "&amp;VLOOKUP(A1422,TraderCategory!$B$63:$L$546,5,FALSE)&amp;","</f>
        <v>#N/A</v>
      </c>
    </row>
    <row r="1423" spans="1:2" x14ac:dyDescent="0.25">
      <c r="A1423">
        <f t="shared" si="73"/>
        <v>118</v>
      </c>
      <c r="B1423" t="e">
        <f>"        ""Restock"": "&amp;VLOOKUP(A1423,TraderCategory!$B$63:$L$546,6,FALSE)&amp;","</f>
        <v>#N/A</v>
      </c>
    </row>
    <row r="1424" spans="1:2" x14ac:dyDescent="0.25">
      <c r="A1424">
        <f t="shared" si="73"/>
        <v>118</v>
      </c>
      <c r="B1424" t="e">
        <f>"        ""RestockCap"": "&amp;VLOOKUP(A1424,TraderCategory!$B$63:$L$546,7,FALSE)&amp;","</f>
        <v>#N/A</v>
      </c>
    </row>
    <row r="1425" spans="1:2" x14ac:dyDescent="0.25">
      <c r="A1425">
        <f t="shared" si="73"/>
        <v>118</v>
      </c>
      <c r="B1425" t="e">
        <f>"        ""StockCap"": "&amp;VLOOKUP(A1425,TraderCategory!$B$63:$L$546,8,FALSE)&amp;","</f>
        <v>#N/A</v>
      </c>
    </row>
    <row r="1426" spans="1:2" x14ac:dyDescent="0.25">
      <c r="A1426">
        <f t="shared" si="73"/>
        <v>118</v>
      </c>
      <c r="B1426" t="e">
        <f>"        ""SellingRatioMin"": "&amp;VLOOKUP(A1426,TraderCategory!$B$63:$L$546,9,FALSE)&amp;","</f>
        <v>#N/A</v>
      </c>
    </row>
    <row r="1427" spans="1:2" x14ac:dyDescent="0.25">
      <c r="A1427">
        <f t="shared" si="73"/>
        <v>118</v>
      </c>
      <c r="B1427" t="e">
        <f>"        ""SellingRatioMax"": "&amp;VLOOKUP(A1427,TraderCategory!$B$63:$L$546,10,FALSE)&amp;","</f>
        <v>#N/A</v>
      </c>
    </row>
    <row r="1428" spans="1:2" x14ac:dyDescent="0.25">
      <c r="A1428">
        <f t="shared" si="73"/>
        <v>118</v>
      </c>
      <c r="B1428" t="e">
        <f>"        ""BuingRatioMin"": "&amp;VLOOKUP(A1428,TraderCategory!$B$63:$L$546,11,FALSE)</f>
        <v>#N/A</v>
      </c>
    </row>
    <row r="1429" spans="1:2" x14ac:dyDescent="0.25">
      <c r="A1429">
        <f t="shared" si="73"/>
        <v>118</v>
      </c>
      <c r="B1429" t="s">
        <v>2755</v>
      </c>
    </row>
    <row r="1430" spans="1:2" x14ac:dyDescent="0.25">
      <c r="A1430">
        <f>A1418+1</f>
        <v>119</v>
      </c>
      <c r="B1430" t="str">
        <f>"    """&amp;A1430&amp;""": {"</f>
        <v xml:space="preserve">    "119": {</v>
      </c>
    </row>
    <row r="1431" spans="1:2" x14ac:dyDescent="0.25">
      <c r="A1431">
        <f t="shared" ref="A1431:A1441" si="74">A1419+1</f>
        <v>119</v>
      </c>
      <c r="B1431" t="e">
        <f>"        ""Groups"": """&amp;VLOOKUP(A1431,TraderCategory!$B$63:$L$546,2,FALSE)&amp;""","</f>
        <v>#N/A</v>
      </c>
    </row>
    <row r="1432" spans="1:2" x14ac:dyDescent="0.25">
      <c r="A1432">
        <f t="shared" si="74"/>
        <v>119</v>
      </c>
      <c r="B1432" t="e">
        <f>"        ""Category"": """&amp;VLOOKUP(A1432,TraderCategory!$B$63:$L$546,3,FALSE)&amp;""","</f>
        <v>#N/A</v>
      </c>
    </row>
    <row r="1433" spans="1:2" x14ac:dyDescent="0.25">
      <c r="A1433">
        <f t="shared" si="74"/>
        <v>119</v>
      </c>
      <c r="B1433" t="e">
        <f>"        ""SubCategory"": """&amp;VLOOKUP(A1433,TraderCategory!$B$63:$L$546,4,FALSE)&amp;""","</f>
        <v>#N/A</v>
      </c>
    </row>
    <row r="1434" spans="1:2" x14ac:dyDescent="0.25">
      <c r="A1434">
        <f t="shared" si="74"/>
        <v>119</v>
      </c>
      <c r="B1434" t="e">
        <f>"        ""Reputation"": "&amp;VLOOKUP(A1434,TraderCategory!$B$63:$L$546,5,FALSE)&amp;","</f>
        <v>#N/A</v>
      </c>
    </row>
    <row r="1435" spans="1:2" x14ac:dyDescent="0.25">
      <c r="A1435">
        <f t="shared" si="74"/>
        <v>119</v>
      </c>
      <c r="B1435" t="e">
        <f>"        ""Restock"": "&amp;VLOOKUP(A1435,TraderCategory!$B$63:$L$546,6,FALSE)&amp;","</f>
        <v>#N/A</v>
      </c>
    </row>
    <row r="1436" spans="1:2" x14ac:dyDescent="0.25">
      <c r="A1436">
        <f t="shared" si="74"/>
        <v>119</v>
      </c>
      <c r="B1436" t="e">
        <f>"        ""RestockCap"": "&amp;VLOOKUP(A1436,TraderCategory!$B$63:$L$546,7,FALSE)&amp;","</f>
        <v>#N/A</v>
      </c>
    </row>
    <row r="1437" spans="1:2" x14ac:dyDescent="0.25">
      <c r="A1437">
        <f t="shared" si="74"/>
        <v>119</v>
      </c>
      <c r="B1437" t="e">
        <f>"        ""StockCap"": "&amp;VLOOKUP(A1437,TraderCategory!$B$63:$L$546,8,FALSE)&amp;","</f>
        <v>#N/A</v>
      </c>
    </row>
    <row r="1438" spans="1:2" x14ac:dyDescent="0.25">
      <c r="A1438">
        <f t="shared" si="74"/>
        <v>119</v>
      </c>
      <c r="B1438" t="e">
        <f>"        ""SellingRatioMin"": "&amp;VLOOKUP(A1438,TraderCategory!$B$63:$L$546,9,FALSE)&amp;","</f>
        <v>#N/A</v>
      </c>
    </row>
    <row r="1439" spans="1:2" x14ac:dyDescent="0.25">
      <c r="A1439">
        <f t="shared" si="74"/>
        <v>119</v>
      </c>
      <c r="B1439" t="e">
        <f>"        ""SellingRatioMax"": "&amp;VLOOKUP(A1439,TraderCategory!$B$63:$L$546,10,FALSE)&amp;","</f>
        <v>#N/A</v>
      </c>
    </row>
    <row r="1440" spans="1:2" x14ac:dyDescent="0.25">
      <c r="A1440">
        <f t="shared" si="74"/>
        <v>119</v>
      </c>
      <c r="B1440" t="e">
        <f>"        ""BuingRatioMin"": "&amp;VLOOKUP(A1440,TraderCategory!$B$63:$L$546,11,FALSE)</f>
        <v>#N/A</v>
      </c>
    </row>
    <row r="1441" spans="1:2" x14ac:dyDescent="0.25">
      <c r="A1441">
        <f t="shared" si="74"/>
        <v>119</v>
      </c>
      <c r="B1441" t="s">
        <v>2755</v>
      </c>
    </row>
    <row r="1442" spans="1:2" x14ac:dyDescent="0.25">
      <c r="A1442">
        <f>A1430+1</f>
        <v>120</v>
      </c>
      <c r="B1442" t="str">
        <f>"    """&amp;A1442&amp;""": {"</f>
        <v xml:space="preserve">    "120": {</v>
      </c>
    </row>
    <row r="1443" spans="1:2" x14ac:dyDescent="0.25">
      <c r="A1443">
        <f t="shared" ref="A1443:A1501" si="75">A1431+1</f>
        <v>120</v>
      </c>
      <c r="B1443" t="e">
        <f>"        ""Groups"": """&amp;VLOOKUP(A1443,TraderCategory!$B$63:$L$546,2,FALSE)&amp;""","</f>
        <v>#N/A</v>
      </c>
    </row>
    <row r="1444" spans="1:2" x14ac:dyDescent="0.25">
      <c r="A1444">
        <f t="shared" si="75"/>
        <v>120</v>
      </c>
      <c r="B1444" t="e">
        <f>"        ""Category"": """&amp;VLOOKUP(A1444,TraderCategory!$B$63:$L$546,3,FALSE)&amp;""","</f>
        <v>#N/A</v>
      </c>
    </row>
    <row r="1445" spans="1:2" x14ac:dyDescent="0.25">
      <c r="A1445">
        <f t="shared" si="75"/>
        <v>120</v>
      </c>
      <c r="B1445" t="e">
        <f>"        ""SubCategory"": """&amp;VLOOKUP(A1445,TraderCategory!$B$63:$L$546,4,FALSE)&amp;""","</f>
        <v>#N/A</v>
      </c>
    </row>
    <row r="1446" spans="1:2" x14ac:dyDescent="0.25">
      <c r="A1446">
        <f t="shared" si="75"/>
        <v>120</v>
      </c>
      <c r="B1446" t="e">
        <f>"        ""Reputation"": "&amp;VLOOKUP(A1446,TraderCategory!$B$63:$L$546,5,FALSE)&amp;","</f>
        <v>#N/A</v>
      </c>
    </row>
    <row r="1447" spans="1:2" x14ac:dyDescent="0.25">
      <c r="A1447">
        <f t="shared" si="75"/>
        <v>120</v>
      </c>
      <c r="B1447" t="e">
        <f>"        ""Restock"": "&amp;VLOOKUP(A1447,TraderCategory!$B$63:$L$546,6,FALSE)&amp;","</f>
        <v>#N/A</v>
      </c>
    </row>
    <row r="1448" spans="1:2" x14ac:dyDescent="0.25">
      <c r="A1448">
        <f t="shared" si="75"/>
        <v>120</v>
      </c>
      <c r="B1448" t="e">
        <f>"        ""RestockCap"": "&amp;VLOOKUP(A1448,TraderCategory!$B$63:$L$546,7,FALSE)&amp;","</f>
        <v>#N/A</v>
      </c>
    </row>
    <row r="1449" spans="1:2" x14ac:dyDescent="0.25">
      <c r="A1449">
        <f t="shared" si="75"/>
        <v>120</v>
      </c>
      <c r="B1449" t="e">
        <f>"        ""StockCap"": "&amp;VLOOKUP(A1449,TraderCategory!$B$63:$L$546,8,FALSE)&amp;","</f>
        <v>#N/A</v>
      </c>
    </row>
    <row r="1450" spans="1:2" x14ac:dyDescent="0.25">
      <c r="A1450">
        <f t="shared" si="75"/>
        <v>120</v>
      </c>
      <c r="B1450" t="e">
        <f>"        ""SellingRatioMin"": "&amp;VLOOKUP(A1450,TraderCategory!$B$63:$L$546,9,FALSE)&amp;","</f>
        <v>#N/A</v>
      </c>
    </row>
    <row r="1451" spans="1:2" x14ac:dyDescent="0.25">
      <c r="A1451">
        <f t="shared" si="75"/>
        <v>120</v>
      </c>
      <c r="B1451" t="e">
        <f>"        ""SellingRatioMax"": "&amp;VLOOKUP(A1451,TraderCategory!$B$63:$L$546,10,FALSE)&amp;","</f>
        <v>#N/A</v>
      </c>
    </row>
    <row r="1452" spans="1:2" x14ac:dyDescent="0.25">
      <c r="A1452">
        <f t="shared" si="75"/>
        <v>120</v>
      </c>
      <c r="B1452" t="e">
        <f>"        ""BuingRatioMin"": "&amp;VLOOKUP(A1452,TraderCategory!$B$63:$L$546,11,FALSE)</f>
        <v>#N/A</v>
      </c>
    </row>
    <row r="1453" spans="1:2" x14ac:dyDescent="0.25">
      <c r="A1453">
        <f t="shared" si="75"/>
        <v>120</v>
      </c>
      <c r="B1453" t="s">
        <v>2755</v>
      </c>
    </row>
    <row r="1454" spans="1:2" x14ac:dyDescent="0.25">
      <c r="A1454">
        <f>A1442+1</f>
        <v>121</v>
      </c>
      <c r="B1454" t="str">
        <f>"    """&amp;A1454&amp;""": {"</f>
        <v xml:space="preserve">    "121": {</v>
      </c>
    </row>
    <row r="1455" spans="1:2" x14ac:dyDescent="0.25">
      <c r="A1455">
        <f t="shared" si="75"/>
        <v>121</v>
      </c>
      <c r="B1455" t="e">
        <f>"        ""Groups"": """&amp;VLOOKUP(A1455,TraderCategory!$B$63:$L$546,2,FALSE)&amp;""","</f>
        <v>#N/A</v>
      </c>
    </row>
    <row r="1456" spans="1:2" x14ac:dyDescent="0.25">
      <c r="A1456">
        <f t="shared" si="75"/>
        <v>121</v>
      </c>
      <c r="B1456" t="e">
        <f>"        ""Category"": """&amp;VLOOKUP(A1456,TraderCategory!$B$63:$L$546,3,FALSE)&amp;""","</f>
        <v>#N/A</v>
      </c>
    </row>
    <row r="1457" spans="1:2" x14ac:dyDescent="0.25">
      <c r="A1457">
        <f t="shared" si="75"/>
        <v>121</v>
      </c>
      <c r="B1457" t="e">
        <f>"        ""SubCategory"": """&amp;VLOOKUP(A1457,TraderCategory!$B$63:$L$546,4,FALSE)&amp;""","</f>
        <v>#N/A</v>
      </c>
    </row>
    <row r="1458" spans="1:2" x14ac:dyDescent="0.25">
      <c r="A1458">
        <f t="shared" si="75"/>
        <v>121</v>
      </c>
      <c r="B1458" t="e">
        <f>"        ""Reputation"": "&amp;VLOOKUP(A1458,TraderCategory!$B$63:$L$546,5,FALSE)&amp;","</f>
        <v>#N/A</v>
      </c>
    </row>
    <row r="1459" spans="1:2" x14ac:dyDescent="0.25">
      <c r="A1459">
        <f t="shared" si="75"/>
        <v>121</v>
      </c>
      <c r="B1459" t="e">
        <f>"        ""Restock"": "&amp;VLOOKUP(A1459,TraderCategory!$B$63:$L$546,6,FALSE)&amp;","</f>
        <v>#N/A</v>
      </c>
    </row>
    <row r="1460" spans="1:2" x14ac:dyDescent="0.25">
      <c r="A1460">
        <f t="shared" si="75"/>
        <v>121</v>
      </c>
      <c r="B1460" t="e">
        <f>"        ""RestockCap"": "&amp;VLOOKUP(A1460,TraderCategory!$B$63:$L$546,7,FALSE)&amp;","</f>
        <v>#N/A</v>
      </c>
    </row>
    <row r="1461" spans="1:2" x14ac:dyDescent="0.25">
      <c r="A1461">
        <f t="shared" si="75"/>
        <v>121</v>
      </c>
      <c r="B1461" t="e">
        <f>"        ""StockCap"": "&amp;VLOOKUP(A1461,TraderCategory!$B$63:$L$546,8,FALSE)&amp;","</f>
        <v>#N/A</v>
      </c>
    </row>
    <row r="1462" spans="1:2" x14ac:dyDescent="0.25">
      <c r="A1462">
        <f t="shared" si="75"/>
        <v>121</v>
      </c>
      <c r="B1462" t="e">
        <f>"        ""SellingRatioMin"": "&amp;VLOOKUP(A1462,TraderCategory!$B$63:$L$546,9,FALSE)&amp;","</f>
        <v>#N/A</v>
      </c>
    </row>
    <row r="1463" spans="1:2" x14ac:dyDescent="0.25">
      <c r="A1463">
        <f t="shared" si="75"/>
        <v>121</v>
      </c>
      <c r="B1463" t="e">
        <f>"        ""SellingRatioMax"": "&amp;VLOOKUP(A1463,TraderCategory!$B$63:$L$546,10,FALSE)&amp;","</f>
        <v>#N/A</v>
      </c>
    </row>
    <row r="1464" spans="1:2" x14ac:dyDescent="0.25">
      <c r="A1464">
        <f t="shared" si="75"/>
        <v>121</v>
      </c>
      <c r="B1464" t="e">
        <f>"        ""BuingRatioMin"": "&amp;VLOOKUP(A1464,TraderCategory!$B$63:$L$546,11,FALSE)</f>
        <v>#N/A</v>
      </c>
    </row>
    <row r="1465" spans="1:2" x14ac:dyDescent="0.25">
      <c r="A1465">
        <f t="shared" si="75"/>
        <v>121</v>
      </c>
      <c r="B1465" t="s">
        <v>2755</v>
      </c>
    </row>
    <row r="1466" spans="1:2" x14ac:dyDescent="0.25">
      <c r="A1466">
        <f>A1454+1</f>
        <v>122</v>
      </c>
      <c r="B1466" t="str">
        <f>"    """&amp;A1466&amp;""": {"</f>
        <v xml:space="preserve">    "122": {</v>
      </c>
    </row>
    <row r="1467" spans="1:2" x14ac:dyDescent="0.25">
      <c r="A1467">
        <f t="shared" si="75"/>
        <v>122</v>
      </c>
      <c r="B1467" t="e">
        <f>"        ""Groups"": """&amp;VLOOKUP(A1467,TraderCategory!$B$63:$L$546,2,FALSE)&amp;""","</f>
        <v>#N/A</v>
      </c>
    </row>
    <row r="1468" spans="1:2" x14ac:dyDescent="0.25">
      <c r="A1468">
        <f t="shared" si="75"/>
        <v>122</v>
      </c>
      <c r="B1468" t="e">
        <f>"        ""Category"": """&amp;VLOOKUP(A1468,TraderCategory!$B$63:$L$546,3,FALSE)&amp;""","</f>
        <v>#N/A</v>
      </c>
    </row>
    <row r="1469" spans="1:2" x14ac:dyDescent="0.25">
      <c r="A1469">
        <f t="shared" si="75"/>
        <v>122</v>
      </c>
      <c r="B1469" t="e">
        <f>"        ""SubCategory"": """&amp;VLOOKUP(A1469,TraderCategory!$B$63:$L$546,4,FALSE)&amp;""","</f>
        <v>#N/A</v>
      </c>
    </row>
    <row r="1470" spans="1:2" x14ac:dyDescent="0.25">
      <c r="A1470">
        <f t="shared" si="75"/>
        <v>122</v>
      </c>
      <c r="B1470" t="e">
        <f>"        ""Reputation"": "&amp;VLOOKUP(A1470,TraderCategory!$B$63:$L$546,5,FALSE)&amp;","</f>
        <v>#N/A</v>
      </c>
    </row>
    <row r="1471" spans="1:2" x14ac:dyDescent="0.25">
      <c r="A1471">
        <f t="shared" si="75"/>
        <v>122</v>
      </c>
      <c r="B1471" t="e">
        <f>"        ""Restock"": "&amp;VLOOKUP(A1471,TraderCategory!$B$63:$L$546,6,FALSE)&amp;","</f>
        <v>#N/A</v>
      </c>
    </row>
    <row r="1472" spans="1:2" x14ac:dyDescent="0.25">
      <c r="A1472">
        <f t="shared" si="75"/>
        <v>122</v>
      </c>
      <c r="B1472" t="e">
        <f>"        ""RestockCap"": "&amp;VLOOKUP(A1472,TraderCategory!$B$63:$L$546,7,FALSE)&amp;","</f>
        <v>#N/A</v>
      </c>
    </row>
    <row r="1473" spans="1:2" x14ac:dyDescent="0.25">
      <c r="A1473">
        <f t="shared" si="75"/>
        <v>122</v>
      </c>
      <c r="B1473" t="e">
        <f>"        ""StockCap"": "&amp;VLOOKUP(A1473,TraderCategory!$B$63:$L$546,8,FALSE)&amp;","</f>
        <v>#N/A</v>
      </c>
    </row>
    <row r="1474" spans="1:2" x14ac:dyDescent="0.25">
      <c r="A1474">
        <f t="shared" si="75"/>
        <v>122</v>
      </c>
      <c r="B1474" t="e">
        <f>"        ""SellingRatioMin"": "&amp;VLOOKUP(A1474,TraderCategory!$B$63:$L$546,9,FALSE)&amp;","</f>
        <v>#N/A</v>
      </c>
    </row>
    <row r="1475" spans="1:2" x14ac:dyDescent="0.25">
      <c r="A1475">
        <f t="shared" si="75"/>
        <v>122</v>
      </c>
      <c r="B1475" t="e">
        <f>"        ""SellingRatioMax"": "&amp;VLOOKUP(A1475,TraderCategory!$B$63:$L$546,10,FALSE)&amp;","</f>
        <v>#N/A</v>
      </c>
    </row>
    <row r="1476" spans="1:2" x14ac:dyDescent="0.25">
      <c r="A1476">
        <f t="shared" si="75"/>
        <v>122</v>
      </c>
      <c r="B1476" t="e">
        <f>"        ""BuingRatioMin"": "&amp;VLOOKUP(A1476,TraderCategory!$B$63:$L$546,11,FALSE)</f>
        <v>#N/A</v>
      </c>
    </row>
    <row r="1477" spans="1:2" x14ac:dyDescent="0.25">
      <c r="A1477">
        <f t="shared" si="75"/>
        <v>122</v>
      </c>
      <c r="B1477" t="s">
        <v>2755</v>
      </c>
    </row>
    <row r="1478" spans="1:2" x14ac:dyDescent="0.25">
      <c r="A1478">
        <f>A1466+1</f>
        <v>123</v>
      </c>
      <c r="B1478" t="str">
        <f>"    """&amp;A1478&amp;""": {"</f>
        <v xml:space="preserve">    "123": {</v>
      </c>
    </row>
    <row r="1479" spans="1:2" x14ac:dyDescent="0.25">
      <c r="A1479">
        <f t="shared" si="75"/>
        <v>123</v>
      </c>
      <c r="B1479" t="e">
        <f>"        ""Groups"": """&amp;VLOOKUP(A1479,TraderCategory!$B$63:$L$546,2,FALSE)&amp;""","</f>
        <v>#N/A</v>
      </c>
    </row>
    <row r="1480" spans="1:2" x14ac:dyDescent="0.25">
      <c r="A1480">
        <f t="shared" si="75"/>
        <v>123</v>
      </c>
      <c r="B1480" t="e">
        <f>"        ""Category"": """&amp;VLOOKUP(A1480,TraderCategory!$B$63:$L$546,3,FALSE)&amp;""","</f>
        <v>#N/A</v>
      </c>
    </row>
    <row r="1481" spans="1:2" x14ac:dyDescent="0.25">
      <c r="A1481">
        <f t="shared" si="75"/>
        <v>123</v>
      </c>
      <c r="B1481" t="e">
        <f>"        ""SubCategory"": """&amp;VLOOKUP(A1481,TraderCategory!$B$63:$L$546,4,FALSE)&amp;""","</f>
        <v>#N/A</v>
      </c>
    </row>
    <row r="1482" spans="1:2" x14ac:dyDescent="0.25">
      <c r="A1482">
        <f t="shared" si="75"/>
        <v>123</v>
      </c>
      <c r="B1482" t="e">
        <f>"        ""Reputation"": "&amp;VLOOKUP(A1482,TraderCategory!$B$63:$L$546,5,FALSE)&amp;","</f>
        <v>#N/A</v>
      </c>
    </row>
    <row r="1483" spans="1:2" x14ac:dyDescent="0.25">
      <c r="A1483">
        <f t="shared" si="75"/>
        <v>123</v>
      </c>
      <c r="B1483" t="e">
        <f>"        ""Restock"": "&amp;VLOOKUP(A1483,TraderCategory!$B$63:$L$546,6,FALSE)&amp;","</f>
        <v>#N/A</v>
      </c>
    </row>
    <row r="1484" spans="1:2" x14ac:dyDescent="0.25">
      <c r="A1484">
        <f t="shared" si="75"/>
        <v>123</v>
      </c>
      <c r="B1484" t="e">
        <f>"        ""RestockCap"": "&amp;VLOOKUP(A1484,TraderCategory!$B$63:$L$546,7,FALSE)&amp;","</f>
        <v>#N/A</v>
      </c>
    </row>
    <row r="1485" spans="1:2" x14ac:dyDescent="0.25">
      <c r="A1485">
        <f t="shared" si="75"/>
        <v>123</v>
      </c>
      <c r="B1485" t="e">
        <f>"        ""StockCap"": "&amp;VLOOKUP(A1485,TraderCategory!$B$63:$L$546,8,FALSE)&amp;","</f>
        <v>#N/A</v>
      </c>
    </row>
    <row r="1486" spans="1:2" x14ac:dyDescent="0.25">
      <c r="A1486">
        <f t="shared" si="75"/>
        <v>123</v>
      </c>
      <c r="B1486" t="e">
        <f>"        ""SellingRatioMin"": "&amp;VLOOKUP(A1486,TraderCategory!$B$63:$L$546,9,FALSE)&amp;","</f>
        <v>#N/A</v>
      </c>
    </row>
    <row r="1487" spans="1:2" x14ac:dyDescent="0.25">
      <c r="A1487">
        <f t="shared" si="75"/>
        <v>123</v>
      </c>
      <c r="B1487" t="e">
        <f>"        ""SellingRatioMax"": "&amp;VLOOKUP(A1487,TraderCategory!$B$63:$L$546,10,FALSE)&amp;","</f>
        <v>#N/A</v>
      </c>
    </row>
    <row r="1488" spans="1:2" x14ac:dyDescent="0.25">
      <c r="A1488">
        <f t="shared" si="75"/>
        <v>123</v>
      </c>
      <c r="B1488" t="e">
        <f>"        ""BuingRatioMin"": "&amp;VLOOKUP(A1488,TraderCategory!$B$63:$L$546,11,FALSE)</f>
        <v>#N/A</v>
      </c>
    </row>
    <row r="1489" spans="1:2" x14ac:dyDescent="0.25">
      <c r="A1489">
        <f t="shared" si="75"/>
        <v>123</v>
      </c>
      <c r="B1489" t="s">
        <v>2755</v>
      </c>
    </row>
    <row r="1490" spans="1:2" x14ac:dyDescent="0.25">
      <c r="A1490">
        <f>A1478+1</f>
        <v>124</v>
      </c>
      <c r="B1490" t="str">
        <f>"    """&amp;A1490&amp;""": {"</f>
        <v xml:space="preserve">    "124": {</v>
      </c>
    </row>
    <row r="1491" spans="1:2" x14ac:dyDescent="0.25">
      <c r="A1491">
        <f t="shared" si="75"/>
        <v>124</v>
      </c>
      <c r="B1491" t="e">
        <f>"        ""Groups"": """&amp;VLOOKUP(A1491,TraderCategory!$B$63:$L$546,2,FALSE)&amp;""","</f>
        <v>#N/A</v>
      </c>
    </row>
    <row r="1492" spans="1:2" x14ac:dyDescent="0.25">
      <c r="A1492">
        <f t="shared" si="75"/>
        <v>124</v>
      </c>
      <c r="B1492" t="e">
        <f>"        ""Category"": """&amp;VLOOKUP(A1492,TraderCategory!$B$63:$L$546,3,FALSE)&amp;""","</f>
        <v>#N/A</v>
      </c>
    </row>
    <row r="1493" spans="1:2" x14ac:dyDescent="0.25">
      <c r="A1493">
        <f t="shared" si="75"/>
        <v>124</v>
      </c>
      <c r="B1493" t="e">
        <f>"        ""SubCategory"": """&amp;VLOOKUP(A1493,TraderCategory!$B$63:$L$546,4,FALSE)&amp;""","</f>
        <v>#N/A</v>
      </c>
    </row>
    <row r="1494" spans="1:2" x14ac:dyDescent="0.25">
      <c r="A1494">
        <f t="shared" si="75"/>
        <v>124</v>
      </c>
      <c r="B1494" t="e">
        <f>"        ""Reputation"": "&amp;VLOOKUP(A1494,TraderCategory!$B$63:$L$546,5,FALSE)&amp;","</f>
        <v>#N/A</v>
      </c>
    </row>
    <row r="1495" spans="1:2" x14ac:dyDescent="0.25">
      <c r="A1495">
        <f t="shared" si="75"/>
        <v>124</v>
      </c>
      <c r="B1495" t="e">
        <f>"        ""Restock"": "&amp;VLOOKUP(A1495,TraderCategory!$B$63:$L$546,6,FALSE)&amp;","</f>
        <v>#N/A</v>
      </c>
    </row>
    <row r="1496" spans="1:2" x14ac:dyDescent="0.25">
      <c r="A1496">
        <f t="shared" si="75"/>
        <v>124</v>
      </c>
      <c r="B1496" t="e">
        <f>"        ""RestockCap"": "&amp;VLOOKUP(A1496,TraderCategory!$B$63:$L$546,7,FALSE)&amp;","</f>
        <v>#N/A</v>
      </c>
    </row>
    <row r="1497" spans="1:2" x14ac:dyDescent="0.25">
      <c r="A1497">
        <f t="shared" si="75"/>
        <v>124</v>
      </c>
      <c r="B1497" t="e">
        <f>"        ""StockCap"": "&amp;VLOOKUP(A1497,TraderCategory!$B$63:$L$546,8,FALSE)&amp;","</f>
        <v>#N/A</v>
      </c>
    </row>
    <row r="1498" spans="1:2" x14ac:dyDescent="0.25">
      <c r="A1498">
        <f t="shared" si="75"/>
        <v>124</v>
      </c>
      <c r="B1498" t="e">
        <f>"        ""SellingRatioMin"": "&amp;VLOOKUP(A1498,TraderCategory!$B$63:$L$546,9,FALSE)&amp;","</f>
        <v>#N/A</v>
      </c>
    </row>
    <row r="1499" spans="1:2" x14ac:dyDescent="0.25">
      <c r="A1499">
        <f t="shared" si="75"/>
        <v>124</v>
      </c>
      <c r="B1499" t="e">
        <f>"        ""SellingRatioMax"": "&amp;VLOOKUP(A1499,TraderCategory!$B$63:$L$546,10,FALSE)&amp;","</f>
        <v>#N/A</v>
      </c>
    </row>
    <row r="1500" spans="1:2" x14ac:dyDescent="0.25">
      <c r="A1500">
        <f t="shared" si="75"/>
        <v>124</v>
      </c>
      <c r="B1500" t="e">
        <f>"        ""BuingRatioMin"": "&amp;VLOOKUP(A1500,TraderCategory!$B$63:$L$546,11,FALSE)</f>
        <v>#N/A</v>
      </c>
    </row>
    <row r="1501" spans="1:2" x14ac:dyDescent="0.25">
      <c r="A1501">
        <f t="shared" si="75"/>
        <v>124</v>
      </c>
      <c r="B1501" t="s">
        <v>2755</v>
      </c>
    </row>
    <row r="1502" spans="1:2" x14ac:dyDescent="0.25">
      <c r="A1502">
        <f>A1490+1</f>
        <v>125</v>
      </c>
      <c r="B1502" t="str">
        <f>"    """&amp;A1502&amp;""": {"</f>
        <v xml:space="preserve">    "125": {</v>
      </c>
    </row>
    <row r="1503" spans="1:2" x14ac:dyDescent="0.25">
      <c r="A1503">
        <f t="shared" ref="A1503:A1513" si="76">A1491+1</f>
        <v>125</v>
      </c>
      <c r="B1503" t="e">
        <f>"        ""Groups"": """&amp;VLOOKUP(A1503,TraderCategory!$B$63:$L$546,2,FALSE)&amp;""","</f>
        <v>#N/A</v>
      </c>
    </row>
    <row r="1504" spans="1:2" x14ac:dyDescent="0.25">
      <c r="A1504">
        <f t="shared" si="76"/>
        <v>125</v>
      </c>
      <c r="B1504" t="e">
        <f>"        ""Category"": """&amp;VLOOKUP(A1504,TraderCategory!$B$63:$L$546,3,FALSE)&amp;""","</f>
        <v>#N/A</v>
      </c>
    </row>
    <row r="1505" spans="1:2" x14ac:dyDescent="0.25">
      <c r="A1505">
        <f t="shared" si="76"/>
        <v>125</v>
      </c>
      <c r="B1505" t="e">
        <f>"        ""SubCategory"": """&amp;VLOOKUP(A1505,TraderCategory!$B$63:$L$546,4,FALSE)&amp;""","</f>
        <v>#N/A</v>
      </c>
    </row>
    <row r="1506" spans="1:2" x14ac:dyDescent="0.25">
      <c r="A1506">
        <f t="shared" si="76"/>
        <v>125</v>
      </c>
      <c r="B1506" t="e">
        <f>"        ""Reputation"": "&amp;VLOOKUP(A1506,TraderCategory!$B$63:$L$546,5,FALSE)&amp;","</f>
        <v>#N/A</v>
      </c>
    </row>
    <row r="1507" spans="1:2" x14ac:dyDescent="0.25">
      <c r="A1507">
        <f t="shared" si="76"/>
        <v>125</v>
      </c>
      <c r="B1507" t="e">
        <f>"        ""Restock"": "&amp;VLOOKUP(A1507,TraderCategory!$B$63:$L$546,6,FALSE)&amp;","</f>
        <v>#N/A</v>
      </c>
    </row>
    <row r="1508" spans="1:2" x14ac:dyDescent="0.25">
      <c r="A1508">
        <f t="shared" si="76"/>
        <v>125</v>
      </c>
      <c r="B1508" t="e">
        <f>"        ""RestockCap"": "&amp;VLOOKUP(A1508,TraderCategory!$B$63:$L$546,7,FALSE)&amp;","</f>
        <v>#N/A</v>
      </c>
    </row>
    <row r="1509" spans="1:2" x14ac:dyDescent="0.25">
      <c r="A1509">
        <f t="shared" si="76"/>
        <v>125</v>
      </c>
      <c r="B1509" t="e">
        <f>"        ""StockCap"": "&amp;VLOOKUP(A1509,TraderCategory!$B$63:$L$546,8,FALSE)&amp;","</f>
        <v>#N/A</v>
      </c>
    </row>
    <row r="1510" spans="1:2" x14ac:dyDescent="0.25">
      <c r="A1510">
        <f t="shared" si="76"/>
        <v>125</v>
      </c>
      <c r="B1510" t="e">
        <f>"        ""SellingRatioMin"": "&amp;VLOOKUP(A1510,TraderCategory!$B$63:$L$546,9,FALSE)&amp;","</f>
        <v>#N/A</v>
      </c>
    </row>
    <row r="1511" spans="1:2" x14ac:dyDescent="0.25">
      <c r="A1511">
        <f t="shared" si="76"/>
        <v>125</v>
      </c>
      <c r="B1511" t="e">
        <f>"        ""SellingRatioMax"": "&amp;VLOOKUP(A1511,TraderCategory!$B$63:$L$546,10,FALSE)&amp;","</f>
        <v>#N/A</v>
      </c>
    </row>
    <row r="1512" spans="1:2" x14ac:dyDescent="0.25">
      <c r="A1512">
        <f t="shared" si="76"/>
        <v>125</v>
      </c>
      <c r="B1512" t="e">
        <f>"        ""BuingRatioMin"": "&amp;VLOOKUP(A1512,TraderCategory!$B$63:$L$546,11,FALSE)</f>
        <v>#N/A</v>
      </c>
    </row>
    <row r="1513" spans="1:2" x14ac:dyDescent="0.25">
      <c r="A1513">
        <f t="shared" si="76"/>
        <v>125</v>
      </c>
      <c r="B1513" t="s">
        <v>2755</v>
      </c>
    </row>
    <row r="1514" spans="1:2" x14ac:dyDescent="0.25">
      <c r="A1514">
        <f>A1502+1</f>
        <v>126</v>
      </c>
      <c r="B1514" t="str">
        <f>"    """&amp;A1514&amp;""": {"</f>
        <v xml:space="preserve">    "126": {</v>
      </c>
    </row>
    <row r="1515" spans="1:2" x14ac:dyDescent="0.25">
      <c r="A1515">
        <f t="shared" ref="A1515:A1525" si="77">A1503+1</f>
        <v>126</v>
      </c>
      <c r="B1515" t="e">
        <f>"        ""Groups"": """&amp;VLOOKUP(A1515,TraderCategory!$B$63:$L$546,2,FALSE)&amp;""","</f>
        <v>#N/A</v>
      </c>
    </row>
    <row r="1516" spans="1:2" x14ac:dyDescent="0.25">
      <c r="A1516">
        <f t="shared" si="77"/>
        <v>126</v>
      </c>
      <c r="B1516" t="e">
        <f>"        ""Category"": """&amp;VLOOKUP(A1516,TraderCategory!$B$63:$L$546,3,FALSE)&amp;""","</f>
        <v>#N/A</v>
      </c>
    </row>
    <row r="1517" spans="1:2" x14ac:dyDescent="0.25">
      <c r="A1517">
        <f t="shared" si="77"/>
        <v>126</v>
      </c>
      <c r="B1517" t="e">
        <f>"        ""SubCategory"": """&amp;VLOOKUP(A1517,TraderCategory!$B$63:$L$546,4,FALSE)&amp;""","</f>
        <v>#N/A</v>
      </c>
    </row>
    <row r="1518" spans="1:2" x14ac:dyDescent="0.25">
      <c r="A1518">
        <f t="shared" si="77"/>
        <v>126</v>
      </c>
      <c r="B1518" t="e">
        <f>"        ""Reputation"": "&amp;VLOOKUP(A1518,TraderCategory!$B$63:$L$546,5,FALSE)&amp;","</f>
        <v>#N/A</v>
      </c>
    </row>
    <row r="1519" spans="1:2" x14ac:dyDescent="0.25">
      <c r="A1519">
        <f t="shared" si="77"/>
        <v>126</v>
      </c>
      <c r="B1519" t="e">
        <f>"        ""Restock"": "&amp;VLOOKUP(A1519,TraderCategory!$B$63:$L$546,6,FALSE)&amp;","</f>
        <v>#N/A</v>
      </c>
    </row>
    <row r="1520" spans="1:2" x14ac:dyDescent="0.25">
      <c r="A1520">
        <f t="shared" si="77"/>
        <v>126</v>
      </c>
      <c r="B1520" t="e">
        <f>"        ""RestockCap"": "&amp;VLOOKUP(A1520,TraderCategory!$B$63:$L$546,7,FALSE)&amp;","</f>
        <v>#N/A</v>
      </c>
    </row>
    <row r="1521" spans="1:2" x14ac:dyDescent="0.25">
      <c r="A1521">
        <f t="shared" si="77"/>
        <v>126</v>
      </c>
      <c r="B1521" t="e">
        <f>"        ""StockCap"": "&amp;VLOOKUP(A1521,TraderCategory!$B$63:$L$546,8,FALSE)&amp;","</f>
        <v>#N/A</v>
      </c>
    </row>
    <row r="1522" spans="1:2" x14ac:dyDescent="0.25">
      <c r="A1522">
        <f t="shared" si="77"/>
        <v>126</v>
      </c>
      <c r="B1522" t="e">
        <f>"        ""SellingRatioMin"": "&amp;VLOOKUP(A1522,TraderCategory!$B$63:$L$546,9,FALSE)&amp;","</f>
        <v>#N/A</v>
      </c>
    </row>
    <row r="1523" spans="1:2" x14ac:dyDescent="0.25">
      <c r="A1523">
        <f t="shared" si="77"/>
        <v>126</v>
      </c>
      <c r="B1523" t="e">
        <f>"        ""SellingRatioMax"": "&amp;VLOOKUP(A1523,TraderCategory!$B$63:$L$546,10,FALSE)&amp;","</f>
        <v>#N/A</v>
      </c>
    </row>
    <row r="1524" spans="1:2" x14ac:dyDescent="0.25">
      <c r="A1524">
        <f t="shared" si="77"/>
        <v>126</v>
      </c>
      <c r="B1524" t="e">
        <f>"        ""BuingRatioMin"": "&amp;VLOOKUP(A1524,TraderCategory!$B$63:$L$546,11,FALSE)</f>
        <v>#N/A</v>
      </c>
    </row>
    <row r="1525" spans="1:2" x14ac:dyDescent="0.25">
      <c r="A1525">
        <f t="shared" si="77"/>
        <v>126</v>
      </c>
      <c r="B1525" t="s">
        <v>2755</v>
      </c>
    </row>
    <row r="1526" spans="1:2" x14ac:dyDescent="0.25">
      <c r="A1526">
        <f>A1514+1</f>
        <v>127</v>
      </c>
      <c r="B1526" t="str">
        <f>"    """&amp;A1526&amp;""": {"</f>
        <v xml:space="preserve">    "127": {</v>
      </c>
    </row>
    <row r="1527" spans="1:2" x14ac:dyDescent="0.25">
      <c r="A1527">
        <f t="shared" ref="A1527:A1537" si="78">A1515+1</f>
        <v>127</v>
      </c>
      <c r="B1527" t="e">
        <f>"        ""Groups"": """&amp;VLOOKUP(A1527,TraderCategory!$B$63:$L$546,2,FALSE)&amp;""","</f>
        <v>#N/A</v>
      </c>
    </row>
    <row r="1528" spans="1:2" x14ac:dyDescent="0.25">
      <c r="A1528">
        <f t="shared" si="78"/>
        <v>127</v>
      </c>
      <c r="B1528" t="e">
        <f>"        ""Category"": """&amp;VLOOKUP(A1528,TraderCategory!$B$63:$L$546,3,FALSE)&amp;""","</f>
        <v>#N/A</v>
      </c>
    </row>
    <row r="1529" spans="1:2" x14ac:dyDescent="0.25">
      <c r="A1529">
        <f t="shared" si="78"/>
        <v>127</v>
      </c>
      <c r="B1529" t="e">
        <f>"        ""SubCategory"": """&amp;VLOOKUP(A1529,TraderCategory!$B$63:$L$546,4,FALSE)&amp;""","</f>
        <v>#N/A</v>
      </c>
    </row>
    <row r="1530" spans="1:2" x14ac:dyDescent="0.25">
      <c r="A1530">
        <f t="shared" si="78"/>
        <v>127</v>
      </c>
      <c r="B1530" t="e">
        <f>"        ""Reputation"": "&amp;VLOOKUP(A1530,TraderCategory!$B$63:$L$546,5,FALSE)&amp;","</f>
        <v>#N/A</v>
      </c>
    </row>
    <row r="1531" spans="1:2" x14ac:dyDescent="0.25">
      <c r="A1531">
        <f t="shared" si="78"/>
        <v>127</v>
      </c>
      <c r="B1531" t="e">
        <f>"        ""Restock"": "&amp;VLOOKUP(A1531,TraderCategory!$B$63:$L$546,6,FALSE)&amp;","</f>
        <v>#N/A</v>
      </c>
    </row>
    <row r="1532" spans="1:2" x14ac:dyDescent="0.25">
      <c r="A1532">
        <f t="shared" si="78"/>
        <v>127</v>
      </c>
      <c r="B1532" t="e">
        <f>"        ""RestockCap"": "&amp;VLOOKUP(A1532,TraderCategory!$B$63:$L$546,7,FALSE)&amp;","</f>
        <v>#N/A</v>
      </c>
    </row>
    <row r="1533" spans="1:2" x14ac:dyDescent="0.25">
      <c r="A1533">
        <f t="shared" si="78"/>
        <v>127</v>
      </c>
      <c r="B1533" t="e">
        <f>"        ""StockCap"": "&amp;VLOOKUP(A1533,TraderCategory!$B$63:$L$546,8,FALSE)&amp;","</f>
        <v>#N/A</v>
      </c>
    </row>
    <row r="1534" spans="1:2" x14ac:dyDescent="0.25">
      <c r="A1534">
        <f t="shared" si="78"/>
        <v>127</v>
      </c>
      <c r="B1534" t="e">
        <f>"        ""SellingRatioMin"": "&amp;VLOOKUP(A1534,TraderCategory!$B$63:$L$546,9,FALSE)&amp;","</f>
        <v>#N/A</v>
      </c>
    </row>
    <row r="1535" spans="1:2" x14ac:dyDescent="0.25">
      <c r="A1535">
        <f t="shared" si="78"/>
        <v>127</v>
      </c>
      <c r="B1535" t="e">
        <f>"        ""SellingRatioMax"": "&amp;VLOOKUP(A1535,TraderCategory!$B$63:$L$546,10,FALSE)&amp;","</f>
        <v>#N/A</v>
      </c>
    </row>
    <row r="1536" spans="1:2" x14ac:dyDescent="0.25">
      <c r="A1536">
        <f t="shared" si="78"/>
        <v>127</v>
      </c>
      <c r="B1536" t="e">
        <f>"        ""BuingRatioMin"": "&amp;VLOOKUP(A1536,TraderCategory!$B$63:$L$546,11,FALSE)</f>
        <v>#N/A</v>
      </c>
    </row>
    <row r="1537" spans="1:2" x14ac:dyDescent="0.25">
      <c r="A1537">
        <f t="shared" si="78"/>
        <v>127</v>
      </c>
      <c r="B1537" t="s">
        <v>2755</v>
      </c>
    </row>
    <row r="1538" spans="1:2" x14ac:dyDescent="0.25">
      <c r="A1538">
        <f>A1526+1</f>
        <v>128</v>
      </c>
      <c r="B1538" t="str">
        <f>"    """&amp;A1538&amp;""": {"</f>
        <v xml:space="preserve">    "128": {</v>
      </c>
    </row>
    <row r="1539" spans="1:2" x14ac:dyDescent="0.25">
      <c r="A1539">
        <f t="shared" ref="A1539:A1549" si="79">A1527+1</f>
        <v>128</v>
      </c>
      <c r="B1539" t="e">
        <f>"        ""Groups"": """&amp;VLOOKUP(A1539,TraderCategory!$B$63:$L$546,2,FALSE)&amp;""","</f>
        <v>#N/A</v>
      </c>
    </row>
    <row r="1540" spans="1:2" x14ac:dyDescent="0.25">
      <c r="A1540">
        <f t="shared" si="79"/>
        <v>128</v>
      </c>
      <c r="B1540" t="e">
        <f>"        ""Category"": """&amp;VLOOKUP(A1540,TraderCategory!$B$63:$L$546,3,FALSE)&amp;""","</f>
        <v>#N/A</v>
      </c>
    </row>
    <row r="1541" spans="1:2" x14ac:dyDescent="0.25">
      <c r="A1541">
        <f t="shared" si="79"/>
        <v>128</v>
      </c>
      <c r="B1541" t="e">
        <f>"        ""SubCategory"": """&amp;VLOOKUP(A1541,TraderCategory!$B$63:$L$546,4,FALSE)&amp;""","</f>
        <v>#N/A</v>
      </c>
    </row>
    <row r="1542" spans="1:2" x14ac:dyDescent="0.25">
      <c r="A1542">
        <f t="shared" si="79"/>
        <v>128</v>
      </c>
      <c r="B1542" t="e">
        <f>"        ""Reputation"": "&amp;VLOOKUP(A1542,TraderCategory!$B$63:$L$546,5,FALSE)&amp;","</f>
        <v>#N/A</v>
      </c>
    </row>
    <row r="1543" spans="1:2" x14ac:dyDescent="0.25">
      <c r="A1543">
        <f t="shared" si="79"/>
        <v>128</v>
      </c>
      <c r="B1543" t="e">
        <f>"        ""Restock"": "&amp;VLOOKUP(A1543,TraderCategory!$B$63:$L$546,6,FALSE)&amp;","</f>
        <v>#N/A</v>
      </c>
    </row>
    <row r="1544" spans="1:2" x14ac:dyDescent="0.25">
      <c r="A1544">
        <f t="shared" si="79"/>
        <v>128</v>
      </c>
      <c r="B1544" t="e">
        <f>"        ""RestockCap"": "&amp;VLOOKUP(A1544,TraderCategory!$B$63:$L$546,7,FALSE)&amp;","</f>
        <v>#N/A</v>
      </c>
    </row>
    <row r="1545" spans="1:2" x14ac:dyDescent="0.25">
      <c r="A1545">
        <f t="shared" si="79"/>
        <v>128</v>
      </c>
      <c r="B1545" t="e">
        <f>"        ""StockCap"": "&amp;VLOOKUP(A1545,TraderCategory!$B$63:$L$546,8,FALSE)&amp;","</f>
        <v>#N/A</v>
      </c>
    </row>
    <row r="1546" spans="1:2" x14ac:dyDescent="0.25">
      <c r="A1546">
        <f t="shared" si="79"/>
        <v>128</v>
      </c>
      <c r="B1546" t="e">
        <f>"        ""SellingRatioMin"": "&amp;VLOOKUP(A1546,TraderCategory!$B$63:$L$546,9,FALSE)&amp;","</f>
        <v>#N/A</v>
      </c>
    </row>
    <row r="1547" spans="1:2" x14ac:dyDescent="0.25">
      <c r="A1547">
        <f t="shared" si="79"/>
        <v>128</v>
      </c>
      <c r="B1547" t="e">
        <f>"        ""SellingRatioMax"": "&amp;VLOOKUP(A1547,TraderCategory!$B$63:$L$546,10,FALSE)&amp;","</f>
        <v>#N/A</v>
      </c>
    </row>
    <row r="1548" spans="1:2" x14ac:dyDescent="0.25">
      <c r="A1548">
        <f t="shared" si="79"/>
        <v>128</v>
      </c>
      <c r="B1548" t="e">
        <f>"        ""BuingRatioMin"": "&amp;VLOOKUP(A1548,TraderCategory!$B$63:$L$546,11,FALSE)</f>
        <v>#N/A</v>
      </c>
    </row>
    <row r="1549" spans="1:2" x14ac:dyDescent="0.25">
      <c r="A1549">
        <f t="shared" si="79"/>
        <v>128</v>
      </c>
      <c r="B1549" t="s">
        <v>2755</v>
      </c>
    </row>
    <row r="1550" spans="1:2" x14ac:dyDescent="0.25">
      <c r="A1550">
        <f>A1538+1</f>
        <v>129</v>
      </c>
      <c r="B1550" t="str">
        <f>"    """&amp;A1550&amp;""": {"</f>
        <v xml:space="preserve">    "129": {</v>
      </c>
    </row>
    <row r="1551" spans="1:2" x14ac:dyDescent="0.25">
      <c r="A1551">
        <f t="shared" ref="A1551:A1561" si="80">A1539+1</f>
        <v>129</v>
      </c>
      <c r="B1551" t="e">
        <f>"        ""Groups"": """&amp;VLOOKUP(A1551,TraderCategory!$B$63:$L$546,2,FALSE)&amp;""","</f>
        <v>#N/A</v>
      </c>
    </row>
    <row r="1552" spans="1:2" x14ac:dyDescent="0.25">
      <c r="A1552">
        <f t="shared" si="80"/>
        <v>129</v>
      </c>
      <c r="B1552" t="e">
        <f>"        ""Category"": """&amp;VLOOKUP(A1552,TraderCategory!$B$63:$L$546,3,FALSE)&amp;""","</f>
        <v>#N/A</v>
      </c>
    </row>
    <row r="1553" spans="1:2" x14ac:dyDescent="0.25">
      <c r="A1553">
        <f t="shared" si="80"/>
        <v>129</v>
      </c>
      <c r="B1553" t="e">
        <f>"        ""SubCategory"": """&amp;VLOOKUP(A1553,TraderCategory!$B$63:$L$546,4,FALSE)&amp;""","</f>
        <v>#N/A</v>
      </c>
    </row>
    <row r="1554" spans="1:2" x14ac:dyDescent="0.25">
      <c r="A1554">
        <f t="shared" si="80"/>
        <v>129</v>
      </c>
      <c r="B1554" t="e">
        <f>"        ""Reputation"": "&amp;VLOOKUP(A1554,TraderCategory!$B$63:$L$546,5,FALSE)&amp;","</f>
        <v>#N/A</v>
      </c>
    </row>
    <row r="1555" spans="1:2" x14ac:dyDescent="0.25">
      <c r="A1555">
        <f t="shared" si="80"/>
        <v>129</v>
      </c>
      <c r="B1555" t="e">
        <f>"        ""Restock"": "&amp;VLOOKUP(A1555,TraderCategory!$B$63:$L$546,6,FALSE)&amp;","</f>
        <v>#N/A</v>
      </c>
    </row>
    <row r="1556" spans="1:2" x14ac:dyDescent="0.25">
      <c r="A1556">
        <f t="shared" si="80"/>
        <v>129</v>
      </c>
      <c r="B1556" t="e">
        <f>"        ""RestockCap"": "&amp;VLOOKUP(A1556,TraderCategory!$B$63:$L$546,7,FALSE)&amp;","</f>
        <v>#N/A</v>
      </c>
    </row>
    <row r="1557" spans="1:2" x14ac:dyDescent="0.25">
      <c r="A1557">
        <f t="shared" si="80"/>
        <v>129</v>
      </c>
      <c r="B1557" t="e">
        <f>"        ""StockCap"": "&amp;VLOOKUP(A1557,TraderCategory!$B$63:$L$546,8,FALSE)&amp;","</f>
        <v>#N/A</v>
      </c>
    </row>
    <row r="1558" spans="1:2" x14ac:dyDescent="0.25">
      <c r="A1558">
        <f t="shared" si="80"/>
        <v>129</v>
      </c>
      <c r="B1558" t="e">
        <f>"        ""SellingRatioMin"": "&amp;VLOOKUP(A1558,TraderCategory!$B$63:$L$546,9,FALSE)&amp;","</f>
        <v>#N/A</v>
      </c>
    </row>
    <row r="1559" spans="1:2" x14ac:dyDescent="0.25">
      <c r="A1559">
        <f t="shared" si="80"/>
        <v>129</v>
      </c>
      <c r="B1559" t="e">
        <f>"        ""SellingRatioMax"": "&amp;VLOOKUP(A1559,TraderCategory!$B$63:$L$546,10,FALSE)&amp;","</f>
        <v>#N/A</v>
      </c>
    </row>
    <row r="1560" spans="1:2" x14ac:dyDescent="0.25">
      <c r="A1560">
        <f t="shared" si="80"/>
        <v>129</v>
      </c>
      <c r="B1560" t="e">
        <f>"        ""BuingRatioMin"": "&amp;VLOOKUP(A1560,TraderCategory!$B$63:$L$546,11,FALSE)</f>
        <v>#N/A</v>
      </c>
    </row>
    <row r="1561" spans="1:2" x14ac:dyDescent="0.25">
      <c r="A1561">
        <f t="shared" si="80"/>
        <v>129</v>
      </c>
      <c r="B1561" t="s">
        <v>2755</v>
      </c>
    </row>
    <row r="1562" spans="1:2" x14ac:dyDescent="0.25">
      <c r="A1562">
        <f>A1550+1</f>
        <v>130</v>
      </c>
      <c r="B1562" t="str">
        <f>"    """&amp;A1562&amp;""": {"</f>
        <v xml:space="preserve">    "130": {</v>
      </c>
    </row>
    <row r="1563" spans="1:2" x14ac:dyDescent="0.25">
      <c r="A1563">
        <f t="shared" ref="A1563:A1621" si="81">A1551+1</f>
        <v>130</v>
      </c>
      <c r="B1563" t="e">
        <f>"        ""Groups"": """&amp;VLOOKUP(A1563,TraderCategory!$B$63:$L$546,2,FALSE)&amp;""","</f>
        <v>#N/A</v>
      </c>
    </row>
    <row r="1564" spans="1:2" x14ac:dyDescent="0.25">
      <c r="A1564">
        <f t="shared" si="81"/>
        <v>130</v>
      </c>
      <c r="B1564" t="e">
        <f>"        ""Category"": """&amp;VLOOKUP(A1564,TraderCategory!$B$63:$L$546,3,FALSE)&amp;""","</f>
        <v>#N/A</v>
      </c>
    </row>
    <row r="1565" spans="1:2" x14ac:dyDescent="0.25">
      <c r="A1565">
        <f t="shared" si="81"/>
        <v>130</v>
      </c>
      <c r="B1565" t="e">
        <f>"        ""SubCategory"": """&amp;VLOOKUP(A1565,TraderCategory!$B$63:$L$546,4,FALSE)&amp;""","</f>
        <v>#N/A</v>
      </c>
    </row>
    <row r="1566" spans="1:2" x14ac:dyDescent="0.25">
      <c r="A1566">
        <f t="shared" si="81"/>
        <v>130</v>
      </c>
      <c r="B1566" t="e">
        <f>"        ""Reputation"": "&amp;VLOOKUP(A1566,TraderCategory!$B$63:$L$546,5,FALSE)&amp;","</f>
        <v>#N/A</v>
      </c>
    </row>
    <row r="1567" spans="1:2" x14ac:dyDescent="0.25">
      <c r="A1567">
        <f t="shared" si="81"/>
        <v>130</v>
      </c>
      <c r="B1567" t="e">
        <f>"        ""Restock"": "&amp;VLOOKUP(A1567,TraderCategory!$B$63:$L$546,6,FALSE)&amp;","</f>
        <v>#N/A</v>
      </c>
    </row>
    <row r="1568" spans="1:2" x14ac:dyDescent="0.25">
      <c r="A1568">
        <f t="shared" si="81"/>
        <v>130</v>
      </c>
      <c r="B1568" t="e">
        <f>"        ""RestockCap"": "&amp;VLOOKUP(A1568,TraderCategory!$B$63:$L$546,7,FALSE)&amp;","</f>
        <v>#N/A</v>
      </c>
    </row>
    <row r="1569" spans="1:2" x14ac:dyDescent="0.25">
      <c r="A1569">
        <f t="shared" si="81"/>
        <v>130</v>
      </c>
      <c r="B1569" t="e">
        <f>"        ""StockCap"": "&amp;VLOOKUP(A1569,TraderCategory!$B$63:$L$546,8,FALSE)&amp;","</f>
        <v>#N/A</v>
      </c>
    </row>
    <row r="1570" spans="1:2" x14ac:dyDescent="0.25">
      <c r="A1570">
        <f t="shared" si="81"/>
        <v>130</v>
      </c>
      <c r="B1570" t="e">
        <f>"        ""SellingRatioMin"": "&amp;VLOOKUP(A1570,TraderCategory!$B$63:$L$546,9,FALSE)&amp;","</f>
        <v>#N/A</v>
      </c>
    </row>
    <row r="1571" spans="1:2" x14ac:dyDescent="0.25">
      <c r="A1571">
        <f t="shared" si="81"/>
        <v>130</v>
      </c>
      <c r="B1571" t="e">
        <f>"        ""SellingRatioMax"": "&amp;VLOOKUP(A1571,TraderCategory!$B$63:$L$546,10,FALSE)&amp;","</f>
        <v>#N/A</v>
      </c>
    </row>
    <row r="1572" spans="1:2" x14ac:dyDescent="0.25">
      <c r="A1572">
        <f t="shared" si="81"/>
        <v>130</v>
      </c>
      <c r="B1572" t="e">
        <f>"        ""BuingRatioMin"": "&amp;VLOOKUP(A1572,TraderCategory!$B$63:$L$546,11,FALSE)</f>
        <v>#N/A</v>
      </c>
    </row>
    <row r="1573" spans="1:2" x14ac:dyDescent="0.25">
      <c r="A1573">
        <f t="shared" si="81"/>
        <v>130</v>
      </c>
      <c r="B1573" t="s">
        <v>2755</v>
      </c>
    </row>
    <row r="1574" spans="1:2" x14ac:dyDescent="0.25">
      <c r="A1574">
        <f>A1562+1</f>
        <v>131</v>
      </c>
      <c r="B1574" t="str">
        <f>"    """&amp;A1574&amp;""": {"</f>
        <v xml:space="preserve">    "131": {</v>
      </c>
    </row>
    <row r="1575" spans="1:2" x14ac:dyDescent="0.25">
      <c r="A1575">
        <f t="shared" si="81"/>
        <v>131</v>
      </c>
      <c r="B1575" t="e">
        <f>"        ""Groups"": """&amp;VLOOKUP(A1575,TraderCategory!$B$63:$L$546,2,FALSE)&amp;""","</f>
        <v>#N/A</v>
      </c>
    </row>
    <row r="1576" spans="1:2" x14ac:dyDescent="0.25">
      <c r="A1576">
        <f t="shared" si="81"/>
        <v>131</v>
      </c>
      <c r="B1576" t="e">
        <f>"        ""Category"": """&amp;VLOOKUP(A1576,TraderCategory!$B$63:$L$546,3,FALSE)&amp;""","</f>
        <v>#N/A</v>
      </c>
    </row>
    <row r="1577" spans="1:2" x14ac:dyDescent="0.25">
      <c r="A1577">
        <f t="shared" si="81"/>
        <v>131</v>
      </c>
      <c r="B1577" t="e">
        <f>"        ""SubCategory"": """&amp;VLOOKUP(A1577,TraderCategory!$B$63:$L$546,4,FALSE)&amp;""","</f>
        <v>#N/A</v>
      </c>
    </row>
    <row r="1578" spans="1:2" x14ac:dyDescent="0.25">
      <c r="A1578">
        <f t="shared" si="81"/>
        <v>131</v>
      </c>
      <c r="B1578" t="e">
        <f>"        ""Reputation"": "&amp;VLOOKUP(A1578,TraderCategory!$B$63:$L$546,5,FALSE)&amp;","</f>
        <v>#N/A</v>
      </c>
    </row>
    <row r="1579" spans="1:2" x14ac:dyDescent="0.25">
      <c r="A1579">
        <f t="shared" si="81"/>
        <v>131</v>
      </c>
      <c r="B1579" t="e">
        <f>"        ""Restock"": "&amp;VLOOKUP(A1579,TraderCategory!$B$63:$L$546,6,FALSE)&amp;","</f>
        <v>#N/A</v>
      </c>
    </row>
    <row r="1580" spans="1:2" x14ac:dyDescent="0.25">
      <c r="A1580">
        <f t="shared" si="81"/>
        <v>131</v>
      </c>
      <c r="B1580" t="e">
        <f>"        ""RestockCap"": "&amp;VLOOKUP(A1580,TraderCategory!$B$63:$L$546,7,FALSE)&amp;","</f>
        <v>#N/A</v>
      </c>
    </row>
    <row r="1581" spans="1:2" x14ac:dyDescent="0.25">
      <c r="A1581">
        <f t="shared" si="81"/>
        <v>131</v>
      </c>
      <c r="B1581" t="e">
        <f>"        ""StockCap"": "&amp;VLOOKUP(A1581,TraderCategory!$B$63:$L$546,8,FALSE)&amp;","</f>
        <v>#N/A</v>
      </c>
    </row>
    <row r="1582" spans="1:2" x14ac:dyDescent="0.25">
      <c r="A1582">
        <f t="shared" si="81"/>
        <v>131</v>
      </c>
      <c r="B1582" t="e">
        <f>"        ""SellingRatioMin"": "&amp;VLOOKUP(A1582,TraderCategory!$B$63:$L$546,9,FALSE)&amp;","</f>
        <v>#N/A</v>
      </c>
    </row>
    <row r="1583" spans="1:2" x14ac:dyDescent="0.25">
      <c r="A1583">
        <f t="shared" si="81"/>
        <v>131</v>
      </c>
      <c r="B1583" t="e">
        <f>"        ""SellingRatioMax"": "&amp;VLOOKUP(A1583,TraderCategory!$B$63:$L$546,10,FALSE)&amp;","</f>
        <v>#N/A</v>
      </c>
    </row>
    <row r="1584" spans="1:2" x14ac:dyDescent="0.25">
      <c r="A1584">
        <f t="shared" si="81"/>
        <v>131</v>
      </c>
      <c r="B1584" t="e">
        <f>"        ""BuingRatioMin"": "&amp;VLOOKUP(A1584,TraderCategory!$B$63:$L$546,11,FALSE)</f>
        <v>#N/A</v>
      </c>
    </row>
    <row r="1585" spans="1:2" x14ac:dyDescent="0.25">
      <c r="A1585">
        <f t="shared" si="81"/>
        <v>131</v>
      </c>
      <c r="B1585" t="s">
        <v>2755</v>
      </c>
    </row>
    <row r="1586" spans="1:2" x14ac:dyDescent="0.25">
      <c r="A1586">
        <f>A1574+1</f>
        <v>132</v>
      </c>
      <c r="B1586" t="str">
        <f>"    """&amp;A1586&amp;""": {"</f>
        <v xml:space="preserve">    "132": {</v>
      </c>
    </row>
    <row r="1587" spans="1:2" x14ac:dyDescent="0.25">
      <c r="A1587">
        <f t="shared" si="81"/>
        <v>132</v>
      </c>
      <c r="B1587" t="e">
        <f>"        ""Groups"": """&amp;VLOOKUP(A1587,TraderCategory!$B$63:$L$546,2,FALSE)&amp;""","</f>
        <v>#N/A</v>
      </c>
    </row>
    <row r="1588" spans="1:2" x14ac:dyDescent="0.25">
      <c r="A1588">
        <f t="shared" si="81"/>
        <v>132</v>
      </c>
      <c r="B1588" t="e">
        <f>"        ""Category"": """&amp;VLOOKUP(A1588,TraderCategory!$B$63:$L$546,3,FALSE)&amp;""","</f>
        <v>#N/A</v>
      </c>
    </row>
    <row r="1589" spans="1:2" x14ac:dyDescent="0.25">
      <c r="A1589">
        <f t="shared" si="81"/>
        <v>132</v>
      </c>
      <c r="B1589" t="e">
        <f>"        ""SubCategory"": """&amp;VLOOKUP(A1589,TraderCategory!$B$63:$L$546,4,FALSE)&amp;""","</f>
        <v>#N/A</v>
      </c>
    </row>
    <row r="1590" spans="1:2" x14ac:dyDescent="0.25">
      <c r="A1590">
        <f t="shared" si="81"/>
        <v>132</v>
      </c>
      <c r="B1590" t="e">
        <f>"        ""Reputation"": "&amp;VLOOKUP(A1590,TraderCategory!$B$63:$L$546,5,FALSE)&amp;","</f>
        <v>#N/A</v>
      </c>
    </row>
    <row r="1591" spans="1:2" x14ac:dyDescent="0.25">
      <c r="A1591">
        <f t="shared" si="81"/>
        <v>132</v>
      </c>
      <c r="B1591" t="e">
        <f>"        ""Restock"": "&amp;VLOOKUP(A1591,TraderCategory!$B$63:$L$546,6,FALSE)&amp;","</f>
        <v>#N/A</v>
      </c>
    </row>
    <row r="1592" spans="1:2" x14ac:dyDescent="0.25">
      <c r="A1592">
        <f t="shared" si="81"/>
        <v>132</v>
      </c>
      <c r="B1592" t="e">
        <f>"        ""RestockCap"": "&amp;VLOOKUP(A1592,TraderCategory!$B$63:$L$546,7,FALSE)&amp;","</f>
        <v>#N/A</v>
      </c>
    </row>
    <row r="1593" spans="1:2" x14ac:dyDescent="0.25">
      <c r="A1593">
        <f t="shared" si="81"/>
        <v>132</v>
      </c>
      <c r="B1593" t="e">
        <f>"        ""StockCap"": "&amp;VLOOKUP(A1593,TraderCategory!$B$63:$L$546,8,FALSE)&amp;","</f>
        <v>#N/A</v>
      </c>
    </row>
    <row r="1594" spans="1:2" x14ac:dyDescent="0.25">
      <c r="A1594">
        <f t="shared" si="81"/>
        <v>132</v>
      </c>
      <c r="B1594" t="e">
        <f>"        ""SellingRatioMin"": "&amp;VLOOKUP(A1594,TraderCategory!$B$63:$L$546,9,FALSE)&amp;","</f>
        <v>#N/A</v>
      </c>
    </row>
    <row r="1595" spans="1:2" x14ac:dyDescent="0.25">
      <c r="A1595">
        <f t="shared" si="81"/>
        <v>132</v>
      </c>
      <c r="B1595" t="e">
        <f>"        ""SellingRatioMax"": "&amp;VLOOKUP(A1595,TraderCategory!$B$63:$L$546,10,FALSE)&amp;","</f>
        <v>#N/A</v>
      </c>
    </row>
    <row r="1596" spans="1:2" x14ac:dyDescent="0.25">
      <c r="A1596">
        <f t="shared" si="81"/>
        <v>132</v>
      </c>
      <c r="B1596" t="e">
        <f>"        ""BuingRatioMin"": "&amp;VLOOKUP(A1596,TraderCategory!$B$63:$L$546,11,FALSE)</f>
        <v>#N/A</v>
      </c>
    </row>
    <row r="1597" spans="1:2" x14ac:dyDescent="0.25">
      <c r="A1597">
        <f t="shared" si="81"/>
        <v>132</v>
      </c>
      <c r="B1597" t="s">
        <v>2755</v>
      </c>
    </row>
    <row r="1598" spans="1:2" x14ac:dyDescent="0.25">
      <c r="A1598">
        <f>A1586+1</f>
        <v>133</v>
      </c>
      <c r="B1598" t="str">
        <f>"    """&amp;A1598&amp;""": {"</f>
        <v xml:space="preserve">    "133": {</v>
      </c>
    </row>
    <row r="1599" spans="1:2" x14ac:dyDescent="0.25">
      <c r="A1599">
        <f t="shared" si="81"/>
        <v>133</v>
      </c>
      <c r="B1599" t="e">
        <f>"        ""Groups"": """&amp;VLOOKUP(A1599,TraderCategory!$B$63:$L$546,2,FALSE)&amp;""","</f>
        <v>#N/A</v>
      </c>
    </row>
    <row r="1600" spans="1:2" x14ac:dyDescent="0.25">
      <c r="A1600">
        <f t="shared" si="81"/>
        <v>133</v>
      </c>
      <c r="B1600" t="e">
        <f>"        ""Category"": """&amp;VLOOKUP(A1600,TraderCategory!$B$63:$L$546,3,FALSE)&amp;""","</f>
        <v>#N/A</v>
      </c>
    </row>
    <row r="1601" spans="1:2" x14ac:dyDescent="0.25">
      <c r="A1601">
        <f t="shared" si="81"/>
        <v>133</v>
      </c>
      <c r="B1601" t="e">
        <f>"        ""SubCategory"": """&amp;VLOOKUP(A1601,TraderCategory!$B$63:$L$546,4,FALSE)&amp;""","</f>
        <v>#N/A</v>
      </c>
    </row>
    <row r="1602" spans="1:2" x14ac:dyDescent="0.25">
      <c r="A1602">
        <f t="shared" si="81"/>
        <v>133</v>
      </c>
      <c r="B1602" t="e">
        <f>"        ""Reputation"": "&amp;VLOOKUP(A1602,TraderCategory!$B$63:$L$546,5,FALSE)&amp;","</f>
        <v>#N/A</v>
      </c>
    </row>
    <row r="1603" spans="1:2" x14ac:dyDescent="0.25">
      <c r="A1603">
        <f t="shared" si="81"/>
        <v>133</v>
      </c>
      <c r="B1603" t="e">
        <f>"        ""Restock"": "&amp;VLOOKUP(A1603,TraderCategory!$B$63:$L$546,6,FALSE)&amp;","</f>
        <v>#N/A</v>
      </c>
    </row>
    <row r="1604" spans="1:2" x14ac:dyDescent="0.25">
      <c r="A1604">
        <f t="shared" si="81"/>
        <v>133</v>
      </c>
      <c r="B1604" t="e">
        <f>"        ""RestockCap"": "&amp;VLOOKUP(A1604,TraderCategory!$B$63:$L$546,7,FALSE)&amp;","</f>
        <v>#N/A</v>
      </c>
    </row>
    <row r="1605" spans="1:2" x14ac:dyDescent="0.25">
      <c r="A1605">
        <f t="shared" si="81"/>
        <v>133</v>
      </c>
      <c r="B1605" t="e">
        <f>"        ""StockCap"": "&amp;VLOOKUP(A1605,TraderCategory!$B$63:$L$546,8,FALSE)&amp;","</f>
        <v>#N/A</v>
      </c>
    </row>
    <row r="1606" spans="1:2" x14ac:dyDescent="0.25">
      <c r="A1606">
        <f t="shared" si="81"/>
        <v>133</v>
      </c>
      <c r="B1606" t="e">
        <f>"        ""SellingRatioMin"": "&amp;VLOOKUP(A1606,TraderCategory!$B$63:$L$546,9,FALSE)&amp;","</f>
        <v>#N/A</v>
      </c>
    </row>
    <row r="1607" spans="1:2" x14ac:dyDescent="0.25">
      <c r="A1607">
        <f t="shared" si="81"/>
        <v>133</v>
      </c>
      <c r="B1607" t="e">
        <f>"        ""SellingRatioMax"": "&amp;VLOOKUP(A1607,TraderCategory!$B$63:$L$546,10,FALSE)&amp;","</f>
        <v>#N/A</v>
      </c>
    </row>
    <row r="1608" spans="1:2" x14ac:dyDescent="0.25">
      <c r="A1608">
        <f t="shared" si="81"/>
        <v>133</v>
      </c>
      <c r="B1608" t="e">
        <f>"        ""BuingRatioMin"": "&amp;VLOOKUP(A1608,TraderCategory!$B$63:$L$546,11,FALSE)</f>
        <v>#N/A</v>
      </c>
    </row>
    <row r="1609" spans="1:2" x14ac:dyDescent="0.25">
      <c r="A1609">
        <f t="shared" si="81"/>
        <v>133</v>
      </c>
      <c r="B1609" t="s">
        <v>2755</v>
      </c>
    </row>
    <row r="1610" spans="1:2" x14ac:dyDescent="0.25">
      <c r="A1610">
        <f>A1598+1</f>
        <v>134</v>
      </c>
      <c r="B1610" t="str">
        <f>"    """&amp;A1610&amp;""": {"</f>
        <v xml:space="preserve">    "134": {</v>
      </c>
    </row>
    <row r="1611" spans="1:2" x14ac:dyDescent="0.25">
      <c r="A1611">
        <f t="shared" si="81"/>
        <v>134</v>
      </c>
      <c r="B1611" t="e">
        <f>"        ""Groups"": """&amp;VLOOKUP(A1611,TraderCategory!$B$63:$L$546,2,FALSE)&amp;""","</f>
        <v>#N/A</v>
      </c>
    </row>
    <row r="1612" spans="1:2" x14ac:dyDescent="0.25">
      <c r="A1612">
        <f t="shared" si="81"/>
        <v>134</v>
      </c>
      <c r="B1612" t="e">
        <f>"        ""Category"": """&amp;VLOOKUP(A1612,TraderCategory!$B$63:$L$546,3,FALSE)&amp;""","</f>
        <v>#N/A</v>
      </c>
    </row>
    <row r="1613" spans="1:2" x14ac:dyDescent="0.25">
      <c r="A1613">
        <f t="shared" si="81"/>
        <v>134</v>
      </c>
      <c r="B1613" t="e">
        <f>"        ""SubCategory"": """&amp;VLOOKUP(A1613,TraderCategory!$B$63:$L$546,4,FALSE)&amp;""","</f>
        <v>#N/A</v>
      </c>
    </row>
    <row r="1614" spans="1:2" x14ac:dyDescent="0.25">
      <c r="A1614">
        <f t="shared" si="81"/>
        <v>134</v>
      </c>
      <c r="B1614" t="e">
        <f>"        ""Reputation"": "&amp;VLOOKUP(A1614,TraderCategory!$B$63:$L$546,5,FALSE)&amp;","</f>
        <v>#N/A</v>
      </c>
    </row>
    <row r="1615" spans="1:2" x14ac:dyDescent="0.25">
      <c r="A1615">
        <f t="shared" si="81"/>
        <v>134</v>
      </c>
      <c r="B1615" t="e">
        <f>"        ""Restock"": "&amp;VLOOKUP(A1615,TraderCategory!$B$63:$L$546,6,FALSE)&amp;","</f>
        <v>#N/A</v>
      </c>
    </row>
    <row r="1616" spans="1:2" x14ac:dyDescent="0.25">
      <c r="A1616">
        <f t="shared" si="81"/>
        <v>134</v>
      </c>
      <c r="B1616" t="e">
        <f>"        ""RestockCap"": "&amp;VLOOKUP(A1616,TraderCategory!$B$63:$L$546,7,FALSE)&amp;","</f>
        <v>#N/A</v>
      </c>
    </row>
    <row r="1617" spans="1:2" x14ac:dyDescent="0.25">
      <c r="A1617">
        <f t="shared" si="81"/>
        <v>134</v>
      </c>
      <c r="B1617" t="e">
        <f>"        ""StockCap"": "&amp;VLOOKUP(A1617,TraderCategory!$B$63:$L$546,8,FALSE)&amp;","</f>
        <v>#N/A</v>
      </c>
    </row>
    <row r="1618" spans="1:2" x14ac:dyDescent="0.25">
      <c r="A1618">
        <f t="shared" si="81"/>
        <v>134</v>
      </c>
      <c r="B1618" t="e">
        <f>"        ""SellingRatioMin"": "&amp;VLOOKUP(A1618,TraderCategory!$B$63:$L$546,9,FALSE)&amp;","</f>
        <v>#N/A</v>
      </c>
    </row>
    <row r="1619" spans="1:2" x14ac:dyDescent="0.25">
      <c r="A1619">
        <f t="shared" si="81"/>
        <v>134</v>
      </c>
      <c r="B1619" t="e">
        <f>"        ""SellingRatioMax"": "&amp;VLOOKUP(A1619,TraderCategory!$B$63:$L$546,10,FALSE)&amp;","</f>
        <v>#N/A</v>
      </c>
    </row>
    <row r="1620" spans="1:2" x14ac:dyDescent="0.25">
      <c r="A1620">
        <f t="shared" si="81"/>
        <v>134</v>
      </c>
      <c r="B1620" t="e">
        <f>"        ""BuingRatioMin"": "&amp;VLOOKUP(A1620,TraderCategory!$B$63:$L$546,11,FALSE)</f>
        <v>#N/A</v>
      </c>
    </row>
    <row r="1621" spans="1:2" x14ac:dyDescent="0.25">
      <c r="A1621">
        <f t="shared" si="81"/>
        <v>134</v>
      </c>
      <c r="B1621" t="s">
        <v>2755</v>
      </c>
    </row>
    <row r="1622" spans="1:2" x14ac:dyDescent="0.25">
      <c r="A1622">
        <f>A1610+1</f>
        <v>135</v>
      </c>
      <c r="B1622" t="str">
        <f>"    """&amp;A1622&amp;""": {"</f>
        <v xml:space="preserve">    "135": {</v>
      </c>
    </row>
    <row r="1623" spans="1:2" x14ac:dyDescent="0.25">
      <c r="A1623">
        <f t="shared" ref="A1623:A1633" si="82">A1611+1</f>
        <v>135</v>
      </c>
      <c r="B1623" t="e">
        <f>"        ""Groups"": """&amp;VLOOKUP(A1623,TraderCategory!$B$63:$L$546,2,FALSE)&amp;""","</f>
        <v>#N/A</v>
      </c>
    </row>
    <row r="1624" spans="1:2" x14ac:dyDescent="0.25">
      <c r="A1624">
        <f t="shared" si="82"/>
        <v>135</v>
      </c>
      <c r="B1624" t="e">
        <f>"        ""Category"": """&amp;VLOOKUP(A1624,TraderCategory!$B$63:$L$546,3,FALSE)&amp;""","</f>
        <v>#N/A</v>
      </c>
    </row>
    <row r="1625" spans="1:2" x14ac:dyDescent="0.25">
      <c r="A1625">
        <f t="shared" si="82"/>
        <v>135</v>
      </c>
      <c r="B1625" t="e">
        <f>"        ""SubCategory"": """&amp;VLOOKUP(A1625,TraderCategory!$B$63:$L$546,4,FALSE)&amp;""","</f>
        <v>#N/A</v>
      </c>
    </row>
    <row r="1626" spans="1:2" x14ac:dyDescent="0.25">
      <c r="A1626">
        <f t="shared" si="82"/>
        <v>135</v>
      </c>
      <c r="B1626" t="e">
        <f>"        ""Reputation"": "&amp;VLOOKUP(A1626,TraderCategory!$B$63:$L$546,5,FALSE)&amp;","</f>
        <v>#N/A</v>
      </c>
    </row>
    <row r="1627" spans="1:2" x14ac:dyDescent="0.25">
      <c r="A1627">
        <f t="shared" si="82"/>
        <v>135</v>
      </c>
      <c r="B1627" t="e">
        <f>"        ""Restock"": "&amp;VLOOKUP(A1627,TraderCategory!$B$63:$L$546,6,FALSE)&amp;","</f>
        <v>#N/A</v>
      </c>
    </row>
    <row r="1628" spans="1:2" x14ac:dyDescent="0.25">
      <c r="A1628">
        <f t="shared" si="82"/>
        <v>135</v>
      </c>
      <c r="B1628" t="e">
        <f>"        ""RestockCap"": "&amp;VLOOKUP(A1628,TraderCategory!$B$63:$L$546,7,FALSE)&amp;","</f>
        <v>#N/A</v>
      </c>
    </row>
    <row r="1629" spans="1:2" x14ac:dyDescent="0.25">
      <c r="A1629">
        <f t="shared" si="82"/>
        <v>135</v>
      </c>
      <c r="B1629" t="e">
        <f>"        ""StockCap"": "&amp;VLOOKUP(A1629,TraderCategory!$B$63:$L$546,8,FALSE)&amp;","</f>
        <v>#N/A</v>
      </c>
    </row>
    <row r="1630" spans="1:2" x14ac:dyDescent="0.25">
      <c r="A1630">
        <f t="shared" si="82"/>
        <v>135</v>
      </c>
      <c r="B1630" t="e">
        <f>"        ""SellingRatioMin"": "&amp;VLOOKUP(A1630,TraderCategory!$B$63:$L$546,9,FALSE)&amp;","</f>
        <v>#N/A</v>
      </c>
    </row>
    <row r="1631" spans="1:2" x14ac:dyDescent="0.25">
      <c r="A1631">
        <f t="shared" si="82"/>
        <v>135</v>
      </c>
      <c r="B1631" t="e">
        <f>"        ""SellingRatioMax"": "&amp;VLOOKUP(A1631,TraderCategory!$B$63:$L$546,10,FALSE)&amp;","</f>
        <v>#N/A</v>
      </c>
    </row>
    <row r="1632" spans="1:2" x14ac:dyDescent="0.25">
      <c r="A1632">
        <f t="shared" si="82"/>
        <v>135</v>
      </c>
      <c r="B1632" t="e">
        <f>"        ""BuingRatioMin"": "&amp;VLOOKUP(A1632,TraderCategory!$B$63:$L$546,11,FALSE)</f>
        <v>#N/A</v>
      </c>
    </row>
    <row r="1633" spans="1:2" x14ac:dyDescent="0.25">
      <c r="A1633">
        <f t="shared" si="82"/>
        <v>135</v>
      </c>
      <c r="B1633" t="s">
        <v>2755</v>
      </c>
    </row>
    <row r="1634" spans="1:2" x14ac:dyDescent="0.25">
      <c r="A1634">
        <f>A1622+1</f>
        <v>136</v>
      </c>
      <c r="B1634" t="str">
        <f>"    """&amp;A1634&amp;""": {"</f>
        <v xml:space="preserve">    "136": {</v>
      </c>
    </row>
    <row r="1635" spans="1:2" x14ac:dyDescent="0.25">
      <c r="A1635">
        <f t="shared" ref="A1635:A1645" si="83">A1623+1</f>
        <v>136</v>
      </c>
      <c r="B1635" t="e">
        <f>"        ""Groups"": """&amp;VLOOKUP(A1635,TraderCategory!$B$63:$L$546,2,FALSE)&amp;""","</f>
        <v>#N/A</v>
      </c>
    </row>
    <row r="1636" spans="1:2" x14ac:dyDescent="0.25">
      <c r="A1636">
        <f t="shared" si="83"/>
        <v>136</v>
      </c>
      <c r="B1636" t="e">
        <f>"        ""Category"": """&amp;VLOOKUP(A1636,TraderCategory!$B$63:$L$546,3,FALSE)&amp;""","</f>
        <v>#N/A</v>
      </c>
    </row>
    <row r="1637" spans="1:2" x14ac:dyDescent="0.25">
      <c r="A1637">
        <f t="shared" si="83"/>
        <v>136</v>
      </c>
      <c r="B1637" t="e">
        <f>"        ""SubCategory"": """&amp;VLOOKUP(A1637,TraderCategory!$B$63:$L$546,4,FALSE)&amp;""","</f>
        <v>#N/A</v>
      </c>
    </row>
    <row r="1638" spans="1:2" x14ac:dyDescent="0.25">
      <c r="A1638">
        <f t="shared" si="83"/>
        <v>136</v>
      </c>
      <c r="B1638" t="e">
        <f>"        ""Reputation"": "&amp;VLOOKUP(A1638,TraderCategory!$B$63:$L$546,5,FALSE)&amp;","</f>
        <v>#N/A</v>
      </c>
    </row>
    <row r="1639" spans="1:2" x14ac:dyDescent="0.25">
      <c r="A1639">
        <f t="shared" si="83"/>
        <v>136</v>
      </c>
      <c r="B1639" t="e">
        <f>"        ""Restock"": "&amp;VLOOKUP(A1639,TraderCategory!$B$63:$L$546,6,FALSE)&amp;","</f>
        <v>#N/A</v>
      </c>
    </row>
    <row r="1640" spans="1:2" x14ac:dyDescent="0.25">
      <c r="A1640">
        <f t="shared" si="83"/>
        <v>136</v>
      </c>
      <c r="B1640" t="e">
        <f>"        ""RestockCap"": "&amp;VLOOKUP(A1640,TraderCategory!$B$63:$L$546,7,FALSE)&amp;","</f>
        <v>#N/A</v>
      </c>
    </row>
    <row r="1641" spans="1:2" x14ac:dyDescent="0.25">
      <c r="A1641">
        <f t="shared" si="83"/>
        <v>136</v>
      </c>
      <c r="B1641" t="e">
        <f>"        ""StockCap"": "&amp;VLOOKUP(A1641,TraderCategory!$B$63:$L$546,8,FALSE)&amp;","</f>
        <v>#N/A</v>
      </c>
    </row>
    <row r="1642" spans="1:2" x14ac:dyDescent="0.25">
      <c r="A1642">
        <f t="shared" si="83"/>
        <v>136</v>
      </c>
      <c r="B1642" t="e">
        <f>"        ""SellingRatioMin"": "&amp;VLOOKUP(A1642,TraderCategory!$B$63:$L$546,9,FALSE)&amp;","</f>
        <v>#N/A</v>
      </c>
    </row>
    <row r="1643" spans="1:2" x14ac:dyDescent="0.25">
      <c r="A1643">
        <f t="shared" si="83"/>
        <v>136</v>
      </c>
      <c r="B1643" t="e">
        <f>"        ""SellingRatioMax"": "&amp;VLOOKUP(A1643,TraderCategory!$B$63:$L$546,10,FALSE)&amp;","</f>
        <v>#N/A</v>
      </c>
    </row>
    <row r="1644" spans="1:2" x14ac:dyDescent="0.25">
      <c r="A1644">
        <f t="shared" si="83"/>
        <v>136</v>
      </c>
      <c r="B1644" t="e">
        <f>"        ""BuingRatioMin"": "&amp;VLOOKUP(A1644,TraderCategory!$B$63:$L$546,11,FALSE)</f>
        <v>#N/A</v>
      </c>
    </row>
    <row r="1645" spans="1:2" x14ac:dyDescent="0.25">
      <c r="A1645">
        <f t="shared" si="83"/>
        <v>136</v>
      </c>
      <c r="B1645" t="s">
        <v>2755</v>
      </c>
    </row>
    <row r="1646" spans="1:2" x14ac:dyDescent="0.25">
      <c r="A1646">
        <f>A1634+1</f>
        <v>137</v>
      </c>
      <c r="B1646" t="str">
        <f>"    """&amp;A1646&amp;""": {"</f>
        <v xml:space="preserve">    "137": {</v>
      </c>
    </row>
    <row r="1647" spans="1:2" x14ac:dyDescent="0.25">
      <c r="A1647">
        <f t="shared" ref="A1647:A1657" si="84">A1635+1</f>
        <v>137</v>
      </c>
      <c r="B1647" t="e">
        <f>"        ""Groups"": """&amp;VLOOKUP(A1647,TraderCategory!$B$63:$L$546,2,FALSE)&amp;""","</f>
        <v>#N/A</v>
      </c>
    </row>
    <row r="1648" spans="1:2" x14ac:dyDescent="0.25">
      <c r="A1648">
        <f t="shared" si="84"/>
        <v>137</v>
      </c>
      <c r="B1648" t="e">
        <f>"        ""Category"": """&amp;VLOOKUP(A1648,TraderCategory!$B$63:$L$546,3,FALSE)&amp;""","</f>
        <v>#N/A</v>
      </c>
    </row>
    <row r="1649" spans="1:2" x14ac:dyDescent="0.25">
      <c r="A1649">
        <f t="shared" si="84"/>
        <v>137</v>
      </c>
      <c r="B1649" t="e">
        <f>"        ""SubCategory"": """&amp;VLOOKUP(A1649,TraderCategory!$B$63:$L$546,4,FALSE)&amp;""","</f>
        <v>#N/A</v>
      </c>
    </row>
    <row r="1650" spans="1:2" x14ac:dyDescent="0.25">
      <c r="A1650">
        <f t="shared" si="84"/>
        <v>137</v>
      </c>
      <c r="B1650" t="e">
        <f>"        ""Reputation"": "&amp;VLOOKUP(A1650,TraderCategory!$B$63:$L$546,5,FALSE)&amp;","</f>
        <v>#N/A</v>
      </c>
    </row>
    <row r="1651" spans="1:2" x14ac:dyDescent="0.25">
      <c r="A1651">
        <f t="shared" si="84"/>
        <v>137</v>
      </c>
      <c r="B1651" t="e">
        <f>"        ""Restock"": "&amp;VLOOKUP(A1651,TraderCategory!$B$63:$L$546,6,FALSE)&amp;","</f>
        <v>#N/A</v>
      </c>
    </row>
    <row r="1652" spans="1:2" x14ac:dyDescent="0.25">
      <c r="A1652">
        <f t="shared" si="84"/>
        <v>137</v>
      </c>
      <c r="B1652" t="e">
        <f>"        ""RestockCap"": "&amp;VLOOKUP(A1652,TraderCategory!$B$63:$L$546,7,FALSE)&amp;","</f>
        <v>#N/A</v>
      </c>
    </row>
    <row r="1653" spans="1:2" x14ac:dyDescent="0.25">
      <c r="A1653">
        <f t="shared" si="84"/>
        <v>137</v>
      </c>
      <c r="B1653" t="e">
        <f>"        ""StockCap"": "&amp;VLOOKUP(A1653,TraderCategory!$B$63:$L$546,8,FALSE)&amp;","</f>
        <v>#N/A</v>
      </c>
    </row>
    <row r="1654" spans="1:2" x14ac:dyDescent="0.25">
      <c r="A1654">
        <f t="shared" si="84"/>
        <v>137</v>
      </c>
      <c r="B1654" t="e">
        <f>"        ""SellingRatioMin"": "&amp;VLOOKUP(A1654,TraderCategory!$B$63:$L$546,9,FALSE)&amp;","</f>
        <v>#N/A</v>
      </c>
    </row>
    <row r="1655" spans="1:2" x14ac:dyDescent="0.25">
      <c r="A1655">
        <f t="shared" si="84"/>
        <v>137</v>
      </c>
      <c r="B1655" t="e">
        <f>"        ""SellingRatioMax"": "&amp;VLOOKUP(A1655,TraderCategory!$B$63:$L$546,10,FALSE)&amp;","</f>
        <v>#N/A</v>
      </c>
    </row>
    <row r="1656" spans="1:2" x14ac:dyDescent="0.25">
      <c r="A1656">
        <f t="shared" si="84"/>
        <v>137</v>
      </c>
      <c r="B1656" t="e">
        <f>"        ""BuingRatioMin"": "&amp;VLOOKUP(A1656,TraderCategory!$B$63:$L$546,11,FALSE)</f>
        <v>#N/A</v>
      </c>
    </row>
    <row r="1657" spans="1:2" x14ac:dyDescent="0.25">
      <c r="A1657">
        <f t="shared" si="84"/>
        <v>137</v>
      </c>
      <c r="B1657" t="s">
        <v>2755</v>
      </c>
    </row>
    <row r="1658" spans="1:2" x14ac:dyDescent="0.25">
      <c r="A1658">
        <f>A1646+1</f>
        <v>138</v>
      </c>
      <c r="B1658" t="str">
        <f>"    """&amp;A1658&amp;""": {"</f>
        <v xml:space="preserve">    "138": {</v>
      </c>
    </row>
    <row r="1659" spans="1:2" x14ac:dyDescent="0.25">
      <c r="A1659">
        <f t="shared" ref="A1659:A1669" si="85">A1647+1</f>
        <v>138</v>
      </c>
      <c r="B1659" t="e">
        <f>"        ""Groups"": """&amp;VLOOKUP(A1659,TraderCategory!$B$63:$L$546,2,FALSE)&amp;""","</f>
        <v>#N/A</v>
      </c>
    </row>
    <row r="1660" spans="1:2" x14ac:dyDescent="0.25">
      <c r="A1660">
        <f t="shared" si="85"/>
        <v>138</v>
      </c>
      <c r="B1660" t="e">
        <f>"        ""Category"": """&amp;VLOOKUP(A1660,TraderCategory!$B$63:$L$546,3,FALSE)&amp;""","</f>
        <v>#N/A</v>
      </c>
    </row>
    <row r="1661" spans="1:2" x14ac:dyDescent="0.25">
      <c r="A1661">
        <f t="shared" si="85"/>
        <v>138</v>
      </c>
      <c r="B1661" t="e">
        <f>"        ""SubCategory"": """&amp;VLOOKUP(A1661,TraderCategory!$B$63:$L$546,4,FALSE)&amp;""","</f>
        <v>#N/A</v>
      </c>
    </row>
    <row r="1662" spans="1:2" x14ac:dyDescent="0.25">
      <c r="A1662">
        <f t="shared" si="85"/>
        <v>138</v>
      </c>
      <c r="B1662" t="e">
        <f>"        ""Reputation"": "&amp;VLOOKUP(A1662,TraderCategory!$B$63:$L$546,5,FALSE)&amp;","</f>
        <v>#N/A</v>
      </c>
    </row>
    <row r="1663" spans="1:2" x14ac:dyDescent="0.25">
      <c r="A1663">
        <f t="shared" si="85"/>
        <v>138</v>
      </c>
      <c r="B1663" t="e">
        <f>"        ""Restock"": "&amp;VLOOKUP(A1663,TraderCategory!$B$63:$L$546,6,FALSE)&amp;","</f>
        <v>#N/A</v>
      </c>
    </row>
    <row r="1664" spans="1:2" x14ac:dyDescent="0.25">
      <c r="A1664">
        <f t="shared" si="85"/>
        <v>138</v>
      </c>
      <c r="B1664" t="e">
        <f>"        ""RestockCap"": "&amp;VLOOKUP(A1664,TraderCategory!$B$63:$L$546,7,FALSE)&amp;","</f>
        <v>#N/A</v>
      </c>
    </row>
    <row r="1665" spans="1:2" x14ac:dyDescent="0.25">
      <c r="A1665">
        <f t="shared" si="85"/>
        <v>138</v>
      </c>
      <c r="B1665" t="e">
        <f>"        ""StockCap"": "&amp;VLOOKUP(A1665,TraderCategory!$B$63:$L$546,8,FALSE)&amp;","</f>
        <v>#N/A</v>
      </c>
    </row>
    <row r="1666" spans="1:2" x14ac:dyDescent="0.25">
      <c r="A1666">
        <f t="shared" si="85"/>
        <v>138</v>
      </c>
      <c r="B1666" t="e">
        <f>"        ""SellingRatioMin"": "&amp;VLOOKUP(A1666,TraderCategory!$B$63:$L$546,9,FALSE)&amp;","</f>
        <v>#N/A</v>
      </c>
    </row>
    <row r="1667" spans="1:2" x14ac:dyDescent="0.25">
      <c r="A1667">
        <f t="shared" si="85"/>
        <v>138</v>
      </c>
      <c r="B1667" t="e">
        <f>"        ""SellingRatioMax"": "&amp;VLOOKUP(A1667,TraderCategory!$B$63:$L$546,10,FALSE)&amp;","</f>
        <v>#N/A</v>
      </c>
    </row>
    <row r="1668" spans="1:2" x14ac:dyDescent="0.25">
      <c r="A1668">
        <f t="shared" si="85"/>
        <v>138</v>
      </c>
      <c r="B1668" t="e">
        <f>"        ""BuingRatioMin"": "&amp;VLOOKUP(A1668,TraderCategory!$B$63:$L$546,11,FALSE)</f>
        <v>#N/A</v>
      </c>
    </row>
    <row r="1669" spans="1:2" x14ac:dyDescent="0.25">
      <c r="A1669">
        <f t="shared" si="85"/>
        <v>138</v>
      </c>
      <c r="B1669" t="s">
        <v>2755</v>
      </c>
    </row>
    <row r="1670" spans="1:2" x14ac:dyDescent="0.25">
      <c r="A1670">
        <f>A1658+1</f>
        <v>139</v>
      </c>
      <c r="B1670" t="str">
        <f>"    """&amp;A1670&amp;""": {"</f>
        <v xml:space="preserve">    "139": {</v>
      </c>
    </row>
    <row r="1671" spans="1:2" x14ac:dyDescent="0.25">
      <c r="A1671">
        <f t="shared" ref="A1671:A1681" si="86">A1659+1</f>
        <v>139</v>
      </c>
      <c r="B1671" t="e">
        <f>"        ""Groups"": """&amp;VLOOKUP(A1671,TraderCategory!$B$63:$L$546,2,FALSE)&amp;""","</f>
        <v>#N/A</v>
      </c>
    </row>
    <row r="1672" spans="1:2" x14ac:dyDescent="0.25">
      <c r="A1672">
        <f t="shared" si="86"/>
        <v>139</v>
      </c>
      <c r="B1672" t="e">
        <f>"        ""Category"": """&amp;VLOOKUP(A1672,TraderCategory!$B$63:$L$546,3,FALSE)&amp;""","</f>
        <v>#N/A</v>
      </c>
    </row>
    <row r="1673" spans="1:2" x14ac:dyDescent="0.25">
      <c r="A1673">
        <f t="shared" si="86"/>
        <v>139</v>
      </c>
      <c r="B1673" t="e">
        <f>"        ""SubCategory"": """&amp;VLOOKUP(A1673,TraderCategory!$B$63:$L$546,4,FALSE)&amp;""","</f>
        <v>#N/A</v>
      </c>
    </row>
    <row r="1674" spans="1:2" x14ac:dyDescent="0.25">
      <c r="A1674">
        <f t="shared" si="86"/>
        <v>139</v>
      </c>
      <c r="B1674" t="e">
        <f>"        ""Reputation"": "&amp;VLOOKUP(A1674,TraderCategory!$B$63:$L$546,5,FALSE)&amp;","</f>
        <v>#N/A</v>
      </c>
    </row>
    <row r="1675" spans="1:2" x14ac:dyDescent="0.25">
      <c r="A1675">
        <f t="shared" si="86"/>
        <v>139</v>
      </c>
      <c r="B1675" t="e">
        <f>"        ""Restock"": "&amp;VLOOKUP(A1675,TraderCategory!$B$63:$L$546,6,FALSE)&amp;","</f>
        <v>#N/A</v>
      </c>
    </row>
    <row r="1676" spans="1:2" x14ac:dyDescent="0.25">
      <c r="A1676">
        <f t="shared" si="86"/>
        <v>139</v>
      </c>
      <c r="B1676" t="e">
        <f>"        ""RestockCap"": "&amp;VLOOKUP(A1676,TraderCategory!$B$63:$L$546,7,FALSE)&amp;","</f>
        <v>#N/A</v>
      </c>
    </row>
    <row r="1677" spans="1:2" x14ac:dyDescent="0.25">
      <c r="A1677">
        <f t="shared" si="86"/>
        <v>139</v>
      </c>
      <c r="B1677" t="e">
        <f>"        ""StockCap"": "&amp;VLOOKUP(A1677,TraderCategory!$B$63:$L$546,8,FALSE)&amp;","</f>
        <v>#N/A</v>
      </c>
    </row>
    <row r="1678" spans="1:2" x14ac:dyDescent="0.25">
      <c r="A1678">
        <f t="shared" si="86"/>
        <v>139</v>
      </c>
      <c r="B1678" t="e">
        <f>"        ""SellingRatioMin"": "&amp;VLOOKUP(A1678,TraderCategory!$B$63:$L$546,9,FALSE)&amp;","</f>
        <v>#N/A</v>
      </c>
    </row>
    <row r="1679" spans="1:2" x14ac:dyDescent="0.25">
      <c r="A1679">
        <f t="shared" si="86"/>
        <v>139</v>
      </c>
      <c r="B1679" t="e">
        <f>"        ""SellingRatioMax"": "&amp;VLOOKUP(A1679,TraderCategory!$B$63:$L$546,10,FALSE)&amp;","</f>
        <v>#N/A</v>
      </c>
    </row>
    <row r="1680" spans="1:2" x14ac:dyDescent="0.25">
      <c r="A1680">
        <f t="shared" si="86"/>
        <v>139</v>
      </c>
      <c r="B1680" t="e">
        <f>"        ""BuingRatioMin"": "&amp;VLOOKUP(A1680,TraderCategory!$B$63:$L$546,11,FALSE)</f>
        <v>#N/A</v>
      </c>
    </row>
    <row r="1681" spans="1:2" x14ac:dyDescent="0.25">
      <c r="A1681">
        <f t="shared" si="86"/>
        <v>139</v>
      </c>
      <c r="B1681" t="s">
        <v>2755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C21"/>
  <sheetViews>
    <sheetView workbookViewId="0">
      <selection activeCell="J26" sqref="J26"/>
    </sheetView>
  </sheetViews>
  <sheetFormatPr defaultRowHeight="15" x14ac:dyDescent="0.25"/>
  <cols>
    <col min="2" max="2" width="15.7109375" bestFit="1" customWidth="1"/>
    <col min="3" max="3" width="25.85546875" bestFit="1" customWidth="1"/>
  </cols>
  <sheetData>
    <row r="1" spans="1:3" x14ac:dyDescent="0.25">
      <c r="A1" t="s">
        <v>3277</v>
      </c>
      <c r="B1" t="s">
        <v>3278</v>
      </c>
      <c r="C1" t="s">
        <v>3279</v>
      </c>
    </row>
    <row r="2" spans="1:3" x14ac:dyDescent="0.25">
      <c r="A2">
        <v>0</v>
      </c>
      <c r="B2" t="s">
        <v>3238</v>
      </c>
      <c r="C2" t="s">
        <v>3239</v>
      </c>
    </row>
    <row r="3" spans="1:3" x14ac:dyDescent="0.25">
      <c r="A3">
        <v>1</v>
      </c>
      <c r="B3" t="s">
        <v>3240</v>
      </c>
      <c r="C3" t="s">
        <v>3241</v>
      </c>
    </row>
    <row r="4" spans="1:3" x14ac:dyDescent="0.25">
      <c r="A4">
        <v>2</v>
      </c>
      <c r="B4" t="s">
        <v>3242</v>
      </c>
      <c r="C4" t="s">
        <v>3243</v>
      </c>
    </row>
    <row r="5" spans="1:3" x14ac:dyDescent="0.25">
      <c r="A5">
        <v>3</v>
      </c>
      <c r="B5" t="s">
        <v>3244</v>
      </c>
      <c r="C5" t="s">
        <v>3245</v>
      </c>
    </row>
    <row r="6" spans="1:3" x14ac:dyDescent="0.25">
      <c r="A6">
        <v>4</v>
      </c>
      <c r="B6" t="s">
        <v>3246</v>
      </c>
      <c r="C6" t="s">
        <v>3247</v>
      </c>
    </row>
    <row r="7" spans="1:3" x14ac:dyDescent="0.25">
      <c r="A7">
        <v>5</v>
      </c>
      <c r="B7" t="s">
        <v>3248</v>
      </c>
      <c r="C7" t="s">
        <v>3249</v>
      </c>
    </row>
    <row r="8" spans="1:3" x14ac:dyDescent="0.25">
      <c r="A8">
        <v>6</v>
      </c>
      <c r="B8" t="s">
        <v>3250</v>
      </c>
      <c r="C8" t="s">
        <v>3251</v>
      </c>
    </row>
    <row r="9" spans="1:3" x14ac:dyDescent="0.25">
      <c r="A9">
        <v>7</v>
      </c>
      <c r="B9" t="s">
        <v>3252</v>
      </c>
      <c r="C9" t="s">
        <v>3253</v>
      </c>
    </row>
    <row r="10" spans="1:3" x14ac:dyDescent="0.25">
      <c r="A10">
        <v>8</v>
      </c>
      <c r="B10" t="s">
        <v>3254</v>
      </c>
      <c r="C10" t="s">
        <v>3255</v>
      </c>
    </row>
    <row r="11" spans="1:3" x14ac:dyDescent="0.25">
      <c r="A11">
        <v>9</v>
      </c>
      <c r="B11" t="s">
        <v>3256</v>
      </c>
      <c r="C11" t="s">
        <v>3257</v>
      </c>
    </row>
    <row r="12" spans="1:3" x14ac:dyDescent="0.25">
      <c r="A12">
        <v>10</v>
      </c>
      <c r="B12" t="s">
        <v>3258</v>
      </c>
      <c r="C12" t="s">
        <v>3259</v>
      </c>
    </row>
    <row r="13" spans="1:3" x14ac:dyDescent="0.25">
      <c r="A13">
        <v>11</v>
      </c>
      <c r="B13" t="s">
        <v>3260</v>
      </c>
      <c r="C13" t="s">
        <v>3261</v>
      </c>
    </row>
    <row r="14" spans="1:3" x14ac:dyDescent="0.25">
      <c r="A14">
        <v>12</v>
      </c>
      <c r="B14" t="s">
        <v>3262</v>
      </c>
      <c r="C14" t="s">
        <v>3263</v>
      </c>
    </row>
    <row r="15" spans="1:3" x14ac:dyDescent="0.25">
      <c r="A15">
        <v>13</v>
      </c>
      <c r="B15" t="s">
        <v>3264</v>
      </c>
      <c r="C15" t="s">
        <v>3264</v>
      </c>
    </row>
    <row r="16" spans="1:3" x14ac:dyDescent="0.25">
      <c r="A16">
        <v>14</v>
      </c>
      <c r="B16" t="s">
        <v>3265</v>
      </c>
      <c r="C16" t="s">
        <v>3266</v>
      </c>
    </row>
    <row r="17" spans="1:3" x14ac:dyDescent="0.25">
      <c r="A17">
        <v>15</v>
      </c>
      <c r="B17" t="s">
        <v>3267</v>
      </c>
      <c r="C17" t="s">
        <v>3268</v>
      </c>
    </row>
    <row r="18" spans="1:3" x14ac:dyDescent="0.25">
      <c r="A18">
        <v>16</v>
      </c>
      <c r="B18" t="s">
        <v>3269</v>
      </c>
      <c r="C18" t="s">
        <v>3270</v>
      </c>
    </row>
    <row r="19" spans="1:3" x14ac:dyDescent="0.25">
      <c r="A19">
        <v>17</v>
      </c>
      <c r="B19" t="s">
        <v>3271</v>
      </c>
      <c r="C19" t="s">
        <v>3272</v>
      </c>
    </row>
    <row r="20" spans="1:3" x14ac:dyDescent="0.25">
      <c r="A20">
        <v>18</v>
      </c>
      <c r="B20" t="s">
        <v>3273</v>
      </c>
      <c r="C20" t="s">
        <v>3274</v>
      </c>
    </row>
    <row r="21" spans="1:3" x14ac:dyDescent="0.25">
      <c r="A21">
        <v>19</v>
      </c>
      <c r="B21" t="s">
        <v>3275</v>
      </c>
      <c r="C21" t="s">
        <v>3276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5</vt:i4>
      </vt:variant>
      <vt:variant>
        <vt:lpstr>Pojmenované oblasti</vt:lpstr>
      </vt:variant>
      <vt:variant>
        <vt:i4>3</vt:i4>
      </vt:variant>
    </vt:vector>
  </HeadingPairs>
  <TitlesOfParts>
    <vt:vector size="8" baseType="lpstr">
      <vt:lpstr>Types</vt:lpstr>
      <vt:lpstr>Trader Items</vt:lpstr>
      <vt:lpstr>TraderCategory</vt:lpstr>
      <vt:lpstr>TraderCategoryJSON</vt:lpstr>
      <vt:lpstr>ranks</vt:lpstr>
      <vt:lpstr>categories</vt:lpstr>
      <vt:lpstr>groups</vt:lpstr>
      <vt:lpstr>subcategories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2020-02-01T10:16:25Z</dcterms:created>
  <dcterms:modified xsi:type="dcterms:W3CDTF">2020-03-27T10:47:43Z</dcterms:modified>
</cp:coreProperties>
</file>